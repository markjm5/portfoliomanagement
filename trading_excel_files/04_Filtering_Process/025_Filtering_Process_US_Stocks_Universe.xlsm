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507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4_Filtering_Process/"/>
    </mc:Choice>
  </mc:AlternateContent>
  <xr:revisionPtr revIDLastSave="0" documentId="13_ncr:1_{282AFF50-835D-1D49-939E-D7F2ED8251D1}" xr6:coauthVersionLast="47" xr6:coauthVersionMax="47" xr10:uidLastSave="{00000000-0000-0000-0000-000000000000}"/>
  <bookViews>
    <workbookView xWindow="-62400" yWindow="-640" windowWidth="58900" windowHeight="27200" activeTab="2" xr2:uid="{00000000-000D-0000-FFFF-FFFF00000000}"/>
  </bookViews>
  <sheets>
    <sheet name="Note" sheetId="6" r:id="rId1"/>
    <sheet name="Idea generation" sheetId="4" r:id="rId2"/>
    <sheet name="Nasdaq.com" sheetId="1" r:id="rId3"/>
  </sheets>
  <definedNames>
    <definedName name="_xlnm._FilterDatabase" localSheetId="1" hidden="1">'Idea generation'!$A$1:$Z$17</definedName>
    <definedName name="_xlnm._FilterDatabase" localSheetId="2" hidden="1">Nasdaq.com!$A$1:$AV$2500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2500" i="1" l="1"/>
  <c r="V2499" i="1"/>
  <c r="V2498" i="1"/>
  <c r="V2497" i="1"/>
  <c r="V2496" i="1"/>
  <c r="V2495" i="1"/>
  <c r="V2494" i="1"/>
  <c r="V2493" i="1"/>
  <c r="V2492" i="1"/>
  <c r="V2491" i="1"/>
  <c r="V2490" i="1"/>
  <c r="V2489" i="1"/>
  <c r="V2488" i="1"/>
  <c r="V2487" i="1"/>
  <c r="V2486" i="1"/>
  <c r="V2485" i="1"/>
  <c r="V2484" i="1"/>
  <c r="V2483" i="1"/>
  <c r="V2482" i="1"/>
  <c r="V2481" i="1"/>
  <c r="V2480" i="1"/>
  <c r="V2479" i="1"/>
  <c r="V2478" i="1"/>
  <c r="V2477" i="1"/>
  <c r="V2476" i="1"/>
  <c r="V2475" i="1"/>
  <c r="V2474" i="1"/>
  <c r="V2473" i="1"/>
  <c r="V2472" i="1"/>
  <c r="V2471" i="1"/>
  <c r="V2470" i="1"/>
  <c r="V2469" i="1"/>
  <c r="V2468" i="1"/>
  <c r="V2467" i="1"/>
  <c r="V2466" i="1"/>
  <c r="V2465" i="1"/>
  <c r="V2464" i="1"/>
  <c r="V2463" i="1"/>
  <c r="V2462" i="1"/>
  <c r="V2461" i="1"/>
  <c r="V2460" i="1"/>
  <c r="V2459" i="1"/>
  <c r="V2458" i="1"/>
  <c r="V2457" i="1"/>
  <c r="V2456" i="1"/>
  <c r="V2455" i="1"/>
  <c r="V2454" i="1"/>
  <c r="V2453" i="1"/>
  <c r="V2452" i="1"/>
  <c r="V2451" i="1"/>
  <c r="V2450" i="1"/>
  <c r="V2449" i="1"/>
  <c r="V2448" i="1"/>
  <c r="V2447" i="1"/>
  <c r="V2446" i="1"/>
  <c r="V2445" i="1"/>
  <c r="V2444" i="1"/>
  <c r="V2443" i="1"/>
  <c r="V2442" i="1"/>
  <c r="V2441" i="1"/>
  <c r="V2440" i="1"/>
  <c r="V2439" i="1"/>
  <c r="V2438" i="1"/>
  <c r="V2437" i="1"/>
  <c r="V2436" i="1"/>
  <c r="V2435" i="1"/>
  <c r="V2434" i="1"/>
  <c r="V2433" i="1"/>
  <c r="V2432" i="1"/>
  <c r="V2431" i="1"/>
  <c r="V2430" i="1"/>
  <c r="V2429" i="1"/>
  <c r="V2428" i="1"/>
  <c r="V2427" i="1"/>
  <c r="V2426" i="1"/>
  <c r="V2425" i="1"/>
  <c r="V2424" i="1"/>
  <c r="V2423" i="1"/>
  <c r="V2422" i="1"/>
  <c r="V2421" i="1"/>
  <c r="V2420" i="1"/>
  <c r="V2419" i="1"/>
  <c r="V2418" i="1"/>
  <c r="V2417" i="1"/>
  <c r="V2416" i="1"/>
  <c r="V2415" i="1"/>
  <c r="V2414" i="1"/>
  <c r="V2413" i="1"/>
  <c r="V2412" i="1"/>
  <c r="V2411" i="1"/>
  <c r="V2410" i="1"/>
  <c r="V2409" i="1"/>
  <c r="V2408" i="1"/>
  <c r="V2407" i="1"/>
  <c r="V2406" i="1"/>
  <c r="V2405" i="1"/>
  <c r="V2404" i="1"/>
  <c r="V2403" i="1"/>
  <c r="V2402" i="1"/>
  <c r="V2401" i="1"/>
  <c r="V2400" i="1"/>
  <c r="V2399" i="1"/>
  <c r="V2398" i="1"/>
  <c r="V2397" i="1"/>
  <c r="V2396" i="1"/>
  <c r="V2395" i="1"/>
  <c r="V2394" i="1"/>
  <c r="V2393" i="1"/>
  <c r="V2392" i="1"/>
  <c r="V2391" i="1"/>
  <c r="V2390" i="1"/>
  <c r="V2389" i="1"/>
  <c r="V2388" i="1"/>
  <c r="V2387" i="1"/>
  <c r="V2386" i="1"/>
  <c r="V2385" i="1"/>
  <c r="V2384" i="1"/>
  <c r="V2383" i="1"/>
  <c r="V2382" i="1"/>
  <c r="V2381" i="1"/>
  <c r="V2380" i="1"/>
  <c r="V2379" i="1"/>
  <c r="V2378" i="1"/>
  <c r="V2377" i="1"/>
  <c r="V2376" i="1"/>
  <c r="V2375" i="1"/>
  <c r="V2374" i="1"/>
  <c r="V2373" i="1"/>
  <c r="V2372" i="1"/>
  <c r="V2371" i="1"/>
  <c r="V2370" i="1"/>
  <c r="V2369" i="1"/>
  <c r="V2368" i="1"/>
  <c r="V2367" i="1"/>
  <c r="V2366" i="1"/>
  <c r="V2365" i="1"/>
  <c r="V2364" i="1"/>
  <c r="V2363" i="1"/>
  <c r="V2362" i="1"/>
  <c r="V2361" i="1"/>
  <c r="V2360" i="1"/>
  <c r="V2359" i="1"/>
  <c r="V2358" i="1"/>
  <c r="V2357" i="1"/>
  <c r="V2356" i="1"/>
  <c r="V2355" i="1"/>
  <c r="V2354" i="1"/>
  <c r="V2353" i="1"/>
  <c r="V2352" i="1"/>
  <c r="V2351" i="1"/>
  <c r="V2350" i="1"/>
  <c r="V2349" i="1"/>
  <c r="V2348" i="1"/>
  <c r="V2347" i="1"/>
  <c r="V2346" i="1"/>
  <c r="V2345" i="1"/>
  <c r="V2344" i="1"/>
  <c r="V2343" i="1"/>
  <c r="V2342" i="1"/>
  <c r="V2341" i="1"/>
  <c r="V2340" i="1"/>
  <c r="V2339" i="1"/>
  <c r="V2338" i="1"/>
  <c r="V2337" i="1"/>
  <c r="V2336" i="1"/>
  <c r="V2335" i="1"/>
  <c r="V2334" i="1"/>
  <c r="V2333" i="1"/>
  <c r="V2332" i="1"/>
  <c r="V2331" i="1"/>
  <c r="V2330" i="1"/>
  <c r="V2329" i="1"/>
  <c r="V2328" i="1"/>
  <c r="V2327" i="1"/>
  <c r="V2326" i="1"/>
  <c r="V2325" i="1"/>
  <c r="V2324" i="1"/>
  <c r="V2323" i="1"/>
  <c r="V2322" i="1"/>
  <c r="V2321" i="1"/>
  <c r="V2320" i="1"/>
  <c r="V2319" i="1"/>
  <c r="V2318" i="1"/>
  <c r="V2317" i="1"/>
  <c r="V2316" i="1"/>
  <c r="V2315" i="1"/>
  <c r="V2314" i="1"/>
  <c r="V2313" i="1"/>
  <c r="V2312" i="1"/>
  <c r="V2311" i="1"/>
  <c r="V2310" i="1"/>
  <c r="V2309" i="1"/>
  <c r="V2308" i="1"/>
  <c r="V2307" i="1"/>
  <c r="V2306" i="1"/>
  <c r="V2305" i="1"/>
  <c r="V2304" i="1"/>
  <c r="V2303" i="1"/>
  <c r="V2302" i="1"/>
  <c r="V2301" i="1"/>
  <c r="V2300" i="1"/>
  <c r="V2299" i="1"/>
  <c r="V2298" i="1"/>
  <c r="V2297" i="1"/>
  <c r="V2296" i="1"/>
  <c r="V2295" i="1"/>
  <c r="V2294" i="1"/>
  <c r="V2293" i="1"/>
  <c r="V2292" i="1"/>
  <c r="V2291" i="1"/>
  <c r="V2290" i="1"/>
  <c r="V2289" i="1"/>
  <c r="V2288" i="1"/>
  <c r="V2287" i="1"/>
  <c r="V2286" i="1"/>
  <c r="V2285" i="1"/>
  <c r="V2284" i="1"/>
  <c r="V2283" i="1"/>
  <c r="V2282" i="1"/>
  <c r="V2281" i="1"/>
  <c r="V2280" i="1"/>
  <c r="V2279" i="1"/>
  <c r="V2278" i="1"/>
  <c r="V2277" i="1"/>
  <c r="V2276" i="1"/>
  <c r="V2275" i="1"/>
  <c r="V2274" i="1"/>
  <c r="V2273" i="1"/>
  <c r="V2272" i="1"/>
  <c r="V2271" i="1"/>
  <c r="V2270" i="1"/>
  <c r="V2269" i="1"/>
  <c r="V2268" i="1"/>
  <c r="V2267" i="1"/>
  <c r="V2266" i="1"/>
  <c r="V2265" i="1"/>
  <c r="V2264" i="1"/>
  <c r="V2263" i="1"/>
  <c r="V2262" i="1"/>
  <c r="V2261" i="1"/>
  <c r="V2260" i="1"/>
  <c r="V2259" i="1"/>
  <c r="V2258" i="1"/>
  <c r="V2257" i="1"/>
  <c r="V2256" i="1"/>
  <c r="V2255" i="1"/>
  <c r="V2254" i="1"/>
  <c r="V2253" i="1"/>
  <c r="V2252" i="1"/>
  <c r="V2251" i="1"/>
  <c r="V2250" i="1"/>
  <c r="V2249" i="1"/>
  <c r="V2248" i="1"/>
  <c r="V2247" i="1"/>
  <c r="V2246" i="1"/>
  <c r="V2245" i="1"/>
  <c r="V2244" i="1"/>
  <c r="V2243" i="1"/>
  <c r="V2242" i="1"/>
  <c r="V2241" i="1"/>
  <c r="V2240" i="1"/>
  <c r="V2239" i="1"/>
  <c r="V2238" i="1"/>
  <c r="V2237" i="1"/>
  <c r="V2236" i="1"/>
  <c r="V2235" i="1"/>
  <c r="V2234" i="1"/>
  <c r="V2233" i="1"/>
  <c r="V2232" i="1"/>
  <c r="V2231" i="1"/>
  <c r="V2230" i="1"/>
  <c r="V2229" i="1"/>
  <c r="V2228" i="1"/>
  <c r="V2227" i="1"/>
  <c r="V2226" i="1"/>
  <c r="V2225" i="1"/>
  <c r="V2224" i="1"/>
  <c r="V2223" i="1"/>
  <c r="V2222" i="1"/>
  <c r="V2221" i="1"/>
  <c r="V2220" i="1"/>
  <c r="V2219" i="1"/>
  <c r="V2218" i="1"/>
  <c r="V2217" i="1"/>
  <c r="V2216" i="1"/>
  <c r="V2215" i="1"/>
  <c r="V2214" i="1"/>
  <c r="V2213" i="1"/>
  <c r="V2212" i="1"/>
  <c r="V2211" i="1"/>
  <c r="V2210" i="1"/>
  <c r="V2209" i="1"/>
  <c r="V2208" i="1"/>
  <c r="V2207" i="1"/>
  <c r="V2206" i="1"/>
  <c r="V2205" i="1"/>
  <c r="V2204" i="1"/>
  <c r="V2203" i="1"/>
  <c r="V2202" i="1"/>
  <c r="V2201" i="1"/>
  <c r="V2200" i="1"/>
  <c r="V2199" i="1"/>
  <c r="V2198" i="1"/>
  <c r="V2197" i="1"/>
  <c r="V2196" i="1"/>
  <c r="V2195" i="1"/>
  <c r="V2194" i="1"/>
  <c r="V2193" i="1"/>
  <c r="V2192" i="1"/>
  <c r="V2191" i="1"/>
  <c r="V2190" i="1"/>
  <c r="V2189" i="1"/>
  <c r="V2188" i="1"/>
  <c r="V2187" i="1"/>
  <c r="V2186" i="1"/>
  <c r="V2185" i="1"/>
  <c r="V2184" i="1"/>
  <c r="V2183" i="1"/>
  <c r="V2182" i="1"/>
  <c r="V2181" i="1"/>
  <c r="V2180" i="1"/>
  <c r="V2179" i="1"/>
  <c r="V2178" i="1"/>
  <c r="V2177" i="1"/>
  <c r="V2176" i="1"/>
  <c r="V2175" i="1"/>
  <c r="V2174" i="1"/>
  <c r="V2173" i="1"/>
  <c r="V2172" i="1"/>
  <c r="V2171" i="1"/>
  <c r="V2170" i="1"/>
  <c r="V2169" i="1"/>
  <c r="V2168" i="1"/>
  <c r="V2167" i="1"/>
  <c r="V2166" i="1"/>
  <c r="V2165" i="1"/>
  <c r="V2164" i="1"/>
  <c r="V2163" i="1"/>
  <c r="V2162" i="1"/>
  <c r="V2161" i="1"/>
  <c r="V2160" i="1"/>
  <c r="V2159" i="1"/>
  <c r="V2158" i="1"/>
  <c r="V2157" i="1"/>
  <c r="V2156" i="1"/>
  <c r="V2155" i="1"/>
  <c r="V2154" i="1"/>
  <c r="V2153" i="1"/>
  <c r="V2152" i="1"/>
  <c r="V2151" i="1"/>
  <c r="V2150" i="1"/>
  <c r="V2149" i="1"/>
  <c r="V2148" i="1"/>
  <c r="V2147" i="1"/>
  <c r="V2146" i="1"/>
  <c r="V2145" i="1"/>
  <c r="V2144" i="1"/>
  <c r="V2143" i="1"/>
  <c r="V2142" i="1"/>
  <c r="V2141" i="1"/>
  <c r="V2140" i="1"/>
  <c r="V2139" i="1"/>
  <c r="V2138" i="1"/>
  <c r="V2137" i="1"/>
  <c r="V2136" i="1"/>
  <c r="V2135" i="1"/>
  <c r="V2134" i="1"/>
  <c r="V2133" i="1"/>
  <c r="V2132" i="1"/>
  <c r="V2131" i="1"/>
  <c r="V2130" i="1"/>
  <c r="V2129" i="1"/>
  <c r="V2128" i="1"/>
  <c r="V2127" i="1"/>
  <c r="V2126" i="1"/>
  <c r="V2125" i="1"/>
  <c r="V2124" i="1"/>
  <c r="V2123" i="1"/>
  <c r="V2122" i="1"/>
  <c r="V2121" i="1"/>
  <c r="V2120" i="1"/>
  <c r="V2119" i="1"/>
  <c r="V2118" i="1"/>
  <c r="V2117" i="1"/>
  <c r="V2116" i="1"/>
  <c r="V2115" i="1"/>
  <c r="V2114" i="1"/>
  <c r="V2113" i="1"/>
  <c r="V2112" i="1"/>
  <c r="V2111" i="1"/>
  <c r="V2110" i="1"/>
  <c r="V2109" i="1"/>
  <c r="V2108" i="1"/>
  <c r="V2107" i="1"/>
  <c r="V2106" i="1"/>
  <c r="V2105" i="1"/>
  <c r="V2104" i="1"/>
  <c r="V2103" i="1"/>
  <c r="V2102" i="1"/>
  <c r="V2101" i="1"/>
  <c r="V2100" i="1"/>
  <c r="V2099" i="1"/>
  <c r="V2098" i="1"/>
  <c r="V2097" i="1"/>
  <c r="V2096" i="1"/>
  <c r="V2095" i="1"/>
  <c r="V2094" i="1"/>
  <c r="V2093" i="1"/>
  <c r="V2092" i="1"/>
  <c r="V2091" i="1"/>
  <c r="V2090" i="1"/>
  <c r="V2089" i="1"/>
  <c r="V2088" i="1"/>
  <c r="V2087" i="1"/>
  <c r="V2086" i="1"/>
  <c r="V2085" i="1"/>
  <c r="V2084" i="1"/>
  <c r="V2083" i="1"/>
  <c r="V2082" i="1"/>
  <c r="V2081" i="1"/>
  <c r="V2080" i="1"/>
  <c r="V2079" i="1"/>
  <c r="V2078" i="1"/>
  <c r="V2077" i="1"/>
  <c r="V2076" i="1"/>
  <c r="V2075" i="1"/>
  <c r="V2074" i="1"/>
  <c r="V2073" i="1"/>
  <c r="V2072" i="1"/>
  <c r="V2071" i="1"/>
  <c r="V2070" i="1"/>
  <c r="V2069" i="1"/>
  <c r="V2068" i="1"/>
  <c r="V2067" i="1"/>
  <c r="V2066" i="1"/>
  <c r="V2065" i="1"/>
  <c r="V2064" i="1"/>
  <c r="V2063" i="1"/>
  <c r="V2062" i="1"/>
  <c r="V2061" i="1"/>
  <c r="V2060" i="1"/>
  <c r="V2059" i="1"/>
  <c r="V2058" i="1"/>
  <c r="V2057" i="1"/>
  <c r="V2056" i="1"/>
  <c r="V2055" i="1"/>
  <c r="V2054" i="1"/>
  <c r="V2053" i="1"/>
  <c r="V2052" i="1"/>
  <c r="V2051" i="1"/>
  <c r="V2050" i="1"/>
  <c r="V2049" i="1"/>
  <c r="V2048" i="1"/>
  <c r="V2047" i="1"/>
  <c r="V2046" i="1"/>
  <c r="V2045" i="1"/>
  <c r="V2044" i="1"/>
  <c r="V2043" i="1"/>
  <c r="V2042" i="1"/>
  <c r="V2041" i="1"/>
  <c r="V2040" i="1"/>
  <c r="V2039" i="1"/>
  <c r="V2038" i="1"/>
  <c r="V2037" i="1"/>
  <c r="V2036" i="1"/>
  <c r="V2035" i="1"/>
  <c r="V2034" i="1"/>
  <c r="V2033" i="1"/>
  <c r="V2032" i="1"/>
  <c r="V2031" i="1"/>
  <c r="V2030" i="1"/>
  <c r="V2029" i="1"/>
  <c r="V2028" i="1"/>
  <c r="V2027" i="1"/>
  <c r="V2026" i="1"/>
  <c r="V2025" i="1"/>
  <c r="V2024" i="1"/>
  <c r="V2023" i="1"/>
  <c r="V2022" i="1"/>
  <c r="V2021" i="1"/>
  <c r="V2020" i="1"/>
  <c r="V2019" i="1"/>
  <c r="V2018" i="1"/>
  <c r="V2017" i="1"/>
  <c r="V2016" i="1"/>
  <c r="V2015" i="1"/>
  <c r="V2014" i="1"/>
  <c r="V2013" i="1"/>
  <c r="V2012" i="1"/>
  <c r="V2011" i="1"/>
  <c r="V2010" i="1"/>
  <c r="V2009" i="1"/>
  <c r="V2008" i="1"/>
  <c r="V2007" i="1"/>
  <c r="V2006" i="1"/>
  <c r="V2005" i="1"/>
  <c r="V2004" i="1"/>
  <c r="V2003" i="1"/>
  <c r="V2002" i="1"/>
  <c r="V2001" i="1"/>
  <c r="V2000" i="1"/>
  <c r="V1999" i="1"/>
  <c r="V1998" i="1"/>
  <c r="V1997" i="1"/>
  <c r="V1996" i="1"/>
  <c r="V1995" i="1"/>
  <c r="V1994" i="1"/>
  <c r="V1993" i="1"/>
  <c r="V1992" i="1"/>
  <c r="V1991" i="1"/>
  <c r="V1990" i="1"/>
  <c r="V1989" i="1"/>
  <c r="V1988" i="1"/>
  <c r="V1987" i="1"/>
  <c r="V1986" i="1"/>
  <c r="V1985" i="1"/>
  <c r="V1984" i="1"/>
  <c r="V1983" i="1"/>
  <c r="V1982" i="1"/>
  <c r="V1981" i="1"/>
  <c r="V1980" i="1"/>
  <c r="V1979" i="1"/>
  <c r="V1978" i="1"/>
  <c r="V1977" i="1"/>
  <c r="V1976" i="1"/>
  <c r="V1975" i="1"/>
  <c r="V1974" i="1"/>
  <c r="V1973" i="1"/>
  <c r="V1972" i="1"/>
  <c r="V1971" i="1"/>
  <c r="V1970" i="1"/>
  <c r="V1969" i="1"/>
  <c r="V1968" i="1"/>
  <c r="V1967" i="1"/>
  <c r="V1966" i="1"/>
  <c r="V1965" i="1"/>
  <c r="V1964" i="1"/>
  <c r="V1963" i="1"/>
  <c r="V1962" i="1"/>
  <c r="V1961" i="1"/>
  <c r="V1960" i="1"/>
  <c r="V1959" i="1"/>
  <c r="V1958" i="1"/>
  <c r="V1957" i="1"/>
  <c r="V1956" i="1"/>
  <c r="V1955" i="1"/>
  <c r="V1954" i="1"/>
  <c r="V1953" i="1"/>
  <c r="V1952" i="1"/>
  <c r="V1951" i="1"/>
  <c r="V1950" i="1"/>
  <c r="V1949" i="1"/>
  <c r="V1948" i="1"/>
  <c r="V1947" i="1"/>
  <c r="V1946" i="1"/>
  <c r="V1945" i="1"/>
  <c r="V1944" i="1"/>
  <c r="V1943" i="1"/>
  <c r="V1942" i="1"/>
  <c r="V1941" i="1"/>
  <c r="V1940" i="1"/>
  <c r="V1939" i="1"/>
  <c r="V1938" i="1"/>
  <c r="V1937" i="1"/>
  <c r="V1936" i="1"/>
  <c r="V1935" i="1"/>
  <c r="V1934" i="1"/>
  <c r="V1933" i="1"/>
  <c r="V1932" i="1"/>
  <c r="V1931" i="1"/>
  <c r="V1930" i="1"/>
  <c r="V1929" i="1"/>
  <c r="V1928" i="1"/>
  <c r="V1927" i="1"/>
  <c r="V1926" i="1"/>
  <c r="V1925" i="1"/>
  <c r="V1924" i="1"/>
  <c r="V1923" i="1"/>
  <c r="V1922" i="1"/>
  <c r="V1921" i="1"/>
  <c r="V1920" i="1"/>
  <c r="V1919" i="1"/>
  <c r="V1918" i="1"/>
  <c r="V1917" i="1"/>
  <c r="V1916" i="1"/>
  <c r="V1915" i="1"/>
  <c r="V1914" i="1"/>
  <c r="V1913" i="1"/>
  <c r="V1912" i="1"/>
  <c r="V1911" i="1"/>
  <c r="V1910" i="1"/>
  <c r="V1909" i="1"/>
  <c r="V1908" i="1"/>
  <c r="V1907" i="1"/>
  <c r="V1906" i="1"/>
  <c r="V1905" i="1"/>
  <c r="V1904" i="1"/>
  <c r="V1903" i="1"/>
  <c r="V1902" i="1"/>
  <c r="V1901" i="1"/>
  <c r="V1900" i="1"/>
  <c r="V1899" i="1"/>
  <c r="V1898" i="1"/>
  <c r="V1897" i="1"/>
  <c r="V1896" i="1"/>
  <c r="V1895" i="1"/>
  <c r="V1894" i="1"/>
  <c r="V1893" i="1"/>
  <c r="V1892" i="1"/>
  <c r="V1891" i="1"/>
  <c r="V1890" i="1"/>
  <c r="V1889" i="1"/>
  <c r="V1888" i="1"/>
  <c r="V1887" i="1"/>
  <c r="V1886" i="1"/>
  <c r="V1885" i="1"/>
  <c r="V1884" i="1"/>
  <c r="V1883" i="1"/>
  <c r="V1882" i="1"/>
  <c r="V1881" i="1"/>
  <c r="V1880" i="1"/>
  <c r="V1879" i="1"/>
  <c r="V1878" i="1"/>
  <c r="V1877" i="1"/>
  <c r="V1876" i="1"/>
  <c r="V1875" i="1"/>
  <c r="V1874" i="1"/>
  <c r="V1873" i="1"/>
  <c r="V1872" i="1"/>
  <c r="V1871" i="1"/>
  <c r="V1870" i="1"/>
  <c r="V1869" i="1"/>
  <c r="V1868" i="1"/>
  <c r="V1867" i="1"/>
  <c r="V1866" i="1"/>
  <c r="V1865" i="1"/>
  <c r="V1864" i="1"/>
  <c r="V1863" i="1"/>
  <c r="V1862" i="1"/>
  <c r="V1861" i="1"/>
  <c r="V1860" i="1"/>
  <c r="V1859" i="1"/>
  <c r="V1858" i="1"/>
  <c r="V1857" i="1"/>
  <c r="V1856" i="1"/>
  <c r="V1855" i="1"/>
  <c r="V1854" i="1"/>
  <c r="V1853" i="1"/>
  <c r="V1852" i="1"/>
  <c r="V1851" i="1"/>
  <c r="V1850" i="1"/>
  <c r="V1849" i="1"/>
  <c r="V1848" i="1"/>
  <c r="V1847" i="1"/>
  <c r="V1846" i="1"/>
  <c r="V1845" i="1"/>
  <c r="V1844" i="1"/>
  <c r="V1843" i="1"/>
  <c r="V1842" i="1"/>
  <c r="V1841" i="1"/>
  <c r="V1840" i="1"/>
  <c r="V1839" i="1"/>
  <c r="V1838" i="1"/>
  <c r="V1837" i="1"/>
  <c r="V1836" i="1"/>
  <c r="V1835" i="1"/>
  <c r="V1834" i="1"/>
  <c r="V1833" i="1"/>
  <c r="V1832" i="1"/>
  <c r="V1831" i="1"/>
  <c r="V1830" i="1"/>
  <c r="V1829" i="1"/>
  <c r="V1828" i="1"/>
  <c r="V1827" i="1"/>
  <c r="V1826" i="1"/>
  <c r="V1825" i="1"/>
  <c r="V1824" i="1"/>
  <c r="V1823" i="1"/>
  <c r="V1822" i="1"/>
  <c r="V1821" i="1"/>
  <c r="V1820" i="1"/>
  <c r="V1819" i="1"/>
  <c r="V1818" i="1"/>
  <c r="V1817" i="1"/>
  <c r="V1816" i="1"/>
  <c r="V1815" i="1"/>
  <c r="V1814" i="1"/>
  <c r="V1813" i="1"/>
  <c r="V1812" i="1"/>
  <c r="V1811" i="1"/>
  <c r="V1810" i="1"/>
  <c r="V1809" i="1"/>
  <c r="V1808" i="1"/>
  <c r="V1807" i="1"/>
  <c r="V1806" i="1"/>
  <c r="V1805" i="1"/>
  <c r="V1804" i="1"/>
  <c r="V1803" i="1"/>
  <c r="V1802" i="1"/>
  <c r="V1801" i="1"/>
  <c r="V1800" i="1"/>
  <c r="V1799" i="1"/>
  <c r="V1798" i="1"/>
  <c r="V1797" i="1"/>
  <c r="V1796" i="1"/>
  <c r="V1795" i="1"/>
  <c r="V1794" i="1"/>
  <c r="V1793" i="1"/>
  <c r="V1792" i="1"/>
  <c r="V1791" i="1"/>
  <c r="V1790" i="1"/>
  <c r="V1789" i="1"/>
  <c r="V1788" i="1"/>
  <c r="V1787" i="1"/>
  <c r="V1786" i="1"/>
  <c r="V1785" i="1"/>
  <c r="V1784" i="1"/>
  <c r="V1783" i="1"/>
  <c r="V1782" i="1"/>
  <c r="V1781" i="1"/>
  <c r="V1780" i="1"/>
  <c r="V1779" i="1"/>
  <c r="V1778" i="1"/>
  <c r="V1777" i="1"/>
  <c r="V1776" i="1"/>
  <c r="V1775" i="1"/>
  <c r="V1774" i="1"/>
  <c r="V1773" i="1"/>
  <c r="V1772" i="1"/>
  <c r="V1771" i="1"/>
  <c r="V1770" i="1"/>
  <c r="V1769" i="1"/>
  <c r="V1768" i="1"/>
  <c r="V1767" i="1"/>
  <c r="V1766" i="1"/>
  <c r="V1765" i="1"/>
  <c r="V1764" i="1"/>
  <c r="V1763" i="1"/>
  <c r="V1762" i="1"/>
  <c r="V1761" i="1"/>
  <c r="V1760" i="1"/>
  <c r="V1759" i="1"/>
  <c r="V1758" i="1"/>
  <c r="V1757" i="1"/>
  <c r="V1756" i="1"/>
  <c r="V1755" i="1"/>
  <c r="V1754" i="1"/>
  <c r="V1753" i="1"/>
  <c r="V1752" i="1"/>
  <c r="V1751" i="1"/>
  <c r="V1750" i="1"/>
  <c r="V1749" i="1"/>
  <c r="V1748" i="1"/>
  <c r="V1747" i="1"/>
  <c r="V1746" i="1"/>
  <c r="V1745" i="1"/>
  <c r="V1744" i="1"/>
  <c r="V1743" i="1"/>
  <c r="V1742" i="1"/>
  <c r="V1741" i="1"/>
  <c r="V1740" i="1"/>
  <c r="V1739" i="1"/>
  <c r="V1738" i="1"/>
  <c r="V1737" i="1"/>
  <c r="V1736" i="1"/>
  <c r="V1735" i="1"/>
  <c r="V1734" i="1"/>
  <c r="V1733" i="1"/>
  <c r="V1732" i="1"/>
  <c r="V1731" i="1"/>
  <c r="V1730" i="1"/>
  <c r="V1729" i="1"/>
  <c r="V1728" i="1"/>
  <c r="V1727" i="1"/>
  <c r="V1726" i="1"/>
  <c r="V1725" i="1"/>
  <c r="V1724" i="1"/>
  <c r="V1723" i="1"/>
  <c r="V1722" i="1"/>
  <c r="V1721" i="1"/>
  <c r="V1720" i="1"/>
  <c r="V1719" i="1"/>
  <c r="V1718" i="1"/>
  <c r="V1717" i="1"/>
  <c r="V1716" i="1"/>
  <c r="V1715" i="1"/>
  <c r="V1714" i="1"/>
  <c r="V1713" i="1"/>
  <c r="V1712" i="1"/>
  <c r="V1711" i="1"/>
  <c r="V1710" i="1"/>
  <c r="V1709" i="1"/>
  <c r="V1708" i="1"/>
  <c r="V1707" i="1"/>
  <c r="V1706" i="1"/>
  <c r="V1705" i="1"/>
  <c r="V1704" i="1"/>
  <c r="V1703" i="1"/>
  <c r="V1702" i="1"/>
  <c r="V1701" i="1"/>
  <c r="V1700" i="1"/>
  <c r="V1699" i="1"/>
  <c r="V1698" i="1"/>
  <c r="V1697" i="1"/>
  <c r="V1696" i="1"/>
  <c r="V1695" i="1"/>
  <c r="V1694" i="1"/>
  <c r="V1693" i="1"/>
  <c r="V1692" i="1"/>
  <c r="V1691" i="1"/>
  <c r="V1690" i="1"/>
  <c r="V1689" i="1"/>
  <c r="V1688" i="1"/>
  <c r="V1687" i="1"/>
  <c r="V1686" i="1"/>
  <c r="V1685" i="1"/>
  <c r="V1684" i="1"/>
  <c r="V1683" i="1"/>
  <c r="V1682" i="1"/>
  <c r="V1681" i="1"/>
  <c r="V1680" i="1"/>
  <c r="V1679" i="1"/>
  <c r="V1678" i="1"/>
  <c r="V1677" i="1"/>
  <c r="V1676" i="1"/>
  <c r="V1675" i="1"/>
  <c r="V1674" i="1"/>
  <c r="V1673" i="1"/>
  <c r="V1672" i="1"/>
  <c r="V1671" i="1"/>
  <c r="V1670" i="1"/>
  <c r="V1669" i="1"/>
  <c r="V1668" i="1"/>
  <c r="V1667" i="1"/>
  <c r="V1666" i="1"/>
  <c r="V1665" i="1"/>
  <c r="V1664" i="1"/>
  <c r="V1663" i="1"/>
  <c r="V1662" i="1"/>
  <c r="V1661" i="1"/>
  <c r="V1660" i="1"/>
  <c r="V1659" i="1"/>
  <c r="V1658" i="1"/>
  <c r="V1657" i="1"/>
  <c r="V1656" i="1"/>
  <c r="V1655" i="1"/>
  <c r="V1654" i="1"/>
  <c r="V1653" i="1"/>
  <c r="V1652" i="1"/>
  <c r="V1651" i="1"/>
  <c r="V1650" i="1"/>
  <c r="V1649" i="1"/>
  <c r="V1648" i="1"/>
  <c r="V1647" i="1"/>
  <c r="V1646" i="1"/>
  <c r="V1645" i="1"/>
  <c r="V1644" i="1"/>
  <c r="V1643" i="1"/>
  <c r="V1642" i="1"/>
  <c r="V1641" i="1"/>
  <c r="V1640" i="1"/>
  <c r="V1639" i="1"/>
  <c r="V1638" i="1"/>
  <c r="V1637" i="1"/>
  <c r="V1636" i="1"/>
  <c r="V1635" i="1"/>
  <c r="V1634" i="1"/>
  <c r="V1633" i="1"/>
  <c r="V1632" i="1"/>
  <c r="V1631" i="1"/>
  <c r="V1630" i="1"/>
  <c r="V1629" i="1"/>
  <c r="V1628" i="1"/>
  <c r="V1627" i="1"/>
  <c r="V1626" i="1"/>
  <c r="V1625" i="1"/>
  <c r="V1624" i="1"/>
  <c r="V1623" i="1"/>
  <c r="V1622" i="1"/>
  <c r="V1621" i="1"/>
  <c r="V1620" i="1"/>
  <c r="V1619" i="1"/>
  <c r="V1618" i="1"/>
  <c r="V1617" i="1"/>
  <c r="V1616" i="1"/>
  <c r="V1615" i="1"/>
  <c r="V1614" i="1"/>
  <c r="V1613" i="1"/>
  <c r="V1612" i="1"/>
  <c r="V1611" i="1"/>
  <c r="V1610" i="1"/>
  <c r="V1609" i="1"/>
  <c r="V1608" i="1"/>
  <c r="V1607" i="1"/>
  <c r="V1606" i="1"/>
  <c r="V1605" i="1"/>
  <c r="V1604" i="1"/>
  <c r="V1603" i="1"/>
  <c r="V1602" i="1"/>
  <c r="V1601" i="1"/>
  <c r="V1600" i="1"/>
  <c r="V1599" i="1"/>
  <c r="V1598" i="1"/>
  <c r="V1597" i="1"/>
  <c r="V1596" i="1"/>
  <c r="V1595" i="1"/>
  <c r="V1594" i="1"/>
  <c r="V1593" i="1"/>
  <c r="V1592" i="1"/>
  <c r="V1591" i="1"/>
  <c r="V1590" i="1"/>
  <c r="V1589" i="1"/>
  <c r="V1588" i="1"/>
  <c r="V1587" i="1"/>
  <c r="V1586" i="1"/>
  <c r="V1585" i="1"/>
  <c r="V1584" i="1"/>
  <c r="V1583" i="1"/>
  <c r="V1582" i="1"/>
  <c r="V1581" i="1"/>
  <c r="V1580" i="1"/>
  <c r="V1579" i="1"/>
  <c r="V1578" i="1"/>
  <c r="V1577" i="1"/>
  <c r="V1576" i="1"/>
  <c r="V1575" i="1"/>
  <c r="V1574" i="1"/>
  <c r="V1573" i="1"/>
  <c r="V1572" i="1"/>
  <c r="V1571" i="1"/>
  <c r="V1570" i="1"/>
  <c r="V1569" i="1"/>
  <c r="V1568" i="1"/>
  <c r="V1567" i="1"/>
  <c r="V1566" i="1"/>
  <c r="V1565" i="1"/>
  <c r="V1564" i="1"/>
  <c r="V1563" i="1"/>
  <c r="V1562" i="1"/>
  <c r="V1561" i="1"/>
  <c r="V1560" i="1"/>
  <c r="V1559" i="1"/>
  <c r="V1558" i="1"/>
  <c r="V1557" i="1"/>
  <c r="V1556" i="1"/>
  <c r="V1555" i="1"/>
  <c r="V1554" i="1"/>
  <c r="V1553" i="1"/>
  <c r="V1552" i="1"/>
  <c r="V1551" i="1"/>
  <c r="V1550" i="1"/>
  <c r="V1549" i="1"/>
  <c r="V1548" i="1"/>
  <c r="V1547" i="1"/>
  <c r="V1546" i="1"/>
  <c r="V1545" i="1"/>
  <c r="V1544" i="1"/>
  <c r="V1543" i="1"/>
  <c r="V1542" i="1"/>
  <c r="V1541" i="1"/>
  <c r="V1540" i="1"/>
  <c r="V1539" i="1"/>
  <c r="V1538" i="1"/>
  <c r="V1537" i="1"/>
  <c r="V1536" i="1"/>
  <c r="V1535" i="1"/>
  <c r="V1534" i="1"/>
  <c r="V1533" i="1"/>
  <c r="V1532" i="1"/>
  <c r="V1531" i="1"/>
  <c r="V1530" i="1"/>
  <c r="V1529" i="1"/>
  <c r="V1528" i="1"/>
  <c r="V1527" i="1"/>
  <c r="V1526" i="1"/>
  <c r="V1525" i="1"/>
  <c r="V1524" i="1"/>
  <c r="V1523" i="1"/>
  <c r="V1522" i="1"/>
  <c r="V1521" i="1"/>
  <c r="V1520" i="1"/>
  <c r="V1519" i="1"/>
  <c r="V1518" i="1"/>
  <c r="V1517" i="1"/>
  <c r="V1516" i="1"/>
  <c r="V1515" i="1"/>
  <c r="V1514" i="1"/>
  <c r="V1513" i="1"/>
  <c r="V1512" i="1"/>
  <c r="V1511" i="1"/>
  <c r="V1510" i="1"/>
  <c r="V1509" i="1"/>
  <c r="V1508" i="1"/>
  <c r="V1507" i="1"/>
  <c r="V1506" i="1"/>
  <c r="V1505" i="1"/>
  <c r="V1504" i="1"/>
  <c r="V1503" i="1"/>
  <c r="V1502" i="1"/>
  <c r="V1501" i="1"/>
  <c r="V1500" i="1"/>
  <c r="V1499" i="1"/>
  <c r="V1498" i="1"/>
  <c r="V1497" i="1"/>
  <c r="V1496" i="1"/>
  <c r="V1495" i="1"/>
  <c r="V1494" i="1"/>
  <c r="V1493" i="1"/>
  <c r="V1492" i="1"/>
  <c r="V1491" i="1"/>
  <c r="V1490" i="1"/>
  <c r="V1489" i="1"/>
  <c r="V1488" i="1"/>
  <c r="V1487" i="1"/>
  <c r="V1486" i="1"/>
  <c r="V1485" i="1"/>
  <c r="V1484" i="1"/>
  <c r="V1483" i="1"/>
  <c r="V1482" i="1"/>
  <c r="V1481" i="1"/>
  <c r="V1480" i="1"/>
  <c r="V1479" i="1"/>
  <c r="V1478" i="1"/>
  <c r="V1477" i="1"/>
  <c r="V1476" i="1"/>
  <c r="V1475" i="1"/>
  <c r="V1474" i="1"/>
  <c r="V1473" i="1"/>
  <c r="V1472" i="1"/>
  <c r="V1471" i="1"/>
  <c r="V1470" i="1"/>
  <c r="V1469" i="1"/>
  <c r="V1468" i="1"/>
  <c r="V1467" i="1"/>
  <c r="V1466" i="1"/>
  <c r="V1465" i="1"/>
  <c r="V1464" i="1"/>
  <c r="V1463" i="1"/>
  <c r="V1462" i="1"/>
  <c r="V1461" i="1"/>
  <c r="V1460" i="1"/>
  <c r="V1459" i="1"/>
  <c r="V1458" i="1"/>
  <c r="V1457" i="1"/>
  <c r="V1456" i="1"/>
  <c r="V1455" i="1"/>
  <c r="V1454" i="1"/>
  <c r="V1453" i="1"/>
  <c r="V1452" i="1"/>
  <c r="V1451" i="1"/>
  <c r="V1450" i="1"/>
  <c r="V1449" i="1"/>
  <c r="V1448" i="1"/>
  <c r="V1447" i="1"/>
  <c r="V1446" i="1"/>
  <c r="V1445" i="1"/>
  <c r="V1444" i="1"/>
  <c r="V1443" i="1"/>
  <c r="V1442" i="1"/>
  <c r="V1441" i="1"/>
  <c r="V1440" i="1"/>
  <c r="V1439" i="1"/>
  <c r="V1438" i="1"/>
  <c r="V1437" i="1"/>
  <c r="V1436" i="1"/>
  <c r="V1435" i="1"/>
  <c r="V1434" i="1"/>
  <c r="V1433" i="1"/>
  <c r="V1432" i="1"/>
  <c r="V1431" i="1"/>
  <c r="V1430" i="1"/>
  <c r="V1429" i="1"/>
  <c r="V1428" i="1"/>
  <c r="V1427" i="1"/>
  <c r="V1426" i="1"/>
  <c r="V1425" i="1"/>
  <c r="V1424" i="1"/>
  <c r="V1423" i="1"/>
  <c r="V1422" i="1"/>
  <c r="V1421" i="1"/>
  <c r="V1420" i="1"/>
  <c r="V1419" i="1"/>
  <c r="V1418" i="1"/>
  <c r="V1417" i="1"/>
  <c r="V1416" i="1"/>
  <c r="V1415" i="1"/>
  <c r="V1414" i="1"/>
  <c r="V1413" i="1"/>
  <c r="V1412" i="1"/>
  <c r="V1411" i="1"/>
  <c r="V1410" i="1"/>
  <c r="V1409" i="1"/>
  <c r="V1408" i="1"/>
  <c r="V1407" i="1"/>
  <c r="V1406" i="1"/>
  <c r="V1405" i="1"/>
  <c r="V1404" i="1"/>
  <c r="V1403" i="1"/>
  <c r="V1402" i="1"/>
  <c r="V1401" i="1"/>
  <c r="V1400" i="1"/>
  <c r="V1399" i="1"/>
  <c r="V1398" i="1"/>
  <c r="V1397" i="1"/>
  <c r="V1396" i="1"/>
  <c r="V1395" i="1"/>
  <c r="V1394" i="1"/>
  <c r="V1393" i="1"/>
  <c r="V1392" i="1"/>
  <c r="V1391" i="1"/>
  <c r="V1390" i="1"/>
  <c r="V1389" i="1"/>
  <c r="V1388" i="1"/>
  <c r="V1387" i="1"/>
  <c r="V1386" i="1"/>
  <c r="V1385" i="1"/>
  <c r="V1384" i="1"/>
  <c r="V1383" i="1"/>
  <c r="V1382" i="1"/>
  <c r="V1381" i="1"/>
  <c r="V1380" i="1"/>
  <c r="V1379" i="1"/>
  <c r="V1378" i="1"/>
  <c r="V1377" i="1"/>
  <c r="V1376" i="1"/>
  <c r="V1375" i="1"/>
  <c r="V1374" i="1"/>
  <c r="V1373" i="1"/>
  <c r="V1372" i="1"/>
  <c r="V1371" i="1"/>
  <c r="V1370" i="1"/>
  <c r="V1369" i="1"/>
  <c r="V1368" i="1"/>
  <c r="V1367" i="1"/>
  <c r="V1366" i="1"/>
  <c r="V1365" i="1"/>
  <c r="V1364" i="1"/>
  <c r="V1363" i="1"/>
  <c r="V1362" i="1"/>
  <c r="V1361" i="1"/>
  <c r="V1360" i="1"/>
  <c r="V1359" i="1"/>
  <c r="V1358" i="1"/>
  <c r="V1357" i="1"/>
  <c r="V1356" i="1"/>
  <c r="V1355" i="1"/>
  <c r="V1354" i="1"/>
  <c r="V1353" i="1"/>
  <c r="V1352" i="1"/>
  <c r="V1351" i="1"/>
  <c r="V1350" i="1"/>
  <c r="V1349" i="1"/>
  <c r="V1348" i="1"/>
  <c r="V1347" i="1"/>
  <c r="V1346" i="1"/>
  <c r="V1345" i="1"/>
  <c r="V1344" i="1"/>
  <c r="V1343" i="1"/>
  <c r="V1342" i="1"/>
  <c r="V1341" i="1"/>
  <c r="V1340" i="1"/>
  <c r="V1339" i="1"/>
  <c r="V1338" i="1"/>
  <c r="V1337" i="1"/>
  <c r="V1336" i="1"/>
  <c r="V1335" i="1"/>
  <c r="V1334" i="1"/>
  <c r="V1333" i="1"/>
  <c r="V1332" i="1"/>
  <c r="V1331" i="1"/>
  <c r="V1330" i="1"/>
  <c r="V1329" i="1"/>
  <c r="V1328" i="1"/>
  <c r="V1327" i="1"/>
  <c r="V1326" i="1"/>
  <c r="V1325" i="1"/>
  <c r="V1324" i="1"/>
  <c r="V1323" i="1"/>
  <c r="V1322" i="1"/>
  <c r="V1321" i="1"/>
  <c r="V1320" i="1"/>
  <c r="V1319" i="1"/>
  <c r="V1318" i="1"/>
  <c r="V1317" i="1"/>
  <c r="V1316" i="1"/>
  <c r="V1315" i="1"/>
  <c r="V1314" i="1"/>
  <c r="V1313" i="1"/>
  <c r="V1312" i="1"/>
  <c r="V1311" i="1"/>
  <c r="V1310" i="1"/>
  <c r="V1309" i="1"/>
  <c r="V1308" i="1"/>
  <c r="V1307" i="1"/>
  <c r="V1306" i="1"/>
  <c r="V1305" i="1"/>
  <c r="V1304" i="1"/>
  <c r="V1303" i="1"/>
  <c r="V1302" i="1"/>
  <c r="V1301" i="1"/>
  <c r="V1300" i="1"/>
  <c r="V1299" i="1"/>
  <c r="V1298" i="1"/>
  <c r="V1297" i="1"/>
  <c r="V1296" i="1"/>
  <c r="V1295" i="1"/>
  <c r="V1294" i="1"/>
  <c r="V1293" i="1"/>
  <c r="V1292" i="1"/>
  <c r="V1291" i="1"/>
  <c r="V1290" i="1"/>
  <c r="V1289" i="1"/>
  <c r="V1288" i="1"/>
  <c r="V1287" i="1"/>
  <c r="V1286" i="1"/>
  <c r="V1285" i="1"/>
  <c r="V1284" i="1"/>
  <c r="V1283" i="1"/>
  <c r="V1282" i="1"/>
  <c r="V1281" i="1"/>
  <c r="V1280" i="1"/>
  <c r="V1279" i="1"/>
  <c r="V1278" i="1"/>
  <c r="V1277" i="1"/>
  <c r="V1276" i="1"/>
  <c r="V1275" i="1"/>
  <c r="V1274" i="1"/>
  <c r="V1273" i="1"/>
  <c r="V1272" i="1"/>
  <c r="V1271" i="1"/>
  <c r="V1270" i="1"/>
  <c r="V1269" i="1"/>
  <c r="V1268" i="1"/>
  <c r="V1267" i="1"/>
  <c r="V1266" i="1"/>
  <c r="V1265" i="1"/>
  <c r="V1264" i="1"/>
  <c r="V1263" i="1"/>
  <c r="V1262" i="1"/>
  <c r="V1261" i="1"/>
  <c r="V1260" i="1"/>
  <c r="V1259" i="1"/>
  <c r="V1258" i="1"/>
  <c r="V1257" i="1"/>
  <c r="V1256" i="1"/>
  <c r="V1255" i="1"/>
  <c r="V1254" i="1"/>
  <c r="V1253" i="1"/>
  <c r="V1252" i="1"/>
  <c r="V1251" i="1"/>
  <c r="V1250" i="1"/>
  <c r="V1249" i="1"/>
  <c r="V1248" i="1"/>
  <c r="V1247" i="1"/>
  <c r="V1246" i="1"/>
  <c r="V1245" i="1"/>
  <c r="V1244" i="1"/>
  <c r="V1243" i="1"/>
  <c r="V1242" i="1"/>
  <c r="V1241" i="1"/>
  <c r="V1240" i="1"/>
  <c r="V1239" i="1"/>
  <c r="V1238" i="1"/>
  <c r="V1237" i="1"/>
  <c r="V1236" i="1"/>
  <c r="V1235" i="1"/>
  <c r="V1234" i="1"/>
  <c r="V1233" i="1"/>
  <c r="V1232" i="1"/>
  <c r="V1231" i="1"/>
  <c r="V1230" i="1"/>
  <c r="V1229" i="1"/>
  <c r="V1228" i="1"/>
  <c r="V1227" i="1"/>
  <c r="V1226" i="1"/>
  <c r="V1225" i="1"/>
  <c r="V1224" i="1"/>
  <c r="V1223" i="1"/>
  <c r="V1222" i="1"/>
  <c r="V1221" i="1"/>
  <c r="V1220" i="1"/>
  <c r="V1219" i="1"/>
  <c r="V1218" i="1"/>
  <c r="V1217" i="1"/>
  <c r="V1216" i="1"/>
  <c r="V1215" i="1"/>
  <c r="V1214" i="1"/>
  <c r="V1213" i="1"/>
  <c r="V1212" i="1"/>
  <c r="V1211" i="1"/>
  <c r="V1210" i="1"/>
  <c r="V1209" i="1"/>
  <c r="V1208" i="1"/>
  <c r="V1207" i="1"/>
  <c r="V1206" i="1"/>
  <c r="V1205" i="1"/>
  <c r="V1204" i="1"/>
  <c r="V1203" i="1"/>
  <c r="V1202" i="1"/>
  <c r="V1201" i="1"/>
  <c r="V1200" i="1"/>
  <c r="V1199" i="1"/>
  <c r="V1198" i="1"/>
  <c r="V1197" i="1"/>
  <c r="V1196" i="1"/>
  <c r="V1195" i="1"/>
  <c r="V1194" i="1"/>
  <c r="V1193" i="1"/>
  <c r="V1192" i="1"/>
  <c r="V1191" i="1"/>
  <c r="V1190" i="1"/>
  <c r="V1189" i="1"/>
  <c r="V1188" i="1"/>
  <c r="V1187" i="1"/>
  <c r="V1186" i="1"/>
  <c r="V1185" i="1"/>
  <c r="V1184" i="1"/>
  <c r="V1183" i="1"/>
  <c r="V1182" i="1"/>
  <c r="V1181" i="1"/>
  <c r="V1180" i="1"/>
  <c r="V1179" i="1"/>
  <c r="V1178" i="1"/>
  <c r="V1177" i="1"/>
  <c r="V1176" i="1"/>
  <c r="V1175" i="1"/>
  <c r="V1174" i="1"/>
  <c r="V1173" i="1"/>
  <c r="V1172" i="1"/>
  <c r="V1171" i="1"/>
  <c r="V1170" i="1"/>
  <c r="V1169" i="1"/>
  <c r="V1168" i="1"/>
  <c r="V1167" i="1"/>
  <c r="V1166" i="1"/>
  <c r="V1165" i="1"/>
  <c r="V1164" i="1"/>
  <c r="V1163" i="1"/>
  <c r="V1162" i="1"/>
  <c r="V1161" i="1"/>
  <c r="V1160" i="1"/>
  <c r="V1159" i="1"/>
  <c r="V1158" i="1"/>
  <c r="V1157" i="1"/>
  <c r="V1156" i="1"/>
  <c r="V1155" i="1"/>
  <c r="V1154" i="1"/>
  <c r="V1153" i="1"/>
  <c r="V1152" i="1"/>
  <c r="V1151" i="1"/>
  <c r="V1150" i="1"/>
  <c r="V1149" i="1"/>
  <c r="V1148" i="1"/>
  <c r="V1147" i="1"/>
  <c r="V1146" i="1"/>
  <c r="V1145" i="1"/>
  <c r="V1144" i="1"/>
  <c r="V1143" i="1"/>
  <c r="V1142" i="1"/>
  <c r="V1141" i="1"/>
  <c r="V1140" i="1"/>
  <c r="V1139" i="1"/>
  <c r="V1138" i="1"/>
  <c r="V1137" i="1"/>
  <c r="V1136" i="1"/>
  <c r="V1135" i="1"/>
  <c r="V1134" i="1"/>
  <c r="V1133" i="1"/>
  <c r="V1132" i="1"/>
  <c r="V1131" i="1"/>
  <c r="V1130" i="1"/>
  <c r="V1129" i="1"/>
  <c r="V1128" i="1"/>
  <c r="V1127" i="1"/>
  <c r="V1126" i="1"/>
  <c r="V1125" i="1"/>
  <c r="V1124" i="1"/>
  <c r="V1123" i="1"/>
  <c r="V1122" i="1"/>
  <c r="V1121" i="1"/>
  <c r="V1120" i="1"/>
  <c r="V1119" i="1"/>
  <c r="V1118" i="1"/>
  <c r="V1117" i="1"/>
  <c r="V1116" i="1"/>
  <c r="V1115" i="1"/>
  <c r="V1114" i="1"/>
  <c r="V1113" i="1"/>
  <c r="V1112" i="1"/>
  <c r="V1111" i="1"/>
  <c r="V1110" i="1"/>
  <c r="V1109" i="1"/>
  <c r="V1108" i="1"/>
  <c r="V1107" i="1"/>
  <c r="V1106" i="1"/>
  <c r="V1105" i="1"/>
  <c r="V1104" i="1"/>
  <c r="V1103" i="1"/>
  <c r="V1102" i="1"/>
  <c r="V1101" i="1"/>
  <c r="V1100" i="1"/>
  <c r="V1099" i="1"/>
  <c r="V1098" i="1"/>
  <c r="V1097" i="1"/>
  <c r="V1096" i="1"/>
  <c r="V1095" i="1"/>
  <c r="V1094" i="1"/>
  <c r="V1093" i="1"/>
  <c r="V1092" i="1"/>
  <c r="V1091" i="1"/>
  <c r="V1090" i="1"/>
  <c r="V1089" i="1"/>
  <c r="V1088" i="1"/>
  <c r="V1087" i="1"/>
  <c r="V1086" i="1"/>
  <c r="V1085" i="1"/>
  <c r="V1084" i="1"/>
  <c r="V1083" i="1"/>
  <c r="V1082" i="1"/>
  <c r="V1081" i="1"/>
  <c r="V1080" i="1"/>
  <c r="V1079" i="1"/>
  <c r="V1078" i="1"/>
  <c r="V1077" i="1"/>
  <c r="V1076" i="1"/>
  <c r="V1075" i="1"/>
  <c r="V1074" i="1"/>
  <c r="V1073" i="1"/>
  <c r="V1072" i="1"/>
  <c r="V1071" i="1"/>
  <c r="V1070" i="1"/>
  <c r="V1069" i="1"/>
  <c r="V1068" i="1"/>
  <c r="V1067" i="1"/>
  <c r="V1066" i="1"/>
  <c r="V1065" i="1"/>
  <c r="V1064" i="1"/>
  <c r="V1063" i="1"/>
  <c r="V1062" i="1"/>
  <c r="V1061" i="1"/>
  <c r="V1060" i="1"/>
  <c r="V1059" i="1"/>
  <c r="V1058" i="1"/>
  <c r="V1057" i="1"/>
  <c r="V1056" i="1"/>
  <c r="V1055" i="1"/>
  <c r="V1054" i="1"/>
  <c r="V1053" i="1"/>
  <c r="V1052" i="1"/>
  <c r="V1051" i="1"/>
  <c r="V1050" i="1"/>
  <c r="V1049" i="1"/>
  <c r="V1048" i="1"/>
  <c r="V1047" i="1"/>
  <c r="V1046" i="1"/>
  <c r="V1045" i="1"/>
  <c r="V1044" i="1"/>
  <c r="V1043" i="1"/>
  <c r="V1042" i="1"/>
  <c r="V1041" i="1"/>
  <c r="V1040" i="1"/>
  <c r="V1039" i="1"/>
  <c r="V1038" i="1"/>
  <c r="V1037" i="1"/>
  <c r="V1036" i="1"/>
  <c r="V1035" i="1"/>
  <c r="V1034" i="1"/>
  <c r="V1033" i="1"/>
  <c r="V1032" i="1"/>
  <c r="V1031" i="1"/>
  <c r="V1030" i="1"/>
  <c r="V1029" i="1"/>
  <c r="V1028" i="1"/>
  <c r="V1027" i="1"/>
  <c r="V1026" i="1"/>
  <c r="V1025" i="1"/>
  <c r="V1024" i="1"/>
  <c r="V1023" i="1"/>
  <c r="V1022" i="1"/>
  <c r="V1021" i="1"/>
  <c r="V1020" i="1"/>
  <c r="V1019" i="1"/>
  <c r="V1018" i="1"/>
  <c r="V1017" i="1"/>
  <c r="V1016" i="1"/>
  <c r="V1015" i="1"/>
  <c r="V1014" i="1"/>
  <c r="V1013" i="1"/>
  <c r="V1012" i="1"/>
  <c r="V1011" i="1"/>
  <c r="V1010" i="1"/>
  <c r="V1009" i="1"/>
  <c r="V1008" i="1"/>
  <c r="V1007" i="1"/>
  <c r="V1006" i="1"/>
  <c r="V1005" i="1"/>
  <c r="V1004" i="1"/>
  <c r="V1003" i="1"/>
  <c r="V1002" i="1"/>
  <c r="V1001" i="1"/>
  <c r="V1000" i="1"/>
  <c r="V999" i="1"/>
  <c r="V998" i="1"/>
  <c r="V997" i="1"/>
  <c r="V996" i="1"/>
  <c r="V995" i="1"/>
  <c r="V994" i="1"/>
  <c r="V993" i="1"/>
  <c r="V992" i="1"/>
  <c r="V991" i="1"/>
  <c r="V990" i="1"/>
  <c r="V989" i="1"/>
  <c r="V988" i="1"/>
  <c r="V987" i="1"/>
  <c r="V986" i="1"/>
  <c r="V985" i="1"/>
  <c r="V984" i="1"/>
  <c r="V983" i="1"/>
  <c r="V982" i="1"/>
  <c r="V981" i="1"/>
  <c r="V980" i="1"/>
  <c r="V979" i="1"/>
  <c r="V978" i="1"/>
  <c r="V977" i="1"/>
  <c r="V976" i="1"/>
  <c r="V975" i="1"/>
  <c r="V974" i="1"/>
  <c r="V973" i="1"/>
  <c r="V972" i="1"/>
  <c r="V971" i="1"/>
  <c r="V970" i="1"/>
  <c r="V969" i="1"/>
  <c r="V968" i="1"/>
  <c r="V967" i="1"/>
  <c r="V966" i="1"/>
  <c r="V965" i="1"/>
  <c r="V964" i="1"/>
  <c r="V963" i="1"/>
  <c r="V962" i="1"/>
  <c r="V961" i="1"/>
  <c r="V960" i="1"/>
  <c r="V959" i="1"/>
  <c r="V958" i="1"/>
  <c r="V957" i="1"/>
  <c r="V956" i="1"/>
  <c r="V955" i="1"/>
  <c r="V954" i="1"/>
  <c r="V953" i="1"/>
  <c r="V952" i="1"/>
  <c r="V951" i="1"/>
  <c r="V950" i="1"/>
  <c r="V949" i="1"/>
  <c r="V948" i="1"/>
  <c r="V947" i="1"/>
  <c r="V946" i="1"/>
  <c r="V945" i="1"/>
  <c r="V944" i="1"/>
  <c r="V943" i="1"/>
  <c r="V942" i="1"/>
  <c r="V941" i="1"/>
  <c r="V940" i="1"/>
  <c r="V939" i="1"/>
  <c r="V938" i="1"/>
  <c r="V937" i="1"/>
  <c r="V936" i="1"/>
  <c r="V935" i="1"/>
  <c r="V934" i="1"/>
  <c r="V933" i="1"/>
  <c r="V932" i="1"/>
  <c r="V931" i="1"/>
  <c r="V930" i="1"/>
  <c r="V929" i="1"/>
  <c r="V928" i="1"/>
  <c r="V927" i="1"/>
  <c r="V926" i="1"/>
  <c r="V925" i="1"/>
  <c r="V924" i="1"/>
  <c r="V923" i="1"/>
  <c r="V922" i="1"/>
  <c r="V921" i="1"/>
  <c r="V920" i="1"/>
  <c r="V919" i="1"/>
  <c r="V918" i="1"/>
  <c r="V917" i="1"/>
  <c r="V916" i="1"/>
  <c r="V915" i="1"/>
  <c r="V914" i="1"/>
  <c r="V913" i="1"/>
  <c r="V912" i="1"/>
  <c r="V911" i="1"/>
  <c r="V910" i="1"/>
  <c r="V909" i="1"/>
  <c r="V908" i="1"/>
  <c r="V907" i="1"/>
  <c r="V906" i="1"/>
  <c r="V905" i="1"/>
  <c r="V904" i="1"/>
  <c r="V903" i="1"/>
  <c r="V902" i="1"/>
  <c r="V901" i="1"/>
  <c r="V900" i="1"/>
  <c r="V899" i="1"/>
  <c r="V898" i="1"/>
  <c r="V897" i="1"/>
  <c r="V896" i="1"/>
  <c r="V895" i="1"/>
  <c r="V894" i="1"/>
  <c r="V893" i="1"/>
  <c r="V892" i="1"/>
  <c r="V891" i="1"/>
  <c r="V890" i="1"/>
  <c r="V889" i="1"/>
  <c r="V888" i="1"/>
  <c r="V887" i="1"/>
  <c r="V886" i="1"/>
  <c r="V885" i="1"/>
  <c r="V884" i="1"/>
  <c r="V883" i="1"/>
  <c r="V882" i="1"/>
  <c r="V881" i="1"/>
  <c r="V880" i="1"/>
  <c r="V879" i="1"/>
  <c r="V878" i="1"/>
  <c r="V877" i="1"/>
  <c r="V876" i="1"/>
  <c r="V875" i="1"/>
  <c r="V874" i="1"/>
  <c r="V873" i="1"/>
  <c r="V872" i="1"/>
  <c r="V871" i="1"/>
  <c r="V870" i="1"/>
  <c r="V869" i="1"/>
  <c r="V868" i="1"/>
  <c r="V867" i="1"/>
  <c r="V866" i="1"/>
  <c r="V865" i="1"/>
  <c r="V864" i="1"/>
  <c r="V863" i="1"/>
  <c r="V862" i="1"/>
  <c r="V861" i="1"/>
  <c r="V860" i="1"/>
  <c r="V859" i="1"/>
  <c r="V858" i="1"/>
  <c r="V857" i="1"/>
  <c r="V856" i="1"/>
  <c r="V855" i="1"/>
  <c r="V854" i="1"/>
  <c r="V853" i="1"/>
  <c r="V852" i="1"/>
  <c r="V851" i="1"/>
  <c r="V850" i="1"/>
  <c r="V849" i="1"/>
  <c r="V848" i="1"/>
  <c r="V847" i="1"/>
  <c r="V846" i="1"/>
  <c r="V845" i="1"/>
  <c r="V844" i="1"/>
  <c r="V843" i="1"/>
  <c r="V842" i="1"/>
  <c r="V841" i="1"/>
  <c r="V840" i="1"/>
  <c r="V839" i="1"/>
  <c r="V838" i="1"/>
  <c r="V837" i="1"/>
  <c r="V836" i="1"/>
  <c r="V835" i="1"/>
  <c r="V834" i="1"/>
  <c r="V833" i="1"/>
  <c r="V832" i="1"/>
  <c r="V831" i="1"/>
  <c r="V830" i="1"/>
  <c r="V829" i="1"/>
  <c r="V828" i="1"/>
  <c r="V827" i="1"/>
  <c r="V826" i="1"/>
  <c r="V825" i="1"/>
  <c r="V824" i="1"/>
  <c r="V823" i="1"/>
  <c r="V822" i="1"/>
  <c r="V821" i="1"/>
  <c r="V820" i="1"/>
  <c r="V819" i="1"/>
  <c r="V818" i="1"/>
  <c r="V817" i="1"/>
  <c r="V816" i="1"/>
  <c r="V815" i="1"/>
  <c r="V814" i="1"/>
  <c r="V813" i="1"/>
  <c r="V812" i="1"/>
  <c r="V811" i="1"/>
  <c r="V810" i="1"/>
  <c r="V809" i="1"/>
  <c r="V808" i="1"/>
  <c r="V807" i="1"/>
  <c r="V806" i="1"/>
  <c r="V805" i="1"/>
  <c r="V804" i="1"/>
  <c r="V803" i="1"/>
  <c r="V802" i="1"/>
  <c r="V801" i="1"/>
  <c r="V800" i="1"/>
  <c r="V799" i="1"/>
  <c r="V798" i="1"/>
  <c r="V797" i="1"/>
  <c r="V796" i="1"/>
  <c r="V795" i="1"/>
  <c r="V794" i="1"/>
  <c r="V793" i="1"/>
  <c r="V792" i="1"/>
  <c r="V791" i="1"/>
  <c r="V790" i="1"/>
  <c r="V789" i="1"/>
  <c r="V788" i="1"/>
  <c r="V787" i="1"/>
  <c r="V786" i="1"/>
  <c r="V785" i="1"/>
  <c r="V784" i="1"/>
  <c r="V783" i="1"/>
  <c r="V782" i="1"/>
  <c r="V781" i="1"/>
  <c r="V780" i="1"/>
  <c r="V779" i="1"/>
  <c r="V778" i="1"/>
  <c r="V777" i="1"/>
  <c r="V776" i="1"/>
  <c r="V775" i="1"/>
  <c r="V774" i="1"/>
  <c r="V773" i="1"/>
  <c r="V772" i="1"/>
  <c r="V771" i="1"/>
  <c r="V770" i="1"/>
  <c r="V769" i="1"/>
  <c r="V768" i="1"/>
  <c r="V767" i="1"/>
  <c r="V766" i="1"/>
  <c r="V765" i="1"/>
  <c r="V764" i="1"/>
  <c r="V763" i="1"/>
  <c r="V762" i="1"/>
  <c r="V761" i="1"/>
  <c r="V760" i="1"/>
  <c r="V759" i="1"/>
  <c r="V758" i="1"/>
  <c r="V757" i="1"/>
  <c r="V756" i="1"/>
  <c r="V755" i="1"/>
  <c r="V754" i="1"/>
  <c r="V753" i="1"/>
  <c r="V752" i="1"/>
  <c r="V751" i="1"/>
  <c r="V750" i="1"/>
  <c r="V749" i="1"/>
  <c r="V748" i="1"/>
  <c r="V747" i="1"/>
  <c r="V746" i="1"/>
  <c r="V745" i="1"/>
  <c r="V744" i="1"/>
  <c r="V743" i="1"/>
  <c r="V742" i="1"/>
  <c r="V741" i="1"/>
  <c r="V740" i="1"/>
  <c r="V739" i="1"/>
  <c r="V738" i="1"/>
  <c r="V737" i="1"/>
  <c r="V736" i="1"/>
  <c r="V735" i="1"/>
  <c r="V734" i="1"/>
  <c r="V733" i="1"/>
  <c r="V732" i="1"/>
  <c r="V731" i="1"/>
  <c r="V730" i="1"/>
  <c r="V729" i="1"/>
  <c r="V728" i="1"/>
  <c r="V727" i="1"/>
  <c r="V726" i="1"/>
  <c r="V725" i="1"/>
  <c r="V724" i="1"/>
  <c r="V723" i="1"/>
  <c r="V722" i="1"/>
  <c r="V721" i="1"/>
  <c r="V720" i="1"/>
  <c r="V719" i="1"/>
  <c r="V718" i="1"/>
  <c r="V717" i="1"/>
  <c r="V716" i="1"/>
  <c r="V715" i="1"/>
  <c r="V714" i="1"/>
  <c r="V713" i="1"/>
  <c r="V712" i="1"/>
  <c r="V711" i="1"/>
  <c r="V710" i="1"/>
  <c r="V709" i="1"/>
  <c r="V708" i="1"/>
  <c r="V707" i="1"/>
  <c r="V706" i="1"/>
  <c r="V705" i="1"/>
  <c r="V704" i="1"/>
  <c r="V703" i="1"/>
  <c r="V702" i="1"/>
  <c r="V701" i="1"/>
  <c r="V700" i="1"/>
  <c r="V699" i="1"/>
  <c r="V698" i="1"/>
  <c r="V697" i="1"/>
  <c r="V696" i="1"/>
  <c r="V695" i="1"/>
  <c r="V694" i="1"/>
  <c r="V693" i="1"/>
  <c r="V692" i="1"/>
  <c r="V691" i="1"/>
  <c r="V690" i="1"/>
  <c r="V689" i="1"/>
  <c r="V688" i="1"/>
  <c r="V687" i="1"/>
  <c r="V686" i="1"/>
  <c r="V685" i="1"/>
  <c r="V684" i="1"/>
  <c r="V683" i="1"/>
  <c r="V682" i="1"/>
  <c r="V681" i="1"/>
  <c r="V680" i="1"/>
  <c r="V679" i="1"/>
  <c r="V678" i="1"/>
  <c r="V677" i="1"/>
  <c r="V676" i="1"/>
  <c r="V675" i="1"/>
  <c r="V674" i="1"/>
  <c r="V673" i="1"/>
  <c r="V672" i="1"/>
  <c r="V671" i="1"/>
  <c r="V670" i="1"/>
  <c r="V669" i="1"/>
  <c r="V668" i="1"/>
  <c r="V667" i="1"/>
  <c r="V666" i="1"/>
  <c r="V665" i="1"/>
  <c r="V664" i="1"/>
  <c r="V663" i="1"/>
  <c r="V662" i="1"/>
  <c r="V661" i="1"/>
  <c r="V660" i="1"/>
  <c r="V659" i="1"/>
  <c r="V658" i="1"/>
  <c r="V657" i="1"/>
  <c r="V656" i="1"/>
  <c r="V655" i="1"/>
  <c r="V654" i="1"/>
  <c r="V653" i="1"/>
  <c r="V652" i="1"/>
  <c r="V651" i="1"/>
  <c r="V650" i="1"/>
  <c r="V649" i="1"/>
  <c r="V648" i="1"/>
  <c r="V647" i="1"/>
  <c r="V646" i="1"/>
  <c r="V645" i="1"/>
  <c r="V644" i="1"/>
  <c r="V643" i="1"/>
  <c r="V642" i="1"/>
  <c r="V641" i="1"/>
  <c r="V640" i="1"/>
  <c r="V639" i="1"/>
  <c r="V638" i="1"/>
  <c r="V637" i="1"/>
  <c r="V636" i="1"/>
  <c r="V635" i="1"/>
  <c r="V634" i="1"/>
  <c r="V633" i="1"/>
  <c r="V632" i="1"/>
  <c r="V631" i="1"/>
  <c r="V630" i="1"/>
  <c r="V629" i="1"/>
  <c r="V628" i="1"/>
  <c r="V627" i="1"/>
  <c r="V626" i="1"/>
  <c r="V625" i="1"/>
  <c r="V624" i="1"/>
  <c r="V623" i="1"/>
  <c r="V622" i="1"/>
  <c r="V621" i="1"/>
  <c r="V620" i="1"/>
  <c r="V619" i="1"/>
  <c r="V618" i="1"/>
  <c r="V617" i="1"/>
  <c r="V616" i="1"/>
  <c r="V615" i="1"/>
  <c r="V614" i="1"/>
  <c r="V613" i="1"/>
  <c r="V612" i="1"/>
  <c r="V611" i="1"/>
  <c r="V610" i="1"/>
  <c r="V609" i="1"/>
  <c r="V608" i="1"/>
  <c r="V607" i="1"/>
  <c r="V606" i="1"/>
  <c r="V605" i="1"/>
  <c r="V604" i="1"/>
  <c r="V603" i="1"/>
  <c r="V602" i="1"/>
  <c r="V601" i="1"/>
  <c r="V600" i="1"/>
  <c r="V599" i="1"/>
  <c r="V598" i="1"/>
  <c r="V597" i="1"/>
  <c r="V596" i="1"/>
  <c r="V595" i="1"/>
  <c r="V594" i="1"/>
  <c r="V593" i="1"/>
  <c r="V592" i="1"/>
  <c r="V591" i="1"/>
  <c r="V590" i="1"/>
  <c r="V589" i="1"/>
  <c r="V588" i="1"/>
  <c r="V587" i="1"/>
  <c r="V586" i="1"/>
  <c r="V585" i="1"/>
  <c r="V584" i="1"/>
  <c r="V583" i="1"/>
  <c r="V582" i="1"/>
  <c r="V581" i="1"/>
  <c r="V580" i="1"/>
  <c r="V579" i="1"/>
  <c r="V578" i="1"/>
  <c r="V577" i="1"/>
  <c r="V576" i="1"/>
  <c r="V575" i="1"/>
  <c r="V574" i="1"/>
  <c r="V573" i="1"/>
  <c r="V572" i="1"/>
  <c r="V571" i="1"/>
  <c r="V570" i="1"/>
  <c r="V569" i="1"/>
  <c r="V568" i="1"/>
  <c r="V567" i="1"/>
  <c r="V566" i="1"/>
  <c r="V565" i="1"/>
  <c r="V564" i="1"/>
  <c r="V563" i="1"/>
  <c r="V562" i="1"/>
  <c r="V561" i="1"/>
  <c r="V560" i="1"/>
  <c r="V559" i="1"/>
  <c r="V558" i="1"/>
  <c r="V557" i="1"/>
  <c r="V556" i="1"/>
  <c r="V555" i="1"/>
  <c r="V554" i="1"/>
  <c r="V553" i="1"/>
  <c r="V552" i="1"/>
  <c r="V551" i="1"/>
  <c r="V550" i="1"/>
  <c r="V549" i="1"/>
  <c r="V548" i="1"/>
  <c r="V547" i="1"/>
  <c r="V546" i="1"/>
  <c r="V545" i="1"/>
  <c r="V544" i="1"/>
  <c r="V543" i="1"/>
  <c r="V542" i="1"/>
  <c r="V541" i="1"/>
  <c r="V540" i="1"/>
  <c r="V539" i="1"/>
  <c r="V538" i="1"/>
  <c r="V537" i="1"/>
  <c r="V536" i="1"/>
  <c r="V535" i="1"/>
  <c r="V534" i="1"/>
  <c r="V533" i="1"/>
  <c r="V532" i="1"/>
  <c r="V531" i="1"/>
  <c r="V530" i="1"/>
  <c r="V529" i="1"/>
  <c r="V528" i="1"/>
  <c r="V527" i="1"/>
  <c r="V526" i="1"/>
  <c r="V525" i="1"/>
  <c r="V524" i="1"/>
  <c r="V523" i="1"/>
  <c r="V522" i="1"/>
  <c r="V521" i="1"/>
  <c r="V520" i="1"/>
  <c r="V519" i="1"/>
  <c r="V518" i="1"/>
  <c r="V517" i="1"/>
  <c r="V516" i="1"/>
  <c r="V515" i="1"/>
  <c r="V514" i="1"/>
  <c r="V513" i="1"/>
  <c r="V512" i="1"/>
  <c r="V511" i="1"/>
  <c r="V510" i="1"/>
  <c r="V509" i="1"/>
  <c r="V508" i="1"/>
  <c r="V507" i="1"/>
  <c r="V506" i="1"/>
  <c r="V505" i="1"/>
  <c r="V504" i="1"/>
  <c r="V503" i="1"/>
  <c r="V502" i="1"/>
  <c r="V501" i="1"/>
  <c r="V500" i="1"/>
  <c r="V499" i="1"/>
  <c r="V498" i="1"/>
  <c r="V497" i="1"/>
  <c r="V496" i="1"/>
  <c r="V495" i="1"/>
  <c r="V494" i="1"/>
  <c r="V493" i="1"/>
  <c r="V492" i="1"/>
  <c r="V491" i="1"/>
  <c r="V490" i="1"/>
  <c r="V489" i="1"/>
  <c r="V488" i="1"/>
  <c r="V487" i="1"/>
  <c r="V486" i="1"/>
  <c r="V485" i="1"/>
  <c r="V484" i="1"/>
  <c r="V483" i="1"/>
  <c r="V482" i="1"/>
  <c r="V481" i="1"/>
  <c r="V480" i="1"/>
  <c r="V479" i="1"/>
  <c r="V478" i="1"/>
  <c r="V477" i="1"/>
  <c r="V476" i="1"/>
  <c r="V475" i="1"/>
  <c r="V474" i="1"/>
  <c r="V473" i="1"/>
  <c r="V472" i="1"/>
  <c r="V471" i="1"/>
  <c r="V470" i="1"/>
  <c r="V469" i="1"/>
  <c r="V468" i="1"/>
  <c r="V467" i="1"/>
  <c r="V466" i="1"/>
  <c r="V465" i="1"/>
  <c r="V464" i="1"/>
  <c r="V463" i="1"/>
  <c r="V462" i="1"/>
  <c r="V461" i="1"/>
  <c r="V460" i="1"/>
  <c r="V459" i="1"/>
  <c r="V458" i="1"/>
  <c r="V457" i="1"/>
  <c r="V456" i="1"/>
  <c r="V455" i="1"/>
  <c r="V454" i="1"/>
  <c r="V453" i="1"/>
  <c r="V452" i="1"/>
  <c r="V451" i="1"/>
  <c r="V450" i="1"/>
  <c r="V449" i="1"/>
  <c r="V448" i="1"/>
  <c r="V447" i="1"/>
  <c r="V446" i="1"/>
  <c r="V445" i="1"/>
  <c r="V444" i="1"/>
  <c r="V443" i="1"/>
  <c r="V442" i="1"/>
  <c r="V441" i="1"/>
  <c r="V440" i="1"/>
  <c r="V439" i="1"/>
  <c r="V438" i="1"/>
  <c r="V437" i="1"/>
  <c r="V436" i="1"/>
  <c r="V435" i="1"/>
  <c r="V434" i="1"/>
  <c r="V433" i="1"/>
  <c r="V432" i="1"/>
  <c r="V431" i="1"/>
  <c r="V430" i="1"/>
  <c r="V429" i="1"/>
  <c r="V428" i="1"/>
  <c r="V427" i="1"/>
  <c r="V426" i="1"/>
  <c r="V425" i="1"/>
  <c r="V424" i="1"/>
  <c r="V423" i="1"/>
  <c r="V422" i="1"/>
  <c r="V421" i="1"/>
  <c r="V420" i="1"/>
  <c r="V419" i="1"/>
  <c r="V418" i="1"/>
  <c r="V417" i="1"/>
  <c r="V416" i="1"/>
  <c r="V415" i="1"/>
  <c r="V414" i="1"/>
  <c r="V413" i="1"/>
  <c r="V412" i="1"/>
  <c r="V411" i="1"/>
  <c r="V410" i="1"/>
  <c r="V409" i="1"/>
  <c r="V408" i="1"/>
  <c r="V407" i="1"/>
  <c r="V406" i="1"/>
  <c r="V405" i="1"/>
  <c r="V404" i="1"/>
  <c r="V403" i="1"/>
  <c r="V402" i="1"/>
  <c r="V401" i="1"/>
  <c r="V400" i="1"/>
  <c r="V399" i="1"/>
  <c r="V398" i="1"/>
  <c r="V397" i="1"/>
  <c r="V396" i="1"/>
  <c r="V395" i="1"/>
  <c r="V394" i="1"/>
  <c r="V393" i="1"/>
  <c r="V392" i="1"/>
  <c r="V391" i="1"/>
  <c r="V390" i="1"/>
  <c r="V389" i="1"/>
  <c r="V388" i="1"/>
  <c r="V387" i="1"/>
  <c r="V386" i="1"/>
  <c r="V385" i="1"/>
  <c r="V384" i="1"/>
  <c r="V383" i="1"/>
  <c r="V382" i="1"/>
  <c r="V381" i="1"/>
  <c r="V380" i="1"/>
  <c r="V379" i="1"/>
  <c r="V378" i="1"/>
  <c r="V377" i="1"/>
  <c r="V376" i="1"/>
  <c r="V375" i="1"/>
  <c r="V374" i="1"/>
  <c r="V373" i="1"/>
  <c r="V372" i="1"/>
  <c r="V371" i="1"/>
  <c r="V370" i="1"/>
  <c r="V369" i="1"/>
  <c r="V368" i="1"/>
  <c r="V367" i="1"/>
  <c r="V366" i="1"/>
  <c r="V365" i="1"/>
  <c r="V364" i="1"/>
  <c r="V363" i="1"/>
  <c r="V362" i="1"/>
  <c r="V361" i="1"/>
  <c r="V360" i="1"/>
  <c r="V359" i="1"/>
  <c r="V358" i="1"/>
  <c r="V357" i="1"/>
  <c r="V356" i="1"/>
  <c r="V355" i="1"/>
  <c r="V354" i="1"/>
  <c r="V353" i="1"/>
  <c r="V352" i="1"/>
  <c r="V351" i="1"/>
  <c r="V350" i="1"/>
  <c r="V349" i="1"/>
  <c r="V348" i="1"/>
  <c r="V347" i="1"/>
  <c r="V346" i="1"/>
  <c r="V345" i="1"/>
  <c r="V344" i="1"/>
  <c r="V343" i="1"/>
  <c r="V342" i="1"/>
  <c r="V341" i="1"/>
  <c r="V340" i="1"/>
  <c r="V339" i="1"/>
  <c r="V338" i="1"/>
  <c r="V337" i="1"/>
  <c r="V336" i="1"/>
  <c r="V335" i="1"/>
  <c r="V334" i="1"/>
  <c r="V333" i="1"/>
  <c r="V332" i="1"/>
  <c r="V331" i="1"/>
  <c r="V330" i="1"/>
  <c r="V329" i="1"/>
  <c r="V328" i="1"/>
  <c r="V327" i="1"/>
  <c r="V326" i="1"/>
  <c r="V325" i="1"/>
  <c r="V324" i="1"/>
  <c r="V323" i="1"/>
  <c r="V322" i="1"/>
  <c r="V321" i="1"/>
  <c r="V320" i="1"/>
  <c r="V319" i="1"/>
  <c r="V318" i="1"/>
  <c r="V317" i="1"/>
  <c r="V316" i="1"/>
  <c r="V315" i="1"/>
  <c r="V314" i="1"/>
  <c r="V313" i="1"/>
  <c r="V312" i="1"/>
  <c r="V311" i="1"/>
  <c r="V310" i="1"/>
  <c r="V309" i="1"/>
  <c r="V308" i="1"/>
  <c r="V307" i="1"/>
  <c r="V306" i="1"/>
  <c r="V305" i="1"/>
  <c r="V304" i="1"/>
  <c r="V303" i="1"/>
  <c r="V302" i="1"/>
  <c r="V301" i="1"/>
  <c r="V300" i="1"/>
  <c r="V299" i="1"/>
  <c r="V298" i="1"/>
  <c r="V297" i="1"/>
  <c r="V296" i="1"/>
  <c r="V295" i="1"/>
  <c r="V294" i="1"/>
  <c r="V293" i="1"/>
  <c r="V292" i="1"/>
  <c r="V291" i="1"/>
  <c r="V290" i="1"/>
  <c r="V289" i="1"/>
  <c r="V288" i="1"/>
  <c r="V287" i="1"/>
  <c r="V286" i="1"/>
  <c r="V285" i="1"/>
  <c r="V284" i="1"/>
  <c r="V283" i="1"/>
  <c r="V282" i="1"/>
  <c r="V281" i="1"/>
  <c r="V280" i="1"/>
  <c r="V279" i="1"/>
  <c r="V278" i="1"/>
  <c r="V277" i="1"/>
  <c r="V276" i="1"/>
  <c r="V275" i="1"/>
  <c r="V274" i="1"/>
  <c r="V273" i="1"/>
  <c r="V272" i="1"/>
  <c r="V271" i="1"/>
  <c r="V270" i="1"/>
  <c r="V269" i="1"/>
  <c r="V268" i="1"/>
  <c r="V267" i="1"/>
  <c r="V266" i="1"/>
  <c r="V265" i="1"/>
  <c r="V264" i="1"/>
  <c r="V263" i="1"/>
  <c r="V262" i="1"/>
  <c r="V261" i="1"/>
  <c r="V260" i="1"/>
  <c r="V259" i="1"/>
  <c r="V258" i="1"/>
  <c r="V257" i="1"/>
  <c r="V256" i="1"/>
  <c r="V255" i="1"/>
  <c r="V254" i="1"/>
  <c r="V253" i="1"/>
  <c r="V252" i="1"/>
  <c r="V251" i="1"/>
  <c r="V250" i="1"/>
  <c r="V249" i="1"/>
  <c r="V248" i="1"/>
  <c r="V247" i="1"/>
  <c r="V246" i="1"/>
  <c r="V245" i="1"/>
  <c r="V244" i="1"/>
  <c r="V243" i="1"/>
  <c r="V242" i="1"/>
  <c r="V241" i="1"/>
  <c r="V240" i="1"/>
  <c r="V239" i="1"/>
  <c r="V238" i="1"/>
  <c r="V237" i="1"/>
  <c r="V236" i="1"/>
  <c r="V235" i="1"/>
  <c r="V234" i="1"/>
  <c r="V233" i="1"/>
  <c r="V232" i="1"/>
  <c r="V231" i="1"/>
  <c r="V230" i="1"/>
  <c r="V229" i="1"/>
  <c r="V228" i="1"/>
  <c r="V227" i="1"/>
  <c r="V226" i="1"/>
  <c r="V225" i="1"/>
  <c r="V224" i="1"/>
  <c r="V223" i="1"/>
  <c r="V222" i="1"/>
  <c r="V221" i="1"/>
  <c r="V220" i="1"/>
  <c r="V219" i="1"/>
  <c r="V218" i="1"/>
  <c r="V217" i="1"/>
  <c r="V216" i="1"/>
  <c r="V215" i="1"/>
  <c r="V214" i="1"/>
  <c r="V213" i="1"/>
  <c r="V212" i="1"/>
  <c r="V211" i="1"/>
  <c r="V210" i="1"/>
  <c r="V209" i="1"/>
  <c r="V208" i="1"/>
  <c r="V207" i="1"/>
  <c r="V206" i="1"/>
  <c r="V205" i="1"/>
  <c r="V204" i="1"/>
  <c r="V203" i="1"/>
  <c r="V202" i="1"/>
  <c r="V201" i="1"/>
  <c r="V200" i="1"/>
  <c r="V199" i="1"/>
  <c r="V198" i="1"/>
  <c r="V197" i="1"/>
  <c r="V196" i="1"/>
  <c r="V195" i="1"/>
  <c r="V194" i="1"/>
  <c r="V193" i="1"/>
  <c r="V192" i="1"/>
  <c r="V191" i="1"/>
  <c r="V190" i="1"/>
  <c r="V189" i="1"/>
  <c r="V188" i="1"/>
  <c r="V187" i="1"/>
  <c r="V186" i="1"/>
  <c r="V185" i="1"/>
  <c r="V184" i="1"/>
  <c r="V183" i="1"/>
  <c r="V182" i="1"/>
  <c r="V181" i="1"/>
  <c r="V180" i="1"/>
  <c r="V179" i="1"/>
  <c r="V178" i="1"/>
  <c r="V177" i="1"/>
  <c r="V176" i="1"/>
  <c r="V175" i="1"/>
  <c r="V174" i="1"/>
  <c r="V173" i="1"/>
  <c r="V172" i="1"/>
  <c r="V171" i="1"/>
  <c r="V170" i="1"/>
  <c r="V169" i="1"/>
  <c r="V168" i="1"/>
  <c r="V167" i="1"/>
  <c r="V166" i="1"/>
  <c r="V165" i="1"/>
  <c r="V164" i="1"/>
  <c r="V163" i="1"/>
  <c r="V162" i="1"/>
  <c r="V161" i="1"/>
  <c r="V160" i="1"/>
  <c r="V159" i="1"/>
  <c r="V158" i="1"/>
  <c r="V157" i="1"/>
  <c r="V156" i="1"/>
  <c r="V155" i="1"/>
  <c r="V154" i="1"/>
  <c r="V153" i="1"/>
  <c r="V152" i="1"/>
  <c r="V151" i="1"/>
  <c r="V150" i="1"/>
  <c r="V149" i="1"/>
  <c r="V148" i="1"/>
  <c r="V147" i="1"/>
  <c r="V146" i="1"/>
  <c r="V145" i="1"/>
  <c r="V144" i="1"/>
  <c r="V143" i="1"/>
  <c r="V142" i="1"/>
  <c r="V141" i="1"/>
  <c r="V140" i="1"/>
  <c r="V139" i="1"/>
  <c r="V138" i="1"/>
  <c r="V137" i="1"/>
  <c r="V136" i="1"/>
  <c r="V135" i="1"/>
  <c r="V134" i="1"/>
  <c r="V133" i="1"/>
  <c r="V132" i="1"/>
  <c r="V131" i="1"/>
  <c r="V130" i="1"/>
  <c r="V129" i="1"/>
  <c r="V128" i="1"/>
  <c r="V127" i="1"/>
  <c r="V126" i="1"/>
  <c r="V125" i="1"/>
  <c r="V124" i="1"/>
  <c r="V123" i="1"/>
  <c r="V122" i="1"/>
  <c r="V121" i="1"/>
  <c r="V120" i="1"/>
  <c r="V119" i="1"/>
  <c r="V118" i="1"/>
  <c r="V117" i="1"/>
  <c r="V116" i="1"/>
  <c r="V115" i="1"/>
  <c r="V114" i="1"/>
  <c r="V113" i="1"/>
  <c r="V112" i="1"/>
  <c r="V111" i="1"/>
  <c r="V110" i="1"/>
  <c r="V109" i="1"/>
  <c r="V108" i="1"/>
  <c r="V107" i="1"/>
  <c r="V106" i="1"/>
  <c r="V105" i="1"/>
  <c r="V104" i="1"/>
  <c r="V103" i="1"/>
  <c r="V102" i="1"/>
  <c r="V101" i="1"/>
  <c r="V100" i="1"/>
  <c r="V99" i="1"/>
  <c r="V98" i="1"/>
  <c r="V97" i="1"/>
  <c r="V96" i="1"/>
  <c r="V95" i="1"/>
  <c r="V94" i="1"/>
  <c r="V93" i="1"/>
  <c r="V92" i="1"/>
  <c r="V91" i="1"/>
  <c r="V90" i="1"/>
  <c r="V89" i="1"/>
  <c r="V88" i="1"/>
  <c r="V87" i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V3" i="1"/>
  <c r="V2" i="1"/>
  <c r="K2500" i="1"/>
  <c r="P2500" i="1" s="1"/>
  <c r="K2499" i="1"/>
  <c r="P2499" i="1" s="1"/>
  <c r="K2498" i="1"/>
  <c r="P2498" i="1" s="1"/>
  <c r="K2497" i="1"/>
  <c r="P2497" i="1" s="1"/>
  <c r="K2496" i="1"/>
  <c r="P2496" i="1" s="1"/>
  <c r="K2495" i="1"/>
  <c r="P2495" i="1" s="1"/>
  <c r="K2494" i="1"/>
  <c r="P2494" i="1" s="1"/>
  <c r="K2493" i="1"/>
  <c r="P2493" i="1" s="1"/>
  <c r="K2492" i="1"/>
  <c r="P2492" i="1" s="1"/>
  <c r="K2491" i="1"/>
  <c r="P2491" i="1" s="1"/>
  <c r="K2490" i="1"/>
  <c r="P2490" i="1" s="1"/>
  <c r="K2489" i="1"/>
  <c r="P2489" i="1" s="1"/>
  <c r="K2488" i="1"/>
  <c r="P2488" i="1" s="1"/>
  <c r="K2487" i="1"/>
  <c r="P2487" i="1" s="1"/>
  <c r="K2486" i="1"/>
  <c r="P2486" i="1" s="1"/>
  <c r="K2485" i="1"/>
  <c r="P2485" i="1" s="1"/>
  <c r="K2484" i="1"/>
  <c r="P2484" i="1" s="1"/>
  <c r="K2483" i="1"/>
  <c r="P2483" i="1" s="1"/>
  <c r="K2482" i="1"/>
  <c r="P2482" i="1" s="1"/>
  <c r="K2481" i="1"/>
  <c r="P2481" i="1" s="1"/>
  <c r="K2480" i="1"/>
  <c r="P2480" i="1" s="1"/>
  <c r="K2479" i="1"/>
  <c r="P2479" i="1" s="1"/>
  <c r="K2478" i="1"/>
  <c r="P2478" i="1" s="1"/>
  <c r="K2477" i="1"/>
  <c r="P2477" i="1" s="1"/>
  <c r="K2476" i="1"/>
  <c r="P2476" i="1" s="1"/>
  <c r="K2475" i="1"/>
  <c r="P2475" i="1" s="1"/>
  <c r="K2474" i="1"/>
  <c r="P2474" i="1" s="1"/>
  <c r="K2473" i="1"/>
  <c r="P2473" i="1" s="1"/>
  <c r="K2472" i="1"/>
  <c r="P2472" i="1" s="1"/>
  <c r="K2471" i="1"/>
  <c r="P2471" i="1" s="1"/>
  <c r="K2470" i="1"/>
  <c r="P2470" i="1" s="1"/>
  <c r="K2469" i="1"/>
  <c r="P2469" i="1" s="1"/>
  <c r="K2468" i="1"/>
  <c r="P2468" i="1" s="1"/>
  <c r="K2467" i="1"/>
  <c r="P2467" i="1" s="1"/>
  <c r="K2466" i="1"/>
  <c r="P2466" i="1" s="1"/>
  <c r="K2465" i="1"/>
  <c r="P2465" i="1" s="1"/>
  <c r="K2464" i="1"/>
  <c r="P2464" i="1" s="1"/>
  <c r="K2463" i="1"/>
  <c r="P2463" i="1" s="1"/>
  <c r="K2462" i="1"/>
  <c r="P2462" i="1" s="1"/>
  <c r="K2461" i="1"/>
  <c r="P2461" i="1" s="1"/>
  <c r="K2460" i="1"/>
  <c r="P2460" i="1" s="1"/>
  <c r="K2459" i="1"/>
  <c r="P2459" i="1" s="1"/>
  <c r="K2458" i="1"/>
  <c r="P2458" i="1" s="1"/>
  <c r="K2457" i="1"/>
  <c r="P2457" i="1" s="1"/>
  <c r="K2456" i="1"/>
  <c r="P2456" i="1" s="1"/>
  <c r="K2455" i="1"/>
  <c r="P2455" i="1" s="1"/>
  <c r="K2454" i="1"/>
  <c r="P2454" i="1" s="1"/>
  <c r="K2453" i="1"/>
  <c r="P2453" i="1" s="1"/>
  <c r="K2452" i="1"/>
  <c r="P2452" i="1" s="1"/>
  <c r="K2451" i="1"/>
  <c r="P2451" i="1" s="1"/>
  <c r="K2450" i="1"/>
  <c r="P2450" i="1" s="1"/>
  <c r="K2449" i="1"/>
  <c r="P2449" i="1" s="1"/>
  <c r="K2448" i="1"/>
  <c r="P2448" i="1" s="1"/>
  <c r="K2447" i="1"/>
  <c r="P2447" i="1" s="1"/>
  <c r="K2446" i="1"/>
  <c r="P2446" i="1" s="1"/>
  <c r="K2445" i="1"/>
  <c r="P2445" i="1" s="1"/>
  <c r="K2444" i="1"/>
  <c r="P2444" i="1" s="1"/>
  <c r="K2443" i="1"/>
  <c r="P2443" i="1" s="1"/>
  <c r="K2442" i="1"/>
  <c r="P2442" i="1" s="1"/>
  <c r="K2441" i="1"/>
  <c r="P2441" i="1" s="1"/>
  <c r="K2440" i="1"/>
  <c r="P2440" i="1" s="1"/>
  <c r="K2439" i="1"/>
  <c r="P2439" i="1" s="1"/>
  <c r="K2438" i="1"/>
  <c r="P2438" i="1" s="1"/>
  <c r="K2437" i="1"/>
  <c r="P2437" i="1" s="1"/>
  <c r="K2436" i="1"/>
  <c r="P2436" i="1" s="1"/>
  <c r="K2435" i="1"/>
  <c r="P2435" i="1" s="1"/>
  <c r="K2434" i="1"/>
  <c r="P2434" i="1" s="1"/>
  <c r="K2433" i="1"/>
  <c r="P2433" i="1" s="1"/>
  <c r="K2432" i="1"/>
  <c r="P2432" i="1" s="1"/>
  <c r="K2431" i="1"/>
  <c r="P2431" i="1" s="1"/>
  <c r="K2430" i="1"/>
  <c r="P2430" i="1" s="1"/>
  <c r="K2429" i="1"/>
  <c r="P2429" i="1" s="1"/>
  <c r="K2428" i="1"/>
  <c r="P2428" i="1" s="1"/>
  <c r="K2427" i="1"/>
  <c r="P2427" i="1" s="1"/>
  <c r="K2426" i="1"/>
  <c r="P2426" i="1" s="1"/>
  <c r="K2425" i="1"/>
  <c r="P2425" i="1" s="1"/>
  <c r="K2424" i="1"/>
  <c r="P2424" i="1" s="1"/>
  <c r="K2423" i="1"/>
  <c r="P2423" i="1" s="1"/>
  <c r="K2422" i="1"/>
  <c r="P2422" i="1" s="1"/>
  <c r="K2421" i="1"/>
  <c r="P2421" i="1" s="1"/>
  <c r="K2420" i="1"/>
  <c r="P2420" i="1" s="1"/>
  <c r="K2419" i="1"/>
  <c r="P2419" i="1" s="1"/>
  <c r="K2418" i="1"/>
  <c r="P2418" i="1" s="1"/>
  <c r="K2417" i="1"/>
  <c r="P2417" i="1" s="1"/>
  <c r="K2416" i="1"/>
  <c r="P2416" i="1" s="1"/>
  <c r="K2415" i="1"/>
  <c r="P2415" i="1" s="1"/>
  <c r="K2414" i="1"/>
  <c r="P2414" i="1" s="1"/>
  <c r="K2413" i="1"/>
  <c r="P2413" i="1" s="1"/>
  <c r="K2412" i="1"/>
  <c r="P2412" i="1" s="1"/>
  <c r="K2411" i="1"/>
  <c r="P2411" i="1" s="1"/>
  <c r="K2410" i="1"/>
  <c r="P2410" i="1" s="1"/>
  <c r="K2409" i="1"/>
  <c r="P2409" i="1" s="1"/>
  <c r="K2408" i="1"/>
  <c r="P2408" i="1" s="1"/>
  <c r="K2407" i="1"/>
  <c r="P2407" i="1" s="1"/>
  <c r="K2406" i="1"/>
  <c r="P2406" i="1" s="1"/>
  <c r="K2405" i="1"/>
  <c r="P2405" i="1" s="1"/>
  <c r="K2404" i="1"/>
  <c r="P2404" i="1" s="1"/>
  <c r="K2403" i="1"/>
  <c r="P2403" i="1" s="1"/>
  <c r="K2402" i="1"/>
  <c r="P2402" i="1" s="1"/>
  <c r="K2401" i="1"/>
  <c r="P2401" i="1" s="1"/>
  <c r="K2400" i="1"/>
  <c r="P2400" i="1" s="1"/>
  <c r="K2399" i="1"/>
  <c r="P2399" i="1" s="1"/>
  <c r="K2398" i="1"/>
  <c r="P2398" i="1" s="1"/>
  <c r="K2397" i="1"/>
  <c r="P2397" i="1" s="1"/>
  <c r="K2396" i="1"/>
  <c r="P2396" i="1" s="1"/>
  <c r="K2395" i="1"/>
  <c r="P2395" i="1" s="1"/>
  <c r="K2394" i="1"/>
  <c r="P2394" i="1" s="1"/>
  <c r="K2393" i="1"/>
  <c r="P2393" i="1" s="1"/>
  <c r="K2392" i="1"/>
  <c r="P2392" i="1" s="1"/>
  <c r="K2391" i="1"/>
  <c r="P2391" i="1" s="1"/>
  <c r="K2390" i="1"/>
  <c r="P2390" i="1" s="1"/>
  <c r="K2389" i="1"/>
  <c r="P2389" i="1" s="1"/>
  <c r="K2388" i="1"/>
  <c r="P2388" i="1" s="1"/>
  <c r="K2387" i="1"/>
  <c r="P2387" i="1" s="1"/>
  <c r="K2386" i="1"/>
  <c r="P2386" i="1" s="1"/>
  <c r="K2385" i="1"/>
  <c r="P2385" i="1" s="1"/>
  <c r="K2384" i="1"/>
  <c r="P2384" i="1" s="1"/>
  <c r="K2383" i="1"/>
  <c r="P2383" i="1" s="1"/>
  <c r="K2382" i="1"/>
  <c r="P2382" i="1" s="1"/>
  <c r="K2381" i="1"/>
  <c r="P2381" i="1" s="1"/>
  <c r="K2380" i="1"/>
  <c r="P2380" i="1" s="1"/>
  <c r="K2379" i="1"/>
  <c r="P2379" i="1" s="1"/>
  <c r="K2378" i="1"/>
  <c r="P2378" i="1" s="1"/>
  <c r="K2377" i="1"/>
  <c r="P2377" i="1" s="1"/>
  <c r="K2376" i="1"/>
  <c r="P2376" i="1" s="1"/>
  <c r="K2375" i="1"/>
  <c r="P2375" i="1" s="1"/>
  <c r="K2374" i="1"/>
  <c r="P2374" i="1" s="1"/>
  <c r="K2373" i="1"/>
  <c r="P2373" i="1" s="1"/>
  <c r="K2372" i="1"/>
  <c r="P2372" i="1" s="1"/>
  <c r="K2371" i="1"/>
  <c r="P2371" i="1" s="1"/>
  <c r="K2370" i="1"/>
  <c r="P2370" i="1" s="1"/>
  <c r="K2369" i="1"/>
  <c r="P2369" i="1" s="1"/>
  <c r="K2368" i="1"/>
  <c r="P2368" i="1" s="1"/>
  <c r="K2367" i="1"/>
  <c r="P2367" i="1" s="1"/>
  <c r="K2366" i="1"/>
  <c r="P2366" i="1" s="1"/>
  <c r="K2365" i="1"/>
  <c r="P2365" i="1" s="1"/>
  <c r="K2364" i="1"/>
  <c r="P2364" i="1" s="1"/>
  <c r="K2363" i="1"/>
  <c r="P2363" i="1" s="1"/>
  <c r="K2362" i="1"/>
  <c r="P2362" i="1" s="1"/>
  <c r="K2361" i="1"/>
  <c r="P2361" i="1" s="1"/>
  <c r="K2360" i="1"/>
  <c r="P2360" i="1" s="1"/>
  <c r="K2359" i="1"/>
  <c r="P2359" i="1" s="1"/>
  <c r="K2358" i="1"/>
  <c r="P2358" i="1" s="1"/>
  <c r="K2357" i="1"/>
  <c r="P2357" i="1" s="1"/>
  <c r="K2356" i="1"/>
  <c r="P2356" i="1" s="1"/>
  <c r="K2355" i="1"/>
  <c r="P2355" i="1" s="1"/>
  <c r="K2354" i="1"/>
  <c r="P2354" i="1" s="1"/>
  <c r="K2353" i="1"/>
  <c r="P2353" i="1" s="1"/>
  <c r="K2352" i="1"/>
  <c r="P2352" i="1" s="1"/>
  <c r="K2351" i="1"/>
  <c r="P2351" i="1" s="1"/>
  <c r="K2350" i="1"/>
  <c r="P2350" i="1" s="1"/>
  <c r="K2349" i="1"/>
  <c r="P2349" i="1" s="1"/>
  <c r="K2348" i="1"/>
  <c r="P2348" i="1" s="1"/>
  <c r="K2347" i="1"/>
  <c r="P2347" i="1" s="1"/>
  <c r="K2346" i="1"/>
  <c r="P2346" i="1" s="1"/>
  <c r="K2345" i="1"/>
  <c r="P2345" i="1" s="1"/>
  <c r="K2344" i="1"/>
  <c r="P2344" i="1" s="1"/>
  <c r="K2343" i="1"/>
  <c r="P2343" i="1" s="1"/>
  <c r="K2342" i="1"/>
  <c r="P2342" i="1" s="1"/>
  <c r="K2341" i="1"/>
  <c r="P2341" i="1" s="1"/>
  <c r="K2340" i="1"/>
  <c r="P2340" i="1" s="1"/>
  <c r="K2339" i="1"/>
  <c r="P2339" i="1" s="1"/>
  <c r="K2338" i="1"/>
  <c r="P2338" i="1" s="1"/>
  <c r="K2337" i="1"/>
  <c r="P2337" i="1" s="1"/>
  <c r="K2336" i="1"/>
  <c r="P2336" i="1" s="1"/>
  <c r="K2335" i="1"/>
  <c r="P2335" i="1" s="1"/>
  <c r="K2334" i="1"/>
  <c r="P2334" i="1" s="1"/>
  <c r="K2333" i="1"/>
  <c r="P2333" i="1" s="1"/>
  <c r="K2332" i="1"/>
  <c r="P2332" i="1" s="1"/>
  <c r="K2331" i="1"/>
  <c r="P2331" i="1" s="1"/>
  <c r="K2330" i="1"/>
  <c r="P2330" i="1" s="1"/>
  <c r="K2329" i="1"/>
  <c r="P2329" i="1" s="1"/>
  <c r="K2328" i="1"/>
  <c r="P2328" i="1" s="1"/>
  <c r="K2327" i="1"/>
  <c r="P2327" i="1" s="1"/>
  <c r="K2326" i="1"/>
  <c r="P2326" i="1" s="1"/>
  <c r="K2325" i="1"/>
  <c r="P2325" i="1" s="1"/>
  <c r="K2324" i="1"/>
  <c r="P2324" i="1" s="1"/>
  <c r="K2323" i="1"/>
  <c r="P2323" i="1" s="1"/>
  <c r="K2322" i="1"/>
  <c r="P2322" i="1" s="1"/>
  <c r="K2321" i="1"/>
  <c r="P2321" i="1" s="1"/>
  <c r="K2320" i="1"/>
  <c r="P2320" i="1" s="1"/>
  <c r="K2319" i="1"/>
  <c r="P2319" i="1" s="1"/>
  <c r="K2318" i="1"/>
  <c r="P2318" i="1" s="1"/>
  <c r="K2317" i="1"/>
  <c r="P2317" i="1" s="1"/>
  <c r="K2316" i="1"/>
  <c r="P2316" i="1" s="1"/>
  <c r="K2315" i="1"/>
  <c r="P2315" i="1" s="1"/>
  <c r="K2314" i="1"/>
  <c r="P2314" i="1" s="1"/>
  <c r="K2313" i="1"/>
  <c r="P2313" i="1" s="1"/>
  <c r="K2312" i="1"/>
  <c r="P2312" i="1" s="1"/>
  <c r="K2311" i="1"/>
  <c r="P2311" i="1" s="1"/>
  <c r="K2310" i="1"/>
  <c r="P2310" i="1" s="1"/>
  <c r="K2309" i="1"/>
  <c r="P2309" i="1" s="1"/>
  <c r="K2308" i="1"/>
  <c r="P2308" i="1" s="1"/>
  <c r="K2307" i="1"/>
  <c r="P2307" i="1" s="1"/>
  <c r="K2306" i="1"/>
  <c r="P2306" i="1" s="1"/>
  <c r="K2305" i="1"/>
  <c r="P2305" i="1" s="1"/>
  <c r="K2304" i="1"/>
  <c r="P2304" i="1" s="1"/>
  <c r="K2303" i="1"/>
  <c r="P2303" i="1" s="1"/>
  <c r="K2302" i="1"/>
  <c r="P2302" i="1" s="1"/>
  <c r="K2301" i="1"/>
  <c r="P2301" i="1" s="1"/>
  <c r="K2300" i="1"/>
  <c r="P2300" i="1" s="1"/>
  <c r="K2299" i="1"/>
  <c r="P2299" i="1" s="1"/>
  <c r="K2298" i="1"/>
  <c r="P2298" i="1" s="1"/>
  <c r="K2297" i="1"/>
  <c r="P2297" i="1" s="1"/>
  <c r="K2296" i="1"/>
  <c r="P2296" i="1" s="1"/>
  <c r="K2295" i="1"/>
  <c r="P2295" i="1" s="1"/>
  <c r="K2294" i="1"/>
  <c r="P2294" i="1" s="1"/>
  <c r="K2293" i="1"/>
  <c r="P2293" i="1" s="1"/>
  <c r="K2292" i="1"/>
  <c r="P2292" i="1" s="1"/>
  <c r="K2291" i="1"/>
  <c r="P2291" i="1" s="1"/>
  <c r="K2290" i="1"/>
  <c r="P2290" i="1" s="1"/>
  <c r="K2289" i="1"/>
  <c r="P2289" i="1" s="1"/>
  <c r="K2288" i="1"/>
  <c r="P2288" i="1" s="1"/>
  <c r="K2287" i="1"/>
  <c r="P2287" i="1" s="1"/>
  <c r="K2286" i="1"/>
  <c r="P2286" i="1" s="1"/>
  <c r="K2285" i="1"/>
  <c r="P2285" i="1" s="1"/>
  <c r="K2284" i="1"/>
  <c r="P2284" i="1" s="1"/>
  <c r="K2283" i="1"/>
  <c r="P2283" i="1" s="1"/>
  <c r="K2282" i="1"/>
  <c r="P2282" i="1" s="1"/>
  <c r="K2281" i="1"/>
  <c r="P2281" i="1" s="1"/>
  <c r="K2280" i="1"/>
  <c r="P2280" i="1" s="1"/>
  <c r="K2279" i="1"/>
  <c r="P2279" i="1" s="1"/>
  <c r="K2278" i="1"/>
  <c r="P2278" i="1" s="1"/>
  <c r="K2277" i="1"/>
  <c r="P2277" i="1" s="1"/>
  <c r="K2276" i="1"/>
  <c r="P2276" i="1" s="1"/>
  <c r="K2275" i="1"/>
  <c r="P2275" i="1" s="1"/>
  <c r="K2274" i="1"/>
  <c r="P2274" i="1" s="1"/>
  <c r="K2273" i="1"/>
  <c r="P2273" i="1" s="1"/>
  <c r="K2272" i="1"/>
  <c r="P2272" i="1" s="1"/>
  <c r="K2271" i="1"/>
  <c r="P2271" i="1" s="1"/>
  <c r="K2270" i="1"/>
  <c r="P2270" i="1" s="1"/>
  <c r="K2269" i="1"/>
  <c r="P2269" i="1" s="1"/>
  <c r="K2268" i="1"/>
  <c r="P2268" i="1" s="1"/>
  <c r="K2267" i="1"/>
  <c r="P2267" i="1" s="1"/>
  <c r="K2266" i="1"/>
  <c r="P2266" i="1" s="1"/>
  <c r="K2265" i="1"/>
  <c r="P2265" i="1" s="1"/>
  <c r="K2264" i="1"/>
  <c r="P2264" i="1" s="1"/>
  <c r="K2263" i="1"/>
  <c r="P2263" i="1" s="1"/>
  <c r="K2262" i="1"/>
  <c r="P2262" i="1" s="1"/>
  <c r="K2261" i="1"/>
  <c r="P2261" i="1" s="1"/>
  <c r="K2260" i="1"/>
  <c r="P2260" i="1" s="1"/>
  <c r="K2259" i="1"/>
  <c r="P2259" i="1" s="1"/>
  <c r="K2258" i="1"/>
  <c r="P2258" i="1" s="1"/>
  <c r="K2257" i="1"/>
  <c r="P2257" i="1" s="1"/>
  <c r="K2256" i="1"/>
  <c r="P2256" i="1" s="1"/>
  <c r="K2255" i="1"/>
  <c r="P2255" i="1" s="1"/>
  <c r="K2254" i="1"/>
  <c r="P2254" i="1" s="1"/>
  <c r="K2253" i="1"/>
  <c r="P2253" i="1" s="1"/>
  <c r="K2252" i="1"/>
  <c r="P2252" i="1" s="1"/>
  <c r="K2251" i="1"/>
  <c r="P2251" i="1" s="1"/>
  <c r="K2250" i="1"/>
  <c r="P2250" i="1" s="1"/>
  <c r="K2249" i="1"/>
  <c r="P2249" i="1" s="1"/>
  <c r="K2248" i="1"/>
  <c r="P2248" i="1" s="1"/>
  <c r="K2247" i="1"/>
  <c r="P2247" i="1" s="1"/>
  <c r="K2246" i="1"/>
  <c r="P2246" i="1" s="1"/>
  <c r="K2245" i="1"/>
  <c r="P2245" i="1" s="1"/>
  <c r="K2244" i="1"/>
  <c r="P2244" i="1" s="1"/>
  <c r="K2243" i="1"/>
  <c r="P2243" i="1" s="1"/>
  <c r="K2242" i="1"/>
  <c r="P2242" i="1" s="1"/>
  <c r="K2241" i="1"/>
  <c r="P2241" i="1" s="1"/>
  <c r="K2240" i="1"/>
  <c r="P2240" i="1" s="1"/>
  <c r="K2239" i="1"/>
  <c r="P2239" i="1" s="1"/>
  <c r="K2238" i="1"/>
  <c r="P2238" i="1" s="1"/>
  <c r="K2237" i="1"/>
  <c r="P2237" i="1" s="1"/>
  <c r="K2236" i="1"/>
  <c r="P2236" i="1" s="1"/>
  <c r="K2235" i="1"/>
  <c r="P2235" i="1" s="1"/>
  <c r="K2234" i="1"/>
  <c r="P2234" i="1" s="1"/>
  <c r="K2233" i="1"/>
  <c r="P2233" i="1" s="1"/>
  <c r="K2232" i="1"/>
  <c r="P2232" i="1" s="1"/>
  <c r="K2231" i="1"/>
  <c r="P2231" i="1" s="1"/>
  <c r="K2230" i="1"/>
  <c r="P2230" i="1" s="1"/>
  <c r="K2229" i="1"/>
  <c r="P2229" i="1" s="1"/>
  <c r="K2228" i="1"/>
  <c r="P2228" i="1" s="1"/>
  <c r="K2227" i="1"/>
  <c r="P2227" i="1" s="1"/>
  <c r="K2226" i="1"/>
  <c r="P2226" i="1" s="1"/>
  <c r="K2225" i="1"/>
  <c r="P2225" i="1" s="1"/>
  <c r="K2224" i="1"/>
  <c r="P2224" i="1" s="1"/>
  <c r="K2223" i="1"/>
  <c r="P2223" i="1" s="1"/>
  <c r="K2222" i="1"/>
  <c r="P2222" i="1" s="1"/>
  <c r="K2221" i="1"/>
  <c r="P2221" i="1" s="1"/>
  <c r="K2220" i="1"/>
  <c r="P2220" i="1" s="1"/>
  <c r="K2219" i="1"/>
  <c r="P2219" i="1" s="1"/>
  <c r="K2218" i="1"/>
  <c r="P2218" i="1" s="1"/>
  <c r="K2217" i="1"/>
  <c r="P2217" i="1" s="1"/>
  <c r="K2216" i="1"/>
  <c r="P2216" i="1" s="1"/>
  <c r="K2215" i="1"/>
  <c r="P2215" i="1" s="1"/>
  <c r="K2214" i="1"/>
  <c r="P2214" i="1" s="1"/>
  <c r="K2213" i="1"/>
  <c r="P2213" i="1" s="1"/>
  <c r="K2212" i="1"/>
  <c r="P2212" i="1" s="1"/>
  <c r="K2211" i="1"/>
  <c r="P2211" i="1" s="1"/>
  <c r="K2210" i="1"/>
  <c r="P2210" i="1" s="1"/>
  <c r="K2209" i="1"/>
  <c r="P2209" i="1" s="1"/>
  <c r="K2208" i="1"/>
  <c r="P2208" i="1" s="1"/>
  <c r="K2207" i="1"/>
  <c r="P2207" i="1" s="1"/>
  <c r="K2206" i="1"/>
  <c r="P2206" i="1" s="1"/>
  <c r="K2205" i="1"/>
  <c r="P2205" i="1" s="1"/>
  <c r="K2204" i="1"/>
  <c r="P2204" i="1" s="1"/>
  <c r="K2203" i="1"/>
  <c r="P2203" i="1" s="1"/>
  <c r="K2202" i="1"/>
  <c r="P2202" i="1" s="1"/>
  <c r="K2201" i="1"/>
  <c r="P2201" i="1" s="1"/>
  <c r="K2200" i="1"/>
  <c r="P2200" i="1" s="1"/>
  <c r="K2199" i="1"/>
  <c r="P2199" i="1" s="1"/>
  <c r="K2198" i="1"/>
  <c r="P2198" i="1" s="1"/>
  <c r="K2197" i="1"/>
  <c r="P2197" i="1" s="1"/>
  <c r="K2196" i="1"/>
  <c r="P2196" i="1" s="1"/>
  <c r="K2195" i="1"/>
  <c r="P2195" i="1" s="1"/>
  <c r="K2194" i="1"/>
  <c r="P2194" i="1" s="1"/>
  <c r="K2193" i="1"/>
  <c r="P2193" i="1" s="1"/>
  <c r="K2192" i="1"/>
  <c r="P2192" i="1" s="1"/>
  <c r="K2191" i="1"/>
  <c r="P2191" i="1" s="1"/>
  <c r="K2190" i="1"/>
  <c r="P2190" i="1" s="1"/>
  <c r="K2189" i="1"/>
  <c r="P2189" i="1" s="1"/>
  <c r="K2188" i="1"/>
  <c r="P2188" i="1" s="1"/>
  <c r="K2187" i="1"/>
  <c r="P2187" i="1" s="1"/>
  <c r="K2186" i="1"/>
  <c r="P2186" i="1" s="1"/>
  <c r="K2185" i="1"/>
  <c r="P2185" i="1" s="1"/>
  <c r="K2184" i="1"/>
  <c r="P2184" i="1" s="1"/>
  <c r="K2183" i="1"/>
  <c r="P2183" i="1" s="1"/>
  <c r="K2182" i="1"/>
  <c r="P2182" i="1" s="1"/>
  <c r="K2181" i="1"/>
  <c r="P2181" i="1" s="1"/>
  <c r="K2180" i="1"/>
  <c r="P2180" i="1" s="1"/>
  <c r="K2179" i="1"/>
  <c r="P2179" i="1" s="1"/>
  <c r="K2178" i="1"/>
  <c r="P2178" i="1" s="1"/>
  <c r="K2177" i="1"/>
  <c r="P2177" i="1" s="1"/>
  <c r="K2176" i="1"/>
  <c r="P2176" i="1" s="1"/>
  <c r="K2175" i="1"/>
  <c r="P2175" i="1" s="1"/>
  <c r="K2174" i="1"/>
  <c r="P2174" i="1" s="1"/>
  <c r="K2173" i="1"/>
  <c r="P2173" i="1" s="1"/>
  <c r="K2172" i="1"/>
  <c r="P2172" i="1" s="1"/>
  <c r="K2171" i="1"/>
  <c r="P2171" i="1" s="1"/>
  <c r="K2170" i="1"/>
  <c r="P2170" i="1" s="1"/>
  <c r="K2169" i="1"/>
  <c r="P2169" i="1" s="1"/>
  <c r="K2168" i="1"/>
  <c r="P2168" i="1" s="1"/>
  <c r="K2167" i="1"/>
  <c r="P2167" i="1" s="1"/>
  <c r="K2166" i="1"/>
  <c r="P2166" i="1" s="1"/>
  <c r="K2165" i="1"/>
  <c r="P2165" i="1" s="1"/>
  <c r="K2164" i="1"/>
  <c r="P2164" i="1" s="1"/>
  <c r="K2163" i="1"/>
  <c r="P2163" i="1" s="1"/>
  <c r="K2162" i="1"/>
  <c r="P2162" i="1" s="1"/>
  <c r="K2161" i="1"/>
  <c r="P2161" i="1" s="1"/>
  <c r="K2160" i="1"/>
  <c r="P2160" i="1" s="1"/>
  <c r="K2159" i="1"/>
  <c r="P2159" i="1" s="1"/>
  <c r="K2158" i="1"/>
  <c r="P2158" i="1" s="1"/>
  <c r="K2157" i="1"/>
  <c r="P2157" i="1" s="1"/>
  <c r="K2156" i="1"/>
  <c r="P2156" i="1" s="1"/>
  <c r="K2155" i="1"/>
  <c r="P2155" i="1" s="1"/>
  <c r="K2154" i="1"/>
  <c r="P2154" i="1" s="1"/>
  <c r="K2153" i="1"/>
  <c r="P2153" i="1" s="1"/>
  <c r="K2152" i="1"/>
  <c r="P2152" i="1" s="1"/>
  <c r="K2151" i="1"/>
  <c r="P2151" i="1" s="1"/>
  <c r="K2150" i="1"/>
  <c r="P2150" i="1" s="1"/>
  <c r="K2149" i="1"/>
  <c r="P2149" i="1" s="1"/>
  <c r="K2148" i="1"/>
  <c r="P2148" i="1" s="1"/>
  <c r="K2147" i="1"/>
  <c r="P2147" i="1" s="1"/>
  <c r="K2146" i="1"/>
  <c r="P2146" i="1" s="1"/>
  <c r="K2145" i="1"/>
  <c r="P2145" i="1" s="1"/>
  <c r="K2144" i="1"/>
  <c r="P2144" i="1" s="1"/>
  <c r="K2143" i="1"/>
  <c r="P2143" i="1" s="1"/>
  <c r="K2142" i="1"/>
  <c r="P2142" i="1" s="1"/>
  <c r="K2141" i="1"/>
  <c r="P2141" i="1" s="1"/>
  <c r="K2140" i="1"/>
  <c r="P2140" i="1" s="1"/>
  <c r="K2139" i="1"/>
  <c r="P2139" i="1" s="1"/>
  <c r="K2138" i="1"/>
  <c r="P2138" i="1" s="1"/>
  <c r="K2137" i="1"/>
  <c r="P2137" i="1" s="1"/>
  <c r="K2136" i="1"/>
  <c r="P2136" i="1" s="1"/>
  <c r="K2135" i="1"/>
  <c r="P2135" i="1" s="1"/>
  <c r="K2134" i="1"/>
  <c r="P2134" i="1" s="1"/>
  <c r="K2133" i="1"/>
  <c r="P2133" i="1" s="1"/>
  <c r="K2132" i="1"/>
  <c r="P2132" i="1" s="1"/>
  <c r="K2131" i="1"/>
  <c r="P2131" i="1" s="1"/>
  <c r="K2130" i="1"/>
  <c r="P2130" i="1" s="1"/>
  <c r="K2129" i="1"/>
  <c r="P2129" i="1" s="1"/>
  <c r="K2128" i="1"/>
  <c r="P2128" i="1" s="1"/>
  <c r="K2127" i="1"/>
  <c r="P2127" i="1" s="1"/>
  <c r="K2126" i="1"/>
  <c r="P2126" i="1" s="1"/>
  <c r="K2125" i="1"/>
  <c r="P2125" i="1" s="1"/>
  <c r="K2124" i="1"/>
  <c r="P2124" i="1" s="1"/>
  <c r="K2123" i="1"/>
  <c r="P2123" i="1" s="1"/>
  <c r="K2122" i="1"/>
  <c r="P2122" i="1" s="1"/>
  <c r="K2121" i="1"/>
  <c r="P2121" i="1" s="1"/>
  <c r="K2120" i="1"/>
  <c r="P2120" i="1" s="1"/>
  <c r="K2119" i="1"/>
  <c r="P2119" i="1" s="1"/>
  <c r="K2118" i="1"/>
  <c r="P2118" i="1" s="1"/>
  <c r="K2117" i="1"/>
  <c r="P2117" i="1" s="1"/>
  <c r="K2116" i="1"/>
  <c r="P2116" i="1" s="1"/>
  <c r="K2115" i="1"/>
  <c r="P2115" i="1" s="1"/>
  <c r="K2114" i="1"/>
  <c r="P2114" i="1" s="1"/>
  <c r="K2113" i="1"/>
  <c r="P2113" i="1" s="1"/>
  <c r="K2112" i="1"/>
  <c r="P2112" i="1" s="1"/>
  <c r="K2111" i="1"/>
  <c r="P2111" i="1" s="1"/>
  <c r="K2110" i="1"/>
  <c r="P2110" i="1" s="1"/>
  <c r="K2109" i="1"/>
  <c r="P2109" i="1" s="1"/>
  <c r="K2108" i="1"/>
  <c r="P2108" i="1" s="1"/>
  <c r="K2107" i="1"/>
  <c r="P2107" i="1" s="1"/>
  <c r="K2106" i="1"/>
  <c r="P2106" i="1" s="1"/>
  <c r="K2105" i="1"/>
  <c r="P2105" i="1" s="1"/>
  <c r="K2104" i="1"/>
  <c r="P2104" i="1" s="1"/>
  <c r="K2103" i="1"/>
  <c r="P2103" i="1" s="1"/>
  <c r="K2102" i="1"/>
  <c r="P2102" i="1" s="1"/>
  <c r="K2101" i="1"/>
  <c r="P2101" i="1" s="1"/>
  <c r="K2100" i="1"/>
  <c r="P2100" i="1" s="1"/>
  <c r="K2099" i="1"/>
  <c r="P2099" i="1" s="1"/>
  <c r="K2098" i="1"/>
  <c r="P2098" i="1" s="1"/>
  <c r="K2097" i="1"/>
  <c r="P2097" i="1" s="1"/>
  <c r="K2096" i="1"/>
  <c r="P2096" i="1" s="1"/>
  <c r="K2095" i="1"/>
  <c r="P2095" i="1" s="1"/>
  <c r="K2094" i="1"/>
  <c r="P2094" i="1" s="1"/>
  <c r="K2093" i="1"/>
  <c r="P2093" i="1" s="1"/>
  <c r="K2092" i="1"/>
  <c r="P2092" i="1" s="1"/>
  <c r="K2091" i="1"/>
  <c r="P2091" i="1" s="1"/>
  <c r="K2090" i="1"/>
  <c r="P2090" i="1" s="1"/>
  <c r="K2089" i="1"/>
  <c r="P2089" i="1" s="1"/>
  <c r="K2088" i="1"/>
  <c r="P2088" i="1" s="1"/>
  <c r="K2087" i="1"/>
  <c r="P2087" i="1" s="1"/>
  <c r="K2086" i="1"/>
  <c r="P2086" i="1" s="1"/>
  <c r="K2085" i="1"/>
  <c r="P2085" i="1" s="1"/>
  <c r="K2084" i="1"/>
  <c r="P2084" i="1" s="1"/>
  <c r="K2083" i="1"/>
  <c r="P2083" i="1" s="1"/>
  <c r="K2082" i="1"/>
  <c r="P2082" i="1" s="1"/>
  <c r="K2081" i="1"/>
  <c r="P2081" i="1" s="1"/>
  <c r="K2080" i="1"/>
  <c r="P2080" i="1" s="1"/>
  <c r="K2079" i="1"/>
  <c r="P2079" i="1" s="1"/>
  <c r="K2078" i="1"/>
  <c r="P2078" i="1" s="1"/>
  <c r="K2077" i="1"/>
  <c r="P2077" i="1" s="1"/>
  <c r="K2076" i="1"/>
  <c r="P2076" i="1" s="1"/>
  <c r="K2075" i="1"/>
  <c r="P2075" i="1" s="1"/>
  <c r="K2074" i="1"/>
  <c r="P2074" i="1" s="1"/>
  <c r="K2073" i="1"/>
  <c r="P2073" i="1" s="1"/>
  <c r="K2072" i="1"/>
  <c r="P2072" i="1" s="1"/>
  <c r="K2071" i="1"/>
  <c r="P2071" i="1" s="1"/>
  <c r="K2070" i="1"/>
  <c r="P2070" i="1" s="1"/>
  <c r="K2069" i="1"/>
  <c r="P2069" i="1" s="1"/>
  <c r="K2068" i="1"/>
  <c r="P2068" i="1" s="1"/>
  <c r="K2067" i="1"/>
  <c r="P2067" i="1" s="1"/>
  <c r="K2066" i="1"/>
  <c r="P2066" i="1" s="1"/>
  <c r="K2065" i="1"/>
  <c r="P2065" i="1" s="1"/>
  <c r="K2064" i="1"/>
  <c r="P2064" i="1" s="1"/>
  <c r="K2063" i="1"/>
  <c r="P2063" i="1" s="1"/>
  <c r="K2062" i="1"/>
  <c r="P2062" i="1" s="1"/>
  <c r="K2061" i="1"/>
  <c r="P2061" i="1" s="1"/>
  <c r="K2060" i="1"/>
  <c r="P2060" i="1" s="1"/>
  <c r="K2059" i="1"/>
  <c r="P2059" i="1" s="1"/>
  <c r="K2058" i="1"/>
  <c r="P2058" i="1" s="1"/>
  <c r="K2057" i="1"/>
  <c r="P2057" i="1" s="1"/>
  <c r="K2056" i="1"/>
  <c r="P2056" i="1" s="1"/>
  <c r="K2055" i="1"/>
  <c r="P2055" i="1" s="1"/>
  <c r="K2054" i="1"/>
  <c r="P2054" i="1" s="1"/>
  <c r="K2053" i="1"/>
  <c r="P2053" i="1" s="1"/>
  <c r="K2052" i="1"/>
  <c r="P2052" i="1" s="1"/>
  <c r="K2051" i="1"/>
  <c r="P2051" i="1" s="1"/>
  <c r="K2050" i="1"/>
  <c r="P2050" i="1" s="1"/>
  <c r="K2049" i="1"/>
  <c r="P2049" i="1" s="1"/>
  <c r="K2048" i="1"/>
  <c r="P2048" i="1" s="1"/>
  <c r="K2047" i="1"/>
  <c r="P2047" i="1" s="1"/>
  <c r="K2046" i="1"/>
  <c r="P2046" i="1" s="1"/>
  <c r="K2045" i="1"/>
  <c r="P2045" i="1" s="1"/>
  <c r="K2044" i="1"/>
  <c r="P2044" i="1" s="1"/>
  <c r="K2043" i="1"/>
  <c r="P2043" i="1" s="1"/>
  <c r="K2042" i="1"/>
  <c r="P2042" i="1" s="1"/>
  <c r="K2041" i="1"/>
  <c r="P2041" i="1" s="1"/>
  <c r="K2040" i="1"/>
  <c r="P2040" i="1" s="1"/>
  <c r="K2039" i="1"/>
  <c r="P2039" i="1" s="1"/>
  <c r="K2038" i="1"/>
  <c r="P2038" i="1" s="1"/>
  <c r="K2037" i="1"/>
  <c r="P2037" i="1" s="1"/>
  <c r="K2036" i="1"/>
  <c r="P2036" i="1" s="1"/>
  <c r="K2035" i="1"/>
  <c r="P2035" i="1" s="1"/>
  <c r="K2034" i="1"/>
  <c r="P2034" i="1" s="1"/>
  <c r="K2033" i="1"/>
  <c r="P2033" i="1" s="1"/>
  <c r="K2032" i="1"/>
  <c r="P2032" i="1" s="1"/>
  <c r="K2031" i="1"/>
  <c r="P2031" i="1" s="1"/>
  <c r="K2030" i="1"/>
  <c r="P2030" i="1" s="1"/>
  <c r="K2029" i="1"/>
  <c r="P2029" i="1" s="1"/>
  <c r="K2028" i="1"/>
  <c r="P2028" i="1" s="1"/>
  <c r="K2027" i="1"/>
  <c r="P2027" i="1" s="1"/>
  <c r="K2026" i="1"/>
  <c r="P2026" i="1" s="1"/>
  <c r="K2025" i="1"/>
  <c r="P2025" i="1" s="1"/>
  <c r="K2024" i="1"/>
  <c r="P2024" i="1" s="1"/>
  <c r="K2023" i="1"/>
  <c r="P2023" i="1" s="1"/>
  <c r="K2022" i="1"/>
  <c r="P2022" i="1" s="1"/>
  <c r="K2021" i="1"/>
  <c r="P2021" i="1" s="1"/>
  <c r="K2020" i="1"/>
  <c r="P2020" i="1" s="1"/>
  <c r="K2019" i="1"/>
  <c r="P2019" i="1" s="1"/>
  <c r="K2018" i="1"/>
  <c r="P2018" i="1" s="1"/>
  <c r="K2017" i="1"/>
  <c r="P2017" i="1" s="1"/>
  <c r="K2016" i="1"/>
  <c r="P2016" i="1" s="1"/>
  <c r="K2015" i="1"/>
  <c r="P2015" i="1" s="1"/>
  <c r="K2014" i="1"/>
  <c r="P2014" i="1" s="1"/>
  <c r="K2013" i="1"/>
  <c r="P2013" i="1" s="1"/>
  <c r="K2012" i="1"/>
  <c r="P2012" i="1" s="1"/>
  <c r="K2011" i="1"/>
  <c r="P2011" i="1" s="1"/>
  <c r="K2010" i="1"/>
  <c r="P2010" i="1" s="1"/>
  <c r="K2009" i="1"/>
  <c r="P2009" i="1" s="1"/>
  <c r="K2008" i="1"/>
  <c r="P2008" i="1" s="1"/>
  <c r="K2007" i="1"/>
  <c r="P2007" i="1" s="1"/>
  <c r="K2006" i="1"/>
  <c r="P2006" i="1" s="1"/>
  <c r="K2005" i="1"/>
  <c r="P2005" i="1" s="1"/>
  <c r="K2004" i="1"/>
  <c r="P2004" i="1" s="1"/>
  <c r="K2003" i="1"/>
  <c r="P2003" i="1" s="1"/>
  <c r="K2002" i="1"/>
  <c r="P2002" i="1" s="1"/>
  <c r="K2001" i="1"/>
  <c r="P2001" i="1" s="1"/>
  <c r="K2000" i="1"/>
  <c r="P2000" i="1" s="1"/>
  <c r="K1999" i="1"/>
  <c r="P1999" i="1" s="1"/>
  <c r="K1998" i="1"/>
  <c r="P1998" i="1" s="1"/>
  <c r="K1997" i="1"/>
  <c r="P1997" i="1" s="1"/>
  <c r="K1996" i="1"/>
  <c r="P1996" i="1" s="1"/>
  <c r="K1995" i="1"/>
  <c r="P1995" i="1" s="1"/>
  <c r="K1994" i="1"/>
  <c r="P1994" i="1" s="1"/>
  <c r="K1993" i="1"/>
  <c r="P1993" i="1" s="1"/>
  <c r="K1992" i="1"/>
  <c r="P1992" i="1" s="1"/>
  <c r="K1991" i="1"/>
  <c r="P1991" i="1" s="1"/>
  <c r="K1990" i="1"/>
  <c r="P1990" i="1" s="1"/>
  <c r="K1989" i="1"/>
  <c r="P1989" i="1" s="1"/>
  <c r="K1988" i="1"/>
  <c r="P1988" i="1" s="1"/>
  <c r="K1987" i="1"/>
  <c r="P1987" i="1" s="1"/>
  <c r="K1986" i="1"/>
  <c r="P1986" i="1" s="1"/>
  <c r="K1985" i="1"/>
  <c r="P1985" i="1" s="1"/>
  <c r="K1984" i="1"/>
  <c r="P1984" i="1" s="1"/>
  <c r="K1983" i="1"/>
  <c r="P1983" i="1" s="1"/>
  <c r="K1982" i="1"/>
  <c r="P1982" i="1" s="1"/>
  <c r="K1981" i="1"/>
  <c r="P1981" i="1" s="1"/>
  <c r="K1980" i="1"/>
  <c r="P1980" i="1" s="1"/>
  <c r="K1979" i="1"/>
  <c r="P1979" i="1" s="1"/>
  <c r="K1978" i="1"/>
  <c r="P1978" i="1" s="1"/>
  <c r="K1977" i="1"/>
  <c r="P1977" i="1" s="1"/>
  <c r="K1976" i="1"/>
  <c r="P1976" i="1" s="1"/>
  <c r="K1975" i="1"/>
  <c r="P1975" i="1" s="1"/>
  <c r="K1974" i="1"/>
  <c r="P1974" i="1" s="1"/>
  <c r="K1973" i="1"/>
  <c r="P1973" i="1" s="1"/>
  <c r="K1972" i="1"/>
  <c r="P1972" i="1" s="1"/>
  <c r="K1971" i="1"/>
  <c r="P1971" i="1" s="1"/>
  <c r="K1970" i="1"/>
  <c r="P1970" i="1" s="1"/>
  <c r="K1969" i="1"/>
  <c r="P1969" i="1" s="1"/>
  <c r="K1968" i="1"/>
  <c r="P1968" i="1" s="1"/>
  <c r="K1967" i="1"/>
  <c r="P1967" i="1" s="1"/>
  <c r="K1966" i="1"/>
  <c r="P1966" i="1" s="1"/>
  <c r="K1965" i="1"/>
  <c r="P1965" i="1" s="1"/>
  <c r="K1964" i="1"/>
  <c r="P1964" i="1" s="1"/>
  <c r="K1963" i="1"/>
  <c r="P1963" i="1" s="1"/>
  <c r="K1962" i="1"/>
  <c r="P1962" i="1" s="1"/>
  <c r="K1961" i="1"/>
  <c r="P1961" i="1" s="1"/>
  <c r="K1960" i="1"/>
  <c r="P1960" i="1" s="1"/>
  <c r="K1959" i="1"/>
  <c r="P1959" i="1" s="1"/>
  <c r="K1958" i="1"/>
  <c r="P1958" i="1" s="1"/>
  <c r="K1957" i="1"/>
  <c r="P1957" i="1" s="1"/>
  <c r="K1956" i="1"/>
  <c r="P1956" i="1" s="1"/>
  <c r="K1955" i="1"/>
  <c r="P1955" i="1" s="1"/>
  <c r="K1954" i="1"/>
  <c r="P1954" i="1" s="1"/>
  <c r="K1953" i="1"/>
  <c r="P1953" i="1" s="1"/>
  <c r="K1952" i="1"/>
  <c r="P1952" i="1" s="1"/>
  <c r="K1951" i="1"/>
  <c r="P1951" i="1" s="1"/>
  <c r="K1950" i="1"/>
  <c r="P1950" i="1" s="1"/>
  <c r="K1949" i="1"/>
  <c r="P1949" i="1" s="1"/>
  <c r="K1948" i="1"/>
  <c r="P1948" i="1" s="1"/>
  <c r="K1947" i="1"/>
  <c r="P1947" i="1" s="1"/>
  <c r="K1946" i="1"/>
  <c r="P1946" i="1" s="1"/>
  <c r="K1945" i="1"/>
  <c r="P1945" i="1" s="1"/>
  <c r="K1944" i="1"/>
  <c r="P1944" i="1" s="1"/>
  <c r="K1943" i="1"/>
  <c r="P1943" i="1" s="1"/>
  <c r="K1942" i="1"/>
  <c r="P1942" i="1" s="1"/>
  <c r="K1941" i="1"/>
  <c r="P1941" i="1" s="1"/>
  <c r="K1940" i="1"/>
  <c r="P1940" i="1" s="1"/>
  <c r="K1939" i="1"/>
  <c r="P1939" i="1" s="1"/>
  <c r="K1938" i="1"/>
  <c r="P1938" i="1" s="1"/>
  <c r="K1937" i="1"/>
  <c r="P1937" i="1" s="1"/>
  <c r="K1936" i="1"/>
  <c r="P1936" i="1" s="1"/>
  <c r="K1935" i="1"/>
  <c r="P1935" i="1" s="1"/>
  <c r="K1934" i="1"/>
  <c r="P1934" i="1" s="1"/>
  <c r="K1933" i="1"/>
  <c r="P1933" i="1" s="1"/>
  <c r="K1932" i="1"/>
  <c r="P1932" i="1" s="1"/>
  <c r="K1931" i="1"/>
  <c r="P1931" i="1" s="1"/>
  <c r="K1930" i="1"/>
  <c r="P1930" i="1" s="1"/>
  <c r="K1929" i="1"/>
  <c r="P1929" i="1" s="1"/>
  <c r="K1928" i="1"/>
  <c r="P1928" i="1" s="1"/>
  <c r="K1927" i="1"/>
  <c r="P1927" i="1" s="1"/>
  <c r="K1926" i="1"/>
  <c r="P1926" i="1" s="1"/>
  <c r="K1925" i="1"/>
  <c r="P1925" i="1" s="1"/>
  <c r="K1924" i="1"/>
  <c r="P1924" i="1" s="1"/>
  <c r="K1923" i="1"/>
  <c r="P1923" i="1" s="1"/>
  <c r="K1922" i="1"/>
  <c r="P1922" i="1" s="1"/>
  <c r="K1921" i="1"/>
  <c r="P1921" i="1" s="1"/>
  <c r="K1920" i="1"/>
  <c r="P1920" i="1" s="1"/>
  <c r="K1919" i="1"/>
  <c r="P1919" i="1" s="1"/>
  <c r="K1918" i="1"/>
  <c r="P1918" i="1" s="1"/>
  <c r="K1917" i="1"/>
  <c r="P1917" i="1" s="1"/>
  <c r="K1916" i="1"/>
  <c r="P1916" i="1" s="1"/>
  <c r="K1915" i="1"/>
  <c r="P1915" i="1" s="1"/>
  <c r="K1914" i="1"/>
  <c r="P1914" i="1" s="1"/>
  <c r="K1913" i="1"/>
  <c r="P1913" i="1" s="1"/>
  <c r="K1912" i="1"/>
  <c r="P1912" i="1" s="1"/>
  <c r="K1911" i="1"/>
  <c r="P1911" i="1" s="1"/>
  <c r="K1910" i="1"/>
  <c r="P1910" i="1" s="1"/>
  <c r="K1909" i="1"/>
  <c r="P1909" i="1" s="1"/>
  <c r="K1908" i="1"/>
  <c r="P1908" i="1" s="1"/>
  <c r="K1907" i="1"/>
  <c r="P1907" i="1" s="1"/>
  <c r="K1906" i="1"/>
  <c r="P1906" i="1" s="1"/>
  <c r="K1905" i="1"/>
  <c r="P1905" i="1" s="1"/>
  <c r="K1904" i="1"/>
  <c r="P1904" i="1" s="1"/>
  <c r="K1903" i="1"/>
  <c r="P1903" i="1" s="1"/>
  <c r="K1902" i="1"/>
  <c r="P1902" i="1" s="1"/>
  <c r="K1901" i="1"/>
  <c r="P1901" i="1" s="1"/>
  <c r="K1900" i="1"/>
  <c r="P1900" i="1" s="1"/>
  <c r="K1899" i="1"/>
  <c r="P1899" i="1" s="1"/>
  <c r="K1898" i="1"/>
  <c r="P1898" i="1" s="1"/>
  <c r="K1897" i="1"/>
  <c r="P1897" i="1" s="1"/>
  <c r="K1896" i="1"/>
  <c r="P1896" i="1" s="1"/>
  <c r="K1895" i="1"/>
  <c r="P1895" i="1" s="1"/>
  <c r="K1894" i="1"/>
  <c r="P1894" i="1" s="1"/>
  <c r="K1893" i="1"/>
  <c r="P1893" i="1" s="1"/>
  <c r="K1892" i="1"/>
  <c r="P1892" i="1" s="1"/>
  <c r="K1891" i="1"/>
  <c r="P1891" i="1" s="1"/>
  <c r="K1890" i="1"/>
  <c r="P1890" i="1" s="1"/>
  <c r="K1889" i="1"/>
  <c r="P1889" i="1" s="1"/>
  <c r="K1888" i="1"/>
  <c r="P1888" i="1" s="1"/>
  <c r="K1887" i="1"/>
  <c r="P1887" i="1" s="1"/>
  <c r="K1886" i="1"/>
  <c r="P1886" i="1" s="1"/>
  <c r="K1885" i="1"/>
  <c r="P1885" i="1" s="1"/>
  <c r="K1884" i="1"/>
  <c r="P1884" i="1" s="1"/>
  <c r="K1883" i="1"/>
  <c r="P1883" i="1" s="1"/>
  <c r="K1882" i="1"/>
  <c r="P1882" i="1" s="1"/>
  <c r="K1881" i="1"/>
  <c r="P1881" i="1" s="1"/>
  <c r="K1880" i="1"/>
  <c r="P1880" i="1" s="1"/>
  <c r="K1879" i="1"/>
  <c r="P1879" i="1" s="1"/>
  <c r="K1878" i="1"/>
  <c r="P1878" i="1" s="1"/>
  <c r="K1877" i="1"/>
  <c r="P1877" i="1" s="1"/>
  <c r="K1876" i="1"/>
  <c r="P1876" i="1" s="1"/>
  <c r="K1875" i="1"/>
  <c r="P1875" i="1" s="1"/>
  <c r="K1874" i="1"/>
  <c r="P1874" i="1" s="1"/>
  <c r="K1873" i="1"/>
  <c r="P1873" i="1" s="1"/>
  <c r="K1872" i="1"/>
  <c r="P1872" i="1" s="1"/>
  <c r="K1871" i="1"/>
  <c r="P1871" i="1" s="1"/>
  <c r="K1870" i="1"/>
  <c r="P1870" i="1" s="1"/>
  <c r="K1869" i="1"/>
  <c r="P1869" i="1" s="1"/>
  <c r="K1868" i="1"/>
  <c r="P1868" i="1" s="1"/>
  <c r="K1867" i="1"/>
  <c r="P1867" i="1" s="1"/>
  <c r="K1866" i="1"/>
  <c r="P1866" i="1" s="1"/>
  <c r="K1865" i="1"/>
  <c r="P1865" i="1" s="1"/>
  <c r="K1864" i="1"/>
  <c r="P1864" i="1" s="1"/>
  <c r="K1863" i="1"/>
  <c r="P1863" i="1" s="1"/>
  <c r="K1862" i="1"/>
  <c r="P1862" i="1" s="1"/>
  <c r="K1861" i="1"/>
  <c r="P1861" i="1" s="1"/>
  <c r="K1860" i="1"/>
  <c r="P1860" i="1" s="1"/>
  <c r="K1859" i="1"/>
  <c r="P1859" i="1" s="1"/>
  <c r="K1858" i="1"/>
  <c r="P1858" i="1" s="1"/>
  <c r="K1857" i="1"/>
  <c r="P1857" i="1" s="1"/>
  <c r="K1856" i="1"/>
  <c r="P1856" i="1" s="1"/>
  <c r="K1855" i="1"/>
  <c r="P1855" i="1" s="1"/>
  <c r="K1854" i="1"/>
  <c r="P1854" i="1" s="1"/>
  <c r="K1853" i="1"/>
  <c r="P1853" i="1" s="1"/>
  <c r="K1852" i="1"/>
  <c r="P1852" i="1" s="1"/>
  <c r="K1851" i="1"/>
  <c r="P1851" i="1" s="1"/>
  <c r="K1850" i="1"/>
  <c r="P1850" i="1" s="1"/>
  <c r="K1849" i="1"/>
  <c r="P1849" i="1" s="1"/>
  <c r="K1848" i="1"/>
  <c r="P1848" i="1" s="1"/>
  <c r="K1847" i="1"/>
  <c r="P1847" i="1" s="1"/>
  <c r="K1846" i="1"/>
  <c r="P1846" i="1" s="1"/>
  <c r="K1845" i="1"/>
  <c r="P1845" i="1" s="1"/>
  <c r="K1844" i="1"/>
  <c r="P1844" i="1" s="1"/>
  <c r="K1843" i="1"/>
  <c r="P1843" i="1" s="1"/>
  <c r="K1842" i="1"/>
  <c r="P1842" i="1" s="1"/>
  <c r="K1841" i="1"/>
  <c r="P1841" i="1" s="1"/>
  <c r="K1840" i="1"/>
  <c r="P1840" i="1" s="1"/>
  <c r="K1839" i="1"/>
  <c r="P1839" i="1" s="1"/>
  <c r="K1838" i="1"/>
  <c r="P1838" i="1" s="1"/>
  <c r="K1837" i="1"/>
  <c r="P1837" i="1" s="1"/>
  <c r="K1836" i="1"/>
  <c r="P1836" i="1" s="1"/>
  <c r="K1835" i="1"/>
  <c r="P1835" i="1" s="1"/>
  <c r="K1834" i="1"/>
  <c r="P1834" i="1" s="1"/>
  <c r="K1833" i="1"/>
  <c r="P1833" i="1" s="1"/>
  <c r="K1832" i="1"/>
  <c r="P1832" i="1" s="1"/>
  <c r="K1831" i="1"/>
  <c r="P1831" i="1" s="1"/>
  <c r="K1830" i="1"/>
  <c r="P1830" i="1" s="1"/>
  <c r="K1829" i="1"/>
  <c r="P1829" i="1" s="1"/>
  <c r="K1828" i="1"/>
  <c r="P1828" i="1" s="1"/>
  <c r="K1827" i="1"/>
  <c r="P1827" i="1" s="1"/>
  <c r="K1826" i="1"/>
  <c r="P1826" i="1" s="1"/>
  <c r="K1825" i="1"/>
  <c r="P1825" i="1" s="1"/>
  <c r="K1824" i="1"/>
  <c r="P1824" i="1" s="1"/>
  <c r="K1823" i="1"/>
  <c r="P1823" i="1" s="1"/>
  <c r="K1822" i="1"/>
  <c r="P1822" i="1" s="1"/>
  <c r="K1821" i="1"/>
  <c r="P1821" i="1" s="1"/>
  <c r="K1820" i="1"/>
  <c r="P1820" i="1" s="1"/>
  <c r="K1819" i="1"/>
  <c r="P1819" i="1" s="1"/>
  <c r="K1818" i="1"/>
  <c r="P1818" i="1" s="1"/>
  <c r="K1817" i="1"/>
  <c r="P1817" i="1" s="1"/>
  <c r="K1816" i="1"/>
  <c r="P1816" i="1" s="1"/>
  <c r="K1815" i="1"/>
  <c r="P1815" i="1" s="1"/>
  <c r="K1814" i="1"/>
  <c r="P1814" i="1" s="1"/>
  <c r="K1813" i="1"/>
  <c r="P1813" i="1" s="1"/>
  <c r="K1812" i="1"/>
  <c r="P1812" i="1" s="1"/>
  <c r="K1811" i="1"/>
  <c r="P1811" i="1" s="1"/>
  <c r="K1810" i="1"/>
  <c r="P1810" i="1" s="1"/>
  <c r="K1809" i="1"/>
  <c r="P1809" i="1" s="1"/>
  <c r="K1808" i="1"/>
  <c r="P1808" i="1" s="1"/>
  <c r="K1807" i="1"/>
  <c r="P1807" i="1" s="1"/>
  <c r="K1806" i="1"/>
  <c r="P1806" i="1" s="1"/>
  <c r="K1805" i="1"/>
  <c r="P1805" i="1" s="1"/>
  <c r="K1804" i="1"/>
  <c r="P1804" i="1" s="1"/>
  <c r="K1803" i="1"/>
  <c r="P1803" i="1" s="1"/>
  <c r="K1802" i="1"/>
  <c r="P1802" i="1" s="1"/>
  <c r="K1801" i="1"/>
  <c r="P1801" i="1" s="1"/>
  <c r="K1800" i="1"/>
  <c r="P1800" i="1" s="1"/>
  <c r="K1799" i="1"/>
  <c r="P1799" i="1" s="1"/>
  <c r="K1798" i="1"/>
  <c r="P1798" i="1" s="1"/>
  <c r="K1797" i="1"/>
  <c r="P1797" i="1" s="1"/>
  <c r="K1796" i="1"/>
  <c r="P1796" i="1" s="1"/>
  <c r="K1795" i="1"/>
  <c r="P1795" i="1" s="1"/>
  <c r="K1794" i="1"/>
  <c r="P1794" i="1" s="1"/>
  <c r="K1793" i="1"/>
  <c r="P1793" i="1" s="1"/>
  <c r="K1792" i="1"/>
  <c r="P1792" i="1" s="1"/>
  <c r="K1791" i="1"/>
  <c r="P1791" i="1" s="1"/>
  <c r="K1790" i="1"/>
  <c r="P1790" i="1" s="1"/>
  <c r="K1789" i="1"/>
  <c r="P1789" i="1" s="1"/>
  <c r="K1788" i="1"/>
  <c r="P1788" i="1" s="1"/>
  <c r="K1787" i="1"/>
  <c r="P1787" i="1" s="1"/>
  <c r="K1786" i="1"/>
  <c r="P1786" i="1" s="1"/>
  <c r="K1785" i="1"/>
  <c r="P1785" i="1" s="1"/>
  <c r="K1784" i="1"/>
  <c r="P1784" i="1" s="1"/>
  <c r="K1783" i="1"/>
  <c r="P1783" i="1" s="1"/>
  <c r="K1782" i="1"/>
  <c r="P1782" i="1" s="1"/>
  <c r="K1781" i="1"/>
  <c r="P1781" i="1" s="1"/>
  <c r="K1780" i="1"/>
  <c r="P1780" i="1" s="1"/>
  <c r="K1779" i="1"/>
  <c r="P1779" i="1" s="1"/>
  <c r="K1778" i="1"/>
  <c r="P1778" i="1" s="1"/>
  <c r="K1777" i="1"/>
  <c r="P1777" i="1" s="1"/>
  <c r="K1776" i="1"/>
  <c r="P1776" i="1" s="1"/>
  <c r="K1775" i="1"/>
  <c r="P1775" i="1" s="1"/>
  <c r="K1774" i="1"/>
  <c r="P1774" i="1" s="1"/>
  <c r="K1773" i="1"/>
  <c r="P1773" i="1" s="1"/>
  <c r="K1772" i="1"/>
  <c r="P1772" i="1" s="1"/>
  <c r="K1771" i="1"/>
  <c r="P1771" i="1" s="1"/>
  <c r="K1770" i="1"/>
  <c r="P1770" i="1" s="1"/>
  <c r="K1769" i="1"/>
  <c r="P1769" i="1" s="1"/>
  <c r="K1768" i="1"/>
  <c r="P1768" i="1" s="1"/>
  <c r="K1767" i="1"/>
  <c r="P1767" i="1" s="1"/>
  <c r="K1766" i="1"/>
  <c r="P1766" i="1" s="1"/>
  <c r="K1765" i="1"/>
  <c r="P1765" i="1" s="1"/>
  <c r="K1764" i="1"/>
  <c r="P1764" i="1" s="1"/>
  <c r="K1763" i="1"/>
  <c r="P1763" i="1" s="1"/>
  <c r="K1762" i="1"/>
  <c r="P1762" i="1" s="1"/>
  <c r="K1761" i="1"/>
  <c r="P1761" i="1" s="1"/>
  <c r="K1760" i="1"/>
  <c r="P1760" i="1" s="1"/>
  <c r="K1759" i="1"/>
  <c r="P1759" i="1" s="1"/>
  <c r="K1758" i="1"/>
  <c r="P1758" i="1" s="1"/>
  <c r="K1757" i="1"/>
  <c r="P1757" i="1" s="1"/>
  <c r="K1756" i="1"/>
  <c r="P1756" i="1" s="1"/>
  <c r="K1755" i="1"/>
  <c r="P1755" i="1" s="1"/>
  <c r="K1754" i="1"/>
  <c r="P1754" i="1" s="1"/>
  <c r="K1753" i="1"/>
  <c r="P1753" i="1" s="1"/>
  <c r="K1752" i="1"/>
  <c r="P1752" i="1" s="1"/>
  <c r="K1751" i="1"/>
  <c r="P1751" i="1" s="1"/>
  <c r="K1750" i="1"/>
  <c r="P1750" i="1" s="1"/>
  <c r="K1749" i="1"/>
  <c r="P1749" i="1" s="1"/>
  <c r="K1748" i="1"/>
  <c r="P1748" i="1" s="1"/>
  <c r="K1747" i="1"/>
  <c r="P1747" i="1" s="1"/>
  <c r="K1746" i="1"/>
  <c r="P1746" i="1" s="1"/>
  <c r="K1745" i="1"/>
  <c r="P1745" i="1" s="1"/>
  <c r="K1744" i="1"/>
  <c r="P1744" i="1" s="1"/>
  <c r="K1743" i="1"/>
  <c r="P1743" i="1" s="1"/>
  <c r="K1742" i="1"/>
  <c r="P1742" i="1" s="1"/>
  <c r="K1741" i="1"/>
  <c r="P1741" i="1" s="1"/>
  <c r="K1740" i="1"/>
  <c r="P1740" i="1" s="1"/>
  <c r="K1739" i="1"/>
  <c r="P1739" i="1" s="1"/>
  <c r="K1738" i="1"/>
  <c r="P1738" i="1" s="1"/>
  <c r="K1737" i="1"/>
  <c r="P1737" i="1" s="1"/>
  <c r="K1736" i="1"/>
  <c r="P1736" i="1" s="1"/>
  <c r="K1735" i="1"/>
  <c r="P1735" i="1" s="1"/>
  <c r="K1734" i="1"/>
  <c r="P1734" i="1" s="1"/>
  <c r="K1733" i="1"/>
  <c r="P1733" i="1" s="1"/>
  <c r="K1732" i="1"/>
  <c r="P1732" i="1" s="1"/>
  <c r="K1731" i="1"/>
  <c r="P1731" i="1" s="1"/>
  <c r="K1730" i="1"/>
  <c r="P1730" i="1" s="1"/>
  <c r="K1729" i="1"/>
  <c r="P1729" i="1" s="1"/>
  <c r="K1728" i="1"/>
  <c r="P1728" i="1" s="1"/>
  <c r="K1727" i="1"/>
  <c r="P1727" i="1" s="1"/>
  <c r="K1726" i="1"/>
  <c r="P1726" i="1" s="1"/>
  <c r="K1725" i="1"/>
  <c r="P1725" i="1" s="1"/>
  <c r="K1724" i="1"/>
  <c r="P1724" i="1" s="1"/>
  <c r="K1723" i="1"/>
  <c r="P1723" i="1" s="1"/>
  <c r="K1722" i="1"/>
  <c r="P1722" i="1" s="1"/>
  <c r="K1721" i="1"/>
  <c r="P1721" i="1" s="1"/>
  <c r="K1720" i="1"/>
  <c r="P1720" i="1" s="1"/>
  <c r="K1719" i="1"/>
  <c r="P1719" i="1" s="1"/>
  <c r="K1718" i="1"/>
  <c r="P1718" i="1" s="1"/>
  <c r="K1717" i="1"/>
  <c r="P1717" i="1" s="1"/>
  <c r="K1716" i="1"/>
  <c r="P1716" i="1" s="1"/>
  <c r="K1715" i="1"/>
  <c r="P1715" i="1" s="1"/>
  <c r="K1714" i="1"/>
  <c r="P1714" i="1" s="1"/>
  <c r="K1713" i="1"/>
  <c r="P1713" i="1" s="1"/>
  <c r="K1712" i="1"/>
  <c r="P1712" i="1" s="1"/>
  <c r="K1711" i="1"/>
  <c r="P1711" i="1" s="1"/>
  <c r="K1710" i="1"/>
  <c r="P1710" i="1" s="1"/>
  <c r="K1709" i="1"/>
  <c r="P1709" i="1" s="1"/>
  <c r="K1708" i="1"/>
  <c r="P1708" i="1" s="1"/>
  <c r="K1707" i="1"/>
  <c r="P1707" i="1" s="1"/>
  <c r="K1706" i="1"/>
  <c r="P1706" i="1" s="1"/>
  <c r="K1705" i="1"/>
  <c r="P1705" i="1" s="1"/>
  <c r="K1704" i="1"/>
  <c r="P1704" i="1" s="1"/>
  <c r="K1703" i="1"/>
  <c r="P1703" i="1" s="1"/>
  <c r="K1702" i="1"/>
  <c r="P1702" i="1" s="1"/>
  <c r="K1701" i="1"/>
  <c r="P1701" i="1" s="1"/>
  <c r="K1700" i="1"/>
  <c r="P1700" i="1" s="1"/>
  <c r="K1699" i="1"/>
  <c r="P1699" i="1" s="1"/>
  <c r="K1698" i="1"/>
  <c r="P1698" i="1" s="1"/>
  <c r="K1697" i="1"/>
  <c r="P1697" i="1" s="1"/>
  <c r="K1696" i="1"/>
  <c r="P1696" i="1" s="1"/>
  <c r="K1695" i="1"/>
  <c r="P1695" i="1" s="1"/>
  <c r="K1694" i="1"/>
  <c r="P1694" i="1" s="1"/>
  <c r="K1693" i="1"/>
  <c r="P1693" i="1" s="1"/>
  <c r="K1692" i="1"/>
  <c r="P1692" i="1" s="1"/>
  <c r="K1691" i="1"/>
  <c r="P1691" i="1" s="1"/>
  <c r="K1690" i="1"/>
  <c r="P1690" i="1" s="1"/>
  <c r="K1689" i="1"/>
  <c r="P1689" i="1" s="1"/>
  <c r="K1688" i="1"/>
  <c r="P1688" i="1" s="1"/>
  <c r="K1687" i="1"/>
  <c r="P1687" i="1" s="1"/>
  <c r="K1686" i="1"/>
  <c r="P1686" i="1" s="1"/>
  <c r="K1685" i="1"/>
  <c r="P1685" i="1" s="1"/>
  <c r="K1684" i="1"/>
  <c r="P1684" i="1" s="1"/>
  <c r="K1683" i="1"/>
  <c r="P1683" i="1" s="1"/>
  <c r="K1682" i="1"/>
  <c r="P1682" i="1" s="1"/>
  <c r="K1681" i="1"/>
  <c r="P1681" i="1" s="1"/>
  <c r="K1680" i="1"/>
  <c r="P1680" i="1" s="1"/>
  <c r="K1679" i="1"/>
  <c r="P1679" i="1" s="1"/>
  <c r="K1678" i="1"/>
  <c r="P1678" i="1" s="1"/>
  <c r="K1677" i="1"/>
  <c r="P1677" i="1" s="1"/>
  <c r="K1676" i="1"/>
  <c r="P1676" i="1" s="1"/>
  <c r="K1675" i="1"/>
  <c r="P1675" i="1" s="1"/>
  <c r="K1674" i="1"/>
  <c r="P1674" i="1" s="1"/>
  <c r="K1673" i="1"/>
  <c r="P1673" i="1" s="1"/>
  <c r="K1672" i="1"/>
  <c r="P1672" i="1" s="1"/>
  <c r="K1671" i="1"/>
  <c r="P1671" i="1" s="1"/>
  <c r="K1670" i="1"/>
  <c r="P1670" i="1" s="1"/>
  <c r="K1669" i="1"/>
  <c r="P1669" i="1" s="1"/>
  <c r="K1668" i="1"/>
  <c r="P1668" i="1" s="1"/>
  <c r="K1667" i="1"/>
  <c r="P1667" i="1" s="1"/>
  <c r="K1666" i="1"/>
  <c r="P1666" i="1" s="1"/>
  <c r="K1665" i="1"/>
  <c r="P1665" i="1" s="1"/>
  <c r="K1664" i="1"/>
  <c r="P1664" i="1" s="1"/>
  <c r="K1663" i="1"/>
  <c r="P1663" i="1" s="1"/>
  <c r="K1662" i="1"/>
  <c r="P1662" i="1" s="1"/>
  <c r="K1661" i="1"/>
  <c r="P1661" i="1" s="1"/>
  <c r="K1660" i="1"/>
  <c r="P1660" i="1" s="1"/>
  <c r="K1659" i="1"/>
  <c r="P1659" i="1" s="1"/>
  <c r="K1658" i="1"/>
  <c r="P1658" i="1" s="1"/>
  <c r="K1657" i="1"/>
  <c r="P1657" i="1" s="1"/>
  <c r="K1656" i="1"/>
  <c r="P1656" i="1" s="1"/>
  <c r="K1655" i="1"/>
  <c r="P1655" i="1" s="1"/>
  <c r="K1654" i="1"/>
  <c r="P1654" i="1" s="1"/>
  <c r="K1653" i="1"/>
  <c r="P1653" i="1" s="1"/>
  <c r="K1652" i="1"/>
  <c r="P1652" i="1" s="1"/>
  <c r="K1651" i="1"/>
  <c r="P1651" i="1" s="1"/>
  <c r="K1650" i="1"/>
  <c r="P1650" i="1" s="1"/>
  <c r="K1649" i="1"/>
  <c r="P1649" i="1" s="1"/>
  <c r="K1648" i="1"/>
  <c r="P1648" i="1" s="1"/>
  <c r="K1647" i="1"/>
  <c r="P1647" i="1" s="1"/>
  <c r="K1646" i="1"/>
  <c r="P1646" i="1" s="1"/>
  <c r="K1645" i="1"/>
  <c r="P1645" i="1" s="1"/>
  <c r="K1644" i="1"/>
  <c r="P1644" i="1" s="1"/>
  <c r="K1643" i="1"/>
  <c r="P1643" i="1" s="1"/>
  <c r="K1642" i="1"/>
  <c r="P1642" i="1" s="1"/>
  <c r="K1641" i="1"/>
  <c r="P1641" i="1" s="1"/>
  <c r="K1640" i="1"/>
  <c r="P1640" i="1" s="1"/>
  <c r="K1639" i="1"/>
  <c r="P1639" i="1" s="1"/>
  <c r="K1638" i="1"/>
  <c r="P1638" i="1" s="1"/>
  <c r="K1637" i="1"/>
  <c r="P1637" i="1" s="1"/>
  <c r="K1636" i="1"/>
  <c r="P1636" i="1" s="1"/>
  <c r="K1635" i="1"/>
  <c r="P1635" i="1" s="1"/>
  <c r="K1634" i="1"/>
  <c r="P1634" i="1" s="1"/>
  <c r="K1633" i="1"/>
  <c r="P1633" i="1" s="1"/>
  <c r="K1632" i="1"/>
  <c r="P1632" i="1" s="1"/>
  <c r="K1631" i="1"/>
  <c r="P1631" i="1" s="1"/>
  <c r="K1630" i="1"/>
  <c r="P1630" i="1" s="1"/>
  <c r="K1629" i="1"/>
  <c r="P1629" i="1" s="1"/>
  <c r="K1628" i="1"/>
  <c r="P1628" i="1" s="1"/>
  <c r="K1627" i="1"/>
  <c r="P1627" i="1" s="1"/>
  <c r="K1626" i="1"/>
  <c r="P1626" i="1" s="1"/>
  <c r="K1625" i="1"/>
  <c r="P1625" i="1" s="1"/>
  <c r="K1624" i="1"/>
  <c r="P1624" i="1" s="1"/>
  <c r="K1623" i="1"/>
  <c r="P1623" i="1" s="1"/>
  <c r="K1622" i="1"/>
  <c r="P1622" i="1" s="1"/>
  <c r="K1621" i="1"/>
  <c r="P1621" i="1" s="1"/>
  <c r="K1620" i="1"/>
  <c r="P1620" i="1" s="1"/>
  <c r="K1619" i="1"/>
  <c r="P1619" i="1" s="1"/>
  <c r="K1618" i="1"/>
  <c r="P1618" i="1" s="1"/>
  <c r="K1617" i="1"/>
  <c r="P1617" i="1" s="1"/>
  <c r="K1616" i="1"/>
  <c r="P1616" i="1" s="1"/>
  <c r="K1615" i="1"/>
  <c r="P1615" i="1" s="1"/>
  <c r="K1614" i="1"/>
  <c r="P1614" i="1" s="1"/>
  <c r="K1613" i="1"/>
  <c r="P1613" i="1" s="1"/>
  <c r="K1612" i="1"/>
  <c r="P1612" i="1" s="1"/>
  <c r="K1611" i="1"/>
  <c r="P1611" i="1" s="1"/>
  <c r="K1610" i="1"/>
  <c r="P1610" i="1" s="1"/>
  <c r="K1609" i="1"/>
  <c r="P1609" i="1" s="1"/>
  <c r="K1608" i="1"/>
  <c r="P1608" i="1" s="1"/>
  <c r="K1607" i="1"/>
  <c r="P1607" i="1" s="1"/>
  <c r="K1606" i="1"/>
  <c r="P1606" i="1" s="1"/>
  <c r="K1605" i="1"/>
  <c r="P1605" i="1" s="1"/>
  <c r="K1604" i="1"/>
  <c r="P1604" i="1" s="1"/>
  <c r="K1603" i="1"/>
  <c r="P1603" i="1" s="1"/>
  <c r="K1602" i="1"/>
  <c r="P1602" i="1" s="1"/>
  <c r="K1601" i="1"/>
  <c r="P1601" i="1" s="1"/>
  <c r="K1600" i="1"/>
  <c r="P1600" i="1" s="1"/>
  <c r="K1599" i="1"/>
  <c r="P1599" i="1" s="1"/>
  <c r="K1598" i="1"/>
  <c r="P1598" i="1" s="1"/>
  <c r="K1597" i="1"/>
  <c r="P1597" i="1" s="1"/>
  <c r="K1596" i="1"/>
  <c r="P1596" i="1" s="1"/>
  <c r="K1595" i="1"/>
  <c r="P1595" i="1" s="1"/>
  <c r="K1594" i="1"/>
  <c r="P1594" i="1" s="1"/>
  <c r="K1593" i="1"/>
  <c r="P1593" i="1" s="1"/>
  <c r="K1592" i="1"/>
  <c r="P1592" i="1" s="1"/>
  <c r="K1591" i="1"/>
  <c r="P1591" i="1" s="1"/>
  <c r="K1590" i="1"/>
  <c r="P1590" i="1" s="1"/>
  <c r="K1589" i="1"/>
  <c r="P1589" i="1" s="1"/>
  <c r="K1588" i="1"/>
  <c r="P1588" i="1" s="1"/>
  <c r="K1587" i="1"/>
  <c r="P1587" i="1" s="1"/>
  <c r="K1586" i="1"/>
  <c r="P1586" i="1" s="1"/>
  <c r="K1585" i="1"/>
  <c r="P1585" i="1" s="1"/>
  <c r="K1584" i="1"/>
  <c r="P1584" i="1" s="1"/>
  <c r="K1583" i="1"/>
  <c r="P1583" i="1" s="1"/>
  <c r="K1582" i="1"/>
  <c r="P1582" i="1" s="1"/>
  <c r="K1581" i="1"/>
  <c r="P1581" i="1" s="1"/>
  <c r="K1580" i="1"/>
  <c r="P1580" i="1" s="1"/>
  <c r="K1579" i="1"/>
  <c r="P1579" i="1" s="1"/>
  <c r="K1578" i="1"/>
  <c r="P1578" i="1" s="1"/>
  <c r="K1577" i="1"/>
  <c r="P1577" i="1" s="1"/>
  <c r="K1576" i="1"/>
  <c r="P1576" i="1" s="1"/>
  <c r="K1575" i="1"/>
  <c r="P1575" i="1" s="1"/>
  <c r="K1574" i="1"/>
  <c r="P1574" i="1" s="1"/>
  <c r="K1573" i="1"/>
  <c r="P1573" i="1" s="1"/>
  <c r="K1572" i="1"/>
  <c r="P1572" i="1" s="1"/>
  <c r="K1571" i="1"/>
  <c r="P1571" i="1" s="1"/>
  <c r="K1570" i="1"/>
  <c r="P1570" i="1" s="1"/>
  <c r="K1569" i="1"/>
  <c r="P1569" i="1" s="1"/>
  <c r="K1568" i="1"/>
  <c r="P1568" i="1" s="1"/>
  <c r="K1567" i="1"/>
  <c r="P1567" i="1" s="1"/>
  <c r="K1566" i="1"/>
  <c r="P1566" i="1" s="1"/>
  <c r="K1565" i="1"/>
  <c r="P1565" i="1" s="1"/>
  <c r="K1564" i="1"/>
  <c r="P1564" i="1" s="1"/>
  <c r="K1563" i="1"/>
  <c r="P1563" i="1" s="1"/>
  <c r="K1562" i="1"/>
  <c r="P1562" i="1" s="1"/>
  <c r="K1561" i="1"/>
  <c r="P1561" i="1" s="1"/>
  <c r="K1560" i="1"/>
  <c r="P1560" i="1" s="1"/>
  <c r="K1559" i="1"/>
  <c r="P1559" i="1" s="1"/>
  <c r="K1558" i="1"/>
  <c r="P1558" i="1" s="1"/>
  <c r="K1557" i="1"/>
  <c r="P1557" i="1" s="1"/>
  <c r="K1556" i="1"/>
  <c r="P1556" i="1" s="1"/>
  <c r="K1555" i="1"/>
  <c r="P1555" i="1" s="1"/>
  <c r="K1554" i="1"/>
  <c r="P1554" i="1" s="1"/>
  <c r="K1553" i="1"/>
  <c r="P1553" i="1" s="1"/>
  <c r="K1552" i="1"/>
  <c r="P1552" i="1" s="1"/>
  <c r="K1551" i="1"/>
  <c r="P1551" i="1" s="1"/>
  <c r="K1550" i="1"/>
  <c r="P1550" i="1" s="1"/>
  <c r="K1549" i="1"/>
  <c r="P1549" i="1" s="1"/>
  <c r="K1548" i="1"/>
  <c r="P1548" i="1" s="1"/>
  <c r="K1547" i="1"/>
  <c r="P1547" i="1" s="1"/>
  <c r="K1546" i="1"/>
  <c r="P1546" i="1" s="1"/>
  <c r="K1545" i="1"/>
  <c r="P1545" i="1" s="1"/>
  <c r="K1544" i="1"/>
  <c r="P1544" i="1" s="1"/>
  <c r="K1543" i="1"/>
  <c r="P1543" i="1" s="1"/>
  <c r="K1542" i="1"/>
  <c r="P1542" i="1" s="1"/>
  <c r="K1541" i="1"/>
  <c r="P1541" i="1" s="1"/>
  <c r="K1540" i="1"/>
  <c r="P1540" i="1" s="1"/>
  <c r="K1539" i="1"/>
  <c r="P1539" i="1" s="1"/>
  <c r="K1538" i="1"/>
  <c r="P1538" i="1" s="1"/>
  <c r="K1537" i="1"/>
  <c r="P1537" i="1" s="1"/>
  <c r="K1536" i="1"/>
  <c r="P1536" i="1" s="1"/>
  <c r="K1535" i="1"/>
  <c r="P1535" i="1" s="1"/>
  <c r="K1534" i="1"/>
  <c r="P1534" i="1" s="1"/>
  <c r="K1533" i="1"/>
  <c r="P1533" i="1" s="1"/>
  <c r="K1532" i="1"/>
  <c r="P1532" i="1" s="1"/>
  <c r="K1531" i="1"/>
  <c r="P1531" i="1" s="1"/>
  <c r="K1530" i="1"/>
  <c r="P1530" i="1" s="1"/>
  <c r="K1529" i="1"/>
  <c r="P1529" i="1" s="1"/>
  <c r="K1528" i="1"/>
  <c r="P1528" i="1" s="1"/>
  <c r="K1527" i="1"/>
  <c r="P1527" i="1" s="1"/>
  <c r="K1526" i="1"/>
  <c r="P1526" i="1" s="1"/>
  <c r="K1525" i="1"/>
  <c r="P1525" i="1" s="1"/>
  <c r="K1524" i="1"/>
  <c r="P1524" i="1" s="1"/>
  <c r="K1523" i="1"/>
  <c r="P1523" i="1" s="1"/>
  <c r="K1522" i="1"/>
  <c r="P1522" i="1" s="1"/>
  <c r="K1521" i="1"/>
  <c r="P1521" i="1" s="1"/>
  <c r="K1520" i="1"/>
  <c r="P1520" i="1" s="1"/>
  <c r="K1519" i="1"/>
  <c r="P1519" i="1" s="1"/>
  <c r="K1518" i="1"/>
  <c r="P1518" i="1" s="1"/>
  <c r="K1517" i="1"/>
  <c r="P1517" i="1" s="1"/>
  <c r="K1516" i="1"/>
  <c r="P1516" i="1" s="1"/>
  <c r="K1515" i="1"/>
  <c r="P1515" i="1" s="1"/>
  <c r="K1514" i="1"/>
  <c r="P1514" i="1" s="1"/>
  <c r="K1513" i="1"/>
  <c r="P1513" i="1" s="1"/>
  <c r="K1512" i="1"/>
  <c r="P1512" i="1" s="1"/>
  <c r="K1511" i="1"/>
  <c r="P1511" i="1" s="1"/>
  <c r="K1510" i="1"/>
  <c r="P1510" i="1" s="1"/>
  <c r="K1509" i="1"/>
  <c r="P1509" i="1" s="1"/>
  <c r="K1508" i="1"/>
  <c r="P1508" i="1" s="1"/>
  <c r="K1507" i="1"/>
  <c r="P1507" i="1" s="1"/>
  <c r="K1506" i="1"/>
  <c r="P1506" i="1" s="1"/>
  <c r="K1505" i="1"/>
  <c r="P1505" i="1" s="1"/>
  <c r="K1504" i="1"/>
  <c r="P1504" i="1" s="1"/>
  <c r="K1503" i="1"/>
  <c r="P1503" i="1" s="1"/>
  <c r="K1502" i="1"/>
  <c r="P1502" i="1" s="1"/>
  <c r="K1501" i="1"/>
  <c r="P1501" i="1" s="1"/>
  <c r="K1500" i="1"/>
  <c r="P1500" i="1" s="1"/>
  <c r="K1499" i="1"/>
  <c r="P1499" i="1" s="1"/>
  <c r="K1498" i="1"/>
  <c r="P1498" i="1" s="1"/>
  <c r="K1497" i="1"/>
  <c r="P1497" i="1" s="1"/>
  <c r="K1496" i="1"/>
  <c r="P1496" i="1" s="1"/>
  <c r="K1495" i="1"/>
  <c r="P1495" i="1" s="1"/>
  <c r="K1494" i="1"/>
  <c r="P1494" i="1" s="1"/>
  <c r="K1493" i="1"/>
  <c r="P1493" i="1" s="1"/>
  <c r="K1492" i="1"/>
  <c r="P1492" i="1" s="1"/>
  <c r="K1491" i="1"/>
  <c r="P1491" i="1" s="1"/>
  <c r="K1490" i="1"/>
  <c r="P1490" i="1" s="1"/>
  <c r="K1489" i="1"/>
  <c r="P1489" i="1" s="1"/>
  <c r="K1488" i="1"/>
  <c r="P1488" i="1" s="1"/>
  <c r="K1487" i="1"/>
  <c r="P1487" i="1" s="1"/>
  <c r="K1486" i="1"/>
  <c r="P1486" i="1" s="1"/>
  <c r="K1485" i="1"/>
  <c r="P1485" i="1" s="1"/>
  <c r="K1484" i="1"/>
  <c r="P1484" i="1" s="1"/>
  <c r="K1483" i="1"/>
  <c r="P1483" i="1" s="1"/>
  <c r="K1482" i="1"/>
  <c r="P1482" i="1" s="1"/>
  <c r="K1481" i="1"/>
  <c r="P1481" i="1" s="1"/>
  <c r="K1480" i="1"/>
  <c r="P1480" i="1" s="1"/>
  <c r="K1479" i="1"/>
  <c r="P1479" i="1" s="1"/>
  <c r="K1478" i="1"/>
  <c r="P1478" i="1" s="1"/>
  <c r="K1477" i="1"/>
  <c r="P1477" i="1" s="1"/>
  <c r="K1476" i="1"/>
  <c r="P1476" i="1" s="1"/>
  <c r="K1475" i="1"/>
  <c r="P1475" i="1" s="1"/>
  <c r="K1474" i="1"/>
  <c r="P1474" i="1" s="1"/>
  <c r="K1473" i="1"/>
  <c r="P1473" i="1" s="1"/>
  <c r="K1472" i="1"/>
  <c r="P1472" i="1" s="1"/>
  <c r="K1471" i="1"/>
  <c r="P1471" i="1" s="1"/>
  <c r="K1470" i="1"/>
  <c r="P1470" i="1" s="1"/>
  <c r="K1469" i="1"/>
  <c r="P1469" i="1" s="1"/>
  <c r="K1468" i="1"/>
  <c r="P1468" i="1" s="1"/>
  <c r="K1467" i="1"/>
  <c r="P1467" i="1" s="1"/>
  <c r="K1466" i="1"/>
  <c r="P1466" i="1" s="1"/>
  <c r="K1465" i="1"/>
  <c r="P1465" i="1" s="1"/>
  <c r="K1464" i="1"/>
  <c r="P1464" i="1" s="1"/>
  <c r="K1463" i="1"/>
  <c r="P1463" i="1" s="1"/>
  <c r="K1462" i="1"/>
  <c r="P1462" i="1" s="1"/>
  <c r="K1461" i="1"/>
  <c r="P1461" i="1" s="1"/>
  <c r="K1460" i="1"/>
  <c r="P1460" i="1" s="1"/>
  <c r="K1459" i="1"/>
  <c r="P1459" i="1" s="1"/>
  <c r="K1458" i="1"/>
  <c r="P1458" i="1" s="1"/>
  <c r="K1457" i="1"/>
  <c r="P1457" i="1" s="1"/>
  <c r="K1456" i="1"/>
  <c r="P1456" i="1" s="1"/>
  <c r="K1455" i="1"/>
  <c r="P1455" i="1" s="1"/>
  <c r="K1454" i="1"/>
  <c r="P1454" i="1" s="1"/>
  <c r="K1453" i="1"/>
  <c r="P1453" i="1" s="1"/>
  <c r="K1452" i="1"/>
  <c r="P1452" i="1" s="1"/>
  <c r="K1451" i="1"/>
  <c r="P1451" i="1" s="1"/>
  <c r="K1450" i="1"/>
  <c r="P1450" i="1" s="1"/>
  <c r="K1449" i="1"/>
  <c r="P1449" i="1" s="1"/>
  <c r="K1448" i="1"/>
  <c r="P1448" i="1" s="1"/>
  <c r="K1447" i="1"/>
  <c r="P1447" i="1" s="1"/>
  <c r="K1446" i="1"/>
  <c r="P1446" i="1" s="1"/>
  <c r="K1445" i="1"/>
  <c r="P1445" i="1" s="1"/>
  <c r="K1444" i="1"/>
  <c r="P1444" i="1" s="1"/>
  <c r="K1443" i="1"/>
  <c r="P1443" i="1" s="1"/>
  <c r="K1442" i="1"/>
  <c r="P1442" i="1" s="1"/>
  <c r="K1441" i="1"/>
  <c r="P1441" i="1" s="1"/>
  <c r="K1440" i="1"/>
  <c r="P1440" i="1" s="1"/>
  <c r="K1439" i="1"/>
  <c r="P1439" i="1" s="1"/>
  <c r="K1438" i="1"/>
  <c r="P1438" i="1" s="1"/>
  <c r="K1437" i="1"/>
  <c r="P1437" i="1" s="1"/>
  <c r="K1436" i="1"/>
  <c r="P1436" i="1" s="1"/>
  <c r="K1435" i="1"/>
  <c r="P1435" i="1" s="1"/>
  <c r="K1434" i="1"/>
  <c r="P1434" i="1" s="1"/>
  <c r="K1433" i="1"/>
  <c r="P1433" i="1" s="1"/>
  <c r="K1432" i="1"/>
  <c r="P1432" i="1" s="1"/>
  <c r="K1431" i="1"/>
  <c r="P1431" i="1" s="1"/>
  <c r="K1430" i="1"/>
  <c r="P1430" i="1" s="1"/>
  <c r="K1429" i="1"/>
  <c r="P1429" i="1" s="1"/>
  <c r="K1428" i="1"/>
  <c r="P1428" i="1" s="1"/>
  <c r="K1427" i="1"/>
  <c r="P1427" i="1" s="1"/>
  <c r="K1426" i="1"/>
  <c r="P1426" i="1" s="1"/>
  <c r="K1425" i="1"/>
  <c r="P1425" i="1" s="1"/>
  <c r="K1424" i="1"/>
  <c r="P1424" i="1" s="1"/>
  <c r="K1423" i="1"/>
  <c r="P1423" i="1" s="1"/>
  <c r="K1422" i="1"/>
  <c r="P1422" i="1" s="1"/>
  <c r="K1421" i="1"/>
  <c r="P1421" i="1" s="1"/>
  <c r="K1420" i="1"/>
  <c r="P1420" i="1" s="1"/>
  <c r="K1419" i="1"/>
  <c r="P1419" i="1" s="1"/>
  <c r="K1418" i="1"/>
  <c r="P1418" i="1" s="1"/>
  <c r="K1417" i="1"/>
  <c r="P1417" i="1" s="1"/>
  <c r="K1416" i="1"/>
  <c r="P1416" i="1" s="1"/>
  <c r="K1415" i="1"/>
  <c r="P1415" i="1" s="1"/>
  <c r="K1414" i="1"/>
  <c r="P1414" i="1" s="1"/>
  <c r="K1413" i="1"/>
  <c r="P1413" i="1" s="1"/>
  <c r="K1412" i="1"/>
  <c r="P1412" i="1" s="1"/>
  <c r="K1411" i="1"/>
  <c r="P1411" i="1" s="1"/>
  <c r="K1410" i="1"/>
  <c r="P1410" i="1" s="1"/>
  <c r="K1409" i="1"/>
  <c r="P1409" i="1" s="1"/>
  <c r="K1408" i="1"/>
  <c r="P1408" i="1" s="1"/>
  <c r="K1407" i="1"/>
  <c r="P1407" i="1" s="1"/>
  <c r="K1406" i="1"/>
  <c r="P1406" i="1" s="1"/>
  <c r="K1405" i="1"/>
  <c r="P1405" i="1" s="1"/>
  <c r="K1404" i="1"/>
  <c r="P1404" i="1" s="1"/>
  <c r="K1403" i="1"/>
  <c r="P1403" i="1" s="1"/>
  <c r="K1402" i="1"/>
  <c r="P1402" i="1" s="1"/>
  <c r="K1401" i="1"/>
  <c r="P1401" i="1" s="1"/>
  <c r="K1400" i="1"/>
  <c r="P1400" i="1" s="1"/>
  <c r="K1399" i="1"/>
  <c r="P1399" i="1" s="1"/>
  <c r="K1398" i="1"/>
  <c r="P1398" i="1" s="1"/>
  <c r="K1397" i="1"/>
  <c r="P1397" i="1" s="1"/>
  <c r="K1396" i="1"/>
  <c r="P1396" i="1" s="1"/>
  <c r="K1395" i="1"/>
  <c r="P1395" i="1" s="1"/>
  <c r="K1394" i="1"/>
  <c r="P1394" i="1" s="1"/>
  <c r="K1393" i="1"/>
  <c r="P1393" i="1" s="1"/>
  <c r="K1392" i="1"/>
  <c r="P1392" i="1" s="1"/>
  <c r="K1391" i="1"/>
  <c r="P1391" i="1" s="1"/>
  <c r="K1390" i="1"/>
  <c r="P1390" i="1" s="1"/>
  <c r="K1389" i="1"/>
  <c r="P1389" i="1" s="1"/>
  <c r="K1388" i="1"/>
  <c r="P1388" i="1" s="1"/>
  <c r="K1387" i="1"/>
  <c r="P1387" i="1" s="1"/>
  <c r="K1386" i="1"/>
  <c r="P1386" i="1" s="1"/>
  <c r="K1385" i="1"/>
  <c r="P1385" i="1" s="1"/>
  <c r="K1384" i="1"/>
  <c r="P1384" i="1" s="1"/>
  <c r="K1383" i="1"/>
  <c r="P1383" i="1" s="1"/>
  <c r="K1382" i="1"/>
  <c r="P1382" i="1" s="1"/>
  <c r="K1381" i="1"/>
  <c r="P1381" i="1" s="1"/>
  <c r="K1380" i="1"/>
  <c r="P1380" i="1" s="1"/>
  <c r="K1379" i="1"/>
  <c r="P1379" i="1" s="1"/>
  <c r="K1378" i="1"/>
  <c r="P1378" i="1" s="1"/>
  <c r="K1377" i="1"/>
  <c r="P1377" i="1" s="1"/>
  <c r="K1376" i="1"/>
  <c r="P1376" i="1" s="1"/>
  <c r="K1375" i="1"/>
  <c r="P1375" i="1" s="1"/>
  <c r="K1374" i="1"/>
  <c r="P1374" i="1" s="1"/>
  <c r="K1373" i="1"/>
  <c r="P1373" i="1" s="1"/>
  <c r="K1372" i="1"/>
  <c r="P1372" i="1" s="1"/>
  <c r="K1371" i="1"/>
  <c r="P1371" i="1" s="1"/>
  <c r="K1370" i="1"/>
  <c r="P1370" i="1" s="1"/>
  <c r="K1369" i="1"/>
  <c r="P1369" i="1" s="1"/>
  <c r="K1368" i="1"/>
  <c r="P1368" i="1" s="1"/>
  <c r="K1367" i="1"/>
  <c r="P1367" i="1" s="1"/>
  <c r="K1366" i="1"/>
  <c r="P1366" i="1" s="1"/>
  <c r="K1365" i="1"/>
  <c r="P1365" i="1" s="1"/>
  <c r="K1364" i="1"/>
  <c r="P1364" i="1" s="1"/>
  <c r="K1363" i="1"/>
  <c r="P1363" i="1" s="1"/>
  <c r="K1362" i="1"/>
  <c r="P1362" i="1" s="1"/>
  <c r="K1361" i="1"/>
  <c r="P1361" i="1" s="1"/>
  <c r="K1360" i="1"/>
  <c r="P1360" i="1" s="1"/>
  <c r="K1359" i="1"/>
  <c r="P1359" i="1" s="1"/>
  <c r="K1358" i="1"/>
  <c r="P1358" i="1" s="1"/>
  <c r="K1357" i="1"/>
  <c r="P1357" i="1" s="1"/>
  <c r="K1356" i="1"/>
  <c r="P1356" i="1" s="1"/>
  <c r="K1355" i="1"/>
  <c r="P1355" i="1" s="1"/>
  <c r="K1354" i="1"/>
  <c r="P1354" i="1" s="1"/>
  <c r="K1353" i="1"/>
  <c r="P1353" i="1" s="1"/>
  <c r="K1352" i="1"/>
  <c r="P1352" i="1" s="1"/>
  <c r="K1351" i="1"/>
  <c r="P1351" i="1" s="1"/>
  <c r="K1350" i="1"/>
  <c r="P1350" i="1" s="1"/>
  <c r="K1349" i="1"/>
  <c r="P1349" i="1" s="1"/>
  <c r="K1348" i="1"/>
  <c r="P1348" i="1" s="1"/>
  <c r="K1347" i="1"/>
  <c r="P1347" i="1" s="1"/>
  <c r="K1346" i="1"/>
  <c r="P1346" i="1" s="1"/>
  <c r="K1345" i="1"/>
  <c r="P1345" i="1" s="1"/>
  <c r="K1344" i="1"/>
  <c r="P1344" i="1" s="1"/>
  <c r="K1343" i="1"/>
  <c r="P1343" i="1" s="1"/>
  <c r="K1342" i="1"/>
  <c r="P1342" i="1" s="1"/>
  <c r="K1341" i="1"/>
  <c r="P1341" i="1" s="1"/>
  <c r="K1340" i="1"/>
  <c r="P1340" i="1" s="1"/>
  <c r="K1339" i="1"/>
  <c r="P1339" i="1" s="1"/>
  <c r="K1338" i="1"/>
  <c r="P1338" i="1" s="1"/>
  <c r="K1337" i="1"/>
  <c r="P1337" i="1" s="1"/>
  <c r="K1336" i="1"/>
  <c r="P1336" i="1" s="1"/>
  <c r="K1335" i="1"/>
  <c r="P1335" i="1" s="1"/>
  <c r="K1334" i="1"/>
  <c r="P1334" i="1" s="1"/>
  <c r="K1333" i="1"/>
  <c r="P1333" i="1" s="1"/>
  <c r="K1332" i="1"/>
  <c r="P1332" i="1" s="1"/>
  <c r="K1331" i="1"/>
  <c r="P1331" i="1" s="1"/>
  <c r="K1330" i="1"/>
  <c r="P1330" i="1" s="1"/>
  <c r="K1329" i="1"/>
  <c r="P1329" i="1" s="1"/>
  <c r="K1328" i="1"/>
  <c r="P1328" i="1" s="1"/>
  <c r="K1327" i="1"/>
  <c r="P1327" i="1" s="1"/>
  <c r="K1326" i="1"/>
  <c r="P1326" i="1" s="1"/>
  <c r="K1325" i="1"/>
  <c r="P1325" i="1" s="1"/>
  <c r="K1324" i="1"/>
  <c r="P1324" i="1" s="1"/>
  <c r="K1323" i="1"/>
  <c r="P1323" i="1" s="1"/>
  <c r="K1322" i="1"/>
  <c r="P1322" i="1" s="1"/>
  <c r="K1321" i="1"/>
  <c r="P1321" i="1" s="1"/>
  <c r="K1320" i="1"/>
  <c r="P1320" i="1" s="1"/>
  <c r="K1319" i="1"/>
  <c r="P1319" i="1" s="1"/>
  <c r="K1318" i="1"/>
  <c r="P1318" i="1" s="1"/>
  <c r="K1317" i="1"/>
  <c r="P1317" i="1" s="1"/>
  <c r="K1316" i="1"/>
  <c r="P1316" i="1" s="1"/>
  <c r="K1315" i="1"/>
  <c r="P1315" i="1" s="1"/>
  <c r="K1314" i="1"/>
  <c r="P1314" i="1" s="1"/>
  <c r="K1313" i="1"/>
  <c r="P1313" i="1" s="1"/>
  <c r="K1312" i="1"/>
  <c r="P1312" i="1" s="1"/>
  <c r="K1311" i="1"/>
  <c r="P1311" i="1" s="1"/>
  <c r="K1310" i="1"/>
  <c r="P1310" i="1" s="1"/>
  <c r="K1309" i="1"/>
  <c r="P1309" i="1" s="1"/>
  <c r="K1308" i="1"/>
  <c r="P1308" i="1" s="1"/>
  <c r="K1307" i="1"/>
  <c r="P1307" i="1" s="1"/>
  <c r="K1306" i="1"/>
  <c r="P1306" i="1" s="1"/>
  <c r="K1305" i="1"/>
  <c r="P1305" i="1" s="1"/>
  <c r="K1304" i="1"/>
  <c r="P1304" i="1" s="1"/>
  <c r="K1303" i="1"/>
  <c r="P1303" i="1" s="1"/>
  <c r="K1302" i="1"/>
  <c r="P1302" i="1" s="1"/>
  <c r="K1301" i="1"/>
  <c r="P1301" i="1" s="1"/>
  <c r="K1300" i="1"/>
  <c r="P1300" i="1" s="1"/>
  <c r="K1299" i="1"/>
  <c r="P1299" i="1" s="1"/>
  <c r="K1298" i="1"/>
  <c r="P1298" i="1" s="1"/>
  <c r="K1297" i="1"/>
  <c r="P1297" i="1" s="1"/>
  <c r="K1296" i="1"/>
  <c r="P1296" i="1" s="1"/>
  <c r="K1295" i="1"/>
  <c r="P1295" i="1" s="1"/>
  <c r="K1294" i="1"/>
  <c r="P1294" i="1" s="1"/>
  <c r="K1293" i="1"/>
  <c r="P1293" i="1" s="1"/>
  <c r="K1292" i="1"/>
  <c r="P1292" i="1" s="1"/>
  <c r="K1291" i="1"/>
  <c r="P1291" i="1" s="1"/>
  <c r="K1290" i="1"/>
  <c r="P1290" i="1" s="1"/>
  <c r="K1289" i="1"/>
  <c r="P1289" i="1" s="1"/>
  <c r="K1288" i="1"/>
  <c r="P1288" i="1" s="1"/>
  <c r="K1287" i="1"/>
  <c r="P1287" i="1" s="1"/>
  <c r="K1286" i="1"/>
  <c r="P1286" i="1" s="1"/>
  <c r="K1285" i="1"/>
  <c r="P1285" i="1" s="1"/>
  <c r="K1284" i="1"/>
  <c r="P1284" i="1" s="1"/>
  <c r="K1283" i="1"/>
  <c r="P1283" i="1" s="1"/>
  <c r="K1282" i="1"/>
  <c r="P1282" i="1" s="1"/>
  <c r="K1281" i="1"/>
  <c r="P1281" i="1" s="1"/>
  <c r="K1280" i="1"/>
  <c r="P1280" i="1" s="1"/>
  <c r="K1279" i="1"/>
  <c r="P1279" i="1" s="1"/>
  <c r="K1278" i="1"/>
  <c r="P1278" i="1" s="1"/>
  <c r="K1277" i="1"/>
  <c r="P1277" i="1" s="1"/>
  <c r="K1276" i="1"/>
  <c r="P1276" i="1" s="1"/>
  <c r="K1275" i="1"/>
  <c r="P1275" i="1" s="1"/>
  <c r="K1274" i="1"/>
  <c r="P1274" i="1" s="1"/>
  <c r="K1273" i="1"/>
  <c r="P1273" i="1" s="1"/>
  <c r="K1272" i="1"/>
  <c r="P1272" i="1" s="1"/>
  <c r="K1271" i="1"/>
  <c r="P1271" i="1" s="1"/>
  <c r="K1270" i="1"/>
  <c r="P1270" i="1" s="1"/>
  <c r="K1269" i="1"/>
  <c r="P1269" i="1" s="1"/>
  <c r="K1268" i="1"/>
  <c r="P1268" i="1" s="1"/>
  <c r="K1267" i="1"/>
  <c r="P1267" i="1" s="1"/>
  <c r="K1266" i="1"/>
  <c r="P1266" i="1" s="1"/>
  <c r="K1265" i="1"/>
  <c r="P1265" i="1" s="1"/>
  <c r="K1264" i="1"/>
  <c r="P1264" i="1" s="1"/>
  <c r="K1263" i="1"/>
  <c r="P1263" i="1" s="1"/>
  <c r="K1262" i="1"/>
  <c r="P1262" i="1" s="1"/>
  <c r="K1261" i="1"/>
  <c r="P1261" i="1" s="1"/>
  <c r="K1260" i="1"/>
  <c r="P1260" i="1" s="1"/>
  <c r="K1259" i="1"/>
  <c r="P1259" i="1" s="1"/>
  <c r="K1258" i="1"/>
  <c r="P1258" i="1" s="1"/>
  <c r="K1257" i="1"/>
  <c r="P1257" i="1" s="1"/>
  <c r="K1256" i="1"/>
  <c r="P1256" i="1" s="1"/>
  <c r="K1255" i="1"/>
  <c r="P1255" i="1" s="1"/>
  <c r="K1254" i="1"/>
  <c r="P1254" i="1" s="1"/>
  <c r="K1253" i="1"/>
  <c r="P1253" i="1" s="1"/>
  <c r="K1252" i="1"/>
  <c r="P1252" i="1" s="1"/>
  <c r="K1251" i="1"/>
  <c r="P1251" i="1" s="1"/>
  <c r="K1250" i="1"/>
  <c r="P1250" i="1" s="1"/>
  <c r="K1249" i="1"/>
  <c r="P1249" i="1" s="1"/>
  <c r="K1248" i="1"/>
  <c r="P1248" i="1" s="1"/>
  <c r="K1247" i="1"/>
  <c r="P1247" i="1" s="1"/>
  <c r="K1246" i="1"/>
  <c r="P1246" i="1" s="1"/>
  <c r="K1245" i="1"/>
  <c r="P1245" i="1" s="1"/>
  <c r="K1244" i="1"/>
  <c r="P1244" i="1" s="1"/>
  <c r="K1243" i="1"/>
  <c r="P1243" i="1" s="1"/>
  <c r="K1242" i="1"/>
  <c r="P1242" i="1" s="1"/>
  <c r="K1241" i="1"/>
  <c r="P1241" i="1" s="1"/>
  <c r="K1240" i="1"/>
  <c r="P1240" i="1" s="1"/>
  <c r="K1239" i="1"/>
  <c r="P1239" i="1" s="1"/>
  <c r="K1238" i="1"/>
  <c r="P1238" i="1" s="1"/>
  <c r="K1237" i="1"/>
  <c r="P1237" i="1" s="1"/>
  <c r="K1236" i="1"/>
  <c r="P1236" i="1" s="1"/>
  <c r="K1235" i="1"/>
  <c r="P1235" i="1" s="1"/>
  <c r="K1234" i="1"/>
  <c r="P1234" i="1" s="1"/>
  <c r="K1233" i="1"/>
  <c r="P1233" i="1" s="1"/>
  <c r="K1232" i="1"/>
  <c r="P1232" i="1" s="1"/>
  <c r="K1231" i="1"/>
  <c r="P1231" i="1" s="1"/>
  <c r="K1230" i="1"/>
  <c r="P1230" i="1" s="1"/>
  <c r="K1229" i="1"/>
  <c r="P1229" i="1" s="1"/>
  <c r="K1228" i="1"/>
  <c r="P1228" i="1" s="1"/>
  <c r="K1227" i="1"/>
  <c r="P1227" i="1" s="1"/>
  <c r="K1226" i="1"/>
  <c r="P1226" i="1" s="1"/>
  <c r="K1225" i="1"/>
  <c r="P1225" i="1" s="1"/>
  <c r="K1224" i="1"/>
  <c r="P1224" i="1" s="1"/>
  <c r="K1223" i="1"/>
  <c r="P1223" i="1" s="1"/>
  <c r="K1222" i="1"/>
  <c r="P1222" i="1" s="1"/>
  <c r="K1221" i="1"/>
  <c r="P1221" i="1" s="1"/>
  <c r="K1220" i="1"/>
  <c r="P1220" i="1" s="1"/>
  <c r="K1219" i="1"/>
  <c r="P1219" i="1" s="1"/>
  <c r="K1218" i="1"/>
  <c r="P1218" i="1" s="1"/>
  <c r="K1217" i="1"/>
  <c r="P1217" i="1" s="1"/>
  <c r="K1216" i="1"/>
  <c r="P1216" i="1" s="1"/>
  <c r="K1215" i="1"/>
  <c r="P1215" i="1" s="1"/>
  <c r="K1214" i="1"/>
  <c r="P1214" i="1" s="1"/>
  <c r="K1213" i="1"/>
  <c r="P1213" i="1" s="1"/>
  <c r="K1212" i="1"/>
  <c r="P1212" i="1" s="1"/>
  <c r="K1211" i="1"/>
  <c r="P1211" i="1" s="1"/>
  <c r="K1210" i="1"/>
  <c r="P1210" i="1" s="1"/>
  <c r="K1209" i="1"/>
  <c r="P1209" i="1" s="1"/>
  <c r="K1208" i="1"/>
  <c r="P1208" i="1" s="1"/>
  <c r="K1207" i="1"/>
  <c r="P1207" i="1" s="1"/>
  <c r="K1206" i="1"/>
  <c r="P1206" i="1" s="1"/>
  <c r="K1205" i="1"/>
  <c r="P1205" i="1" s="1"/>
  <c r="K1204" i="1"/>
  <c r="P1204" i="1" s="1"/>
  <c r="K1203" i="1"/>
  <c r="P1203" i="1" s="1"/>
  <c r="K1202" i="1"/>
  <c r="P1202" i="1" s="1"/>
  <c r="K1201" i="1"/>
  <c r="P1201" i="1" s="1"/>
  <c r="K1200" i="1"/>
  <c r="P1200" i="1" s="1"/>
  <c r="K1199" i="1"/>
  <c r="P1199" i="1" s="1"/>
  <c r="K1198" i="1"/>
  <c r="P1198" i="1" s="1"/>
  <c r="K1197" i="1"/>
  <c r="P1197" i="1" s="1"/>
  <c r="K1196" i="1"/>
  <c r="P1196" i="1" s="1"/>
  <c r="K1195" i="1"/>
  <c r="P1195" i="1" s="1"/>
  <c r="K1194" i="1"/>
  <c r="P1194" i="1" s="1"/>
  <c r="K1193" i="1"/>
  <c r="P1193" i="1" s="1"/>
  <c r="K1192" i="1"/>
  <c r="P1192" i="1" s="1"/>
  <c r="K1191" i="1"/>
  <c r="P1191" i="1" s="1"/>
  <c r="K1190" i="1"/>
  <c r="P1190" i="1" s="1"/>
  <c r="K1189" i="1"/>
  <c r="P1189" i="1" s="1"/>
  <c r="K1188" i="1"/>
  <c r="P1188" i="1" s="1"/>
  <c r="K1187" i="1"/>
  <c r="P1187" i="1" s="1"/>
  <c r="K1186" i="1"/>
  <c r="P1186" i="1" s="1"/>
  <c r="K1185" i="1"/>
  <c r="P1185" i="1" s="1"/>
  <c r="K1184" i="1"/>
  <c r="P1184" i="1" s="1"/>
  <c r="K1183" i="1"/>
  <c r="P1183" i="1" s="1"/>
  <c r="K1182" i="1"/>
  <c r="P1182" i="1" s="1"/>
  <c r="K1181" i="1"/>
  <c r="P1181" i="1" s="1"/>
  <c r="K1180" i="1"/>
  <c r="P1180" i="1" s="1"/>
  <c r="K1179" i="1"/>
  <c r="P1179" i="1" s="1"/>
  <c r="K1178" i="1"/>
  <c r="P1178" i="1" s="1"/>
  <c r="K1177" i="1"/>
  <c r="P1177" i="1" s="1"/>
  <c r="K1176" i="1"/>
  <c r="P1176" i="1" s="1"/>
  <c r="K1175" i="1"/>
  <c r="P1175" i="1" s="1"/>
  <c r="K1174" i="1"/>
  <c r="P1174" i="1" s="1"/>
  <c r="K1173" i="1"/>
  <c r="P1173" i="1" s="1"/>
  <c r="K1172" i="1"/>
  <c r="P1172" i="1" s="1"/>
  <c r="K1171" i="1"/>
  <c r="P1171" i="1" s="1"/>
  <c r="K1170" i="1"/>
  <c r="P1170" i="1" s="1"/>
  <c r="K1169" i="1"/>
  <c r="P1169" i="1" s="1"/>
  <c r="K1168" i="1"/>
  <c r="P1168" i="1" s="1"/>
  <c r="K1167" i="1"/>
  <c r="P1167" i="1" s="1"/>
  <c r="K1166" i="1"/>
  <c r="P1166" i="1" s="1"/>
  <c r="K1165" i="1"/>
  <c r="P1165" i="1" s="1"/>
  <c r="K1164" i="1"/>
  <c r="P1164" i="1" s="1"/>
  <c r="K1163" i="1"/>
  <c r="P1163" i="1" s="1"/>
  <c r="K1162" i="1"/>
  <c r="P1162" i="1" s="1"/>
  <c r="K1161" i="1"/>
  <c r="P1161" i="1" s="1"/>
  <c r="K1160" i="1"/>
  <c r="P1160" i="1" s="1"/>
  <c r="K1159" i="1"/>
  <c r="P1159" i="1" s="1"/>
  <c r="K1158" i="1"/>
  <c r="P1158" i="1" s="1"/>
  <c r="K1157" i="1"/>
  <c r="P1157" i="1" s="1"/>
  <c r="K1156" i="1"/>
  <c r="P1156" i="1" s="1"/>
  <c r="K1155" i="1"/>
  <c r="P1155" i="1" s="1"/>
  <c r="K1154" i="1"/>
  <c r="P1154" i="1" s="1"/>
  <c r="K1153" i="1"/>
  <c r="P1153" i="1" s="1"/>
  <c r="K1152" i="1"/>
  <c r="P1152" i="1" s="1"/>
  <c r="K1151" i="1"/>
  <c r="P1151" i="1" s="1"/>
  <c r="K1150" i="1"/>
  <c r="P1150" i="1" s="1"/>
  <c r="K1149" i="1"/>
  <c r="P1149" i="1" s="1"/>
  <c r="K1148" i="1"/>
  <c r="P1148" i="1" s="1"/>
  <c r="K1147" i="1"/>
  <c r="P1147" i="1" s="1"/>
  <c r="K1146" i="1"/>
  <c r="P1146" i="1" s="1"/>
  <c r="K1145" i="1"/>
  <c r="P1145" i="1" s="1"/>
  <c r="K1144" i="1"/>
  <c r="P1144" i="1" s="1"/>
  <c r="K1143" i="1"/>
  <c r="P1143" i="1" s="1"/>
  <c r="K1142" i="1"/>
  <c r="P1142" i="1" s="1"/>
  <c r="K1141" i="1"/>
  <c r="P1141" i="1" s="1"/>
  <c r="K1140" i="1"/>
  <c r="P1140" i="1" s="1"/>
  <c r="K1139" i="1"/>
  <c r="P1139" i="1" s="1"/>
  <c r="K1138" i="1"/>
  <c r="P1138" i="1" s="1"/>
  <c r="K1137" i="1"/>
  <c r="P1137" i="1" s="1"/>
  <c r="K1136" i="1"/>
  <c r="P1136" i="1" s="1"/>
  <c r="K1135" i="1"/>
  <c r="P1135" i="1" s="1"/>
  <c r="K1134" i="1"/>
  <c r="P1134" i="1" s="1"/>
  <c r="K1133" i="1"/>
  <c r="P1133" i="1" s="1"/>
  <c r="K1132" i="1"/>
  <c r="P1132" i="1" s="1"/>
  <c r="K1131" i="1"/>
  <c r="P1131" i="1" s="1"/>
  <c r="K1130" i="1"/>
  <c r="P1130" i="1" s="1"/>
  <c r="K1129" i="1"/>
  <c r="P1129" i="1" s="1"/>
  <c r="K1128" i="1"/>
  <c r="P1128" i="1" s="1"/>
  <c r="K1127" i="1"/>
  <c r="P1127" i="1" s="1"/>
  <c r="K1126" i="1"/>
  <c r="P1126" i="1" s="1"/>
  <c r="K1125" i="1"/>
  <c r="P1125" i="1" s="1"/>
  <c r="K1124" i="1"/>
  <c r="P1124" i="1" s="1"/>
  <c r="K1123" i="1"/>
  <c r="P1123" i="1" s="1"/>
  <c r="K1122" i="1"/>
  <c r="P1122" i="1" s="1"/>
  <c r="K1121" i="1"/>
  <c r="P1121" i="1" s="1"/>
  <c r="K1120" i="1"/>
  <c r="P1120" i="1" s="1"/>
  <c r="K1119" i="1"/>
  <c r="P1119" i="1" s="1"/>
  <c r="K1118" i="1"/>
  <c r="P1118" i="1" s="1"/>
  <c r="K1117" i="1"/>
  <c r="P1117" i="1" s="1"/>
  <c r="K1116" i="1"/>
  <c r="P1116" i="1" s="1"/>
  <c r="K1115" i="1"/>
  <c r="P1115" i="1" s="1"/>
  <c r="K1114" i="1"/>
  <c r="P1114" i="1" s="1"/>
  <c r="K1113" i="1"/>
  <c r="P1113" i="1" s="1"/>
  <c r="K1112" i="1"/>
  <c r="P1112" i="1" s="1"/>
  <c r="K1111" i="1"/>
  <c r="P1111" i="1" s="1"/>
  <c r="K1110" i="1"/>
  <c r="P1110" i="1" s="1"/>
  <c r="K1109" i="1"/>
  <c r="P1109" i="1" s="1"/>
  <c r="K1108" i="1"/>
  <c r="P1108" i="1" s="1"/>
  <c r="K1107" i="1"/>
  <c r="P1107" i="1" s="1"/>
  <c r="K1106" i="1"/>
  <c r="P1106" i="1" s="1"/>
  <c r="K1105" i="1"/>
  <c r="P1105" i="1" s="1"/>
  <c r="K1104" i="1"/>
  <c r="P1104" i="1" s="1"/>
  <c r="K1103" i="1"/>
  <c r="P1103" i="1" s="1"/>
  <c r="K1102" i="1"/>
  <c r="P1102" i="1" s="1"/>
  <c r="K1101" i="1"/>
  <c r="P1101" i="1" s="1"/>
  <c r="K1100" i="1"/>
  <c r="P1100" i="1" s="1"/>
  <c r="K1099" i="1"/>
  <c r="P1099" i="1" s="1"/>
  <c r="K1098" i="1"/>
  <c r="P1098" i="1" s="1"/>
  <c r="K1097" i="1"/>
  <c r="P1097" i="1" s="1"/>
  <c r="K1096" i="1"/>
  <c r="P1096" i="1" s="1"/>
  <c r="K1095" i="1"/>
  <c r="P1095" i="1" s="1"/>
  <c r="K1094" i="1"/>
  <c r="P1094" i="1" s="1"/>
  <c r="K1093" i="1"/>
  <c r="P1093" i="1" s="1"/>
  <c r="K1092" i="1"/>
  <c r="P1092" i="1" s="1"/>
  <c r="K1091" i="1"/>
  <c r="P1091" i="1" s="1"/>
  <c r="K1090" i="1"/>
  <c r="P1090" i="1" s="1"/>
  <c r="K1089" i="1"/>
  <c r="P1089" i="1" s="1"/>
  <c r="K1088" i="1"/>
  <c r="P1088" i="1" s="1"/>
  <c r="K1087" i="1"/>
  <c r="P1087" i="1" s="1"/>
  <c r="K1086" i="1"/>
  <c r="P1086" i="1" s="1"/>
  <c r="K1085" i="1"/>
  <c r="P1085" i="1" s="1"/>
  <c r="K1084" i="1"/>
  <c r="P1084" i="1" s="1"/>
  <c r="K1083" i="1"/>
  <c r="P1083" i="1" s="1"/>
  <c r="K1082" i="1"/>
  <c r="P1082" i="1" s="1"/>
  <c r="K1081" i="1"/>
  <c r="P1081" i="1" s="1"/>
  <c r="K1080" i="1"/>
  <c r="P1080" i="1" s="1"/>
  <c r="K1079" i="1"/>
  <c r="P1079" i="1" s="1"/>
  <c r="K1078" i="1"/>
  <c r="P1078" i="1" s="1"/>
  <c r="K1077" i="1"/>
  <c r="P1077" i="1" s="1"/>
  <c r="K1076" i="1"/>
  <c r="P1076" i="1" s="1"/>
  <c r="K1075" i="1"/>
  <c r="P1075" i="1" s="1"/>
  <c r="K1074" i="1"/>
  <c r="P1074" i="1" s="1"/>
  <c r="K1073" i="1"/>
  <c r="P1073" i="1" s="1"/>
  <c r="K1072" i="1"/>
  <c r="P1072" i="1" s="1"/>
  <c r="K1071" i="1"/>
  <c r="P1071" i="1" s="1"/>
  <c r="K1070" i="1"/>
  <c r="P1070" i="1" s="1"/>
  <c r="K1069" i="1"/>
  <c r="P1069" i="1" s="1"/>
  <c r="K1068" i="1"/>
  <c r="P1068" i="1" s="1"/>
  <c r="K1067" i="1"/>
  <c r="P1067" i="1" s="1"/>
  <c r="K1066" i="1"/>
  <c r="P1066" i="1" s="1"/>
  <c r="K1065" i="1"/>
  <c r="P1065" i="1" s="1"/>
  <c r="K1064" i="1"/>
  <c r="P1064" i="1" s="1"/>
  <c r="K1063" i="1"/>
  <c r="P1063" i="1" s="1"/>
  <c r="K1062" i="1"/>
  <c r="P1062" i="1" s="1"/>
  <c r="K1061" i="1"/>
  <c r="P1061" i="1" s="1"/>
  <c r="K1060" i="1"/>
  <c r="P1060" i="1" s="1"/>
  <c r="K1059" i="1"/>
  <c r="P1059" i="1" s="1"/>
  <c r="K1058" i="1"/>
  <c r="P1058" i="1" s="1"/>
  <c r="K1057" i="1"/>
  <c r="P1057" i="1" s="1"/>
  <c r="K1056" i="1"/>
  <c r="P1056" i="1" s="1"/>
  <c r="K1055" i="1"/>
  <c r="P1055" i="1" s="1"/>
  <c r="K1054" i="1"/>
  <c r="P1054" i="1" s="1"/>
  <c r="K1053" i="1"/>
  <c r="P1053" i="1" s="1"/>
  <c r="K1052" i="1"/>
  <c r="P1052" i="1" s="1"/>
  <c r="K1051" i="1"/>
  <c r="P1051" i="1" s="1"/>
  <c r="K1050" i="1"/>
  <c r="P1050" i="1" s="1"/>
  <c r="K1049" i="1"/>
  <c r="P1049" i="1" s="1"/>
  <c r="K1048" i="1"/>
  <c r="P1048" i="1" s="1"/>
  <c r="K1047" i="1"/>
  <c r="P1047" i="1" s="1"/>
  <c r="K1046" i="1"/>
  <c r="P1046" i="1" s="1"/>
  <c r="K1045" i="1"/>
  <c r="P1045" i="1" s="1"/>
  <c r="K1044" i="1"/>
  <c r="P1044" i="1" s="1"/>
  <c r="K1043" i="1"/>
  <c r="P1043" i="1" s="1"/>
  <c r="K1042" i="1"/>
  <c r="P1042" i="1" s="1"/>
  <c r="K1041" i="1"/>
  <c r="P1041" i="1" s="1"/>
  <c r="K1040" i="1"/>
  <c r="P1040" i="1" s="1"/>
  <c r="K1039" i="1"/>
  <c r="P1039" i="1" s="1"/>
  <c r="K1038" i="1"/>
  <c r="P1038" i="1" s="1"/>
  <c r="K1037" i="1"/>
  <c r="P1037" i="1" s="1"/>
  <c r="K1036" i="1"/>
  <c r="P1036" i="1" s="1"/>
  <c r="K1035" i="1"/>
  <c r="P1035" i="1" s="1"/>
  <c r="K1034" i="1"/>
  <c r="P1034" i="1" s="1"/>
  <c r="K1033" i="1"/>
  <c r="P1033" i="1" s="1"/>
  <c r="K1032" i="1"/>
  <c r="P1032" i="1" s="1"/>
  <c r="K1031" i="1"/>
  <c r="P1031" i="1" s="1"/>
  <c r="K1030" i="1"/>
  <c r="P1030" i="1" s="1"/>
  <c r="K1029" i="1"/>
  <c r="P1029" i="1" s="1"/>
  <c r="K1028" i="1"/>
  <c r="P1028" i="1" s="1"/>
  <c r="K1027" i="1"/>
  <c r="P1027" i="1" s="1"/>
  <c r="K1026" i="1"/>
  <c r="P1026" i="1" s="1"/>
  <c r="K1025" i="1"/>
  <c r="P1025" i="1" s="1"/>
  <c r="K1024" i="1"/>
  <c r="P1024" i="1" s="1"/>
  <c r="K1023" i="1"/>
  <c r="P1023" i="1" s="1"/>
  <c r="K1022" i="1"/>
  <c r="P1022" i="1" s="1"/>
  <c r="K1021" i="1"/>
  <c r="P1021" i="1" s="1"/>
  <c r="K1020" i="1"/>
  <c r="P1020" i="1" s="1"/>
  <c r="K1019" i="1"/>
  <c r="P1019" i="1" s="1"/>
  <c r="K1018" i="1"/>
  <c r="P1018" i="1" s="1"/>
  <c r="K1017" i="1"/>
  <c r="P1017" i="1" s="1"/>
  <c r="K1016" i="1"/>
  <c r="P1016" i="1" s="1"/>
  <c r="K1015" i="1"/>
  <c r="P1015" i="1" s="1"/>
  <c r="K1014" i="1"/>
  <c r="P1014" i="1" s="1"/>
  <c r="K1013" i="1"/>
  <c r="P1013" i="1" s="1"/>
  <c r="K1012" i="1"/>
  <c r="P1012" i="1" s="1"/>
  <c r="K1011" i="1"/>
  <c r="P1011" i="1" s="1"/>
  <c r="K1010" i="1"/>
  <c r="P1010" i="1" s="1"/>
  <c r="K1009" i="1"/>
  <c r="P1009" i="1" s="1"/>
  <c r="K1008" i="1"/>
  <c r="P1008" i="1" s="1"/>
  <c r="K1007" i="1"/>
  <c r="P1007" i="1" s="1"/>
  <c r="K1006" i="1"/>
  <c r="P1006" i="1" s="1"/>
  <c r="K1005" i="1"/>
  <c r="P1005" i="1" s="1"/>
  <c r="K1004" i="1"/>
  <c r="P1004" i="1" s="1"/>
  <c r="K1003" i="1"/>
  <c r="P1003" i="1" s="1"/>
  <c r="K1002" i="1"/>
  <c r="P1002" i="1" s="1"/>
  <c r="K1001" i="1"/>
  <c r="P1001" i="1" s="1"/>
  <c r="K1000" i="1"/>
  <c r="P1000" i="1" s="1"/>
  <c r="K999" i="1"/>
  <c r="P999" i="1" s="1"/>
  <c r="K998" i="1"/>
  <c r="P998" i="1" s="1"/>
  <c r="K997" i="1"/>
  <c r="P997" i="1" s="1"/>
  <c r="K996" i="1"/>
  <c r="P996" i="1" s="1"/>
  <c r="K995" i="1"/>
  <c r="P995" i="1" s="1"/>
  <c r="K994" i="1"/>
  <c r="P994" i="1" s="1"/>
  <c r="K993" i="1"/>
  <c r="P993" i="1" s="1"/>
  <c r="K992" i="1"/>
  <c r="P992" i="1" s="1"/>
  <c r="K991" i="1"/>
  <c r="P991" i="1" s="1"/>
  <c r="K990" i="1"/>
  <c r="P990" i="1" s="1"/>
  <c r="K989" i="1"/>
  <c r="P989" i="1" s="1"/>
  <c r="K988" i="1"/>
  <c r="P988" i="1" s="1"/>
  <c r="K987" i="1"/>
  <c r="P987" i="1" s="1"/>
  <c r="K986" i="1"/>
  <c r="P986" i="1" s="1"/>
  <c r="K985" i="1"/>
  <c r="P985" i="1" s="1"/>
  <c r="K984" i="1"/>
  <c r="P984" i="1" s="1"/>
  <c r="K983" i="1"/>
  <c r="P983" i="1" s="1"/>
  <c r="K982" i="1"/>
  <c r="P982" i="1" s="1"/>
  <c r="K981" i="1"/>
  <c r="P981" i="1" s="1"/>
  <c r="K980" i="1"/>
  <c r="P980" i="1" s="1"/>
  <c r="K979" i="1"/>
  <c r="P979" i="1" s="1"/>
  <c r="K978" i="1"/>
  <c r="P978" i="1" s="1"/>
  <c r="K977" i="1"/>
  <c r="P977" i="1" s="1"/>
  <c r="K976" i="1"/>
  <c r="P976" i="1" s="1"/>
  <c r="K975" i="1"/>
  <c r="P975" i="1" s="1"/>
  <c r="K974" i="1"/>
  <c r="P974" i="1" s="1"/>
  <c r="K973" i="1"/>
  <c r="P973" i="1" s="1"/>
  <c r="K972" i="1"/>
  <c r="P972" i="1" s="1"/>
  <c r="K971" i="1"/>
  <c r="P971" i="1" s="1"/>
  <c r="K970" i="1"/>
  <c r="P970" i="1" s="1"/>
  <c r="K969" i="1"/>
  <c r="P969" i="1" s="1"/>
  <c r="K968" i="1"/>
  <c r="P968" i="1" s="1"/>
  <c r="K967" i="1"/>
  <c r="P967" i="1" s="1"/>
  <c r="K966" i="1"/>
  <c r="P966" i="1" s="1"/>
  <c r="K965" i="1"/>
  <c r="P965" i="1" s="1"/>
  <c r="K964" i="1"/>
  <c r="P964" i="1" s="1"/>
  <c r="K963" i="1"/>
  <c r="P963" i="1" s="1"/>
  <c r="K962" i="1"/>
  <c r="P962" i="1" s="1"/>
  <c r="K961" i="1"/>
  <c r="P961" i="1" s="1"/>
  <c r="K960" i="1"/>
  <c r="P960" i="1" s="1"/>
  <c r="K959" i="1"/>
  <c r="P959" i="1" s="1"/>
  <c r="K958" i="1"/>
  <c r="P958" i="1" s="1"/>
  <c r="K957" i="1"/>
  <c r="P957" i="1" s="1"/>
  <c r="K956" i="1"/>
  <c r="P956" i="1" s="1"/>
  <c r="K955" i="1"/>
  <c r="P955" i="1" s="1"/>
  <c r="K954" i="1"/>
  <c r="P954" i="1" s="1"/>
  <c r="K953" i="1"/>
  <c r="P953" i="1" s="1"/>
  <c r="K952" i="1"/>
  <c r="P952" i="1" s="1"/>
  <c r="K951" i="1"/>
  <c r="P951" i="1" s="1"/>
  <c r="K950" i="1"/>
  <c r="P950" i="1" s="1"/>
  <c r="K949" i="1"/>
  <c r="P949" i="1" s="1"/>
  <c r="K948" i="1"/>
  <c r="P948" i="1" s="1"/>
  <c r="K947" i="1"/>
  <c r="P947" i="1" s="1"/>
  <c r="K946" i="1"/>
  <c r="P946" i="1" s="1"/>
  <c r="K945" i="1"/>
  <c r="P945" i="1" s="1"/>
  <c r="K944" i="1"/>
  <c r="P944" i="1" s="1"/>
  <c r="K943" i="1"/>
  <c r="P943" i="1" s="1"/>
  <c r="K942" i="1"/>
  <c r="P942" i="1" s="1"/>
  <c r="K941" i="1"/>
  <c r="P941" i="1" s="1"/>
  <c r="K940" i="1"/>
  <c r="P940" i="1" s="1"/>
  <c r="K939" i="1"/>
  <c r="P939" i="1" s="1"/>
  <c r="K938" i="1"/>
  <c r="P938" i="1" s="1"/>
  <c r="K937" i="1"/>
  <c r="P937" i="1" s="1"/>
  <c r="K936" i="1"/>
  <c r="P936" i="1" s="1"/>
  <c r="K935" i="1"/>
  <c r="P935" i="1" s="1"/>
  <c r="K934" i="1"/>
  <c r="P934" i="1" s="1"/>
  <c r="K933" i="1"/>
  <c r="P933" i="1" s="1"/>
  <c r="K932" i="1"/>
  <c r="P932" i="1" s="1"/>
  <c r="K931" i="1"/>
  <c r="P931" i="1" s="1"/>
  <c r="K930" i="1"/>
  <c r="P930" i="1" s="1"/>
  <c r="K929" i="1"/>
  <c r="P929" i="1" s="1"/>
  <c r="K928" i="1"/>
  <c r="P928" i="1" s="1"/>
  <c r="K927" i="1"/>
  <c r="P927" i="1" s="1"/>
  <c r="K926" i="1"/>
  <c r="P926" i="1" s="1"/>
  <c r="K925" i="1"/>
  <c r="P925" i="1" s="1"/>
  <c r="K924" i="1"/>
  <c r="P924" i="1" s="1"/>
  <c r="K923" i="1"/>
  <c r="P923" i="1" s="1"/>
  <c r="K922" i="1"/>
  <c r="P922" i="1" s="1"/>
  <c r="K921" i="1"/>
  <c r="P921" i="1" s="1"/>
  <c r="K920" i="1"/>
  <c r="P920" i="1" s="1"/>
  <c r="K919" i="1"/>
  <c r="P919" i="1" s="1"/>
  <c r="K918" i="1"/>
  <c r="P918" i="1" s="1"/>
  <c r="K917" i="1"/>
  <c r="P917" i="1" s="1"/>
  <c r="K916" i="1"/>
  <c r="P916" i="1" s="1"/>
  <c r="K915" i="1"/>
  <c r="P915" i="1" s="1"/>
  <c r="K914" i="1"/>
  <c r="P914" i="1" s="1"/>
  <c r="K913" i="1"/>
  <c r="P913" i="1" s="1"/>
  <c r="K912" i="1"/>
  <c r="P912" i="1" s="1"/>
  <c r="K911" i="1"/>
  <c r="P911" i="1" s="1"/>
  <c r="K910" i="1"/>
  <c r="P910" i="1" s="1"/>
  <c r="K909" i="1"/>
  <c r="P909" i="1" s="1"/>
  <c r="K908" i="1"/>
  <c r="P908" i="1" s="1"/>
  <c r="K907" i="1"/>
  <c r="P907" i="1" s="1"/>
  <c r="K906" i="1"/>
  <c r="P906" i="1" s="1"/>
  <c r="K905" i="1"/>
  <c r="P905" i="1" s="1"/>
  <c r="K904" i="1"/>
  <c r="P904" i="1" s="1"/>
  <c r="K903" i="1"/>
  <c r="P903" i="1" s="1"/>
  <c r="K902" i="1"/>
  <c r="P902" i="1" s="1"/>
  <c r="K901" i="1"/>
  <c r="P901" i="1" s="1"/>
  <c r="K900" i="1"/>
  <c r="P900" i="1" s="1"/>
  <c r="K899" i="1"/>
  <c r="P899" i="1" s="1"/>
  <c r="K898" i="1"/>
  <c r="P898" i="1" s="1"/>
  <c r="K897" i="1"/>
  <c r="P897" i="1" s="1"/>
  <c r="K896" i="1"/>
  <c r="P896" i="1" s="1"/>
  <c r="K895" i="1"/>
  <c r="P895" i="1" s="1"/>
  <c r="K894" i="1"/>
  <c r="P894" i="1" s="1"/>
  <c r="K893" i="1"/>
  <c r="P893" i="1" s="1"/>
  <c r="K892" i="1"/>
  <c r="P892" i="1" s="1"/>
  <c r="K891" i="1"/>
  <c r="P891" i="1" s="1"/>
  <c r="K890" i="1"/>
  <c r="P890" i="1" s="1"/>
  <c r="K889" i="1"/>
  <c r="P889" i="1" s="1"/>
  <c r="K888" i="1"/>
  <c r="P888" i="1" s="1"/>
  <c r="K887" i="1"/>
  <c r="P887" i="1" s="1"/>
  <c r="K886" i="1"/>
  <c r="P886" i="1" s="1"/>
  <c r="K885" i="1"/>
  <c r="P885" i="1" s="1"/>
  <c r="K884" i="1"/>
  <c r="P884" i="1" s="1"/>
  <c r="K883" i="1"/>
  <c r="P883" i="1" s="1"/>
  <c r="K882" i="1"/>
  <c r="P882" i="1" s="1"/>
  <c r="K881" i="1"/>
  <c r="P881" i="1" s="1"/>
  <c r="K880" i="1"/>
  <c r="P880" i="1" s="1"/>
  <c r="K879" i="1"/>
  <c r="P879" i="1" s="1"/>
  <c r="K878" i="1"/>
  <c r="P878" i="1" s="1"/>
  <c r="K877" i="1"/>
  <c r="P877" i="1" s="1"/>
  <c r="K876" i="1"/>
  <c r="P876" i="1" s="1"/>
  <c r="K875" i="1"/>
  <c r="P875" i="1" s="1"/>
  <c r="K874" i="1"/>
  <c r="P874" i="1" s="1"/>
  <c r="K873" i="1"/>
  <c r="P873" i="1" s="1"/>
  <c r="K872" i="1"/>
  <c r="P872" i="1" s="1"/>
  <c r="K871" i="1"/>
  <c r="P871" i="1" s="1"/>
  <c r="K870" i="1"/>
  <c r="P870" i="1" s="1"/>
  <c r="K869" i="1"/>
  <c r="P869" i="1" s="1"/>
  <c r="K868" i="1"/>
  <c r="P868" i="1" s="1"/>
  <c r="K867" i="1"/>
  <c r="P867" i="1" s="1"/>
  <c r="K866" i="1"/>
  <c r="P866" i="1" s="1"/>
  <c r="K865" i="1"/>
  <c r="P865" i="1" s="1"/>
  <c r="K864" i="1"/>
  <c r="P864" i="1" s="1"/>
  <c r="K863" i="1"/>
  <c r="P863" i="1" s="1"/>
  <c r="K862" i="1"/>
  <c r="P862" i="1" s="1"/>
  <c r="K861" i="1"/>
  <c r="P861" i="1" s="1"/>
  <c r="K860" i="1"/>
  <c r="P860" i="1" s="1"/>
  <c r="K859" i="1"/>
  <c r="P859" i="1" s="1"/>
  <c r="K858" i="1"/>
  <c r="P858" i="1" s="1"/>
  <c r="K857" i="1"/>
  <c r="P857" i="1" s="1"/>
  <c r="K856" i="1"/>
  <c r="P856" i="1" s="1"/>
  <c r="K855" i="1"/>
  <c r="P855" i="1" s="1"/>
  <c r="K854" i="1"/>
  <c r="P854" i="1" s="1"/>
  <c r="K853" i="1"/>
  <c r="P853" i="1" s="1"/>
  <c r="K852" i="1"/>
  <c r="P852" i="1" s="1"/>
  <c r="K851" i="1"/>
  <c r="P851" i="1" s="1"/>
  <c r="K850" i="1"/>
  <c r="P850" i="1" s="1"/>
  <c r="K849" i="1"/>
  <c r="P849" i="1" s="1"/>
  <c r="K848" i="1"/>
  <c r="P848" i="1" s="1"/>
  <c r="K847" i="1"/>
  <c r="P847" i="1" s="1"/>
  <c r="K846" i="1"/>
  <c r="P846" i="1" s="1"/>
  <c r="K845" i="1"/>
  <c r="P845" i="1" s="1"/>
  <c r="K844" i="1"/>
  <c r="P844" i="1" s="1"/>
  <c r="K843" i="1"/>
  <c r="P843" i="1" s="1"/>
  <c r="K842" i="1"/>
  <c r="P842" i="1" s="1"/>
  <c r="K841" i="1"/>
  <c r="P841" i="1" s="1"/>
  <c r="K840" i="1"/>
  <c r="P840" i="1" s="1"/>
  <c r="K839" i="1"/>
  <c r="P839" i="1" s="1"/>
  <c r="K838" i="1"/>
  <c r="P838" i="1" s="1"/>
  <c r="K837" i="1"/>
  <c r="P837" i="1" s="1"/>
  <c r="K836" i="1"/>
  <c r="P836" i="1" s="1"/>
  <c r="K835" i="1"/>
  <c r="P835" i="1" s="1"/>
  <c r="K834" i="1"/>
  <c r="P834" i="1" s="1"/>
  <c r="K833" i="1"/>
  <c r="P833" i="1" s="1"/>
  <c r="K832" i="1"/>
  <c r="P832" i="1" s="1"/>
  <c r="K831" i="1"/>
  <c r="P831" i="1" s="1"/>
  <c r="K830" i="1"/>
  <c r="P830" i="1" s="1"/>
  <c r="K829" i="1"/>
  <c r="P829" i="1" s="1"/>
  <c r="K828" i="1"/>
  <c r="P828" i="1" s="1"/>
  <c r="K827" i="1"/>
  <c r="P827" i="1" s="1"/>
  <c r="K826" i="1"/>
  <c r="P826" i="1" s="1"/>
  <c r="K825" i="1"/>
  <c r="P825" i="1" s="1"/>
  <c r="K824" i="1"/>
  <c r="P824" i="1" s="1"/>
  <c r="K823" i="1"/>
  <c r="P823" i="1" s="1"/>
  <c r="K822" i="1"/>
  <c r="P822" i="1" s="1"/>
  <c r="K821" i="1"/>
  <c r="P821" i="1" s="1"/>
  <c r="K820" i="1"/>
  <c r="P820" i="1" s="1"/>
  <c r="K819" i="1"/>
  <c r="P819" i="1" s="1"/>
  <c r="K818" i="1"/>
  <c r="P818" i="1" s="1"/>
  <c r="K817" i="1"/>
  <c r="P817" i="1" s="1"/>
  <c r="K816" i="1"/>
  <c r="P816" i="1" s="1"/>
  <c r="K815" i="1"/>
  <c r="P815" i="1" s="1"/>
  <c r="K814" i="1"/>
  <c r="P814" i="1" s="1"/>
  <c r="K813" i="1"/>
  <c r="P813" i="1" s="1"/>
  <c r="K812" i="1"/>
  <c r="P812" i="1" s="1"/>
  <c r="K811" i="1"/>
  <c r="P811" i="1" s="1"/>
  <c r="K810" i="1"/>
  <c r="P810" i="1" s="1"/>
  <c r="K809" i="1"/>
  <c r="P809" i="1" s="1"/>
  <c r="K808" i="1"/>
  <c r="P808" i="1" s="1"/>
  <c r="K807" i="1"/>
  <c r="P807" i="1" s="1"/>
  <c r="K806" i="1"/>
  <c r="P806" i="1" s="1"/>
  <c r="K805" i="1"/>
  <c r="P805" i="1" s="1"/>
  <c r="K804" i="1"/>
  <c r="P804" i="1" s="1"/>
  <c r="K803" i="1"/>
  <c r="P803" i="1" s="1"/>
  <c r="K802" i="1"/>
  <c r="P802" i="1" s="1"/>
  <c r="K801" i="1"/>
  <c r="P801" i="1" s="1"/>
  <c r="K800" i="1"/>
  <c r="P800" i="1" s="1"/>
  <c r="K799" i="1"/>
  <c r="P799" i="1" s="1"/>
  <c r="K798" i="1"/>
  <c r="P798" i="1" s="1"/>
  <c r="K797" i="1"/>
  <c r="P797" i="1" s="1"/>
  <c r="K796" i="1"/>
  <c r="P796" i="1" s="1"/>
  <c r="K795" i="1"/>
  <c r="P795" i="1" s="1"/>
  <c r="K794" i="1"/>
  <c r="P794" i="1" s="1"/>
  <c r="K793" i="1"/>
  <c r="P793" i="1" s="1"/>
  <c r="K792" i="1"/>
  <c r="P792" i="1" s="1"/>
  <c r="K791" i="1"/>
  <c r="P791" i="1" s="1"/>
  <c r="K790" i="1"/>
  <c r="P790" i="1" s="1"/>
  <c r="K789" i="1"/>
  <c r="P789" i="1" s="1"/>
  <c r="K788" i="1"/>
  <c r="P788" i="1" s="1"/>
  <c r="K787" i="1"/>
  <c r="P787" i="1" s="1"/>
  <c r="K786" i="1"/>
  <c r="P786" i="1" s="1"/>
  <c r="K785" i="1"/>
  <c r="P785" i="1" s="1"/>
  <c r="K784" i="1"/>
  <c r="P784" i="1" s="1"/>
  <c r="K783" i="1"/>
  <c r="P783" i="1" s="1"/>
  <c r="K782" i="1"/>
  <c r="P782" i="1" s="1"/>
  <c r="K781" i="1"/>
  <c r="P781" i="1" s="1"/>
  <c r="K780" i="1"/>
  <c r="P780" i="1" s="1"/>
  <c r="K779" i="1"/>
  <c r="P779" i="1" s="1"/>
  <c r="K778" i="1"/>
  <c r="P778" i="1" s="1"/>
  <c r="K777" i="1"/>
  <c r="P777" i="1" s="1"/>
  <c r="K776" i="1"/>
  <c r="P776" i="1" s="1"/>
  <c r="K775" i="1"/>
  <c r="P775" i="1" s="1"/>
  <c r="K774" i="1"/>
  <c r="P774" i="1" s="1"/>
  <c r="K773" i="1"/>
  <c r="P773" i="1" s="1"/>
  <c r="K772" i="1"/>
  <c r="P772" i="1" s="1"/>
  <c r="K771" i="1"/>
  <c r="P771" i="1" s="1"/>
  <c r="K770" i="1"/>
  <c r="P770" i="1" s="1"/>
  <c r="K769" i="1"/>
  <c r="P769" i="1" s="1"/>
  <c r="K768" i="1"/>
  <c r="P768" i="1" s="1"/>
  <c r="K767" i="1"/>
  <c r="P767" i="1" s="1"/>
  <c r="K766" i="1"/>
  <c r="P766" i="1" s="1"/>
  <c r="K765" i="1"/>
  <c r="P765" i="1" s="1"/>
  <c r="K764" i="1"/>
  <c r="P764" i="1" s="1"/>
  <c r="K763" i="1"/>
  <c r="P763" i="1" s="1"/>
  <c r="K762" i="1"/>
  <c r="P762" i="1" s="1"/>
  <c r="K761" i="1"/>
  <c r="P761" i="1" s="1"/>
  <c r="K760" i="1"/>
  <c r="P760" i="1" s="1"/>
  <c r="K759" i="1"/>
  <c r="P759" i="1" s="1"/>
  <c r="K758" i="1"/>
  <c r="P758" i="1" s="1"/>
  <c r="K757" i="1"/>
  <c r="P757" i="1" s="1"/>
  <c r="K756" i="1"/>
  <c r="P756" i="1" s="1"/>
  <c r="K755" i="1"/>
  <c r="P755" i="1" s="1"/>
  <c r="K754" i="1"/>
  <c r="P754" i="1" s="1"/>
  <c r="K753" i="1"/>
  <c r="P753" i="1" s="1"/>
  <c r="K752" i="1"/>
  <c r="P752" i="1" s="1"/>
  <c r="K751" i="1"/>
  <c r="P751" i="1" s="1"/>
  <c r="K750" i="1"/>
  <c r="P750" i="1" s="1"/>
  <c r="K749" i="1"/>
  <c r="P749" i="1" s="1"/>
  <c r="K748" i="1"/>
  <c r="P748" i="1" s="1"/>
  <c r="K747" i="1"/>
  <c r="P747" i="1" s="1"/>
  <c r="K746" i="1"/>
  <c r="P746" i="1" s="1"/>
  <c r="K745" i="1"/>
  <c r="P745" i="1" s="1"/>
  <c r="K744" i="1"/>
  <c r="P744" i="1" s="1"/>
  <c r="K743" i="1"/>
  <c r="P743" i="1" s="1"/>
  <c r="K742" i="1"/>
  <c r="P742" i="1" s="1"/>
  <c r="K741" i="1"/>
  <c r="P741" i="1" s="1"/>
  <c r="K740" i="1"/>
  <c r="P740" i="1" s="1"/>
  <c r="K739" i="1"/>
  <c r="P739" i="1" s="1"/>
  <c r="K738" i="1"/>
  <c r="P738" i="1" s="1"/>
  <c r="K737" i="1"/>
  <c r="P737" i="1" s="1"/>
  <c r="K736" i="1"/>
  <c r="P736" i="1" s="1"/>
  <c r="K735" i="1"/>
  <c r="P735" i="1" s="1"/>
  <c r="K734" i="1"/>
  <c r="P734" i="1" s="1"/>
  <c r="K733" i="1"/>
  <c r="P733" i="1" s="1"/>
  <c r="K732" i="1"/>
  <c r="P732" i="1" s="1"/>
  <c r="K731" i="1"/>
  <c r="P731" i="1" s="1"/>
  <c r="K730" i="1"/>
  <c r="P730" i="1" s="1"/>
  <c r="K729" i="1"/>
  <c r="P729" i="1" s="1"/>
  <c r="K728" i="1"/>
  <c r="P728" i="1" s="1"/>
  <c r="K727" i="1"/>
  <c r="P727" i="1" s="1"/>
  <c r="K726" i="1"/>
  <c r="P726" i="1" s="1"/>
  <c r="K725" i="1"/>
  <c r="P725" i="1" s="1"/>
  <c r="K724" i="1"/>
  <c r="P724" i="1" s="1"/>
  <c r="K723" i="1"/>
  <c r="P723" i="1" s="1"/>
  <c r="K722" i="1"/>
  <c r="P722" i="1" s="1"/>
  <c r="K721" i="1"/>
  <c r="P721" i="1" s="1"/>
  <c r="K720" i="1"/>
  <c r="P720" i="1" s="1"/>
  <c r="K719" i="1"/>
  <c r="P719" i="1" s="1"/>
  <c r="K718" i="1"/>
  <c r="P718" i="1" s="1"/>
  <c r="K717" i="1"/>
  <c r="P717" i="1" s="1"/>
  <c r="K716" i="1"/>
  <c r="P716" i="1" s="1"/>
  <c r="K715" i="1"/>
  <c r="P715" i="1" s="1"/>
  <c r="K714" i="1"/>
  <c r="P714" i="1" s="1"/>
  <c r="K713" i="1"/>
  <c r="P713" i="1" s="1"/>
  <c r="K712" i="1"/>
  <c r="P712" i="1" s="1"/>
  <c r="K711" i="1"/>
  <c r="P711" i="1" s="1"/>
  <c r="K710" i="1"/>
  <c r="P710" i="1" s="1"/>
  <c r="K709" i="1"/>
  <c r="P709" i="1" s="1"/>
  <c r="K708" i="1"/>
  <c r="P708" i="1" s="1"/>
  <c r="K707" i="1"/>
  <c r="P707" i="1" s="1"/>
  <c r="K706" i="1"/>
  <c r="P706" i="1" s="1"/>
  <c r="K705" i="1"/>
  <c r="P705" i="1" s="1"/>
  <c r="K704" i="1"/>
  <c r="P704" i="1" s="1"/>
  <c r="K703" i="1"/>
  <c r="P703" i="1" s="1"/>
  <c r="K702" i="1"/>
  <c r="P702" i="1" s="1"/>
  <c r="K701" i="1"/>
  <c r="P701" i="1" s="1"/>
  <c r="K700" i="1"/>
  <c r="P700" i="1" s="1"/>
  <c r="K699" i="1"/>
  <c r="P699" i="1" s="1"/>
  <c r="K698" i="1"/>
  <c r="P698" i="1" s="1"/>
  <c r="K697" i="1"/>
  <c r="P697" i="1" s="1"/>
  <c r="K696" i="1"/>
  <c r="P696" i="1" s="1"/>
  <c r="K695" i="1"/>
  <c r="P695" i="1" s="1"/>
  <c r="K694" i="1"/>
  <c r="P694" i="1" s="1"/>
  <c r="K693" i="1"/>
  <c r="P693" i="1" s="1"/>
  <c r="K692" i="1"/>
  <c r="P692" i="1" s="1"/>
  <c r="K691" i="1"/>
  <c r="P691" i="1" s="1"/>
  <c r="K690" i="1"/>
  <c r="P690" i="1" s="1"/>
  <c r="K689" i="1"/>
  <c r="P689" i="1" s="1"/>
  <c r="K688" i="1"/>
  <c r="P688" i="1" s="1"/>
  <c r="K687" i="1"/>
  <c r="P687" i="1" s="1"/>
  <c r="K686" i="1"/>
  <c r="P686" i="1" s="1"/>
  <c r="K685" i="1"/>
  <c r="P685" i="1" s="1"/>
  <c r="K684" i="1"/>
  <c r="P684" i="1" s="1"/>
  <c r="K683" i="1"/>
  <c r="P683" i="1" s="1"/>
  <c r="K682" i="1"/>
  <c r="P682" i="1" s="1"/>
  <c r="K681" i="1"/>
  <c r="P681" i="1" s="1"/>
  <c r="K680" i="1"/>
  <c r="P680" i="1" s="1"/>
  <c r="K679" i="1"/>
  <c r="P679" i="1" s="1"/>
  <c r="K678" i="1"/>
  <c r="P678" i="1" s="1"/>
  <c r="K677" i="1"/>
  <c r="P677" i="1" s="1"/>
  <c r="K676" i="1"/>
  <c r="P676" i="1" s="1"/>
  <c r="K675" i="1"/>
  <c r="P675" i="1" s="1"/>
  <c r="K674" i="1"/>
  <c r="P674" i="1" s="1"/>
  <c r="K673" i="1"/>
  <c r="P673" i="1" s="1"/>
  <c r="K672" i="1"/>
  <c r="P672" i="1" s="1"/>
  <c r="K671" i="1"/>
  <c r="P671" i="1" s="1"/>
  <c r="K670" i="1"/>
  <c r="P670" i="1" s="1"/>
  <c r="K669" i="1"/>
  <c r="P669" i="1" s="1"/>
  <c r="K668" i="1"/>
  <c r="P668" i="1" s="1"/>
  <c r="K667" i="1"/>
  <c r="P667" i="1" s="1"/>
  <c r="K666" i="1"/>
  <c r="P666" i="1" s="1"/>
  <c r="K665" i="1"/>
  <c r="P665" i="1" s="1"/>
  <c r="K664" i="1"/>
  <c r="P664" i="1" s="1"/>
  <c r="K663" i="1"/>
  <c r="P663" i="1" s="1"/>
  <c r="K662" i="1"/>
  <c r="P662" i="1" s="1"/>
  <c r="K661" i="1"/>
  <c r="P661" i="1" s="1"/>
  <c r="K660" i="1"/>
  <c r="P660" i="1" s="1"/>
  <c r="K659" i="1"/>
  <c r="P659" i="1" s="1"/>
  <c r="K658" i="1"/>
  <c r="P658" i="1" s="1"/>
  <c r="K657" i="1"/>
  <c r="P657" i="1" s="1"/>
  <c r="K656" i="1"/>
  <c r="P656" i="1" s="1"/>
  <c r="K655" i="1"/>
  <c r="P655" i="1" s="1"/>
  <c r="K654" i="1"/>
  <c r="P654" i="1" s="1"/>
  <c r="K653" i="1"/>
  <c r="P653" i="1" s="1"/>
  <c r="K652" i="1"/>
  <c r="P652" i="1" s="1"/>
  <c r="K651" i="1"/>
  <c r="P651" i="1" s="1"/>
  <c r="K650" i="1"/>
  <c r="P650" i="1" s="1"/>
  <c r="K649" i="1"/>
  <c r="P649" i="1" s="1"/>
  <c r="K648" i="1"/>
  <c r="P648" i="1" s="1"/>
  <c r="K647" i="1"/>
  <c r="P647" i="1" s="1"/>
  <c r="K646" i="1"/>
  <c r="P646" i="1" s="1"/>
  <c r="K645" i="1"/>
  <c r="P645" i="1" s="1"/>
  <c r="K644" i="1"/>
  <c r="P644" i="1" s="1"/>
  <c r="K643" i="1"/>
  <c r="P643" i="1" s="1"/>
  <c r="K642" i="1"/>
  <c r="P642" i="1" s="1"/>
  <c r="K641" i="1"/>
  <c r="P641" i="1" s="1"/>
  <c r="K640" i="1"/>
  <c r="P640" i="1" s="1"/>
  <c r="K639" i="1"/>
  <c r="P639" i="1" s="1"/>
  <c r="K638" i="1"/>
  <c r="P638" i="1" s="1"/>
  <c r="K637" i="1"/>
  <c r="P637" i="1" s="1"/>
  <c r="K636" i="1"/>
  <c r="P636" i="1" s="1"/>
  <c r="K635" i="1"/>
  <c r="P635" i="1" s="1"/>
  <c r="K634" i="1"/>
  <c r="P634" i="1" s="1"/>
  <c r="K633" i="1"/>
  <c r="P633" i="1" s="1"/>
  <c r="K632" i="1"/>
  <c r="P632" i="1" s="1"/>
  <c r="K631" i="1"/>
  <c r="P631" i="1" s="1"/>
  <c r="K630" i="1"/>
  <c r="P630" i="1" s="1"/>
  <c r="K629" i="1"/>
  <c r="P629" i="1" s="1"/>
  <c r="K628" i="1"/>
  <c r="P628" i="1" s="1"/>
  <c r="K627" i="1"/>
  <c r="P627" i="1" s="1"/>
  <c r="K626" i="1"/>
  <c r="P626" i="1" s="1"/>
  <c r="K625" i="1"/>
  <c r="P625" i="1" s="1"/>
  <c r="K624" i="1"/>
  <c r="P624" i="1" s="1"/>
  <c r="K623" i="1"/>
  <c r="P623" i="1" s="1"/>
  <c r="K622" i="1"/>
  <c r="P622" i="1" s="1"/>
  <c r="K621" i="1"/>
  <c r="P621" i="1" s="1"/>
  <c r="K620" i="1"/>
  <c r="P620" i="1" s="1"/>
  <c r="K619" i="1"/>
  <c r="P619" i="1" s="1"/>
  <c r="K618" i="1"/>
  <c r="P618" i="1" s="1"/>
  <c r="K617" i="1"/>
  <c r="P617" i="1" s="1"/>
  <c r="K616" i="1"/>
  <c r="P616" i="1" s="1"/>
  <c r="K615" i="1"/>
  <c r="P615" i="1" s="1"/>
  <c r="K614" i="1"/>
  <c r="P614" i="1" s="1"/>
  <c r="K613" i="1"/>
  <c r="P613" i="1" s="1"/>
  <c r="K612" i="1"/>
  <c r="P612" i="1" s="1"/>
  <c r="K611" i="1"/>
  <c r="P611" i="1" s="1"/>
  <c r="K610" i="1"/>
  <c r="P610" i="1" s="1"/>
  <c r="K609" i="1"/>
  <c r="P609" i="1" s="1"/>
  <c r="K608" i="1"/>
  <c r="P608" i="1" s="1"/>
  <c r="K607" i="1"/>
  <c r="P607" i="1" s="1"/>
  <c r="K606" i="1"/>
  <c r="P606" i="1" s="1"/>
  <c r="K605" i="1"/>
  <c r="P605" i="1" s="1"/>
  <c r="K604" i="1"/>
  <c r="P604" i="1" s="1"/>
  <c r="K603" i="1"/>
  <c r="P603" i="1" s="1"/>
  <c r="K602" i="1"/>
  <c r="P602" i="1" s="1"/>
  <c r="K601" i="1"/>
  <c r="P601" i="1" s="1"/>
  <c r="K600" i="1"/>
  <c r="P600" i="1" s="1"/>
  <c r="K599" i="1"/>
  <c r="P599" i="1" s="1"/>
  <c r="K598" i="1"/>
  <c r="P598" i="1" s="1"/>
  <c r="K597" i="1"/>
  <c r="P597" i="1" s="1"/>
  <c r="K596" i="1"/>
  <c r="P596" i="1" s="1"/>
  <c r="K595" i="1"/>
  <c r="P595" i="1" s="1"/>
  <c r="K594" i="1"/>
  <c r="P594" i="1" s="1"/>
  <c r="K593" i="1"/>
  <c r="P593" i="1" s="1"/>
  <c r="K592" i="1"/>
  <c r="P592" i="1" s="1"/>
  <c r="K591" i="1"/>
  <c r="P591" i="1" s="1"/>
  <c r="K590" i="1"/>
  <c r="P590" i="1" s="1"/>
  <c r="K589" i="1"/>
  <c r="P589" i="1" s="1"/>
  <c r="K588" i="1"/>
  <c r="P588" i="1" s="1"/>
  <c r="K587" i="1"/>
  <c r="P587" i="1" s="1"/>
  <c r="K586" i="1"/>
  <c r="P586" i="1" s="1"/>
  <c r="K585" i="1"/>
  <c r="P585" i="1" s="1"/>
  <c r="K584" i="1"/>
  <c r="P584" i="1" s="1"/>
  <c r="K583" i="1"/>
  <c r="P583" i="1" s="1"/>
  <c r="K582" i="1"/>
  <c r="P582" i="1" s="1"/>
  <c r="K581" i="1"/>
  <c r="P581" i="1" s="1"/>
  <c r="K580" i="1"/>
  <c r="P580" i="1" s="1"/>
  <c r="K579" i="1"/>
  <c r="P579" i="1" s="1"/>
  <c r="K578" i="1"/>
  <c r="P578" i="1" s="1"/>
  <c r="K577" i="1"/>
  <c r="P577" i="1" s="1"/>
  <c r="K576" i="1"/>
  <c r="P576" i="1" s="1"/>
  <c r="K575" i="1"/>
  <c r="P575" i="1" s="1"/>
  <c r="K574" i="1"/>
  <c r="P574" i="1" s="1"/>
  <c r="K573" i="1"/>
  <c r="P573" i="1" s="1"/>
  <c r="K572" i="1"/>
  <c r="P572" i="1" s="1"/>
  <c r="K571" i="1"/>
  <c r="P571" i="1" s="1"/>
  <c r="K570" i="1"/>
  <c r="P570" i="1" s="1"/>
  <c r="K569" i="1"/>
  <c r="P569" i="1" s="1"/>
  <c r="K568" i="1"/>
  <c r="P568" i="1" s="1"/>
  <c r="K567" i="1"/>
  <c r="P567" i="1" s="1"/>
  <c r="K566" i="1"/>
  <c r="P566" i="1" s="1"/>
  <c r="K565" i="1"/>
  <c r="P565" i="1" s="1"/>
  <c r="K564" i="1"/>
  <c r="P564" i="1" s="1"/>
  <c r="K563" i="1"/>
  <c r="P563" i="1" s="1"/>
  <c r="K562" i="1"/>
  <c r="P562" i="1" s="1"/>
  <c r="K561" i="1"/>
  <c r="P561" i="1" s="1"/>
  <c r="K560" i="1"/>
  <c r="P560" i="1" s="1"/>
  <c r="K559" i="1"/>
  <c r="P559" i="1" s="1"/>
  <c r="K558" i="1"/>
  <c r="P558" i="1" s="1"/>
  <c r="K557" i="1"/>
  <c r="P557" i="1" s="1"/>
  <c r="K556" i="1"/>
  <c r="P556" i="1" s="1"/>
  <c r="K555" i="1"/>
  <c r="P555" i="1" s="1"/>
  <c r="K554" i="1"/>
  <c r="P554" i="1" s="1"/>
  <c r="K553" i="1"/>
  <c r="P553" i="1" s="1"/>
  <c r="K552" i="1"/>
  <c r="P552" i="1" s="1"/>
  <c r="K551" i="1"/>
  <c r="P551" i="1" s="1"/>
  <c r="K550" i="1"/>
  <c r="P550" i="1" s="1"/>
  <c r="K549" i="1"/>
  <c r="P549" i="1" s="1"/>
  <c r="K548" i="1"/>
  <c r="P548" i="1" s="1"/>
  <c r="K547" i="1"/>
  <c r="P547" i="1" s="1"/>
  <c r="K546" i="1"/>
  <c r="P546" i="1" s="1"/>
  <c r="K545" i="1"/>
  <c r="P545" i="1" s="1"/>
  <c r="K544" i="1"/>
  <c r="P544" i="1" s="1"/>
  <c r="K543" i="1"/>
  <c r="P543" i="1" s="1"/>
  <c r="K542" i="1"/>
  <c r="P542" i="1" s="1"/>
  <c r="K541" i="1"/>
  <c r="P541" i="1" s="1"/>
  <c r="K540" i="1"/>
  <c r="P540" i="1" s="1"/>
  <c r="K539" i="1"/>
  <c r="P539" i="1" s="1"/>
  <c r="K538" i="1"/>
  <c r="P538" i="1" s="1"/>
  <c r="K537" i="1"/>
  <c r="P537" i="1" s="1"/>
  <c r="K536" i="1"/>
  <c r="P536" i="1" s="1"/>
  <c r="K535" i="1"/>
  <c r="P535" i="1" s="1"/>
  <c r="K534" i="1"/>
  <c r="P534" i="1" s="1"/>
  <c r="K533" i="1"/>
  <c r="P533" i="1" s="1"/>
  <c r="K532" i="1"/>
  <c r="P532" i="1" s="1"/>
  <c r="K531" i="1"/>
  <c r="P531" i="1" s="1"/>
  <c r="K530" i="1"/>
  <c r="P530" i="1" s="1"/>
  <c r="K529" i="1"/>
  <c r="P529" i="1" s="1"/>
  <c r="K528" i="1"/>
  <c r="P528" i="1" s="1"/>
  <c r="K527" i="1"/>
  <c r="P527" i="1" s="1"/>
  <c r="K526" i="1"/>
  <c r="P526" i="1" s="1"/>
  <c r="K525" i="1"/>
  <c r="P525" i="1" s="1"/>
  <c r="K524" i="1"/>
  <c r="P524" i="1" s="1"/>
  <c r="K523" i="1"/>
  <c r="P523" i="1" s="1"/>
  <c r="K522" i="1"/>
  <c r="P522" i="1" s="1"/>
  <c r="K521" i="1"/>
  <c r="P521" i="1" s="1"/>
  <c r="K520" i="1"/>
  <c r="P520" i="1" s="1"/>
  <c r="K519" i="1"/>
  <c r="P519" i="1" s="1"/>
  <c r="K518" i="1"/>
  <c r="P518" i="1" s="1"/>
  <c r="K517" i="1"/>
  <c r="P517" i="1" s="1"/>
  <c r="K516" i="1"/>
  <c r="P516" i="1" s="1"/>
  <c r="K515" i="1"/>
  <c r="P515" i="1" s="1"/>
  <c r="K514" i="1"/>
  <c r="P514" i="1" s="1"/>
  <c r="K513" i="1"/>
  <c r="P513" i="1" s="1"/>
  <c r="K512" i="1"/>
  <c r="P512" i="1" s="1"/>
  <c r="K511" i="1"/>
  <c r="P511" i="1" s="1"/>
  <c r="K510" i="1"/>
  <c r="P510" i="1" s="1"/>
  <c r="K509" i="1"/>
  <c r="P509" i="1" s="1"/>
  <c r="K508" i="1"/>
  <c r="P508" i="1" s="1"/>
  <c r="K507" i="1"/>
  <c r="P507" i="1" s="1"/>
  <c r="K506" i="1"/>
  <c r="P506" i="1" s="1"/>
  <c r="K505" i="1"/>
  <c r="P505" i="1" s="1"/>
  <c r="K504" i="1"/>
  <c r="P504" i="1" s="1"/>
  <c r="K503" i="1"/>
  <c r="P503" i="1" s="1"/>
  <c r="K502" i="1"/>
  <c r="P502" i="1" s="1"/>
  <c r="K501" i="1"/>
  <c r="P501" i="1" s="1"/>
  <c r="K500" i="1"/>
  <c r="P500" i="1" s="1"/>
  <c r="K499" i="1"/>
  <c r="P499" i="1" s="1"/>
  <c r="K498" i="1"/>
  <c r="P498" i="1" s="1"/>
  <c r="K497" i="1"/>
  <c r="P497" i="1" s="1"/>
  <c r="K496" i="1"/>
  <c r="P496" i="1" s="1"/>
  <c r="K495" i="1"/>
  <c r="P495" i="1" s="1"/>
  <c r="K494" i="1"/>
  <c r="P494" i="1" s="1"/>
  <c r="K493" i="1"/>
  <c r="P493" i="1" s="1"/>
  <c r="K492" i="1"/>
  <c r="P492" i="1" s="1"/>
  <c r="K491" i="1"/>
  <c r="P491" i="1" s="1"/>
  <c r="K490" i="1"/>
  <c r="P490" i="1" s="1"/>
  <c r="K489" i="1"/>
  <c r="P489" i="1" s="1"/>
  <c r="K488" i="1"/>
  <c r="P488" i="1" s="1"/>
  <c r="K487" i="1"/>
  <c r="P487" i="1" s="1"/>
  <c r="K486" i="1"/>
  <c r="P486" i="1" s="1"/>
  <c r="K485" i="1"/>
  <c r="P485" i="1" s="1"/>
  <c r="K484" i="1"/>
  <c r="P484" i="1" s="1"/>
  <c r="K483" i="1"/>
  <c r="P483" i="1" s="1"/>
  <c r="K482" i="1"/>
  <c r="P482" i="1" s="1"/>
  <c r="K481" i="1"/>
  <c r="P481" i="1" s="1"/>
  <c r="K480" i="1"/>
  <c r="P480" i="1" s="1"/>
  <c r="K479" i="1"/>
  <c r="P479" i="1" s="1"/>
  <c r="K478" i="1"/>
  <c r="P478" i="1" s="1"/>
  <c r="K477" i="1"/>
  <c r="P477" i="1" s="1"/>
  <c r="K476" i="1"/>
  <c r="P476" i="1" s="1"/>
  <c r="K475" i="1"/>
  <c r="P475" i="1" s="1"/>
  <c r="K474" i="1"/>
  <c r="P474" i="1" s="1"/>
  <c r="K473" i="1"/>
  <c r="P473" i="1" s="1"/>
  <c r="K472" i="1"/>
  <c r="P472" i="1" s="1"/>
  <c r="K471" i="1"/>
  <c r="P471" i="1" s="1"/>
  <c r="K470" i="1"/>
  <c r="P470" i="1" s="1"/>
  <c r="K469" i="1"/>
  <c r="P469" i="1" s="1"/>
  <c r="K468" i="1"/>
  <c r="P468" i="1" s="1"/>
  <c r="K467" i="1"/>
  <c r="P467" i="1" s="1"/>
  <c r="K466" i="1"/>
  <c r="P466" i="1" s="1"/>
  <c r="K465" i="1"/>
  <c r="P465" i="1" s="1"/>
  <c r="K464" i="1"/>
  <c r="P464" i="1" s="1"/>
  <c r="K463" i="1"/>
  <c r="P463" i="1" s="1"/>
  <c r="K462" i="1"/>
  <c r="P462" i="1" s="1"/>
  <c r="K461" i="1"/>
  <c r="P461" i="1" s="1"/>
  <c r="K460" i="1"/>
  <c r="P460" i="1" s="1"/>
  <c r="K459" i="1"/>
  <c r="P459" i="1" s="1"/>
  <c r="K458" i="1"/>
  <c r="P458" i="1" s="1"/>
  <c r="K457" i="1"/>
  <c r="P457" i="1" s="1"/>
  <c r="K456" i="1"/>
  <c r="P456" i="1" s="1"/>
  <c r="K455" i="1"/>
  <c r="P455" i="1" s="1"/>
  <c r="K454" i="1"/>
  <c r="P454" i="1" s="1"/>
  <c r="K453" i="1"/>
  <c r="P453" i="1" s="1"/>
  <c r="K452" i="1"/>
  <c r="P452" i="1" s="1"/>
  <c r="K451" i="1"/>
  <c r="P451" i="1" s="1"/>
  <c r="K450" i="1"/>
  <c r="P450" i="1" s="1"/>
  <c r="K449" i="1"/>
  <c r="P449" i="1" s="1"/>
  <c r="K448" i="1"/>
  <c r="P448" i="1" s="1"/>
  <c r="K447" i="1"/>
  <c r="P447" i="1" s="1"/>
  <c r="K446" i="1"/>
  <c r="P446" i="1" s="1"/>
  <c r="K445" i="1"/>
  <c r="P445" i="1" s="1"/>
  <c r="K444" i="1"/>
  <c r="P444" i="1" s="1"/>
  <c r="K443" i="1"/>
  <c r="P443" i="1" s="1"/>
  <c r="K442" i="1"/>
  <c r="P442" i="1" s="1"/>
  <c r="K441" i="1"/>
  <c r="P441" i="1" s="1"/>
  <c r="K440" i="1"/>
  <c r="P440" i="1" s="1"/>
  <c r="K439" i="1"/>
  <c r="P439" i="1" s="1"/>
  <c r="K438" i="1"/>
  <c r="P438" i="1" s="1"/>
  <c r="K437" i="1"/>
  <c r="P437" i="1" s="1"/>
  <c r="K436" i="1"/>
  <c r="P436" i="1" s="1"/>
  <c r="K435" i="1"/>
  <c r="P435" i="1" s="1"/>
  <c r="K434" i="1"/>
  <c r="P434" i="1" s="1"/>
  <c r="K433" i="1"/>
  <c r="P433" i="1" s="1"/>
  <c r="K432" i="1"/>
  <c r="P432" i="1" s="1"/>
  <c r="K431" i="1"/>
  <c r="P431" i="1" s="1"/>
  <c r="K430" i="1"/>
  <c r="P430" i="1" s="1"/>
  <c r="K429" i="1"/>
  <c r="P429" i="1" s="1"/>
  <c r="K428" i="1"/>
  <c r="P428" i="1" s="1"/>
  <c r="K427" i="1"/>
  <c r="P427" i="1" s="1"/>
  <c r="K426" i="1"/>
  <c r="P426" i="1" s="1"/>
  <c r="K425" i="1"/>
  <c r="P425" i="1" s="1"/>
  <c r="K424" i="1"/>
  <c r="P424" i="1" s="1"/>
  <c r="K423" i="1"/>
  <c r="P423" i="1" s="1"/>
  <c r="K422" i="1"/>
  <c r="P422" i="1" s="1"/>
  <c r="K421" i="1"/>
  <c r="P421" i="1" s="1"/>
  <c r="K420" i="1"/>
  <c r="P420" i="1" s="1"/>
  <c r="K419" i="1"/>
  <c r="P419" i="1" s="1"/>
  <c r="K418" i="1"/>
  <c r="P418" i="1" s="1"/>
  <c r="K417" i="1"/>
  <c r="P417" i="1" s="1"/>
  <c r="K416" i="1"/>
  <c r="P416" i="1" s="1"/>
  <c r="K415" i="1"/>
  <c r="P415" i="1" s="1"/>
  <c r="K414" i="1"/>
  <c r="P414" i="1" s="1"/>
  <c r="K413" i="1"/>
  <c r="P413" i="1" s="1"/>
  <c r="K412" i="1"/>
  <c r="P412" i="1" s="1"/>
  <c r="K411" i="1"/>
  <c r="P411" i="1" s="1"/>
  <c r="K410" i="1"/>
  <c r="P410" i="1" s="1"/>
  <c r="K409" i="1"/>
  <c r="P409" i="1" s="1"/>
  <c r="K408" i="1"/>
  <c r="P408" i="1" s="1"/>
  <c r="K407" i="1"/>
  <c r="P407" i="1" s="1"/>
  <c r="K406" i="1"/>
  <c r="P406" i="1" s="1"/>
  <c r="K405" i="1"/>
  <c r="P405" i="1" s="1"/>
  <c r="K404" i="1"/>
  <c r="P404" i="1" s="1"/>
  <c r="K403" i="1"/>
  <c r="P403" i="1" s="1"/>
  <c r="K402" i="1"/>
  <c r="P402" i="1" s="1"/>
  <c r="K401" i="1"/>
  <c r="P401" i="1" s="1"/>
  <c r="K400" i="1"/>
  <c r="P400" i="1" s="1"/>
  <c r="K399" i="1"/>
  <c r="P399" i="1" s="1"/>
  <c r="K398" i="1"/>
  <c r="P398" i="1" s="1"/>
  <c r="K397" i="1"/>
  <c r="P397" i="1" s="1"/>
  <c r="K396" i="1"/>
  <c r="P396" i="1" s="1"/>
  <c r="K395" i="1"/>
  <c r="P395" i="1" s="1"/>
  <c r="K394" i="1"/>
  <c r="P394" i="1" s="1"/>
  <c r="K393" i="1"/>
  <c r="P393" i="1" s="1"/>
  <c r="K392" i="1"/>
  <c r="P392" i="1" s="1"/>
  <c r="K391" i="1"/>
  <c r="P391" i="1" s="1"/>
  <c r="K390" i="1"/>
  <c r="P390" i="1" s="1"/>
  <c r="K389" i="1"/>
  <c r="P389" i="1" s="1"/>
  <c r="K388" i="1"/>
  <c r="P388" i="1" s="1"/>
  <c r="K387" i="1"/>
  <c r="P387" i="1" s="1"/>
  <c r="K386" i="1"/>
  <c r="P386" i="1" s="1"/>
  <c r="K385" i="1"/>
  <c r="P385" i="1" s="1"/>
  <c r="K384" i="1"/>
  <c r="P384" i="1" s="1"/>
  <c r="K383" i="1"/>
  <c r="P383" i="1" s="1"/>
  <c r="K382" i="1"/>
  <c r="P382" i="1" s="1"/>
  <c r="K381" i="1"/>
  <c r="P381" i="1" s="1"/>
  <c r="K380" i="1"/>
  <c r="P380" i="1" s="1"/>
  <c r="K379" i="1"/>
  <c r="P379" i="1" s="1"/>
  <c r="K378" i="1"/>
  <c r="P378" i="1" s="1"/>
  <c r="K377" i="1"/>
  <c r="P377" i="1" s="1"/>
  <c r="K376" i="1"/>
  <c r="P376" i="1" s="1"/>
  <c r="K375" i="1"/>
  <c r="P375" i="1" s="1"/>
  <c r="K374" i="1"/>
  <c r="P374" i="1" s="1"/>
  <c r="K373" i="1"/>
  <c r="P373" i="1" s="1"/>
  <c r="K372" i="1"/>
  <c r="P372" i="1" s="1"/>
  <c r="K371" i="1"/>
  <c r="P371" i="1" s="1"/>
  <c r="K370" i="1"/>
  <c r="P370" i="1" s="1"/>
  <c r="K369" i="1"/>
  <c r="P369" i="1" s="1"/>
  <c r="K368" i="1"/>
  <c r="P368" i="1" s="1"/>
  <c r="K367" i="1"/>
  <c r="P367" i="1" s="1"/>
  <c r="K366" i="1"/>
  <c r="P366" i="1" s="1"/>
  <c r="K365" i="1"/>
  <c r="P365" i="1" s="1"/>
  <c r="K364" i="1"/>
  <c r="P364" i="1" s="1"/>
  <c r="K363" i="1"/>
  <c r="P363" i="1" s="1"/>
  <c r="K362" i="1"/>
  <c r="P362" i="1" s="1"/>
  <c r="K361" i="1"/>
  <c r="P361" i="1" s="1"/>
  <c r="K360" i="1"/>
  <c r="P360" i="1" s="1"/>
  <c r="K359" i="1"/>
  <c r="P359" i="1" s="1"/>
  <c r="K358" i="1"/>
  <c r="P358" i="1" s="1"/>
  <c r="K357" i="1"/>
  <c r="P357" i="1" s="1"/>
  <c r="K356" i="1"/>
  <c r="P356" i="1" s="1"/>
  <c r="K355" i="1"/>
  <c r="P355" i="1" s="1"/>
  <c r="K354" i="1"/>
  <c r="P354" i="1" s="1"/>
  <c r="K353" i="1"/>
  <c r="P353" i="1" s="1"/>
  <c r="K352" i="1"/>
  <c r="P352" i="1" s="1"/>
  <c r="K351" i="1"/>
  <c r="P351" i="1" s="1"/>
  <c r="K350" i="1"/>
  <c r="P350" i="1" s="1"/>
  <c r="K349" i="1"/>
  <c r="P349" i="1" s="1"/>
  <c r="K348" i="1"/>
  <c r="P348" i="1" s="1"/>
  <c r="K347" i="1"/>
  <c r="P347" i="1" s="1"/>
  <c r="K346" i="1"/>
  <c r="P346" i="1" s="1"/>
  <c r="K345" i="1"/>
  <c r="P345" i="1" s="1"/>
  <c r="K344" i="1"/>
  <c r="P344" i="1" s="1"/>
  <c r="K343" i="1"/>
  <c r="P343" i="1" s="1"/>
  <c r="K342" i="1"/>
  <c r="P342" i="1" s="1"/>
  <c r="K341" i="1"/>
  <c r="P341" i="1" s="1"/>
  <c r="K340" i="1"/>
  <c r="P340" i="1" s="1"/>
  <c r="K339" i="1"/>
  <c r="P339" i="1" s="1"/>
  <c r="K338" i="1"/>
  <c r="P338" i="1" s="1"/>
  <c r="K337" i="1"/>
  <c r="P337" i="1" s="1"/>
  <c r="K336" i="1"/>
  <c r="P336" i="1" s="1"/>
  <c r="K335" i="1"/>
  <c r="P335" i="1" s="1"/>
  <c r="K334" i="1"/>
  <c r="P334" i="1" s="1"/>
  <c r="K333" i="1"/>
  <c r="P333" i="1" s="1"/>
  <c r="K332" i="1"/>
  <c r="P332" i="1" s="1"/>
  <c r="K331" i="1"/>
  <c r="P331" i="1" s="1"/>
  <c r="K330" i="1"/>
  <c r="P330" i="1" s="1"/>
  <c r="K329" i="1"/>
  <c r="P329" i="1" s="1"/>
  <c r="K328" i="1"/>
  <c r="P328" i="1" s="1"/>
  <c r="K327" i="1"/>
  <c r="P327" i="1" s="1"/>
  <c r="K326" i="1"/>
  <c r="P326" i="1" s="1"/>
  <c r="K325" i="1"/>
  <c r="P325" i="1" s="1"/>
  <c r="K324" i="1"/>
  <c r="P324" i="1" s="1"/>
  <c r="K323" i="1"/>
  <c r="P323" i="1" s="1"/>
  <c r="K322" i="1"/>
  <c r="P322" i="1" s="1"/>
  <c r="K321" i="1"/>
  <c r="P321" i="1" s="1"/>
  <c r="K320" i="1"/>
  <c r="P320" i="1" s="1"/>
  <c r="K319" i="1"/>
  <c r="P319" i="1" s="1"/>
  <c r="K318" i="1"/>
  <c r="P318" i="1" s="1"/>
  <c r="K317" i="1"/>
  <c r="P317" i="1" s="1"/>
  <c r="K316" i="1"/>
  <c r="P316" i="1" s="1"/>
  <c r="K315" i="1"/>
  <c r="P315" i="1" s="1"/>
  <c r="K314" i="1"/>
  <c r="P314" i="1" s="1"/>
  <c r="K313" i="1"/>
  <c r="P313" i="1" s="1"/>
  <c r="K312" i="1"/>
  <c r="P312" i="1" s="1"/>
  <c r="K311" i="1"/>
  <c r="P311" i="1" s="1"/>
  <c r="K310" i="1"/>
  <c r="P310" i="1" s="1"/>
  <c r="K309" i="1"/>
  <c r="P309" i="1" s="1"/>
  <c r="K308" i="1"/>
  <c r="P308" i="1" s="1"/>
  <c r="K307" i="1"/>
  <c r="P307" i="1" s="1"/>
  <c r="K306" i="1"/>
  <c r="P306" i="1" s="1"/>
  <c r="K305" i="1"/>
  <c r="P305" i="1" s="1"/>
  <c r="K304" i="1"/>
  <c r="P304" i="1" s="1"/>
  <c r="K303" i="1"/>
  <c r="P303" i="1" s="1"/>
  <c r="K302" i="1"/>
  <c r="P302" i="1" s="1"/>
  <c r="K301" i="1"/>
  <c r="P301" i="1" s="1"/>
  <c r="K300" i="1"/>
  <c r="P300" i="1" s="1"/>
  <c r="K299" i="1"/>
  <c r="P299" i="1" s="1"/>
  <c r="K298" i="1"/>
  <c r="P298" i="1" s="1"/>
  <c r="K297" i="1"/>
  <c r="P297" i="1" s="1"/>
  <c r="K296" i="1"/>
  <c r="P296" i="1" s="1"/>
  <c r="K295" i="1"/>
  <c r="P295" i="1" s="1"/>
  <c r="K294" i="1"/>
  <c r="P294" i="1" s="1"/>
  <c r="K293" i="1"/>
  <c r="P293" i="1" s="1"/>
  <c r="K292" i="1"/>
  <c r="P292" i="1" s="1"/>
  <c r="K291" i="1"/>
  <c r="P291" i="1" s="1"/>
  <c r="K290" i="1"/>
  <c r="P290" i="1" s="1"/>
  <c r="K289" i="1"/>
  <c r="P289" i="1" s="1"/>
  <c r="K288" i="1"/>
  <c r="P288" i="1" s="1"/>
  <c r="K287" i="1"/>
  <c r="P287" i="1" s="1"/>
  <c r="K286" i="1"/>
  <c r="P286" i="1" s="1"/>
  <c r="K285" i="1"/>
  <c r="P285" i="1" s="1"/>
  <c r="K284" i="1"/>
  <c r="P284" i="1" s="1"/>
  <c r="K283" i="1"/>
  <c r="P283" i="1" s="1"/>
  <c r="K282" i="1"/>
  <c r="P282" i="1" s="1"/>
  <c r="K281" i="1"/>
  <c r="P281" i="1" s="1"/>
  <c r="K280" i="1"/>
  <c r="P280" i="1" s="1"/>
  <c r="K279" i="1"/>
  <c r="P279" i="1" s="1"/>
  <c r="K278" i="1"/>
  <c r="P278" i="1" s="1"/>
  <c r="K277" i="1"/>
  <c r="P277" i="1" s="1"/>
  <c r="K276" i="1"/>
  <c r="P276" i="1" s="1"/>
  <c r="K275" i="1"/>
  <c r="P275" i="1" s="1"/>
  <c r="K274" i="1"/>
  <c r="P274" i="1" s="1"/>
  <c r="K273" i="1"/>
  <c r="P273" i="1" s="1"/>
  <c r="K272" i="1"/>
  <c r="P272" i="1" s="1"/>
  <c r="K271" i="1"/>
  <c r="P271" i="1" s="1"/>
  <c r="K270" i="1"/>
  <c r="P270" i="1" s="1"/>
  <c r="K269" i="1"/>
  <c r="P269" i="1" s="1"/>
  <c r="K268" i="1"/>
  <c r="P268" i="1" s="1"/>
  <c r="K267" i="1"/>
  <c r="P267" i="1" s="1"/>
  <c r="K266" i="1"/>
  <c r="P266" i="1" s="1"/>
  <c r="K265" i="1"/>
  <c r="P265" i="1" s="1"/>
  <c r="K264" i="1"/>
  <c r="P264" i="1" s="1"/>
  <c r="K263" i="1"/>
  <c r="P263" i="1" s="1"/>
  <c r="K262" i="1"/>
  <c r="P262" i="1" s="1"/>
  <c r="K261" i="1"/>
  <c r="P261" i="1" s="1"/>
  <c r="K260" i="1"/>
  <c r="P260" i="1" s="1"/>
  <c r="K259" i="1"/>
  <c r="P259" i="1" s="1"/>
  <c r="K258" i="1"/>
  <c r="P258" i="1" s="1"/>
  <c r="K257" i="1"/>
  <c r="P257" i="1" s="1"/>
  <c r="K256" i="1"/>
  <c r="P256" i="1" s="1"/>
  <c r="K255" i="1"/>
  <c r="P255" i="1" s="1"/>
  <c r="K254" i="1"/>
  <c r="P254" i="1" s="1"/>
  <c r="K253" i="1"/>
  <c r="P253" i="1" s="1"/>
  <c r="K252" i="1"/>
  <c r="P252" i="1" s="1"/>
  <c r="K251" i="1"/>
  <c r="P251" i="1" s="1"/>
  <c r="K250" i="1"/>
  <c r="P250" i="1" s="1"/>
  <c r="K249" i="1"/>
  <c r="P249" i="1" s="1"/>
  <c r="K248" i="1"/>
  <c r="P248" i="1" s="1"/>
  <c r="K247" i="1"/>
  <c r="P247" i="1" s="1"/>
  <c r="K246" i="1"/>
  <c r="P246" i="1" s="1"/>
  <c r="K245" i="1"/>
  <c r="P245" i="1" s="1"/>
  <c r="K244" i="1"/>
  <c r="P244" i="1" s="1"/>
  <c r="K243" i="1"/>
  <c r="P243" i="1" s="1"/>
  <c r="K242" i="1"/>
  <c r="P242" i="1" s="1"/>
  <c r="K241" i="1"/>
  <c r="P241" i="1" s="1"/>
  <c r="K240" i="1"/>
  <c r="P240" i="1" s="1"/>
  <c r="K239" i="1"/>
  <c r="P239" i="1" s="1"/>
  <c r="K238" i="1"/>
  <c r="P238" i="1" s="1"/>
  <c r="K237" i="1"/>
  <c r="P237" i="1" s="1"/>
  <c r="K236" i="1"/>
  <c r="P236" i="1" s="1"/>
  <c r="K235" i="1"/>
  <c r="P235" i="1" s="1"/>
  <c r="K234" i="1"/>
  <c r="P234" i="1" s="1"/>
  <c r="K233" i="1"/>
  <c r="P233" i="1" s="1"/>
  <c r="K232" i="1"/>
  <c r="P232" i="1" s="1"/>
  <c r="K231" i="1"/>
  <c r="P231" i="1" s="1"/>
  <c r="K230" i="1"/>
  <c r="P230" i="1" s="1"/>
  <c r="K229" i="1"/>
  <c r="P229" i="1" s="1"/>
  <c r="K228" i="1"/>
  <c r="P228" i="1" s="1"/>
  <c r="K227" i="1"/>
  <c r="P227" i="1" s="1"/>
  <c r="K226" i="1"/>
  <c r="P226" i="1" s="1"/>
  <c r="K225" i="1"/>
  <c r="P225" i="1" s="1"/>
  <c r="K224" i="1"/>
  <c r="P224" i="1" s="1"/>
  <c r="K223" i="1"/>
  <c r="P223" i="1" s="1"/>
  <c r="K222" i="1"/>
  <c r="P222" i="1" s="1"/>
  <c r="K221" i="1"/>
  <c r="P221" i="1" s="1"/>
  <c r="K220" i="1"/>
  <c r="P220" i="1" s="1"/>
  <c r="K219" i="1"/>
  <c r="P219" i="1" s="1"/>
  <c r="K218" i="1"/>
  <c r="P218" i="1" s="1"/>
  <c r="K217" i="1"/>
  <c r="P217" i="1" s="1"/>
  <c r="K216" i="1"/>
  <c r="P216" i="1" s="1"/>
  <c r="K215" i="1"/>
  <c r="P215" i="1" s="1"/>
  <c r="K214" i="1"/>
  <c r="P214" i="1" s="1"/>
  <c r="K213" i="1"/>
  <c r="P213" i="1" s="1"/>
  <c r="K212" i="1"/>
  <c r="P212" i="1" s="1"/>
  <c r="K211" i="1"/>
  <c r="P211" i="1" s="1"/>
  <c r="K210" i="1"/>
  <c r="P210" i="1" s="1"/>
  <c r="K209" i="1"/>
  <c r="P209" i="1" s="1"/>
  <c r="K208" i="1"/>
  <c r="P208" i="1" s="1"/>
  <c r="K207" i="1"/>
  <c r="P207" i="1" s="1"/>
  <c r="K206" i="1"/>
  <c r="P206" i="1" s="1"/>
  <c r="K205" i="1"/>
  <c r="P205" i="1" s="1"/>
  <c r="K204" i="1"/>
  <c r="P204" i="1" s="1"/>
  <c r="K203" i="1"/>
  <c r="P203" i="1" s="1"/>
  <c r="K202" i="1"/>
  <c r="P202" i="1" s="1"/>
  <c r="K201" i="1"/>
  <c r="P201" i="1" s="1"/>
  <c r="K200" i="1"/>
  <c r="P200" i="1" s="1"/>
  <c r="K199" i="1"/>
  <c r="P199" i="1" s="1"/>
  <c r="K198" i="1"/>
  <c r="P198" i="1" s="1"/>
  <c r="K197" i="1"/>
  <c r="P197" i="1" s="1"/>
  <c r="K196" i="1"/>
  <c r="P196" i="1" s="1"/>
  <c r="K195" i="1"/>
  <c r="P195" i="1" s="1"/>
  <c r="K194" i="1"/>
  <c r="P194" i="1" s="1"/>
  <c r="K193" i="1"/>
  <c r="P193" i="1" s="1"/>
  <c r="K192" i="1"/>
  <c r="P192" i="1" s="1"/>
  <c r="K191" i="1"/>
  <c r="P191" i="1" s="1"/>
  <c r="K190" i="1"/>
  <c r="P190" i="1" s="1"/>
  <c r="K189" i="1"/>
  <c r="P189" i="1" s="1"/>
  <c r="K188" i="1"/>
  <c r="P188" i="1" s="1"/>
  <c r="K187" i="1"/>
  <c r="P187" i="1" s="1"/>
  <c r="K186" i="1"/>
  <c r="P186" i="1" s="1"/>
  <c r="K185" i="1"/>
  <c r="P185" i="1" s="1"/>
  <c r="K184" i="1"/>
  <c r="P184" i="1" s="1"/>
  <c r="K183" i="1"/>
  <c r="P183" i="1" s="1"/>
  <c r="K182" i="1"/>
  <c r="P182" i="1" s="1"/>
  <c r="K181" i="1"/>
  <c r="P181" i="1" s="1"/>
  <c r="K180" i="1"/>
  <c r="P180" i="1" s="1"/>
  <c r="K179" i="1"/>
  <c r="P179" i="1" s="1"/>
  <c r="K178" i="1"/>
  <c r="P178" i="1" s="1"/>
  <c r="K177" i="1"/>
  <c r="P177" i="1" s="1"/>
  <c r="K176" i="1"/>
  <c r="P176" i="1" s="1"/>
  <c r="K175" i="1"/>
  <c r="P175" i="1" s="1"/>
  <c r="K174" i="1"/>
  <c r="P174" i="1" s="1"/>
  <c r="K173" i="1"/>
  <c r="P173" i="1" s="1"/>
  <c r="K172" i="1"/>
  <c r="P172" i="1" s="1"/>
  <c r="K171" i="1"/>
  <c r="P171" i="1" s="1"/>
  <c r="K170" i="1"/>
  <c r="P170" i="1" s="1"/>
  <c r="K169" i="1"/>
  <c r="P169" i="1" s="1"/>
  <c r="K168" i="1"/>
  <c r="P168" i="1" s="1"/>
  <c r="K167" i="1"/>
  <c r="P167" i="1" s="1"/>
  <c r="K166" i="1"/>
  <c r="P166" i="1" s="1"/>
  <c r="K165" i="1"/>
  <c r="P165" i="1" s="1"/>
  <c r="K164" i="1"/>
  <c r="P164" i="1" s="1"/>
  <c r="K163" i="1"/>
  <c r="P163" i="1" s="1"/>
  <c r="K162" i="1"/>
  <c r="P162" i="1" s="1"/>
  <c r="K161" i="1"/>
  <c r="P161" i="1" s="1"/>
  <c r="K160" i="1"/>
  <c r="P160" i="1" s="1"/>
  <c r="K159" i="1"/>
  <c r="P159" i="1" s="1"/>
  <c r="K158" i="1"/>
  <c r="P158" i="1" s="1"/>
  <c r="K157" i="1"/>
  <c r="P157" i="1" s="1"/>
  <c r="K156" i="1"/>
  <c r="P156" i="1" s="1"/>
  <c r="K155" i="1"/>
  <c r="P155" i="1" s="1"/>
  <c r="K154" i="1"/>
  <c r="P154" i="1" s="1"/>
  <c r="K153" i="1"/>
  <c r="P153" i="1" s="1"/>
  <c r="K152" i="1"/>
  <c r="P152" i="1" s="1"/>
  <c r="K151" i="1"/>
  <c r="P151" i="1" s="1"/>
  <c r="K150" i="1"/>
  <c r="P150" i="1" s="1"/>
  <c r="K149" i="1"/>
  <c r="P149" i="1" s="1"/>
  <c r="K148" i="1"/>
  <c r="P148" i="1" s="1"/>
  <c r="K147" i="1"/>
  <c r="P147" i="1" s="1"/>
  <c r="K146" i="1"/>
  <c r="P146" i="1" s="1"/>
  <c r="K145" i="1"/>
  <c r="P145" i="1" s="1"/>
  <c r="K144" i="1"/>
  <c r="P144" i="1" s="1"/>
  <c r="K143" i="1"/>
  <c r="P143" i="1" s="1"/>
  <c r="K142" i="1"/>
  <c r="P142" i="1" s="1"/>
  <c r="K141" i="1"/>
  <c r="P141" i="1" s="1"/>
  <c r="K140" i="1"/>
  <c r="P140" i="1" s="1"/>
  <c r="K139" i="1"/>
  <c r="P139" i="1" s="1"/>
  <c r="K138" i="1"/>
  <c r="P138" i="1" s="1"/>
  <c r="K137" i="1"/>
  <c r="P137" i="1" s="1"/>
  <c r="K136" i="1"/>
  <c r="P136" i="1" s="1"/>
  <c r="K135" i="1"/>
  <c r="P135" i="1" s="1"/>
  <c r="K134" i="1"/>
  <c r="P134" i="1" s="1"/>
  <c r="K133" i="1"/>
  <c r="P133" i="1" s="1"/>
  <c r="K132" i="1"/>
  <c r="P132" i="1" s="1"/>
  <c r="K131" i="1"/>
  <c r="P131" i="1" s="1"/>
  <c r="K130" i="1"/>
  <c r="P130" i="1" s="1"/>
  <c r="K129" i="1"/>
  <c r="P129" i="1" s="1"/>
  <c r="K128" i="1"/>
  <c r="P128" i="1" s="1"/>
  <c r="K127" i="1"/>
  <c r="P127" i="1" s="1"/>
  <c r="K126" i="1"/>
  <c r="P126" i="1" s="1"/>
  <c r="K125" i="1"/>
  <c r="P125" i="1" s="1"/>
  <c r="K124" i="1"/>
  <c r="P124" i="1" s="1"/>
  <c r="K123" i="1"/>
  <c r="P123" i="1" s="1"/>
  <c r="K122" i="1"/>
  <c r="P122" i="1" s="1"/>
  <c r="K121" i="1"/>
  <c r="P121" i="1" s="1"/>
  <c r="K120" i="1"/>
  <c r="P120" i="1" s="1"/>
  <c r="K119" i="1"/>
  <c r="P119" i="1" s="1"/>
  <c r="K118" i="1"/>
  <c r="P118" i="1" s="1"/>
  <c r="K117" i="1"/>
  <c r="P117" i="1" s="1"/>
  <c r="K116" i="1"/>
  <c r="P116" i="1" s="1"/>
  <c r="K115" i="1"/>
  <c r="P115" i="1" s="1"/>
  <c r="K114" i="1"/>
  <c r="P114" i="1" s="1"/>
  <c r="K113" i="1"/>
  <c r="P113" i="1" s="1"/>
  <c r="K112" i="1"/>
  <c r="P112" i="1" s="1"/>
  <c r="K111" i="1"/>
  <c r="P111" i="1" s="1"/>
  <c r="K110" i="1"/>
  <c r="P110" i="1" s="1"/>
  <c r="K109" i="1"/>
  <c r="P109" i="1" s="1"/>
  <c r="K108" i="1"/>
  <c r="P108" i="1" s="1"/>
  <c r="K107" i="1"/>
  <c r="P107" i="1" s="1"/>
  <c r="K106" i="1"/>
  <c r="P106" i="1" s="1"/>
  <c r="K105" i="1"/>
  <c r="P105" i="1" s="1"/>
  <c r="K104" i="1"/>
  <c r="P104" i="1" s="1"/>
  <c r="K103" i="1"/>
  <c r="P103" i="1" s="1"/>
  <c r="K102" i="1"/>
  <c r="P102" i="1" s="1"/>
  <c r="K101" i="1"/>
  <c r="P101" i="1" s="1"/>
  <c r="K100" i="1"/>
  <c r="P100" i="1" s="1"/>
  <c r="K99" i="1"/>
  <c r="P99" i="1" s="1"/>
  <c r="K98" i="1"/>
  <c r="P98" i="1" s="1"/>
  <c r="K97" i="1"/>
  <c r="P97" i="1" s="1"/>
  <c r="K96" i="1"/>
  <c r="P96" i="1" s="1"/>
  <c r="K95" i="1"/>
  <c r="P95" i="1" s="1"/>
  <c r="K94" i="1"/>
  <c r="P94" i="1" s="1"/>
  <c r="K93" i="1"/>
  <c r="P93" i="1" s="1"/>
  <c r="K92" i="1"/>
  <c r="P92" i="1" s="1"/>
  <c r="K91" i="1"/>
  <c r="P91" i="1" s="1"/>
  <c r="K90" i="1"/>
  <c r="P90" i="1" s="1"/>
  <c r="K89" i="1"/>
  <c r="P89" i="1" s="1"/>
  <c r="K88" i="1"/>
  <c r="P88" i="1" s="1"/>
  <c r="K87" i="1"/>
  <c r="P87" i="1" s="1"/>
  <c r="K86" i="1"/>
  <c r="P86" i="1" s="1"/>
  <c r="K85" i="1"/>
  <c r="P85" i="1" s="1"/>
  <c r="K84" i="1"/>
  <c r="P84" i="1" s="1"/>
  <c r="K83" i="1"/>
  <c r="P83" i="1" s="1"/>
  <c r="K82" i="1"/>
  <c r="P82" i="1" s="1"/>
  <c r="K81" i="1"/>
  <c r="P81" i="1" s="1"/>
  <c r="K80" i="1"/>
  <c r="P80" i="1" s="1"/>
  <c r="K79" i="1"/>
  <c r="P79" i="1" s="1"/>
  <c r="K78" i="1"/>
  <c r="P78" i="1" s="1"/>
  <c r="K77" i="1"/>
  <c r="P77" i="1" s="1"/>
  <c r="K76" i="1"/>
  <c r="P76" i="1" s="1"/>
  <c r="K75" i="1"/>
  <c r="P75" i="1" s="1"/>
  <c r="K74" i="1"/>
  <c r="P74" i="1" s="1"/>
  <c r="K73" i="1"/>
  <c r="P73" i="1" s="1"/>
  <c r="K72" i="1"/>
  <c r="P72" i="1" s="1"/>
  <c r="K71" i="1"/>
  <c r="P71" i="1" s="1"/>
  <c r="K70" i="1"/>
  <c r="P70" i="1" s="1"/>
  <c r="K69" i="1"/>
  <c r="P69" i="1" s="1"/>
  <c r="K68" i="1"/>
  <c r="P68" i="1" s="1"/>
  <c r="K67" i="1"/>
  <c r="P67" i="1" s="1"/>
  <c r="K66" i="1"/>
  <c r="P66" i="1" s="1"/>
  <c r="K65" i="1"/>
  <c r="P65" i="1" s="1"/>
  <c r="K64" i="1"/>
  <c r="P64" i="1" s="1"/>
  <c r="K63" i="1"/>
  <c r="P63" i="1" s="1"/>
  <c r="K62" i="1"/>
  <c r="P62" i="1" s="1"/>
  <c r="K61" i="1"/>
  <c r="P61" i="1" s="1"/>
  <c r="K60" i="1"/>
  <c r="P60" i="1" s="1"/>
  <c r="K59" i="1"/>
  <c r="P59" i="1" s="1"/>
  <c r="K58" i="1"/>
  <c r="P58" i="1" s="1"/>
  <c r="K57" i="1"/>
  <c r="P57" i="1" s="1"/>
  <c r="K56" i="1"/>
  <c r="P56" i="1" s="1"/>
  <c r="K55" i="1"/>
  <c r="P55" i="1" s="1"/>
  <c r="K54" i="1"/>
  <c r="P54" i="1" s="1"/>
  <c r="K53" i="1"/>
  <c r="P53" i="1" s="1"/>
  <c r="K52" i="1"/>
  <c r="P52" i="1" s="1"/>
  <c r="K51" i="1"/>
  <c r="P51" i="1" s="1"/>
  <c r="K50" i="1"/>
  <c r="P50" i="1" s="1"/>
  <c r="K49" i="1"/>
  <c r="P49" i="1" s="1"/>
  <c r="K48" i="1"/>
  <c r="P48" i="1" s="1"/>
  <c r="K47" i="1"/>
  <c r="P47" i="1" s="1"/>
  <c r="K46" i="1"/>
  <c r="P46" i="1" s="1"/>
  <c r="K45" i="1"/>
  <c r="P45" i="1" s="1"/>
  <c r="K44" i="1"/>
  <c r="P44" i="1" s="1"/>
  <c r="K43" i="1"/>
  <c r="P43" i="1" s="1"/>
  <c r="K42" i="1"/>
  <c r="P42" i="1" s="1"/>
  <c r="K41" i="1"/>
  <c r="P41" i="1" s="1"/>
  <c r="K40" i="1"/>
  <c r="P40" i="1" s="1"/>
  <c r="K39" i="1"/>
  <c r="P39" i="1" s="1"/>
  <c r="K38" i="1"/>
  <c r="P38" i="1" s="1"/>
  <c r="K37" i="1"/>
  <c r="P37" i="1" s="1"/>
  <c r="K36" i="1"/>
  <c r="P36" i="1" s="1"/>
  <c r="K35" i="1"/>
  <c r="P35" i="1" s="1"/>
  <c r="K34" i="1"/>
  <c r="P34" i="1" s="1"/>
  <c r="K33" i="1"/>
  <c r="P33" i="1" s="1"/>
  <c r="K32" i="1"/>
  <c r="P32" i="1" s="1"/>
  <c r="K31" i="1"/>
  <c r="P31" i="1" s="1"/>
  <c r="K30" i="1"/>
  <c r="P30" i="1" s="1"/>
  <c r="K29" i="1"/>
  <c r="P29" i="1" s="1"/>
  <c r="K28" i="1"/>
  <c r="P28" i="1" s="1"/>
  <c r="K27" i="1"/>
  <c r="P27" i="1" s="1"/>
  <c r="K26" i="1"/>
  <c r="P26" i="1" s="1"/>
  <c r="K25" i="1"/>
  <c r="P25" i="1" s="1"/>
  <c r="K24" i="1"/>
  <c r="P24" i="1" s="1"/>
  <c r="K23" i="1"/>
  <c r="P23" i="1" s="1"/>
  <c r="K22" i="1"/>
  <c r="P22" i="1" s="1"/>
  <c r="K21" i="1"/>
  <c r="P21" i="1" s="1"/>
  <c r="K20" i="1"/>
  <c r="P20" i="1" s="1"/>
  <c r="K19" i="1"/>
  <c r="P19" i="1" s="1"/>
  <c r="K18" i="1"/>
  <c r="P18" i="1" s="1"/>
  <c r="K17" i="1"/>
  <c r="P17" i="1" s="1"/>
  <c r="K16" i="1"/>
  <c r="P16" i="1" s="1"/>
  <c r="K15" i="1"/>
  <c r="P15" i="1" s="1"/>
  <c r="K14" i="1"/>
  <c r="P14" i="1" s="1"/>
  <c r="K13" i="1"/>
  <c r="P13" i="1" s="1"/>
  <c r="K12" i="1"/>
  <c r="P12" i="1" s="1"/>
  <c r="K11" i="1"/>
  <c r="P11" i="1" s="1"/>
  <c r="K10" i="1"/>
  <c r="P10" i="1" s="1"/>
  <c r="K9" i="1"/>
  <c r="P9" i="1" s="1"/>
  <c r="K8" i="1"/>
  <c r="P8" i="1" s="1"/>
  <c r="K7" i="1"/>
  <c r="P7" i="1" s="1"/>
  <c r="K6" i="1"/>
  <c r="P6" i="1" s="1"/>
  <c r="K5" i="1"/>
  <c r="P5" i="1" s="1"/>
  <c r="K4" i="1"/>
  <c r="P4" i="1" s="1"/>
  <c r="K3" i="1"/>
  <c r="P3" i="1" s="1"/>
  <c r="J2500" i="1"/>
  <c r="O2500" i="1" s="1"/>
  <c r="J2499" i="1"/>
  <c r="O2499" i="1" s="1"/>
  <c r="J2498" i="1"/>
  <c r="O2498" i="1" s="1"/>
  <c r="J2497" i="1"/>
  <c r="O2497" i="1" s="1"/>
  <c r="J2496" i="1"/>
  <c r="O2496" i="1" s="1"/>
  <c r="J2495" i="1"/>
  <c r="O2495" i="1" s="1"/>
  <c r="J2494" i="1"/>
  <c r="O2494" i="1" s="1"/>
  <c r="J2493" i="1"/>
  <c r="O2493" i="1" s="1"/>
  <c r="J2492" i="1"/>
  <c r="O2492" i="1" s="1"/>
  <c r="J2491" i="1"/>
  <c r="O2491" i="1" s="1"/>
  <c r="J2490" i="1"/>
  <c r="O2490" i="1" s="1"/>
  <c r="J2489" i="1"/>
  <c r="O2489" i="1" s="1"/>
  <c r="J2488" i="1"/>
  <c r="O2488" i="1" s="1"/>
  <c r="J2487" i="1"/>
  <c r="O2487" i="1" s="1"/>
  <c r="J2486" i="1"/>
  <c r="O2486" i="1" s="1"/>
  <c r="J2485" i="1"/>
  <c r="O2485" i="1" s="1"/>
  <c r="J2484" i="1"/>
  <c r="O2484" i="1" s="1"/>
  <c r="J2483" i="1"/>
  <c r="O2483" i="1" s="1"/>
  <c r="J2482" i="1"/>
  <c r="O2482" i="1" s="1"/>
  <c r="J2481" i="1"/>
  <c r="O2481" i="1" s="1"/>
  <c r="J2480" i="1"/>
  <c r="O2480" i="1" s="1"/>
  <c r="J2479" i="1"/>
  <c r="O2479" i="1" s="1"/>
  <c r="J2478" i="1"/>
  <c r="O2478" i="1" s="1"/>
  <c r="J2477" i="1"/>
  <c r="O2477" i="1" s="1"/>
  <c r="J2476" i="1"/>
  <c r="O2476" i="1" s="1"/>
  <c r="J2475" i="1"/>
  <c r="O2475" i="1" s="1"/>
  <c r="J2474" i="1"/>
  <c r="O2474" i="1" s="1"/>
  <c r="J2473" i="1"/>
  <c r="O2473" i="1" s="1"/>
  <c r="J2472" i="1"/>
  <c r="O2472" i="1" s="1"/>
  <c r="J2471" i="1"/>
  <c r="O2471" i="1" s="1"/>
  <c r="J2470" i="1"/>
  <c r="O2470" i="1" s="1"/>
  <c r="J2469" i="1"/>
  <c r="O2469" i="1" s="1"/>
  <c r="J2468" i="1"/>
  <c r="O2468" i="1" s="1"/>
  <c r="J2467" i="1"/>
  <c r="O2467" i="1" s="1"/>
  <c r="J2466" i="1"/>
  <c r="O2466" i="1" s="1"/>
  <c r="J2465" i="1"/>
  <c r="O2465" i="1" s="1"/>
  <c r="J2464" i="1"/>
  <c r="O2464" i="1" s="1"/>
  <c r="J2463" i="1"/>
  <c r="O2463" i="1" s="1"/>
  <c r="J2462" i="1"/>
  <c r="O2462" i="1" s="1"/>
  <c r="J2461" i="1"/>
  <c r="O2461" i="1" s="1"/>
  <c r="J2460" i="1"/>
  <c r="O2460" i="1" s="1"/>
  <c r="J2459" i="1"/>
  <c r="O2459" i="1" s="1"/>
  <c r="J2458" i="1"/>
  <c r="O2458" i="1" s="1"/>
  <c r="J2457" i="1"/>
  <c r="O2457" i="1" s="1"/>
  <c r="J2456" i="1"/>
  <c r="O2456" i="1" s="1"/>
  <c r="J2455" i="1"/>
  <c r="O2455" i="1" s="1"/>
  <c r="J2454" i="1"/>
  <c r="O2454" i="1" s="1"/>
  <c r="J2453" i="1"/>
  <c r="O2453" i="1" s="1"/>
  <c r="J2452" i="1"/>
  <c r="O2452" i="1" s="1"/>
  <c r="J2451" i="1"/>
  <c r="O2451" i="1" s="1"/>
  <c r="J2450" i="1"/>
  <c r="O2450" i="1" s="1"/>
  <c r="J2449" i="1"/>
  <c r="O2449" i="1" s="1"/>
  <c r="J2448" i="1"/>
  <c r="O2448" i="1" s="1"/>
  <c r="J2447" i="1"/>
  <c r="O2447" i="1" s="1"/>
  <c r="J2446" i="1"/>
  <c r="O2446" i="1" s="1"/>
  <c r="J2445" i="1"/>
  <c r="O2445" i="1" s="1"/>
  <c r="J2444" i="1"/>
  <c r="O2444" i="1" s="1"/>
  <c r="J2443" i="1"/>
  <c r="O2443" i="1" s="1"/>
  <c r="J2442" i="1"/>
  <c r="O2442" i="1" s="1"/>
  <c r="J2441" i="1"/>
  <c r="O2441" i="1" s="1"/>
  <c r="J2440" i="1"/>
  <c r="O2440" i="1" s="1"/>
  <c r="J2439" i="1"/>
  <c r="O2439" i="1" s="1"/>
  <c r="J2438" i="1"/>
  <c r="O2438" i="1" s="1"/>
  <c r="J2437" i="1"/>
  <c r="O2437" i="1" s="1"/>
  <c r="J2436" i="1"/>
  <c r="O2436" i="1" s="1"/>
  <c r="J2435" i="1"/>
  <c r="O2435" i="1" s="1"/>
  <c r="J2434" i="1"/>
  <c r="O2434" i="1" s="1"/>
  <c r="J2433" i="1"/>
  <c r="O2433" i="1" s="1"/>
  <c r="J2432" i="1"/>
  <c r="O2432" i="1" s="1"/>
  <c r="J2431" i="1"/>
  <c r="O2431" i="1" s="1"/>
  <c r="J2430" i="1"/>
  <c r="O2430" i="1" s="1"/>
  <c r="J2429" i="1"/>
  <c r="O2429" i="1" s="1"/>
  <c r="J2428" i="1"/>
  <c r="O2428" i="1" s="1"/>
  <c r="J2427" i="1"/>
  <c r="O2427" i="1" s="1"/>
  <c r="J2426" i="1"/>
  <c r="O2426" i="1" s="1"/>
  <c r="J2425" i="1"/>
  <c r="O2425" i="1" s="1"/>
  <c r="J2424" i="1"/>
  <c r="O2424" i="1" s="1"/>
  <c r="J2423" i="1"/>
  <c r="O2423" i="1" s="1"/>
  <c r="J2422" i="1"/>
  <c r="O2422" i="1" s="1"/>
  <c r="J2421" i="1"/>
  <c r="O2421" i="1" s="1"/>
  <c r="J2420" i="1"/>
  <c r="O2420" i="1" s="1"/>
  <c r="J2419" i="1"/>
  <c r="O2419" i="1" s="1"/>
  <c r="J2418" i="1"/>
  <c r="O2418" i="1" s="1"/>
  <c r="J2417" i="1"/>
  <c r="O2417" i="1" s="1"/>
  <c r="J2416" i="1"/>
  <c r="O2416" i="1" s="1"/>
  <c r="J2415" i="1"/>
  <c r="O2415" i="1" s="1"/>
  <c r="J2414" i="1"/>
  <c r="O2414" i="1" s="1"/>
  <c r="J2413" i="1"/>
  <c r="O2413" i="1" s="1"/>
  <c r="J2412" i="1"/>
  <c r="O2412" i="1" s="1"/>
  <c r="J2411" i="1"/>
  <c r="O2411" i="1" s="1"/>
  <c r="J2410" i="1"/>
  <c r="O2410" i="1" s="1"/>
  <c r="J2409" i="1"/>
  <c r="O2409" i="1" s="1"/>
  <c r="J2408" i="1"/>
  <c r="O2408" i="1" s="1"/>
  <c r="J2407" i="1"/>
  <c r="O2407" i="1" s="1"/>
  <c r="J2406" i="1"/>
  <c r="O2406" i="1" s="1"/>
  <c r="J2405" i="1"/>
  <c r="O2405" i="1" s="1"/>
  <c r="J2404" i="1"/>
  <c r="O2404" i="1" s="1"/>
  <c r="J2403" i="1"/>
  <c r="O2403" i="1" s="1"/>
  <c r="J2402" i="1"/>
  <c r="O2402" i="1" s="1"/>
  <c r="J2401" i="1"/>
  <c r="O2401" i="1" s="1"/>
  <c r="J2400" i="1"/>
  <c r="O2400" i="1" s="1"/>
  <c r="J2399" i="1"/>
  <c r="O2399" i="1" s="1"/>
  <c r="J2398" i="1"/>
  <c r="O2398" i="1" s="1"/>
  <c r="J2397" i="1"/>
  <c r="O2397" i="1" s="1"/>
  <c r="J2396" i="1"/>
  <c r="O2396" i="1" s="1"/>
  <c r="J2395" i="1"/>
  <c r="O2395" i="1" s="1"/>
  <c r="J2394" i="1"/>
  <c r="O2394" i="1" s="1"/>
  <c r="J2393" i="1"/>
  <c r="O2393" i="1" s="1"/>
  <c r="J2392" i="1"/>
  <c r="O2392" i="1" s="1"/>
  <c r="J2391" i="1"/>
  <c r="O2391" i="1" s="1"/>
  <c r="J2390" i="1"/>
  <c r="O2390" i="1" s="1"/>
  <c r="J2389" i="1"/>
  <c r="O2389" i="1" s="1"/>
  <c r="J2388" i="1"/>
  <c r="O2388" i="1" s="1"/>
  <c r="J2387" i="1"/>
  <c r="O2387" i="1" s="1"/>
  <c r="J2386" i="1"/>
  <c r="O2386" i="1" s="1"/>
  <c r="J2385" i="1"/>
  <c r="O2385" i="1" s="1"/>
  <c r="J2384" i="1"/>
  <c r="O2384" i="1" s="1"/>
  <c r="J2383" i="1"/>
  <c r="O2383" i="1" s="1"/>
  <c r="J2382" i="1"/>
  <c r="O2382" i="1" s="1"/>
  <c r="J2381" i="1"/>
  <c r="O2381" i="1" s="1"/>
  <c r="J2380" i="1"/>
  <c r="O2380" i="1" s="1"/>
  <c r="J2379" i="1"/>
  <c r="O2379" i="1" s="1"/>
  <c r="J2378" i="1"/>
  <c r="O2378" i="1" s="1"/>
  <c r="J2377" i="1"/>
  <c r="O2377" i="1" s="1"/>
  <c r="J2376" i="1"/>
  <c r="O2376" i="1" s="1"/>
  <c r="J2375" i="1"/>
  <c r="O2375" i="1" s="1"/>
  <c r="J2374" i="1"/>
  <c r="O2374" i="1" s="1"/>
  <c r="J2373" i="1"/>
  <c r="O2373" i="1" s="1"/>
  <c r="J2372" i="1"/>
  <c r="O2372" i="1" s="1"/>
  <c r="J2371" i="1"/>
  <c r="O2371" i="1" s="1"/>
  <c r="J2370" i="1"/>
  <c r="O2370" i="1" s="1"/>
  <c r="J2369" i="1"/>
  <c r="O2369" i="1" s="1"/>
  <c r="J2368" i="1"/>
  <c r="O2368" i="1" s="1"/>
  <c r="J2367" i="1"/>
  <c r="O2367" i="1" s="1"/>
  <c r="J2366" i="1"/>
  <c r="O2366" i="1" s="1"/>
  <c r="J2365" i="1"/>
  <c r="O2365" i="1" s="1"/>
  <c r="J2364" i="1"/>
  <c r="O2364" i="1" s="1"/>
  <c r="J2363" i="1"/>
  <c r="O2363" i="1" s="1"/>
  <c r="J2362" i="1"/>
  <c r="O2362" i="1" s="1"/>
  <c r="J2361" i="1"/>
  <c r="O2361" i="1" s="1"/>
  <c r="J2360" i="1"/>
  <c r="O2360" i="1" s="1"/>
  <c r="J2359" i="1"/>
  <c r="O2359" i="1" s="1"/>
  <c r="J2358" i="1"/>
  <c r="O2358" i="1" s="1"/>
  <c r="J2357" i="1"/>
  <c r="O2357" i="1" s="1"/>
  <c r="J2356" i="1"/>
  <c r="O2356" i="1" s="1"/>
  <c r="J2355" i="1"/>
  <c r="O2355" i="1" s="1"/>
  <c r="J2354" i="1"/>
  <c r="O2354" i="1" s="1"/>
  <c r="J2353" i="1"/>
  <c r="O2353" i="1" s="1"/>
  <c r="J2352" i="1"/>
  <c r="O2352" i="1" s="1"/>
  <c r="J2351" i="1"/>
  <c r="O2351" i="1" s="1"/>
  <c r="J2350" i="1"/>
  <c r="O2350" i="1" s="1"/>
  <c r="J2349" i="1"/>
  <c r="O2349" i="1" s="1"/>
  <c r="J2348" i="1"/>
  <c r="O2348" i="1" s="1"/>
  <c r="J2347" i="1"/>
  <c r="O2347" i="1" s="1"/>
  <c r="J2346" i="1"/>
  <c r="O2346" i="1" s="1"/>
  <c r="J2345" i="1"/>
  <c r="O2345" i="1" s="1"/>
  <c r="J2344" i="1"/>
  <c r="O2344" i="1" s="1"/>
  <c r="J2343" i="1"/>
  <c r="O2343" i="1" s="1"/>
  <c r="J2342" i="1"/>
  <c r="O2342" i="1" s="1"/>
  <c r="J2341" i="1"/>
  <c r="O2341" i="1" s="1"/>
  <c r="J2340" i="1"/>
  <c r="O2340" i="1" s="1"/>
  <c r="J2339" i="1"/>
  <c r="O2339" i="1" s="1"/>
  <c r="J2338" i="1"/>
  <c r="O2338" i="1" s="1"/>
  <c r="J2337" i="1"/>
  <c r="O2337" i="1" s="1"/>
  <c r="J2336" i="1"/>
  <c r="O2336" i="1" s="1"/>
  <c r="J2335" i="1"/>
  <c r="O2335" i="1" s="1"/>
  <c r="J2334" i="1"/>
  <c r="O2334" i="1" s="1"/>
  <c r="J2333" i="1"/>
  <c r="O2333" i="1" s="1"/>
  <c r="J2332" i="1"/>
  <c r="O2332" i="1" s="1"/>
  <c r="J2331" i="1"/>
  <c r="O2331" i="1" s="1"/>
  <c r="J2330" i="1"/>
  <c r="O2330" i="1" s="1"/>
  <c r="J2329" i="1"/>
  <c r="O2329" i="1" s="1"/>
  <c r="J2328" i="1"/>
  <c r="O2328" i="1" s="1"/>
  <c r="J2327" i="1"/>
  <c r="O2327" i="1" s="1"/>
  <c r="J2326" i="1"/>
  <c r="O2326" i="1" s="1"/>
  <c r="J2325" i="1"/>
  <c r="O2325" i="1" s="1"/>
  <c r="J2324" i="1"/>
  <c r="O2324" i="1" s="1"/>
  <c r="J2323" i="1"/>
  <c r="O2323" i="1" s="1"/>
  <c r="J2322" i="1"/>
  <c r="O2322" i="1" s="1"/>
  <c r="J2321" i="1"/>
  <c r="O2321" i="1" s="1"/>
  <c r="J2320" i="1"/>
  <c r="O2320" i="1" s="1"/>
  <c r="J2319" i="1"/>
  <c r="O2319" i="1" s="1"/>
  <c r="J2318" i="1"/>
  <c r="O2318" i="1" s="1"/>
  <c r="J2317" i="1"/>
  <c r="O2317" i="1" s="1"/>
  <c r="J2316" i="1"/>
  <c r="O2316" i="1" s="1"/>
  <c r="J2315" i="1"/>
  <c r="O2315" i="1" s="1"/>
  <c r="J2314" i="1"/>
  <c r="O2314" i="1" s="1"/>
  <c r="J2313" i="1"/>
  <c r="O2313" i="1" s="1"/>
  <c r="J2312" i="1"/>
  <c r="O2312" i="1" s="1"/>
  <c r="J2311" i="1"/>
  <c r="O2311" i="1" s="1"/>
  <c r="J2310" i="1"/>
  <c r="O2310" i="1" s="1"/>
  <c r="J2309" i="1"/>
  <c r="O2309" i="1" s="1"/>
  <c r="J2308" i="1"/>
  <c r="O2308" i="1" s="1"/>
  <c r="J2307" i="1"/>
  <c r="O2307" i="1" s="1"/>
  <c r="J2306" i="1"/>
  <c r="O2306" i="1" s="1"/>
  <c r="J2305" i="1"/>
  <c r="O2305" i="1" s="1"/>
  <c r="J2304" i="1"/>
  <c r="O2304" i="1" s="1"/>
  <c r="J2303" i="1"/>
  <c r="O2303" i="1" s="1"/>
  <c r="J2302" i="1"/>
  <c r="O2302" i="1" s="1"/>
  <c r="J2301" i="1"/>
  <c r="O2301" i="1" s="1"/>
  <c r="J2300" i="1"/>
  <c r="O2300" i="1" s="1"/>
  <c r="J2299" i="1"/>
  <c r="O2299" i="1" s="1"/>
  <c r="J2298" i="1"/>
  <c r="O2298" i="1" s="1"/>
  <c r="J2297" i="1"/>
  <c r="O2297" i="1" s="1"/>
  <c r="J2296" i="1"/>
  <c r="O2296" i="1" s="1"/>
  <c r="J2295" i="1"/>
  <c r="O2295" i="1" s="1"/>
  <c r="J2294" i="1"/>
  <c r="O2294" i="1" s="1"/>
  <c r="J2293" i="1"/>
  <c r="O2293" i="1" s="1"/>
  <c r="J2292" i="1"/>
  <c r="O2292" i="1" s="1"/>
  <c r="J2291" i="1"/>
  <c r="O2291" i="1" s="1"/>
  <c r="J2290" i="1"/>
  <c r="O2290" i="1" s="1"/>
  <c r="J2289" i="1"/>
  <c r="O2289" i="1" s="1"/>
  <c r="J2288" i="1"/>
  <c r="O2288" i="1" s="1"/>
  <c r="J2287" i="1"/>
  <c r="O2287" i="1" s="1"/>
  <c r="J2286" i="1"/>
  <c r="O2286" i="1" s="1"/>
  <c r="J2285" i="1"/>
  <c r="O2285" i="1" s="1"/>
  <c r="J2284" i="1"/>
  <c r="O2284" i="1" s="1"/>
  <c r="J2283" i="1"/>
  <c r="O2283" i="1" s="1"/>
  <c r="J2282" i="1"/>
  <c r="O2282" i="1" s="1"/>
  <c r="J2281" i="1"/>
  <c r="O2281" i="1" s="1"/>
  <c r="J2280" i="1"/>
  <c r="O2280" i="1" s="1"/>
  <c r="J2279" i="1"/>
  <c r="O2279" i="1" s="1"/>
  <c r="J2278" i="1"/>
  <c r="O2278" i="1" s="1"/>
  <c r="J2277" i="1"/>
  <c r="O2277" i="1" s="1"/>
  <c r="J2276" i="1"/>
  <c r="O2276" i="1" s="1"/>
  <c r="J2275" i="1"/>
  <c r="O2275" i="1" s="1"/>
  <c r="J2274" i="1"/>
  <c r="O2274" i="1" s="1"/>
  <c r="J2273" i="1"/>
  <c r="O2273" i="1" s="1"/>
  <c r="J2272" i="1"/>
  <c r="O2272" i="1" s="1"/>
  <c r="J2271" i="1"/>
  <c r="O2271" i="1" s="1"/>
  <c r="J2270" i="1"/>
  <c r="O2270" i="1" s="1"/>
  <c r="J2269" i="1"/>
  <c r="O2269" i="1" s="1"/>
  <c r="J2268" i="1"/>
  <c r="O2268" i="1" s="1"/>
  <c r="J2267" i="1"/>
  <c r="O2267" i="1" s="1"/>
  <c r="J2266" i="1"/>
  <c r="O2266" i="1" s="1"/>
  <c r="J2265" i="1"/>
  <c r="O2265" i="1" s="1"/>
  <c r="J2264" i="1"/>
  <c r="O2264" i="1" s="1"/>
  <c r="J2263" i="1"/>
  <c r="O2263" i="1" s="1"/>
  <c r="J2262" i="1"/>
  <c r="O2262" i="1" s="1"/>
  <c r="J2261" i="1"/>
  <c r="O2261" i="1" s="1"/>
  <c r="J2260" i="1"/>
  <c r="O2260" i="1" s="1"/>
  <c r="J2259" i="1"/>
  <c r="O2259" i="1" s="1"/>
  <c r="J2258" i="1"/>
  <c r="O2258" i="1" s="1"/>
  <c r="J2257" i="1"/>
  <c r="O2257" i="1" s="1"/>
  <c r="J2256" i="1"/>
  <c r="O2256" i="1" s="1"/>
  <c r="J2255" i="1"/>
  <c r="O2255" i="1" s="1"/>
  <c r="J2254" i="1"/>
  <c r="O2254" i="1" s="1"/>
  <c r="J2253" i="1"/>
  <c r="O2253" i="1" s="1"/>
  <c r="J2252" i="1"/>
  <c r="O2252" i="1" s="1"/>
  <c r="J2251" i="1"/>
  <c r="O2251" i="1" s="1"/>
  <c r="J2250" i="1"/>
  <c r="O2250" i="1" s="1"/>
  <c r="J2249" i="1"/>
  <c r="O2249" i="1" s="1"/>
  <c r="J2248" i="1"/>
  <c r="O2248" i="1" s="1"/>
  <c r="J2247" i="1"/>
  <c r="O2247" i="1" s="1"/>
  <c r="J2246" i="1"/>
  <c r="O2246" i="1" s="1"/>
  <c r="J2245" i="1"/>
  <c r="O2245" i="1" s="1"/>
  <c r="J2244" i="1"/>
  <c r="O2244" i="1" s="1"/>
  <c r="J2243" i="1"/>
  <c r="O2243" i="1" s="1"/>
  <c r="J2242" i="1"/>
  <c r="O2242" i="1" s="1"/>
  <c r="J2241" i="1"/>
  <c r="O2241" i="1" s="1"/>
  <c r="J2240" i="1"/>
  <c r="O2240" i="1" s="1"/>
  <c r="J2239" i="1"/>
  <c r="O2239" i="1" s="1"/>
  <c r="J2238" i="1"/>
  <c r="O2238" i="1" s="1"/>
  <c r="J2237" i="1"/>
  <c r="O2237" i="1" s="1"/>
  <c r="J2236" i="1"/>
  <c r="O2236" i="1" s="1"/>
  <c r="J2235" i="1"/>
  <c r="O2235" i="1" s="1"/>
  <c r="J2234" i="1"/>
  <c r="O2234" i="1" s="1"/>
  <c r="J2233" i="1"/>
  <c r="O2233" i="1" s="1"/>
  <c r="J2232" i="1"/>
  <c r="O2232" i="1" s="1"/>
  <c r="J2231" i="1"/>
  <c r="O2231" i="1" s="1"/>
  <c r="J2230" i="1"/>
  <c r="O2230" i="1" s="1"/>
  <c r="J2229" i="1"/>
  <c r="O2229" i="1" s="1"/>
  <c r="J2228" i="1"/>
  <c r="O2228" i="1" s="1"/>
  <c r="J2227" i="1"/>
  <c r="O2227" i="1" s="1"/>
  <c r="J2226" i="1"/>
  <c r="O2226" i="1" s="1"/>
  <c r="J2225" i="1"/>
  <c r="O2225" i="1" s="1"/>
  <c r="J2224" i="1"/>
  <c r="O2224" i="1" s="1"/>
  <c r="J2223" i="1"/>
  <c r="O2223" i="1" s="1"/>
  <c r="J2222" i="1"/>
  <c r="O2222" i="1" s="1"/>
  <c r="J2221" i="1"/>
  <c r="O2221" i="1" s="1"/>
  <c r="J2220" i="1"/>
  <c r="O2220" i="1" s="1"/>
  <c r="J2219" i="1"/>
  <c r="O2219" i="1" s="1"/>
  <c r="J2218" i="1"/>
  <c r="O2218" i="1" s="1"/>
  <c r="J2217" i="1"/>
  <c r="O2217" i="1" s="1"/>
  <c r="J2216" i="1"/>
  <c r="O2216" i="1" s="1"/>
  <c r="J2215" i="1"/>
  <c r="O2215" i="1" s="1"/>
  <c r="J2214" i="1"/>
  <c r="O2214" i="1" s="1"/>
  <c r="J2213" i="1"/>
  <c r="O2213" i="1" s="1"/>
  <c r="J2212" i="1"/>
  <c r="O2212" i="1" s="1"/>
  <c r="J2211" i="1"/>
  <c r="O2211" i="1" s="1"/>
  <c r="J2210" i="1"/>
  <c r="O2210" i="1" s="1"/>
  <c r="J2209" i="1"/>
  <c r="O2209" i="1" s="1"/>
  <c r="J2208" i="1"/>
  <c r="O2208" i="1" s="1"/>
  <c r="J2207" i="1"/>
  <c r="O2207" i="1" s="1"/>
  <c r="J2206" i="1"/>
  <c r="O2206" i="1" s="1"/>
  <c r="J2205" i="1"/>
  <c r="O2205" i="1" s="1"/>
  <c r="J2204" i="1"/>
  <c r="O2204" i="1" s="1"/>
  <c r="J2203" i="1"/>
  <c r="O2203" i="1" s="1"/>
  <c r="J2202" i="1"/>
  <c r="O2202" i="1" s="1"/>
  <c r="J2201" i="1"/>
  <c r="O2201" i="1" s="1"/>
  <c r="J2200" i="1"/>
  <c r="O2200" i="1" s="1"/>
  <c r="J2199" i="1"/>
  <c r="O2199" i="1" s="1"/>
  <c r="J2198" i="1"/>
  <c r="O2198" i="1" s="1"/>
  <c r="J2197" i="1"/>
  <c r="O2197" i="1" s="1"/>
  <c r="J2196" i="1"/>
  <c r="O2196" i="1" s="1"/>
  <c r="J2195" i="1"/>
  <c r="O2195" i="1" s="1"/>
  <c r="J2194" i="1"/>
  <c r="O2194" i="1" s="1"/>
  <c r="J2193" i="1"/>
  <c r="O2193" i="1" s="1"/>
  <c r="J2192" i="1"/>
  <c r="O2192" i="1" s="1"/>
  <c r="J2191" i="1"/>
  <c r="O2191" i="1" s="1"/>
  <c r="J2190" i="1"/>
  <c r="O2190" i="1" s="1"/>
  <c r="J2189" i="1"/>
  <c r="O2189" i="1" s="1"/>
  <c r="J2188" i="1"/>
  <c r="O2188" i="1" s="1"/>
  <c r="J2187" i="1"/>
  <c r="O2187" i="1" s="1"/>
  <c r="J2186" i="1"/>
  <c r="O2186" i="1" s="1"/>
  <c r="J2185" i="1"/>
  <c r="O2185" i="1" s="1"/>
  <c r="J2184" i="1"/>
  <c r="O2184" i="1" s="1"/>
  <c r="J2183" i="1"/>
  <c r="O2183" i="1" s="1"/>
  <c r="J2182" i="1"/>
  <c r="O2182" i="1" s="1"/>
  <c r="J2181" i="1"/>
  <c r="O2181" i="1" s="1"/>
  <c r="J2180" i="1"/>
  <c r="O2180" i="1" s="1"/>
  <c r="J2179" i="1"/>
  <c r="O2179" i="1" s="1"/>
  <c r="J2178" i="1"/>
  <c r="O2178" i="1" s="1"/>
  <c r="J2177" i="1"/>
  <c r="O2177" i="1" s="1"/>
  <c r="J2176" i="1"/>
  <c r="O2176" i="1" s="1"/>
  <c r="J2175" i="1"/>
  <c r="O2175" i="1" s="1"/>
  <c r="J2174" i="1"/>
  <c r="O2174" i="1" s="1"/>
  <c r="J2173" i="1"/>
  <c r="O2173" i="1" s="1"/>
  <c r="J2172" i="1"/>
  <c r="O2172" i="1" s="1"/>
  <c r="J2171" i="1"/>
  <c r="O2171" i="1" s="1"/>
  <c r="J2170" i="1"/>
  <c r="O2170" i="1" s="1"/>
  <c r="J2169" i="1"/>
  <c r="O2169" i="1" s="1"/>
  <c r="J2168" i="1"/>
  <c r="O2168" i="1" s="1"/>
  <c r="J2167" i="1"/>
  <c r="O2167" i="1" s="1"/>
  <c r="J2166" i="1"/>
  <c r="O2166" i="1" s="1"/>
  <c r="J2165" i="1"/>
  <c r="O2165" i="1" s="1"/>
  <c r="J2164" i="1"/>
  <c r="O2164" i="1" s="1"/>
  <c r="J2163" i="1"/>
  <c r="O2163" i="1" s="1"/>
  <c r="J2162" i="1"/>
  <c r="O2162" i="1" s="1"/>
  <c r="J2161" i="1"/>
  <c r="O2161" i="1" s="1"/>
  <c r="J2160" i="1"/>
  <c r="O2160" i="1" s="1"/>
  <c r="J2159" i="1"/>
  <c r="O2159" i="1" s="1"/>
  <c r="J2158" i="1"/>
  <c r="O2158" i="1" s="1"/>
  <c r="J2157" i="1"/>
  <c r="O2157" i="1" s="1"/>
  <c r="J2156" i="1"/>
  <c r="O2156" i="1" s="1"/>
  <c r="J2155" i="1"/>
  <c r="O2155" i="1" s="1"/>
  <c r="J2154" i="1"/>
  <c r="O2154" i="1" s="1"/>
  <c r="J2153" i="1"/>
  <c r="O2153" i="1" s="1"/>
  <c r="J2152" i="1"/>
  <c r="O2152" i="1" s="1"/>
  <c r="J2151" i="1"/>
  <c r="O2151" i="1" s="1"/>
  <c r="J2150" i="1"/>
  <c r="O2150" i="1" s="1"/>
  <c r="J2149" i="1"/>
  <c r="O2149" i="1" s="1"/>
  <c r="J2148" i="1"/>
  <c r="O2148" i="1" s="1"/>
  <c r="J2147" i="1"/>
  <c r="O2147" i="1" s="1"/>
  <c r="J2146" i="1"/>
  <c r="O2146" i="1" s="1"/>
  <c r="J2145" i="1"/>
  <c r="O2145" i="1" s="1"/>
  <c r="J2144" i="1"/>
  <c r="O2144" i="1" s="1"/>
  <c r="J2143" i="1"/>
  <c r="O2143" i="1" s="1"/>
  <c r="J2142" i="1"/>
  <c r="O2142" i="1" s="1"/>
  <c r="J2141" i="1"/>
  <c r="O2141" i="1" s="1"/>
  <c r="J2140" i="1"/>
  <c r="O2140" i="1" s="1"/>
  <c r="J2139" i="1"/>
  <c r="O2139" i="1" s="1"/>
  <c r="J2138" i="1"/>
  <c r="O2138" i="1" s="1"/>
  <c r="J2137" i="1"/>
  <c r="O2137" i="1" s="1"/>
  <c r="J2136" i="1"/>
  <c r="O2136" i="1" s="1"/>
  <c r="J2135" i="1"/>
  <c r="O2135" i="1" s="1"/>
  <c r="J2134" i="1"/>
  <c r="O2134" i="1" s="1"/>
  <c r="J2133" i="1"/>
  <c r="O2133" i="1" s="1"/>
  <c r="J2132" i="1"/>
  <c r="O2132" i="1" s="1"/>
  <c r="J2131" i="1"/>
  <c r="O2131" i="1" s="1"/>
  <c r="J2130" i="1"/>
  <c r="O2130" i="1" s="1"/>
  <c r="J2129" i="1"/>
  <c r="O2129" i="1" s="1"/>
  <c r="J2128" i="1"/>
  <c r="O2128" i="1" s="1"/>
  <c r="J2127" i="1"/>
  <c r="O2127" i="1" s="1"/>
  <c r="J2126" i="1"/>
  <c r="O2126" i="1" s="1"/>
  <c r="J2125" i="1"/>
  <c r="O2125" i="1" s="1"/>
  <c r="J2124" i="1"/>
  <c r="O2124" i="1" s="1"/>
  <c r="J2123" i="1"/>
  <c r="O2123" i="1" s="1"/>
  <c r="J2122" i="1"/>
  <c r="O2122" i="1" s="1"/>
  <c r="J2121" i="1"/>
  <c r="O2121" i="1" s="1"/>
  <c r="J2120" i="1"/>
  <c r="O2120" i="1" s="1"/>
  <c r="J2119" i="1"/>
  <c r="O2119" i="1" s="1"/>
  <c r="J2118" i="1"/>
  <c r="O2118" i="1" s="1"/>
  <c r="J2117" i="1"/>
  <c r="O2117" i="1" s="1"/>
  <c r="J2116" i="1"/>
  <c r="O2116" i="1" s="1"/>
  <c r="J2115" i="1"/>
  <c r="O2115" i="1" s="1"/>
  <c r="J2114" i="1"/>
  <c r="O2114" i="1" s="1"/>
  <c r="J2113" i="1"/>
  <c r="O2113" i="1" s="1"/>
  <c r="J2112" i="1"/>
  <c r="O2112" i="1" s="1"/>
  <c r="J2111" i="1"/>
  <c r="O2111" i="1" s="1"/>
  <c r="J2110" i="1"/>
  <c r="O2110" i="1" s="1"/>
  <c r="J2109" i="1"/>
  <c r="O2109" i="1" s="1"/>
  <c r="J2108" i="1"/>
  <c r="O2108" i="1" s="1"/>
  <c r="J2107" i="1"/>
  <c r="O2107" i="1" s="1"/>
  <c r="J2106" i="1"/>
  <c r="O2106" i="1" s="1"/>
  <c r="J2105" i="1"/>
  <c r="O2105" i="1" s="1"/>
  <c r="J2104" i="1"/>
  <c r="O2104" i="1" s="1"/>
  <c r="J2103" i="1"/>
  <c r="O2103" i="1" s="1"/>
  <c r="J2102" i="1"/>
  <c r="O2102" i="1" s="1"/>
  <c r="J2101" i="1"/>
  <c r="O2101" i="1" s="1"/>
  <c r="J2100" i="1"/>
  <c r="O2100" i="1" s="1"/>
  <c r="J2099" i="1"/>
  <c r="O2099" i="1" s="1"/>
  <c r="J2098" i="1"/>
  <c r="O2098" i="1" s="1"/>
  <c r="J2097" i="1"/>
  <c r="O2097" i="1" s="1"/>
  <c r="J2096" i="1"/>
  <c r="O2096" i="1" s="1"/>
  <c r="J2095" i="1"/>
  <c r="O2095" i="1" s="1"/>
  <c r="J2094" i="1"/>
  <c r="O2094" i="1" s="1"/>
  <c r="J2093" i="1"/>
  <c r="O2093" i="1" s="1"/>
  <c r="J2092" i="1"/>
  <c r="O2092" i="1" s="1"/>
  <c r="J2091" i="1"/>
  <c r="O2091" i="1" s="1"/>
  <c r="J2090" i="1"/>
  <c r="O2090" i="1" s="1"/>
  <c r="J2089" i="1"/>
  <c r="O2089" i="1" s="1"/>
  <c r="J2088" i="1"/>
  <c r="O2088" i="1" s="1"/>
  <c r="J2087" i="1"/>
  <c r="O2087" i="1" s="1"/>
  <c r="J2086" i="1"/>
  <c r="O2086" i="1" s="1"/>
  <c r="J2085" i="1"/>
  <c r="O2085" i="1" s="1"/>
  <c r="J2084" i="1"/>
  <c r="O2084" i="1" s="1"/>
  <c r="J2083" i="1"/>
  <c r="O2083" i="1" s="1"/>
  <c r="J2082" i="1"/>
  <c r="O2082" i="1" s="1"/>
  <c r="J2081" i="1"/>
  <c r="O2081" i="1" s="1"/>
  <c r="J2080" i="1"/>
  <c r="O2080" i="1" s="1"/>
  <c r="J2079" i="1"/>
  <c r="O2079" i="1" s="1"/>
  <c r="J2078" i="1"/>
  <c r="O2078" i="1" s="1"/>
  <c r="J2077" i="1"/>
  <c r="O2077" i="1" s="1"/>
  <c r="J2076" i="1"/>
  <c r="O2076" i="1" s="1"/>
  <c r="J2075" i="1"/>
  <c r="O2075" i="1" s="1"/>
  <c r="J2074" i="1"/>
  <c r="O2074" i="1" s="1"/>
  <c r="J2073" i="1"/>
  <c r="O2073" i="1" s="1"/>
  <c r="J2072" i="1"/>
  <c r="O2072" i="1" s="1"/>
  <c r="J2071" i="1"/>
  <c r="O2071" i="1" s="1"/>
  <c r="J2070" i="1"/>
  <c r="O2070" i="1" s="1"/>
  <c r="J2069" i="1"/>
  <c r="O2069" i="1" s="1"/>
  <c r="J2068" i="1"/>
  <c r="O2068" i="1" s="1"/>
  <c r="J2067" i="1"/>
  <c r="O2067" i="1" s="1"/>
  <c r="J2066" i="1"/>
  <c r="O2066" i="1" s="1"/>
  <c r="J2065" i="1"/>
  <c r="O2065" i="1" s="1"/>
  <c r="J2064" i="1"/>
  <c r="O2064" i="1" s="1"/>
  <c r="J2063" i="1"/>
  <c r="O2063" i="1" s="1"/>
  <c r="J2062" i="1"/>
  <c r="O2062" i="1" s="1"/>
  <c r="J2061" i="1"/>
  <c r="O2061" i="1" s="1"/>
  <c r="J2060" i="1"/>
  <c r="O2060" i="1" s="1"/>
  <c r="J2059" i="1"/>
  <c r="O2059" i="1" s="1"/>
  <c r="J2058" i="1"/>
  <c r="O2058" i="1" s="1"/>
  <c r="J2057" i="1"/>
  <c r="O2057" i="1" s="1"/>
  <c r="J2056" i="1"/>
  <c r="O2056" i="1" s="1"/>
  <c r="J2055" i="1"/>
  <c r="O2055" i="1" s="1"/>
  <c r="J2054" i="1"/>
  <c r="O2054" i="1" s="1"/>
  <c r="J2053" i="1"/>
  <c r="O2053" i="1" s="1"/>
  <c r="J2052" i="1"/>
  <c r="O2052" i="1" s="1"/>
  <c r="J2051" i="1"/>
  <c r="O2051" i="1" s="1"/>
  <c r="J2050" i="1"/>
  <c r="O2050" i="1" s="1"/>
  <c r="J2049" i="1"/>
  <c r="O2049" i="1" s="1"/>
  <c r="J2048" i="1"/>
  <c r="O2048" i="1" s="1"/>
  <c r="J2047" i="1"/>
  <c r="O2047" i="1" s="1"/>
  <c r="J2046" i="1"/>
  <c r="O2046" i="1" s="1"/>
  <c r="J2045" i="1"/>
  <c r="O2045" i="1" s="1"/>
  <c r="J2044" i="1"/>
  <c r="O2044" i="1" s="1"/>
  <c r="J2043" i="1"/>
  <c r="O2043" i="1" s="1"/>
  <c r="J2042" i="1"/>
  <c r="O2042" i="1" s="1"/>
  <c r="J2041" i="1"/>
  <c r="O2041" i="1" s="1"/>
  <c r="J2040" i="1"/>
  <c r="O2040" i="1" s="1"/>
  <c r="J2039" i="1"/>
  <c r="O2039" i="1" s="1"/>
  <c r="J2038" i="1"/>
  <c r="O2038" i="1" s="1"/>
  <c r="J2037" i="1"/>
  <c r="O2037" i="1" s="1"/>
  <c r="J2036" i="1"/>
  <c r="O2036" i="1" s="1"/>
  <c r="J2035" i="1"/>
  <c r="O2035" i="1" s="1"/>
  <c r="J2034" i="1"/>
  <c r="O2034" i="1" s="1"/>
  <c r="J2033" i="1"/>
  <c r="O2033" i="1" s="1"/>
  <c r="J2032" i="1"/>
  <c r="O2032" i="1" s="1"/>
  <c r="J2031" i="1"/>
  <c r="O2031" i="1" s="1"/>
  <c r="J2030" i="1"/>
  <c r="O2030" i="1" s="1"/>
  <c r="J2029" i="1"/>
  <c r="O2029" i="1" s="1"/>
  <c r="J2028" i="1"/>
  <c r="O2028" i="1" s="1"/>
  <c r="J2027" i="1"/>
  <c r="O2027" i="1" s="1"/>
  <c r="J2026" i="1"/>
  <c r="O2026" i="1" s="1"/>
  <c r="J2025" i="1"/>
  <c r="O2025" i="1" s="1"/>
  <c r="J2024" i="1"/>
  <c r="O2024" i="1" s="1"/>
  <c r="J2023" i="1"/>
  <c r="O2023" i="1" s="1"/>
  <c r="J2022" i="1"/>
  <c r="O2022" i="1" s="1"/>
  <c r="J2021" i="1"/>
  <c r="O2021" i="1" s="1"/>
  <c r="J2020" i="1"/>
  <c r="O2020" i="1" s="1"/>
  <c r="J2019" i="1"/>
  <c r="O2019" i="1" s="1"/>
  <c r="J2018" i="1"/>
  <c r="O2018" i="1" s="1"/>
  <c r="J2017" i="1"/>
  <c r="O2017" i="1" s="1"/>
  <c r="J2016" i="1"/>
  <c r="O2016" i="1" s="1"/>
  <c r="J2015" i="1"/>
  <c r="O2015" i="1" s="1"/>
  <c r="J2014" i="1"/>
  <c r="O2014" i="1" s="1"/>
  <c r="J2013" i="1"/>
  <c r="O2013" i="1" s="1"/>
  <c r="J2012" i="1"/>
  <c r="O2012" i="1" s="1"/>
  <c r="J2011" i="1"/>
  <c r="O2011" i="1" s="1"/>
  <c r="J2010" i="1"/>
  <c r="O2010" i="1" s="1"/>
  <c r="J2009" i="1"/>
  <c r="O2009" i="1" s="1"/>
  <c r="J2008" i="1"/>
  <c r="O2008" i="1" s="1"/>
  <c r="J2007" i="1"/>
  <c r="O2007" i="1" s="1"/>
  <c r="J2006" i="1"/>
  <c r="O2006" i="1" s="1"/>
  <c r="J2005" i="1"/>
  <c r="O2005" i="1" s="1"/>
  <c r="J2004" i="1"/>
  <c r="O2004" i="1" s="1"/>
  <c r="J2003" i="1"/>
  <c r="O2003" i="1" s="1"/>
  <c r="J2002" i="1"/>
  <c r="O2002" i="1" s="1"/>
  <c r="J2001" i="1"/>
  <c r="O2001" i="1" s="1"/>
  <c r="J2000" i="1"/>
  <c r="O2000" i="1" s="1"/>
  <c r="J1999" i="1"/>
  <c r="O1999" i="1" s="1"/>
  <c r="J1998" i="1"/>
  <c r="O1998" i="1" s="1"/>
  <c r="J1997" i="1"/>
  <c r="O1997" i="1" s="1"/>
  <c r="J1996" i="1"/>
  <c r="O1996" i="1" s="1"/>
  <c r="J1995" i="1"/>
  <c r="O1995" i="1" s="1"/>
  <c r="J1994" i="1"/>
  <c r="O1994" i="1" s="1"/>
  <c r="J1993" i="1"/>
  <c r="O1993" i="1" s="1"/>
  <c r="J1992" i="1"/>
  <c r="O1992" i="1" s="1"/>
  <c r="J1991" i="1"/>
  <c r="O1991" i="1" s="1"/>
  <c r="J1990" i="1"/>
  <c r="O1990" i="1" s="1"/>
  <c r="J1989" i="1"/>
  <c r="O1989" i="1" s="1"/>
  <c r="J1988" i="1"/>
  <c r="O1988" i="1" s="1"/>
  <c r="J1987" i="1"/>
  <c r="O1987" i="1" s="1"/>
  <c r="J1986" i="1"/>
  <c r="O1986" i="1" s="1"/>
  <c r="J1985" i="1"/>
  <c r="O1985" i="1" s="1"/>
  <c r="J1984" i="1"/>
  <c r="O1984" i="1" s="1"/>
  <c r="J1983" i="1"/>
  <c r="O1983" i="1" s="1"/>
  <c r="J1982" i="1"/>
  <c r="O1982" i="1" s="1"/>
  <c r="J1981" i="1"/>
  <c r="O1981" i="1" s="1"/>
  <c r="J1980" i="1"/>
  <c r="O1980" i="1" s="1"/>
  <c r="J1979" i="1"/>
  <c r="O1979" i="1" s="1"/>
  <c r="J1978" i="1"/>
  <c r="O1978" i="1" s="1"/>
  <c r="J1977" i="1"/>
  <c r="O1977" i="1" s="1"/>
  <c r="J1976" i="1"/>
  <c r="O1976" i="1" s="1"/>
  <c r="J1975" i="1"/>
  <c r="O1975" i="1" s="1"/>
  <c r="J1974" i="1"/>
  <c r="O1974" i="1" s="1"/>
  <c r="J1973" i="1"/>
  <c r="O1973" i="1" s="1"/>
  <c r="J1972" i="1"/>
  <c r="O1972" i="1" s="1"/>
  <c r="J1971" i="1"/>
  <c r="O1971" i="1" s="1"/>
  <c r="J1970" i="1"/>
  <c r="O1970" i="1" s="1"/>
  <c r="J1969" i="1"/>
  <c r="O1969" i="1" s="1"/>
  <c r="J1968" i="1"/>
  <c r="O1968" i="1" s="1"/>
  <c r="J1967" i="1"/>
  <c r="O1967" i="1" s="1"/>
  <c r="J1966" i="1"/>
  <c r="O1966" i="1" s="1"/>
  <c r="J1965" i="1"/>
  <c r="O1965" i="1" s="1"/>
  <c r="J1964" i="1"/>
  <c r="O1964" i="1" s="1"/>
  <c r="J1963" i="1"/>
  <c r="O1963" i="1" s="1"/>
  <c r="J1962" i="1"/>
  <c r="O1962" i="1" s="1"/>
  <c r="J1961" i="1"/>
  <c r="O1961" i="1" s="1"/>
  <c r="J1960" i="1"/>
  <c r="O1960" i="1" s="1"/>
  <c r="J1959" i="1"/>
  <c r="O1959" i="1" s="1"/>
  <c r="J1958" i="1"/>
  <c r="O1958" i="1" s="1"/>
  <c r="J1957" i="1"/>
  <c r="O1957" i="1" s="1"/>
  <c r="J1956" i="1"/>
  <c r="O1956" i="1" s="1"/>
  <c r="J1955" i="1"/>
  <c r="O1955" i="1" s="1"/>
  <c r="J1954" i="1"/>
  <c r="O1954" i="1" s="1"/>
  <c r="J1953" i="1"/>
  <c r="O1953" i="1" s="1"/>
  <c r="J1952" i="1"/>
  <c r="O1952" i="1" s="1"/>
  <c r="J1951" i="1"/>
  <c r="O1951" i="1" s="1"/>
  <c r="J1950" i="1"/>
  <c r="O1950" i="1" s="1"/>
  <c r="J1949" i="1"/>
  <c r="O1949" i="1" s="1"/>
  <c r="J1948" i="1"/>
  <c r="O1948" i="1" s="1"/>
  <c r="J1947" i="1"/>
  <c r="O1947" i="1" s="1"/>
  <c r="J1946" i="1"/>
  <c r="O1946" i="1" s="1"/>
  <c r="J1945" i="1"/>
  <c r="O1945" i="1" s="1"/>
  <c r="J1944" i="1"/>
  <c r="O1944" i="1" s="1"/>
  <c r="J1943" i="1"/>
  <c r="O1943" i="1" s="1"/>
  <c r="J1942" i="1"/>
  <c r="O1942" i="1" s="1"/>
  <c r="J1941" i="1"/>
  <c r="O1941" i="1" s="1"/>
  <c r="J1940" i="1"/>
  <c r="O1940" i="1" s="1"/>
  <c r="J1939" i="1"/>
  <c r="O1939" i="1" s="1"/>
  <c r="J1938" i="1"/>
  <c r="O1938" i="1" s="1"/>
  <c r="J1937" i="1"/>
  <c r="O1937" i="1" s="1"/>
  <c r="J1936" i="1"/>
  <c r="O1936" i="1" s="1"/>
  <c r="J1935" i="1"/>
  <c r="O1935" i="1" s="1"/>
  <c r="J1934" i="1"/>
  <c r="O1934" i="1" s="1"/>
  <c r="J1933" i="1"/>
  <c r="O1933" i="1" s="1"/>
  <c r="J1932" i="1"/>
  <c r="O1932" i="1" s="1"/>
  <c r="J1931" i="1"/>
  <c r="O1931" i="1" s="1"/>
  <c r="J1930" i="1"/>
  <c r="O1930" i="1" s="1"/>
  <c r="J1929" i="1"/>
  <c r="O1929" i="1" s="1"/>
  <c r="J1928" i="1"/>
  <c r="O1928" i="1" s="1"/>
  <c r="J1927" i="1"/>
  <c r="O1927" i="1" s="1"/>
  <c r="J1926" i="1"/>
  <c r="O1926" i="1" s="1"/>
  <c r="J1925" i="1"/>
  <c r="O1925" i="1" s="1"/>
  <c r="J1924" i="1"/>
  <c r="O1924" i="1" s="1"/>
  <c r="J1923" i="1"/>
  <c r="O1923" i="1" s="1"/>
  <c r="J1922" i="1"/>
  <c r="O1922" i="1" s="1"/>
  <c r="J1921" i="1"/>
  <c r="O1921" i="1" s="1"/>
  <c r="J1920" i="1"/>
  <c r="O1920" i="1" s="1"/>
  <c r="J1919" i="1"/>
  <c r="O1919" i="1" s="1"/>
  <c r="J1918" i="1"/>
  <c r="O1918" i="1" s="1"/>
  <c r="J1917" i="1"/>
  <c r="O1917" i="1" s="1"/>
  <c r="J1916" i="1"/>
  <c r="O1916" i="1" s="1"/>
  <c r="J1915" i="1"/>
  <c r="O1915" i="1" s="1"/>
  <c r="J1914" i="1"/>
  <c r="O1914" i="1" s="1"/>
  <c r="J1913" i="1"/>
  <c r="O1913" i="1" s="1"/>
  <c r="J1912" i="1"/>
  <c r="O1912" i="1" s="1"/>
  <c r="J1911" i="1"/>
  <c r="O1911" i="1" s="1"/>
  <c r="J1910" i="1"/>
  <c r="O1910" i="1" s="1"/>
  <c r="J1909" i="1"/>
  <c r="O1909" i="1" s="1"/>
  <c r="J1908" i="1"/>
  <c r="O1908" i="1" s="1"/>
  <c r="J1907" i="1"/>
  <c r="O1907" i="1" s="1"/>
  <c r="J1906" i="1"/>
  <c r="O1906" i="1" s="1"/>
  <c r="J1905" i="1"/>
  <c r="O1905" i="1" s="1"/>
  <c r="J1904" i="1"/>
  <c r="O1904" i="1" s="1"/>
  <c r="J1903" i="1"/>
  <c r="O1903" i="1" s="1"/>
  <c r="J1902" i="1"/>
  <c r="O1902" i="1" s="1"/>
  <c r="J1901" i="1"/>
  <c r="O1901" i="1" s="1"/>
  <c r="J1900" i="1"/>
  <c r="O1900" i="1" s="1"/>
  <c r="J1899" i="1"/>
  <c r="O1899" i="1" s="1"/>
  <c r="J1898" i="1"/>
  <c r="O1898" i="1" s="1"/>
  <c r="J1897" i="1"/>
  <c r="O1897" i="1" s="1"/>
  <c r="J1896" i="1"/>
  <c r="O1896" i="1" s="1"/>
  <c r="J1895" i="1"/>
  <c r="O1895" i="1" s="1"/>
  <c r="J1894" i="1"/>
  <c r="O1894" i="1" s="1"/>
  <c r="J1893" i="1"/>
  <c r="O1893" i="1" s="1"/>
  <c r="J1892" i="1"/>
  <c r="O1892" i="1" s="1"/>
  <c r="J1891" i="1"/>
  <c r="O1891" i="1" s="1"/>
  <c r="J1890" i="1"/>
  <c r="O1890" i="1" s="1"/>
  <c r="J1889" i="1"/>
  <c r="O1889" i="1" s="1"/>
  <c r="J1888" i="1"/>
  <c r="O1888" i="1" s="1"/>
  <c r="J1887" i="1"/>
  <c r="O1887" i="1" s="1"/>
  <c r="J1886" i="1"/>
  <c r="O1886" i="1" s="1"/>
  <c r="J1885" i="1"/>
  <c r="O1885" i="1" s="1"/>
  <c r="J1884" i="1"/>
  <c r="O1884" i="1" s="1"/>
  <c r="J1883" i="1"/>
  <c r="O1883" i="1" s="1"/>
  <c r="J1882" i="1"/>
  <c r="O1882" i="1" s="1"/>
  <c r="J1881" i="1"/>
  <c r="O1881" i="1" s="1"/>
  <c r="J1880" i="1"/>
  <c r="O1880" i="1" s="1"/>
  <c r="J1879" i="1"/>
  <c r="O1879" i="1" s="1"/>
  <c r="J1878" i="1"/>
  <c r="O1878" i="1" s="1"/>
  <c r="J1877" i="1"/>
  <c r="O1877" i="1" s="1"/>
  <c r="J1876" i="1"/>
  <c r="O1876" i="1" s="1"/>
  <c r="J1875" i="1"/>
  <c r="O1875" i="1" s="1"/>
  <c r="J1874" i="1"/>
  <c r="O1874" i="1" s="1"/>
  <c r="J1873" i="1"/>
  <c r="O1873" i="1" s="1"/>
  <c r="J1872" i="1"/>
  <c r="O1872" i="1" s="1"/>
  <c r="J1871" i="1"/>
  <c r="O1871" i="1" s="1"/>
  <c r="J1870" i="1"/>
  <c r="O1870" i="1" s="1"/>
  <c r="J1869" i="1"/>
  <c r="O1869" i="1" s="1"/>
  <c r="J1868" i="1"/>
  <c r="O1868" i="1" s="1"/>
  <c r="J1867" i="1"/>
  <c r="O1867" i="1" s="1"/>
  <c r="J1866" i="1"/>
  <c r="O1866" i="1" s="1"/>
  <c r="J1865" i="1"/>
  <c r="O1865" i="1" s="1"/>
  <c r="J1864" i="1"/>
  <c r="O1864" i="1" s="1"/>
  <c r="J1863" i="1"/>
  <c r="O1863" i="1" s="1"/>
  <c r="J1862" i="1"/>
  <c r="O1862" i="1" s="1"/>
  <c r="J1861" i="1"/>
  <c r="O1861" i="1" s="1"/>
  <c r="J1860" i="1"/>
  <c r="O1860" i="1" s="1"/>
  <c r="J1859" i="1"/>
  <c r="O1859" i="1" s="1"/>
  <c r="J1858" i="1"/>
  <c r="O1858" i="1" s="1"/>
  <c r="J1857" i="1"/>
  <c r="O1857" i="1" s="1"/>
  <c r="J1856" i="1"/>
  <c r="O1856" i="1" s="1"/>
  <c r="J1855" i="1"/>
  <c r="O1855" i="1" s="1"/>
  <c r="J1854" i="1"/>
  <c r="O1854" i="1" s="1"/>
  <c r="J1853" i="1"/>
  <c r="O1853" i="1" s="1"/>
  <c r="J1852" i="1"/>
  <c r="O1852" i="1" s="1"/>
  <c r="J1851" i="1"/>
  <c r="O1851" i="1" s="1"/>
  <c r="J1850" i="1"/>
  <c r="O1850" i="1" s="1"/>
  <c r="J1849" i="1"/>
  <c r="O1849" i="1" s="1"/>
  <c r="J1848" i="1"/>
  <c r="O1848" i="1" s="1"/>
  <c r="J1847" i="1"/>
  <c r="O1847" i="1" s="1"/>
  <c r="J1846" i="1"/>
  <c r="O1846" i="1" s="1"/>
  <c r="J1845" i="1"/>
  <c r="O1845" i="1" s="1"/>
  <c r="J1844" i="1"/>
  <c r="O1844" i="1" s="1"/>
  <c r="J1843" i="1"/>
  <c r="O1843" i="1" s="1"/>
  <c r="J1842" i="1"/>
  <c r="O1842" i="1" s="1"/>
  <c r="J1841" i="1"/>
  <c r="O1841" i="1" s="1"/>
  <c r="J1840" i="1"/>
  <c r="O1840" i="1" s="1"/>
  <c r="J1839" i="1"/>
  <c r="O1839" i="1" s="1"/>
  <c r="J1838" i="1"/>
  <c r="O1838" i="1" s="1"/>
  <c r="J1837" i="1"/>
  <c r="O1837" i="1" s="1"/>
  <c r="J1836" i="1"/>
  <c r="O1836" i="1" s="1"/>
  <c r="J1835" i="1"/>
  <c r="O1835" i="1" s="1"/>
  <c r="J1834" i="1"/>
  <c r="O1834" i="1" s="1"/>
  <c r="J1833" i="1"/>
  <c r="O1833" i="1" s="1"/>
  <c r="J1832" i="1"/>
  <c r="O1832" i="1" s="1"/>
  <c r="J1831" i="1"/>
  <c r="O1831" i="1" s="1"/>
  <c r="J1830" i="1"/>
  <c r="O1830" i="1" s="1"/>
  <c r="J1829" i="1"/>
  <c r="O1829" i="1" s="1"/>
  <c r="J1828" i="1"/>
  <c r="O1828" i="1" s="1"/>
  <c r="J1827" i="1"/>
  <c r="O1827" i="1" s="1"/>
  <c r="J1826" i="1"/>
  <c r="O1826" i="1" s="1"/>
  <c r="J1825" i="1"/>
  <c r="O1825" i="1" s="1"/>
  <c r="J1824" i="1"/>
  <c r="O1824" i="1" s="1"/>
  <c r="J1823" i="1"/>
  <c r="O1823" i="1" s="1"/>
  <c r="J1822" i="1"/>
  <c r="O1822" i="1" s="1"/>
  <c r="J1821" i="1"/>
  <c r="O1821" i="1" s="1"/>
  <c r="J1820" i="1"/>
  <c r="O1820" i="1" s="1"/>
  <c r="J1819" i="1"/>
  <c r="O1819" i="1" s="1"/>
  <c r="J1818" i="1"/>
  <c r="O1818" i="1" s="1"/>
  <c r="J1817" i="1"/>
  <c r="O1817" i="1" s="1"/>
  <c r="J1816" i="1"/>
  <c r="O1816" i="1" s="1"/>
  <c r="J1815" i="1"/>
  <c r="O1815" i="1" s="1"/>
  <c r="J1814" i="1"/>
  <c r="O1814" i="1" s="1"/>
  <c r="J1813" i="1"/>
  <c r="O1813" i="1" s="1"/>
  <c r="J1812" i="1"/>
  <c r="O1812" i="1" s="1"/>
  <c r="J1811" i="1"/>
  <c r="O1811" i="1" s="1"/>
  <c r="J1810" i="1"/>
  <c r="O1810" i="1" s="1"/>
  <c r="J1809" i="1"/>
  <c r="O1809" i="1" s="1"/>
  <c r="J1808" i="1"/>
  <c r="O1808" i="1" s="1"/>
  <c r="J1807" i="1"/>
  <c r="O1807" i="1" s="1"/>
  <c r="J1806" i="1"/>
  <c r="O1806" i="1" s="1"/>
  <c r="J1805" i="1"/>
  <c r="O1805" i="1" s="1"/>
  <c r="J1804" i="1"/>
  <c r="O1804" i="1" s="1"/>
  <c r="J1803" i="1"/>
  <c r="O1803" i="1" s="1"/>
  <c r="J1802" i="1"/>
  <c r="O1802" i="1" s="1"/>
  <c r="J1801" i="1"/>
  <c r="O1801" i="1" s="1"/>
  <c r="J1800" i="1"/>
  <c r="O1800" i="1" s="1"/>
  <c r="J1799" i="1"/>
  <c r="O1799" i="1" s="1"/>
  <c r="J1798" i="1"/>
  <c r="O1798" i="1" s="1"/>
  <c r="J1797" i="1"/>
  <c r="O1797" i="1" s="1"/>
  <c r="J1796" i="1"/>
  <c r="O1796" i="1" s="1"/>
  <c r="J1795" i="1"/>
  <c r="O1795" i="1" s="1"/>
  <c r="J1794" i="1"/>
  <c r="O1794" i="1" s="1"/>
  <c r="J1793" i="1"/>
  <c r="O1793" i="1" s="1"/>
  <c r="J1792" i="1"/>
  <c r="O1792" i="1" s="1"/>
  <c r="J1791" i="1"/>
  <c r="O1791" i="1" s="1"/>
  <c r="J1790" i="1"/>
  <c r="O1790" i="1" s="1"/>
  <c r="J1789" i="1"/>
  <c r="O1789" i="1" s="1"/>
  <c r="J1788" i="1"/>
  <c r="O1788" i="1" s="1"/>
  <c r="J1787" i="1"/>
  <c r="O1787" i="1" s="1"/>
  <c r="J1786" i="1"/>
  <c r="O1786" i="1" s="1"/>
  <c r="J1785" i="1"/>
  <c r="O1785" i="1" s="1"/>
  <c r="J1784" i="1"/>
  <c r="O1784" i="1" s="1"/>
  <c r="J1783" i="1"/>
  <c r="O1783" i="1" s="1"/>
  <c r="J1782" i="1"/>
  <c r="O1782" i="1" s="1"/>
  <c r="J1781" i="1"/>
  <c r="O1781" i="1" s="1"/>
  <c r="J1780" i="1"/>
  <c r="O1780" i="1" s="1"/>
  <c r="J1779" i="1"/>
  <c r="O1779" i="1" s="1"/>
  <c r="J1778" i="1"/>
  <c r="O1778" i="1" s="1"/>
  <c r="J1777" i="1"/>
  <c r="O1777" i="1" s="1"/>
  <c r="J1776" i="1"/>
  <c r="O1776" i="1" s="1"/>
  <c r="J1775" i="1"/>
  <c r="O1775" i="1" s="1"/>
  <c r="J1774" i="1"/>
  <c r="O1774" i="1" s="1"/>
  <c r="J1773" i="1"/>
  <c r="O1773" i="1" s="1"/>
  <c r="J1772" i="1"/>
  <c r="O1772" i="1" s="1"/>
  <c r="J1771" i="1"/>
  <c r="O1771" i="1" s="1"/>
  <c r="J1770" i="1"/>
  <c r="O1770" i="1" s="1"/>
  <c r="J1769" i="1"/>
  <c r="O1769" i="1" s="1"/>
  <c r="J1768" i="1"/>
  <c r="O1768" i="1" s="1"/>
  <c r="J1767" i="1"/>
  <c r="O1767" i="1" s="1"/>
  <c r="J1766" i="1"/>
  <c r="O1766" i="1" s="1"/>
  <c r="J1765" i="1"/>
  <c r="O1765" i="1" s="1"/>
  <c r="J1764" i="1"/>
  <c r="O1764" i="1" s="1"/>
  <c r="J1763" i="1"/>
  <c r="O1763" i="1" s="1"/>
  <c r="J1762" i="1"/>
  <c r="O1762" i="1" s="1"/>
  <c r="J1761" i="1"/>
  <c r="O1761" i="1" s="1"/>
  <c r="J1760" i="1"/>
  <c r="O1760" i="1" s="1"/>
  <c r="J1759" i="1"/>
  <c r="O1759" i="1" s="1"/>
  <c r="J1758" i="1"/>
  <c r="O1758" i="1" s="1"/>
  <c r="J1757" i="1"/>
  <c r="O1757" i="1" s="1"/>
  <c r="J1756" i="1"/>
  <c r="O1756" i="1" s="1"/>
  <c r="J1755" i="1"/>
  <c r="O1755" i="1" s="1"/>
  <c r="J1754" i="1"/>
  <c r="O1754" i="1" s="1"/>
  <c r="J1753" i="1"/>
  <c r="O1753" i="1" s="1"/>
  <c r="J1752" i="1"/>
  <c r="O1752" i="1" s="1"/>
  <c r="J1751" i="1"/>
  <c r="O1751" i="1" s="1"/>
  <c r="J1750" i="1"/>
  <c r="O1750" i="1" s="1"/>
  <c r="J1749" i="1"/>
  <c r="O1749" i="1" s="1"/>
  <c r="J1748" i="1"/>
  <c r="O1748" i="1" s="1"/>
  <c r="J1747" i="1"/>
  <c r="O1747" i="1" s="1"/>
  <c r="J1746" i="1"/>
  <c r="O1746" i="1" s="1"/>
  <c r="J1745" i="1"/>
  <c r="O1745" i="1" s="1"/>
  <c r="J1744" i="1"/>
  <c r="O1744" i="1" s="1"/>
  <c r="J1743" i="1"/>
  <c r="O1743" i="1" s="1"/>
  <c r="J1742" i="1"/>
  <c r="O1742" i="1" s="1"/>
  <c r="J1741" i="1"/>
  <c r="O1741" i="1" s="1"/>
  <c r="J1740" i="1"/>
  <c r="O1740" i="1" s="1"/>
  <c r="J1739" i="1"/>
  <c r="O1739" i="1" s="1"/>
  <c r="J1738" i="1"/>
  <c r="O1738" i="1" s="1"/>
  <c r="J1737" i="1"/>
  <c r="O1737" i="1" s="1"/>
  <c r="J1736" i="1"/>
  <c r="O1736" i="1" s="1"/>
  <c r="J1735" i="1"/>
  <c r="O1735" i="1" s="1"/>
  <c r="J1734" i="1"/>
  <c r="O1734" i="1" s="1"/>
  <c r="J1733" i="1"/>
  <c r="O1733" i="1" s="1"/>
  <c r="J1732" i="1"/>
  <c r="O1732" i="1" s="1"/>
  <c r="J1731" i="1"/>
  <c r="O1731" i="1" s="1"/>
  <c r="J1730" i="1"/>
  <c r="O1730" i="1" s="1"/>
  <c r="J1729" i="1"/>
  <c r="O1729" i="1" s="1"/>
  <c r="J1728" i="1"/>
  <c r="O1728" i="1" s="1"/>
  <c r="J1727" i="1"/>
  <c r="O1727" i="1" s="1"/>
  <c r="J1726" i="1"/>
  <c r="O1726" i="1" s="1"/>
  <c r="J1725" i="1"/>
  <c r="O1725" i="1" s="1"/>
  <c r="J1724" i="1"/>
  <c r="O1724" i="1" s="1"/>
  <c r="J1723" i="1"/>
  <c r="O1723" i="1" s="1"/>
  <c r="J1722" i="1"/>
  <c r="O1722" i="1" s="1"/>
  <c r="J1721" i="1"/>
  <c r="O1721" i="1" s="1"/>
  <c r="J1720" i="1"/>
  <c r="O1720" i="1" s="1"/>
  <c r="J1719" i="1"/>
  <c r="O1719" i="1" s="1"/>
  <c r="J1718" i="1"/>
  <c r="O1718" i="1" s="1"/>
  <c r="J1717" i="1"/>
  <c r="O1717" i="1" s="1"/>
  <c r="J1716" i="1"/>
  <c r="O1716" i="1" s="1"/>
  <c r="J1715" i="1"/>
  <c r="O1715" i="1" s="1"/>
  <c r="J1714" i="1"/>
  <c r="O1714" i="1" s="1"/>
  <c r="J1713" i="1"/>
  <c r="O1713" i="1" s="1"/>
  <c r="J1712" i="1"/>
  <c r="O1712" i="1" s="1"/>
  <c r="J1711" i="1"/>
  <c r="O1711" i="1" s="1"/>
  <c r="J1710" i="1"/>
  <c r="O1710" i="1" s="1"/>
  <c r="J1709" i="1"/>
  <c r="O1709" i="1" s="1"/>
  <c r="J1708" i="1"/>
  <c r="O1708" i="1" s="1"/>
  <c r="J1707" i="1"/>
  <c r="O1707" i="1" s="1"/>
  <c r="J1706" i="1"/>
  <c r="O1706" i="1" s="1"/>
  <c r="J1705" i="1"/>
  <c r="O1705" i="1" s="1"/>
  <c r="J1704" i="1"/>
  <c r="O1704" i="1" s="1"/>
  <c r="J1703" i="1"/>
  <c r="O1703" i="1" s="1"/>
  <c r="J1702" i="1"/>
  <c r="O1702" i="1" s="1"/>
  <c r="J1701" i="1"/>
  <c r="O1701" i="1" s="1"/>
  <c r="J1700" i="1"/>
  <c r="O1700" i="1" s="1"/>
  <c r="J1699" i="1"/>
  <c r="O1699" i="1" s="1"/>
  <c r="J1698" i="1"/>
  <c r="O1698" i="1" s="1"/>
  <c r="J1697" i="1"/>
  <c r="O1697" i="1" s="1"/>
  <c r="J1696" i="1"/>
  <c r="O1696" i="1" s="1"/>
  <c r="J1695" i="1"/>
  <c r="O1695" i="1" s="1"/>
  <c r="J1694" i="1"/>
  <c r="O1694" i="1" s="1"/>
  <c r="J1693" i="1"/>
  <c r="O1693" i="1" s="1"/>
  <c r="J1692" i="1"/>
  <c r="O1692" i="1" s="1"/>
  <c r="J1691" i="1"/>
  <c r="O1691" i="1" s="1"/>
  <c r="J1690" i="1"/>
  <c r="O1690" i="1" s="1"/>
  <c r="J1689" i="1"/>
  <c r="O1689" i="1" s="1"/>
  <c r="J1688" i="1"/>
  <c r="O1688" i="1" s="1"/>
  <c r="J1687" i="1"/>
  <c r="O1687" i="1" s="1"/>
  <c r="J1686" i="1"/>
  <c r="O1686" i="1" s="1"/>
  <c r="J1685" i="1"/>
  <c r="O1685" i="1" s="1"/>
  <c r="J1684" i="1"/>
  <c r="O1684" i="1" s="1"/>
  <c r="J1683" i="1"/>
  <c r="O1683" i="1" s="1"/>
  <c r="J1682" i="1"/>
  <c r="O1682" i="1" s="1"/>
  <c r="J1681" i="1"/>
  <c r="O1681" i="1" s="1"/>
  <c r="J1680" i="1"/>
  <c r="O1680" i="1" s="1"/>
  <c r="J1679" i="1"/>
  <c r="O1679" i="1" s="1"/>
  <c r="J1678" i="1"/>
  <c r="O1678" i="1" s="1"/>
  <c r="J1677" i="1"/>
  <c r="O1677" i="1" s="1"/>
  <c r="J1676" i="1"/>
  <c r="O1676" i="1" s="1"/>
  <c r="J1675" i="1"/>
  <c r="O1675" i="1" s="1"/>
  <c r="J1674" i="1"/>
  <c r="O1674" i="1" s="1"/>
  <c r="J1673" i="1"/>
  <c r="O1673" i="1" s="1"/>
  <c r="J1672" i="1"/>
  <c r="O1672" i="1" s="1"/>
  <c r="J1671" i="1"/>
  <c r="O1671" i="1" s="1"/>
  <c r="J1670" i="1"/>
  <c r="O1670" i="1" s="1"/>
  <c r="J1669" i="1"/>
  <c r="O1669" i="1" s="1"/>
  <c r="J1668" i="1"/>
  <c r="O1668" i="1" s="1"/>
  <c r="J1667" i="1"/>
  <c r="O1667" i="1" s="1"/>
  <c r="J1666" i="1"/>
  <c r="O1666" i="1" s="1"/>
  <c r="J1665" i="1"/>
  <c r="O1665" i="1" s="1"/>
  <c r="J1664" i="1"/>
  <c r="O1664" i="1" s="1"/>
  <c r="J1663" i="1"/>
  <c r="O1663" i="1" s="1"/>
  <c r="J1662" i="1"/>
  <c r="O1662" i="1" s="1"/>
  <c r="J1661" i="1"/>
  <c r="O1661" i="1" s="1"/>
  <c r="J1660" i="1"/>
  <c r="O1660" i="1" s="1"/>
  <c r="J1659" i="1"/>
  <c r="O1659" i="1" s="1"/>
  <c r="J1658" i="1"/>
  <c r="O1658" i="1" s="1"/>
  <c r="J1657" i="1"/>
  <c r="O1657" i="1" s="1"/>
  <c r="J1656" i="1"/>
  <c r="O1656" i="1" s="1"/>
  <c r="J1655" i="1"/>
  <c r="O1655" i="1" s="1"/>
  <c r="J1654" i="1"/>
  <c r="O1654" i="1" s="1"/>
  <c r="J1653" i="1"/>
  <c r="O1653" i="1" s="1"/>
  <c r="J1652" i="1"/>
  <c r="O1652" i="1" s="1"/>
  <c r="J1651" i="1"/>
  <c r="O1651" i="1" s="1"/>
  <c r="J1650" i="1"/>
  <c r="O1650" i="1" s="1"/>
  <c r="J1649" i="1"/>
  <c r="O1649" i="1" s="1"/>
  <c r="J1648" i="1"/>
  <c r="O1648" i="1" s="1"/>
  <c r="J1647" i="1"/>
  <c r="O1647" i="1" s="1"/>
  <c r="J1646" i="1"/>
  <c r="O1646" i="1" s="1"/>
  <c r="J1645" i="1"/>
  <c r="O1645" i="1" s="1"/>
  <c r="J1644" i="1"/>
  <c r="O1644" i="1" s="1"/>
  <c r="J1643" i="1"/>
  <c r="O1643" i="1" s="1"/>
  <c r="J1642" i="1"/>
  <c r="O1642" i="1" s="1"/>
  <c r="J1641" i="1"/>
  <c r="O1641" i="1" s="1"/>
  <c r="J1640" i="1"/>
  <c r="O1640" i="1" s="1"/>
  <c r="J1639" i="1"/>
  <c r="O1639" i="1" s="1"/>
  <c r="J1638" i="1"/>
  <c r="O1638" i="1" s="1"/>
  <c r="J1637" i="1"/>
  <c r="O1637" i="1" s="1"/>
  <c r="J1636" i="1"/>
  <c r="O1636" i="1" s="1"/>
  <c r="J1635" i="1"/>
  <c r="O1635" i="1" s="1"/>
  <c r="J1634" i="1"/>
  <c r="O1634" i="1" s="1"/>
  <c r="J1633" i="1"/>
  <c r="O1633" i="1" s="1"/>
  <c r="J1632" i="1"/>
  <c r="O1632" i="1" s="1"/>
  <c r="J1631" i="1"/>
  <c r="O1631" i="1" s="1"/>
  <c r="J1630" i="1"/>
  <c r="O1630" i="1" s="1"/>
  <c r="J1629" i="1"/>
  <c r="O1629" i="1" s="1"/>
  <c r="J1628" i="1"/>
  <c r="O1628" i="1" s="1"/>
  <c r="J1627" i="1"/>
  <c r="O1627" i="1" s="1"/>
  <c r="J1626" i="1"/>
  <c r="O1626" i="1" s="1"/>
  <c r="J1625" i="1"/>
  <c r="O1625" i="1" s="1"/>
  <c r="J1624" i="1"/>
  <c r="O1624" i="1" s="1"/>
  <c r="J1623" i="1"/>
  <c r="O1623" i="1" s="1"/>
  <c r="J1622" i="1"/>
  <c r="O1622" i="1" s="1"/>
  <c r="J1621" i="1"/>
  <c r="O1621" i="1" s="1"/>
  <c r="J1620" i="1"/>
  <c r="O1620" i="1" s="1"/>
  <c r="J1619" i="1"/>
  <c r="O1619" i="1" s="1"/>
  <c r="J1618" i="1"/>
  <c r="O1618" i="1" s="1"/>
  <c r="J1617" i="1"/>
  <c r="O1617" i="1" s="1"/>
  <c r="J1616" i="1"/>
  <c r="O1616" i="1" s="1"/>
  <c r="J1615" i="1"/>
  <c r="O1615" i="1" s="1"/>
  <c r="J1614" i="1"/>
  <c r="O1614" i="1" s="1"/>
  <c r="J1613" i="1"/>
  <c r="O1613" i="1" s="1"/>
  <c r="J1612" i="1"/>
  <c r="O1612" i="1" s="1"/>
  <c r="J1611" i="1"/>
  <c r="O1611" i="1" s="1"/>
  <c r="J1610" i="1"/>
  <c r="O1610" i="1" s="1"/>
  <c r="J1609" i="1"/>
  <c r="O1609" i="1" s="1"/>
  <c r="J1608" i="1"/>
  <c r="O1608" i="1" s="1"/>
  <c r="J1607" i="1"/>
  <c r="O1607" i="1" s="1"/>
  <c r="J1606" i="1"/>
  <c r="O1606" i="1" s="1"/>
  <c r="J1605" i="1"/>
  <c r="O1605" i="1" s="1"/>
  <c r="J1604" i="1"/>
  <c r="O1604" i="1" s="1"/>
  <c r="J1603" i="1"/>
  <c r="O1603" i="1" s="1"/>
  <c r="J1602" i="1"/>
  <c r="O1602" i="1" s="1"/>
  <c r="J1601" i="1"/>
  <c r="O1601" i="1" s="1"/>
  <c r="J1600" i="1"/>
  <c r="O1600" i="1" s="1"/>
  <c r="J1599" i="1"/>
  <c r="O1599" i="1" s="1"/>
  <c r="J1598" i="1"/>
  <c r="O1598" i="1" s="1"/>
  <c r="J1597" i="1"/>
  <c r="O1597" i="1" s="1"/>
  <c r="J1596" i="1"/>
  <c r="O1596" i="1" s="1"/>
  <c r="J1595" i="1"/>
  <c r="O1595" i="1" s="1"/>
  <c r="J1594" i="1"/>
  <c r="O1594" i="1" s="1"/>
  <c r="J1593" i="1"/>
  <c r="O1593" i="1" s="1"/>
  <c r="J1592" i="1"/>
  <c r="O1592" i="1" s="1"/>
  <c r="J1591" i="1"/>
  <c r="O1591" i="1" s="1"/>
  <c r="J1590" i="1"/>
  <c r="O1590" i="1" s="1"/>
  <c r="J1589" i="1"/>
  <c r="O1589" i="1" s="1"/>
  <c r="J1588" i="1"/>
  <c r="O1588" i="1" s="1"/>
  <c r="J1587" i="1"/>
  <c r="O1587" i="1" s="1"/>
  <c r="J1586" i="1"/>
  <c r="O1586" i="1" s="1"/>
  <c r="J1585" i="1"/>
  <c r="O1585" i="1" s="1"/>
  <c r="J1584" i="1"/>
  <c r="O1584" i="1" s="1"/>
  <c r="J1583" i="1"/>
  <c r="O1583" i="1" s="1"/>
  <c r="J1582" i="1"/>
  <c r="O1582" i="1" s="1"/>
  <c r="J1581" i="1"/>
  <c r="O1581" i="1" s="1"/>
  <c r="J1580" i="1"/>
  <c r="O1580" i="1" s="1"/>
  <c r="J1579" i="1"/>
  <c r="O1579" i="1" s="1"/>
  <c r="J1578" i="1"/>
  <c r="O1578" i="1" s="1"/>
  <c r="J1577" i="1"/>
  <c r="O1577" i="1" s="1"/>
  <c r="J1576" i="1"/>
  <c r="O1576" i="1" s="1"/>
  <c r="J1575" i="1"/>
  <c r="O1575" i="1" s="1"/>
  <c r="J1574" i="1"/>
  <c r="O1574" i="1" s="1"/>
  <c r="J1573" i="1"/>
  <c r="O1573" i="1" s="1"/>
  <c r="J1572" i="1"/>
  <c r="O1572" i="1" s="1"/>
  <c r="J1571" i="1"/>
  <c r="O1571" i="1" s="1"/>
  <c r="J1570" i="1"/>
  <c r="O1570" i="1" s="1"/>
  <c r="J1569" i="1"/>
  <c r="O1569" i="1" s="1"/>
  <c r="J1568" i="1"/>
  <c r="O1568" i="1" s="1"/>
  <c r="J1567" i="1"/>
  <c r="O1567" i="1" s="1"/>
  <c r="J1566" i="1"/>
  <c r="O1566" i="1" s="1"/>
  <c r="J1565" i="1"/>
  <c r="O1565" i="1" s="1"/>
  <c r="J1564" i="1"/>
  <c r="O1564" i="1" s="1"/>
  <c r="J1563" i="1"/>
  <c r="O1563" i="1" s="1"/>
  <c r="J1562" i="1"/>
  <c r="O1562" i="1" s="1"/>
  <c r="J1561" i="1"/>
  <c r="O1561" i="1" s="1"/>
  <c r="J1560" i="1"/>
  <c r="O1560" i="1" s="1"/>
  <c r="J1559" i="1"/>
  <c r="O1559" i="1" s="1"/>
  <c r="J1558" i="1"/>
  <c r="O1558" i="1" s="1"/>
  <c r="J1557" i="1"/>
  <c r="O1557" i="1" s="1"/>
  <c r="J1556" i="1"/>
  <c r="O1556" i="1" s="1"/>
  <c r="J1555" i="1"/>
  <c r="O1555" i="1" s="1"/>
  <c r="J1554" i="1"/>
  <c r="O1554" i="1" s="1"/>
  <c r="J1553" i="1"/>
  <c r="O1553" i="1" s="1"/>
  <c r="J1552" i="1"/>
  <c r="O1552" i="1" s="1"/>
  <c r="J1551" i="1"/>
  <c r="O1551" i="1" s="1"/>
  <c r="J1550" i="1"/>
  <c r="O1550" i="1" s="1"/>
  <c r="J1549" i="1"/>
  <c r="O1549" i="1" s="1"/>
  <c r="J1548" i="1"/>
  <c r="O1548" i="1" s="1"/>
  <c r="J1547" i="1"/>
  <c r="O1547" i="1" s="1"/>
  <c r="J1546" i="1"/>
  <c r="O1546" i="1" s="1"/>
  <c r="J1545" i="1"/>
  <c r="O1545" i="1" s="1"/>
  <c r="J1544" i="1"/>
  <c r="O1544" i="1" s="1"/>
  <c r="J1543" i="1"/>
  <c r="O1543" i="1" s="1"/>
  <c r="J1542" i="1"/>
  <c r="O1542" i="1" s="1"/>
  <c r="J1541" i="1"/>
  <c r="O1541" i="1" s="1"/>
  <c r="J1540" i="1"/>
  <c r="O1540" i="1" s="1"/>
  <c r="J1539" i="1"/>
  <c r="O1539" i="1" s="1"/>
  <c r="J1538" i="1"/>
  <c r="O1538" i="1" s="1"/>
  <c r="J1537" i="1"/>
  <c r="O1537" i="1" s="1"/>
  <c r="J1536" i="1"/>
  <c r="O1536" i="1" s="1"/>
  <c r="J1535" i="1"/>
  <c r="O1535" i="1" s="1"/>
  <c r="J1534" i="1"/>
  <c r="O1534" i="1" s="1"/>
  <c r="J1533" i="1"/>
  <c r="O1533" i="1" s="1"/>
  <c r="J1532" i="1"/>
  <c r="O1532" i="1" s="1"/>
  <c r="J1531" i="1"/>
  <c r="O1531" i="1" s="1"/>
  <c r="J1530" i="1"/>
  <c r="O1530" i="1" s="1"/>
  <c r="J1529" i="1"/>
  <c r="O1529" i="1" s="1"/>
  <c r="J1528" i="1"/>
  <c r="O1528" i="1" s="1"/>
  <c r="J1527" i="1"/>
  <c r="O1527" i="1" s="1"/>
  <c r="J1526" i="1"/>
  <c r="O1526" i="1" s="1"/>
  <c r="J1525" i="1"/>
  <c r="O1525" i="1" s="1"/>
  <c r="J1524" i="1"/>
  <c r="O1524" i="1" s="1"/>
  <c r="J1523" i="1"/>
  <c r="O1523" i="1" s="1"/>
  <c r="J1522" i="1"/>
  <c r="O1522" i="1" s="1"/>
  <c r="J1521" i="1"/>
  <c r="O1521" i="1" s="1"/>
  <c r="J1520" i="1"/>
  <c r="O1520" i="1" s="1"/>
  <c r="J1519" i="1"/>
  <c r="O1519" i="1" s="1"/>
  <c r="J1518" i="1"/>
  <c r="O1518" i="1" s="1"/>
  <c r="J1517" i="1"/>
  <c r="O1517" i="1" s="1"/>
  <c r="J1516" i="1"/>
  <c r="O1516" i="1" s="1"/>
  <c r="J1515" i="1"/>
  <c r="O1515" i="1" s="1"/>
  <c r="J1514" i="1"/>
  <c r="O1514" i="1" s="1"/>
  <c r="J1513" i="1"/>
  <c r="O1513" i="1" s="1"/>
  <c r="J1512" i="1"/>
  <c r="O1512" i="1" s="1"/>
  <c r="J1511" i="1"/>
  <c r="O1511" i="1" s="1"/>
  <c r="J1510" i="1"/>
  <c r="O1510" i="1" s="1"/>
  <c r="J1509" i="1"/>
  <c r="O1509" i="1" s="1"/>
  <c r="J1508" i="1"/>
  <c r="O1508" i="1" s="1"/>
  <c r="J1507" i="1"/>
  <c r="O1507" i="1" s="1"/>
  <c r="J1506" i="1"/>
  <c r="O1506" i="1" s="1"/>
  <c r="J1505" i="1"/>
  <c r="O1505" i="1" s="1"/>
  <c r="J1504" i="1"/>
  <c r="O1504" i="1" s="1"/>
  <c r="J1503" i="1"/>
  <c r="O1503" i="1" s="1"/>
  <c r="J1502" i="1"/>
  <c r="O1502" i="1" s="1"/>
  <c r="J1501" i="1"/>
  <c r="O1501" i="1" s="1"/>
  <c r="J1500" i="1"/>
  <c r="O1500" i="1" s="1"/>
  <c r="J1499" i="1"/>
  <c r="O1499" i="1" s="1"/>
  <c r="J1498" i="1"/>
  <c r="O1498" i="1" s="1"/>
  <c r="J1497" i="1"/>
  <c r="O1497" i="1" s="1"/>
  <c r="J1496" i="1"/>
  <c r="O1496" i="1" s="1"/>
  <c r="J1495" i="1"/>
  <c r="O1495" i="1" s="1"/>
  <c r="J1494" i="1"/>
  <c r="O1494" i="1" s="1"/>
  <c r="J1493" i="1"/>
  <c r="O1493" i="1" s="1"/>
  <c r="J1492" i="1"/>
  <c r="O1492" i="1" s="1"/>
  <c r="J1491" i="1"/>
  <c r="O1491" i="1" s="1"/>
  <c r="J1490" i="1"/>
  <c r="O1490" i="1" s="1"/>
  <c r="J1489" i="1"/>
  <c r="O1489" i="1" s="1"/>
  <c r="J1488" i="1"/>
  <c r="O1488" i="1" s="1"/>
  <c r="J1487" i="1"/>
  <c r="O1487" i="1" s="1"/>
  <c r="J1486" i="1"/>
  <c r="O1486" i="1" s="1"/>
  <c r="J1485" i="1"/>
  <c r="O1485" i="1" s="1"/>
  <c r="J1484" i="1"/>
  <c r="O1484" i="1" s="1"/>
  <c r="J1483" i="1"/>
  <c r="O1483" i="1" s="1"/>
  <c r="J1482" i="1"/>
  <c r="O1482" i="1" s="1"/>
  <c r="J1481" i="1"/>
  <c r="O1481" i="1" s="1"/>
  <c r="J1480" i="1"/>
  <c r="O1480" i="1" s="1"/>
  <c r="J1479" i="1"/>
  <c r="O1479" i="1" s="1"/>
  <c r="J1478" i="1"/>
  <c r="O1478" i="1" s="1"/>
  <c r="J1477" i="1"/>
  <c r="O1477" i="1" s="1"/>
  <c r="J1476" i="1"/>
  <c r="O1476" i="1" s="1"/>
  <c r="J1475" i="1"/>
  <c r="O1475" i="1" s="1"/>
  <c r="J1474" i="1"/>
  <c r="O1474" i="1" s="1"/>
  <c r="J1473" i="1"/>
  <c r="O1473" i="1" s="1"/>
  <c r="J1472" i="1"/>
  <c r="O1472" i="1" s="1"/>
  <c r="J1471" i="1"/>
  <c r="O1471" i="1" s="1"/>
  <c r="J1470" i="1"/>
  <c r="O1470" i="1" s="1"/>
  <c r="J1469" i="1"/>
  <c r="O1469" i="1" s="1"/>
  <c r="J1468" i="1"/>
  <c r="O1468" i="1" s="1"/>
  <c r="J1467" i="1"/>
  <c r="O1467" i="1" s="1"/>
  <c r="J1466" i="1"/>
  <c r="O1466" i="1" s="1"/>
  <c r="J1465" i="1"/>
  <c r="O1465" i="1" s="1"/>
  <c r="J1464" i="1"/>
  <c r="O1464" i="1" s="1"/>
  <c r="J1463" i="1"/>
  <c r="O1463" i="1" s="1"/>
  <c r="J1462" i="1"/>
  <c r="O1462" i="1" s="1"/>
  <c r="J1461" i="1"/>
  <c r="O1461" i="1" s="1"/>
  <c r="J1460" i="1"/>
  <c r="O1460" i="1" s="1"/>
  <c r="J1459" i="1"/>
  <c r="O1459" i="1" s="1"/>
  <c r="J1458" i="1"/>
  <c r="O1458" i="1" s="1"/>
  <c r="J1457" i="1"/>
  <c r="O1457" i="1" s="1"/>
  <c r="J1456" i="1"/>
  <c r="O1456" i="1" s="1"/>
  <c r="J1455" i="1"/>
  <c r="O1455" i="1" s="1"/>
  <c r="J1454" i="1"/>
  <c r="O1454" i="1" s="1"/>
  <c r="J1453" i="1"/>
  <c r="O1453" i="1" s="1"/>
  <c r="J1452" i="1"/>
  <c r="O1452" i="1" s="1"/>
  <c r="J1451" i="1"/>
  <c r="O1451" i="1" s="1"/>
  <c r="J1450" i="1"/>
  <c r="O1450" i="1" s="1"/>
  <c r="J1449" i="1"/>
  <c r="O1449" i="1" s="1"/>
  <c r="J1448" i="1"/>
  <c r="O1448" i="1" s="1"/>
  <c r="J1447" i="1"/>
  <c r="O1447" i="1" s="1"/>
  <c r="J1446" i="1"/>
  <c r="O1446" i="1" s="1"/>
  <c r="J1445" i="1"/>
  <c r="O1445" i="1" s="1"/>
  <c r="J1444" i="1"/>
  <c r="O1444" i="1" s="1"/>
  <c r="J1443" i="1"/>
  <c r="O1443" i="1" s="1"/>
  <c r="J1442" i="1"/>
  <c r="O1442" i="1" s="1"/>
  <c r="J1441" i="1"/>
  <c r="O1441" i="1" s="1"/>
  <c r="J1440" i="1"/>
  <c r="O1440" i="1" s="1"/>
  <c r="J1439" i="1"/>
  <c r="O1439" i="1" s="1"/>
  <c r="J1438" i="1"/>
  <c r="O1438" i="1" s="1"/>
  <c r="J1437" i="1"/>
  <c r="O1437" i="1" s="1"/>
  <c r="J1436" i="1"/>
  <c r="O1436" i="1" s="1"/>
  <c r="J1435" i="1"/>
  <c r="O1435" i="1" s="1"/>
  <c r="J1434" i="1"/>
  <c r="O1434" i="1" s="1"/>
  <c r="J1433" i="1"/>
  <c r="O1433" i="1" s="1"/>
  <c r="J1432" i="1"/>
  <c r="O1432" i="1" s="1"/>
  <c r="J1431" i="1"/>
  <c r="O1431" i="1" s="1"/>
  <c r="J1430" i="1"/>
  <c r="O1430" i="1" s="1"/>
  <c r="J1429" i="1"/>
  <c r="O1429" i="1" s="1"/>
  <c r="J1428" i="1"/>
  <c r="O1428" i="1" s="1"/>
  <c r="J1427" i="1"/>
  <c r="O1427" i="1" s="1"/>
  <c r="J1426" i="1"/>
  <c r="O1426" i="1" s="1"/>
  <c r="J1425" i="1"/>
  <c r="O1425" i="1" s="1"/>
  <c r="J1424" i="1"/>
  <c r="O1424" i="1" s="1"/>
  <c r="J1423" i="1"/>
  <c r="O1423" i="1" s="1"/>
  <c r="J1422" i="1"/>
  <c r="O1422" i="1" s="1"/>
  <c r="J1421" i="1"/>
  <c r="O1421" i="1" s="1"/>
  <c r="J1420" i="1"/>
  <c r="O1420" i="1" s="1"/>
  <c r="J1419" i="1"/>
  <c r="O1419" i="1" s="1"/>
  <c r="J1418" i="1"/>
  <c r="O1418" i="1" s="1"/>
  <c r="J1417" i="1"/>
  <c r="O1417" i="1" s="1"/>
  <c r="J1416" i="1"/>
  <c r="O1416" i="1" s="1"/>
  <c r="J1415" i="1"/>
  <c r="O1415" i="1" s="1"/>
  <c r="J1414" i="1"/>
  <c r="O1414" i="1" s="1"/>
  <c r="J1413" i="1"/>
  <c r="O1413" i="1" s="1"/>
  <c r="J1412" i="1"/>
  <c r="O1412" i="1" s="1"/>
  <c r="J1411" i="1"/>
  <c r="O1411" i="1" s="1"/>
  <c r="J1410" i="1"/>
  <c r="O1410" i="1" s="1"/>
  <c r="J1409" i="1"/>
  <c r="O1409" i="1" s="1"/>
  <c r="J1408" i="1"/>
  <c r="O1408" i="1" s="1"/>
  <c r="J1407" i="1"/>
  <c r="O1407" i="1" s="1"/>
  <c r="J1406" i="1"/>
  <c r="O1406" i="1" s="1"/>
  <c r="J1405" i="1"/>
  <c r="O1405" i="1" s="1"/>
  <c r="J1404" i="1"/>
  <c r="O1404" i="1" s="1"/>
  <c r="J1403" i="1"/>
  <c r="O1403" i="1" s="1"/>
  <c r="J1402" i="1"/>
  <c r="O1402" i="1" s="1"/>
  <c r="J1401" i="1"/>
  <c r="O1401" i="1" s="1"/>
  <c r="J1400" i="1"/>
  <c r="O1400" i="1" s="1"/>
  <c r="J1399" i="1"/>
  <c r="O1399" i="1" s="1"/>
  <c r="J1398" i="1"/>
  <c r="O1398" i="1" s="1"/>
  <c r="J1397" i="1"/>
  <c r="O1397" i="1" s="1"/>
  <c r="J1396" i="1"/>
  <c r="O1396" i="1" s="1"/>
  <c r="J1395" i="1"/>
  <c r="O1395" i="1" s="1"/>
  <c r="J1394" i="1"/>
  <c r="O1394" i="1" s="1"/>
  <c r="J1393" i="1"/>
  <c r="O1393" i="1" s="1"/>
  <c r="J1392" i="1"/>
  <c r="O1392" i="1" s="1"/>
  <c r="J1391" i="1"/>
  <c r="O1391" i="1" s="1"/>
  <c r="J1390" i="1"/>
  <c r="O1390" i="1" s="1"/>
  <c r="J1389" i="1"/>
  <c r="O1389" i="1" s="1"/>
  <c r="J1388" i="1"/>
  <c r="O1388" i="1" s="1"/>
  <c r="J1387" i="1"/>
  <c r="O1387" i="1" s="1"/>
  <c r="J1386" i="1"/>
  <c r="O1386" i="1" s="1"/>
  <c r="J1385" i="1"/>
  <c r="O1385" i="1" s="1"/>
  <c r="J1384" i="1"/>
  <c r="O1384" i="1" s="1"/>
  <c r="J1383" i="1"/>
  <c r="O1383" i="1" s="1"/>
  <c r="J1382" i="1"/>
  <c r="O1382" i="1" s="1"/>
  <c r="J1381" i="1"/>
  <c r="O1381" i="1" s="1"/>
  <c r="J1380" i="1"/>
  <c r="O1380" i="1" s="1"/>
  <c r="J1379" i="1"/>
  <c r="O1379" i="1" s="1"/>
  <c r="J1378" i="1"/>
  <c r="O1378" i="1" s="1"/>
  <c r="J1377" i="1"/>
  <c r="O1377" i="1" s="1"/>
  <c r="J1376" i="1"/>
  <c r="O1376" i="1" s="1"/>
  <c r="J1375" i="1"/>
  <c r="O1375" i="1" s="1"/>
  <c r="J1374" i="1"/>
  <c r="O1374" i="1" s="1"/>
  <c r="J1373" i="1"/>
  <c r="O1373" i="1" s="1"/>
  <c r="J1372" i="1"/>
  <c r="O1372" i="1" s="1"/>
  <c r="J1371" i="1"/>
  <c r="O1371" i="1" s="1"/>
  <c r="J1370" i="1"/>
  <c r="O1370" i="1" s="1"/>
  <c r="J1369" i="1"/>
  <c r="O1369" i="1" s="1"/>
  <c r="J1368" i="1"/>
  <c r="O1368" i="1" s="1"/>
  <c r="J1367" i="1"/>
  <c r="O1367" i="1" s="1"/>
  <c r="J1366" i="1"/>
  <c r="O1366" i="1" s="1"/>
  <c r="J1365" i="1"/>
  <c r="O1365" i="1" s="1"/>
  <c r="J1364" i="1"/>
  <c r="O1364" i="1" s="1"/>
  <c r="J1363" i="1"/>
  <c r="O1363" i="1" s="1"/>
  <c r="J1362" i="1"/>
  <c r="O1362" i="1" s="1"/>
  <c r="J1361" i="1"/>
  <c r="O1361" i="1" s="1"/>
  <c r="J1360" i="1"/>
  <c r="O1360" i="1" s="1"/>
  <c r="J1359" i="1"/>
  <c r="O1359" i="1" s="1"/>
  <c r="J1358" i="1"/>
  <c r="O1358" i="1" s="1"/>
  <c r="J1357" i="1"/>
  <c r="O1357" i="1" s="1"/>
  <c r="J1356" i="1"/>
  <c r="O1356" i="1" s="1"/>
  <c r="J1355" i="1"/>
  <c r="O1355" i="1" s="1"/>
  <c r="J1354" i="1"/>
  <c r="O1354" i="1" s="1"/>
  <c r="J1353" i="1"/>
  <c r="O1353" i="1" s="1"/>
  <c r="J1352" i="1"/>
  <c r="O1352" i="1" s="1"/>
  <c r="J1351" i="1"/>
  <c r="O1351" i="1" s="1"/>
  <c r="J1350" i="1"/>
  <c r="O1350" i="1" s="1"/>
  <c r="J1349" i="1"/>
  <c r="O1349" i="1" s="1"/>
  <c r="J1348" i="1"/>
  <c r="O1348" i="1" s="1"/>
  <c r="J1347" i="1"/>
  <c r="O1347" i="1" s="1"/>
  <c r="J1346" i="1"/>
  <c r="O1346" i="1" s="1"/>
  <c r="J1345" i="1"/>
  <c r="O1345" i="1" s="1"/>
  <c r="J1344" i="1"/>
  <c r="O1344" i="1" s="1"/>
  <c r="J1343" i="1"/>
  <c r="O1343" i="1" s="1"/>
  <c r="J1342" i="1"/>
  <c r="O1342" i="1" s="1"/>
  <c r="J1341" i="1"/>
  <c r="O1341" i="1" s="1"/>
  <c r="J1340" i="1"/>
  <c r="O1340" i="1" s="1"/>
  <c r="J1339" i="1"/>
  <c r="O1339" i="1" s="1"/>
  <c r="J1338" i="1"/>
  <c r="O1338" i="1" s="1"/>
  <c r="J1337" i="1"/>
  <c r="O1337" i="1" s="1"/>
  <c r="J1336" i="1"/>
  <c r="O1336" i="1" s="1"/>
  <c r="J1335" i="1"/>
  <c r="O1335" i="1" s="1"/>
  <c r="J1334" i="1"/>
  <c r="O1334" i="1" s="1"/>
  <c r="J1333" i="1"/>
  <c r="O1333" i="1" s="1"/>
  <c r="J1332" i="1"/>
  <c r="O1332" i="1" s="1"/>
  <c r="J1331" i="1"/>
  <c r="O1331" i="1" s="1"/>
  <c r="J1330" i="1"/>
  <c r="O1330" i="1" s="1"/>
  <c r="J1329" i="1"/>
  <c r="O1329" i="1" s="1"/>
  <c r="J1328" i="1"/>
  <c r="O1328" i="1" s="1"/>
  <c r="J1327" i="1"/>
  <c r="O1327" i="1" s="1"/>
  <c r="J1326" i="1"/>
  <c r="O1326" i="1" s="1"/>
  <c r="J1325" i="1"/>
  <c r="O1325" i="1" s="1"/>
  <c r="J1324" i="1"/>
  <c r="O1324" i="1" s="1"/>
  <c r="J1323" i="1"/>
  <c r="O1323" i="1" s="1"/>
  <c r="J1322" i="1"/>
  <c r="O1322" i="1" s="1"/>
  <c r="J1321" i="1"/>
  <c r="O1321" i="1" s="1"/>
  <c r="J1320" i="1"/>
  <c r="O1320" i="1" s="1"/>
  <c r="J1319" i="1"/>
  <c r="O1319" i="1" s="1"/>
  <c r="J1318" i="1"/>
  <c r="O1318" i="1" s="1"/>
  <c r="J1317" i="1"/>
  <c r="O1317" i="1" s="1"/>
  <c r="J1316" i="1"/>
  <c r="O1316" i="1" s="1"/>
  <c r="J1315" i="1"/>
  <c r="O1315" i="1" s="1"/>
  <c r="J1314" i="1"/>
  <c r="O1314" i="1" s="1"/>
  <c r="J1313" i="1"/>
  <c r="O1313" i="1" s="1"/>
  <c r="J1312" i="1"/>
  <c r="O1312" i="1" s="1"/>
  <c r="J1311" i="1"/>
  <c r="O1311" i="1" s="1"/>
  <c r="J1310" i="1"/>
  <c r="O1310" i="1" s="1"/>
  <c r="J1309" i="1"/>
  <c r="O1309" i="1" s="1"/>
  <c r="J1308" i="1"/>
  <c r="O1308" i="1" s="1"/>
  <c r="J1307" i="1"/>
  <c r="O1307" i="1" s="1"/>
  <c r="J1306" i="1"/>
  <c r="O1306" i="1" s="1"/>
  <c r="J1305" i="1"/>
  <c r="O1305" i="1" s="1"/>
  <c r="J1304" i="1"/>
  <c r="O1304" i="1" s="1"/>
  <c r="J1303" i="1"/>
  <c r="O1303" i="1" s="1"/>
  <c r="J1302" i="1"/>
  <c r="O1302" i="1" s="1"/>
  <c r="J1301" i="1"/>
  <c r="O1301" i="1" s="1"/>
  <c r="J1300" i="1"/>
  <c r="O1300" i="1" s="1"/>
  <c r="J1299" i="1"/>
  <c r="O1299" i="1" s="1"/>
  <c r="J1298" i="1"/>
  <c r="O1298" i="1" s="1"/>
  <c r="J1297" i="1"/>
  <c r="O1297" i="1" s="1"/>
  <c r="J1296" i="1"/>
  <c r="O1296" i="1" s="1"/>
  <c r="J1295" i="1"/>
  <c r="O1295" i="1" s="1"/>
  <c r="J1294" i="1"/>
  <c r="O1294" i="1" s="1"/>
  <c r="J1293" i="1"/>
  <c r="O1293" i="1" s="1"/>
  <c r="J1292" i="1"/>
  <c r="O1292" i="1" s="1"/>
  <c r="J1291" i="1"/>
  <c r="O1291" i="1" s="1"/>
  <c r="J1290" i="1"/>
  <c r="O1290" i="1" s="1"/>
  <c r="J1289" i="1"/>
  <c r="O1289" i="1" s="1"/>
  <c r="J1288" i="1"/>
  <c r="O1288" i="1" s="1"/>
  <c r="J1287" i="1"/>
  <c r="O1287" i="1" s="1"/>
  <c r="J1286" i="1"/>
  <c r="O1286" i="1" s="1"/>
  <c r="J1285" i="1"/>
  <c r="O1285" i="1" s="1"/>
  <c r="J1284" i="1"/>
  <c r="O1284" i="1" s="1"/>
  <c r="J1283" i="1"/>
  <c r="O1283" i="1" s="1"/>
  <c r="J1282" i="1"/>
  <c r="O1282" i="1" s="1"/>
  <c r="J1281" i="1"/>
  <c r="O1281" i="1" s="1"/>
  <c r="J1280" i="1"/>
  <c r="O1280" i="1" s="1"/>
  <c r="J1279" i="1"/>
  <c r="O1279" i="1" s="1"/>
  <c r="J1278" i="1"/>
  <c r="O1278" i="1" s="1"/>
  <c r="J1277" i="1"/>
  <c r="O1277" i="1" s="1"/>
  <c r="J1276" i="1"/>
  <c r="O1276" i="1" s="1"/>
  <c r="J1275" i="1"/>
  <c r="O1275" i="1" s="1"/>
  <c r="J1274" i="1"/>
  <c r="O1274" i="1" s="1"/>
  <c r="J1273" i="1"/>
  <c r="O1273" i="1" s="1"/>
  <c r="J1272" i="1"/>
  <c r="O1272" i="1" s="1"/>
  <c r="J1271" i="1"/>
  <c r="O1271" i="1" s="1"/>
  <c r="J1270" i="1"/>
  <c r="O1270" i="1" s="1"/>
  <c r="J1269" i="1"/>
  <c r="O1269" i="1" s="1"/>
  <c r="J1268" i="1"/>
  <c r="O1268" i="1" s="1"/>
  <c r="J1267" i="1"/>
  <c r="O1267" i="1" s="1"/>
  <c r="J1266" i="1"/>
  <c r="O1266" i="1" s="1"/>
  <c r="J1265" i="1"/>
  <c r="O1265" i="1" s="1"/>
  <c r="J1264" i="1"/>
  <c r="O1264" i="1" s="1"/>
  <c r="J1263" i="1"/>
  <c r="O1263" i="1" s="1"/>
  <c r="J1262" i="1"/>
  <c r="O1262" i="1" s="1"/>
  <c r="J1261" i="1"/>
  <c r="O1261" i="1" s="1"/>
  <c r="J1260" i="1"/>
  <c r="O1260" i="1" s="1"/>
  <c r="J1259" i="1"/>
  <c r="O1259" i="1" s="1"/>
  <c r="J1258" i="1"/>
  <c r="O1258" i="1" s="1"/>
  <c r="J1257" i="1"/>
  <c r="O1257" i="1" s="1"/>
  <c r="J1256" i="1"/>
  <c r="O1256" i="1" s="1"/>
  <c r="J1255" i="1"/>
  <c r="O1255" i="1" s="1"/>
  <c r="J1254" i="1"/>
  <c r="O1254" i="1" s="1"/>
  <c r="J1253" i="1"/>
  <c r="O1253" i="1" s="1"/>
  <c r="J1252" i="1"/>
  <c r="O1252" i="1" s="1"/>
  <c r="J1251" i="1"/>
  <c r="O1251" i="1" s="1"/>
  <c r="J1250" i="1"/>
  <c r="O1250" i="1" s="1"/>
  <c r="J1249" i="1"/>
  <c r="O1249" i="1" s="1"/>
  <c r="J1248" i="1"/>
  <c r="O1248" i="1" s="1"/>
  <c r="J1247" i="1"/>
  <c r="O1247" i="1" s="1"/>
  <c r="J1246" i="1"/>
  <c r="O1246" i="1" s="1"/>
  <c r="J1245" i="1"/>
  <c r="O1245" i="1" s="1"/>
  <c r="J1244" i="1"/>
  <c r="O1244" i="1" s="1"/>
  <c r="J1243" i="1"/>
  <c r="O1243" i="1" s="1"/>
  <c r="J1242" i="1"/>
  <c r="O1242" i="1" s="1"/>
  <c r="J1241" i="1"/>
  <c r="O1241" i="1" s="1"/>
  <c r="J1240" i="1"/>
  <c r="O1240" i="1" s="1"/>
  <c r="J1239" i="1"/>
  <c r="O1239" i="1" s="1"/>
  <c r="J1238" i="1"/>
  <c r="O1238" i="1" s="1"/>
  <c r="J1237" i="1"/>
  <c r="O1237" i="1" s="1"/>
  <c r="J1236" i="1"/>
  <c r="O1236" i="1" s="1"/>
  <c r="J1235" i="1"/>
  <c r="O1235" i="1" s="1"/>
  <c r="J1234" i="1"/>
  <c r="O1234" i="1" s="1"/>
  <c r="J1233" i="1"/>
  <c r="O1233" i="1" s="1"/>
  <c r="J1232" i="1"/>
  <c r="O1232" i="1" s="1"/>
  <c r="J1231" i="1"/>
  <c r="O1231" i="1" s="1"/>
  <c r="J1230" i="1"/>
  <c r="O1230" i="1" s="1"/>
  <c r="J1229" i="1"/>
  <c r="O1229" i="1" s="1"/>
  <c r="J1228" i="1"/>
  <c r="O1228" i="1" s="1"/>
  <c r="J1227" i="1"/>
  <c r="O1227" i="1" s="1"/>
  <c r="J1226" i="1"/>
  <c r="O1226" i="1" s="1"/>
  <c r="J1225" i="1"/>
  <c r="O1225" i="1" s="1"/>
  <c r="J1224" i="1"/>
  <c r="O1224" i="1" s="1"/>
  <c r="J1223" i="1"/>
  <c r="O1223" i="1" s="1"/>
  <c r="J1222" i="1"/>
  <c r="O1222" i="1" s="1"/>
  <c r="J1221" i="1"/>
  <c r="O1221" i="1" s="1"/>
  <c r="J1220" i="1"/>
  <c r="O1220" i="1" s="1"/>
  <c r="J1219" i="1"/>
  <c r="O1219" i="1" s="1"/>
  <c r="J1218" i="1"/>
  <c r="O1218" i="1" s="1"/>
  <c r="J1217" i="1"/>
  <c r="O1217" i="1" s="1"/>
  <c r="J1216" i="1"/>
  <c r="O1216" i="1" s="1"/>
  <c r="J1215" i="1"/>
  <c r="O1215" i="1" s="1"/>
  <c r="J1214" i="1"/>
  <c r="O1214" i="1" s="1"/>
  <c r="J1213" i="1"/>
  <c r="O1213" i="1" s="1"/>
  <c r="J1212" i="1"/>
  <c r="O1212" i="1" s="1"/>
  <c r="J1211" i="1"/>
  <c r="O1211" i="1" s="1"/>
  <c r="J1210" i="1"/>
  <c r="O1210" i="1" s="1"/>
  <c r="J1209" i="1"/>
  <c r="O1209" i="1" s="1"/>
  <c r="J1208" i="1"/>
  <c r="O1208" i="1" s="1"/>
  <c r="J1207" i="1"/>
  <c r="O1207" i="1" s="1"/>
  <c r="J1206" i="1"/>
  <c r="O1206" i="1" s="1"/>
  <c r="J1205" i="1"/>
  <c r="O1205" i="1" s="1"/>
  <c r="J1204" i="1"/>
  <c r="O1204" i="1" s="1"/>
  <c r="J1203" i="1"/>
  <c r="O1203" i="1" s="1"/>
  <c r="J1202" i="1"/>
  <c r="O1202" i="1" s="1"/>
  <c r="J1201" i="1"/>
  <c r="O1201" i="1" s="1"/>
  <c r="J1200" i="1"/>
  <c r="O1200" i="1" s="1"/>
  <c r="J1199" i="1"/>
  <c r="O1199" i="1" s="1"/>
  <c r="J1198" i="1"/>
  <c r="O1198" i="1" s="1"/>
  <c r="J1197" i="1"/>
  <c r="O1197" i="1" s="1"/>
  <c r="J1196" i="1"/>
  <c r="O1196" i="1" s="1"/>
  <c r="J1195" i="1"/>
  <c r="O1195" i="1" s="1"/>
  <c r="J1194" i="1"/>
  <c r="O1194" i="1" s="1"/>
  <c r="J1193" i="1"/>
  <c r="O1193" i="1" s="1"/>
  <c r="J1192" i="1"/>
  <c r="O1192" i="1" s="1"/>
  <c r="J1191" i="1"/>
  <c r="O1191" i="1" s="1"/>
  <c r="J1190" i="1"/>
  <c r="O1190" i="1" s="1"/>
  <c r="J1189" i="1"/>
  <c r="O1189" i="1" s="1"/>
  <c r="J1188" i="1"/>
  <c r="O1188" i="1" s="1"/>
  <c r="J1187" i="1"/>
  <c r="O1187" i="1" s="1"/>
  <c r="J1186" i="1"/>
  <c r="O1186" i="1" s="1"/>
  <c r="J1185" i="1"/>
  <c r="O1185" i="1" s="1"/>
  <c r="J1184" i="1"/>
  <c r="O1184" i="1" s="1"/>
  <c r="J1183" i="1"/>
  <c r="O1183" i="1" s="1"/>
  <c r="J1182" i="1"/>
  <c r="O1182" i="1" s="1"/>
  <c r="J1181" i="1"/>
  <c r="O1181" i="1" s="1"/>
  <c r="J1180" i="1"/>
  <c r="O1180" i="1" s="1"/>
  <c r="J1179" i="1"/>
  <c r="O1179" i="1" s="1"/>
  <c r="J1178" i="1"/>
  <c r="O1178" i="1" s="1"/>
  <c r="J1177" i="1"/>
  <c r="O1177" i="1" s="1"/>
  <c r="J1176" i="1"/>
  <c r="O1176" i="1" s="1"/>
  <c r="J1175" i="1"/>
  <c r="O1175" i="1" s="1"/>
  <c r="J1174" i="1"/>
  <c r="O1174" i="1" s="1"/>
  <c r="J1173" i="1"/>
  <c r="O1173" i="1" s="1"/>
  <c r="J1172" i="1"/>
  <c r="O1172" i="1" s="1"/>
  <c r="J1171" i="1"/>
  <c r="O1171" i="1" s="1"/>
  <c r="J1170" i="1"/>
  <c r="O1170" i="1" s="1"/>
  <c r="J1169" i="1"/>
  <c r="O1169" i="1" s="1"/>
  <c r="J1168" i="1"/>
  <c r="O1168" i="1" s="1"/>
  <c r="J1167" i="1"/>
  <c r="O1167" i="1" s="1"/>
  <c r="J1166" i="1"/>
  <c r="O1166" i="1" s="1"/>
  <c r="J1165" i="1"/>
  <c r="O1165" i="1" s="1"/>
  <c r="J1164" i="1"/>
  <c r="O1164" i="1" s="1"/>
  <c r="J1163" i="1"/>
  <c r="O1163" i="1" s="1"/>
  <c r="J1162" i="1"/>
  <c r="O1162" i="1" s="1"/>
  <c r="J1161" i="1"/>
  <c r="O1161" i="1" s="1"/>
  <c r="J1160" i="1"/>
  <c r="O1160" i="1" s="1"/>
  <c r="J1159" i="1"/>
  <c r="O1159" i="1" s="1"/>
  <c r="J1158" i="1"/>
  <c r="O1158" i="1" s="1"/>
  <c r="J1157" i="1"/>
  <c r="O1157" i="1" s="1"/>
  <c r="J1156" i="1"/>
  <c r="O1156" i="1" s="1"/>
  <c r="J1155" i="1"/>
  <c r="O1155" i="1" s="1"/>
  <c r="J1154" i="1"/>
  <c r="O1154" i="1" s="1"/>
  <c r="J1153" i="1"/>
  <c r="O1153" i="1" s="1"/>
  <c r="J1152" i="1"/>
  <c r="O1152" i="1" s="1"/>
  <c r="J1151" i="1"/>
  <c r="O1151" i="1" s="1"/>
  <c r="J1150" i="1"/>
  <c r="O1150" i="1" s="1"/>
  <c r="J1149" i="1"/>
  <c r="O1149" i="1" s="1"/>
  <c r="J1148" i="1"/>
  <c r="O1148" i="1" s="1"/>
  <c r="J1147" i="1"/>
  <c r="O1147" i="1" s="1"/>
  <c r="J1146" i="1"/>
  <c r="O1146" i="1" s="1"/>
  <c r="J1145" i="1"/>
  <c r="O1145" i="1" s="1"/>
  <c r="J1144" i="1"/>
  <c r="O1144" i="1" s="1"/>
  <c r="J1143" i="1"/>
  <c r="O1143" i="1" s="1"/>
  <c r="J1142" i="1"/>
  <c r="O1142" i="1" s="1"/>
  <c r="J1141" i="1"/>
  <c r="O1141" i="1" s="1"/>
  <c r="J1140" i="1"/>
  <c r="O1140" i="1" s="1"/>
  <c r="J1139" i="1"/>
  <c r="O1139" i="1" s="1"/>
  <c r="J1138" i="1"/>
  <c r="O1138" i="1" s="1"/>
  <c r="J1137" i="1"/>
  <c r="O1137" i="1" s="1"/>
  <c r="J1136" i="1"/>
  <c r="O1136" i="1" s="1"/>
  <c r="J1135" i="1"/>
  <c r="O1135" i="1" s="1"/>
  <c r="J1134" i="1"/>
  <c r="O1134" i="1" s="1"/>
  <c r="J1133" i="1"/>
  <c r="O1133" i="1" s="1"/>
  <c r="J1132" i="1"/>
  <c r="O1132" i="1" s="1"/>
  <c r="J1131" i="1"/>
  <c r="O1131" i="1" s="1"/>
  <c r="J1130" i="1"/>
  <c r="O1130" i="1" s="1"/>
  <c r="J1129" i="1"/>
  <c r="O1129" i="1" s="1"/>
  <c r="J1128" i="1"/>
  <c r="O1128" i="1" s="1"/>
  <c r="J1127" i="1"/>
  <c r="O1127" i="1" s="1"/>
  <c r="J1126" i="1"/>
  <c r="O1126" i="1" s="1"/>
  <c r="J1125" i="1"/>
  <c r="O1125" i="1" s="1"/>
  <c r="J1124" i="1"/>
  <c r="O1124" i="1" s="1"/>
  <c r="J1123" i="1"/>
  <c r="O1123" i="1" s="1"/>
  <c r="J1122" i="1"/>
  <c r="O1122" i="1" s="1"/>
  <c r="J1121" i="1"/>
  <c r="O1121" i="1" s="1"/>
  <c r="J1120" i="1"/>
  <c r="O1120" i="1" s="1"/>
  <c r="J1119" i="1"/>
  <c r="O1119" i="1" s="1"/>
  <c r="J1118" i="1"/>
  <c r="O1118" i="1" s="1"/>
  <c r="J1117" i="1"/>
  <c r="O1117" i="1" s="1"/>
  <c r="J1116" i="1"/>
  <c r="O1116" i="1" s="1"/>
  <c r="J1115" i="1"/>
  <c r="O1115" i="1" s="1"/>
  <c r="J1114" i="1"/>
  <c r="O1114" i="1" s="1"/>
  <c r="J1113" i="1"/>
  <c r="O1113" i="1" s="1"/>
  <c r="J1112" i="1"/>
  <c r="O1112" i="1" s="1"/>
  <c r="J1111" i="1"/>
  <c r="O1111" i="1" s="1"/>
  <c r="J1110" i="1"/>
  <c r="O1110" i="1" s="1"/>
  <c r="J1109" i="1"/>
  <c r="O1109" i="1" s="1"/>
  <c r="J1108" i="1"/>
  <c r="O1108" i="1" s="1"/>
  <c r="J1107" i="1"/>
  <c r="O1107" i="1" s="1"/>
  <c r="J1106" i="1"/>
  <c r="O1106" i="1" s="1"/>
  <c r="J1105" i="1"/>
  <c r="O1105" i="1" s="1"/>
  <c r="J1104" i="1"/>
  <c r="O1104" i="1" s="1"/>
  <c r="J1103" i="1"/>
  <c r="O1103" i="1" s="1"/>
  <c r="J1102" i="1"/>
  <c r="O1102" i="1" s="1"/>
  <c r="J1101" i="1"/>
  <c r="O1101" i="1" s="1"/>
  <c r="J1100" i="1"/>
  <c r="O1100" i="1" s="1"/>
  <c r="J1099" i="1"/>
  <c r="O1099" i="1" s="1"/>
  <c r="J1098" i="1"/>
  <c r="O1098" i="1" s="1"/>
  <c r="J1097" i="1"/>
  <c r="O1097" i="1" s="1"/>
  <c r="J1096" i="1"/>
  <c r="O1096" i="1" s="1"/>
  <c r="J1095" i="1"/>
  <c r="O1095" i="1" s="1"/>
  <c r="J1094" i="1"/>
  <c r="O1094" i="1" s="1"/>
  <c r="J1093" i="1"/>
  <c r="O1093" i="1" s="1"/>
  <c r="J1092" i="1"/>
  <c r="O1092" i="1" s="1"/>
  <c r="J1091" i="1"/>
  <c r="O1091" i="1" s="1"/>
  <c r="J1090" i="1"/>
  <c r="O1090" i="1" s="1"/>
  <c r="J1089" i="1"/>
  <c r="O1089" i="1" s="1"/>
  <c r="J1088" i="1"/>
  <c r="O1088" i="1" s="1"/>
  <c r="J1087" i="1"/>
  <c r="O1087" i="1" s="1"/>
  <c r="J1086" i="1"/>
  <c r="O1086" i="1" s="1"/>
  <c r="J1085" i="1"/>
  <c r="O1085" i="1" s="1"/>
  <c r="J1084" i="1"/>
  <c r="O1084" i="1" s="1"/>
  <c r="J1083" i="1"/>
  <c r="O1083" i="1" s="1"/>
  <c r="J1082" i="1"/>
  <c r="O1082" i="1" s="1"/>
  <c r="J1081" i="1"/>
  <c r="O1081" i="1" s="1"/>
  <c r="J1080" i="1"/>
  <c r="O1080" i="1" s="1"/>
  <c r="J1079" i="1"/>
  <c r="O1079" i="1" s="1"/>
  <c r="J1078" i="1"/>
  <c r="O1078" i="1" s="1"/>
  <c r="J1077" i="1"/>
  <c r="O1077" i="1" s="1"/>
  <c r="J1076" i="1"/>
  <c r="O1076" i="1" s="1"/>
  <c r="J1075" i="1"/>
  <c r="O1075" i="1" s="1"/>
  <c r="J1074" i="1"/>
  <c r="O1074" i="1" s="1"/>
  <c r="J1073" i="1"/>
  <c r="O1073" i="1" s="1"/>
  <c r="J1072" i="1"/>
  <c r="O1072" i="1" s="1"/>
  <c r="J1071" i="1"/>
  <c r="O1071" i="1" s="1"/>
  <c r="J1070" i="1"/>
  <c r="O1070" i="1" s="1"/>
  <c r="J1069" i="1"/>
  <c r="O1069" i="1" s="1"/>
  <c r="J1068" i="1"/>
  <c r="O1068" i="1" s="1"/>
  <c r="J1067" i="1"/>
  <c r="O1067" i="1" s="1"/>
  <c r="J1066" i="1"/>
  <c r="O1066" i="1" s="1"/>
  <c r="J1065" i="1"/>
  <c r="O1065" i="1" s="1"/>
  <c r="J1064" i="1"/>
  <c r="O1064" i="1" s="1"/>
  <c r="J1063" i="1"/>
  <c r="O1063" i="1" s="1"/>
  <c r="J1062" i="1"/>
  <c r="O1062" i="1" s="1"/>
  <c r="J1061" i="1"/>
  <c r="O1061" i="1" s="1"/>
  <c r="J1060" i="1"/>
  <c r="O1060" i="1" s="1"/>
  <c r="J1059" i="1"/>
  <c r="O1059" i="1" s="1"/>
  <c r="J1058" i="1"/>
  <c r="O1058" i="1" s="1"/>
  <c r="J1057" i="1"/>
  <c r="O1057" i="1" s="1"/>
  <c r="J1056" i="1"/>
  <c r="O1056" i="1" s="1"/>
  <c r="J1055" i="1"/>
  <c r="O1055" i="1" s="1"/>
  <c r="J1054" i="1"/>
  <c r="O1054" i="1" s="1"/>
  <c r="J1053" i="1"/>
  <c r="O1053" i="1" s="1"/>
  <c r="J1052" i="1"/>
  <c r="O1052" i="1" s="1"/>
  <c r="J1051" i="1"/>
  <c r="O1051" i="1" s="1"/>
  <c r="J1050" i="1"/>
  <c r="O1050" i="1" s="1"/>
  <c r="J1049" i="1"/>
  <c r="O1049" i="1" s="1"/>
  <c r="J1048" i="1"/>
  <c r="O1048" i="1" s="1"/>
  <c r="J1047" i="1"/>
  <c r="O1047" i="1" s="1"/>
  <c r="J1046" i="1"/>
  <c r="O1046" i="1" s="1"/>
  <c r="J1045" i="1"/>
  <c r="O1045" i="1" s="1"/>
  <c r="J1044" i="1"/>
  <c r="O1044" i="1" s="1"/>
  <c r="J1043" i="1"/>
  <c r="O1043" i="1" s="1"/>
  <c r="J1042" i="1"/>
  <c r="O1042" i="1" s="1"/>
  <c r="J1041" i="1"/>
  <c r="O1041" i="1" s="1"/>
  <c r="J1040" i="1"/>
  <c r="O1040" i="1" s="1"/>
  <c r="J1039" i="1"/>
  <c r="O1039" i="1" s="1"/>
  <c r="J1038" i="1"/>
  <c r="O1038" i="1" s="1"/>
  <c r="J1037" i="1"/>
  <c r="O1037" i="1" s="1"/>
  <c r="J1036" i="1"/>
  <c r="O1036" i="1" s="1"/>
  <c r="J1035" i="1"/>
  <c r="O1035" i="1" s="1"/>
  <c r="J1034" i="1"/>
  <c r="O1034" i="1" s="1"/>
  <c r="J1033" i="1"/>
  <c r="O1033" i="1" s="1"/>
  <c r="J1032" i="1"/>
  <c r="O1032" i="1" s="1"/>
  <c r="J1031" i="1"/>
  <c r="O1031" i="1" s="1"/>
  <c r="J1030" i="1"/>
  <c r="O1030" i="1" s="1"/>
  <c r="J1029" i="1"/>
  <c r="O1029" i="1" s="1"/>
  <c r="J1028" i="1"/>
  <c r="O1028" i="1" s="1"/>
  <c r="J1027" i="1"/>
  <c r="O1027" i="1" s="1"/>
  <c r="J1026" i="1"/>
  <c r="O1026" i="1" s="1"/>
  <c r="J1025" i="1"/>
  <c r="O1025" i="1" s="1"/>
  <c r="J1024" i="1"/>
  <c r="O1024" i="1" s="1"/>
  <c r="J1023" i="1"/>
  <c r="O1023" i="1" s="1"/>
  <c r="J1022" i="1"/>
  <c r="O1022" i="1" s="1"/>
  <c r="J1021" i="1"/>
  <c r="O1021" i="1" s="1"/>
  <c r="J1020" i="1"/>
  <c r="O1020" i="1" s="1"/>
  <c r="J1019" i="1"/>
  <c r="O1019" i="1" s="1"/>
  <c r="J1018" i="1"/>
  <c r="O1018" i="1" s="1"/>
  <c r="J1017" i="1"/>
  <c r="O1017" i="1" s="1"/>
  <c r="J1016" i="1"/>
  <c r="O1016" i="1" s="1"/>
  <c r="J1015" i="1"/>
  <c r="O1015" i="1" s="1"/>
  <c r="J1014" i="1"/>
  <c r="O1014" i="1" s="1"/>
  <c r="J1013" i="1"/>
  <c r="O1013" i="1" s="1"/>
  <c r="J1012" i="1"/>
  <c r="O1012" i="1" s="1"/>
  <c r="J1011" i="1"/>
  <c r="O1011" i="1" s="1"/>
  <c r="J1010" i="1"/>
  <c r="O1010" i="1" s="1"/>
  <c r="J1009" i="1"/>
  <c r="O1009" i="1" s="1"/>
  <c r="J1008" i="1"/>
  <c r="O1008" i="1" s="1"/>
  <c r="J1007" i="1"/>
  <c r="O1007" i="1" s="1"/>
  <c r="J1006" i="1"/>
  <c r="O1006" i="1" s="1"/>
  <c r="J1005" i="1"/>
  <c r="O1005" i="1" s="1"/>
  <c r="J1004" i="1"/>
  <c r="O1004" i="1" s="1"/>
  <c r="J1003" i="1"/>
  <c r="O1003" i="1" s="1"/>
  <c r="J1002" i="1"/>
  <c r="O1002" i="1" s="1"/>
  <c r="J1001" i="1"/>
  <c r="O1001" i="1" s="1"/>
  <c r="J1000" i="1"/>
  <c r="O1000" i="1" s="1"/>
  <c r="J999" i="1"/>
  <c r="O999" i="1" s="1"/>
  <c r="J998" i="1"/>
  <c r="O998" i="1" s="1"/>
  <c r="J997" i="1"/>
  <c r="O997" i="1" s="1"/>
  <c r="J996" i="1"/>
  <c r="O996" i="1" s="1"/>
  <c r="J995" i="1"/>
  <c r="O995" i="1" s="1"/>
  <c r="J994" i="1"/>
  <c r="O994" i="1" s="1"/>
  <c r="J993" i="1"/>
  <c r="O993" i="1" s="1"/>
  <c r="J992" i="1"/>
  <c r="O992" i="1" s="1"/>
  <c r="J991" i="1"/>
  <c r="O991" i="1" s="1"/>
  <c r="J990" i="1"/>
  <c r="O990" i="1" s="1"/>
  <c r="J989" i="1"/>
  <c r="O989" i="1" s="1"/>
  <c r="J988" i="1"/>
  <c r="O988" i="1" s="1"/>
  <c r="J987" i="1"/>
  <c r="O987" i="1" s="1"/>
  <c r="J986" i="1"/>
  <c r="O986" i="1" s="1"/>
  <c r="J985" i="1"/>
  <c r="O985" i="1" s="1"/>
  <c r="J984" i="1"/>
  <c r="O984" i="1" s="1"/>
  <c r="J983" i="1"/>
  <c r="O983" i="1" s="1"/>
  <c r="J982" i="1"/>
  <c r="O982" i="1" s="1"/>
  <c r="J981" i="1"/>
  <c r="O981" i="1" s="1"/>
  <c r="J980" i="1"/>
  <c r="O980" i="1" s="1"/>
  <c r="J979" i="1"/>
  <c r="O979" i="1" s="1"/>
  <c r="J978" i="1"/>
  <c r="O978" i="1" s="1"/>
  <c r="J977" i="1"/>
  <c r="O977" i="1" s="1"/>
  <c r="J976" i="1"/>
  <c r="O976" i="1" s="1"/>
  <c r="J975" i="1"/>
  <c r="O975" i="1" s="1"/>
  <c r="J974" i="1"/>
  <c r="O974" i="1" s="1"/>
  <c r="J973" i="1"/>
  <c r="O973" i="1" s="1"/>
  <c r="J972" i="1"/>
  <c r="O972" i="1" s="1"/>
  <c r="J971" i="1"/>
  <c r="O971" i="1" s="1"/>
  <c r="J970" i="1"/>
  <c r="O970" i="1" s="1"/>
  <c r="J969" i="1"/>
  <c r="O969" i="1" s="1"/>
  <c r="J968" i="1"/>
  <c r="O968" i="1" s="1"/>
  <c r="J967" i="1"/>
  <c r="O967" i="1" s="1"/>
  <c r="J966" i="1"/>
  <c r="O966" i="1" s="1"/>
  <c r="J965" i="1"/>
  <c r="O965" i="1" s="1"/>
  <c r="J964" i="1"/>
  <c r="O964" i="1" s="1"/>
  <c r="J963" i="1"/>
  <c r="O963" i="1" s="1"/>
  <c r="J962" i="1"/>
  <c r="O962" i="1" s="1"/>
  <c r="J961" i="1"/>
  <c r="O961" i="1" s="1"/>
  <c r="J960" i="1"/>
  <c r="O960" i="1" s="1"/>
  <c r="J959" i="1"/>
  <c r="O959" i="1" s="1"/>
  <c r="J958" i="1"/>
  <c r="O958" i="1" s="1"/>
  <c r="J957" i="1"/>
  <c r="O957" i="1" s="1"/>
  <c r="J956" i="1"/>
  <c r="O956" i="1" s="1"/>
  <c r="J955" i="1"/>
  <c r="O955" i="1" s="1"/>
  <c r="J954" i="1"/>
  <c r="O954" i="1" s="1"/>
  <c r="J953" i="1"/>
  <c r="O953" i="1" s="1"/>
  <c r="J952" i="1"/>
  <c r="O952" i="1" s="1"/>
  <c r="J951" i="1"/>
  <c r="O951" i="1" s="1"/>
  <c r="J950" i="1"/>
  <c r="O950" i="1" s="1"/>
  <c r="J949" i="1"/>
  <c r="O949" i="1" s="1"/>
  <c r="J948" i="1"/>
  <c r="O948" i="1" s="1"/>
  <c r="J947" i="1"/>
  <c r="O947" i="1" s="1"/>
  <c r="J946" i="1"/>
  <c r="O946" i="1" s="1"/>
  <c r="J945" i="1"/>
  <c r="O945" i="1" s="1"/>
  <c r="J944" i="1"/>
  <c r="O944" i="1" s="1"/>
  <c r="J943" i="1"/>
  <c r="O943" i="1" s="1"/>
  <c r="J942" i="1"/>
  <c r="O942" i="1" s="1"/>
  <c r="J941" i="1"/>
  <c r="O941" i="1" s="1"/>
  <c r="J940" i="1"/>
  <c r="O940" i="1" s="1"/>
  <c r="J939" i="1"/>
  <c r="O939" i="1" s="1"/>
  <c r="J938" i="1"/>
  <c r="O938" i="1" s="1"/>
  <c r="J937" i="1"/>
  <c r="O937" i="1" s="1"/>
  <c r="J936" i="1"/>
  <c r="O936" i="1" s="1"/>
  <c r="J935" i="1"/>
  <c r="O935" i="1" s="1"/>
  <c r="J934" i="1"/>
  <c r="O934" i="1" s="1"/>
  <c r="J933" i="1"/>
  <c r="O933" i="1" s="1"/>
  <c r="J932" i="1"/>
  <c r="O932" i="1" s="1"/>
  <c r="J931" i="1"/>
  <c r="O931" i="1" s="1"/>
  <c r="J930" i="1"/>
  <c r="O930" i="1" s="1"/>
  <c r="J929" i="1"/>
  <c r="O929" i="1" s="1"/>
  <c r="J928" i="1"/>
  <c r="O928" i="1" s="1"/>
  <c r="J927" i="1"/>
  <c r="O927" i="1" s="1"/>
  <c r="J926" i="1"/>
  <c r="O926" i="1" s="1"/>
  <c r="J925" i="1"/>
  <c r="O925" i="1" s="1"/>
  <c r="J924" i="1"/>
  <c r="O924" i="1" s="1"/>
  <c r="J923" i="1"/>
  <c r="O923" i="1" s="1"/>
  <c r="J922" i="1"/>
  <c r="O922" i="1" s="1"/>
  <c r="J921" i="1"/>
  <c r="O921" i="1" s="1"/>
  <c r="J920" i="1"/>
  <c r="O920" i="1" s="1"/>
  <c r="J919" i="1"/>
  <c r="O919" i="1" s="1"/>
  <c r="J918" i="1"/>
  <c r="O918" i="1" s="1"/>
  <c r="J917" i="1"/>
  <c r="O917" i="1" s="1"/>
  <c r="J916" i="1"/>
  <c r="O916" i="1" s="1"/>
  <c r="J915" i="1"/>
  <c r="O915" i="1" s="1"/>
  <c r="J914" i="1"/>
  <c r="O914" i="1" s="1"/>
  <c r="J913" i="1"/>
  <c r="O913" i="1" s="1"/>
  <c r="J912" i="1"/>
  <c r="O912" i="1" s="1"/>
  <c r="J911" i="1"/>
  <c r="O911" i="1" s="1"/>
  <c r="J910" i="1"/>
  <c r="O910" i="1" s="1"/>
  <c r="J909" i="1"/>
  <c r="O909" i="1" s="1"/>
  <c r="J908" i="1"/>
  <c r="O908" i="1" s="1"/>
  <c r="J907" i="1"/>
  <c r="O907" i="1" s="1"/>
  <c r="J906" i="1"/>
  <c r="O906" i="1" s="1"/>
  <c r="J905" i="1"/>
  <c r="O905" i="1" s="1"/>
  <c r="J904" i="1"/>
  <c r="O904" i="1" s="1"/>
  <c r="J903" i="1"/>
  <c r="O903" i="1" s="1"/>
  <c r="J902" i="1"/>
  <c r="O902" i="1" s="1"/>
  <c r="J901" i="1"/>
  <c r="O901" i="1" s="1"/>
  <c r="J900" i="1"/>
  <c r="O900" i="1" s="1"/>
  <c r="J899" i="1"/>
  <c r="O899" i="1" s="1"/>
  <c r="J898" i="1"/>
  <c r="O898" i="1" s="1"/>
  <c r="J897" i="1"/>
  <c r="O897" i="1" s="1"/>
  <c r="J896" i="1"/>
  <c r="O896" i="1" s="1"/>
  <c r="J895" i="1"/>
  <c r="O895" i="1" s="1"/>
  <c r="J894" i="1"/>
  <c r="O894" i="1" s="1"/>
  <c r="J893" i="1"/>
  <c r="O893" i="1" s="1"/>
  <c r="J892" i="1"/>
  <c r="O892" i="1" s="1"/>
  <c r="J891" i="1"/>
  <c r="O891" i="1" s="1"/>
  <c r="J890" i="1"/>
  <c r="O890" i="1" s="1"/>
  <c r="J889" i="1"/>
  <c r="O889" i="1" s="1"/>
  <c r="J888" i="1"/>
  <c r="O888" i="1" s="1"/>
  <c r="J887" i="1"/>
  <c r="O887" i="1" s="1"/>
  <c r="J886" i="1"/>
  <c r="O886" i="1" s="1"/>
  <c r="J885" i="1"/>
  <c r="O885" i="1" s="1"/>
  <c r="J884" i="1"/>
  <c r="O884" i="1" s="1"/>
  <c r="J883" i="1"/>
  <c r="O883" i="1" s="1"/>
  <c r="J882" i="1"/>
  <c r="O882" i="1" s="1"/>
  <c r="J881" i="1"/>
  <c r="O881" i="1" s="1"/>
  <c r="J880" i="1"/>
  <c r="O880" i="1" s="1"/>
  <c r="J879" i="1"/>
  <c r="O879" i="1" s="1"/>
  <c r="J878" i="1"/>
  <c r="O878" i="1" s="1"/>
  <c r="J877" i="1"/>
  <c r="O877" i="1" s="1"/>
  <c r="J876" i="1"/>
  <c r="O876" i="1" s="1"/>
  <c r="J875" i="1"/>
  <c r="O875" i="1" s="1"/>
  <c r="J874" i="1"/>
  <c r="O874" i="1" s="1"/>
  <c r="J873" i="1"/>
  <c r="O873" i="1" s="1"/>
  <c r="J872" i="1"/>
  <c r="O872" i="1" s="1"/>
  <c r="J871" i="1"/>
  <c r="O871" i="1" s="1"/>
  <c r="J870" i="1"/>
  <c r="O870" i="1" s="1"/>
  <c r="J869" i="1"/>
  <c r="O869" i="1" s="1"/>
  <c r="J868" i="1"/>
  <c r="O868" i="1" s="1"/>
  <c r="J867" i="1"/>
  <c r="O867" i="1" s="1"/>
  <c r="J866" i="1"/>
  <c r="O866" i="1" s="1"/>
  <c r="J865" i="1"/>
  <c r="O865" i="1" s="1"/>
  <c r="J864" i="1"/>
  <c r="O864" i="1" s="1"/>
  <c r="J863" i="1"/>
  <c r="O863" i="1" s="1"/>
  <c r="J862" i="1"/>
  <c r="O862" i="1" s="1"/>
  <c r="J861" i="1"/>
  <c r="O861" i="1" s="1"/>
  <c r="J860" i="1"/>
  <c r="O860" i="1" s="1"/>
  <c r="J859" i="1"/>
  <c r="O859" i="1" s="1"/>
  <c r="J858" i="1"/>
  <c r="O858" i="1" s="1"/>
  <c r="J857" i="1"/>
  <c r="O857" i="1" s="1"/>
  <c r="J856" i="1"/>
  <c r="O856" i="1" s="1"/>
  <c r="J855" i="1"/>
  <c r="O855" i="1" s="1"/>
  <c r="J854" i="1"/>
  <c r="O854" i="1" s="1"/>
  <c r="J853" i="1"/>
  <c r="O853" i="1" s="1"/>
  <c r="J852" i="1"/>
  <c r="O852" i="1" s="1"/>
  <c r="J851" i="1"/>
  <c r="O851" i="1" s="1"/>
  <c r="J850" i="1"/>
  <c r="O850" i="1" s="1"/>
  <c r="J849" i="1"/>
  <c r="O849" i="1" s="1"/>
  <c r="J848" i="1"/>
  <c r="O848" i="1" s="1"/>
  <c r="J847" i="1"/>
  <c r="O847" i="1" s="1"/>
  <c r="J846" i="1"/>
  <c r="O846" i="1" s="1"/>
  <c r="J845" i="1"/>
  <c r="O845" i="1" s="1"/>
  <c r="J844" i="1"/>
  <c r="O844" i="1" s="1"/>
  <c r="J843" i="1"/>
  <c r="O843" i="1" s="1"/>
  <c r="J842" i="1"/>
  <c r="O842" i="1" s="1"/>
  <c r="J841" i="1"/>
  <c r="O841" i="1" s="1"/>
  <c r="J840" i="1"/>
  <c r="O840" i="1" s="1"/>
  <c r="J839" i="1"/>
  <c r="O839" i="1" s="1"/>
  <c r="J838" i="1"/>
  <c r="O838" i="1" s="1"/>
  <c r="J837" i="1"/>
  <c r="O837" i="1" s="1"/>
  <c r="J836" i="1"/>
  <c r="O836" i="1" s="1"/>
  <c r="J835" i="1"/>
  <c r="O835" i="1" s="1"/>
  <c r="J834" i="1"/>
  <c r="O834" i="1" s="1"/>
  <c r="J833" i="1"/>
  <c r="O833" i="1" s="1"/>
  <c r="J832" i="1"/>
  <c r="O832" i="1" s="1"/>
  <c r="J831" i="1"/>
  <c r="O831" i="1" s="1"/>
  <c r="J830" i="1"/>
  <c r="O830" i="1" s="1"/>
  <c r="J829" i="1"/>
  <c r="O829" i="1" s="1"/>
  <c r="J828" i="1"/>
  <c r="O828" i="1" s="1"/>
  <c r="J827" i="1"/>
  <c r="O827" i="1" s="1"/>
  <c r="J826" i="1"/>
  <c r="O826" i="1" s="1"/>
  <c r="J825" i="1"/>
  <c r="O825" i="1" s="1"/>
  <c r="J824" i="1"/>
  <c r="O824" i="1" s="1"/>
  <c r="J823" i="1"/>
  <c r="O823" i="1" s="1"/>
  <c r="J822" i="1"/>
  <c r="O822" i="1" s="1"/>
  <c r="J821" i="1"/>
  <c r="O821" i="1" s="1"/>
  <c r="J820" i="1"/>
  <c r="O820" i="1" s="1"/>
  <c r="J819" i="1"/>
  <c r="O819" i="1" s="1"/>
  <c r="J818" i="1"/>
  <c r="O818" i="1" s="1"/>
  <c r="J817" i="1"/>
  <c r="O817" i="1" s="1"/>
  <c r="J816" i="1"/>
  <c r="O816" i="1" s="1"/>
  <c r="J815" i="1"/>
  <c r="O815" i="1" s="1"/>
  <c r="J814" i="1"/>
  <c r="O814" i="1" s="1"/>
  <c r="J813" i="1"/>
  <c r="O813" i="1" s="1"/>
  <c r="J812" i="1"/>
  <c r="O812" i="1" s="1"/>
  <c r="J811" i="1"/>
  <c r="O811" i="1" s="1"/>
  <c r="J810" i="1"/>
  <c r="O810" i="1" s="1"/>
  <c r="J809" i="1"/>
  <c r="O809" i="1" s="1"/>
  <c r="J808" i="1"/>
  <c r="O808" i="1" s="1"/>
  <c r="J807" i="1"/>
  <c r="O807" i="1" s="1"/>
  <c r="J806" i="1"/>
  <c r="O806" i="1" s="1"/>
  <c r="J805" i="1"/>
  <c r="O805" i="1" s="1"/>
  <c r="J804" i="1"/>
  <c r="O804" i="1" s="1"/>
  <c r="J803" i="1"/>
  <c r="O803" i="1" s="1"/>
  <c r="J802" i="1"/>
  <c r="O802" i="1" s="1"/>
  <c r="J801" i="1"/>
  <c r="O801" i="1" s="1"/>
  <c r="J800" i="1"/>
  <c r="O800" i="1" s="1"/>
  <c r="J799" i="1"/>
  <c r="O799" i="1" s="1"/>
  <c r="J798" i="1"/>
  <c r="O798" i="1" s="1"/>
  <c r="J797" i="1"/>
  <c r="O797" i="1" s="1"/>
  <c r="J796" i="1"/>
  <c r="O796" i="1" s="1"/>
  <c r="J795" i="1"/>
  <c r="O795" i="1" s="1"/>
  <c r="J794" i="1"/>
  <c r="O794" i="1" s="1"/>
  <c r="J793" i="1"/>
  <c r="O793" i="1" s="1"/>
  <c r="J792" i="1"/>
  <c r="O792" i="1" s="1"/>
  <c r="J791" i="1"/>
  <c r="O791" i="1" s="1"/>
  <c r="J790" i="1"/>
  <c r="O790" i="1" s="1"/>
  <c r="J789" i="1"/>
  <c r="O789" i="1" s="1"/>
  <c r="J788" i="1"/>
  <c r="O788" i="1" s="1"/>
  <c r="J787" i="1"/>
  <c r="O787" i="1" s="1"/>
  <c r="J786" i="1"/>
  <c r="O786" i="1" s="1"/>
  <c r="J785" i="1"/>
  <c r="O785" i="1" s="1"/>
  <c r="J784" i="1"/>
  <c r="O784" i="1" s="1"/>
  <c r="J783" i="1"/>
  <c r="O783" i="1" s="1"/>
  <c r="J782" i="1"/>
  <c r="O782" i="1" s="1"/>
  <c r="J781" i="1"/>
  <c r="O781" i="1" s="1"/>
  <c r="J780" i="1"/>
  <c r="O780" i="1" s="1"/>
  <c r="J779" i="1"/>
  <c r="O779" i="1" s="1"/>
  <c r="J778" i="1"/>
  <c r="O778" i="1" s="1"/>
  <c r="J777" i="1"/>
  <c r="O777" i="1" s="1"/>
  <c r="J776" i="1"/>
  <c r="O776" i="1" s="1"/>
  <c r="J775" i="1"/>
  <c r="O775" i="1" s="1"/>
  <c r="J774" i="1"/>
  <c r="O774" i="1" s="1"/>
  <c r="J773" i="1"/>
  <c r="O773" i="1" s="1"/>
  <c r="J772" i="1"/>
  <c r="O772" i="1" s="1"/>
  <c r="J771" i="1"/>
  <c r="O771" i="1" s="1"/>
  <c r="J770" i="1"/>
  <c r="O770" i="1" s="1"/>
  <c r="J769" i="1"/>
  <c r="O769" i="1" s="1"/>
  <c r="J768" i="1"/>
  <c r="O768" i="1" s="1"/>
  <c r="J767" i="1"/>
  <c r="O767" i="1" s="1"/>
  <c r="J766" i="1"/>
  <c r="O766" i="1" s="1"/>
  <c r="J765" i="1"/>
  <c r="O765" i="1" s="1"/>
  <c r="J764" i="1"/>
  <c r="O764" i="1" s="1"/>
  <c r="J763" i="1"/>
  <c r="O763" i="1" s="1"/>
  <c r="J762" i="1"/>
  <c r="O762" i="1" s="1"/>
  <c r="J761" i="1"/>
  <c r="O761" i="1" s="1"/>
  <c r="J760" i="1"/>
  <c r="O760" i="1" s="1"/>
  <c r="J759" i="1"/>
  <c r="O759" i="1" s="1"/>
  <c r="J758" i="1"/>
  <c r="O758" i="1" s="1"/>
  <c r="J757" i="1"/>
  <c r="O757" i="1" s="1"/>
  <c r="J756" i="1"/>
  <c r="O756" i="1" s="1"/>
  <c r="J755" i="1"/>
  <c r="O755" i="1" s="1"/>
  <c r="J754" i="1"/>
  <c r="O754" i="1" s="1"/>
  <c r="J753" i="1"/>
  <c r="O753" i="1" s="1"/>
  <c r="J752" i="1"/>
  <c r="O752" i="1" s="1"/>
  <c r="J751" i="1"/>
  <c r="O751" i="1" s="1"/>
  <c r="J750" i="1"/>
  <c r="O750" i="1" s="1"/>
  <c r="J749" i="1"/>
  <c r="O749" i="1" s="1"/>
  <c r="J748" i="1"/>
  <c r="O748" i="1" s="1"/>
  <c r="J747" i="1"/>
  <c r="O747" i="1" s="1"/>
  <c r="J746" i="1"/>
  <c r="O746" i="1" s="1"/>
  <c r="J745" i="1"/>
  <c r="O745" i="1" s="1"/>
  <c r="J744" i="1"/>
  <c r="O744" i="1" s="1"/>
  <c r="J743" i="1"/>
  <c r="O743" i="1" s="1"/>
  <c r="J742" i="1"/>
  <c r="O742" i="1" s="1"/>
  <c r="J741" i="1"/>
  <c r="O741" i="1" s="1"/>
  <c r="J740" i="1"/>
  <c r="O740" i="1" s="1"/>
  <c r="J739" i="1"/>
  <c r="O739" i="1" s="1"/>
  <c r="J738" i="1"/>
  <c r="O738" i="1" s="1"/>
  <c r="J737" i="1"/>
  <c r="O737" i="1" s="1"/>
  <c r="J736" i="1"/>
  <c r="O736" i="1" s="1"/>
  <c r="J735" i="1"/>
  <c r="O735" i="1" s="1"/>
  <c r="J734" i="1"/>
  <c r="O734" i="1" s="1"/>
  <c r="J733" i="1"/>
  <c r="O733" i="1" s="1"/>
  <c r="J732" i="1"/>
  <c r="O732" i="1" s="1"/>
  <c r="J731" i="1"/>
  <c r="O731" i="1" s="1"/>
  <c r="J730" i="1"/>
  <c r="O730" i="1" s="1"/>
  <c r="J729" i="1"/>
  <c r="O729" i="1" s="1"/>
  <c r="J728" i="1"/>
  <c r="O728" i="1" s="1"/>
  <c r="J727" i="1"/>
  <c r="O727" i="1" s="1"/>
  <c r="J726" i="1"/>
  <c r="O726" i="1" s="1"/>
  <c r="J725" i="1"/>
  <c r="O725" i="1" s="1"/>
  <c r="J724" i="1"/>
  <c r="O724" i="1" s="1"/>
  <c r="J723" i="1"/>
  <c r="O723" i="1" s="1"/>
  <c r="J722" i="1"/>
  <c r="O722" i="1" s="1"/>
  <c r="J721" i="1"/>
  <c r="O721" i="1" s="1"/>
  <c r="J720" i="1"/>
  <c r="O720" i="1" s="1"/>
  <c r="J719" i="1"/>
  <c r="O719" i="1" s="1"/>
  <c r="J718" i="1"/>
  <c r="O718" i="1" s="1"/>
  <c r="J717" i="1"/>
  <c r="O717" i="1" s="1"/>
  <c r="J716" i="1"/>
  <c r="O716" i="1" s="1"/>
  <c r="J715" i="1"/>
  <c r="O715" i="1" s="1"/>
  <c r="J714" i="1"/>
  <c r="O714" i="1" s="1"/>
  <c r="J713" i="1"/>
  <c r="O713" i="1" s="1"/>
  <c r="J712" i="1"/>
  <c r="O712" i="1" s="1"/>
  <c r="J711" i="1"/>
  <c r="O711" i="1" s="1"/>
  <c r="J710" i="1"/>
  <c r="O710" i="1" s="1"/>
  <c r="J709" i="1"/>
  <c r="O709" i="1" s="1"/>
  <c r="J708" i="1"/>
  <c r="O708" i="1" s="1"/>
  <c r="J707" i="1"/>
  <c r="O707" i="1" s="1"/>
  <c r="J706" i="1"/>
  <c r="O706" i="1" s="1"/>
  <c r="J705" i="1"/>
  <c r="O705" i="1" s="1"/>
  <c r="J704" i="1"/>
  <c r="O704" i="1" s="1"/>
  <c r="J703" i="1"/>
  <c r="O703" i="1" s="1"/>
  <c r="J702" i="1"/>
  <c r="O702" i="1" s="1"/>
  <c r="J701" i="1"/>
  <c r="O701" i="1" s="1"/>
  <c r="J700" i="1"/>
  <c r="O700" i="1" s="1"/>
  <c r="J699" i="1"/>
  <c r="O699" i="1" s="1"/>
  <c r="J698" i="1"/>
  <c r="O698" i="1" s="1"/>
  <c r="J697" i="1"/>
  <c r="O697" i="1" s="1"/>
  <c r="J696" i="1"/>
  <c r="O696" i="1" s="1"/>
  <c r="J695" i="1"/>
  <c r="O695" i="1" s="1"/>
  <c r="J694" i="1"/>
  <c r="O694" i="1" s="1"/>
  <c r="J693" i="1"/>
  <c r="O693" i="1" s="1"/>
  <c r="J692" i="1"/>
  <c r="O692" i="1" s="1"/>
  <c r="J691" i="1"/>
  <c r="O691" i="1" s="1"/>
  <c r="J690" i="1"/>
  <c r="O690" i="1" s="1"/>
  <c r="J689" i="1"/>
  <c r="O689" i="1" s="1"/>
  <c r="J688" i="1"/>
  <c r="O688" i="1" s="1"/>
  <c r="J687" i="1"/>
  <c r="O687" i="1" s="1"/>
  <c r="J686" i="1"/>
  <c r="O686" i="1" s="1"/>
  <c r="J685" i="1"/>
  <c r="O685" i="1" s="1"/>
  <c r="J684" i="1"/>
  <c r="O684" i="1" s="1"/>
  <c r="J683" i="1"/>
  <c r="O683" i="1" s="1"/>
  <c r="J682" i="1"/>
  <c r="O682" i="1" s="1"/>
  <c r="J681" i="1"/>
  <c r="O681" i="1" s="1"/>
  <c r="J680" i="1"/>
  <c r="O680" i="1" s="1"/>
  <c r="J679" i="1"/>
  <c r="O679" i="1" s="1"/>
  <c r="J678" i="1"/>
  <c r="O678" i="1" s="1"/>
  <c r="J677" i="1"/>
  <c r="O677" i="1" s="1"/>
  <c r="J676" i="1"/>
  <c r="O676" i="1" s="1"/>
  <c r="J675" i="1"/>
  <c r="O675" i="1" s="1"/>
  <c r="J674" i="1"/>
  <c r="O674" i="1" s="1"/>
  <c r="J673" i="1"/>
  <c r="O673" i="1" s="1"/>
  <c r="J672" i="1"/>
  <c r="O672" i="1" s="1"/>
  <c r="J671" i="1"/>
  <c r="O671" i="1" s="1"/>
  <c r="J670" i="1"/>
  <c r="O670" i="1" s="1"/>
  <c r="J669" i="1"/>
  <c r="O669" i="1" s="1"/>
  <c r="J668" i="1"/>
  <c r="O668" i="1" s="1"/>
  <c r="J667" i="1"/>
  <c r="O667" i="1" s="1"/>
  <c r="J666" i="1"/>
  <c r="O666" i="1" s="1"/>
  <c r="J665" i="1"/>
  <c r="O665" i="1" s="1"/>
  <c r="J664" i="1"/>
  <c r="O664" i="1" s="1"/>
  <c r="J663" i="1"/>
  <c r="O663" i="1" s="1"/>
  <c r="J662" i="1"/>
  <c r="O662" i="1" s="1"/>
  <c r="J661" i="1"/>
  <c r="O661" i="1" s="1"/>
  <c r="J660" i="1"/>
  <c r="O660" i="1" s="1"/>
  <c r="J659" i="1"/>
  <c r="O659" i="1" s="1"/>
  <c r="J658" i="1"/>
  <c r="O658" i="1" s="1"/>
  <c r="J657" i="1"/>
  <c r="O657" i="1" s="1"/>
  <c r="J656" i="1"/>
  <c r="O656" i="1" s="1"/>
  <c r="J655" i="1"/>
  <c r="O655" i="1" s="1"/>
  <c r="J654" i="1"/>
  <c r="O654" i="1" s="1"/>
  <c r="J653" i="1"/>
  <c r="O653" i="1" s="1"/>
  <c r="J652" i="1"/>
  <c r="O652" i="1" s="1"/>
  <c r="J651" i="1"/>
  <c r="O651" i="1" s="1"/>
  <c r="J650" i="1"/>
  <c r="O650" i="1" s="1"/>
  <c r="J649" i="1"/>
  <c r="O649" i="1" s="1"/>
  <c r="J648" i="1"/>
  <c r="O648" i="1" s="1"/>
  <c r="J647" i="1"/>
  <c r="O647" i="1" s="1"/>
  <c r="J646" i="1"/>
  <c r="O646" i="1" s="1"/>
  <c r="J645" i="1"/>
  <c r="O645" i="1" s="1"/>
  <c r="J644" i="1"/>
  <c r="O644" i="1" s="1"/>
  <c r="J643" i="1"/>
  <c r="O643" i="1" s="1"/>
  <c r="J642" i="1"/>
  <c r="O642" i="1" s="1"/>
  <c r="J641" i="1"/>
  <c r="O641" i="1" s="1"/>
  <c r="J640" i="1"/>
  <c r="O640" i="1" s="1"/>
  <c r="J639" i="1"/>
  <c r="O639" i="1" s="1"/>
  <c r="J638" i="1"/>
  <c r="O638" i="1" s="1"/>
  <c r="J637" i="1"/>
  <c r="O637" i="1" s="1"/>
  <c r="J636" i="1"/>
  <c r="O636" i="1" s="1"/>
  <c r="J635" i="1"/>
  <c r="O635" i="1" s="1"/>
  <c r="J634" i="1"/>
  <c r="O634" i="1" s="1"/>
  <c r="J633" i="1"/>
  <c r="O633" i="1" s="1"/>
  <c r="J632" i="1"/>
  <c r="O632" i="1" s="1"/>
  <c r="J631" i="1"/>
  <c r="O631" i="1" s="1"/>
  <c r="J630" i="1"/>
  <c r="O630" i="1" s="1"/>
  <c r="J629" i="1"/>
  <c r="O629" i="1" s="1"/>
  <c r="J628" i="1"/>
  <c r="O628" i="1" s="1"/>
  <c r="J627" i="1"/>
  <c r="O627" i="1" s="1"/>
  <c r="J626" i="1"/>
  <c r="O626" i="1" s="1"/>
  <c r="J625" i="1"/>
  <c r="O625" i="1" s="1"/>
  <c r="J624" i="1"/>
  <c r="O624" i="1" s="1"/>
  <c r="J623" i="1"/>
  <c r="O623" i="1" s="1"/>
  <c r="J622" i="1"/>
  <c r="O622" i="1" s="1"/>
  <c r="J621" i="1"/>
  <c r="O621" i="1" s="1"/>
  <c r="J620" i="1"/>
  <c r="O620" i="1" s="1"/>
  <c r="J619" i="1"/>
  <c r="O619" i="1" s="1"/>
  <c r="J618" i="1"/>
  <c r="O618" i="1" s="1"/>
  <c r="J617" i="1"/>
  <c r="O617" i="1" s="1"/>
  <c r="J616" i="1"/>
  <c r="O616" i="1" s="1"/>
  <c r="J615" i="1"/>
  <c r="O615" i="1" s="1"/>
  <c r="J614" i="1"/>
  <c r="O614" i="1" s="1"/>
  <c r="J613" i="1"/>
  <c r="O613" i="1" s="1"/>
  <c r="J612" i="1"/>
  <c r="O612" i="1" s="1"/>
  <c r="J611" i="1"/>
  <c r="O611" i="1" s="1"/>
  <c r="J610" i="1"/>
  <c r="O610" i="1" s="1"/>
  <c r="J609" i="1"/>
  <c r="O609" i="1" s="1"/>
  <c r="J608" i="1"/>
  <c r="O608" i="1" s="1"/>
  <c r="J607" i="1"/>
  <c r="O607" i="1" s="1"/>
  <c r="J606" i="1"/>
  <c r="O606" i="1" s="1"/>
  <c r="J605" i="1"/>
  <c r="O605" i="1" s="1"/>
  <c r="J604" i="1"/>
  <c r="O604" i="1" s="1"/>
  <c r="J603" i="1"/>
  <c r="O603" i="1" s="1"/>
  <c r="J602" i="1"/>
  <c r="O602" i="1" s="1"/>
  <c r="J601" i="1"/>
  <c r="O601" i="1" s="1"/>
  <c r="J600" i="1"/>
  <c r="O600" i="1" s="1"/>
  <c r="J599" i="1"/>
  <c r="O599" i="1" s="1"/>
  <c r="J598" i="1"/>
  <c r="O598" i="1" s="1"/>
  <c r="J597" i="1"/>
  <c r="O597" i="1" s="1"/>
  <c r="J596" i="1"/>
  <c r="O596" i="1" s="1"/>
  <c r="J595" i="1"/>
  <c r="O595" i="1" s="1"/>
  <c r="J594" i="1"/>
  <c r="O594" i="1" s="1"/>
  <c r="J593" i="1"/>
  <c r="O593" i="1" s="1"/>
  <c r="J592" i="1"/>
  <c r="O592" i="1" s="1"/>
  <c r="J591" i="1"/>
  <c r="O591" i="1" s="1"/>
  <c r="J590" i="1"/>
  <c r="O590" i="1" s="1"/>
  <c r="J589" i="1"/>
  <c r="O589" i="1" s="1"/>
  <c r="J588" i="1"/>
  <c r="O588" i="1" s="1"/>
  <c r="J587" i="1"/>
  <c r="O587" i="1" s="1"/>
  <c r="J586" i="1"/>
  <c r="O586" i="1" s="1"/>
  <c r="J585" i="1"/>
  <c r="O585" i="1" s="1"/>
  <c r="J584" i="1"/>
  <c r="O584" i="1" s="1"/>
  <c r="J583" i="1"/>
  <c r="O583" i="1" s="1"/>
  <c r="J582" i="1"/>
  <c r="O582" i="1" s="1"/>
  <c r="J581" i="1"/>
  <c r="O581" i="1" s="1"/>
  <c r="J580" i="1"/>
  <c r="O580" i="1" s="1"/>
  <c r="J579" i="1"/>
  <c r="O579" i="1" s="1"/>
  <c r="J578" i="1"/>
  <c r="O578" i="1" s="1"/>
  <c r="J577" i="1"/>
  <c r="O577" i="1" s="1"/>
  <c r="J576" i="1"/>
  <c r="O576" i="1" s="1"/>
  <c r="J575" i="1"/>
  <c r="O575" i="1" s="1"/>
  <c r="J574" i="1"/>
  <c r="O574" i="1" s="1"/>
  <c r="J573" i="1"/>
  <c r="O573" i="1" s="1"/>
  <c r="J572" i="1"/>
  <c r="O572" i="1" s="1"/>
  <c r="J571" i="1"/>
  <c r="O571" i="1" s="1"/>
  <c r="J570" i="1"/>
  <c r="O570" i="1" s="1"/>
  <c r="J569" i="1"/>
  <c r="O569" i="1" s="1"/>
  <c r="J568" i="1"/>
  <c r="O568" i="1" s="1"/>
  <c r="J567" i="1"/>
  <c r="O567" i="1" s="1"/>
  <c r="J566" i="1"/>
  <c r="O566" i="1" s="1"/>
  <c r="J565" i="1"/>
  <c r="O565" i="1" s="1"/>
  <c r="J564" i="1"/>
  <c r="O564" i="1" s="1"/>
  <c r="J563" i="1"/>
  <c r="O563" i="1" s="1"/>
  <c r="J562" i="1"/>
  <c r="O562" i="1" s="1"/>
  <c r="J561" i="1"/>
  <c r="O561" i="1" s="1"/>
  <c r="J560" i="1"/>
  <c r="O560" i="1" s="1"/>
  <c r="J559" i="1"/>
  <c r="O559" i="1" s="1"/>
  <c r="J558" i="1"/>
  <c r="O558" i="1" s="1"/>
  <c r="J557" i="1"/>
  <c r="O557" i="1" s="1"/>
  <c r="J556" i="1"/>
  <c r="O556" i="1" s="1"/>
  <c r="J555" i="1"/>
  <c r="O555" i="1" s="1"/>
  <c r="J554" i="1"/>
  <c r="O554" i="1" s="1"/>
  <c r="J553" i="1"/>
  <c r="O553" i="1" s="1"/>
  <c r="J552" i="1"/>
  <c r="O552" i="1" s="1"/>
  <c r="J551" i="1"/>
  <c r="O551" i="1" s="1"/>
  <c r="J550" i="1"/>
  <c r="O550" i="1" s="1"/>
  <c r="J549" i="1"/>
  <c r="O549" i="1" s="1"/>
  <c r="J548" i="1"/>
  <c r="O548" i="1" s="1"/>
  <c r="J547" i="1"/>
  <c r="O547" i="1" s="1"/>
  <c r="J546" i="1"/>
  <c r="O546" i="1" s="1"/>
  <c r="J545" i="1"/>
  <c r="O545" i="1" s="1"/>
  <c r="J544" i="1"/>
  <c r="O544" i="1" s="1"/>
  <c r="J543" i="1"/>
  <c r="O543" i="1" s="1"/>
  <c r="J542" i="1"/>
  <c r="O542" i="1" s="1"/>
  <c r="J541" i="1"/>
  <c r="O541" i="1" s="1"/>
  <c r="J540" i="1"/>
  <c r="O540" i="1" s="1"/>
  <c r="J539" i="1"/>
  <c r="O539" i="1" s="1"/>
  <c r="J538" i="1"/>
  <c r="O538" i="1" s="1"/>
  <c r="J537" i="1"/>
  <c r="O537" i="1" s="1"/>
  <c r="J536" i="1"/>
  <c r="O536" i="1" s="1"/>
  <c r="J535" i="1"/>
  <c r="O535" i="1" s="1"/>
  <c r="J534" i="1"/>
  <c r="O534" i="1" s="1"/>
  <c r="J533" i="1"/>
  <c r="O533" i="1" s="1"/>
  <c r="J532" i="1"/>
  <c r="O532" i="1" s="1"/>
  <c r="J531" i="1"/>
  <c r="O531" i="1" s="1"/>
  <c r="J530" i="1"/>
  <c r="O530" i="1" s="1"/>
  <c r="J529" i="1"/>
  <c r="O529" i="1" s="1"/>
  <c r="J528" i="1"/>
  <c r="O528" i="1" s="1"/>
  <c r="J527" i="1"/>
  <c r="O527" i="1" s="1"/>
  <c r="J526" i="1"/>
  <c r="O526" i="1" s="1"/>
  <c r="J525" i="1"/>
  <c r="O525" i="1" s="1"/>
  <c r="J524" i="1"/>
  <c r="O524" i="1" s="1"/>
  <c r="J523" i="1"/>
  <c r="O523" i="1" s="1"/>
  <c r="J522" i="1"/>
  <c r="O522" i="1" s="1"/>
  <c r="J521" i="1"/>
  <c r="O521" i="1" s="1"/>
  <c r="J520" i="1"/>
  <c r="O520" i="1" s="1"/>
  <c r="J519" i="1"/>
  <c r="O519" i="1" s="1"/>
  <c r="J518" i="1"/>
  <c r="O518" i="1" s="1"/>
  <c r="J517" i="1"/>
  <c r="O517" i="1" s="1"/>
  <c r="J516" i="1"/>
  <c r="O516" i="1" s="1"/>
  <c r="J515" i="1"/>
  <c r="O515" i="1" s="1"/>
  <c r="J514" i="1"/>
  <c r="O514" i="1" s="1"/>
  <c r="J513" i="1"/>
  <c r="O513" i="1" s="1"/>
  <c r="J512" i="1"/>
  <c r="O512" i="1" s="1"/>
  <c r="J511" i="1"/>
  <c r="O511" i="1" s="1"/>
  <c r="J510" i="1"/>
  <c r="O510" i="1" s="1"/>
  <c r="J509" i="1"/>
  <c r="O509" i="1" s="1"/>
  <c r="J508" i="1"/>
  <c r="O508" i="1" s="1"/>
  <c r="J507" i="1"/>
  <c r="O507" i="1" s="1"/>
  <c r="J506" i="1"/>
  <c r="O506" i="1" s="1"/>
  <c r="J505" i="1"/>
  <c r="O505" i="1" s="1"/>
  <c r="J504" i="1"/>
  <c r="O504" i="1" s="1"/>
  <c r="J503" i="1"/>
  <c r="O503" i="1" s="1"/>
  <c r="J502" i="1"/>
  <c r="O502" i="1" s="1"/>
  <c r="J501" i="1"/>
  <c r="O501" i="1" s="1"/>
  <c r="J500" i="1"/>
  <c r="O500" i="1" s="1"/>
  <c r="J499" i="1"/>
  <c r="O499" i="1" s="1"/>
  <c r="J498" i="1"/>
  <c r="O498" i="1" s="1"/>
  <c r="J497" i="1"/>
  <c r="O497" i="1" s="1"/>
  <c r="J496" i="1"/>
  <c r="O496" i="1" s="1"/>
  <c r="J495" i="1"/>
  <c r="O495" i="1" s="1"/>
  <c r="J494" i="1"/>
  <c r="O494" i="1" s="1"/>
  <c r="J493" i="1"/>
  <c r="O493" i="1" s="1"/>
  <c r="J492" i="1"/>
  <c r="O492" i="1" s="1"/>
  <c r="J491" i="1"/>
  <c r="O491" i="1" s="1"/>
  <c r="J490" i="1"/>
  <c r="O490" i="1" s="1"/>
  <c r="J489" i="1"/>
  <c r="O489" i="1" s="1"/>
  <c r="J488" i="1"/>
  <c r="O488" i="1" s="1"/>
  <c r="J487" i="1"/>
  <c r="O487" i="1" s="1"/>
  <c r="J486" i="1"/>
  <c r="O486" i="1" s="1"/>
  <c r="J485" i="1"/>
  <c r="O485" i="1" s="1"/>
  <c r="J484" i="1"/>
  <c r="O484" i="1" s="1"/>
  <c r="J483" i="1"/>
  <c r="O483" i="1" s="1"/>
  <c r="J482" i="1"/>
  <c r="O482" i="1" s="1"/>
  <c r="J481" i="1"/>
  <c r="O481" i="1" s="1"/>
  <c r="J480" i="1"/>
  <c r="O480" i="1" s="1"/>
  <c r="J479" i="1"/>
  <c r="O479" i="1" s="1"/>
  <c r="J478" i="1"/>
  <c r="O478" i="1" s="1"/>
  <c r="J477" i="1"/>
  <c r="O477" i="1" s="1"/>
  <c r="J476" i="1"/>
  <c r="O476" i="1" s="1"/>
  <c r="J475" i="1"/>
  <c r="O475" i="1" s="1"/>
  <c r="J474" i="1"/>
  <c r="O474" i="1" s="1"/>
  <c r="J473" i="1"/>
  <c r="O473" i="1" s="1"/>
  <c r="J472" i="1"/>
  <c r="O472" i="1" s="1"/>
  <c r="J471" i="1"/>
  <c r="O471" i="1" s="1"/>
  <c r="J470" i="1"/>
  <c r="O470" i="1" s="1"/>
  <c r="J469" i="1"/>
  <c r="O469" i="1" s="1"/>
  <c r="J468" i="1"/>
  <c r="O468" i="1" s="1"/>
  <c r="J467" i="1"/>
  <c r="O467" i="1" s="1"/>
  <c r="J466" i="1"/>
  <c r="O466" i="1" s="1"/>
  <c r="J465" i="1"/>
  <c r="O465" i="1" s="1"/>
  <c r="J464" i="1"/>
  <c r="O464" i="1" s="1"/>
  <c r="J463" i="1"/>
  <c r="O463" i="1" s="1"/>
  <c r="J462" i="1"/>
  <c r="O462" i="1" s="1"/>
  <c r="J461" i="1"/>
  <c r="O461" i="1" s="1"/>
  <c r="J460" i="1"/>
  <c r="O460" i="1" s="1"/>
  <c r="J459" i="1"/>
  <c r="O459" i="1" s="1"/>
  <c r="J458" i="1"/>
  <c r="O458" i="1" s="1"/>
  <c r="J457" i="1"/>
  <c r="O457" i="1" s="1"/>
  <c r="J456" i="1"/>
  <c r="O456" i="1" s="1"/>
  <c r="J455" i="1"/>
  <c r="O455" i="1" s="1"/>
  <c r="J454" i="1"/>
  <c r="O454" i="1" s="1"/>
  <c r="J453" i="1"/>
  <c r="O453" i="1" s="1"/>
  <c r="J452" i="1"/>
  <c r="O452" i="1" s="1"/>
  <c r="J451" i="1"/>
  <c r="O451" i="1" s="1"/>
  <c r="J450" i="1"/>
  <c r="O450" i="1" s="1"/>
  <c r="J449" i="1"/>
  <c r="O449" i="1" s="1"/>
  <c r="J448" i="1"/>
  <c r="O448" i="1" s="1"/>
  <c r="J447" i="1"/>
  <c r="O447" i="1" s="1"/>
  <c r="J446" i="1"/>
  <c r="O446" i="1" s="1"/>
  <c r="J445" i="1"/>
  <c r="O445" i="1" s="1"/>
  <c r="J444" i="1"/>
  <c r="O444" i="1" s="1"/>
  <c r="J443" i="1"/>
  <c r="O443" i="1" s="1"/>
  <c r="J442" i="1"/>
  <c r="O442" i="1" s="1"/>
  <c r="J441" i="1"/>
  <c r="O441" i="1" s="1"/>
  <c r="J440" i="1"/>
  <c r="O440" i="1" s="1"/>
  <c r="J439" i="1"/>
  <c r="O439" i="1" s="1"/>
  <c r="J438" i="1"/>
  <c r="O438" i="1" s="1"/>
  <c r="J437" i="1"/>
  <c r="O437" i="1" s="1"/>
  <c r="J436" i="1"/>
  <c r="O436" i="1" s="1"/>
  <c r="J435" i="1"/>
  <c r="O435" i="1" s="1"/>
  <c r="J434" i="1"/>
  <c r="O434" i="1" s="1"/>
  <c r="J433" i="1"/>
  <c r="O433" i="1" s="1"/>
  <c r="J432" i="1"/>
  <c r="O432" i="1" s="1"/>
  <c r="J431" i="1"/>
  <c r="O431" i="1" s="1"/>
  <c r="J430" i="1"/>
  <c r="O430" i="1" s="1"/>
  <c r="J429" i="1"/>
  <c r="O429" i="1" s="1"/>
  <c r="J428" i="1"/>
  <c r="O428" i="1" s="1"/>
  <c r="J427" i="1"/>
  <c r="O427" i="1" s="1"/>
  <c r="J426" i="1"/>
  <c r="O426" i="1" s="1"/>
  <c r="J425" i="1"/>
  <c r="O425" i="1" s="1"/>
  <c r="J424" i="1"/>
  <c r="O424" i="1" s="1"/>
  <c r="J423" i="1"/>
  <c r="O423" i="1" s="1"/>
  <c r="J422" i="1"/>
  <c r="O422" i="1" s="1"/>
  <c r="J421" i="1"/>
  <c r="O421" i="1" s="1"/>
  <c r="J420" i="1"/>
  <c r="O420" i="1" s="1"/>
  <c r="J419" i="1"/>
  <c r="O419" i="1" s="1"/>
  <c r="J418" i="1"/>
  <c r="O418" i="1" s="1"/>
  <c r="J417" i="1"/>
  <c r="O417" i="1" s="1"/>
  <c r="J416" i="1"/>
  <c r="O416" i="1" s="1"/>
  <c r="J415" i="1"/>
  <c r="O415" i="1" s="1"/>
  <c r="J414" i="1"/>
  <c r="O414" i="1" s="1"/>
  <c r="J413" i="1"/>
  <c r="O413" i="1" s="1"/>
  <c r="J412" i="1"/>
  <c r="O412" i="1" s="1"/>
  <c r="J411" i="1"/>
  <c r="O411" i="1" s="1"/>
  <c r="J410" i="1"/>
  <c r="O410" i="1" s="1"/>
  <c r="J409" i="1"/>
  <c r="O409" i="1" s="1"/>
  <c r="J408" i="1"/>
  <c r="O408" i="1" s="1"/>
  <c r="J407" i="1"/>
  <c r="O407" i="1" s="1"/>
  <c r="J406" i="1"/>
  <c r="O406" i="1" s="1"/>
  <c r="J405" i="1"/>
  <c r="O405" i="1" s="1"/>
  <c r="J404" i="1"/>
  <c r="O404" i="1" s="1"/>
  <c r="J403" i="1"/>
  <c r="O403" i="1" s="1"/>
  <c r="J402" i="1"/>
  <c r="O402" i="1" s="1"/>
  <c r="J401" i="1"/>
  <c r="O401" i="1" s="1"/>
  <c r="J400" i="1"/>
  <c r="O400" i="1" s="1"/>
  <c r="J399" i="1"/>
  <c r="O399" i="1" s="1"/>
  <c r="J398" i="1"/>
  <c r="O398" i="1" s="1"/>
  <c r="J397" i="1"/>
  <c r="O397" i="1" s="1"/>
  <c r="J396" i="1"/>
  <c r="O396" i="1" s="1"/>
  <c r="J395" i="1"/>
  <c r="O395" i="1" s="1"/>
  <c r="J394" i="1"/>
  <c r="O394" i="1" s="1"/>
  <c r="J393" i="1"/>
  <c r="O393" i="1" s="1"/>
  <c r="J392" i="1"/>
  <c r="O392" i="1" s="1"/>
  <c r="J391" i="1"/>
  <c r="O391" i="1" s="1"/>
  <c r="J390" i="1"/>
  <c r="O390" i="1" s="1"/>
  <c r="J389" i="1"/>
  <c r="O389" i="1" s="1"/>
  <c r="J388" i="1"/>
  <c r="O388" i="1" s="1"/>
  <c r="J387" i="1"/>
  <c r="O387" i="1" s="1"/>
  <c r="J386" i="1"/>
  <c r="O386" i="1" s="1"/>
  <c r="J385" i="1"/>
  <c r="O385" i="1" s="1"/>
  <c r="J384" i="1"/>
  <c r="O384" i="1" s="1"/>
  <c r="J383" i="1"/>
  <c r="O383" i="1" s="1"/>
  <c r="J382" i="1"/>
  <c r="O382" i="1" s="1"/>
  <c r="J381" i="1"/>
  <c r="O381" i="1" s="1"/>
  <c r="J380" i="1"/>
  <c r="O380" i="1" s="1"/>
  <c r="J379" i="1"/>
  <c r="O379" i="1" s="1"/>
  <c r="J378" i="1"/>
  <c r="O378" i="1" s="1"/>
  <c r="J377" i="1"/>
  <c r="O377" i="1" s="1"/>
  <c r="J376" i="1"/>
  <c r="O376" i="1" s="1"/>
  <c r="J375" i="1"/>
  <c r="O375" i="1" s="1"/>
  <c r="J374" i="1"/>
  <c r="O374" i="1" s="1"/>
  <c r="J373" i="1"/>
  <c r="O373" i="1" s="1"/>
  <c r="J372" i="1"/>
  <c r="O372" i="1" s="1"/>
  <c r="J371" i="1"/>
  <c r="O371" i="1" s="1"/>
  <c r="J370" i="1"/>
  <c r="O370" i="1" s="1"/>
  <c r="J369" i="1"/>
  <c r="O369" i="1" s="1"/>
  <c r="J368" i="1"/>
  <c r="O368" i="1" s="1"/>
  <c r="J367" i="1"/>
  <c r="O367" i="1" s="1"/>
  <c r="J366" i="1"/>
  <c r="O366" i="1" s="1"/>
  <c r="J365" i="1"/>
  <c r="O365" i="1" s="1"/>
  <c r="J364" i="1"/>
  <c r="O364" i="1" s="1"/>
  <c r="J363" i="1"/>
  <c r="O363" i="1" s="1"/>
  <c r="J362" i="1"/>
  <c r="O362" i="1" s="1"/>
  <c r="J361" i="1"/>
  <c r="O361" i="1" s="1"/>
  <c r="J360" i="1"/>
  <c r="O360" i="1" s="1"/>
  <c r="J359" i="1"/>
  <c r="O359" i="1" s="1"/>
  <c r="J358" i="1"/>
  <c r="O358" i="1" s="1"/>
  <c r="J357" i="1"/>
  <c r="O357" i="1" s="1"/>
  <c r="J356" i="1"/>
  <c r="O356" i="1" s="1"/>
  <c r="J355" i="1"/>
  <c r="O355" i="1" s="1"/>
  <c r="J354" i="1"/>
  <c r="O354" i="1" s="1"/>
  <c r="J353" i="1"/>
  <c r="O353" i="1" s="1"/>
  <c r="J352" i="1"/>
  <c r="O352" i="1" s="1"/>
  <c r="J351" i="1"/>
  <c r="O351" i="1" s="1"/>
  <c r="J350" i="1"/>
  <c r="O350" i="1" s="1"/>
  <c r="J349" i="1"/>
  <c r="O349" i="1" s="1"/>
  <c r="J348" i="1"/>
  <c r="O348" i="1" s="1"/>
  <c r="J347" i="1"/>
  <c r="O347" i="1" s="1"/>
  <c r="J346" i="1"/>
  <c r="O346" i="1" s="1"/>
  <c r="J345" i="1"/>
  <c r="O345" i="1" s="1"/>
  <c r="J344" i="1"/>
  <c r="O344" i="1" s="1"/>
  <c r="J343" i="1"/>
  <c r="O343" i="1" s="1"/>
  <c r="J342" i="1"/>
  <c r="O342" i="1" s="1"/>
  <c r="J341" i="1"/>
  <c r="O341" i="1" s="1"/>
  <c r="J340" i="1"/>
  <c r="O340" i="1" s="1"/>
  <c r="J339" i="1"/>
  <c r="O339" i="1" s="1"/>
  <c r="J338" i="1"/>
  <c r="O338" i="1" s="1"/>
  <c r="J337" i="1"/>
  <c r="O337" i="1" s="1"/>
  <c r="J336" i="1"/>
  <c r="O336" i="1" s="1"/>
  <c r="J335" i="1"/>
  <c r="O335" i="1" s="1"/>
  <c r="J334" i="1"/>
  <c r="O334" i="1" s="1"/>
  <c r="J333" i="1"/>
  <c r="O333" i="1" s="1"/>
  <c r="J332" i="1"/>
  <c r="O332" i="1" s="1"/>
  <c r="J331" i="1"/>
  <c r="O331" i="1" s="1"/>
  <c r="J330" i="1"/>
  <c r="O330" i="1" s="1"/>
  <c r="J329" i="1"/>
  <c r="O329" i="1" s="1"/>
  <c r="J328" i="1"/>
  <c r="O328" i="1" s="1"/>
  <c r="J327" i="1"/>
  <c r="O327" i="1" s="1"/>
  <c r="J326" i="1"/>
  <c r="O326" i="1" s="1"/>
  <c r="J325" i="1"/>
  <c r="O325" i="1" s="1"/>
  <c r="J324" i="1"/>
  <c r="O324" i="1" s="1"/>
  <c r="J323" i="1"/>
  <c r="O323" i="1" s="1"/>
  <c r="J322" i="1"/>
  <c r="O322" i="1" s="1"/>
  <c r="J321" i="1"/>
  <c r="O321" i="1" s="1"/>
  <c r="J320" i="1"/>
  <c r="O320" i="1" s="1"/>
  <c r="J319" i="1"/>
  <c r="O319" i="1" s="1"/>
  <c r="J318" i="1"/>
  <c r="O318" i="1" s="1"/>
  <c r="J317" i="1"/>
  <c r="O317" i="1" s="1"/>
  <c r="J316" i="1"/>
  <c r="O316" i="1" s="1"/>
  <c r="J315" i="1"/>
  <c r="O315" i="1" s="1"/>
  <c r="J314" i="1"/>
  <c r="O314" i="1" s="1"/>
  <c r="J313" i="1"/>
  <c r="O313" i="1" s="1"/>
  <c r="J312" i="1"/>
  <c r="O312" i="1" s="1"/>
  <c r="J311" i="1"/>
  <c r="O311" i="1" s="1"/>
  <c r="J310" i="1"/>
  <c r="O310" i="1" s="1"/>
  <c r="J309" i="1"/>
  <c r="O309" i="1" s="1"/>
  <c r="J308" i="1"/>
  <c r="O308" i="1" s="1"/>
  <c r="J307" i="1"/>
  <c r="O307" i="1" s="1"/>
  <c r="J306" i="1"/>
  <c r="O306" i="1" s="1"/>
  <c r="J305" i="1"/>
  <c r="O305" i="1" s="1"/>
  <c r="J304" i="1"/>
  <c r="O304" i="1" s="1"/>
  <c r="J303" i="1"/>
  <c r="O303" i="1" s="1"/>
  <c r="J302" i="1"/>
  <c r="O302" i="1" s="1"/>
  <c r="J301" i="1"/>
  <c r="O301" i="1" s="1"/>
  <c r="J300" i="1"/>
  <c r="O300" i="1" s="1"/>
  <c r="J299" i="1"/>
  <c r="O299" i="1" s="1"/>
  <c r="J298" i="1"/>
  <c r="O298" i="1" s="1"/>
  <c r="J297" i="1"/>
  <c r="O297" i="1" s="1"/>
  <c r="J296" i="1"/>
  <c r="O296" i="1" s="1"/>
  <c r="J295" i="1"/>
  <c r="O295" i="1" s="1"/>
  <c r="J294" i="1"/>
  <c r="O294" i="1" s="1"/>
  <c r="J293" i="1"/>
  <c r="O293" i="1" s="1"/>
  <c r="J292" i="1"/>
  <c r="O292" i="1" s="1"/>
  <c r="J291" i="1"/>
  <c r="O291" i="1" s="1"/>
  <c r="J290" i="1"/>
  <c r="O290" i="1" s="1"/>
  <c r="J289" i="1"/>
  <c r="O289" i="1" s="1"/>
  <c r="J288" i="1"/>
  <c r="O288" i="1" s="1"/>
  <c r="J287" i="1"/>
  <c r="O287" i="1" s="1"/>
  <c r="J286" i="1"/>
  <c r="O286" i="1" s="1"/>
  <c r="J285" i="1"/>
  <c r="O285" i="1" s="1"/>
  <c r="J284" i="1"/>
  <c r="O284" i="1" s="1"/>
  <c r="J283" i="1"/>
  <c r="O283" i="1" s="1"/>
  <c r="J282" i="1"/>
  <c r="O282" i="1" s="1"/>
  <c r="J281" i="1"/>
  <c r="O281" i="1" s="1"/>
  <c r="J280" i="1"/>
  <c r="O280" i="1" s="1"/>
  <c r="J279" i="1"/>
  <c r="O279" i="1" s="1"/>
  <c r="J278" i="1"/>
  <c r="O278" i="1" s="1"/>
  <c r="J277" i="1"/>
  <c r="O277" i="1" s="1"/>
  <c r="J276" i="1"/>
  <c r="O276" i="1" s="1"/>
  <c r="J275" i="1"/>
  <c r="O275" i="1" s="1"/>
  <c r="J274" i="1"/>
  <c r="O274" i="1" s="1"/>
  <c r="J273" i="1"/>
  <c r="O273" i="1" s="1"/>
  <c r="J272" i="1"/>
  <c r="O272" i="1" s="1"/>
  <c r="J271" i="1"/>
  <c r="O271" i="1" s="1"/>
  <c r="J270" i="1"/>
  <c r="O270" i="1" s="1"/>
  <c r="J269" i="1"/>
  <c r="O269" i="1" s="1"/>
  <c r="J268" i="1"/>
  <c r="O268" i="1" s="1"/>
  <c r="J267" i="1"/>
  <c r="O267" i="1" s="1"/>
  <c r="J266" i="1"/>
  <c r="O266" i="1" s="1"/>
  <c r="J265" i="1"/>
  <c r="O265" i="1" s="1"/>
  <c r="J264" i="1"/>
  <c r="O264" i="1" s="1"/>
  <c r="J263" i="1"/>
  <c r="O263" i="1" s="1"/>
  <c r="J262" i="1"/>
  <c r="O262" i="1" s="1"/>
  <c r="J261" i="1"/>
  <c r="O261" i="1" s="1"/>
  <c r="J260" i="1"/>
  <c r="O260" i="1" s="1"/>
  <c r="J259" i="1"/>
  <c r="O259" i="1" s="1"/>
  <c r="J258" i="1"/>
  <c r="O258" i="1" s="1"/>
  <c r="J257" i="1"/>
  <c r="O257" i="1" s="1"/>
  <c r="J256" i="1"/>
  <c r="O256" i="1" s="1"/>
  <c r="J255" i="1"/>
  <c r="O255" i="1" s="1"/>
  <c r="J254" i="1"/>
  <c r="O254" i="1" s="1"/>
  <c r="J253" i="1"/>
  <c r="O253" i="1" s="1"/>
  <c r="J252" i="1"/>
  <c r="O252" i="1" s="1"/>
  <c r="J251" i="1"/>
  <c r="O251" i="1" s="1"/>
  <c r="J250" i="1"/>
  <c r="O250" i="1" s="1"/>
  <c r="J249" i="1"/>
  <c r="O249" i="1" s="1"/>
  <c r="J248" i="1"/>
  <c r="O248" i="1" s="1"/>
  <c r="J247" i="1"/>
  <c r="O247" i="1" s="1"/>
  <c r="J246" i="1"/>
  <c r="O246" i="1" s="1"/>
  <c r="J245" i="1"/>
  <c r="O245" i="1" s="1"/>
  <c r="J244" i="1"/>
  <c r="O244" i="1" s="1"/>
  <c r="J243" i="1"/>
  <c r="O243" i="1" s="1"/>
  <c r="J242" i="1"/>
  <c r="O242" i="1" s="1"/>
  <c r="J241" i="1"/>
  <c r="O241" i="1" s="1"/>
  <c r="J240" i="1"/>
  <c r="O240" i="1" s="1"/>
  <c r="J239" i="1"/>
  <c r="O239" i="1" s="1"/>
  <c r="J238" i="1"/>
  <c r="O238" i="1" s="1"/>
  <c r="J237" i="1"/>
  <c r="O237" i="1" s="1"/>
  <c r="J236" i="1"/>
  <c r="O236" i="1" s="1"/>
  <c r="J235" i="1"/>
  <c r="O235" i="1" s="1"/>
  <c r="J234" i="1"/>
  <c r="O234" i="1" s="1"/>
  <c r="J233" i="1"/>
  <c r="O233" i="1" s="1"/>
  <c r="J232" i="1"/>
  <c r="O232" i="1" s="1"/>
  <c r="J231" i="1"/>
  <c r="O231" i="1" s="1"/>
  <c r="J230" i="1"/>
  <c r="O230" i="1" s="1"/>
  <c r="J229" i="1"/>
  <c r="O229" i="1" s="1"/>
  <c r="J228" i="1"/>
  <c r="O228" i="1" s="1"/>
  <c r="J227" i="1"/>
  <c r="O227" i="1" s="1"/>
  <c r="J226" i="1"/>
  <c r="O226" i="1" s="1"/>
  <c r="J225" i="1"/>
  <c r="O225" i="1" s="1"/>
  <c r="J224" i="1"/>
  <c r="O224" i="1" s="1"/>
  <c r="J223" i="1"/>
  <c r="O223" i="1" s="1"/>
  <c r="J222" i="1"/>
  <c r="O222" i="1" s="1"/>
  <c r="J221" i="1"/>
  <c r="O221" i="1" s="1"/>
  <c r="J220" i="1"/>
  <c r="O220" i="1" s="1"/>
  <c r="J219" i="1"/>
  <c r="O219" i="1" s="1"/>
  <c r="J218" i="1"/>
  <c r="O218" i="1" s="1"/>
  <c r="J217" i="1"/>
  <c r="O217" i="1" s="1"/>
  <c r="J216" i="1"/>
  <c r="O216" i="1" s="1"/>
  <c r="J215" i="1"/>
  <c r="O215" i="1" s="1"/>
  <c r="J214" i="1"/>
  <c r="O214" i="1" s="1"/>
  <c r="J213" i="1"/>
  <c r="O213" i="1" s="1"/>
  <c r="J212" i="1"/>
  <c r="O212" i="1" s="1"/>
  <c r="J211" i="1"/>
  <c r="O211" i="1" s="1"/>
  <c r="J210" i="1"/>
  <c r="O210" i="1" s="1"/>
  <c r="J209" i="1"/>
  <c r="O209" i="1" s="1"/>
  <c r="J208" i="1"/>
  <c r="O208" i="1" s="1"/>
  <c r="J207" i="1"/>
  <c r="O207" i="1" s="1"/>
  <c r="J206" i="1"/>
  <c r="O206" i="1" s="1"/>
  <c r="J205" i="1"/>
  <c r="O205" i="1" s="1"/>
  <c r="J204" i="1"/>
  <c r="O204" i="1" s="1"/>
  <c r="J203" i="1"/>
  <c r="O203" i="1" s="1"/>
  <c r="J202" i="1"/>
  <c r="O202" i="1" s="1"/>
  <c r="J201" i="1"/>
  <c r="O201" i="1" s="1"/>
  <c r="J200" i="1"/>
  <c r="O200" i="1" s="1"/>
  <c r="J199" i="1"/>
  <c r="O199" i="1" s="1"/>
  <c r="J198" i="1"/>
  <c r="O198" i="1" s="1"/>
  <c r="J197" i="1"/>
  <c r="O197" i="1" s="1"/>
  <c r="J196" i="1"/>
  <c r="O196" i="1" s="1"/>
  <c r="J195" i="1"/>
  <c r="O195" i="1" s="1"/>
  <c r="J194" i="1"/>
  <c r="O194" i="1" s="1"/>
  <c r="J193" i="1"/>
  <c r="O193" i="1" s="1"/>
  <c r="J192" i="1"/>
  <c r="O192" i="1" s="1"/>
  <c r="J191" i="1"/>
  <c r="O191" i="1" s="1"/>
  <c r="J190" i="1"/>
  <c r="O190" i="1" s="1"/>
  <c r="J189" i="1"/>
  <c r="O189" i="1" s="1"/>
  <c r="J188" i="1"/>
  <c r="O188" i="1" s="1"/>
  <c r="J187" i="1"/>
  <c r="O187" i="1" s="1"/>
  <c r="J186" i="1"/>
  <c r="O186" i="1" s="1"/>
  <c r="J185" i="1"/>
  <c r="O185" i="1" s="1"/>
  <c r="J184" i="1"/>
  <c r="O184" i="1" s="1"/>
  <c r="J183" i="1"/>
  <c r="O183" i="1" s="1"/>
  <c r="J182" i="1"/>
  <c r="O182" i="1" s="1"/>
  <c r="J181" i="1"/>
  <c r="O181" i="1" s="1"/>
  <c r="J180" i="1"/>
  <c r="O180" i="1" s="1"/>
  <c r="J179" i="1"/>
  <c r="O179" i="1" s="1"/>
  <c r="J178" i="1"/>
  <c r="O178" i="1" s="1"/>
  <c r="J177" i="1"/>
  <c r="O177" i="1" s="1"/>
  <c r="J176" i="1"/>
  <c r="O176" i="1" s="1"/>
  <c r="J175" i="1"/>
  <c r="O175" i="1" s="1"/>
  <c r="J174" i="1"/>
  <c r="O174" i="1" s="1"/>
  <c r="J173" i="1"/>
  <c r="O173" i="1" s="1"/>
  <c r="J172" i="1"/>
  <c r="O172" i="1" s="1"/>
  <c r="J171" i="1"/>
  <c r="O171" i="1" s="1"/>
  <c r="J170" i="1"/>
  <c r="O170" i="1" s="1"/>
  <c r="J169" i="1"/>
  <c r="O169" i="1" s="1"/>
  <c r="J168" i="1"/>
  <c r="O168" i="1" s="1"/>
  <c r="J167" i="1"/>
  <c r="O167" i="1" s="1"/>
  <c r="J166" i="1"/>
  <c r="O166" i="1" s="1"/>
  <c r="J165" i="1"/>
  <c r="O165" i="1" s="1"/>
  <c r="J164" i="1"/>
  <c r="O164" i="1" s="1"/>
  <c r="J163" i="1"/>
  <c r="O163" i="1" s="1"/>
  <c r="J162" i="1"/>
  <c r="O162" i="1" s="1"/>
  <c r="J161" i="1"/>
  <c r="O161" i="1" s="1"/>
  <c r="J160" i="1"/>
  <c r="O160" i="1" s="1"/>
  <c r="J159" i="1"/>
  <c r="O159" i="1" s="1"/>
  <c r="J158" i="1"/>
  <c r="O158" i="1" s="1"/>
  <c r="J157" i="1"/>
  <c r="O157" i="1" s="1"/>
  <c r="J156" i="1"/>
  <c r="O156" i="1" s="1"/>
  <c r="J155" i="1"/>
  <c r="O155" i="1" s="1"/>
  <c r="J154" i="1"/>
  <c r="O154" i="1" s="1"/>
  <c r="J153" i="1"/>
  <c r="O153" i="1" s="1"/>
  <c r="J152" i="1"/>
  <c r="O152" i="1" s="1"/>
  <c r="J151" i="1"/>
  <c r="O151" i="1" s="1"/>
  <c r="J150" i="1"/>
  <c r="O150" i="1" s="1"/>
  <c r="J149" i="1"/>
  <c r="O149" i="1" s="1"/>
  <c r="J148" i="1"/>
  <c r="O148" i="1" s="1"/>
  <c r="J147" i="1"/>
  <c r="O147" i="1" s="1"/>
  <c r="J146" i="1"/>
  <c r="O146" i="1" s="1"/>
  <c r="J145" i="1"/>
  <c r="O145" i="1" s="1"/>
  <c r="J144" i="1"/>
  <c r="O144" i="1" s="1"/>
  <c r="J143" i="1"/>
  <c r="O143" i="1" s="1"/>
  <c r="J142" i="1"/>
  <c r="O142" i="1" s="1"/>
  <c r="J141" i="1"/>
  <c r="O141" i="1" s="1"/>
  <c r="J140" i="1"/>
  <c r="O140" i="1" s="1"/>
  <c r="J139" i="1"/>
  <c r="O139" i="1" s="1"/>
  <c r="J138" i="1"/>
  <c r="O138" i="1" s="1"/>
  <c r="J137" i="1"/>
  <c r="O137" i="1" s="1"/>
  <c r="J136" i="1"/>
  <c r="O136" i="1" s="1"/>
  <c r="J135" i="1"/>
  <c r="O135" i="1" s="1"/>
  <c r="J134" i="1"/>
  <c r="O134" i="1" s="1"/>
  <c r="J133" i="1"/>
  <c r="O133" i="1" s="1"/>
  <c r="J132" i="1"/>
  <c r="O132" i="1" s="1"/>
  <c r="J131" i="1"/>
  <c r="O131" i="1" s="1"/>
  <c r="J130" i="1"/>
  <c r="O130" i="1" s="1"/>
  <c r="J129" i="1"/>
  <c r="O129" i="1" s="1"/>
  <c r="J128" i="1"/>
  <c r="O128" i="1" s="1"/>
  <c r="J127" i="1"/>
  <c r="O127" i="1" s="1"/>
  <c r="J126" i="1"/>
  <c r="O126" i="1" s="1"/>
  <c r="J125" i="1"/>
  <c r="O125" i="1" s="1"/>
  <c r="J124" i="1"/>
  <c r="O124" i="1" s="1"/>
  <c r="J123" i="1"/>
  <c r="O123" i="1" s="1"/>
  <c r="J122" i="1"/>
  <c r="O122" i="1" s="1"/>
  <c r="J121" i="1"/>
  <c r="O121" i="1" s="1"/>
  <c r="J120" i="1"/>
  <c r="O120" i="1" s="1"/>
  <c r="J119" i="1"/>
  <c r="O119" i="1" s="1"/>
  <c r="J118" i="1"/>
  <c r="O118" i="1" s="1"/>
  <c r="J117" i="1"/>
  <c r="O117" i="1" s="1"/>
  <c r="J116" i="1"/>
  <c r="O116" i="1" s="1"/>
  <c r="J115" i="1"/>
  <c r="O115" i="1" s="1"/>
  <c r="J114" i="1"/>
  <c r="O114" i="1" s="1"/>
  <c r="J113" i="1"/>
  <c r="O113" i="1" s="1"/>
  <c r="J112" i="1"/>
  <c r="O112" i="1" s="1"/>
  <c r="J111" i="1"/>
  <c r="O111" i="1" s="1"/>
  <c r="J110" i="1"/>
  <c r="O110" i="1" s="1"/>
  <c r="J109" i="1"/>
  <c r="O109" i="1" s="1"/>
  <c r="J108" i="1"/>
  <c r="O108" i="1" s="1"/>
  <c r="J107" i="1"/>
  <c r="O107" i="1" s="1"/>
  <c r="J106" i="1"/>
  <c r="O106" i="1" s="1"/>
  <c r="J105" i="1"/>
  <c r="O105" i="1" s="1"/>
  <c r="J104" i="1"/>
  <c r="O104" i="1" s="1"/>
  <c r="J103" i="1"/>
  <c r="O103" i="1" s="1"/>
  <c r="J102" i="1"/>
  <c r="O102" i="1" s="1"/>
  <c r="J101" i="1"/>
  <c r="O101" i="1" s="1"/>
  <c r="J100" i="1"/>
  <c r="O100" i="1" s="1"/>
  <c r="J99" i="1"/>
  <c r="O99" i="1" s="1"/>
  <c r="J98" i="1"/>
  <c r="O98" i="1" s="1"/>
  <c r="J97" i="1"/>
  <c r="O97" i="1" s="1"/>
  <c r="J96" i="1"/>
  <c r="O96" i="1" s="1"/>
  <c r="J95" i="1"/>
  <c r="O95" i="1" s="1"/>
  <c r="J94" i="1"/>
  <c r="O94" i="1" s="1"/>
  <c r="J93" i="1"/>
  <c r="O93" i="1" s="1"/>
  <c r="J92" i="1"/>
  <c r="O92" i="1" s="1"/>
  <c r="J91" i="1"/>
  <c r="O91" i="1" s="1"/>
  <c r="J90" i="1"/>
  <c r="O90" i="1" s="1"/>
  <c r="J89" i="1"/>
  <c r="O89" i="1" s="1"/>
  <c r="J88" i="1"/>
  <c r="O88" i="1" s="1"/>
  <c r="J87" i="1"/>
  <c r="O87" i="1" s="1"/>
  <c r="J86" i="1"/>
  <c r="O86" i="1" s="1"/>
  <c r="J85" i="1"/>
  <c r="O85" i="1" s="1"/>
  <c r="J84" i="1"/>
  <c r="O84" i="1" s="1"/>
  <c r="J83" i="1"/>
  <c r="O83" i="1" s="1"/>
  <c r="J82" i="1"/>
  <c r="O82" i="1" s="1"/>
  <c r="J81" i="1"/>
  <c r="O81" i="1" s="1"/>
  <c r="J80" i="1"/>
  <c r="O80" i="1" s="1"/>
  <c r="J79" i="1"/>
  <c r="O79" i="1" s="1"/>
  <c r="J78" i="1"/>
  <c r="O78" i="1" s="1"/>
  <c r="J77" i="1"/>
  <c r="O77" i="1" s="1"/>
  <c r="J76" i="1"/>
  <c r="O76" i="1" s="1"/>
  <c r="J75" i="1"/>
  <c r="O75" i="1" s="1"/>
  <c r="J74" i="1"/>
  <c r="O74" i="1" s="1"/>
  <c r="J73" i="1"/>
  <c r="O73" i="1" s="1"/>
  <c r="J72" i="1"/>
  <c r="O72" i="1" s="1"/>
  <c r="J71" i="1"/>
  <c r="O71" i="1" s="1"/>
  <c r="J70" i="1"/>
  <c r="O70" i="1" s="1"/>
  <c r="J69" i="1"/>
  <c r="O69" i="1" s="1"/>
  <c r="J68" i="1"/>
  <c r="O68" i="1" s="1"/>
  <c r="J67" i="1"/>
  <c r="O67" i="1" s="1"/>
  <c r="J66" i="1"/>
  <c r="O66" i="1" s="1"/>
  <c r="J65" i="1"/>
  <c r="O65" i="1" s="1"/>
  <c r="J64" i="1"/>
  <c r="O64" i="1" s="1"/>
  <c r="J63" i="1"/>
  <c r="O63" i="1" s="1"/>
  <c r="J62" i="1"/>
  <c r="O62" i="1" s="1"/>
  <c r="J61" i="1"/>
  <c r="O61" i="1" s="1"/>
  <c r="J60" i="1"/>
  <c r="O60" i="1" s="1"/>
  <c r="J59" i="1"/>
  <c r="O59" i="1" s="1"/>
  <c r="J58" i="1"/>
  <c r="O58" i="1" s="1"/>
  <c r="J57" i="1"/>
  <c r="O57" i="1" s="1"/>
  <c r="J56" i="1"/>
  <c r="O56" i="1" s="1"/>
  <c r="J55" i="1"/>
  <c r="O55" i="1" s="1"/>
  <c r="J54" i="1"/>
  <c r="O54" i="1" s="1"/>
  <c r="J53" i="1"/>
  <c r="O53" i="1" s="1"/>
  <c r="J52" i="1"/>
  <c r="O52" i="1" s="1"/>
  <c r="J51" i="1"/>
  <c r="O51" i="1" s="1"/>
  <c r="J50" i="1"/>
  <c r="O50" i="1" s="1"/>
  <c r="J49" i="1"/>
  <c r="O49" i="1" s="1"/>
  <c r="J48" i="1"/>
  <c r="O48" i="1" s="1"/>
  <c r="J47" i="1"/>
  <c r="O47" i="1" s="1"/>
  <c r="J46" i="1"/>
  <c r="O46" i="1" s="1"/>
  <c r="J45" i="1"/>
  <c r="O45" i="1" s="1"/>
  <c r="J44" i="1"/>
  <c r="O44" i="1" s="1"/>
  <c r="J43" i="1"/>
  <c r="O43" i="1" s="1"/>
  <c r="J42" i="1"/>
  <c r="O42" i="1" s="1"/>
  <c r="J41" i="1"/>
  <c r="O41" i="1" s="1"/>
  <c r="J40" i="1"/>
  <c r="O40" i="1" s="1"/>
  <c r="J39" i="1"/>
  <c r="O39" i="1" s="1"/>
  <c r="J38" i="1"/>
  <c r="O38" i="1" s="1"/>
  <c r="J37" i="1"/>
  <c r="O37" i="1" s="1"/>
  <c r="J36" i="1"/>
  <c r="O36" i="1" s="1"/>
  <c r="J35" i="1"/>
  <c r="O35" i="1" s="1"/>
  <c r="J34" i="1"/>
  <c r="O34" i="1" s="1"/>
  <c r="J33" i="1"/>
  <c r="O33" i="1" s="1"/>
  <c r="J32" i="1"/>
  <c r="O32" i="1" s="1"/>
  <c r="J31" i="1"/>
  <c r="O31" i="1" s="1"/>
  <c r="J30" i="1"/>
  <c r="O30" i="1" s="1"/>
  <c r="J29" i="1"/>
  <c r="O29" i="1" s="1"/>
  <c r="J28" i="1"/>
  <c r="O28" i="1" s="1"/>
  <c r="J27" i="1"/>
  <c r="O27" i="1" s="1"/>
  <c r="J26" i="1"/>
  <c r="O26" i="1" s="1"/>
  <c r="J25" i="1"/>
  <c r="O25" i="1" s="1"/>
  <c r="J24" i="1"/>
  <c r="O24" i="1" s="1"/>
  <c r="J23" i="1"/>
  <c r="O23" i="1" s="1"/>
  <c r="J22" i="1"/>
  <c r="O22" i="1" s="1"/>
  <c r="J21" i="1"/>
  <c r="O21" i="1" s="1"/>
  <c r="J20" i="1"/>
  <c r="O20" i="1" s="1"/>
  <c r="J19" i="1"/>
  <c r="O19" i="1" s="1"/>
  <c r="J18" i="1"/>
  <c r="O18" i="1" s="1"/>
  <c r="J17" i="1"/>
  <c r="O17" i="1" s="1"/>
  <c r="J16" i="1"/>
  <c r="O16" i="1" s="1"/>
  <c r="J15" i="1"/>
  <c r="O15" i="1" s="1"/>
  <c r="J14" i="1"/>
  <c r="O14" i="1" s="1"/>
  <c r="J13" i="1"/>
  <c r="O13" i="1" s="1"/>
  <c r="J12" i="1"/>
  <c r="O12" i="1" s="1"/>
  <c r="J11" i="1"/>
  <c r="O11" i="1" s="1"/>
  <c r="J10" i="1"/>
  <c r="O10" i="1" s="1"/>
  <c r="J9" i="1"/>
  <c r="O9" i="1" s="1"/>
  <c r="J8" i="1"/>
  <c r="O8" i="1" s="1"/>
  <c r="J7" i="1"/>
  <c r="O7" i="1" s="1"/>
  <c r="J6" i="1"/>
  <c r="O6" i="1" s="1"/>
  <c r="J5" i="1"/>
  <c r="O5" i="1" s="1"/>
  <c r="J4" i="1"/>
  <c r="O4" i="1" s="1"/>
  <c r="J3" i="1"/>
  <c r="O3" i="1" s="1"/>
  <c r="K2" i="1"/>
  <c r="P2" i="1" s="1"/>
  <c r="J2" i="1"/>
  <c r="O2" i="1" s="1"/>
  <c r="R18" i="4" l="1"/>
  <c r="Q18" i="4"/>
  <c r="V18" i="4"/>
  <c r="C18" i="4"/>
  <c r="D18" i="4"/>
  <c r="E18" i="4"/>
  <c r="F18" i="4"/>
  <c r="G18" i="4"/>
  <c r="H18" i="4"/>
  <c r="I18" i="4"/>
  <c r="J18" i="4"/>
  <c r="K18" i="4"/>
  <c r="L18" i="4"/>
  <c r="M18" i="4"/>
  <c r="P18" i="4"/>
  <c r="S18" i="4"/>
  <c r="T18" i="4"/>
  <c r="U18" i="4"/>
  <c r="W18" i="4"/>
  <c r="X18" i="4"/>
  <c r="Z18" i="4"/>
  <c r="Y18" i="4" l="1"/>
  <c r="O18" i="4"/>
  <c r="N18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W10" i="4"/>
  <c r="X10" i="4"/>
  <c r="Y10" i="4"/>
  <c r="Z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M5" i="4" l="1"/>
  <c r="C2" i="4"/>
  <c r="C3" i="4"/>
  <c r="C4" i="4"/>
  <c r="C5" i="4"/>
  <c r="C6" i="4"/>
  <c r="V5" i="4" l="1"/>
  <c r="V4" i="4"/>
  <c r="V6" i="4" l="1"/>
  <c r="V3" i="4"/>
  <c r="N5" i="4"/>
  <c r="O2" i="4"/>
  <c r="O5" i="4"/>
  <c r="N2" i="4"/>
  <c r="Z6" i="4" l="1"/>
  <c r="Y6" i="4"/>
  <c r="X6" i="4"/>
  <c r="W6" i="4"/>
  <c r="U6" i="4"/>
  <c r="T6" i="4"/>
  <c r="S6" i="4"/>
  <c r="P6" i="4"/>
  <c r="M6" i="4"/>
  <c r="L6" i="4"/>
  <c r="K6" i="4"/>
  <c r="J6" i="4"/>
  <c r="I6" i="4"/>
  <c r="H6" i="4"/>
  <c r="G6" i="4"/>
  <c r="F6" i="4"/>
  <c r="E6" i="4"/>
  <c r="D6" i="4"/>
  <c r="Z5" i="4"/>
  <c r="Y5" i="4"/>
  <c r="X5" i="4"/>
  <c r="W5" i="4"/>
  <c r="U5" i="4"/>
  <c r="T5" i="4"/>
  <c r="S5" i="4"/>
  <c r="P5" i="4"/>
  <c r="L5" i="4"/>
  <c r="K5" i="4"/>
  <c r="J5" i="4"/>
  <c r="I5" i="4"/>
  <c r="H5" i="4"/>
  <c r="G5" i="4"/>
  <c r="F5" i="4"/>
  <c r="E5" i="4"/>
  <c r="D5" i="4"/>
  <c r="Z4" i="4"/>
  <c r="Y4" i="4"/>
  <c r="X4" i="4"/>
  <c r="W4" i="4"/>
  <c r="U4" i="4"/>
  <c r="T4" i="4"/>
  <c r="S4" i="4"/>
  <c r="P4" i="4"/>
  <c r="M4" i="4"/>
  <c r="L4" i="4"/>
  <c r="K4" i="4"/>
  <c r="J4" i="4"/>
  <c r="I4" i="4"/>
  <c r="H4" i="4"/>
  <c r="G4" i="4"/>
  <c r="F4" i="4"/>
  <c r="E4" i="4"/>
  <c r="D4" i="4"/>
  <c r="Z3" i="4"/>
  <c r="Y3" i="4"/>
  <c r="X3" i="4"/>
  <c r="W3" i="4"/>
  <c r="U3" i="4"/>
  <c r="T3" i="4"/>
  <c r="S3" i="4"/>
  <c r="P3" i="4"/>
  <c r="M3" i="4"/>
  <c r="L3" i="4"/>
  <c r="K3" i="4"/>
  <c r="J3" i="4"/>
  <c r="I3" i="4"/>
  <c r="H3" i="4"/>
  <c r="G3" i="4"/>
  <c r="F3" i="4"/>
  <c r="E3" i="4"/>
  <c r="D3" i="4"/>
  <c r="Z2" i="4" l="1"/>
  <c r="Y2" i="4"/>
  <c r="X2" i="4"/>
  <c r="W2" i="4"/>
  <c r="U2" i="4"/>
  <c r="T2" i="4"/>
  <c r="S2" i="4"/>
  <c r="P2" i="4"/>
  <c r="M2" i="4"/>
  <c r="L2" i="4"/>
  <c r="K2" i="4"/>
  <c r="J2" i="4"/>
  <c r="I2" i="4"/>
  <c r="H2" i="4"/>
  <c r="G2" i="4"/>
  <c r="F2" i="4"/>
  <c r="E2" i="4"/>
  <c r="D2" i="4"/>
  <c r="V2" i="4" l="1"/>
  <c r="R6" i="4" l="1"/>
  <c r="O6" i="4"/>
  <c r="R3" i="4"/>
  <c r="O3" i="4"/>
  <c r="R2" i="4"/>
  <c r="Q3" i="4"/>
  <c r="N3" i="4"/>
  <c r="Q2" i="4"/>
  <c r="R4" i="4"/>
  <c r="O4" i="4"/>
  <c r="Q6" i="4"/>
  <c r="N6" i="4"/>
  <c r="Q4" i="4"/>
  <c r="N4" i="4"/>
  <c r="R5" i="4"/>
  <c r="Q5" i="4"/>
  <c r="N19" i="4" l="1"/>
  <c r="O19" i="4"/>
</calcChain>
</file>

<file path=xl/sharedStrings.xml><?xml version="1.0" encoding="utf-8"?>
<sst xmlns="http://schemas.openxmlformats.org/spreadsheetml/2006/main" count="10485" uniqueCount="4345">
  <si>
    <t>Company Name</t>
  </si>
  <si>
    <t>Ticker</t>
  </si>
  <si>
    <t>PEG Ratio</t>
  </si>
  <si>
    <t>P/E (F2)</t>
  </si>
  <si>
    <t>P/E (F1)</t>
  </si>
  <si>
    <t>P/E (Trailing 12 Months)</t>
  </si>
  <si>
    <t>F2 Consensus Est.</t>
  </si>
  <si>
    <t>F1 Consensus Est.</t>
  </si>
  <si>
    <t>F0 Consensus Est.</t>
  </si>
  <si>
    <t>Advertising and Marketing</t>
  </si>
  <si>
    <t>Aerospace</t>
  </si>
  <si>
    <t>Month of Fiscal Yr End</t>
  </si>
  <si>
    <t>Exchange</t>
  </si>
  <si>
    <t>Div. Yield %</t>
  </si>
  <si>
    <t>Last EPS Surprise (%)</t>
  </si>
  <si>
    <t>A</t>
  </si>
  <si>
    <t>Aerospace - Defense</t>
  </si>
  <si>
    <t>AAL</t>
  </si>
  <si>
    <t>AAP</t>
  </si>
  <si>
    <t>AAPL</t>
  </si>
  <si>
    <t>ABB</t>
  </si>
  <si>
    <t>ABBV</t>
  </si>
  <si>
    <t>ABC</t>
  </si>
  <si>
    <t>ABMD</t>
  </si>
  <si>
    <t>Aerospace - Defense Equipment</t>
  </si>
  <si>
    <t>ACC</t>
  </si>
  <si>
    <t>ACGL</t>
  </si>
  <si>
    <t>AECOM</t>
  </si>
  <si>
    <t>ACM</t>
  </si>
  <si>
    <t>ACN</t>
  </si>
  <si>
    <t>ADBE</t>
  </si>
  <si>
    <t>ADDYY</t>
  </si>
  <si>
    <t>ADI</t>
  </si>
  <si>
    <t>ADM</t>
  </si>
  <si>
    <t>ADP</t>
  </si>
  <si>
    <t>Auto-Tires-Trucks</t>
  </si>
  <si>
    <t>ADSK</t>
  </si>
  <si>
    <t>AEE</t>
  </si>
  <si>
    <t>AEM</t>
  </si>
  <si>
    <t>AEP</t>
  </si>
  <si>
    <t>AES</t>
  </si>
  <si>
    <t>AFG</t>
  </si>
  <si>
    <t>AFL</t>
  </si>
  <si>
    <t>AGCO</t>
  </si>
  <si>
    <t>Automotive - Domestic</t>
  </si>
  <si>
    <t>AGR</t>
  </si>
  <si>
    <t>Automotive - Foreign</t>
  </si>
  <si>
    <t>AIG</t>
  </si>
  <si>
    <t>AIZ</t>
  </si>
  <si>
    <t>AJG</t>
  </si>
  <si>
    <t>AKAM</t>
  </si>
  <si>
    <t>ALB</t>
  </si>
  <si>
    <t>ALGN</t>
  </si>
  <si>
    <t>Automotive - Internal Combustion Engines</t>
  </si>
  <si>
    <t>Automotive - Original Equipment</t>
  </si>
  <si>
    <t>ALL</t>
  </si>
  <si>
    <t>ALLE</t>
  </si>
  <si>
    <t>ALLY</t>
  </si>
  <si>
    <t>ALNY</t>
  </si>
  <si>
    <t>ALSN</t>
  </si>
  <si>
    <t>Basic Materials</t>
  </si>
  <si>
    <t>ALV</t>
  </si>
  <si>
    <t>AMAT</t>
  </si>
  <si>
    <t>AME</t>
  </si>
  <si>
    <t>AMGN</t>
  </si>
  <si>
    <t>AMP</t>
  </si>
  <si>
    <t>AMT</t>
  </si>
  <si>
    <t>Automotive - Retail and Wholesale - Parts</t>
  </si>
  <si>
    <t>AMZN</t>
  </si>
  <si>
    <t>Banks - Foreign</t>
  </si>
  <si>
    <t>ANET</t>
  </si>
  <si>
    <t>ANSS</t>
  </si>
  <si>
    <t>ANTM</t>
  </si>
  <si>
    <t>AON</t>
  </si>
  <si>
    <t>AOS</t>
  </si>
  <si>
    <t>APH</t>
  </si>
  <si>
    <t>APO</t>
  </si>
  <si>
    <t>APTV</t>
  </si>
  <si>
    <t>ARE</t>
  </si>
  <si>
    <t>Aramark</t>
  </si>
  <si>
    <t>ARMK</t>
  </si>
  <si>
    <t>ARW</t>
  </si>
  <si>
    <t>ASHTY</t>
  </si>
  <si>
    <t>ASML</t>
  </si>
  <si>
    <t>ATO</t>
  </si>
  <si>
    <t>ATR</t>
  </si>
  <si>
    <t>ATUS</t>
  </si>
  <si>
    <t>AVB</t>
  </si>
  <si>
    <t>AVY</t>
  </si>
  <si>
    <t>AWK</t>
  </si>
  <si>
    <t>AXP</t>
  </si>
  <si>
    <t>AXS</t>
  </si>
  <si>
    <t>AXTA</t>
  </si>
  <si>
    <t>AYI</t>
  </si>
  <si>
    <t>AZN</t>
  </si>
  <si>
    <t>AZO</t>
  </si>
  <si>
    <t>AZUL</t>
  </si>
  <si>
    <t>Banks - Major Regional</t>
  </si>
  <si>
    <t>BA</t>
  </si>
  <si>
    <t>BABA</t>
  </si>
  <si>
    <t>BAC</t>
  </si>
  <si>
    <t>BAH</t>
  </si>
  <si>
    <t>BAX</t>
  </si>
  <si>
    <t>Banks - Midwest</t>
  </si>
  <si>
    <t>Banks - Northeast</t>
  </si>
  <si>
    <t>BBY</t>
  </si>
  <si>
    <t>Banks - Southeast</t>
  </si>
  <si>
    <t>BCS</t>
  </si>
  <si>
    <t>Business Services</t>
  </si>
  <si>
    <t>Becton, Dickinson and Company</t>
  </si>
  <si>
    <t>BDX</t>
  </si>
  <si>
    <t>BERY</t>
  </si>
  <si>
    <t>BGNE</t>
  </si>
  <si>
    <t>Banks - West</t>
  </si>
  <si>
    <t>BIDU</t>
  </si>
  <si>
    <t>BIIB</t>
  </si>
  <si>
    <t>Beverages - Alcohol</t>
  </si>
  <si>
    <t>Building Products - Air Conditioner and Heating</t>
  </si>
  <si>
    <t>Building Products - Concrete and Aggregates</t>
  </si>
  <si>
    <t>Computer and Technology</t>
  </si>
  <si>
    <t>Building Products - Lighting</t>
  </si>
  <si>
    <t>Building Products - Miscellaneous</t>
  </si>
  <si>
    <t>Building Products - Wood</t>
  </si>
  <si>
    <t>Business - Information Services</t>
  </si>
  <si>
    <t>Business - Services</t>
  </si>
  <si>
    <t>Business - Software Services</t>
  </si>
  <si>
    <t xml:space="preserve">Chemical - Diversified </t>
  </si>
  <si>
    <t>Chemical - Plastic</t>
  </si>
  <si>
    <t>Chemical - Specialty</t>
  </si>
  <si>
    <t>Communication - Components</t>
  </si>
  <si>
    <t>Computer - Integrated Systems</t>
  </si>
  <si>
    <t>Computer - Mini computers</t>
  </si>
  <si>
    <t>Computer - Software</t>
  </si>
  <si>
    <t>Computer- Storage Devices</t>
  </si>
  <si>
    <t>Computers - IT Services</t>
  </si>
  <si>
    <t>Consulting Services</t>
  </si>
  <si>
    <t>Consumer Products - Staples</t>
  </si>
  <si>
    <t>Containers - Paper and Packaging</t>
  </si>
  <si>
    <t>DOV</t>
  </si>
  <si>
    <t>Diversified Communication Services</t>
  </si>
  <si>
    <t>Construction</t>
  </si>
  <si>
    <t>Electronics - Miscellaneous Components</t>
  </si>
  <si>
    <t>Electronics - Parts Distribution</t>
  </si>
  <si>
    <t>Electronics - Semiconductors</t>
  </si>
  <si>
    <t>Electronics - Testing Equipment</t>
  </si>
  <si>
    <t>Engineering - R and D Services</t>
  </si>
  <si>
    <t>Consumer Discretionary</t>
  </si>
  <si>
    <t>Film and Television Production and Distribution</t>
  </si>
  <si>
    <t>Financial - Consumer Loans</t>
  </si>
  <si>
    <t>GGG</t>
  </si>
  <si>
    <t>Financial - Investment Management</t>
  </si>
  <si>
    <t>Financial - Miscellaneous Services</t>
  </si>
  <si>
    <t>Financial - SBIC &amp; Commercial Industry</t>
  </si>
  <si>
    <t>Financial Transaction Services</t>
  </si>
  <si>
    <t>Consumer Staples</t>
  </si>
  <si>
    <t>Food - Miscellaneous</t>
  </si>
  <si>
    <t>Furniture</t>
  </si>
  <si>
    <t>Gaming</t>
  </si>
  <si>
    <t>IEX</t>
  </si>
  <si>
    <t>Government Services</t>
  </si>
  <si>
    <t>Hotels and Motels</t>
  </si>
  <si>
    <t>Household Appliances</t>
  </si>
  <si>
    <t>Industrial Services</t>
  </si>
  <si>
    <t>Finance</t>
  </si>
  <si>
    <t>Industry</t>
  </si>
  <si>
    <t>Instruments - Control</t>
  </si>
  <si>
    <t>Instruments - Scientific</t>
  </si>
  <si>
    <t>Insurance - Accident and Health</t>
  </si>
  <si>
    <t>IR</t>
  </si>
  <si>
    <t>Insurance - Brokerage</t>
  </si>
  <si>
    <t>Insurance - Life Insurance</t>
  </si>
  <si>
    <t>ITW</t>
  </si>
  <si>
    <t>Insurance - Multi line</t>
  </si>
  <si>
    <t>Insurance - Property and Casualty</t>
  </si>
  <si>
    <t>Internet - Commerce</t>
  </si>
  <si>
    <t>Internet - Content</t>
  </si>
  <si>
    <t>Internet - Services</t>
  </si>
  <si>
    <t>Internet - Software</t>
  </si>
  <si>
    <t>Internet - Software and Services</t>
  </si>
  <si>
    <t>Large Cap Pharmaceuticals</t>
  </si>
  <si>
    <t>Leisure and Recreation Products</t>
  </si>
  <si>
    <t>Manufacturing - Electronics</t>
  </si>
  <si>
    <t>Manufacturing - Farm Equipment</t>
  </si>
  <si>
    <t xml:space="preserve">Manufacturing - General Industrial </t>
  </si>
  <si>
    <t>Manufacturing - Thermal Products</t>
  </si>
  <si>
    <t>Medical - Biomedical and Genetics</t>
  </si>
  <si>
    <t>Medical - Dental Supplies</t>
  </si>
  <si>
    <t>Medical - Drugs</t>
  </si>
  <si>
    <t>Medical - Generic Drugs</t>
  </si>
  <si>
    <t>Medical - HMOs</t>
  </si>
  <si>
    <t>Medical - Hospital</t>
  </si>
  <si>
    <t>Medical - Instruments</t>
  </si>
  <si>
    <t>Medical - Outpatient and Home Healthcare</t>
  </si>
  <si>
    <t>Medical - Products</t>
  </si>
  <si>
    <t>Medical Info Systems</t>
  </si>
  <si>
    <t>Medical Services</t>
  </si>
  <si>
    <t>Mining - Gold</t>
  </si>
  <si>
    <t>Mining - Miscellaneous</t>
  </si>
  <si>
    <t>Mining - Non Ferrous</t>
  </si>
  <si>
    <t>Oil and Gas - Drilling</t>
  </si>
  <si>
    <t>Oil and Gas - Exploration and Production - United States</t>
  </si>
  <si>
    <t>Industrial Products</t>
  </si>
  <si>
    <t>PH</t>
  </si>
  <si>
    <t>PNR</t>
  </si>
  <si>
    <t>Oil and Gas - Integrated - International</t>
  </si>
  <si>
    <t>Oil and Gas - Integrated - United States</t>
  </si>
  <si>
    <t>Oil and Gas - Production and Pipelines</t>
  </si>
  <si>
    <t>Oil and Gas - Refining and Marketing</t>
  </si>
  <si>
    <t>Medical</t>
  </si>
  <si>
    <t>Oil and Gas - Refining and Marketing - Master Limited Partnerships</t>
  </si>
  <si>
    <t>Outsourcing</t>
  </si>
  <si>
    <t>Paper and Related Products</t>
  </si>
  <si>
    <t>ROP</t>
  </si>
  <si>
    <t>Real Estate - Operations</t>
  </si>
  <si>
    <t>REIT and Equity Trust</t>
  </si>
  <si>
    <t>REIT and Equity Trust - Other</t>
  </si>
  <si>
    <t>REIT and Equity Trust - Residential</t>
  </si>
  <si>
    <t>REIT and Equity Trust - Retail</t>
  </si>
  <si>
    <t>Oils-Energy</t>
  </si>
  <si>
    <t>Retail - Apparel and Shoes</t>
  </si>
  <si>
    <t>Retail - Consumer Electronics</t>
  </si>
  <si>
    <t>Retail - Miscellaneous</t>
  </si>
  <si>
    <t>Retail - Pharmacies and Drug Stores</t>
  </si>
  <si>
    <t>Retail - Restaurants</t>
  </si>
  <si>
    <t>Retail - Supermarkets</t>
  </si>
  <si>
    <t>Schools</t>
  </si>
  <si>
    <t>Security and Safety Services</t>
  </si>
  <si>
    <t>Semiconductor - Analog and Mixed</t>
  </si>
  <si>
    <t>Semiconductor - Discretes</t>
  </si>
  <si>
    <t>Semiconductor Equipment - Wafer Fabrication</t>
  </si>
  <si>
    <t xml:space="preserve">Shoes and Retail Apparel </t>
  </si>
  <si>
    <t>Retail-Wholesale</t>
  </si>
  <si>
    <t>Steel - Producers</t>
  </si>
  <si>
    <t>Technology Services</t>
  </si>
  <si>
    <t>Toys - Games - Hobbies</t>
  </si>
  <si>
    <t>Transportation - Airline</t>
  </si>
  <si>
    <t>Sector</t>
  </si>
  <si>
    <t>Transportation</t>
  </si>
  <si>
    <t>Transportation - Equipment and Leasing</t>
  </si>
  <si>
    <t>Transportation - Rail</t>
  </si>
  <si>
    <t>Transportation - Services</t>
  </si>
  <si>
    <t>VLO</t>
  </si>
  <si>
    <t>Transportation - Shipping</t>
  </si>
  <si>
    <t>VMC</t>
  </si>
  <si>
    <t>VMW</t>
  </si>
  <si>
    <t>VOYA</t>
  </si>
  <si>
    <t>Utility - Electric Power</t>
  </si>
  <si>
    <t>VRSK</t>
  </si>
  <si>
    <t>VST</t>
  </si>
  <si>
    <t>VTR</t>
  </si>
  <si>
    <t>Utilities</t>
  </si>
  <si>
    <t>WAT</t>
  </si>
  <si>
    <t>WCN</t>
  </si>
  <si>
    <t>WDAY</t>
  </si>
  <si>
    <t>WDC</t>
  </si>
  <si>
    <t>WEC</t>
  </si>
  <si>
    <t>WEX</t>
  </si>
  <si>
    <t>WFC</t>
  </si>
  <si>
    <t>WHR</t>
  </si>
  <si>
    <t>WLK</t>
  </si>
  <si>
    <t>WM</t>
  </si>
  <si>
    <t>WMB</t>
  </si>
  <si>
    <t>WPC</t>
  </si>
  <si>
    <t>WRB</t>
  </si>
  <si>
    <t>Utility - Gas Distribution</t>
  </si>
  <si>
    <t>WRK</t>
  </si>
  <si>
    <t>WSO</t>
  </si>
  <si>
    <t>WST</t>
  </si>
  <si>
    <t>WU</t>
  </si>
  <si>
    <t>WWD</t>
  </si>
  <si>
    <t>Utility - Water Supply</t>
  </si>
  <si>
    <t>WYNN</t>
  </si>
  <si>
    <t>Waste Removal Services</t>
  </si>
  <si>
    <t>XEL</t>
  </si>
  <si>
    <t>XOM</t>
  </si>
  <si>
    <t>XPO</t>
  </si>
  <si>
    <t>XRAY</t>
  </si>
  <si>
    <t>Wireless National</t>
  </si>
  <si>
    <t xml:space="preserve">Wireless Non-US </t>
  </si>
  <si>
    <t>YUM</t>
  </si>
  <si>
    <t>YUMC</t>
  </si>
  <si>
    <t>ZBH</t>
  </si>
  <si>
    <t>ZBRA</t>
  </si>
  <si>
    <t>ZEN</t>
  </si>
  <si>
    <t>ZION</t>
  </si>
  <si>
    <t>ZTS</t>
  </si>
  <si>
    <t>EPS Growth F1</t>
  </si>
  <si>
    <t>EPS Growth F2</t>
  </si>
  <si>
    <t>PEG F1</t>
  </si>
  <si>
    <t>PEG F2</t>
  </si>
  <si>
    <t>Agriculture - Operations</t>
  </si>
  <si>
    <t>AMX</t>
  </si>
  <si>
    <t>Electronics - Connectors</t>
  </si>
  <si>
    <t>Office Supplies</t>
  </si>
  <si>
    <t>Solar</t>
  </si>
  <si>
    <t>YY</t>
  </si>
  <si>
    <t>VRSN</t>
  </si>
  <si>
    <t>VRTX</t>
  </si>
  <si>
    <t>Y</t>
  </si>
  <si>
    <t>5 Yr Historical Sales Growth</t>
  </si>
  <si>
    <t>Sales Growth F1</t>
  </si>
  <si>
    <t>BKNG</t>
  </si>
  <si>
    <t>WELL</t>
  </si>
  <si>
    <t>Aspen Technology, Inc.</t>
  </si>
  <si>
    <t>AZPN</t>
  </si>
  <si>
    <t>Consumer Services - Miscellaneous</t>
  </si>
  <si>
    <t>Alternative Energy - Other</t>
  </si>
  <si>
    <t>Security</t>
  </si>
  <si>
    <t>WPM</t>
  </si>
  <si>
    <t>AMED</t>
  </si>
  <si>
    <t>BHC</t>
  </si>
  <si>
    <t>Metal Products - Distribution</t>
  </si>
  <si>
    <t>Bunge Limited</t>
  </si>
  <si>
    <t>BG</t>
  </si>
  <si>
    <t>Agriculture - Products</t>
  </si>
  <si>
    <t>Fertilizers</t>
  </si>
  <si>
    <t>ZS</t>
  </si>
  <si>
    <t>Vornado Realty Trust</t>
  </si>
  <si>
    <t>VNO</t>
  </si>
  <si>
    <t>AVGO</t>
  </si>
  <si>
    <t>BCE</t>
  </si>
  <si>
    <t>NDSN</t>
  </si>
  <si>
    <t>BBD</t>
  </si>
  <si>
    <t>BILI</t>
  </si>
  <si>
    <t>VWAGY</t>
  </si>
  <si>
    <t>Current ROE (TTM)</t>
  </si>
  <si>
    <t>Abbott Laboratories</t>
  </si>
  <si>
    <t>ABT</t>
  </si>
  <si>
    <t>AGESY</t>
  </si>
  <si>
    <t>Air Liquide</t>
  </si>
  <si>
    <t>AIQUY</t>
  </si>
  <si>
    <t>AMADY</t>
  </si>
  <si>
    <t>AMD</t>
  </si>
  <si>
    <t>American Homes 4 Rent</t>
  </si>
  <si>
    <t>AMH</t>
  </si>
  <si>
    <t>ANPDF</t>
  </si>
  <si>
    <t>APD</t>
  </si>
  <si>
    <t>ARGX</t>
  </si>
  <si>
    <t>AXAHY</t>
  </si>
  <si>
    <t>BAESY</t>
  </si>
  <si>
    <t>BFAM</t>
  </si>
  <si>
    <t>VLEEY</t>
  </si>
  <si>
    <t>WAB</t>
  </si>
  <si>
    <t>WPP</t>
  </si>
  <si>
    <t>XYL</t>
  </si>
  <si>
    <t>ZURVY</t>
  </si>
  <si>
    <t>ATVI</t>
  </si>
  <si>
    <t>BASFY</t>
  </si>
  <si>
    <t>AKZOY</t>
  </si>
  <si>
    <t>AMKBY</t>
  </si>
  <si>
    <t>ARKAY</t>
  </si>
  <si>
    <t>ASND</t>
  </si>
  <si>
    <t>VOPKY</t>
  </si>
  <si>
    <t>VZ</t>
  </si>
  <si>
    <t>NYSE</t>
  </si>
  <si>
    <t>NSDQ</t>
  </si>
  <si>
    <t>OTC</t>
  </si>
  <si>
    <t>Real Estate - Development</t>
  </si>
  <si>
    <t>AYX</t>
  </si>
  <si>
    <t>AQN</t>
  </si>
  <si>
    <t>AU</t>
  </si>
  <si>
    <t>ROLL</t>
  </si>
  <si>
    <t>Publishing - Books</t>
  </si>
  <si>
    <t>VOD</t>
  </si>
  <si>
    <t>WJRYY</t>
  </si>
  <si>
    <t>BKNIY</t>
  </si>
  <si>
    <t>Steel - Pipe and Tube</t>
  </si>
  <si>
    <t>WMT</t>
  </si>
  <si>
    <t>ARCC</t>
  </si>
  <si>
    <t>AGNC</t>
  </si>
  <si>
    <t>AVAL</t>
  </si>
  <si>
    <t>WB</t>
  </si>
  <si>
    <t>AVVIY</t>
  </si>
  <si>
    <t>Process / TO DO LIST</t>
  </si>
  <si>
    <t>TO DO LIST</t>
  </si>
  <si>
    <t>Comments</t>
  </si>
  <si>
    <t>U.S. Database</t>
  </si>
  <si>
    <t>Follow Instructions from How to build US Database.pdf</t>
  </si>
  <si>
    <t>AMCR</t>
  </si>
  <si>
    <t>WBA</t>
  </si>
  <si>
    <t>ZG</t>
  </si>
  <si>
    <t>ZLNDY</t>
  </si>
  <si>
    <t>Market Cap (mil)</t>
  </si>
  <si>
    <t>Next EPS Report Date  (yyyymmdd)</t>
  </si>
  <si>
    <t>F(1) Consensus Sales Est. ($mil)</t>
  </si>
  <si>
    <t>AVLR</t>
  </si>
  <si>
    <t>AVTR</t>
  </si>
  <si>
    <t>Weichai Power Co.</t>
  </si>
  <si>
    <t>WEICY</t>
  </si>
  <si>
    <t>WTRG</t>
  </si>
  <si>
    <t>XP</t>
  </si>
  <si>
    <t>Yara International ASA</t>
  </si>
  <si>
    <t>YARIY</t>
  </si>
  <si>
    <t>ALPMY</t>
  </si>
  <si>
    <t>BJ</t>
  </si>
  <si>
    <t>ADT</t>
  </si>
  <si>
    <t>AER</t>
  </si>
  <si>
    <t>Financial - Leasing Companies</t>
  </si>
  <si>
    <t>ALK</t>
  </si>
  <si>
    <t>ARES</t>
  </si>
  <si>
    <t>ASH</t>
  </si>
  <si>
    <t>AUY</t>
  </si>
  <si>
    <t>FLS</t>
  </si>
  <si>
    <t>MIDD</t>
  </si>
  <si>
    <t>W</t>
  </si>
  <si>
    <t>WAL</t>
  </si>
  <si>
    <t>WEN</t>
  </si>
  <si>
    <t>WSM</t>
  </si>
  <si>
    <t>Retail - Home Furnishings</t>
  </si>
  <si>
    <t>ADC</t>
  </si>
  <si>
    <t>AMG</t>
  </si>
  <si>
    <t>AN</t>
  </si>
  <si>
    <t>Automotive - Retail and Whole Sales</t>
  </si>
  <si>
    <t>APA</t>
  </si>
  <si>
    <t>APPN</t>
  </si>
  <si>
    <t>ARWR</t>
  </si>
  <si>
    <t>BC</t>
  </si>
  <si>
    <t>CFX</t>
  </si>
  <si>
    <t>VLVLY</t>
  </si>
  <si>
    <t>VVV</t>
  </si>
  <si>
    <t>WES</t>
  </si>
  <si>
    <t>WH</t>
  </si>
  <si>
    <t>WMS</t>
  </si>
  <si>
    <t>WWE</t>
  </si>
  <si>
    <t>XNGSY</t>
  </si>
  <si>
    <t>APNHY</t>
  </si>
  <si>
    <t>ASGN</t>
  </si>
  <si>
    <t>BHVN</t>
  </si>
  <si>
    <t>BKGFY</t>
  </si>
  <si>
    <t>WIX</t>
  </si>
  <si>
    <t>YAHOY</t>
  </si>
  <si>
    <t>AL</t>
  </si>
  <si>
    <t>Communication - Infrastructure</t>
  </si>
  <si>
    <t>BILL</t>
  </si>
  <si>
    <t>BIOVF</t>
  </si>
  <si>
    <t>WNS</t>
  </si>
  <si>
    <t>WRTBY</t>
  </si>
  <si>
    <t>YETI</t>
  </si>
  <si>
    <t>BIO</t>
  </si>
  <si>
    <t>BKEAY</t>
  </si>
  <si>
    <t>BKI</t>
  </si>
  <si>
    <t>VRNT</t>
  </si>
  <si>
    <t>WSC</t>
  </si>
  <si>
    <t>WTS</t>
  </si>
  <si>
    <t>ACHC</t>
  </si>
  <si>
    <t>AIRYY</t>
  </si>
  <si>
    <t>ALRM</t>
  </si>
  <si>
    <t>ALTR</t>
  </si>
  <si>
    <t>AY</t>
  </si>
  <si>
    <t>AZEK</t>
  </si>
  <si>
    <t>BAK</t>
  </si>
  <si>
    <t>GTLS</t>
  </si>
  <si>
    <t>Valley National Bancorp</t>
  </si>
  <si>
    <t>VLY</t>
  </si>
  <si>
    <t>VMI</t>
  </si>
  <si>
    <t>VONOY</t>
  </si>
  <si>
    <t>WILYY</t>
  </si>
  <si>
    <t>WK</t>
  </si>
  <si>
    <t>WMG</t>
  </si>
  <si>
    <t>YASKY</t>
  </si>
  <si>
    <t>ZM</t>
  </si>
  <si>
    <t>AA</t>
  </si>
  <si>
    <t>AB</t>
  </si>
  <si>
    <t>ADNT</t>
  </si>
  <si>
    <t>AIMC</t>
  </si>
  <si>
    <t>AIT</t>
  </si>
  <si>
    <t>Arthur J. Gallagher &amp; Co.</t>
  </si>
  <si>
    <t>ALE</t>
  </si>
  <si>
    <t>AM</t>
  </si>
  <si>
    <t>AMN</t>
  </si>
  <si>
    <t>APLS</t>
  </si>
  <si>
    <t>APPF</t>
  </si>
  <si>
    <t>AVNT</t>
  </si>
  <si>
    <t>AVT</t>
  </si>
  <si>
    <t>AWI</t>
  </si>
  <si>
    <t>BB</t>
  </si>
  <si>
    <t>BEN</t>
  </si>
  <si>
    <t>BHF</t>
  </si>
  <si>
    <t>VTRS</t>
  </si>
  <si>
    <t>WBS</t>
  </si>
  <si>
    <t>WCC</t>
  </si>
  <si>
    <t>Wells Fargo &amp; Company</t>
  </si>
  <si>
    <t>WTFC</t>
  </si>
  <si>
    <t>WWNTY</t>
  </si>
  <si>
    <t>X</t>
  </si>
  <si>
    <t>Ameris Bancorp</t>
  </si>
  <si>
    <t>ABCB</t>
  </si>
  <si>
    <t>ABG</t>
  </si>
  <si>
    <t>ABNB</t>
  </si>
  <si>
    <t>AHEXY</t>
  </si>
  <si>
    <t>AIRC</t>
  </si>
  <si>
    <t>AJRD</t>
  </si>
  <si>
    <t>AMBA</t>
  </si>
  <si>
    <t>Aperam</t>
  </si>
  <si>
    <t>APEMY</t>
  </si>
  <si>
    <t>Associated BancCorp</t>
  </si>
  <si>
    <t>ASB</t>
  </si>
  <si>
    <t>Auto Trader Group</t>
  </si>
  <si>
    <t>ATDRY</t>
  </si>
  <si>
    <t>BEKE</t>
  </si>
  <si>
    <t>BF.B</t>
  </si>
  <si>
    <t>BK</t>
  </si>
  <si>
    <t>VNT</t>
  </si>
  <si>
    <t>VRT</t>
  </si>
  <si>
    <t>WEGRY</t>
  </si>
  <si>
    <t>Wipro Limited</t>
  </si>
  <si>
    <t>WIT</t>
  </si>
  <si>
    <t>XPEV</t>
  </si>
  <si>
    <t>ZI</t>
  </si>
  <si>
    <t>ASX</t>
  </si>
  <si>
    <t>ATLKY</t>
  </si>
  <si>
    <t>BCPC</t>
  </si>
  <si>
    <t>BIP</t>
  </si>
  <si>
    <t>BIPC</t>
  </si>
  <si>
    <t>VWDRY</t>
  </si>
  <si>
    <t>WTKWY</t>
  </si>
  <si>
    <t>WY</t>
  </si>
  <si>
    <t>ABCM</t>
  </si>
  <si>
    <t>ACI</t>
  </si>
  <si>
    <t>Financial - Investment Funds</t>
  </si>
  <si>
    <t>ALGM</t>
  </si>
  <si>
    <t>Manufacturing - Tools &amp; Related Products</t>
  </si>
  <si>
    <t>Electronics - Miscellaneous Products</t>
  </si>
  <si>
    <t>ASAN</t>
  </si>
  <si>
    <t xml:space="preserve">Semiconductor - Communications </t>
  </si>
  <si>
    <t>Building Products - Heavy Construction</t>
  </si>
  <si>
    <t>Commercial Printing</t>
  </si>
  <si>
    <t>Electronics - Manufacturing Machinery</t>
  </si>
  <si>
    <t>BKR</t>
  </si>
  <si>
    <t>Oil and Gas - Field Services</t>
  </si>
  <si>
    <t>BKU</t>
  </si>
  <si>
    <t>BL</t>
  </si>
  <si>
    <t>BLD</t>
  </si>
  <si>
    <t>BLDR</t>
  </si>
  <si>
    <t>Building Products - Retail</t>
  </si>
  <si>
    <t>BLK</t>
  </si>
  <si>
    <t>BLKB</t>
  </si>
  <si>
    <t>Ball Corporation</t>
  </si>
  <si>
    <t>Containers - Metal and Glass</t>
  </si>
  <si>
    <t>BLWYY</t>
  </si>
  <si>
    <t>Bank Of Montreal</t>
  </si>
  <si>
    <t>BMO</t>
  </si>
  <si>
    <t>BMRN</t>
  </si>
  <si>
    <t>BMRRY</t>
  </si>
  <si>
    <t>Consumer Products - Discretionary</t>
  </si>
  <si>
    <t>BMXMF</t>
  </si>
  <si>
    <t>BMY</t>
  </si>
  <si>
    <t>BNPQY</t>
  </si>
  <si>
    <t>BNS</t>
  </si>
  <si>
    <t>BNTGY</t>
  </si>
  <si>
    <t>BNTX</t>
  </si>
  <si>
    <t>BOH</t>
  </si>
  <si>
    <t>BOKF</t>
  </si>
  <si>
    <t>Banks - Southwest</t>
  </si>
  <si>
    <t>BP</t>
  </si>
  <si>
    <t>BPMC</t>
  </si>
  <si>
    <t>BPOP</t>
  </si>
  <si>
    <t>BR</t>
  </si>
  <si>
    <t>BRDCY</t>
  </si>
  <si>
    <t>Rubber - Tires</t>
  </si>
  <si>
    <t>BRK.B</t>
  </si>
  <si>
    <t>BRKR</t>
  </si>
  <si>
    <t>BRO</t>
  </si>
  <si>
    <t>BRTHY</t>
  </si>
  <si>
    <t>BRX</t>
  </si>
  <si>
    <t>BSX</t>
  </si>
  <si>
    <t>BSY</t>
  </si>
  <si>
    <t>BTDPY</t>
  </si>
  <si>
    <t>B2Gold Corp</t>
  </si>
  <si>
    <t>BTG</t>
  </si>
  <si>
    <t>AMEX</t>
  </si>
  <si>
    <t>BTI</t>
  </si>
  <si>
    <t>Tobacco</t>
  </si>
  <si>
    <t>BTLCY</t>
  </si>
  <si>
    <t>BUD</t>
  </si>
  <si>
    <t>BURBY</t>
  </si>
  <si>
    <t>BURL</t>
  </si>
  <si>
    <t>Retail - Discount Stores</t>
  </si>
  <si>
    <t>BWA</t>
  </si>
  <si>
    <t>BWXT</t>
  </si>
  <si>
    <t>BX</t>
  </si>
  <si>
    <t>BXBLY</t>
  </si>
  <si>
    <t>BXMT</t>
  </si>
  <si>
    <t>BXP</t>
  </si>
  <si>
    <t>BYD</t>
  </si>
  <si>
    <t>BYDDY</t>
  </si>
  <si>
    <t>Auction and Valuation Services</t>
  </si>
  <si>
    <t>Food - Meat Products</t>
  </si>
  <si>
    <t>BZLFY</t>
  </si>
  <si>
    <t>Conglomerates</t>
  </si>
  <si>
    <t>Diversified Operations</t>
  </si>
  <si>
    <t>C</t>
  </si>
  <si>
    <t>CABO</t>
  </si>
  <si>
    <t>Cable Television</t>
  </si>
  <si>
    <t>CACC</t>
  </si>
  <si>
    <t>CACI</t>
  </si>
  <si>
    <t>Computer - Services</t>
  </si>
  <si>
    <t>CAE</t>
  </si>
  <si>
    <t>CAG</t>
  </si>
  <si>
    <t>CAH</t>
  </si>
  <si>
    <t>Office Automation and Equipment</t>
  </si>
  <si>
    <t>Automotive - Replacement Parts</t>
  </si>
  <si>
    <t>CARR</t>
  </si>
  <si>
    <t>CASY</t>
  </si>
  <si>
    <t>Retail - Convenience Stores</t>
  </si>
  <si>
    <t>CAT</t>
  </si>
  <si>
    <t>Manufacturing - Construction and Mining</t>
  </si>
  <si>
    <t>Chubb Limited</t>
  </si>
  <si>
    <t>CB</t>
  </si>
  <si>
    <t>CBOE</t>
  </si>
  <si>
    <t>Securities and Exchanges</t>
  </si>
  <si>
    <t>CBRE</t>
  </si>
  <si>
    <t>CBSH</t>
  </si>
  <si>
    <t>CBU</t>
  </si>
  <si>
    <t>CC</t>
  </si>
  <si>
    <t>Beverages - Soft drinks</t>
  </si>
  <si>
    <t>CCHGY</t>
  </si>
  <si>
    <t>CCI</t>
  </si>
  <si>
    <t>CCJ</t>
  </si>
  <si>
    <t>CCK</t>
  </si>
  <si>
    <t>CCL</t>
  </si>
  <si>
    <t>Leisure and Recreation Services</t>
  </si>
  <si>
    <t>CCMP</t>
  </si>
  <si>
    <t>CCOEY</t>
  </si>
  <si>
    <t>CDAY</t>
  </si>
  <si>
    <t>CDEVY</t>
  </si>
  <si>
    <t>CDK</t>
  </si>
  <si>
    <t>CDNS</t>
  </si>
  <si>
    <t>CDW</t>
  </si>
  <si>
    <t>CE</t>
  </si>
  <si>
    <t>CEA</t>
  </si>
  <si>
    <t>CELH</t>
  </si>
  <si>
    <t>Oil and Gas - Integrated - Emerging Markets</t>
  </si>
  <si>
    <t>CERN</t>
  </si>
  <si>
    <t>CERT</t>
  </si>
  <si>
    <t>CF</t>
  </si>
  <si>
    <t>CFG</t>
  </si>
  <si>
    <t>Financial - Savings and Loan</t>
  </si>
  <si>
    <t>CFR</t>
  </si>
  <si>
    <t>CG</t>
  </si>
  <si>
    <t>CGNX</t>
  </si>
  <si>
    <t>Wireline Non-US</t>
  </si>
  <si>
    <t>CHD</t>
  </si>
  <si>
    <t>Soap and Cleaning Materials</t>
  </si>
  <si>
    <t>CHDN</t>
  </si>
  <si>
    <t>CHE</t>
  </si>
  <si>
    <t>CHH</t>
  </si>
  <si>
    <t>CHKP</t>
  </si>
  <si>
    <t>CHNG</t>
  </si>
  <si>
    <t>CHRW</t>
  </si>
  <si>
    <t>CHTR</t>
  </si>
  <si>
    <t>CHWY</t>
  </si>
  <si>
    <t>CHX</t>
  </si>
  <si>
    <t>CI</t>
  </si>
  <si>
    <t>Food - Dairy Products</t>
  </si>
  <si>
    <t>CIEN</t>
  </si>
  <si>
    <t>Fiber Optics</t>
  </si>
  <si>
    <t>CIGI</t>
  </si>
  <si>
    <t>Retail - Jewelry</t>
  </si>
  <si>
    <t>Central Japan Railway Co.</t>
  </si>
  <si>
    <t>CJPRY</t>
  </si>
  <si>
    <t>CL</t>
  </si>
  <si>
    <t>CLF</t>
  </si>
  <si>
    <t>CLH</t>
  </si>
  <si>
    <t>CLR</t>
  </si>
  <si>
    <t>CLX</t>
  </si>
  <si>
    <t>Canadian Imperial Bank of Commerce</t>
  </si>
  <si>
    <t>CM</t>
  </si>
  <si>
    <t>CMA</t>
  </si>
  <si>
    <t>CMCSA</t>
  </si>
  <si>
    <t>CME</t>
  </si>
  <si>
    <t>CMG</t>
  </si>
  <si>
    <t>CMI</t>
  </si>
  <si>
    <t>CMPGY</t>
  </si>
  <si>
    <t>CMS</t>
  </si>
  <si>
    <t>CMWAY</t>
  </si>
  <si>
    <t>CNA</t>
  </si>
  <si>
    <t>CNC</t>
  </si>
  <si>
    <t>CNHI</t>
  </si>
  <si>
    <t>CNI</t>
  </si>
  <si>
    <t>CNMD</t>
  </si>
  <si>
    <t>CNP</t>
  </si>
  <si>
    <t>Canadian Natural Resources Limited</t>
  </si>
  <si>
    <t>CNQ</t>
  </si>
  <si>
    <t>Oil and Gas - Exploration and Production - Canadian</t>
  </si>
  <si>
    <t>CNS</t>
  </si>
  <si>
    <t>CNX</t>
  </si>
  <si>
    <t>CNXC</t>
  </si>
  <si>
    <t>COF</t>
  </si>
  <si>
    <t>COHR</t>
  </si>
  <si>
    <t>Semiconductor Equipment - Wafer Components</t>
  </si>
  <si>
    <t>COIHY</t>
  </si>
  <si>
    <t>COLD</t>
  </si>
  <si>
    <t>COLM</t>
  </si>
  <si>
    <t>Textile - Apparel</t>
  </si>
  <si>
    <t>COO</t>
  </si>
  <si>
    <t>ConocoPhillips</t>
  </si>
  <si>
    <t>COP</t>
  </si>
  <si>
    <t>COST</t>
  </si>
  <si>
    <t>COTY</t>
  </si>
  <si>
    <t>Cosmetics</t>
  </si>
  <si>
    <t>COUP</t>
  </si>
  <si>
    <t>COVTY</t>
  </si>
  <si>
    <t>Canadian Pacific Railway Limited</t>
  </si>
  <si>
    <t>CP</t>
  </si>
  <si>
    <t>CPB</t>
  </si>
  <si>
    <t>CPCAY</t>
  </si>
  <si>
    <t>CPRI</t>
  </si>
  <si>
    <t>CPRT</t>
  </si>
  <si>
    <t>Camden Property Trust</t>
  </si>
  <si>
    <t>CPT</t>
  </si>
  <si>
    <t>CPYYY</t>
  </si>
  <si>
    <t>CQP</t>
  </si>
  <si>
    <t>CR</t>
  </si>
  <si>
    <t>CRARY</t>
  </si>
  <si>
    <t>CRH</t>
  </si>
  <si>
    <t>CRI</t>
  </si>
  <si>
    <t>CRL</t>
  </si>
  <si>
    <t>CRM</t>
  </si>
  <si>
    <t>CROX</t>
  </si>
  <si>
    <t>CRPJY</t>
  </si>
  <si>
    <t>CRRFY</t>
  </si>
  <si>
    <t>CRSP</t>
  </si>
  <si>
    <t>CRUS</t>
  </si>
  <si>
    <t>CRWD</t>
  </si>
  <si>
    <t>CRZBY</t>
  </si>
  <si>
    <t>Credit Suisse Group</t>
  </si>
  <si>
    <t>CS</t>
  </si>
  <si>
    <t>CSCO</t>
  </si>
  <si>
    <t>Computer - Networking</t>
  </si>
  <si>
    <t>CSGP</t>
  </si>
  <si>
    <t>CSL</t>
  </si>
  <si>
    <t>CSLLY</t>
  </si>
  <si>
    <t>CSX</t>
  </si>
  <si>
    <t>CTAS</t>
  </si>
  <si>
    <t>Uniform and Related</t>
  </si>
  <si>
    <t>CTLT</t>
  </si>
  <si>
    <t>CTRYY</t>
  </si>
  <si>
    <t>CTSH</t>
  </si>
  <si>
    <t>CTTAY</t>
  </si>
  <si>
    <t>CTVA</t>
  </si>
  <si>
    <t>CTXS</t>
  </si>
  <si>
    <t>CubeSmart</t>
  </si>
  <si>
    <t>CUBE</t>
  </si>
  <si>
    <t>CUZ</t>
  </si>
  <si>
    <t>CVAC</t>
  </si>
  <si>
    <t>CVE</t>
  </si>
  <si>
    <t>Oil and Gas - Integrated - Canadian</t>
  </si>
  <si>
    <t>CVNA</t>
  </si>
  <si>
    <t>CVS</t>
  </si>
  <si>
    <t>CVX</t>
  </si>
  <si>
    <t>CW</t>
  </si>
  <si>
    <t>CWEN</t>
  </si>
  <si>
    <t>CWK</t>
  </si>
  <si>
    <t>CX</t>
  </si>
  <si>
    <t>CYBR</t>
  </si>
  <si>
    <t>CYGIY</t>
  </si>
  <si>
    <t>CZR</t>
  </si>
  <si>
    <t>D</t>
  </si>
  <si>
    <t>DAL</t>
  </si>
  <si>
    <t>Danone</t>
  </si>
  <si>
    <t>DANOY</t>
  </si>
  <si>
    <t>DAR</t>
  </si>
  <si>
    <t>DASH</t>
  </si>
  <si>
    <t>DASTY</t>
  </si>
  <si>
    <t>DAVA</t>
  </si>
  <si>
    <t>DBSDY</t>
  </si>
  <si>
    <t>DBX</t>
  </si>
  <si>
    <t>DCI</t>
  </si>
  <si>
    <t>Pollution Control</t>
  </si>
  <si>
    <t>DD</t>
  </si>
  <si>
    <t>DDOG</t>
  </si>
  <si>
    <t>Deere &amp; Company</t>
  </si>
  <si>
    <t>DE</t>
  </si>
  <si>
    <t>DECK</t>
  </si>
  <si>
    <t>DEI</t>
  </si>
  <si>
    <t>DELL</t>
  </si>
  <si>
    <t>DEN</t>
  </si>
  <si>
    <t>DEO</t>
  </si>
  <si>
    <t>Discover Financial Services</t>
  </si>
  <si>
    <t>DFS</t>
  </si>
  <si>
    <t>DG</t>
  </si>
  <si>
    <t>DGX</t>
  </si>
  <si>
    <t>DHI</t>
  </si>
  <si>
    <t>Building Products - Home Builders</t>
  </si>
  <si>
    <t>DHR</t>
  </si>
  <si>
    <t>DIOD</t>
  </si>
  <si>
    <t>DIS</t>
  </si>
  <si>
    <t>Media Conglomerates</t>
  </si>
  <si>
    <t>Broadcast Radio and Television</t>
  </si>
  <si>
    <t>DISH</t>
  </si>
  <si>
    <t>DKILY</t>
  </si>
  <si>
    <t>DKNG</t>
  </si>
  <si>
    <t>DKS</t>
  </si>
  <si>
    <t>DLAKY</t>
  </si>
  <si>
    <t>Dolby Laboratories</t>
  </si>
  <si>
    <t>DLB</t>
  </si>
  <si>
    <t>Audio Video Production</t>
  </si>
  <si>
    <t>DLR</t>
  </si>
  <si>
    <t>DLTR</t>
  </si>
  <si>
    <t>DNB</t>
  </si>
  <si>
    <t>DNFGY</t>
  </si>
  <si>
    <t>Textile - Home Furnishing</t>
  </si>
  <si>
    <t>Physicians Realty Trust</t>
  </si>
  <si>
    <t>DOC</t>
  </si>
  <si>
    <t>DOCU</t>
  </si>
  <si>
    <t>DOOO</t>
  </si>
  <si>
    <t>DORM</t>
  </si>
  <si>
    <t>DOW</t>
  </si>
  <si>
    <t>DOX</t>
  </si>
  <si>
    <t>DPSGY</t>
  </si>
  <si>
    <t>DPZ</t>
  </si>
  <si>
    <t>DQ</t>
  </si>
  <si>
    <t>DRE</t>
  </si>
  <si>
    <t>DRI</t>
  </si>
  <si>
    <t>DISCO CORP</t>
  </si>
  <si>
    <t>DSCSY</t>
  </si>
  <si>
    <t>Manufacturing - Material Handling</t>
  </si>
  <si>
    <t>DSDVY</t>
  </si>
  <si>
    <t>DSGX</t>
  </si>
  <si>
    <t>DT</t>
  </si>
  <si>
    <t>DTEGY</t>
  </si>
  <si>
    <t>DUK</t>
  </si>
  <si>
    <t>DVA</t>
  </si>
  <si>
    <t>DVN</t>
  </si>
  <si>
    <t>DXC</t>
  </si>
  <si>
    <t>DXCM</t>
  </si>
  <si>
    <t>EA</t>
  </si>
  <si>
    <t>Airbus Group</t>
  </si>
  <si>
    <t>EADSY</t>
  </si>
  <si>
    <t>EBAY</t>
  </si>
  <si>
    <t>EBC</t>
  </si>
  <si>
    <t>EBKDY</t>
  </si>
  <si>
    <t>EC</t>
  </si>
  <si>
    <t>ECL</t>
  </si>
  <si>
    <t>ED</t>
  </si>
  <si>
    <t>Energias de Portugal</t>
  </si>
  <si>
    <t>EDPFY</t>
  </si>
  <si>
    <t>EFX</t>
  </si>
  <si>
    <t>EGP</t>
  </si>
  <si>
    <t>EHC</t>
  </si>
  <si>
    <t>Edison International</t>
  </si>
  <si>
    <t>EIX</t>
  </si>
  <si>
    <t>EL</t>
  </si>
  <si>
    <t>ELAN</t>
  </si>
  <si>
    <t>ELS</t>
  </si>
  <si>
    <t>ELUXY</t>
  </si>
  <si>
    <t>EME</t>
  </si>
  <si>
    <t>EMN</t>
  </si>
  <si>
    <t>Emerson Electric Co.</t>
  </si>
  <si>
    <t>EMR</t>
  </si>
  <si>
    <t>ENB</t>
  </si>
  <si>
    <t>ENPH</t>
  </si>
  <si>
    <t>ENSG</t>
  </si>
  <si>
    <t>Medical - Nursing Homes</t>
  </si>
  <si>
    <t>ENTG</t>
  </si>
  <si>
    <t>ENV</t>
  </si>
  <si>
    <t>EOG</t>
  </si>
  <si>
    <t>EONGY</t>
  </si>
  <si>
    <t>EPAM</t>
  </si>
  <si>
    <t>EPD</t>
  </si>
  <si>
    <t>Oil and Gas - Production Pipeline - MLB</t>
  </si>
  <si>
    <t>Equity Commonwealth</t>
  </si>
  <si>
    <t>EQC</t>
  </si>
  <si>
    <t>EQH</t>
  </si>
  <si>
    <t>EQIX</t>
  </si>
  <si>
    <t>Equity Residential</t>
  </si>
  <si>
    <t>EQR</t>
  </si>
  <si>
    <t>EQT</t>
  </si>
  <si>
    <t>Wireless Equipment</t>
  </si>
  <si>
    <t>ERIE</t>
  </si>
  <si>
    <t>Eversource Energy</t>
  </si>
  <si>
    <t>ES</t>
  </si>
  <si>
    <t>ESI</t>
  </si>
  <si>
    <t>ESLOY</t>
  </si>
  <si>
    <t>ESNT</t>
  </si>
  <si>
    <t>Financial - Mortgage &amp; Related Services</t>
  </si>
  <si>
    <t>ESS</t>
  </si>
  <si>
    <t>ESTC</t>
  </si>
  <si>
    <t>ET</t>
  </si>
  <si>
    <t>ETN</t>
  </si>
  <si>
    <t>ETR</t>
  </si>
  <si>
    <t>ETRN</t>
  </si>
  <si>
    <t>ETSY</t>
  </si>
  <si>
    <t>EVR</t>
  </si>
  <si>
    <t>Financial - Investment Bank</t>
  </si>
  <si>
    <t>EVRG</t>
  </si>
  <si>
    <t>EW</t>
  </si>
  <si>
    <t>EWBC</t>
  </si>
  <si>
    <t>EXAS</t>
  </si>
  <si>
    <t>EXC</t>
  </si>
  <si>
    <t>EXEL</t>
  </si>
  <si>
    <t>EXP</t>
  </si>
  <si>
    <t>EXPD</t>
  </si>
  <si>
    <t>EXPE</t>
  </si>
  <si>
    <t>EXPGY</t>
  </si>
  <si>
    <t>EXPO</t>
  </si>
  <si>
    <t>EXR</t>
  </si>
  <si>
    <t>F</t>
  </si>
  <si>
    <t>FAF</t>
  </si>
  <si>
    <t>FANG</t>
  </si>
  <si>
    <t>FANUY</t>
  </si>
  <si>
    <t>Industrial Automation and Robotics</t>
  </si>
  <si>
    <t>FAST</t>
  </si>
  <si>
    <t>FB</t>
  </si>
  <si>
    <t>FBHS</t>
  </si>
  <si>
    <t>FCN</t>
  </si>
  <si>
    <t>FCX</t>
  </si>
  <si>
    <t>FDS</t>
  </si>
  <si>
    <t>FDX</t>
  </si>
  <si>
    <t>Transportation - Air Freight and Cargo</t>
  </si>
  <si>
    <t>FE</t>
  </si>
  <si>
    <t>FELE</t>
  </si>
  <si>
    <t>FFIN</t>
  </si>
  <si>
    <t>FFIV</t>
  </si>
  <si>
    <t>FHN</t>
  </si>
  <si>
    <t>FICO</t>
  </si>
  <si>
    <t>FIS</t>
  </si>
  <si>
    <t>FISV</t>
  </si>
  <si>
    <t>Fifth Third Bancorp</t>
  </si>
  <si>
    <t>FITB</t>
  </si>
  <si>
    <t>FIVE</t>
  </si>
  <si>
    <t>FIVN</t>
  </si>
  <si>
    <t>FIZZ</t>
  </si>
  <si>
    <t>FL</t>
  </si>
  <si>
    <t>FLEX</t>
  </si>
  <si>
    <t>FLO</t>
  </si>
  <si>
    <t>FLT</t>
  </si>
  <si>
    <t>FMC</t>
  </si>
  <si>
    <t>FMS</t>
  </si>
  <si>
    <t>Fabrinet</t>
  </si>
  <si>
    <t>FN</t>
  </si>
  <si>
    <t>FNB</t>
  </si>
  <si>
    <t>FND</t>
  </si>
  <si>
    <t>FNF</t>
  </si>
  <si>
    <t>FOUR</t>
  </si>
  <si>
    <t>FOXA</t>
  </si>
  <si>
    <t>FOXF</t>
  </si>
  <si>
    <t>FR</t>
  </si>
  <si>
    <t>First Republic Bank</t>
  </si>
  <si>
    <t>FRC</t>
  </si>
  <si>
    <t>Federal Realty Investment Trust</t>
  </si>
  <si>
    <t>FRT</t>
  </si>
  <si>
    <t>FSLR</t>
  </si>
  <si>
    <t>FSNUY</t>
  </si>
  <si>
    <t>FSUGY</t>
  </si>
  <si>
    <t>Mining - Iron</t>
  </si>
  <si>
    <t>FSV</t>
  </si>
  <si>
    <t>FTI</t>
  </si>
  <si>
    <t>FTNT</t>
  </si>
  <si>
    <t>FTS</t>
  </si>
  <si>
    <t>FTV</t>
  </si>
  <si>
    <t>FUJIY</t>
  </si>
  <si>
    <t>Semiconductor Equipment - Photomasks</t>
  </si>
  <si>
    <t>FUPBY</t>
  </si>
  <si>
    <t>FWONK</t>
  </si>
  <si>
    <t>G</t>
  </si>
  <si>
    <t>GATX</t>
  </si>
  <si>
    <t>GBCI</t>
  </si>
  <si>
    <t>GD</t>
  </si>
  <si>
    <t>GDDY</t>
  </si>
  <si>
    <t>Internet - Delivery Services</t>
  </si>
  <si>
    <t>GDRX</t>
  </si>
  <si>
    <t>GDS</t>
  </si>
  <si>
    <t>GE</t>
  </si>
  <si>
    <t>GELYY</t>
  </si>
  <si>
    <t>Gold Fields Limited</t>
  </si>
  <si>
    <t>GFI</t>
  </si>
  <si>
    <t>GFL</t>
  </si>
  <si>
    <t>GH</t>
  </si>
  <si>
    <t>GIB</t>
  </si>
  <si>
    <t>GIL</t>
  </si>
  <si>
    <t>GILD</t>
  </si>
  <si>
    <t>GIS</t>
  </si>
  <si>
    <t>GL</t>
  </si>
  <si>
    <t>GLAPY</t>
  </si>
  <si>
    <t>GLNCY</t>
  </si>
  <si>
    <t>GLOB</t>
  </si>
  <si>
    <t>GLPEY</t>
  </si>
  <si>
    <t>GLPG</t>
  </si>
  <si>
    <t>GLPI</t>
  </si>
  <si>
    <t>GLW</t>
  </si>
  <si>
    <t>GM</t>
  </si>
  <si>
    <t>GMAB</t>
  </si>
  <si>
    <t>GMED</t>
  </si>
  <si>
    <t>GNNDY</t>
  </si>
  <si>
    <t>GNRC</t>
  </si>
  <si>
    <t>Electronics - Power Generation</t>
  </si>
  <si>
    <t>GNTX</t>
  </si>
  <si>
    <t>GO</t>
  </si>
  <si>
    <t>GOLD</t>
  </si>
  <si>
    <t>GOOG</t>
  </si>
  <si>
    <t>GOOGL</t>
  </si>
  <si>
    <t>GPC</t>
  </si>
  <si>
    <t>Graphic Packaging Holding Company</t>
  </si>
  <si>
    <t>GPK</t>
  </si>
  <si>
    <t>GPN</t>
  </si>
  <si>
    <t>GPS</t>
  </si>
  <si>
    <t>GRFS</t>
  </si>
  <si>
    <t>GRMN</t>
  </si>
  <si>
    <t>GRP.U</t>
  </si>
  <si>
    <t>GS</t>
  </si>
  <si>
    <t>GSK</t>
  </si>
  <si>
    <t>GWRE</t>
  </si>
  <si>
    <t>GWW</t>
  </si>
  <si>
    <t>H</t>
  </si>
  <si>
    <t>HAL</t>
  </si>
  <si>
    <t>HALO</t>
  </si>
  <si>
    <t>HAS</t>
  </si>
  <si>
    <t>HASI</t>
  </si>
  <si>
    <t>Staffing Firms</t>
  </si>
  <si>
    <t>HBAN</t>
  </si>
  <si>
    <t>HBI</t>
  </si>
  <si>
    <t>HCA</t>
  </si>
  <si>
    <t>HCMLY</t>
  </si>
  <si>
    <t>HD</t>
  </si>
  <si>
    <t>HDFC Bank Limited</t>
  </si>
  <si>
    <t>HDB</t>
  </si>
  <si>
    <t>HDELY</t>
  </si>
  <si>
    <t>HE</t>
  </si>
  <si>
    <t>HEI</t>
  </si>
  <si>
    <t>HELE</t>
  </si>
  <si>
    <t>HES</t>
  </si>
  <si>
    <t>HHC</t>
  </si>
  <si>
    <t>Funeral Services</t>
  </si>
  <si>
    <t>HIG</t>
  </si>
  <si>
    <t>HII</t>
  </si>
  <si>
    <t>HIW</t>
  </si>
  <si>
    <t>HLI</t>
  </si>
  <si>
    <t>HLMAF</t>
  </si>
  <si>
    <t>HLNE</t>
  </si>
  <si>
    <t>HLT</t>
  </si>
  <si>
    <t>HLUYY</t>
  </si>
  <si>
    <t>HNP</t>
  </si>
  <si>
    <t>HOCPY</t>
  </si>
  <si>
    <t>HOG</t>
  </si>
  <si>
    <t>HOLX</t>
  </si>
  <si>
    <t>HOMB</t>
  </si>
  <si>
    <t>HON</t>
  </si>
  <si>
    <t>HPE</t>
  </si>
  <si>
    <t>HPQ</t>
  </si>
  <si>
    <t>HQY</t>
  </si>
  <si>
    <t>HR</t>
  </si>
  <si>
    <t>HRB</t>
  </si>
  <si>
    <t>HRGLY</t>
  </si>
  <si>
    <t>HRL</t>
  </si>
  <si>
    <t>HSBC</t>
  </si>
  <si>
    <t>HSIC</t>
  </si>
  <si>
    <t>HST</t>
  </si>
  <si>
    <t>HSY</t>
  </si>
  <si>
    <t>Food - Confectionery</t>
  </si>
  <si>
    <t>HTA</t>
  </si>
  <si>
    <t>HITACHI CONSTR</t>
  </si>
  <si>
    <t>HTCMY</t>
  </si>
  <si>
    <t>HUBB</t>
  </si>
  <si>
    <t xml:space="preserve">Manufacturing - Electrical Utilities </t>
  </si>
  <si>
    <t>HUBS</t>
  </si>
  <si>
    <t>HUM</t>
  </si>
  <si>
    <t>HUN</t>
  </si>
  <si>
    <t>HWC</t>
  </si>
  <si>
    <t>HWDJY</t>
  </si>
  <si>
    <t>HWM</t>
  </si>
  <si>
    <t>HXL</t>
  </si>
  <si>
    <t>HZNP</t>
  </si>
  <si>
    <t>IAA</t>
  </si>
  <si>
    <t>IACInterActiveCorp</t>
  </si>
  <si>
    <t>IAC</t>
  </si>
  <si>
    <t>IART</t>
  </si>
  <si>
    <t>IBKR</t>
  </si>
  <si>
    <t>IBM</t>
  </si>
  <si>
    <t>IBN</t>
  </si>
  <si>
    <t>ICAGY</t>
  </si>
  <si>
    <t>ICE</t>
  </si>
  <si>
    <t>ICLR</t>
  </si>
  <si>
    <t>ICUI</t>
  </si>
  <si>
    <t>IDA</t>
  </si>
  <si>
    <t>IDXX</t>
  </si>
  <si>
    <t>IFF</t>
  </si>
  <si>
    <t>IFNNY</t>
  </si>
  <si>
    <t>Intercontinental Hotels Group</t>
  </si>
  <si>
    <t>IHG</t>
  </si>
  <si>
    <t>IIPR</t>
  </si>
  <si>
    <t>IIVI</t>
  </si>
  <si>
    <t>IKTSY</t>
  </si>
  <si>
    <t>ILMN</t>
  </si>
  <si>
    <t>IMIAY</t>
  </si>
  <si>
    <t>IMPUY</t>
  </si>
  <si>
    <t>INCY</t>
  </si>
  <si>
    <t>INFY</t>
  </si>
  <si>
    <t>ING</t>
  </si>
  <si>
    <t>INGR</t>
  </si>
  <si>
    <t>INSP</t>
  </si>
  <si>
    <t>INTC</t>
  </si>
  <si>
    <t>Semiconductor - General</t>
  </si>
  <si>
    <t>INTU</t>
  </si>
  <si>
    <t>INVH</t>
  </si>
  <si>
    <t>IONS</t>
  </si>
  <si>
    <t>IP</t>
  </si>
  <si>
    <t>IPG</t>
  </si>
  <si>
    <t>IPGP</t>
  </si>
  <si>
    <t>Lasers Systems and Components</t>
  </si>
  <si>
    <t>IQ</t>
  </si>
  <si>
    <t>IQV</t>
  </si>
  <si>
    <t>IRDM</t>
  </si>
  <si>
    <t>Satellite and Communication</t>
  </si>
  <si>
    <t>IRM</t>
  </si>
  <si>
    <t>ISNPY</t>
  </si>
  <si>
    <t>ISRG</t>
  </si>
  <si>
    <t>IT</t>
  </si>
  <si>
    <t>ITT</t>
  </si>
  <si>
    <t>ITUB</t>
  </si>
  <si>
    <t>IVZ</t>
  </si>
  <si>
    <t>Orix Corp Ads</t>
  </si>
  <si>
    <t>IX</t>
  </si>
  <si>
    <t>J</t>
  </si>
  <si>
    <t>JAMF</t>
  </si>
  <si>
    <t>JAZZ</t>
  </si>
  <si>
    <t>JBG SMITH Properties</t>
  </si>
  <si>
    <t>JBGS</t>
  </si>
  <si>
    <t>JBHT</t>
  </si>
  <si>
    <t>Transportation - Truck</t>
  </si>
  <si>
    <t>JBL</t>
  </si>
  <si>
    <t>Electronics - Manufacturing Services</t>
  </si>
  <si>
    <t>JBLU</t>
  </si>
  <si>
    <t>JBT</t>
  </si>
  <si>
    <t>JCI</t>
  </si>
  <si>
    <t>JD</t>
  </si>
  <si>
    <t>JEF</t>
  </si>
  <si>
    <t>JHG</t>
  </si>
  <si>
    <t>JHX</t>
  </si>
  <si>
    <t>JKHY</t>
  </si>
  <si>
    <t>Electronics - Miscellaneous Services</t>
  </si>
  <si>
    <t>JLL</t>
  </si>
  <si>
    <t>Johnson &amp; Johnson</t>
  </si>
  <si>
    <t>JNJ</t>
  </si>
  <si>
    <t>JNPR</t>
  </si>
  <si>
    <t>JPMorgan Chase &amp; Co.</t>
  </si>
  <si>
    <t>JPM</t>
  </si>
  <si>
    <t>JSAIY</t>
  </si>
  <si>
    <t>JSCPY</t>
  </si>
  <si>
    <t>JWN</t>
  </si>
  <si>
    <t>K</t>
  </si>
  <si>
    <t>KBCSY</t>
  </si>
  <si>
    <t>KB Home</t>
  </si>
  <si>
    <t>KBH</t>
  </si>
  <si>
    <t>KBR</t>
  </si>
  <si>
    <t>KDDIY</t>
  </si>
  <si>
    <t>KDP</t>
  </si>
  <si>
    <t>KEX</t>
  </si>
  <si>
    <t>KEYS</t>
  </si>
  <si>
    <t>Electronics - Measuring Instruments</t>
  </si>
  <si>
    <t>KGC</t>
  </si>
  <si>
    <t>KGFHY</t>
  </si>
  <si>
    <t>KHC</t>
  </si>
  <si>
    <t>KIGRY</t>
  </si>
  <si>
    <t>KIM</t>
  </si>
  <si>
    <t>KKR</t>
  </si>
  <si>
    <t>KLAC</t>
  </si>
  <si>
    <t>KMB</t>
  </si>
  <si>
    <t>KMPR</t>
  </si>
  <si>
    <t>KMTUY</t>
  </si>
  <si>
    <t>KMX</t>
  </si>
  <si>
    <t>KNBWY</t>
  </si>
  <si>
    <t>KNSL</t>
  </si>
  <si>
    <t>KNX</t>
  </si>
  <si>
    <t>KO</t>
  </si>
  <si>
    <t>The Kroger Co.</t>
  </si>
  <si>
    <t>KR</t>
  </si>
  <si>
    <t>KRC</t>
  </si>
  <si>
    <t>KRYAY</t>
  </si>
  <si>
    <t>KSS</t>
  </si>
  <si>
    <t>Retail - Regional Department Stores</t>
  </si>
  <si>
    <t>KUBTY</t>
  </si>
  <si>
    <t>KWHIY</t>
  </si>
  <si>
    <t>LAD</t>
  </si>
  <si>
    <t>LANC</t>
  </si>
  <si>
    <t>LAZR</t>
  </si>
  <si>
    <t>LBRDK</t>
  </si>
  <si>
    <t>LBTYA</t>
  </si>
  <si>
    <t>LDOS</t>
  </si>
  <si>
    <t>LEA</t>
  </si>
  <si>
    <t>LECO</t>
  </si>
  <si>
    <t>LEG</t>
  </si>
  <si>
    <t>LEGN</t>
  </si>
  <si>
    <t>LEN</t>
  </si>
  <si>
    <t>LESL</t>
  </si>
  <si>
    <t>Levi Strauss &amp; Co.</t>
  </si>
  <si>
    <t>LEVI</t>
  </si>
  <si>
    <t>LFC</t>
  </si>
  <si>
    <t>LFUS</t>
  </si>
  <si>
    <t>LGGNY</t>
  </si>
  <si>
    <t>LH</t>
  </si>
  <si>
    <t>LHCG</t>
  </si>
  <si>
    <t>LHX</t>
  </si>
  <si>
    <t>LI</t>
  </si>
  <si>
    <t>LII</t>
  </si>
  <si>
    <t>LIN</t>
  </si>
  <si>
    <t>LITE</t>
  </si>
  <si>
    <t>LIVN</t>
  </si>
  <si>
    <t>LKQ</t>
  </si>
  <si>
    <t>LLY</t>
  </si>
  <si>
    <t>LMT</t>
  </si>
  <si>
    <t>LNC</t>
  </si>
  <si>
    <t>LNG</t>
  </si>
  <si>
    <t>LNT</t>
  </si>
  <si>
    <t>LNVGY</t>
  </si>
  <si>
    <t>Computer - Peripheral Equipment</t>
  </si>
  <si>
    <t>LOW</t>
  </si>
  <si>
    <t>LPL</t>
  </si>
  <si>
    <t>LPLA</t>
  </si>
  <si>
    <t>LPX</t>
  </si>
  <si>
    <t>LRCX</t>
  </si>
  <si>
    <t>LRLCY</t>
  </si>
  <si>
    <t>LSCC</t>
  </si>
  <si>
    <t>LSGOF</t>
  </si>
  <si>
    <t>LSI</t>
  </si>
  <si>
    <t>LSPD</t>
  </si>
  <si>
    <t>LSTR</t>
  </si>
  <si>
    <t>LSXMK</t>
  </si>
  <si>
    <t>LU</t>
  </si>
  <si>
    <t>LULU</t>
  </si>
  <si>
    <t>LUMN</t>
  </si>
  <si>
    <t>LUV</t>
  </si>
  <si>
    <t>LVMUY</t>
  </si>
  <si>
    <t>LVS</t>
  </si>
  <si>
    <t>LW</t>
  </si>
  <si>
    <t>LYB</t>
  </si>
  <si>
    <t>LYFT</t>
  </si>
  <si>
    <t>LYG</t>
  </si>
  <si>
    <t>LYV</t>
  </si>
  <si>
    <t>M</t>
  </si>
  <si>
    <t>MA</t>
  </si>
  <si>
    <t>MAA</t>
  </si>
  <si>
    <t>MAKSY</t>
  </si>
  <si>
    <t>MAN</t>
  </si>
  <si>
    <t>MANH</t>
  </si>
  <si>
    <t>MANT</t>
  </si>
  <si>
    <t>MAR</t>
  </si>
  <si>
    <t>MARUY</t>
  </si>
  <si>
    <t>MAS</t>
  </si>
  <si>
    <t>MASI</t>
  </si>
  <si>
    <t>MAT</t>
  </si>
  <si>
    <t>Moelis &amp; Company</t>
  </si>
  <si>
    <t>MC</t>
  </si>
  <si>
    <t>MCD</t>
  </si>
  <si>
    <t>MCHP</t>
  </si>
  <si>
    <t>MCK</t>
  </si>
  <si>
    <t>MCO</t>
  </si>
  <si>
    <t>MDB</t>
  </si>
  <si>
    <t>MDLZ</t>
  </si>
  <si>
    <t>MDT</t>
  </si>
  <si>
    <t>MDU</t>
  </si>
  <si>
    <t>MEDP</t>
  </si>
  <si>
    <t>MELI</t>
  </si>
  <si>
    <t>MET</t>
  </si>
  <si>
    <t>Manulife Financial Corp</t>
  </si>
  <si>
    <t>MFC</t>
  </si>
  <si>
    <t>MFG</t>
  </si>
  <si>
    <t>MGA</t>
  </si>
  <si>
    <t>Michelin</t>
  </si>
  <si>
    <t>MGDDY</t>
  </si>
  <si>
    <t>MGM Resorts International</t>
  </si>
  <si>
    <t>MGM</t>
  </si>
  <si>
    <t>MHK</t>
  </si>
  <si>
    <t>MHVYF</t>
  </si>
  <si>
    <t>Mitsubishi Estate Co.</t>
  </si>
  <si>
    <t>MITEY</t>
  </si>
  <si>
    <t>McCormick &amp; Company, Incorporated</t>
  </si>
  <si>
    <t>MKC</t>
  </si>
  <si>
    <t>MKL</t>
  </si>
  <si>
    <t>MKSI</t>
  </si>
  <si>
    <t>MKTAY</t>
  </si>
  <si>
    <t>Tools - Handheld</t>
  </si>
  <si>
    <t>MKTX</t>
  </si>
  <si>
    <t>MLM</t>
  </si>
  <si>
    <t>MMC</t>
  </si>
  <si>
    <t>MMM</t>
  </si>
  <si>
    <t>MMP</t>
  </si>
  <si>
    <t>MMS</t>
  </si>
  <si>
    <t>MNST</t>
  </si>
  <si>
    <t>MO</t>
  </si>
  <si>
    <t>MOH</t>
  </si>
  <si>
    <t>The Mosaic Company</t>
  </si>
  <si>
    <t>MOS</t>
  </si>
  <si>
    <t>MPC</t>
  </si>
  <si>
    <t>MPLX LP</t>
  </si>
  <si>
    <t>MPLX</t>
  </si>
  <si>
    <t>MPW</t>
  </si>
  <si>
    <t>MPWR</t>
  </si>
  <si>
    <t>MRAAY</t>
  </si>
  <si>
    <t>MRCY</t>
  </si>
  <si>
    <t>MRK</t>
  </si>
  <si>
    <t>MRNA</t>
  </si>
  <si>
    <t>MRO</t>
  </si>
  <si>
    <t>MRTX</t>
  </si>
  <si>
    <t>MRVI</t>
  </si>
  <si>
    <t>MRVL</t>
  </si>
  <si>
    <t>Food - Natural Foods Products</t>
  </si>
  <si>
    <t>Morgan Stanley</t>
  </si>
  <si>
    <t>MS</t>
  </si>
  <si>
    <t>MSA Safety Incorporporated</t>
  </si>
  <si>
    <t>MSA</t>
  </si>
  <si>
    <t>MSCI</t>
  </si>
  <si>
    <t>MSFT</t>
  </si>
  <si>
    <t>The Madison Square Garden Company</t>
  </si>
  <si>
    <t>MSGS</t>
  </si>
  <si>
    <t>MSI</t>
  </si>
  <si>
    <t>MSM</t>
  </si>
  <si>
    <t>MSP</t>
  </si>
  <si>
    <t>ArcelorMittal</t>
  </si>
  <si>
    <t>MT</t>
  </si>
  <si>
    <t>MTB</t>
  </si>
  <si>
    <t>MTCH</t>
  </si>
  <si>
    <t>MTD</t>
  </si>
  <si>
    <t>MTG</t>
  </si>
  <si>
    <t>MTH</t>
  </si>
  <si>
    <t>MTN</t>
  </si>
  <si>
    <t>MTSI</t>
  </si>
  <si>
    <t>MTZ</t>
  </si>
  <si>
    <t>MU</t>
  </si>
  <si>
    <t>Semiconductor Memory</t>
  </si>
  <si>
    <t>MUFG</t>
  </si>
  <si>
    <t>MUSA</t>
  </si>
  <si>
    <t>NARI</t>
  </si>
  <si>
    <t>NATI</t>
  </si>
  <si>
    <t>NBIX</t>
  </si>
  <si>
    <t>NCLH</t>
  </si>
  <si>
    <t>NCNO</t>
  </si>
  <si>
    <t>NCR</t>
  </si>
  <si>
    <t>NDAQ</t>
  </si>
  <si>
    <t>NDEKY</t>
  </si>
  <si>
    <t>NEE</t>
  </si>
  <si>
    <t>NEM</t>
  </si>
  <si>
    <t>NEP</t>
  </si>
  <si>
    <t>NET</t>
  </si>
  <si>
    <t>NEWR</t>
  </si>
  <si>
    <t>NFE</t>
  </si>
  <si>
    <t>National Fuel Gas Company</t>
  </si>
  <si>
    <t>NFG</t>
  </si>
  <si>
    <t>NFLX</t>
  </si>
  <si>
    <t>NGG</t>
  </si>
  <si>
    <t>NGLOY</t>
  </si>
  <si>
    <t>Norsk Hydro ASA</t>
  </si>
  <si>
    <t>NHYDY</t>
  </si>
  <si>
    <t>Metal Products - Procurement and Fabrication</t>
  </si>
  <si>
    <t>NI</t>
  </si>
  <si>
    <t>NICE</t>
  </si>
  <si>
    <t>NJDCY</t>
  </si>
  <si>
    <t>NJR</t>
  </si>
  <si>
    <t>NKE</t>
  </si>
  <si>
    <t>NLOK</t>
  </si>
  <si>
    <t>NLSN</t>
  </si>
  <si>
    <t>NLY</t>
  </si>
  <si>
    <t>NMR</t>
  </si>
  <si>
    <t>NNCHY</t>
  </si>
  <si>
    <t>National Retail Properties</t>
  </si>
  <si>
    <t>NNN</t>
  </si>
  <si>
    <t>NOC</t>
  </si>
  <si>
    <t>NOK</t>
  </si>
  <si>
    <t>Nomad Foods Limited</t>
  </si>
  <si>
    <t>NOMD</t>
  </si>
  <si>
    <t>NOV</t>
  </si>
  <si>
    <t>NOVT</t>
  </si>
  <si>
    <t>NOW</t>
  </si>
  <si>
    <t>Paints and Related Products</t>
  </si>
  <si>
    <t>NRILY</t>
  </si>
  <si>
    <t>NRZ</t>
  </si>
  <si>
    <t>NSC</t>
  </si>
  <si>
    <t>NSP</t>
  </si>
  <si>
    <t>NSRGY</t>
  </si>
  <si>
    <t>NTAP</t>
  </si>
  <si>
    <t>NTCO</t>
  </si>
  <si>
    <t>NTDOY</t>
  </si>
  <si>
    <t>NTLA</t>
  </si>
  <si>
    <t>NTNX</t>
  </si>
  <si>
    <t>NTR</t>
  </si>
  <si>
    <t>NTRA</t>
  </si>
  <si>
    <t>NTRS</t>
  </si>
  <si>
    <t>NUE</t>
  </si>
  <si>
    <t>NVAX</t>
  </si>
  <si>
    <t>NovoCure Limited</t>
  </si>
  <si>
    <t>NVCR</t>
  </si>
  <si>
    <t>NVDA</t>
  </si>
  <si>
    <t>NVR</t>
  </si>
  <si>
    <t>NVS</t>
  </si>
  <si>
    <t>NVST</t>
  </si>
  <si>
    <t>NVT</t>
  </si>
  <si>
    <t>NWL</t>
  </si>
  <si>
    <t>NXGPY</t>
  </si>
  <si>
    <t>NXPI</t>
  </si>
  <si>
    <t>NXST</t>
  </si>
  <si>
    <t>NYCB</t>
  </si>
  <si>
    <t>The New York Times Company</t>
  </si>
  <si>
    <t>NYT</t>
  </si>
  <si>
    <t>Publishing - Newspapers</t>
  </si>
  <si>
    <t>O</t>
  </si>
  <si>
    <t>OC</t>
  </si>
  <si>
    <t>OCDDY</t>
  </si>
  <si>
    <t>OCPNY</t>
  </si>
  <si>
    <t>ODFL</t>
  </si>
  <si>
    <t>OGE</t>
  </si>
  <si>
    <t>OGS</t>
  </si>
  <si>
    <t>OHI</t>
  </si>
  <si>
    <t>OKE</t>
  </si>
  <si>
    <t>OKTA</t>
  </si>
  <si>
    <t>OLCLY</t>
  </si>
  <si>
    <t>OLED</t>
  </si>
  <si>
    <t>OLN</t>
  </si>
  <si>
    <t>OMC</t>
  </si>
  <si>
    <t>OMCL</t>
  </si>
  <si>
    <t>OMF</t>
  </si>
  <si>
    <t>OMRNY</t>
  </si>
  <si>
    <t>ON</t>
  </si>
  <si>
    <t>OPCH</t>
  </si>
  <si>
    <t>ORA</t>
  </si>
  <si>
    <t>Orange</t>
  </si>
  <si>
    <t>ORAN</t>
  </si>
  <si>
    <t>ORCC</t>
  </si>
  <si>
    <t>ORCL</t>
  </si>
  <si>
    <t>ORI</t>
  </si>
  <si>
    <t>ORLY</t>
  </si>
  <si>
    <t>OROVY</t>
  </si>
  <si>
    <t>OSH</t>
  </si>
  <si>
    <t>OSK</t>
  </si>
  <si>
    <t>OTEX</t>
  </si>
  <si>
    <t>OTIS</t>
  </si>
  <si>
    <t>OVCHY</t>
  </si>
  <si>
    <t>OVV</t>
  </si>
  <si>
    <t>OXY</t>
  </si>
  <si>
    <t>Bank OZK</t>
  </si>
  <si>
    <t>OZK</t>
  </si>
  <si>
    <t>PAA</t>
  </si>
  <si>
    <t>PAAS</t>
  </si>
  <si>
    <t>Mining - Silver</t>
  </si>
  <si>
    <t>PAC</t>
  </si>
  <si>
    <t>PacWest Bancorp</t>
  </si>
  <si>
    <t>PACW</t>
  </si>
  <si>
    <t>PAG</t>
  </si>
  <si>
    <t>PAGS</t>
  </si>
  <si>
    <t>PANW</t>
  </si>
  <si>
    <t>PAYC</t>
  </si>
  <si>
    <t>PAYX</t>
  </si>
  <si>
    <t>PB</t>
  </si>
  <si>
    <t>PBA</t>
  </si>
  <si>
    <t>PBR</t>
  </si>
  <si>
    <t>PCAR</t>
  </si>
  <si>
    <t>PCG</t>
  </si>
  <si>
    <t>PCH</t>
  </si>
  <si>
    <t>PCTY</t>
  </si>
  <si>
    <t>PDYPY</t>
  </si>
  <si>
    <t>PEAK</t>
  </si>
  <si>
    <t>PEG</t>
  </si>
  <si>
    <t>PEGA</t>
  </si>
  <si>
    <t>PEN</t>
  </si>
  <si>
    <t>PENN</t>
  </si>
  <si>
    <t>PEP</t>
  </si>
  <si>
    <t>PFE</t>
  </si>
  <si>
    <t>PFG</t>
  </si>
  <si>
    <t>PFGC</t>
  </si>
  <si>
    <t>PG</t>
  </si>
  <si>
    <t>PGNY</t>
  </si>
  <si>
    <t>PGR</t>
  </si>
  <si>
    <t>PHG</t>
  </si>
  <si>
    <t>PHM</t>
  </si>
  <si>
    <t>PII</t>
  </si>
  <si>
    <t>PINC</t>
  </si>
  <si>
    <t>PINS</t>
  </si>
  <si>
    <t>PK</t>
  </si>
  <si>
    <t>Packaging Corporation of America</t>
  </si>
  <si>
    <t>PKG</t>
  </si>
  <si>
    <t>PKI</t>
  </si>
  <si>
    <t>PLAN</t>
  </si>
  <si>
    <t>PLD</t>
  </si>
  <si>
    <t>PLNT</t>
  </si>
  <si>
    <t>PLTR</t>
  </si>
  <si>
    <t>PLUG</t>
  </si>
  <si>
    <t>PM</t>
  </si>
  <si>
    <t>PNC</t>
  </si>
  <si>
    <t>PNFP</t>
  </si>
  <si>
    <t>PNM</t>
  </si>
  <si>
    <t>PNW</t>
  </si>
  <si>
    <t>PODD</t>
  </si>
  <si>
    <t>POOL</t>
  </si>
  <si>
    <t>POR</t>
  </si>
  <si>
    <t>POST</t>
  </si>
  <si>
    <t>POWI</t>
  </si>
  <si>
    <t>Semiconductors - Power</t>
  </si>
  <si>
    <t>PPBI</t>
  </si>
  <si>
    <t>PPC</t>
  </si>
  <si>
    <t>PPG</t>
  </si>
  <si>
    <t>PPRUY</t>
  </si>
  <si>
    <t>PRGO</t>
  </si>
  <si>
    <t>PRI</t>
  </si>
  <si>
    <t>PRU</t>
  </si>
  <si>
    <t>Public Storage</t>
  </si>
  <si>
    <t>PSA</t>
  </si>
  <si>
    <t>PSB</t>
  </si>
  <si>
    <t>PSMMY</t>
  </si>
  <si>
    <t>PSN</t>
  </si>
  <si>
    <t>PSTG</t>
  </si>
  <si>
    <t>Phillips 66</t>
  </si>
  <si>
    <t>PSX</t>
  </si>
  <si>
    <t>PTC</t>
  </si>
  <si>
    <t>PTON</t>
  </si>
  <si>
    <t>PUK</t>
  </si>
  <si>
    <t>PVH</t>
  </si>
  <si>
    <t>PWR</t>
  </si>
  <si>
    <t>PXD</t>
  </si>
  <si>
    <t>PYPL</t>
  </si>
  <si>
    <t>QCOM</t>
  </si>
  <si>
    <t>QDEL</t>
  </si>
  <si>
    <t>QLYS</t>
  </si>
  <si>
    <t>QRVO</t>
  </si>
  <si>
    <t>Semiconductors - Radio Frequency</t>
  </si>
  <si>
    <t>QSR</t>
  </si>
  <si>
    <t>R</t>
  </si>
  <si>
    <t>RACE</t>
  </si>
  <si>
    <t>RANJY</t>
  </si>
  <si>
    <t>RARE</t>
  </si>
  <si>
    <t>RBA</t>
  </si>
  <si>
    <t>RBGLY</t>
  </si>
  <si>
    <t>RCI</t>
  </si>
  <si>
    <t>RCL</t>
  </si>
  <si>
    <t>RDN</t>
  </si>
  <si>
    <t>RDSMY</t>
  </si>
  <si>
    <t>RDY</t>
  </si>
  <si>
    <t>RE</t>
  </si>
  <si>
    <t>REG</t>
  </si>
  <si>
    <t>REGN</t>
  </si>
  <si>
    <t>REMYY</t>
  </si>
  <si>
    <t>REPYY</t>
  </si>
  <si>
    <t>REXR</t>
  </si>
  <si>
    <t>REYN</t>
  </si>
  <si>
    <t>REZI</t>
  </si>
  <si>
    <t>RF</t>
  </si>
  <si>
    <t>RGA</t>
  </si>
  <si>
    <t>RGEN</t>
  </si>
  <si>
    <t>RGLD</t>
  </si>
  <si>
    <t>RH</t>
  </si>
  <si>
    <t>RHHBY</t>
  </si>
  <si>
    <t>RHI</t>
  </si>
  <si>
    <t>RHP</t>
  </si>
  <si>
    <t>RIO</t>
  </si>
  <si>
    <t>RJF</t>
  </si>
  <si>
    <t>RKT</t>
  </si>
  <si>
    <t>RL</t>
  </si>
  <si>
    <t>RLI</t>
  </si>
  <si>
    <t>RMD</t>
  </si>
  <si>
    <t>RNG</t>
  </si>
  <si>
    <t>RNR</t>
  </si>
  <si>
    <t>ROG</t>
  </si>
  <si>
    <t>ROK</t>
  </si>
  <si>
    <t>ROKU</t>
  </si>
  <si>
    <t>ROL</t>
  </si>
  <si>
    <t>Building Products - Maintenance Service</t>
  </si>
  <si>
    <t>ROST</t>
  </si>
  <si>
    <t>RPD</t>
  </si>
  <si>
    <t>RPM</t>
  </si>
  <si>
    <t>RPRX</t>
  </si>
  <si>
    <t>Reliance Steel &amp; Aluminum Co.</t>
  </si>
  <si>
    <t>RS</t>
  </si>
  <si>
    <t>RSG</t>
  </si>
  <si>
    <t>RTOKY</t>
  </si>
  <si>
    <t>RTX</t>
  </si>
  <si>
    <t>RUN</t>
  </si>
  <si>
    <t>Royal Bank Of Canada</t>
  </si>
  <si>
    <t>RY</t>
  </si>
  <si>
    <t>RYAAY</t>
  </si>
  <si>
    <t>RYN</t>
  </si>
  <si>
    <t>SAFRY</t>
  </si>
  <si>
    <t>SAIA</t>
  </si>
  <si>
    <t>SAIC</t>
  </si>
  <si>
    <t>SAM</t>
  </si>
  <si>
    <t>SAN</t>
  </si>
  <si>
    <t>SARTF</t>
  </si>
  <si>
    <t>SBAC</t>
  </si>
  <si>
    <t>SBGSY</t>
  </si>
  <si>
    <t>Signature Bank</t>
  </si>
  <si>
    <t>SBNY</t>
  </si>
  <si>
    <t>SBRA</t>
  </si>
  <si>
    <t>Sibanye Gold Limited</t>
  </si>
  <si>
    <t>SBSW</t>
  </si>
  <si>
    <t>SBUX</t>
  </si>
  <si>
    <t>SCBFF</t>
  </si>
  <si>
    <t>SCCO</t>
  </si>
  <si>
    <t>Societe Generale Group</t>
  </si>
  <si>
    <t>SCGLY</t>
  </si>
  <si>
    <t>SCHW</t>
  </si>
  <si>
    <t>SCHYY</t>
  </si>
  <si>
    <t>Service Corporation International</t>
  </si>
  <si>
    <t>SCI</t>
  </si>
  <si>
    <t>SDVKY</t>
  </si>
  <si>
    <t>SE</t>
  </si>
  <si>
    <t>SEDG</t>
  </si>
  <si>
    <t>SEE</t>
  </si>
  <si>
    <t>SEIC</t>
  </si>
  <si>
    <t>SEKEY</t>
  </si>
  <si>
    <t>SEM</t>
  </si>
  <si>
    <t>SEPJY</t>
  </si>
  <si>
    <t>SGEN</t>
  </si>
  <si>
    <t>SGPYY</t>
  </si>
  <si>
    <t>SGSOY</t>
  </si>
  <si>
    <t>SHC</t>
  </si>
  <si>
    <t>SHCAY</t>
  </si>
  <si>
    <t>ShinEtsu Chemical Co.</t>
  </si>
  <si>
    <t>SHECY</t>
  </si>
  <si>
    <t>SHLX</t>
  </si>
  <si>
    <t>SHOP</t>
  </si>
  <si>
    <t>SHW</t>
  </si>
  <si>
    <t>SIGI</t>
  </si>
  <si>
    <t>SIRI</t>
  </si>
  <si>
    <t>SITE</t>
  </si>
  <si>
    <t>SVB Financial Group</t>
  </si>
  <si>
    <t>SIVB</t>
  </si>
  <si>
    <t>SJM</t>
  </si>
  <si>
    <t>SJR</t>
  </si>
  <si>
    <t>AB SKF</t>
  </si>
  <si>
    <t>SKFRY</t>
  </si>
  <si>
    <t>SKM</t>
  </si>
  <si>
    <t>SKX</t>
  </si>
  <si>
    <t>SLAB</t>
  </si>
  <si>
    <t>SLB</t>
  </si>
  <si>
    <t>SLF</t>
  </si>
  <si>
    <t>SLFPY</t>
  </si>
  <si>
    <t>SLG</t>
  </si>
  <si>
    <t>SLGN</t>
  </si>
  <si>
    <t>SLM</t>
  </si>
  <si>
    <t>SMAR</t>
  </si>
  <si>
    <t>SMFG</t>
  </si>
  <si>
    <t>SMFKY</t>
  </si>
  <si>
    <t>SMG</t>
  </si>
  <si>
    <t>SMGZY</t>
  </si>
  <si>
    <t>SMTC</t>
  </si>
  <si>
    <t>SNA</t>
  </si>
  <si>
    <t>SNAP</t>
  </si>
  <si>
    <t>SNDR</t>
  </si>
  <si>
    <t>SNN</t>
  </si>
  <si>
    <t>SNOW</t>
  </si>
  <si>
    <t>SNP</t>
  </si>
  <si>
    <t>SNPS</t>
  </si>
  <si>
    <t>SNV</t>
  </si>
  <si>
    <t>SNX</t>
  </si>
  <si>
    <t>Sanofi</t>
  </si>
  <si>
    <t>SNY</t>
  </si>
  <si>
    <t>SO</t>
  </si>
  <si>
    <t>Secom Co.</t>
  </si>
  <si>
    <t>SOMLY</t>
  </si>
  <si>
    <t>SON</t>
  </si>
  <si>
    <t>SONOVA HOLDING</t>
  </si>
  <si>
    <t>SONVY</t>
  </si>
  <si>
    <t>SOUHY</t>
  </si>
  <si>
    <t>SPB</t>
  </si>
  <si>
    <t>SPG</t>
  </si>
  <si>
    <t>SPGI</t>
  </si>
  <si>
    <t>SPKKY</t>
  </si>
  <si>
    <t>SPLK</t>
  </si>
  <si>
    <t>SPOT</t>
  </si>
  <si>
    <t>SPR</t>
  </si>
  <si>
    <t>SPSC</t>
  </si>
  <si>
    <t>SQ</t>
  </si>
  <si>
    <t>SR</t>
  </si>
  <si>
    <t>SRC</t>
  </si>
  <si>
    <t>SRCL</t>
  </si>
  <si>
    <t>Sempra Energy</t>
  </si>
  <si>
    <t>SRE</t>
  </si>
  <si>
    <t>SRPT</t>
  </si>
  <si>
    <t>SSD</t>
  </si>
  <si>
    <t>SSEZY</t>
  </si>
  <si>
    <t>SSL</t>
  </si>
  <si>
    <t>SSNC</t>
  </si>
  <si>
    <t>SSREY</t>
  </si>
  <si>
    <t>SSRM</t>
  </si>
  <si>
    <t>SSUMY</t>
  </si>
  <si>
    <t>ST</t>
  </si>
  <si>
    <t>STAA</t>
  </si>
  <si>
    <t>STAG</t>
  </si>
  <si>
    <t>STE</t>
  </si>
  <si>
    <t>STLD</t>
  </si>
  <si>
    <t>STM</t>
  </si>
  <si>
    <t>STN</t>
  </si>
  <si>
    <t>STNE</t>
  </si>
  <si>
    <t>STOR</t>
  </si>
  <si>
    <t>STT</t>
  </si>
  <si>
    <t>STWD</t>
  </si>
  <si>
    <t>STX</t>
  </si>
  <si>
    <t>STZ</t>
  </si>
  <si>
    <t>SU</t>
  </si>
  <si>
    <t>SUHJY</t>
  </si>
  <si>
    <t>SUI</t>
  </si>
  <si>
    <t>SUN</t>
  </si>
  <si>
    <t>SUOPY</t>
  </si>
  <si>
    <t>SWAV</t>
  </si>
  <si>
    <t>SWCH</t>
  </si>
  <si>
    <t>SWK</t>
  </si>
  <si>
    <t>SWKS</t>
  </si>
  <si>
    <t>SWMAY</t>
  </si>
  <si>
    <t>SWRAY</t>
  </si>
  <si>
    <t>SWX</t>
  </si>
  <si>
    <t>SXT</t>
  </si>
  <si>
    <t>Synchrony Financial</t>
  </si>
  <si>
    <t>SYF</t>
  </si>
  <si>
    <t>SYIEY</t>
  </si>
  <si>
    <t>SYK</t>
  </si>
  <si>
    <t>SYNA</t>
  </si>
  <si>
    <t>SYNH</t>
  </si>
  <si>
    <t>SYY</t>
  </si>
  <si>
    <t>SZKMY</t>
  </si>
  <si>
    <t>T</t>
  </si>
  <si>
    <t>Takeda Pharmaceutical Co.</t>
  </si>
  <si>
    <t>TAK</t>
  </si>
  <si>
    <t>TAP</t>
  </si>
  <si>
    <t>TCEHY</t>
  </si>
  <si>
    <t>TD</t>
  </si>
  <si>
    <t>TDG</t>
  </si>
  <si>
    <t>TDOC</t>
  </si>
  <si>
    <t>TDY</t>
  </si>
  <si>
    <t>TEAM</t>
  </si>
  <si>
    <t>BioTechne Corp</t>
  </si>
  <si>
    <t>TECH</t>
  </si>
  <si>
    <t>TECK</t>
  </si>
  <si>
    <t>TEF</t>
  </si>
  <si>
    <t>TEL</t>
  </si>
  <si>
    <t>TENB</t>
  </si>
  <si>
    <t>TER</t>
  </si>
  <si>
    <t>TEVA</t>
  </si>
  <si>
    <t>TFC</t>
  </si>
  <si>
    <t>TFII</t>
  </si>
  <si>
    <t>TFSL</t>
  </si>
  <si>
    <t>TFX</t>
  </si>
  <si>
    <t>TGNA</t>
  </si>
  <si>
    <t>TGT</t>
  </si>
  <si>
    <t>THC</t>
  </si>
  <si>
    <t>THG</t>
  </si>
  <si>
    <t>THO</t>
  </si>
  <si>
    <t>Building Products - Mobile Homes and RV Builders</t>
  </si>
  <si>
    <t>TIMB</t>
  </si>
  <si>
    <t>TJX</t>
  </si>
  <si>
    <t>TKAGY</t>
  </si>
  <si>
    <t>TKOMY</t>
  </si>
  <si>
    <t>TKR</t>
  </si>
  <si>
    <t>TLSNY</t>
  </si>
  <si>
    <t>TM</t>
  </si>
  <si>
    <t>TMHC</t>
  </si>
  <si>
    <t>TMICY</t>
  </si>
  <si>
    <t>TMO</t>
  </si>
  <si>
    <t>TMUS</t>
  </si>
  <si>
    <t>TMX</t>
  </si>
  <si>
    <t>TNDM</t>
  </si>
  <si>
    <t>TNET</t>
  </si>
  <si>
    <t>TOL</t>
  </si>
  <si>
    <t>TOSCF</t>
  </si>
  <si>
    <t>TOSYY</t>
  </si>
  <si>
    <t>TPL</t>
  </si>
  <si>
    <t>TPR</t>
  </si>
  <si>
    <t>TPX</t>
  </si>
  <si>
    <t>TREX</t>
  </si>
  <si>
    <t>TRGP</t>
  </si>
  <si>
    <t>TRI</t>
  </si>
  <si>
    <t>TRIP</t>
  </si>
  <si>
    <t>TRMB</t>
  </si>
  <si>
    <t>TRNO</t>
  </si>
  <si>
    <t>TROW</t>
  </si>
  <si>
    <t>TRP</t>
  </si>
  <si>
    <t>TRTN</t>
  </si>
  <si>
    <t>TransUnion</t>
  </si>
  <si>
    <t>TRU</t>
  </si>
  <si>
    <t>TRV</t>
  </si>
  <si>
    <t>TRYIY</t>
  </si>
  <si>
    <t>Textile - Products</t>
  </si>
  <si>
    <t>TS</t>
  </si>
  <si>
    <t>TSCO</t>
  </si>
  <si>
    <t>Tsingtao Brewery Co.</t>
  </si>
  <si>
    <t>TSGTY</t>
  </si>
  <si>
    <t>TSLA</t>
  </si>
  <si>
    <t>TSN</t>
  </si>
  <si>
    <t>TT</t>
  </si>
  <si>
    <t>TTC</t>
  </si>
  <si>
    <t>TTD</t>
  </si>
  <si>
    <t>TTDKY</t>
  </si>
  <si>
    <t>TTEC</t>
  </si>
  <si>
    <t>TTEK</t>
  </si>
  <si>
    <t>TTWO</t>
  </si>
  <si>
    <t>TU</t>
  </si>
  <si>
    <t>TUIFY</t>
  </si>
  <si>
    <t>TV</t>
  </si>
  <si>
    <t>TW</t>
  </si>
  <si>
    <t>TWLO</t>
  </si>
  <si>
    <t>TWODY</t>
  </si>
  <si>
    <t>TWTR</t>
  </si>
  <si>
    <t>TX</t>
  </si>
  <si>
    <t>TXG</t>
  </si>
  <si>
    <t>TXN</t>
  </si>
  <si>
    <t>TXRH</t>
  </si>
  <si>
    <t>TXT</t>
  </si>
  <si>
    <t>TYL</t>
  </si>
  <si>
    <t>U</t>
  </si>
  <si>
    <t>UAA</t>
  </si>
  <si>
    <t>UAL</t>
  </si>
  <si>
    <t>UBER</t>
  </si>
  <si>
    <t>UBS</t>
  </si>
  <si>
    <t>UBSFY</t>
  </si>
  <si>
    <t>UDR</t>
  </si>
  <si>
    <t>UFPI</t>
  </si>
  <si>
    <t>UGI</t>
  </si>
  <si>
    <t>UGP</t>
  </si>
  <si>
    <t>UHS</t>
  </si>
  <si>
    <t>UI</t>
  </si>
  <si>
    <t>ULTA</t>
  </si>
  <si>
    <t>UMBF</t>
  </si>
  <si>
    <t>UMPQ</t>
  </si>
  <si>
    <t>UNF</t>
  </si>
  <si>
    <t>UNH</t>
  </si>
  <si>
    <t>UNICY</t>
  </si>
  <si>
    <t>Unum Group</t>
  </si>
  <si>
    <t>UNM</t>
  </si>
  <si>
    <t>UNP</t>
  </si>
  <si>
    <t>UNVR</t>
  </si>
  <si>
    <t>UPS</t>
  </si>
  <si>
    <t>UPST</t>
  </si>
  <si>
    <t>URI</t>
  </si>
  <si>
    <t>U.S. Bancorp</t>
  </si>
  <si>
    <t>USB</t>
  </si>
  <si>
    <t>USFD</t>
  </si>
  <si>
    <t>UTHR</t>
  </si>
  <si>
    <t>V</t>
  </si>
  <si>
    <t>VAC</t>
  </si>
  <si>
    <t>VALE</t>
  </si>
  <si>
    <t>VEEV</t>
  </si>
  <si>
    <t>V.F. Corporation</t>
  </si>
  <si>
    <t>VFC</t>
  </si>
  <si>
    <t>VG</t>
  </si>
  <si>
    <t>VIAV</t>
  </si>
  <si>
    <t>VICI</t>
  </si>
  <si>
    <t>VIPS</t>
  </si>
  <si>
    <t>VIR</t>
  </si>
  <si>
    <t>VIRT</t>
  </si>
  <si>
    <t>VIVHY</t>
  </si>
  <si>
    <t>ADRNY</t>
  </si>
  <si>
    <t>AFRM</t>
  </si>
  <si>
    <t>ALSMY</t>
  </si>
  <si>
    <t>ANIOY</t>
  </si>
  <si>
    <t>APG</t>
  </si>
  <si>
    <t>APLE</t>
  </si>
  <si>
    <t>ATASY</t>
  </si>
  <si>
    <t>ATC</t>
  </si>
  <si>
    <t>ATCO</t>
  </si>
  <si>
    <t>ATHM</t>
  </si>
  <si>
    <t>AXON</t>
  </si>
  <si>
    <t>Banco De Chile</t>
  </si>
  <si>
    <t>BCH</t>
  </si>
  <si>
    <t>BECN</t>
  </si>
  <si>
    <t>Banco Santander Chile</t>
  </si>
  <si>
    <t>BSAC</t>
  </si>
  <si>
    <t>CAR</t>
  </si>
  <si>
    <t>Cathay General Bancorp</t>
  </si>
  <si>
    <t>CATY</t>
  </si>
  <si>
    <t>CIADY</t>
  </si>
  <si>
    <t>CLPHY</t>
  </si>
  <si>
    <t>CLVT</t>
  </si>
  <si>
    <t>CMC</t>
  </si>
  <si>
    <t>CVBF</t>
  </si>
  <si>
    <t>CWST</t>
  </si>
  <si>
    <t>EPR Properties</t>
  </si>
  <si>
    <t>EPR</t>
  </si>
  <si>
    <t>FNV</t>
  </si>
  <si>
    <t>FUTU</t>
  </si>
  <si>
    <t>GME</t>
  </si>
  <si>
    <t>GT</t>
  </si>
  <si>
    <t>HGV</t>
  </si>
  <si>
    <t>HP</t>
  </si>
  <si>
    <t>HTHT</t>
  </si>
  <si>
    <t>IBTX</t>
  </si>
  <si>
    <t>ITOCY</t>
  </si>
  <si>
    <t>KornFerry International</t>
  </si>
  <si>
    <t>KFY</t>
  </si>
  <si>
    <t>KGDEY</t>
  </si>
  <si>
    <t>KRTX</t>
  </si>
  <si>
    <t>Li Ning Co.</t>
  </si>
  <si>
    <t>LNNGY</t>
  </si>
  <si>
    <t>MEGGY</t>
  </si>
  <si>
    <t>Magnolia Oil &amp; Gas Corp</t>
  </si>
  <si>
    <t>MGY</t>
  </si>
  <si>
    <t>Mitsui &amp; Co.</t>
  </si>
  <si>
    <t>MITSY</t>
  </si>
  <si>
    <t>MONOTARO</t>
  </si>
  <si>
    <t>MONOY</t>
  </si>
  <si>
    <t>NINOY</t>
  </si>
  <si>
    <t>NIO</t>
  </si>
  <si>
    <t>NTES</t>
  </si>
  <si>
    <t>NVZMY</t>
  </si>
  <si>
    <t>OCDX</t>
  </si>
  <si>
    <t>Old National Bancorp</t>
  </si>
  <si>
    <t>ONB</t>
  </si>
  <si>
    <t>OUT</t>
  </si>
  <si>
    <t>PDCE</t>
  </si>
  <si>
    <t>PDD</t>
  </si>
  <si>
    <t>PLTK</t>
  </si>
  <si>
    <t>PPL</t>
  </si>
  <si>
    <t>RCM</t>
  </si>
  <si>
    <t>RRR</t>
  </si>
  <si>
    <t>SAFM</t>
  </si>
  <si>
    <t>SEAS</t>
  </si>
  <si>
    <t>Stora Enso Oyj</t>
  </si>
  <si>
    <t>SEOAY</t>
  </si>
  <si>
    <t>SFTBY</t>
  </si>
  <si>
    <t>SHWDY</t>
  </si>
  <si>
    <t>SMPNY</t>
  </si>
  <si>
    <t>SUMITOMO CHEMCL</t>
  </si>
  <si>
    <t>SOMMY</t>
  </si>
  <si>
    <t>SUM</t>
  </si>
  <si>
    <t>TCOM</t>
  </si>
  <si>
    <t>TCYMF</t>
  </si>
  <si>
    <t>TDC</t>
  </si>
  <si>
    <t>TIXT</t>
  </si>
  <si>
    <t>Travel  Leisure Co.</t>
  </si>
  <si>
    <t>TNL</t>
  </si>
  <si>
    <t>TRUMY</t>
  </si>
  <si>
    <t>UBSI</t>
  </si>
  <si>
    <t>VLPNY</t>
  </si>
  <si>
    <t>Steel - Speciality</t>
  </si>
  <si>
    <t>WD</t>
  </si>
  <si>
    <t>WOOF</t>
  </si>
  <si>
    <t>WYGPY</t>
  </si>
  <si>
    <t>XM</t>
  </si>
  <si>
    <t>ZTO</t>
  </si>
  <si>
    <t>ABEV</t>
  </si>
  <si>
    <t>ABM</t>
  </si>
  <si>
    <t>AEL</t>
  </si>
  <si>
    <t>AGL</t>
  </si>
  <si>
    <t>AHCHY</t>
  </si>
  <si>
    <t>ALKS</t>
  </si>
  <si>
    <t>AMC</t>
  </si>
  <si>
    <t>ANZBY</t>
  </si>
  <si>
    <t>APP</t>
  </si>
  <si>
    <t>AQUA</t>
  </si>
  <si>
    <t>AR</t>
  </si>
  <si>
    <t>ATI</t>
  </si>
  <si>
    <t>AVA</t>
  </si>
  <si>
    <t>BEP</t>
  </si>
  <si>
    <t>BEPC</t>
  </si>
  <si>
    <t>BKH</t>
  </si>
  <si>
    <t>Bank Hapoalim</t>
  </si>
  <si>
    <t>BKHYY</t>
  </si>
  <si>
    <t>BNL</t>
  </si>
  <si>
    <t>BOX</t>
  </si>
  <si>
    <t>CARCY</t>
  </si>
  <si>
    <t>CBT</t>
  </si>
  <si>
    <t>Coal</t>
  </si>
  <si>
    <t>CHK</t>
  </si>
  <si>
    <t>CHPT</t>
  </si>
  <si>
    <t>CINF</t>
  </si>
  <si>
    <t>CPNG</t>
  </si>
  <si>
    <t>DBOEY</t>
  </si>
  <si>
    <t>DCP</t>
  </si>
  <si>
    <t>DDS</t>
  </si>
  <si>
    <t>DOCN</t>
  </si>
  <si>
    <t>DSEY</t>
  </si>
  <si>
    <t>DSRLF</t>
  </si>
  <si>
    <t>DTE</t>
  </si>
  <si>
    <t>DV</t>
  </si>
  <si>
    <t>ECIFY</t>
  </si>
  <si>
    <t>ELY</t>
  </si>
  <si>
    <t>EXLS</t>
  </si>
  <si>
    <t>FCFS</t>
  </si>
  <si>
    <t>FCNCA</t>
  </si>
  <si>
    <t>FERG</t>
  </si>
  <si>
    <t>FHB</t>
  </si>
  <si>
    <t>FHI</t>
  </si>
  <si>
    <t>FIX</t>
  </si>
  <si>
    <t>FNLPF</t>
  </si>
  <si>
    <t>FRTAF</t>
  </si>
  <si>
    <t>Communication - Network Software</t>
  </si>
  <si>
    <t>FSR</t>
  </si>
  <si>
    <t>FUL</t>
  </si>
  <si>
    <t>GEAGF</t>
  </si>
  <si>
    <t>HAYW</t>
  </si>
  <si>
    <t>HBRIY</t>
  </si>
  <si>
    <t>Oil and Gas - Exploration and Production - International</t>
  </si>
  <si>
    <t>HEGIY</t>
  </si>
  <si>
    <t>HEINY</t>
  </si>
  <si>
    <t>HRI</t>
  </si>
  <si>
    <t>IBDRY</t>
  </si>
  <si>
    <t>IDCBY</t>
  </si>
  <si>
    <t>International Game Technology</t>
  </si>
  <si>
    <t>IGT</t>
  </si>
  <si>
    <t>IMO</t>
  </si>
  <si>
    <t>ITCI</t>
  </si>
  <si>
    <t>JFEEF</t>
  </si>
  <si>
    <t>KeyCorp</t>
  </si>
  <si>
    <t>KEY</t>
  </si>
  <si>
    <t>KKPNF</t>
  </si>
  <si>
    <t>KLIC</t>
  </si>
  <si>
    <t>KLPEF</t>
  </si>
  <si>
    <t>KMI</t>
  </si>
  <si>
    <t>KYCCF</t>
  </si>
  <si>
    <t>LTHM</t>
  </si>
  <si>
    <t>LXP</t>
  </si>
  <si>
    <t>LYSDY</t>
  </si>
  <si>
    <t>MMSI</t>
  </si>
  <si>
    <t>MP</t>
  </si>
  <si>
    <t>MPLN</t>
  </si>
  <si>
    <t>MTDR</t>
  </si>
  <si>
    <t>MUR</t>
  </si>
  <si>
    <t>NRG</t>
  </si>
  <si>
    <t>National Storage Affiliates Trust</t>
  </si>
  <si>
    <t>NSA</t>
  </si>
  <si>
    <t>NSIT</t>
  </si>
  <si>
    <t>Retail - Mail Order</t>
  </si>
  <si>
    <t>NWE</t>
  </si>
  <si>
    <t>News Corporation</t>
  </si>
  <si>
    <t>NWSA</t>
  </si>
  <si>
    <t>OBIIF</t>
  </si>
  <si>
    <t>Corporate Office Properties Trust</t>
  </si>
  <si>
    <t>OFC</t>
  </si>
  <si>
    <t>ONTO</t>
  </si>
  <si>
    <t>Nanotechnology</t>
  </si>
  <si>
    <t>OPEN</t>
  </si>
  <si>
    <t>Ono Pharmaceutical Co.</t>
  </si>
  <si>
    <t>OPHLF</t>
  </si>
  <si>
    <t>PATH</t>
  </si>
  <si>
    <t>PDCO</t>
  </si>
  <si>
    <t>PSO</t>
  </si>
  <si>
    <t>PUBGY</t>
  </si>
  <si>
    <t>PZZA</t>
  </si>
  <si>
    <t>QGEN</t>
  </si>
  <si>
    <t>QS</t>
  </si>
  <si>
    <t>RBLX</t>
  </si>
  <si>
    <t>REGI</t>
  </si>
  <si>
    <t>Biofuels</t>
  </si>
  <si>
    <t>RRC</t>
  </si>
  <si>
    <t>SAIL</t>
  </si>
  <si>
    <t>SAUHF</t>
  </si>
  <si>
    <t>SFBS</t>
  </si>
  <si>
    <t>SFNC</t>
  </si>
  <si>
    <t>SGBAF</t>
  </si>
  <si>
    <t>SGRY</t>
  </si>
  <si>
    <t>SID</t>
  </si>
  <si>
    <t>SIG</t>
  </si>
  <si>
    <t>SITC</t>
  </si>
  <si>
    <t>SJI</t>
  </si>
  <si>
    <t>SMPL</t>
  </si>
  <si>
    <t>SNPTF</t>
  </si>
  <si>
    <t>SOFI</t>
  </si>
  <si>
    <t>SSB</t>
  </si>
  <si>
    <t>STLA</t>
  </si>
  <si>
    <t>Suntec Real Estate Investment Trust</t>
  </si>
  <si>
    <t>SURVF</t>
  </si>
  <si>
    <t>SWN</t>
  </si>
  <si>
    <t>TLSYY</t>
  </si>
  <si>
    <t>TLTZY</t>
  </si>
  <si>
    <t>TSCDY</t>
  </si>
  <si>
    <t>UL</t>
  </si>
  <si>
    <t>UMC</t>
  </si>
  <si>
    <t>VEOEY</t>
  </si>
  <si>
    <t>VIV</t>
  </si>
  <si>
    <t>VRNS</t>
  </si>
  <si>
    <t>WBT</t>
  </si>
  <si>
    <t>WDH</t>
  </si>
  <si>
    <t>WHD</t>
  </si>
  <si>
    <t>YNDX</t>
  </si>
  <si>
    <t>ZIM</t>
  </si>
  <si>
    <t>AAGIY</t>
  </si>
  <si>
    <t>Air Canada</t>
  </si>
  <si>
    <t>ACDVF</t>
  </si>
  <si>
    <t>Agri Bank China</t>
  </si>
  <si>
    <t>ACGBY</t>
  </si>
  <si>
    <t>ACIW</t>
  </si>
  <si>
    <t>ACWI</t>
  </si>
  <si>
    <t>AGG</t>
  </si>
  <si>
    <t>AGO</t>
  </si>
  <si>
    <t>AJINY</t>
  </si>
  <si>
    <t>ALIZY</t>
  </si>
  <si>
    <t>ALNPY</t>
  </si>
  <si>
    <t>AMKR</t>
  </si>
  <si>
    <t>AMSSY</t>
  </si>
  <si>
    <t>AONNY</t>
  </si>
  <si>
    <t>ARCAY</t>
  </si>
  <si>
    <t>ASMIY</t>
  </si>
  <si>
    <t>ATKR</t>
  </si>
  <si>
    <t>Wire and Cable Products</t>
  </si>
  <si>
    <t>AVIFY</t>
  </si>
  <si>
    <t>BACHY</t>
  </si>
  <si>
    <t>BAM</t>
  </si>
  <si>
    <t>BBDO</t>
  </si>
  <si>
    <t>BESIY</t>
  </si>
  <si>
    <t>BF.A</t>
  </si>
  <si>
    <t>BHKLY</t>
  </si>
  <si>
    <t>BIO.B</t>
  </si>
  <si>
    <t>BOIVF</t>
  </si>
  <si>
    <t>BRK.A</t>
  </si>
  <si>
    <t>CGEMY</t>
  </si>
  <si>
    <t>CHBAY</t>
  </si>
  <si>
    <t>CHCJY</t>
  </si>
  <si>
    <t>CIG</t>
  </si>
  <si>
    <t>CKHUY</t>
  </si>
  <si>
    <t>CHINA MINSHENG</t>
  </si>
  <si>
    <t>CMAKY</t>
  </si>
  <si>
    <t>CMHHY</t>
  </si>
  <si>
    <t>CocaCola Bottling Co. Consolidated</t>
  </si>
  <si>
    <t>COKE</t>
  </si>
  <si>
    <t>China Shenhua Energy Co.</t>
  </si>
  <si>
    <t>CSUAY</t>
  </si>
  <si>
    <t>CTPCY</t>
  </si>
  <si>
    <t>CUYTY</t>
  </si>
  <si>
    <t>SmartCentres Real Estate Investment Trust</t>
  </si>
  <si>
    <t>CWYUF</t>
  </si>
  <si>
    <t>CYAGF</t>
  </si>
  <si>
    <t>DFIHY</t>
  </si>
  <si>
    <t>DIA</t>
  </si>
  <si>
    <t>DIFTY</t>
  </si>
  <si>
    <t>DNKEY</t>
  </si>
  <si>
    <t>DNP</t>
  </si>
  <si>
    <t>Dai Nippon Printing Co.</t>
  </si>
  <si>
    <t>DNPLY</t>
  </si>
  <si>
    <t>DSEEY</t>
  </si>
  <si>
    <t>DUFRY</t>
  </si>
  <si>
    <t>DVY</t>
  </si>
  <si>
    <t>EBR</t>
  </si>
  <si>
    <t>EDENRED</t>
  </si>
  <si>
    <t>EDNMY</t>
  </si>
  <si>
    <t>EEFT</t>
  </si>
  <si>
    <t>EEM</t>
  </si>
  <si>
    <t>EFA</t>
  </si>
  <si>
    <t>EMB</t>
  </si>
  <si>
    <t>ENGGY</t>
  </si>
  <si>
    <t>ENGIY</t>
  </si>
  <si>
    <t>ENIA</t>
  </si>
  <si>
    <t>ENLAY</t>
  </si>
  <si>
    <t>Enstar Group Limited</t>
  </si>
  <si>
    <t>ESGR</t>
  </si>
  <si>
    <t>EVNVY</t>
  </si>
  <si>
    <t>EWJ</t>
  </si>
  <si>
    <t>EWU</t>
  </si>
  <si>
    <t>EWY</t>
  </si>
  <si>
    <t>EWZ</t>
  </si>
  <si>
    <t>EZU</t>
  </si>
  <si>
    <t>FDN</t>
  </si>
  <si>
    <t>FINN</t>
  </si>
  <si>
    <t>FOX</t>
  </si>
  <si>
    <t>FQVLF</t>
  </si>
  <si>
    <t>FRFHF</t>
  </si>
  <si>
    <t>FRRVY</t>
  </si>
  <si>
    <t>FWONA</t>
  </si>
  <si>
    <t>FWONB</t>
  </si>
  <si>
    <t>FXI</t>
  </si>
  <si>
    <t>GBNXF</t>
  </si>
  <si>
    <t>GBOOY</t>
  </si>
  <si>
    <t>GLD</t>
  </si>
  <si>
    <t>GNMSF</t>
  </si>
  <si>
    <t>GPFOY</t>
  </si>
  <si>
    <t>GRSXY</t>
  </si>
  <si>
    <t>HEI.A</t>
  </si>
  <si>
    <t>HGKGY</t>
  </si>
  <si>
    <t>HINOY</t>
  </si>
  <si>
    <t>HLPPY</t>
  </si>
  <si>
    <t>HNGKY</t>
  </si>
  <si>
    <t>Hong Kong &amp; China Gas Co.</t>
  </si>
  <si>
    <t>HOKCY</t>
  </si>
  <si>
    <t>HYG</t>
  </si>
  <si>
    <t>Hypermarcas</t>
  </si>
  <si>
    <t>HYPMY</t>
  </si>
  <si>
    <t>IAU</t>
  </si>
  <si>
    <t>IBB</t>
  </si>
  <si>
    <t>IDV</t>
  </si>
  <si>
    <t>IEF</t>
  </si>
  <si>
    <t>IEP</t>
  </si>
  <si>
    <t>IGIB</t>
  </si>
  <si>
    <t>IGSB</t>
  </si>
  <si>
    <t>IJH</t>
  </si>
  <si>
    <t>IJJ</t>
  </si>
  <si>
    <t>IJK</t>
  </si>
  <si>
    <t>IJR</t>
  </si>
  <si>
    <t>IJS</t>
  </si>
  <si>
    <t>IJT</t>
  </si>
  <si>
    <t>IPSEY</t>
  </si>
  <si>
    <t>IPXHY</t>
  </si>
  <si>
    <t>ISUZY</t>
  </si>
  <si>
    <t>ITVPY</t>
  </si>
  <si>
    <t>IVV</t>
  </si>
  <si>
    <t>IWD</t>
  </si>
  <si>
    <t>IWF</t>
  </si>
  <si>
    <t>IWM</t>
  </si>
  <si>
    <t>IWN</t>
  </si>
  <si>
    <t>IWO</t>
  </si>
  <si>
    <t>IWP</t>
  </si>
  <si>
    <t>IWR</t>
  </si>
  <si>
    <t>IWS</t>
  </si>
  <si>
    <t>IYR</t>
  </si>
  <si>
    <t>IYW</t>
  </si>
  <si>
    <t>JAPSY</t>
  </si>
  <si>
    <t>JBSAY</t>
  </si>
  <si>
    <t>JMHLY</t>
  </si>
  <si>
    <t>JNK</t>
  </si>
  <si>
    <t>KB</t>
  </si>
  <si>
    <t>KIROY</t>
  </si>
  <si>
    <t>KKPNY</t>
  </si>
  <si>
    <t>KLYCY</t>
  </si>
  <si>
    <t>KPELY</t>
  </si>
  <si>
    <t>L</t>
  </si>
  <si>
    <t>LAMR</t>
  </si>
  <si>
    <t>LBRDA</t>
  </si>
  <si>
    <t>LBTYB</t>
  </si>
  <si>
    <t>LBTYK</t>
  </si>
  <si>
    <t>LEN.B</t>
  </si>
  <si>
    <t>LGRVF</t>
  </si>
  <si>
    <t>LQD</t>
  </si>
  <si>
    <t>LSXMA</t>
  </si>
  <si>
    <t>LSXMB</t>
  </si>
  <si>
    <t>Lukoil</t>
  </si>
  <si>
    <t>LUKOY</t>
  </si>
  <si>
    <t>LUNMF</t>
  </si>
  <si>
    <t>Marui Group Co.</t>
  </si>
  <si>
    <t>MAURY</t>
  </si>
  <si>
    <t>MAWHY</t>
  </si>
  <si>
    <t>MBB</t>
  </si>
  <si>
    <t>Marine Harvest ASA</t>
  </si>
  <si>
    <t>MHGVY</t>
  </si>
  <si>
    <t>Merck KGaA</t>
  </si>
  <si>
    <t>MKGAF</t>
  </si>
  <si>
    <t>Minebea Co.</t>
  </si>
  <si>
    <t>MNBEY</t>
  </si>
  <si>
    <t>MORN</t>
  </si>
  <si>
    <t>MSBHF</t>
  </si>
  <si>
    <t>MTUAY</t>
  </si>
  <si>
    <t>MUB</t>
  </si>
  <si>
    <t>Mnchener RckversicherungsGesellschaft</t>
  </si>
  <si>
    <t>MURGY</t>
  </si>
  <si>
    <t>NCMGY</t>
  </si>
  <si>
    <t>NEU</t>
  </si>
  <si>
    <t>JSC MMC Norilsk Nickel</t>
  </si>
  <si>
    <t>NILSY</t>
  </si>
  <si>
    <t>NNGRY</t>
  </si>
  <si>
    <t>Nippon Yusen Kabushiki Kaisha</t>
  </si>
  <si>
    <t>NPNYY</t>
  </si>
  <si>
    <t>NPSNY</t>
  </si>
  <si>
    <t>NRDBY</t>
  </si>
  <si>
    <t>National Bank of Canada</t>
  </si>
  <si>
    <t>NTIOF</t>
  </si>
  <si>
    <t>NTTYY</t>
  </si>
  <si>
    <t>NWG</t>
  </si>
  <si>
    <t>NWS</t>
  </si>
  <si>
    <t>OBYCF</t>
  </si>
  <si>
    <t>OIH</t>
  </si>
  <si>
    <t>ONEXF</t>
  </si>
  <si>
    <t>ORINY</t>
  </si>
  <si>
    <t>OSAGF</t>
  </si>
  <si>
    <t>PBR.A</t>
  </si>
  <si>
    <t>PCOR</t>
  </si>
  <si>
    <t>PFF</t>
  </si>
  <si>
    <t>PGX</t>
  </si>
  <si>
    <t>POAHY</t>
  </si>
  <si>
    <t>PROSY</t>
  </si>
  <si>
    <t>PSTH</t>
  </si>
  <si>
    <t>Unclassified</t>
  </si>
  <si>
    <t>QQQ</t>
  </si>
  <si>
    <t>Recordati Industria Chimica E Farmaceutica S.P.A.</t>
  </si>
  <si>
    <t>RCDTF</t>
  </si>
  <si>
    <t>RDEIY</t>
  </si>
  <si>
    <t>RELX</t>
  </si>
  <si>
    <t>RKUNY</t>
  </si>
  <si>
    <t>RLX</t>
  </si>
  <si>
    <t>Rohm Co.</t>
  </si>
  <si>
    <t>ROHCY</t>
  </si>
  <si>
    <t>RSP</t>
  </si>
  <si>
    <t>SBS</t>
  </si>
  <si>
    <t>SDY</t>
  </si>
  <si>
    <t>SF</t>
  </si>
  <si>
    <t>SHG</t>
  </si>
  <si>
    <t>SHM</t>
  </si>
  <si>
    <t>SHV</t>
  </si>
  <si>
    <t>Shandong Weigao Medical Polymer Co.</t>
  </si>
  <si>
    <t>SHWGF</t>
  </si>
  <si>
    <t>SHY</t>
  </si>
  <si>
    <t>SHZUY</t>
  </si>
  <si>
    <t>SIELY</t>
  </si>
  <si>
    <t>SKHSY</t>
  </si>
  <si>
    <t>SMGBY</t>
  </si>
  <si>
    <t>Sino Land Co.</t>
  </si>
  <si>
    <t>SNLAY</t>
  </si>
  <si>
    <t>SPY</t>
  </si>
  <si>
    <t>SSMXY</t>
  </si>
  <si>
    <t>STADA ARZNEIMI</t>
  </si>
  <si>
    <t>STDAF</t>
  </si>
  <si>
    <t>STZ.B</t>
  </si>
  <si>
    <t>SKANDINAVISKA</t>
  </si>
  <si>
    <t>SVKEF</t>
  </si>
  <si>
    <t>SWDBY</t>
  </si>
  <si>
    <t>TEZNY</t>
  </si>
  <si>
    <t>TFI</t>
  </si>
  <si>
    <t>TIAIY</t>
  </si>
  <si>
    <t>TIP</t>
  </si>
  <si>
    <t>TLK</t>
  </si>
  <si>
    <t>TLT</t>
  </si>
  <si>
    <t>TRQ</t>
  </si>
  <si>
    <t>Techtronic Industries Co.</t>
  </si>
  <si>
    <t>TTNDY</t>
  </si>
  <si>
    <t>UA</t>
  </si>
  <si>
    <t>VAL</t>
  </si>
  <si>
    <t>VCISY</t>
  </si>
  <si>
    <t>VFH</t>
  </si>
  <si>
    <t>VNQ</t>
  </si>
  <si>
    <t>VTI</t>
  </si>
  <si>
    <t>VWO</t>
  </si>
  <si>
    <t>Woori Bank</t>
  </si>
  <si>
    <t>WF</t>
  </si>
  <si>
    <t>WLMIY</t>
  </si>
  <si>
    <t>WLWHY</t>
  </si>
  <si>
    <t>WNGRF</t>
  </si>
  <si>
    <t>WOPEY</t>
  </si>
  <si>
    <t>WSO.B</t>
  </si>
  <si>
    <t>WTM</t>
  </si>
  <si>
    <t>XBI</t>
  </si>
  <si>
    <t>XLB</t>
  </si>
  <si>
    <t>XLF</t>
  </si>
  <si>
    <t>XLU</t>
  </si>
  <si>
    <t>XLY</t>
  </si>
  <si>
    <t>Z</t>
  </si>
  <si>
    <t>Agilent Technologies</t>
  </si>
  <si>
    <t>Alcoa</t>
  </si>
  <si>
    <t>AIA</t>
  </si>
  <si>
    <t>American Airlines</t>
  </si>
  <si>
    <t>Advance Auto Parts</t>
  </si>
  <si>
    <t>Apple</t>
  </si>
  <si>
    <t>AllianceBernstein</t>
  </si>
  <si>
    <t>AbbVie</t>
  </si>
  <si>
    <t>AmerisourceBergen</t>
  </si>
  <si>
    <t>Abcam</t>
  </si>
  <si>
    <t>Ambev</t>
  </si>
  <si>
    <t>Asbury Automotive Group</t>
  </si>
  <si>
    <t>ABM Industries</t>
  </si>
  <si>
    <t>Abiomed</t>
  </si>
  <si>
    <t>Airbnb</t>
  </si>
  <si>
    <t>American Campus Communities</t>
  </si>
  <si>
    <t>Arch Capital Group</t>
  </si>
  <si>
    <t>Acadia Healthcare</t>
  </si>
  <si>
    <t>Albertsons Companies</t>
  </si>
  <si>
    <t>ACI Worldwide</t>
  </si>
  <si>
    <t>Accenture</t>
  </si>
  <si>
    <t>Enact Holdings</t>
  </si>
  <si>
    <t>ACT</t>
  </si>
  <si>
    <t>Adobe</t>
  </si>
  <si>
    <t>Agree Realty</t>
  </si>
  <si>
    <t>Adidas</t>
  </si>
  <si>
    <t>Analog Devices</t>
  </si>
  <si>
    <t>Archer Daniels Midland</t>
  </si>
  <si>
    <t>Adient</t>
  </si>
  <si>
    <t>Automatic Data Processing</t>
  </si>
  <si>
    <t>Ahold</t>
  </si>
  <si>
    <t>Autodesk</t>
  </si>
  <si>
    <t>Adyen</t>
  </si>
  <si>
    <t>ADYEY</t>
  </si>
  <si>
    <t>Ameren</t>
  </si>
  <si>
    <t>Aegon</t>
  </si>
  <si>
    <t>AEG</t>
  </si>
  <si>
    <t>American Equity Investment Life Holding</t>
  </si>
  <si>
    <t>Agnico Eagle Mines</t>
  </si>
  <si>
    <t>American Electric Power</t>
  </si>
  <si>
    <t>Aercap</t>
  </si>
  <si>
    <t>Arc Resources</t>
  </si>
  <si>
    <t>AETUF</t>
  </si>
  <si>
    <t>American Financial Group</t>
  </si>
  <si>
    <t>Aflac</t>
  </si>
  <si>
    <t>Affirm</t>
  </si>
  <si>
    <t>Ageas</t>
  </si>
  <si>
    <t>Agilon Health</t>
  </si>
  <si>
    <t>AGNC Investment</t>
  </si>
  <si>
    <t>Assured Guaranty</t>
  </si>
  <si>
    <t>Avangrid</t>
  </si>
  <si>
    <t>Anhui Conch Cement</t>
  </si>
  <si>
    <t>Adecco</t>
  </si>
  <si>
    <t>American International Group</t>
  </si>
  <si>
    <t>Apartment Income REIT</t>
  </si>
  <si>
    <t>Air China</t>
  </si>
  <si>
    <t>Applied Industrial Technologies</t>
  </si>
  <si>
    <t>Assurant</t>
  </si>
  <si>
    <t>Ajinomoto</t>
  </si>
  <si>
    <t>Aerojet Rocketdyne Holdings</t>
  </si>
  <si>
    <t>Akamai Technologies</t>
  </si>
  <si>
    <t>AkzoNobel</t>
  </si>
  <si>
    <t>Air Lease</t>
  </si>
  <si>
    <t>Albemarle</t>
  </si>
  <si>
    <t>Allete</t>
  </si>
  <si>
    <t>Alfa Laval</t>
  </si>
  <si>
    <t>ALFVY</t>
  </si>
  <si>
    <t>Allegro MicroSystems</t>
  </si>
  <si>
    <t>Align Technology</t>
  </si>
  <si>
    <t>Alight</t>
  </si>
  <si>
    <t>ALIT</t>
  </si>
  <si>
    <t>Allianz</t>
  </si>
  <si>
    <t>Alaska Air Group</t>
  </si>
  <si>
    <t>Alkermes</t>
  </si>
  <si>
    <t>Allstate</t>
  </si>
  <si>
    <t>Allegion</t>
  </si>
  <si>
    <t>Ally Financial</t>
  </si>
  <si>
    <t>ANA</t>
  </si>
  <si>
    <t>Alnylam Pharmaceuticals</t>
  </si>
  <si>
    <t>Astellas Pharma</t>
  </si>
  <si>
    <t>Alarm.com</t>
  </si>
  <si>
    <t>Alstom</t>
  </si>
  <si>
    <t>Allison Transmission Holdings</t>
  </si>
  <si>
    <t>Altair Engineering</t>
  </si>
  <si>
    <t>Autoliv</t>
  </si>
  <si>
    <t>Antero Midstream</t>
  </si>
  <si>
    <t>Amadeus IT Group</t>
  </si>
  <si>
    <t>Applied Materials</t>
  </si>
  <si>
    <t>Ambarella</t>
  </si>
  <si>
    <t>Ardagh Metal Packaging</t>
  </si>
  <si>
    <t>AMBP</t>
  </si>
  <si>
    <t>AMC Entertainment</t>
  </si>
  <si>
    <t>Amcor</t>
  </si>
  <si>
    <t>Advanced Micro Devices</t>
  </si>
  <si>
    <t>AMETEK</t>
  </si>
  <si>
    <t>Amedisys</t>
  </si>
  <si>
    <t>Affiliated Managers Group</t>
  </si>
  <si>
    <t>Amgen</t>
  </si>
  <si>
    <t>A.P. Moller-Maersk</t>
  </si>
  <si>
    <t>Amkor Technology</t>
  </si>
  <si>
    <t>AMN Healthcare Services</t>
  </si>
  <si>
    <t>Ameriprise Financial</t>
  </si>
  <si>
    <t>Alpha Metallurgical Resources</t>
  </si>
  <si>
    <t>AMR</t>
  </si>
  <si>
    <t>ams</t>
  </si>
  <si>
    <t>American Tower</t>
  </si>
  <si>
    <t>America Movil</t>
  </si>
  <si>
    <t>Amazon.com</t>
  </si>
  <si>
    <t>AutoNation</t>
  </si>
  <si>
    <t>Arista Networks</t>
  </si>
  <si>
    <t>Acerinox</t>
  </si>
  <si>
    <t>Anta Sports Products</t>
  </si>
  <si>
    <t>ANSYS</t>
  </si>
  <si>
    <t>Anthem</t>
  </si>
  <si>
    <t>Australia &amp; New Zealand Banking Group</t>
  </si>
  <si>
    <t>Aon</t>
  </si>
  <si>
    <t>Aeon</t>
  </si>
  <si>
    <t>A. O. Smith</t>
  </si>
  <si>
    <t>Air Products and Chemicals</t>
  </si>
  <si>
    <t>APi Group</t>
  </si>
  <si>
    <t>Amphenol</t>
  </si>
  <si>
    <t>Apple Hospitality REIT</t>
  </si>
  <si>
    <t>Apellis Pharmaceuticals</t>
  </si>
  <si>
    <t>Aspen Pharmacare</t>
  </si>
  <si>
    <t>Apollo Global Management Inc.</t>
  </si>
  <si>
    <t>AppLovin</t>
  </si>
  <si>
    <t>AppFolio</t>
  </si>
  <si>
    <t>Appian</t>
  </si>
  <si>
    <t>Aptiv</t>
  </si>
  <si>
    <t>Algonquin Power &amp; Utilities</t>
  </si>
  <si>
    <t>Evoqua Water Technologies</t>
  </si>
  <si>
    <t>Antero Resources</t>
  </si>
  <si>
    <t>Arcadis</t>
  </si>
  <si>
    <t>Ares Capital</t>
  </si>
  <si>
    <t>Alexandria Real Estate Equities</t>
  </si>
  <si>
    <t>Ares Management</t>
  </si>
  <si>
    <t>argenex</t>
  </si>
  <si>
    <t>Arkema</t>
  </si>
  <si>
    <t>Arrow Electronics</t>
  </si>
  <si>
    <t>Arrowhead Pharmaceuticals</t>
  </si>
  <si>
    <t>Sendas Distribuidora</t>
  </si>
  <si>
    <t>ASAI</t>
  </si>
  <si>
    <t>Asana</t>
  </si>
  <si>
    <t>Associated British Foods</t>
  </si>
  <si>
    <t>ASBFY</t>
  </si>
  <si>
    <t>Ashland Global</t>
  </si>
  <si>
    <t>Ashtead Group</t>
  </si>
  <si>
    <t>ASM International</t>
  </si>
  <si>
    <t>ASML Holding</t>
  </si>
  <si>
    <t>Ascendis Pharma</t>
  </si>
  <si>
    <t>ASE Technology</t>
  </si>
  <si>
    <t>Atlantia</t>
  </si>
  <si>
    <t>Atotech</t>
  </si>
  <si>
    <t>Atlas</t>
  </si>
  <si>
    <t>Advantest</t>
  </si>
  <si>
    <t>ATEYY</t>
  </si>
  <si>
    <t>Autohome</t>
  </si>
  <si>
    <t>Allegheny Technologies</t>
  </si>
  <si>
    <t>Atkore</t>
  </si>
  <si>
    <t>Atlas Copco</t>
  </si>
  <si>
    <t>Atmos Energy</t>
  </si>
  <si>
    <t>AptarGroup</t>
  </si>
  <si>
    <t>Altice USA</t>
  </si>
  <si>
    <t>Activision Blizzard</t>
  </si>
  <si>
    <t>AngloGold Ashanti</t>
  </si>
  <si>
    <t>Reinvent Technology Partners Y</t>
  </si>
  <si>
    <t>AUR</t>
  </si>
  <si>
    <t>Yamana Gold</t>
  </si>
  <si>
    <t>Avista</t>
  </si>
  <si>
    <t>Grupo Aval Acciones y Valores</t>
  </si>
  <si>
    <t>AvalonBay Communities</t>
  </si>
  <si>
    <t>Broadcom</t>
  </si>
  <si>
    <t>Advanced Info Service</t>
  </si>
  <si>
    <t>Avalara</t>
  </si>
  <si>
    <t>Avient</t>
  </si>
  <si>
    <t>Avnet</t>
  </si>
  <si>
    <t>Avantor</t>
  </si>
  <si>
    <t>Aviva</t>
  </si>
  <si>
    <t>Avery Dennison</t>
  </si>
  <si>
    <t>Armstrong World Industries</t>
  </si>
  <si>
    <t>American Water Works</t>
  </si>
  <si>
    <t>Axa</t>
  </si>
  <si>
    <t>Axon Enterprise</t>
  </si>
  <si>
    <t>American Express</t>
  </si>
  <si>
    <t>Axis Capital Holdings</t>
  </si>
  <si>
    <t>Axalta Coating Systems</t>
  </si>
  <si>
    <t>Atlantica Yield</t>
  </si>
  <si>
    <t>Acuity Brands</t>
  </si>
  <si>
    <t>Alteryx</t>
  </si>
  <si>
    <t>AstraZeneca</t>
  </si>
  <si>
    <t>AutoZone</t>
  </si>
  <si>
    <t xml:space="preserve">Azenta </t>
  </si>
  <si>
    <t>AZTA</t>
  </si>
  <si>
    <t>Boeing</t>
  </si>
  <si>
    <t>Alibaba</t>
  </si>
  <si>
    <t>Bank of America</t>
  </si>
  <si>
    <t>Bank of China</t>
  </si>
  <si>
    <t>Bae Systems</t>
  </si>
  <si>
    <t>Booz Allen Hamilton</t>
  </si>
  <si>
    <t>Braskem</t>
  </si>
  <si>
    <t>BALL</t>
  </si>
  <si>
    <t>Brookfield Asset Management</t>
  </si>
  <si>
    <t>BASF</t>
  </si>
  <si>
    <t>Baxter International</t>
  </si>
  <si>
    <t>Bayer</t>
  </si>
  <si>
    <t>BAYRY</t>
  </si>
  <si>
    <t>BlackBerry</t>
  </si>
  <si>
    <t>Banco Bradesco</t>
  </si>
  <si>
    <t>Bath &amp; Body Works, Inc.</t>
  </si>
  <si>
    <t>BBWI</t>
  </si>
  <si>
    <t>Best Buy</t>
  </si>
  <si>
    <t>Brunswick</t>
  </si>
  <si>
    <t>Boise Cascade</t>
  </si>
  <si>
    <t>BCC</t>
  </si>
  <si>
    <t>Balchem</t>
  </si>
  <si>
    <t>Barclays</t>
  </si>
  <si>
    <t>Beacon Roofing Supply</t>
  </si>
  <si>
    <t>KE Hodlings</t>
  </si>
  <si>
    <t>Franklin Resources</t>
  </si>
  <si>
    <t>Brookfield Renewable Partners</t>
  </si>
  <si>
    <t>Brookfield Renewable</t>
  </si>
  <si>
    <t>Berry Global Group</t>
  </si>
  <si>
    <t>BE Semiconductor Industries</t>
  </si>
  <si>
    <t>Brown Forman</t>
  </si>
  <si>
    <t>BrownForman</t>
  </si>
  <si>
    <t>Bright Horizons Family Solutions</t>
  </si>
  <si>
    <t>BeiGene</t>
  </si>
  <si>
    <t>Bausch Health</t>
  </si>
  <si>
    <t>Brighthouse Financial</t>
  </si>
  <si>
    <t>BOC Hong Kong</t>
  </si>
  <si>
    <t>BHP Group Limited</t>
  </si>
  <si>
    <t>BHP</t>
  </si>
  <si>
    <t>Biohaven Pharmaceutical</t>
  </si>
  <si>
    <t>Baidu</t>
  </si>
  <si>
    <t>Biogen</t>
  </si>
  <si>
    <t>Bilibili</t>
  </si>
  <si>
    <t>Bill.com</t>
  </si>
  <si>
    <t>BioRad Laboratories</t>
  </si>
  <si>
    <t>Swedish Orphan Biovitrum</t>
  </si>
  <si>
    <t>Brookfield Infrastructure Partners</t>
  </si>
  <si>
    <t>Brookfield Infrastructure</t>
  </si>
  <si>
    <t>BJ's Wholesale Club</t>
  </si>
  <si>
    <t>The Bank of New York Mellon</t>
  </si>
  <si>
    <t>The Bank of East Asia</t>
  </si>
  <si>
    <t>Berkeley Group</t>
  </si>
  <si>
    <t>Black Hills</t>
  </si>
  <si>
    <t>Black Knight Financial Services</t>
  </si>
  <si>
    <t>Booking Holdings</t>
  </si>
  <si>
    <t>Bankinter</t>
  </si>
  <si>
    <t>Baker Hughes</t>
  </si>
  <si>
    <t>BankUnited</t>
  </si>
  <si>
    <t>BlackLine</t>
  </si>
  <si>
    <t>Bausch + Lomb Corporation</t>
  </si>
  <si>
    <t>BLCO</t>
  </si>
  <si>
    <t>TopBuild</t>
  </si>
  <si>
    <t>Builders FirstSource</t>
  </si>
  <si>
    <t>BlackRock</t>
  </si>
  <si>
    <t>Blackbaud</t>
  </si>
  <si>
    <t>Bellway</t>
  </si>
  <si>
    <t>Bumble</t>
  </si>
  <si>
    <t>BMBL</t>
  </si>
  <si>
    <t>BioMarin Pharmaceutical</t>
  </si>
  <si>
    <t>B&amp;M European Value Retail</t>
  </si>
  <si>
    <t>bioMerieux</t>
  </si>
  <si>
    <t>Bristol Myers Squibb</t>
  </si>
  <si>
    <t>Broadstone Net Lease</t>
  </si>
  <si>
    <t>BNP Paribas</t>
  </si>
  <si>
    <t>Bank of Nova Scotia</t>
  </si>
  <si>
    <t>Brennt</t>
  </si>
  <si>
    <t>BioNTech</t>
  </si>
  <si>
    <t>Bank of Hawaii</t>
  </si>
  <si>
    <t>Bollore</t>
  </si>
  <si>
    <t>BOK Financial</t>
  </si>
  <si>
    <t>Box</t>
  </si>
  <si>
    <t>Banco Comercial Portugues</t>
  </si>
  <si>
    <t>BPCGY</t>
  </si>
  <si>
    <t>Blueprint Medicines</t>
  </si>
  <si>
    <t>Popular</t>
  </si>
  <si>
    <t>Broadridge Financial Solutions</t>
  </si>
  <si>
    <t>BellRing Brands Inc.</t>
  </si>
  <si>
    <t>BRBR</t>
  </si>
  <si>
    <t>Bridgestone</t>
  </si>
  <si>
    <t>Berkshire Hathaway</t>
  </si>
  <si>
    <t>Bruker</t>
  </si>
  <si>
    <t>Brown &amp; Brown</t>
  </si>
  <si>
    <t>Brother Industries</t>
  </si>
  <si>
    <t>Brixmor Property Group</t>
  </si>
  <si>
    <t>Braze</t>
  </si>
  <si>
    <t>BRZE</t>
  </si>
  <si>
    <t>Black Stone Minerals</t>
  </si>
  <si>
    <t>BSM</t>
  </si>
  <si>
    <t>Energy and Pipeline - Master Limited Partnerships</t>
  </si>
  <si>
    <t>Boston Scientific</t>
  </si>
  <si>
    <t>Bentley Systems</t>
  </si>
  <si>
    <t>Barratt Developments</t>
  </si>
  <si>
    <t>Baytex Energy</t>
  </si>
  <si>
    <t>BTEGF</t>
  </si>
  <si>
    <t>British American Tobacco</t>
  </si>
  <si>
    <t>British Land</t>
  </si>
  <si>
    <t>Peabody Energy</t>
  </si>
  <si>
    <t>BTU</t>
  </si>
  <si>
    <t>AnheuserBusch InBev</t>
  </si>
  <si>
    <t>Burberry Group</t>
  </si>
  <si>
    <t>Burlington Stores</t>
  </si>
  <si>
    <t>BorgWarner</t>
  </si>
  <si>
    <t>BWX Technologies</t>
  </si>
  <si>
    <t>The Blackstone Group</t>
  </si>
  <si>
    <t>Brambles</t>
  </si>
  <si>
    <t>Blackstone Mortgage Trust</t>
  </si>
  <si>
    <t>Boston Properties</t>
  </si>
  <si>
    <t>Blackstone Secured Lending Fund</t>
  </si>
  <si>
    <t>BXSL</t>
  </si>
  <si>
    <t>Boyd Gaming</t>
  </si>
  <si>
    <t>Byd Co.</t>
  </si>
  <si>
    <t>Kanzhun</t>
  </si>
  <si>
    <t>BZ</t>
  </si>
  <si>
    <t>Bunzl</t>
  </si>
  <si>
    <t>Citigroup</t>
  </si>
  <si>
    <t>Cable One</t>
  </si>
  <si>
    <t>Credit Acceptance</t>
  </si>
  <si>
    <t>CACI International</t>
  </si>
  <si>
    <t>Conagra Brands</t>
  </si>
  <si>
    <t>Cardinal Health</t>
  </si>
  <si>
    <t>Avis Budget Group</t>
  </si>
  <si>
    <t>China Resources Cement Holdings</t>
  </si>
  <si>
    <t>Carrier Global</t>
  </si>
  <si>
    <t>Casey's General Stores</t>
  </si>
  <si>
    <t>Caterpillar</t>
  </si>
  <si>
    <t>Cboe Global Markets</t>
  </si>
  <si>
    <t>CBRE Group</t>
  </si>
  <si>
    <t>Commerce Bancshares</t>
  </si>
  <si>
    <t>Cabot</t>
  </si>
  <si>
    <t>Community Bank System</t>
  </si>
  <si>
    <t>Chemours</t>
  </si>
  <si>
    <t>CCC Intelligent Solutions</t>
  </si>
  <si>
    <t>CCCS</t>
  </si>
  <si>
    <t>Coca-Cola HBC</t>
  </si>
  <si>
    <t>Crown Castle International</t>
  </si>
  <si>
    <t>Cameco</t>
  </si>
  <si>
    <t>Crown Holdings</t>
  </si>
  <si>
    <t>Carnival</t>
  </si>
  <si>
    <t>CMC Materials</t>
  </si>
  <si>
    <t>Capcom</t>
  </si>
  <si>
    <t>Ceridian HCM</t>
  </si>
  <si>
    <t>City Developments</t>
  </si>
  <si>
    <t>CDK Global</t>
  </si>
  <si>
    <t>Cadence Design Systems</t>
  </si>
  <si>
    <t>Celanese</t>
  </si>
  <si>
    <t>China Eastern Airlines</t>
  </si>
  <si>
    <t>Constellation Energy Corporation</t>
  </si>
  <si>
    <t>CEG</t>
  </si>
  <si>
    <t>Celsius</t>
  </si>
  <si>
    <t>Cerevel Therapeutics</t>
  </si>
  <si>
    <t>CERE</t>
  </si>
  <si>
    <t>Cerner</t>
  </si>
  <si>
    <t>Certara</t>
  </si>
  <si>
    <t>CF Industries</t>
  </si>
  <si>
    <t>Citizens Financial Group</t>
  </si>
  <si>
    <t>Confluent</t>
  </si>
  <si>
    <t>CFLT</t>
  </si>
  <si>
    <t>CullenFrost Bankers</t>
  </si>
  <si>
    <t>Compagnie Financiere Richemont</t>
  </si>
  <si>
    <t>CFRUY</t>
  </si>
  <si>
    <t>Carlyle Group</t>
  </si>
  <si>
    <t>Cap Gemini</t>
  </si>
  <si>
    <t>Cognex</t>
  </si>
  <si>
    <t>Chiba Bank</t>
  </si>
  <si>
    <t>China CITIC Bank</t>
  </si>
  <si>
    <t>Church &amp; Dwight Co.</t>
  </si>
  <si>
    <t>Churchill Downs</t>
  </si>
  <si>
    <t>Chemed</t>
  </si>
  <si>
    <t>Choice Hotels International</t>
  </si>
  <si>
    <t>Chesapeake Energy</t>
  </si>
  <si>
    <t>Check Point Software Technologies</t>
  </si>
  <si>
    <t>Change Healthcare</t>
  </si>
  <si>
    <t>ChargePoint</t>
  </si>
  <si>
    <t>C.H. Robinson Worldwide</t>
  </si>
  <si>
    <t>Chunghwa Telecom</t>
  </si>
  <si>
    <t>CHT</t>
  </si>
  <si>
    <t>Charter Communications</t>
  </si>
  <si>
    <t>Chewy</t>
  </si>
  <si>
    <t>ChampionX</t>
  </si>
  <si>
    <t>Cigna</t>
  </si>
  <si>
    <t>China Mengniu Dairy</t>
  </si>
  <si>
    <t>BanColombia</t>
  </si>
  <si>
    <t>CIB</t>
  </si>
  <si>
    <t>China Cosco</t>
  </si>
  <si>
    <t>CICOY</t>
  </si>
  <si>
    <t>Ciena</t>
  </si>
  <si>
    <t>Comp En De Mn Cemig</t>
  </si>
  <si>
    <t>Colliers International Group</t>
  </si>
  <si>
    <t>Cincinnati Financial</t>
  </si>
  <si>
    <t>Civitas Resources</t>
  </si>
  <si>
    <t>CIVI</t>
  </si>
  <si>
    <t>CK Hutchison</t>
  </si>
  <si>
    <t>ColgatePalmolive</t>
  </si>
  <si>
    <t>ClevelandCliffs</t>
  </si>
  <si>
    <t>Clean Harbors</t>
  </si>
  <si>
    <t>CLP</t>
  </si>
  <si>
    <t>Continental Resources</t>
  </si>
  <si>
    <t>Clarivate</t>
  </si>
  <si>
    <t>Clorox</t>
  </si>
  <si>
    <t>Comerica</t>
  </si>
  <si>
    <t>Commercial Metals</t>
  </si>
  <si>
    <t>Comcast</t>
  </si>
  <si>
    <t>CME Group</t>
  </si>
  <si>
    <t>Chipotle Mexican Grill</t>
  </si>
  <si>
    <t>China Merchants Holdings International</t>
  </si>
  <si>
    <t>Cummins</t>
  </si>
  <si>
    <t>Compass Group</t>
  </si>
  <si>
    <t>CMS Energy</t>
  </si>
  <si>
    <t>Commonwealth Bank of Australia</t>
  </si>
  <si>
    <t>CNA Financial</t>
  </si>
  <si>
    <t>Centene</t>
  </si>
  <si>
    <t>CNH Industrial</t>
  </si>
  <si>
    <t>Canadian National Railway</t>
  </si>
  <si>
    <t>Core &amp; Main</t>
  </si>
  <si>
    <t>CNM</t>
  </si>
  <si>
    <t>CONMED</t>
  </si>
  <si>
    <t>CenterPoint Energy</t>
  </si>
  <si>
    <t>Cornerstone Building Brands</t>
  </si>
  <si>
    <t>CNR</t>
  </si>
  <si>
    <t>Cohen &amp; Steers</t>
  </si>
  <si>
    <t>Constellation Software</t>
  </si>
  <si>
    <t>CNSWF</t>
  </si>
  <si>
    <t>CNX Resources</t>
  </si>
  <si>
    <t>Concentrix</t>
  </si>
  <si>
    <t>Capital One Financial</t>
  </si>
  <si>
    <t>Coherent</t>
  </si>
  <si>
    <t>Croda International</t>
  </si>
  <si>
    <t>Coinbase Global</t>
  </si>
  <si>
    <t>COIN</t>
  </si>
  <si>
    <t>Americold Realty Trust Inc.</t>
  </si>
  <si>
    <t>Columbia Sportswear</t>
  </si>
  <si>
    <t>The Cooper Companies</t>
  </si>
  <si>
    <t>Mr. Cooper Group</t>
  </si>
  <si>
    <t>COOP</t>
  </si>
  <si>
    <t>Costco Wholesale</t>
  </si>
  <si>
    <t>Coty</t>
  </si>
  <si>
    <t>Coupa Software</t>
  </si>
  <si>
    <t>Covestro</t>
  </si>
  <si>
    <t>Campbell Soup</t>
  </si>
  <si>
    <t>Cathay Pacific Airways</t>
  </si>
  <si>
    <t>Callon Petroleum</t>
  </si>
  <si>
    <t>CPE</t>
  </si>
  <si>
    <t>Crescent Point Energy</t>
  </si>
  <si>
    <t>CPG</t>
  </si>
  <si>
    <t>Coupang</t>
  </si>
  <si>
    <t>Capri Holdings</t>
  </si>
  <si>
    <t>Copart</t>
  </si>
  <si>
    <t>Centrica</t>
  </si>
  <si>
    <t>Cheniere Energy Partners</t>
  </si>
  <si>
    <t>Crane Holdings, Co.</t>
  </si>
  <si>
    <t>Credit Agricole</t>
  </si>
  <si>
    <t>California Resources</t>
  </si>
  <si>
    <t>CRC</t>
  </si>
  <si>
    <t>Carter's</t>
  </si>
  <si>
    <t>Comstock Resources</t>
  </si>
  <si>
    <t>CRK</t>
  </si>
  <si>
    <t>Charles River Laboratories International</t>
  </si>
  <si>
    <t>Salesforce Inc.</t>
  </si>
  <si>
    <t>Crocs</t>
  </si>
  <si>
    <t>China Resources Power Holdings</t>
  </si>
  <si>
    <t>Carrefour</t>
  </si>
  <si>
    <t>CRISPR Therapeutics</t>
  </si>
  <si>
    <t>Cirrus Logic</t>
  </si>
  <si>
    <t>CrowdStrike</t>
  </si>
  <si>
    <t>Commerzbank</t>
  </si>
  <si>
    <t>Cosan</t>
  </si>
  <si>
    <t>CSAN</t>
  </si>
  <si>
    <t>Cisco Systems</t>
  </si>
  <si>
    <t>CoStar Group</t>
  </si>
  <si>
    <t>Carlisle Companies</t>
  </si>
  <si>
    <t>CSL Limited</t>
  </si>
  <si>
    <t>Cintas</t>
  </si>
  <si>
    <t>Catalent</t>
  </si>
  <si>
    <t>Citic</t>
  </si>
  <si>
    <t>Cabot Oil &amp; Gas</t>
  </si>
  <si>
    <t>CTRA</t>
  </si>
  <si>
    <t>Country Garden Holdings</t>
  </si>
  <si>
    <t>Cognizant Technology Solutions</t>
  </si>
  <si>
    <t>Continental</t>
  </si>
  <si>
    <t>Corteva</t>
  </si>
  <si>
    <t>Citrix Systems</t>
  </si>
  <si>
    <t>Colruyt</t>
  </si>
  <si>
    <t>Cousins Properties</t>
  </si>
  <si>
    <t>CureVac</t>
  </si>
  <si>
    <t>CVB Financial</t>
  </si>
  <si>
    <t>Cenovus Energy</t>
  </si>
  <si>
    <t>CVR Energy</t>
  </si>
  <si>
    <t>CVI</t>
  </si>
  <si>
    <t>Carvana</t>
  </si>
  <si>
    <t>CVS Health</t>
  </si>
  <si>
    <t>Chevron</t>
  </si>
  <si>
    <t>CurtissWright</t>
  </si>
  <si>
    <t>Clearwater Analytics Holdings</t>
  </si>
  <si>
    <t>CWAN</t>
  </si>
  <si>
    <t>Clearway Energy</t>
  </si>
  <si>
    <t>CWENA</t>
  </si>
  <si>
    <t>Cushman &amp; Wakefield</t>
  </si>
  <si>
    <t>Casella Waste Systems</t>
  </si>
  <si>
    <t>Cemex</t>
  </si>
  <si>
    <t>Sprinklr</t>
  </si>
  <si>
    <t>CXM</t>
  </si>
  <si>
    <t>CyberAgent</t>
  </si>
  <si>
    <t>CyberArk Software</t>
  </si>
  <si>
    <t>Cytokinetics</t>
  </si>
  <si>
    <t>CYTK</t>
  </si>
  <si>
    <t>Caesars Entertainment</t>
  </si>
  <si>
    <t>Dominion Energy</t>
  </si>
  <si>
    <t>Delta Air Lines</t>
  </si>
  <si>
    <t>Darling Ingredients</t>
  </si>
  <si>
    <t>DoorDash</t>
  </si>
  <si>
    <t>Dassault Systemes</t>
  </si>
  <si>
    <t>Endava</t>
  </si>
  <si>
    <t>DBC</t>
  </si>
  <si>
    <t>Deutsche Boerse</t>
  </si>
  <si>
    <t>DigitalBridge Group</t>
  </si>
  <si>
    <t>DBRG</t>
  </si>
  <si>
    <t>DBS Group</t>
  </si>
  <si>
    <t>Dropbox</t>
  </si>
  <si>
    <t>Donaldson</t>
  </si>
  <si>
    <t>DCP Midstream Partners</t>
  </si>
  <si>
    <t>DuPont de Nemours</t>
  </si>
  <si>
    <t>Datadog</t>
  </si>
  <si>
    <t>Dillard's</t>
  </si>
  <si>
    <t>Deckers Outdoor</t>
  </si>
  <si>
    <t>Douglas Emmett</t>
  </si>
  <si>
    <t>Dell Technologies</t>
  </si>
  <si>
    <t>Denbury</t>
  </si>
  <si>
    <t>Diageo</t>
  </si>
  <si>
    <t>Dairy Farm International</t>
  </si>
  <si>
    <t>Dollar General</t>
  </si>
  <si>
    <t>Quest Diagnostics</t>
  </si>
  <si>
    <t>D.R. Horton</t>
  </si>
  <si>
    <t>Danaher</t>
  </si>
  <si>
    <t>DiDi Global</t>
  </si>
  <si>
    <t>DIDI</t>
  </si>
  <si>
    <t>Daito Trust Construction Co.</t>
  </si>
  <si>
    <t>HF Sinclair Corporation</t>
  </si>
  <si>
    <t>DINO</t>
  </si>
  <si>
    <t>Screen Holdings</t>
  </si>
  <si>
    <t>DINRF</t>
  </si>
  <si>
    <t>Diodes</t>
  </si>
  <si>
    <t>Disney</t>
  </si>
  <si>
    <t>DISH Network</t>
  </si>
  <si>
    <t>Daikin Industries</t>
  </si>
  <si>
    <t>DraftKings</t>
  </si>
  <si>
    <t>DICK'S Sporting Goods</t>
  </si>
  <si>
    <t>Deutsche Lufthansa</t>
  </si>
  <si>
    <t>DLocal Limited</t>
  </si>
  <si>
    <t>DLO</t>
  </si>
  <si>
    <t>Digital Realty Trust</t>
  </si>
  <si>
    <t>Dollar Tree</t>
  </si>
  <si>
    <t>Soaring Eagle Acquisition</t>
  </si>
  <si>
    <t>DNA</t>
  </si>
  <si>
    <t>Dun &amp; Bradstreet</t>
  </si>
  <si>
    <t>DNB Bank ASA</t>
  </si>
  <si>
    <t>DNBBY</t>
  </si>
  <si>
    <t>Dongfeng Motor Group</t>
  </si>
  <si>
    <t>DANSKE BANK</t>
  </si>
  <si>
    <t>DigitalOcean</t>
  </si>
  <si>
    <t>Doximity</t>
  </si>
  <si>
    <t>DOCS</t>
  </si>
  <si>
    <t>DocuSign</t>
  </si>
  <si>
    <t>BRP</t>
  </si>
  <si>
    <t>Dorman Products</t>
  </si>
  <si>
    <t>Dover</t>
  </si>
  <si>
    <t>Dow</t>
  </si>
  <si>
    <t>Amdocs</t>
  </si>
  <si>
    <t>Deutsche Post</t>
  </si>
  <si>
    <t>Domino's Pizza</t>
  </si>
  <si>
    <t>DAQO New Energy</t>
  </si>
  <si>
    <t>Duke Realty</t>
  </si>
  <si>
    <t>Darden Restaurants</t>
  </si>
  <si>
    <t>Driven Brands Holdings</t>
  </si>
  <si>
    <t>DRVN</t>
  </si>
  <si>
    <t>DSV</t>
  </si>
  <si>
    <t>Daiwa Securities Group</t>
  </si>
  <si>
    <t>Diversey Holdings</t>
  </si>
  <si>
    <t>The Descartes Systems Group</t>
  </si>
  <si>
    <t>DiaSorin</t>
  </si>
  <si>
    <t>Dynatrace</t>
  </si>
  <si>
    <t>DTE Energy</t>
  </si>
  <si>
    <t>Deutsche Telekom</t>
  </si>
  <si>
    <t>DT Midstream</t>
  </si>
  <si>
    <t>DTM</t>
  </si>
  <si>
    <t>Dufry</t>
  </si>
  <si>
    <t>Duke Energy</t>
  </si>
  <si>
    <t>Duolingo</t>
  </si>
  <si>
    <t>DUOL</t>
  </si>
  <si>
    <t>DoubleVerify</t>
  </si>
  <si>
    <t>DaVita</t>
  </si>
  <si>
    <t>Devon Energy</t>
  </si>
  <si>
    <t>DXC Technology</t>
  </si>
  <si>
    <t>DexCom</t>
  </si>
  <si>
    <t>Eni</t>
  </si>
  <si>
    <t>E</t>
  </si>
  <si>
    <t>Electronic Arts</t>
  </si>
  <si>
    <t>eBay</t>
  </si>
  <si>
    <t>Eastern Bankshares</t>
  </si>
  <si>
    <t>Erste Group Bank</t>
  </si>
  <si>
    <t>Centrais Eltricas Brasileiras</t>
  </si>
  <si>
    <t>Eletrobras</t>
  </si>
  <si>
    <t>EBR.B</t>
  </si>
  <si>
    <t>Ecopetrol</t>
  </si>
  <si>
    <t>Electricite de France</t>
  </si>
  <si>
    <t>Ecolab</t>
  </si>
  <si>
    <t>Consolidated Edison</t>
  </si>
  <si>
    <t>Endeavor Group</t>
  </si>
  <si>
    <t>EDR</t>
  </si>
  <si>
    <t>Euronet Worldwide</t>
  </si>
  <si>
    <t>Equifax</t>
  </si>
  <si>
    <t>ENGIE BRASL EGA</t>
  </si>
  <si>
    <t>EGIEY</t>
  </si>
  <si>
    <t>EastGroup Properties</t>
  </si>
  <si>
    <t>Encompass Health</t>
  </si>
  <si>
    <t>The Estee Lauder Companies</t>
  </si>
  <si>
    <t>Elanco Animal Health</t>
  </si>
  <si>
    <t>Companhia Paranaense de Energia COPEL</t>
  </si>
  <si>
    <t>ELP</t>
  </si>
  <si>
    <t>Equity Lifestyle Properties</t>
  </si>
  <si>
    <t>Electrolux</t>
  </si>
  <si>
    <t>Callaway Golf</t>
  </si>
  <si>
    <t>EMCOR Group</t>
  </si>
  <si>
    <t>Eastman Chemical</t>
  </si>
  <si>
    <t>Enbridge</t>
  </si>
  <si>
    <t>Enagas</t>
  </si>
  <si>
    <t>GDF Suez</t>
  </si>
  <si>
    <t>Enel Americas</t>
  </si>
  <si>
    <t>Enel</t>
  </si>
  <si>
    <t>EnLink Midstream</t>
  </si>
  <si>
    <t>ENLC</t>
  </si>
  <si>
    <t>Enovis Corporation</t>
  </si>
  <si>
    <t>ENOV</t>
  </si>
  <si>
    <t>Enphase Energy</t>
  </si>
  <si>
    <t>The Ensign Group</t>
  </si>
  <si>
    <t>Entegris</t>
  </si>
  <si>
    <t>Envestnet</t>
  </si>
  <si>
    <t>EOG Resources</t>
  </si>
  <si>
    <t>E.ON</t>
  </si>
  <si>
    <t>EPAM Systems</t>
  </si>
  <si>
    <t>Enterprise Products Partners</t>
  </si>
  <si>
    <t>Equitable Holdings</t>
  </si>
  <si>
    <t>Equinix</t>
  </si>
  <si>
    <t>Equinor</t>
  </si>
  <si>
    <t>EQNR</t>
  </si>
  <si>
    <t>Enerplus</t>
  </si>
  <si>
    <t>ERF</t>
  </si>
  <si>
    <t>Erie Indemnity</t>
  </si>
  <si>
    <t>Element Solutions</t>
  </si>
  <si>
    <t>EssilorLuxottica</t>
  </si>
  <si>
    <t>EngageSmart</t>
  </si>
  <si>
    <t>ESMT</t>
  </si>
  <si>
    <t>Essent Group</t>
  </si>
  <si>
    <t>Essex Property Trust</t>
  </si>
  <si>
    <t>Elastic</t>
  </si>
  <si>
    <t>Energy Transfer</t>
  </si>
  <si>
    <t>Eaton</t>
  </si>
  <si>
    <t>Entergy</t>
  </si>
  <si>
    <t>Equitrans Midstream</t>
  </si>
  <si>
    <t>Etsy</t>
  </si>
  <si>
    <t>ENVIVA INC</t>
  </si>
  <si>
    <t>EVA</t>
  </si>
  <si>
    <t>EVN</t>
  </si>
  <si>
    <t>Evotec</t>
  </si>
  <si>
    <t>EVO</t>
  </si>
  <si>
    <t>Evercore</t>
  </si>
  <si>
    <t>Evergy</t>
  </si>
  <si>
    <t>Edwards Lifesciences</t>
  </si>
  <si>
    <t>East West Bancorp</t>
  </si>
  <si>
    <t>Exact Sciences</t>
  </si>
  <si>
    <t>Exelon</t>
  </si>
  <si>
    <t>Exelixis</t>
  </si>
  <si>
    <t>EXL Service</t>
  </si>
  <si>
    <t>Eagle Materials</t>
  </si>
  <si>
    <t>Expeditors International of Washington</t>
  </si>
  <si>
    <t>Expedia Group</t>
  </si>
  <si>
    <t>Experian</t>
  </si>
  <si>
    <t>Exponent</t>
  </si>
  <si>
    <t>Extra Space Storage</t>
  </si>
  <si>
    <t>Ford Motor</t>
  </si>
  <si>
    <t>First American Financial</t>
  </si>
  <si>
    <t>Diamondback Energy</t>
  </si>
  <si>
    <t>Fanuc</t>
  </si>
  <si>
    <t>Fastenal</t>
  </si>
  <si>
    <t>Meta Platforms</t>
  </si>
  <si>
    <t>Fortune Brands Home &amp; Security</t>
  </si>
  <si>
    <t>FIRSTCASH HLDGS</t>
  </si>
  <si>
    <t>FTI Consulting</t>
  </si>
  <si>
    <t>First Citizens BancShares</t>
  </si>
  <si>
    <t>FreeportMcMoRan</t>
  </si>
  <si>
    <t>FactSet Research Systems</t>
  </si>
  <si>
    <t>FedEx</t>
  </si>
  <si>
    <t>FirstEnergy</t>
  </si>
  <si>
    <t>Franklin Electric Co.</t>
  </si>
  <si>
    <t>Wolseley</t>
  </si>
  <si>
    <t>First Financial Bankshares</t>
  </si>
  <si>
    <t>F5</t>
  </si>
  <si>
    <t>First Hawaiian</t>
  </si>
  <si>
    <t>Federated Hermes</t>
  </si>
  <si>
    <t>First Horizon</t>
  </si>
  <si>
    <t>First Interstate BancSystem</t>
  </si>
  <si>
    <t>FIBK</t>
  </si>
  <si>
    <t>Fair Isaac</t>
  </si>
  <si>
    <t>First National of Nebraska</t>
  </si>
  <si>
    <t>Fidelity National Information Services</t>
  </si>
  <si>
    <t>Fiserv</t>
  </si>
  <si>
    <t>Five Below</t>
  </si>
  <si>
    <t>Five9</t>
  </si>
  <si>
    <t>Comfort Systems USA</t>
  </si>
  <si>
    <t>National Beverage</t>
  </si>
  <si>
    <t>Foot Locker</t>
  </si>
  <si>
    <t>Flex</t>
  </si>
  <si>
    <t>Flowers Foods</t>
  </si>
  <si>
    <t>Fluor</t>
  </si>
  <si>
    <t>FLR</t>
  </si>
  <si>
    <t>Flowserve</t>
  </si>
  <si>
    <t>FleetCor Technologies</t>
  </si>
  <si>
    <t>Fresenius Medical Care AG &amp; Co.</t>
  </si>
  <si>
    <t>Fomento Economico Mexicano</t>
  </si>
  <si>
    <t>FMX</t>
  </si>
  <si>
    <t>F.N.B.</t>
  </si>
  <si>
    <t>Floor &amp; Decor</t>
  </si>
  <si>
    <t>Fidelity National Financial</t>
  </si>
  <si>
    <t>Fresnillo</t>
  </si>
  <si>
    <t>FrancoNevada</t>
  </si>
  <si>
    <t>FormFactor</t>
  </si>
  <si>
    <t>FORM</t>
  </si>
  <si>
    <t>Shift4 Payments</t>
  </si>
  <si>
    <t>Fox</t>
  </si>
  <si>
    <t>Fox Factory Holdings</t>
  </si>
  <si>
    <t>First Quantum Minerals</t>
  </si>
  <si>
    <t>First Industrial Realty Trust</t>
  </si>
  <si>
    <t>Fairfax Financial</t>
  </si>
  <si>
    <t>Ferrovial</t>
  </si>
  <si>
    <t>Freshwork</t>
  </si>
  <si>
    <t>FRSH</t>
  </si>
  <si>
    <t>Freenet</t>
  </si>
  <si>
    <t>FS KKR Capital Corp.</t>
  </si>
  <si>
    <t>FSK</t>
  </si>
  <si>
    <t>First Solar</t>
  </si>
  <si>
    <t>Fresenius SE &amp; Co.</t>
  </si>
  <si>
    <t>Fisker</t>
  </si>
  <si>
    <t>Fortescue Metals Group</t>
  </si>
  <si>
    <t>FirstService</t>
  </si>
  <si>
    <t>TechnipFMC</t>
  </si>
  <si>
    <t>Fortinet</t>
  </si>
  <si>
    <t>Fortis</t>
  </si>
  <si>
    <t>Fortive</t>
  </si>
  <si>
    <t>Fujifilm</t>
  </si>
  <si>
    <t>H. B. Fuller</t>
  </si>
  <si>
    <t>Fuchs Petrolub</t>
  </si>
  <si>
    <t>Futu Holdings</t>
  </si>
  <si>
    <t>Liberty Media</t>
  </si>
  <si>
    <t>Frontier Communications Parent</t>
  </si>
  <si>
    <t>FYBR</t>
  </si>
  <si>
    <t>Genpact</t>
  </si>
  <si>
    <t>Glacier Bancorp</t>
  </si>
  <si>
    <t>Gibson Energy</t>
  </si>
  <si>
    <t>Grupo Financiero Banorte</t>
  </si>
  <si>
    <t>Gamesa Corporacion Tecnologica</t>
  </si>
  <si>
    <t>GCTAY</t>
  </si>
  <si>
    <t>General Dynamics</t>
  </si>
  <si>
    <t>GoDaddy</t>
  </si>
  <si>
    <t>GoodRx</t>
  </si>
  <si>
    <t>GDS Holdings</t>
  </si>
  <si>
    <t>General Electric</t>
  </si>
  <si>
    <t>GEA Group</t>
  </si>
  <si>
    <t>Greif</t>
  </si>
  <si>
    <t>GEF</t>
  </si>
  <si>
    <t>Geely Automobile</t>
  </si>
  <si>
    <t>GFL Environmental</t>
  </si>
  <si>
    <t>GlobalFoundries</t>
  </si>
  <si>
    <t>GFS</t>
  </si>
  <si>
    <t>Graco</t>
  </si>
  <si>
    <t>Guardant Health</t>
  </si>
  <si>
    <t>CGI Group</t>
  </si>
  <si>
    <t>Gildan Activewear</t>
  </si>
  <si>
    <t>Gilead Sciences</t>
  </si>
  <si>
    <t>General Mills</t>
  </si>
  <si>
    <t>Globe Life</t>
  </si>
  <si>
    <t>Glanbia</t>
  </si>
  <si>
    <t>Glencore</t>
  </si>
  <si>
    <t>Globant</t>
  </si>
  <si>
    <t>Galp Energia</t>
  </si>
  <si>
    <t>Galapagos</t>
  </si>
  <si>
    <t>Gaming and Leisure Properties</t>
  </si>
  <si>
    <t>Corning</t>
  </si>
  <si>
    <t>General Motors</t>
  </si>
  <si>
    <t>Genmab</t>
  </si>
  <si>
    <t>GameStop</t>
  </si>
  <si>
    <t>Globus Medical</t>
  </si>
  <si>
    <t>GN Store Nord</t>
  </si>
  <si>
    <t>Generac Holdings</t>
  </si>
  <si>
    <t>Gentex</t>
  </si>
  <si>
    <t>Grocery Outlet</t>
  </si>
  <si>
    <t>Barrick Gold</t>
  </si>
  <si>
    <t>Alphabet</t>
  </si>
  <si>
    <t>Genuine Parts</t>
  </si>
  <si>
    <t>Grupo Financiero Inbur</t>
  </si>
  <si>
    <t>Global Payments</t>
  </si>
  <si>
    <t>Grupo Carso</t>
  </si>
  <si>
    <t>GPOVY</t>
  </si>
  <si>
    <t>The Gap</t>
  </si>
  <si>
    <t>Grab</t>
  </si>
  <si>
    <t>GRAB</t>
  </si>
  <si>
    <t>Grifols</t>
  </si>
  <si>
    <t>Garmin</t>
  </si>
  <si>
    <t>Granite Real Estate</t>
  </si>
  <si>
    <t>Grasim Industries</t>
  </si>
  <si>
    <t>The Goldman Sachs Group</t>
  </si>
  <si>
    <t>GlaxoSmithKline</t>
  </si>
  <si>
    <t>Goodyear</t>
  </si>
  <si>
    <t>Gitlab</t>
  </si>
  <si>
    <t>GTLB</t>
  </si>
  <si>
    <t>Chart Industries</t>
  </si>
  <si>
    <t>Guidewire Software</t>
  </si>
  <si>
    <t>W.W. Grainger</t>
  </si>
  <si>
    <t>GXO Logistics</t>
  </si>
  <si>
    <t>GXO</t>
  </si>
  <si>
    <t>Hyatt Hotels</t>
  </si>
  <si>
    <t>Haemonetics</t>
  </si>
  <si>
    <t>HAE</t>
  </si>
  <si>
    <t>Halliburton</t>
  </si>
  <si>
    <t>Halozyme Therapeutics</t>
  </si>
  <si>
    <t>Hasbro</t>
  </si>
  <si>
    <t>Hannon Armstrong Sustainable Infrastructure Capita</t>
  </si>
  <si>
    <t>Hayward Holdings</t>
  </si>
  <si>
    <t>Huntington Bancshares</t>
  </si>
  <si>
    <t>Hanesbrands</t>
  </si>
  <si>
    <t>Harbour Energy</t>
  </si>
  <si>
    <t>HCA Healthcare</t>
  </si>
  <si>
    <t>Holcim</t>
  </si>
  <si>
    <t>HashiCorp, Inc.</t>
  </si>
  <si>
    <t>HCP</t>
  </si>
  <si>
    <t>Home Depot</t>
  </si>
  <si>
    <t>HeidelbergCement</t>
  </si>
  <si>
    <t>Hawaiian Electric Industries</t>
  </si>
  <si>
    <t>Hengan International Group Co.</t>
  </si>
  <si>
    <t>Heico</t>
  </si>
  <si>
    <t>Heineken</t>
  </si>
  <si>
    <t>Helen of Troy</t>
  </si>
  <si>
    <t>Hess</t>
  </si>
  <si>
    <t>Power Assets</t>
  </si>
  <si>
    <t>Hagerty</t>
  </si>
  <si>
    <t>HGTY</t>
  </si>
  <si>
    <t>Hilton Grand Vacations</t>
  </si>
  <si>
    <t>The Howard Hughes Corporation</t>
  </si>
  <si>
    <t>The Hartford Financial Services Group</t>
  </si>
  <si>
    <t>Huntington Ingalls Industries</t>
  </si>
  <si>
    <t>Hino Motors</t>
  </si>
  <si>
    <t>Highwoods Properties</t>
  </si>
  <si>
    <t>Houlihan Lokey</t>
  </si>
  <si>
    <t>Halma</t>
  </si>
  <si>
    <t>Hamilton Lane</t>
  </si>
  <si>
    <t>Hang Lung Properties</t>
  </si>
  <si>
    <t>Hilton Worldwide</t>
  </si>
  <si>
    <t>Hellenic Telecom Organization</t>
  </si>
  <si>
    <t>HLTOY</t>
  </si>
  <si>
    <t>H Lundbeck</t>
  </si>
  <si>
    <t>Hongkong Land</t>
  </si>
  <si>
    <t>Hon Hai Precision Industry Co.</t>
  </si>
  <si>
    <t>HNHPF</t>
  </si>
  <si>
    <t>Huaneng Power International</t>
  </si>
  <si>
    <t>Hoya</t>
  </si>
  <si>
    <t>HarleyDavidson</t>
  </si>
  <si>
    <t>Hologic</t>
  </si>
  <si>
    <t>Home BancShares</t>
  </si>
  <si>
    <t>Honeywell International</t>
  </si>
  <si>
    <t>Robinhood Markets</t>
  </si>
  <si>
    <t>HOOD</t>
  </si>
  <si>
    <t>Helmerich &amp; Payne</t>
  </si>
  <si>
    <t>Hewlett Packard</t>
  </si>
  <si>
    <t>HighPeak Energy</t>
  </si>
  <si>
    <t>HPK</t>
  </si>
  <si>
    <t>HealthEquity</t>
  </si>
  <si>
    <t>Healthcare Realty Trust</t>
  </si>
  <si>
    <t>H&amp;R Block</t>
  </si>
  <si>
    <t>Hargreaves Lansdown</t>
  </si>
  <si>
    <t>Herc Holdings</t>
  </si>
  <si>
    <t>Hormel Foods</t>
  </si>
  <si>
    <t>Henry Schein</t>
  </si>
  <si>
    <t>Hang Seng Bank</t>
  </si>
  <si>
    <t>HSNGY</t>
  </si>
  <si>
    <t>Host Hotels &amp; Resorts</t>
  </si>
  <si>
    <t>Hershey</t>
  </si>
  <si>
    <t>Healthcare Trust of America</t>
  </si>
  <si>
    <t>China Lodging Group</t>
  </si>
  <si>
    <t>Hertz Global</t>
  </si>
  <si>
    <t>HTZ</t>
  </si>
  <si>
    <t>Hubbell</t>
  </si>
  <si>
    <t>HubSpot</t>
  </si>
  <si>
    <t>Humana</t>
  </si>
  <si>
    <t>Huntsman</t>
  </si>
  <si>
    <t>Hancock Whitney</t>
  </si>
  <si>
    <t>Howden Joinery</t>
  </si>
  <si>
    <t>Howmet Aerospace</t>
  </si>
  <si>
    <t>Hexcel</t>
  </si>
  <si>
    <t>Horizon Therapeutics</t>
  </si>
  <si>
    <t>Integra LifeSciences</t>
  </si>
  <si>
    <t>Iberdrola</t>
  </si>
  <si>
    <t>Interactive Brokers</t>
  </si>
  <si>
    <t>International Business Machines</t>
  </si>
  <si>
    <t>ICICI Bank</t>
  </si>
  <si>
    <t>Independent Bank Group</t>
  </si>
  <si>
    <t>International Consolidated Airlines Group</t>
  </si>
  <si>
    <t>Intercontinental Exchange</t>
  </si>
  <si>
    <t>ICON</t>
  </si>
  <si>
    <t>ICU Medical</t>
  </si>
  <si>
    <t>IDACORP</t>
  </si>
  <si>
    <t>Industrial &amp; Commercial Bank of China</t>
  </si>
  <si>
    <t>Industria de Diseno Textil</t>
  </si>
  <si>
    <t>IDEXY</t>
  </si>
  <si>
    <t>IDEXX Laboratories</t>
  </si>
  <si>
    <t>Icahn Enterprises</t>
  </si>
  <si>
    <t>IDEX</t>
  </si>
  <si>
    <t>International Flavors &amp; Fragrances</t>
  </si>
  <si>
    <t>Infineon Technologies</t>
  </si>
  <si>
    <t>Intercorp Financial Services</t>
  </si>
  <si>
    <t>IFS</t>
  </si>
  <si>
    <t>IHI CORP</t>
  </si>
  <si>
    <t>IHICY</t>
  </si>
  <si>
    <t>IHS Holding</t>
  </si>
  <si>
    <t>IHS</t>
  </si>
  <si>
    <t>Internet Initiative Japan</t>
  </si>
  <si>
    <t>IIJIY</t>
  </si>
  <si>
    <t>Innovative Industrial Properties</t>
  </si>
  <si>
    <t>INTERTEK GP</t>
  </si>
  <si>
    <t>Illumina</t>
  </si>
  <si>
    <t>IMI</t>
  </si>
  <si>
    <t>Imperial Oil</t>
  </si>
  <si>
    <t>Impala Platinum</t>
  </si>
  <si>
    <t>Incyte</t>
  </si>
  <si>
    <t>Independent Bank</t>
  </si>
  <si>
    <t>INDB</t>
  </si>
  <si>
    <t>Informatica Inc.</t>
  </si>
  <si>
    <t>INFA</t>
  </si>
  <si>
    <t>Infosys</t>
  </si>
  <si>
    <t>ING Group</t>
  </si>
  <si>
    <t>Ingredion</t>
  </si>
  <si>
    <t>Inspire Medical Systems</t>
  </si>
  <si>
    <t>Intel</t>
  </si>
  <si>
    <t>Intuit</t>
  </si>
  <si>
    <t>Invitation Home</t>
  </si>
  <si>
    <t>Ionis Pharmaceuticals</t>
  </si>
  <si>
    <t>Samsara Inc.</t>
  </si>
  <si>
    <t>IOT</t>
  </si>
  <si>
    <t>International Paper</t>
  </si>
  <si>
    <t>The Interpublic Group of Companies</t>
  </si>
  <si>
    <t>IPG Photonics</t>
  </si>
  <si>
    <t>IPSEN</t>
  </si>
  <si>
    <t>Inpex</t>
  </si>
  <si>
    <t>iQIYI</t>
  </si>
  <si>
    <t>IQVIA</t>
  </si>
  <si>
    <t>Ingersoll Rand</t>
  </si>
  <si>
    <t>Iridium Communications</t>
  </si>
  <si>
    <t>Iron Mountain</t>
  </si>
  <si>
    <t>Independence Realty Trust</t>
  </si>
  <si>
    <t>IRT</t>
  </si>
  <si>
    <t>iRhythm Technologies</t>
  </si>
  <si>
    <t>IRTC</t>
  </si>
  <si>
    <t>Intesa Sanpaolo</t>
  </si>
  <si>
    <t>Intuitive Surgical</t>
  </si>
  <si>
    <t>Isuzu Motors</t>
  </si>
  <si>
    <t>Gartner</t>
  </si>
  <si>
    <t>IntraCellular Therapies</t>
  </si>
  <si>
    <t>Itochu</t>
  </si>
  <si>
    <t>Itau Unibanco</t>
  </si>
  <si>
    <t>ITV</t>
  </si>
  <si>
    <t>Illinois Tool Works</t>
  </si>
  <si>
    <t>Invesco</t>
  </si>
  <si>
    <t>IYE</t>
  </si>
  <si>
    <t>Jacobs Engineering Group</t>
  </si>
  <si>
    <t>Jamf</t>
  </si>
  <si>
    <t>JAPAN TOB</t>
  </si>
  <si>
    <t>JAPAY</t>
  </si>
  <si>
    <t>Japan Airlines</t>
  </si>
  <si>
    <t>Jazz Pharmaceuticals</t>
  </si>
  <si>
    <t>J.B. Hunt Transport Services</t>
  </si>
  <si>
    <t>Jabil</t>
  </si>
  <si>
    <t>JetBlue Airways</t>
  </si>
  <si>
    <t>JBS</t>
  </si>
  <si>
    <t>John Bean Technologies</t>
  </si>
  <si>
    <t>JC Decaux</t>
  </si>
  <si>
    <t>JCDXF</t>
  </si>
  <si>
    <t>Johnson Controls International</t>
  </si>
  <si>
    <t>JD.com</t>
  </si>
  <si>
    <t>Jefferies Financial Group</t>
  </si>
  <si>
    <t>Jfe Holdings</t>
  </si>
  <si>
    <t>Janus Henderson Group</t>
  </si>
  <si>
    <t>James Hardie Industries</t>
  </si>
  <si>
    <t>Jack Henry &amp; Associates</t>
  </si>
  <si>
    <t>Jones Lang LaSalle</t>
  </si>
  <si>
    <t>Jardine Matheson</t>
  </si>
  <si>
    <t>Johnson Matthey</t>
  </si>
  <si>
    <t>JMPLY</t>
  </si>
  <si>
    <t>Juniper Networks</t>
  </si>
  <si>
    <t>Joby Aviation, Inc.</t>
  </si>
  <si>
    <t>JOBY</t>
  </si>
  <si>
    <t>Jeronimo Martins SGPS</t>
  </si>
  <si>
    <t>JRONY</t>
  </si>
  <si>
    <t>J. Sainsbury</t>
  </si>
  <si>
    <t>JSR CP UNSP</t>
  </si>
  <si>
    <t>Grubhub</t>
  </si>
  <si>
    <t>JTKWY</t>
  </si>
  <si>
    <t>Nordstrom</t>
  </si>
  <si>
    <t>Jackson Financial</t>
  </si>
  <si>
    <t>JXN</t>
  </si>
  <si>
    <t>Kellogg's</t>
  </si>
  <si>
    <t>KB Financial Group</t>
  </si>
  <si>
    <t>KBC Group</t>
  </si>
  <si>
    <t>KDDI</t>
  </si>
  <si>
    <t>Keurig Dr Pepper</t>
  </si>
  <si>
    <t>Kenon</t>
  </si>
  <si>
    <t>KEN</t>
  </si>
  <si>
    <t>Kirby</t>
  </si>
  <si>
    <t>Keysight Technologies</t>
  </si>
  <si>
    <t>Kinross Gold</t>
  </si>
  <si>
    <t>Kingdee International Software Group Co.</t>
  </si>
  <si>
    <t>Kingfisher</t>
  </si>
  <si>
    <t>Kraft Heinz</t>
  </si>
  <si>
    <t>Kuehne &amp; Nagel International</t>
  </si>
  <si>
    <t>KHNGY</t>
  </si>
  <si>
    <t>Kion Group</t>
  </si>
  <si>
    <t>Kimco Realty</t>
  </si>
  <si>
    <t>Kumba Iron Ore</t>
  </si>
  <si>
    <t>Koninklijke KPN</t>
  </si>
  <si>
    <t>KKR &amp; Co.</t>
  </si>
  <si>
    <t>KLA</t>
  </si>
  <si>
    <t>Kulicke and Soffa Industries</t>
  </si>
  <si>
    <t>KLEPIERRE</t>
  </si>
  <si>
    <t>Kunlun Energy</t>
  </si>
  <si>
    <t>KimberlyClark</t>
  </si>
  <si>
    <t>Kinder Morgan</t>
  </si>
  <si>
    <t>Kemper</t>
  </si>
  <si>
    <t>Komatsu</t>
  </si>
  <si>
    <t>CarMax</t>
  </si>
  <si>
    <t>Kirin</t>
  </si>
  <si>
    <t>Kinsale Capital Group</t>
  </si>
  <si>
    <t>KINETIK HLDGS</t>
  </si>
  <si>
    <t>KNTK</t>
  </si>
  <si>
    <t>KnightSwift Transportation</t>
  </si>
  <si>
    <t>Coca-Cola</t>
  </si>
  <si>
    <t>Coca Cola Femsa</t>
  </si>
  <si>
    <t>KOF</t>
  </si>
  <si>
    <t>Kosmos Energy</t>
  </si>
  <si>
    <t>KOS</t>
  </si>
  <si>
    <t>Keppel</t>
  </si>
  <si>
    <t>Kilroy Realty</t>
  </si>
  <si>
    <t>Kite Realty Group Trust</t>
  </si>
  <si>
    <t>KRG</t>
  </si>
  <si>
    <t>Karuna Therapeutics</t>
  </si>
  <si>
    <t>Kerry Group</t>
  </si>
  <si>
    <t>Kohl's</t>
  </si>
  <si>
    <t>Kubota</t>
  </si>
  <si>
    <t>Kawasaki Heavy Industries</t>
  </si>
  <si>
    <t>Keyence</t>
  </si>
  <si>
    <t>Loews</t>
  </si>
  <si>
    <t>Lithium Americas</t>
  </si>
  <si>
    <t>LAC</t>
  </si>
  <si>
    <t>Lithia Motors</t>
  </si>
  <si>
    <t>Lamar Advertising</t>
  </si>
  <si>
    <t>Lancaster Colony</t>
  </si>
  <si>
    <t>Luminar Technologies</t>
  </si>
  <si>
    <t>Liberty Broadband</t>
  </si>
  <si>
    <t>Liberty Energy Inc.</t>
  </si>
  <si>
    <t>LBRT</t>
  </si>
  <si>
    <t>Liberty Global</t>
  </si>
  <si>
    <t>Lucid Group</t>
  </si>
  <si>
    <t>LCID</t>
  </si>
  <si>
    <t>Leidos</t>
  </si>
  <si>
    <t>Lear</t>
  </si>
  <si>
    <t>Lincoln Electric</t>
  </si>
  <si>
    <t>Leggett &amp; Platt</t>
  </si>
  <si>
    <t>Legend Biotech</t>
  </si>
  <si>
    <t>Lennar</t>
  </si>
  <si>
    <t>Leslies</t>
  </si>
  <si>
    <t>China Life</t>
  </si>
  <si>
    <t>Littelfuse</t>
  </si>
  <si>
    <t>Legal &amp; General Group</t>
  </si>
  <si>
    <t>LeGrand</t>
  </si>
  <si>
    <t>Laboratory Corp. of America</t>
  </si>
  <si>
    <t>LHC Group</t>
  </si>
  <si>
    <t>L3Harris Technologies</t>
  </si>
  <si>
    <t>Li Auto</t>
  </si>
  <si>
    <t>Lennox International</t>
  </si>
  <si>
    <t>Linde</t>
  </si>
  <si>
    <t>Lumentum</t>
  </si>
  <si>
    <t>LivaNova</t>
  </si>
  <si>
    <t>Eli Lilly</t>
  </si>
  <si>
    <t>Lockheed Martin</t>
  </si>
  <si>
    <t>Lincoln National</t>
  </si>
  <si>
    <t>Cheniere Energy</t>
  </si>
  <si>
    <t>Alliant Energy</t>
  </si>
  <si>
    <t>Lantheus</t>
  </si>
  <si>
    <t>LNTH</t>
  </si>
  <si>
    <t>Lenovo Group</t>
  </si>
  <si>
    <t>Light &amp; Wonder, Inc.</t>
  </si>
  <si>
    <t>LNW</t>
  </si>
  <si>
    <t>Lowe's Companies</t>
  </si>
  <si>
    <t>LG Display Co.</t>
  </si>
  <si>
    <t>LPL Financial</t>
  </si>
  <si>
    <t>LouisianaPacific</t>
  </si>
  <si>
    <t>Lam Research</t>
  </si>
  <si>
    <t>L'Oreal</t>
  </si>
  <si>
    <t>Lattice Semiconductor</t>
  </si>
  <si>
    <t>Land Securities Group</t>
  </si>
  <si>
    <t>Life Storage</t>
  </si>
  <si>
    <t>Lightspeed POS</t>
  </si>
  <si>
    <t>Landstar System</t>
  </si>
  <si>
    <t>Livent</t>
  </si>
  <si>
    <t>Lufax</t>
  </si>
  <si>
    <t>lululemon athletica</t>
  </si>
  <si>
    <t>Lumen Technologies</t>
  </si>
  <si>
    <t>Lundin Mining</t>
  </si>
  <si>
    <t>Southwest Airlines</t>
  </si>
  <si>
    <t>LVMH Moet Hennessy Louis Vuitton</t>
  </si>
  <si>
    <t>Las Vegas Sands</t>
  </si>
  <si>
    <t>Lamb Weston</t>
  </si>
  <si>
    <t>LXP INDUSTRL TR</t>
  </si>
  <si>
    <t>LyondellBasell Industries</t>
  </si>
  <si>
    <t>Lyft</t>
  </si>
  <si>
    <t>Lloyds Banking Group</t>
  </si>
  <si>
    <t>Lynas</t>
  </si>
  <si>
    <t>Live Nation Entertainment</t>
  </si>
  <si>
    <t>Macy's</t>
  </si>
  <si>
    <t>Mastercard</t>
  </si>
  <si>
    <t>MidAmerica Apartment Communities</t>
  </si>
  <si>
    <t>Marks and Spencer Group</t>
  </si>
  <si>
    <t>ManpowerGroup</t>
  </si>
  <si>
    <t>Manhattan Associates</t>
  </si>
  <si>
    <t>ManTech International</t>
  </si>
  <si>
    <t>Marriott International</t>
  </si>
  <si>
    <t>Marubeni</t>
  </si>
  <si>
    <t>Masco</t>
  </si>
  <si>
    <t>Masimo</t>
  </si>
  <si>
    <t>Mattel</t>
  </si>
  <si>
    <t>Matson</t>
  </si>
  <si>
    <t>MATX</t>
  </si>
  <si>
    <t>Man Wah Holdings</t>
  </si>
  <si>
    <t>Mobile TeleSystems PJSC</t>
  </si>
  <si>
    <t>MBT</t>
  </si>
  <si>
    <t>McDonald's</t>
  </si>
  <si>
    <t>Microchip Technology</t>
  </si>
  <si>
    <t>McKesson</t>
  </si>
  <si>
    <t>Moody's</t>
  </si>
  <si>
    <t>Mister Car Wash</t>
  </si>
  <si>
    <t>MCW</t>
  </si>
  <si>
    <t>MongoDB</t>
  </si>
  <si>
    <t>Mondelez International</t>
  </si>
  <si>
    <t>Medtronic</t>
  </si>
  <si>
    <t>MDU Resources Group</t>
  </si>
  <si>
    <t>Medpace</t>
  </si>
  <si>
    <t>Meggitt</t>
  </si>
  <si>
    <t>MercadoLibre</t>
  </si>
  <si>
    <t>Methanex</t>
  </si>
  <si>
    <t>MEOH</t>
  </si>
  <si>
    <t>MetLife</t>
  </si>
  <si>
    <t>Mizuho Financial Group</t>
  </si>
  <si>
    <t>Magna International</t>
  </si>
  <si>
    <t>Mohawk Industries</t>
  </si>
  <si>
    <t>Mitsubishi Heavy Industries</t>
  </si>
  <si>
    <t>The Middleby</t>
  </si>
  <si>
    <t>McCormick &amp; Company</t>
  </si>
  <si>
    <t>MKC.V</t>
  </si>
  <si>
    <t>Markel</t>
  </si>
  <si>
    <t>MKS Instruments</t>
  </si>
  <si>
    <t>Makita</t>
  </si>
  <si>
    <t>MarketAxess</t>
  </si>
  <si>
    <t>Mueller Industries</t>
  </si>
  <si>
    <t>MLI</t>
  </si>
  <si>
    <t>Martin Marietta Materials</t>
  </si>
  <si>
    <t>Marsh &amp; McLennan Companies</t>
  </si>
  <si>
    <t>3M</t>
  </si>
  <si>
    <t>Magellan Midstream Partners</t>
  </si>
  <si>
    <t>Maximus</t>
  </si>
  <si>
    <t>Merit Medical Systems</t>
  </si>
  <si>
    <t>Mandiant</t>
  </si>
  <si>
    <t>MNDT</t>
  </si>
  <si>
    <t>monday.com</t>
  </si>
  <si>
    <t>MNDY</t>
  </si>
  <si>
    <t>Monster Beverage</t>
  </si>
  <si>
    <t>Altria Group</t>
  </si>
  <si>
    <t>Molina Healthcare</t>
  </si>
  <si>
    <t>Morningstar</t>
  </si>
  <si>
    <t>MP Materials</t>
  </si>
  <si>
    <t>Marathon Petroleum</t>
  </si>
  <si>
    <t>MultiPlan</t>
  </si>
  <si>
    <t>Medical Properties Trust</t>
  </si>
  <si>
    <t>Monolithic Power Systems</t>
  </si>
  <si>
    <t>Marqeta</t>
  </si>
  <si>
    <t>MQ</t>
  </si>
  <si>
    <t>Murata Manufacturing</t>
  </si>
  <si>
    <t>Mercury Systems</t>
  </si>
  <si>
    <t>Merck &amp; Co.</t>
  </si>
  <si>
    <t>Moderna</t>
  </si>
  <si>
    <t>Marathon Oil</t>
  </si>
  <si>
    <t>Mirati Therapeutics</t>
  </si>
  <si>
    <t>Maravai LifeSciences</t>
  </si>
  <si>
    <t>Marvell Technology</t>
  </si>
  <si>
    <t>Mitsubishi</t>
  </si>
  <si>
    <t>Microsoft</t>
  </si>
  <si>
    <t>Motorola Solutions</t>
  </si>
  <si>
    <t>MSC</t>
  </si>
  <si>
    <t>Datto</t>
  </si>
  <si>
    <t>M&amp;T Bank</t>
  </si>
  <si>
    <t>Match Group</t>
  </si>
  <si>
    <t>MettlerToledo International</t>
  </si>
  <si>
    <t>Matador Resources</t>
  </si>
  <si>
    <t>MGIC Investment</t>
  </si>
  <si>
    <t>Meritage Homes</t>
  </si>
  <si>
    <t>Vail Resorts</t>
  </si>
  <si>
    <t>MTN Group</t>
  </si>
  <si>
    <t>MTNOY</t>
  </si>
  <si>
    <t>MACOM Technology Solutions</t>
  </si>
  <si>
    <t>MTU Aero Engines</t>
  </si>
  <si>
    <t>MasTec</t>
  </si>
  <si>
    <t>Micron Technology</t>
  </si>
  <si>
    <t>Mitsubishi UFJ Financial Group</t>
  </si>
  <si>
    <t>Murphy Oil</t>
  </si>
  <si>
    <t>Murphy USA</t>
  </si>
  <si>
    <t>Orbia Advance</t>
  </si>
  <si>
    <t>MXCHY</t>
  </si>
  <si>
    <t>MaxLinear</t>
  </si>
  <si>
    <t>MXL</t>
  </si>
  <si>
    <t>Mazda Motor</t>
  </si>
  <si>
    <t>MZDAY</t>
  </si>
  <si>
    <t>National Australia Bank</t>
  </si>
  <si>
    <t>NABZY</t>
  </si>
  <si>
    <t>Inari Medical</t>
  </si>
  <si>
    <t>National Instruments</t>
  </si>
  <si>
    <t>Neurocrine Biosciences</t>
  </si>
  <si>
    <t>Norwegian Cruise Line</t>
  </si>
  <si>
    <t>Newcrest Mining</t>
  </si>
  <si>
    <t>nCino Inc.</t>
  </si>
  <si>
    <t>Nasdaq</t>
  </si>
  <si>
    <t>Nitto Denko</t>
  </si>
  <si>
    <t>Nordson</t>
  </si>
  <si>
    <t>NextEra Energy</t>
  </si>
  <si>
    <t>Newmont</t>
  </si>
  <si>
    <t>NextEra Energy Partners</t>
  </si>
  <si>
    <t>Cloudflare</t>
  </si>
  <si>
    <t>NewMarket</t>
  </si>
  <si>
    <t>New Relic</t>
  </si>
  <si>
    <t>New Fortress Energy</t>
  </si>
  <si>
    <t>Netflix</t>
  </si>
  <si>
    <t>National Grid Transco</t>
  </si>
  <si>
    <t>Anglo American</t>
  </si>
  <si>
    <t>NiSource</t>
  </si>
  <si>
    <t>Nice</t>
  </si>
  <si>
    <t>Nikon</t>
  </si>
  <si>
    <t>Nidec</t>
  </si>
  <si>
    <t>NewJersey Resources</t>
  </si>
  <si>
    <t>NIKE</t>
  </si>
  <si>
    <t>NortonLifeLock</t>
  </si>
  <si>
    <t>Nielsen</t>
  </si>
  <si>
    <t>Annaly Capital Management</t>
  </si>
  <si>
    <t>Nomura</t>
  </si>
  <si>
    <t>Nissan Chemical</t>
  </si>
  <si>
    <t>NN Group</t>
  </si>
  <si>
    <t>Nelnet</t>
  </si>
  <si>
    <t>NNI</t>
  </si>
  <si>
    <t>Northrop Grumman</t>
  </si>
  <si>
    <t>Nokia</t>
  </si>
  <si>
    <t>Novanta</t>
  </si>
  <si>
    <t>ServiceNow</t>
  </si>
  <si>
    <t>Nippon Paint</t>
  </si>
  <si>
    <t>NPCPF</t>
  </si>
  <si>
    <t>Naspers</t>
  </si>
  <si>
    <t>Nordea Bank</t>
  </si>
  <si>
    <t>NRG Energy</t>
  </si>
  <si>
    <t>Nomura Research Institute</t>
  </si>
  <si>
    <t>New Residential Investment</t>
  </si>
  <si>
    <t>Norfolk Southern</t>
  </si>
  <si>
    <t>Insight Enterprises</t>
  </si>
  <si>
    <t>Insperity</t>
  </si>
  <si>
    <t>Nestle</t>
  </si>
  <si>
    <t>NetApp</t>
  </si>
  <si>
    <t>Natura &amp; Co Holding</t>
  </si>
  <si>
    <t>Nintendo</t>
  </si>
  <si>
    <t>Ntt Data</t>
  </si>
  <si>
    <t>NTDTY</t>
  </si>
  <si>
    <t>NetEase</t>
  </si>
  <si>
    <t>Intellia Therapeutics</t>
  </si>
  <si>
    <t>Nutanix</t>
  </si>
  <si>
    <t>Nutrien</t>
  </si>
  <si>
    <t>Natera</t>
  </si>
  <si>
    <t>Northern Trust</t>
  </si>
  <si>
    <t>Nippon Telegraph and Telephone</t>
  </si>
  <si>
    <t>Nu Holdings Ltd.</t>
  </si>
  <si>
    <t>NU</t>
  </si>
  <si>
    <t>Nucor</t>
  </si>
  <si>
    <t>Novavax</t>
  </si>
  <si>
    <t>NVIDIA</t>
  </si>
  <si>
    <t>Nuvei</t>
  </si>
  <si>
    <t>NVEI</t>
  </si>
  <si>
    <t>Nova Measuring Instruments</t>
  </si>
  <si>
    <t>NVMI</t>
  </si>
  <si>
    <t>Novartis</t>
  </si>
  <si>
    <t>Envista</t>
  </si>
  <si>
    <t>nVent Electric</t>
  </si>
  <si>
    <t>Novozymes</t>
  </si>
  <si>
    <t>NorthWestern</t>
  </si>
  <si>
    <t>NatWest Group</t>
  </si>
  <si>
    <t>Newell Brands</t>
  </si>
  <si>
    <t>Next</t>
  </si>
  <si>
    <t>NXP Semiconductors</t>
  </si>
  <si>
    <t>Nexstar Media Group</t>
  </si>
  <si>
    <t>New York Community Bancorp</t>
  </si>
  <si>
    <t>Realty Income</t>
  </si>
  <si>
    <t>OBIC CO</t>
  </si>
  <si>
    <t>Obayashi</t>
  </si>
  <si>
    <t>Owens Corning</t>
  </si>
  <si>
    <t>OCADO GROUP</t>
  </si>
  <si>
    <t>Ortho Clinical Diagnostics</t>
  </si>
  <si>
    <t>Olympus</t>
  </si>
  <si>
    <t>Old Dominion Freight Line</t>
  </si>
  <si>
    <t>OGE Energy</t>
  </si>
  <si>
    <t>Organon &amp; Co.</t>
  </si>
  <si>
    <t>OGN</t>
  </si>
  <si>
    <t>ONE Gas</t>
  </si>
  <si>
    <t>Omega Healthcare Investors</t>
  </si>
  <si>
    <t>ONEOK</t>
  </si>
  <si>
    <t>Okta</t>
  </si>
  <si>
    <t>Oriental Land</t>
  </si>
  <si>
    <t>Universal Display</t>
  </si>
  <si>
    <t>Olin</t>
  </si>
  <si>
    <t>Olaplex</t>
  </si>
  <si>
    <t>OLPX</t>
  </si>
  <si>
    <t>Omnicom Group</t>
  </si>
  <si>
    <t>Omnicell</t>
  </si>
  <si>
    <t>OneMain</t>
  </si>
  <si>
    <t>Omron</t>
  </si>
  <si>
    <t>OMV</t>
  </si>
  <si>
    <t>OMVJF</t>
  </si>
  <si>
    <t>ON Semiconductor</t>
  </si>
  <si>
    <t>ONEX</t>
  </si>
  <si>
    <t xml:space="preserve">On Holding </t>
  </si>
  <si>
    <t>ONON</t>
  </si>
  <si>
    <t>Onto Innovation</t>
  </si>
  <si>
    <t>Option Care Health</t>
  </si>
  <si>
    <t>Opendoor Technologies</t>
  </si>
  <si>
    <t>Ormat Technologies</t>
  </si>
  <si>
    <t>Owl Rock Capital</t>
  </si>
  <si>
    <t>Oracle</t>
  </si>
  <si>
    <t>Old Republic International</t>
  </si>
  <si>
    <t>Orion OYJ</t>
  </si>
  <si>
    <t>Orkla Asa</t>
  </si>
  <si>
    <t>ORKLY</t>
  </si>
  <si>
    <t>O'Reilly Automotive</t>
  </si>
  <si>
    <t>ALLKEM LTD</t>
  </si>
  <si>
    <t>OROCF</t>
  </si>
  <si>
    <t>Orient Overseas International</t>
  </si>
  <si>
    <t>Osram Licht</t>
  </si>
  <si>
    <t>Oak Street Health</t>
  </si>
  <si>
    <t>Oshkosh</t>
  </si>
  <si>
    <t>Open Text</t>
  </si>
  <si>
    <t>Otis Worldwide</t>
  </si>
  <si>
    <t>OUTFRONT Media</t>
  </si>
  <si>
    <t>OverseaChinese Banking</t>
  </si>
  <si>
    <t>Ovintiv</t>
  </si>
  <si>
    <t>Blue Owl Capital</t>
  </si>
  <si>
    <t>OWL</t>
  </si>
  <si>
    <t>Occidental Petroleum</t>
  </si>
  <si>
    <t>Plains All American Pipeline</t>
  </si>
  <si>
    <t>Pan American Silver</t>
  </si>
  <si>
    <t>Grupo Aeroportuario Del Pacifico</t>
  </si>
  <si>
    <t>Penske Automotive Group</t>
  </si>
  <si>
    <t>PagSeguro Digital</t>
  </si>
  <si>
    <t>Palo Alto Networks</t>
  </si>
  <si>
    <t>PARAMOUNT GLBL</t>
  </si>
  <si>
    <t>PARA</t>
  </si>
  <si>
    <t>Paramount Global</t>
  </si>
  <si>
    <t>PARAA</t>
  </si>
  <si>
    <t>UiPath</t>
  </si>
  <si>
    <t>Paycom Software</t>
  </si>
  <si>
    <t>Paychex</t>
  </si>
  <si>
    <t>Prosperity Bancshares</t>
  </si>
  <si>
    <t>Pembina Pipeline</t>
  </si>
  <si>
    <t>PBF Energy</t>
  </si>
  <si>
    <t>PBF</t>
  </si>
  <si>
    <t>Petroleo Brasileiro</t>
  </si>
  <si>
    <t>PACCAR</t>
  </si>
  <si>
    <t>PG&amp;E</t>
  </si>
  <si>
    <t>Potlatch</t>
  </si>
  <si>
    <t>Procore Technologies</t>
  </si>
  <si>
    <t>Paylocity Holding</t>
  </si>
  <si>
    <t>PDC Energy</t>
  </si>
  <si>
    <t>Patterson Companies</t>
  </si>
  <si>
    <t>Pinduoduo</t>
  </si>
  <si>
    <t>Flutter Entertainment</t>
  </si>
  <si>
    <t>Healthpeak Properties</t>
  </si>
  <si>
    <t>Phillips Edison &amp; Company</t>
  </si>
  <si>
    <t>PECO</t>
  </si>
  <si>
    <t>Public Service Enterprise Group</t>
  </si>
  <si>
    <t>Pegasystems</t>
  </si>
  <si>
    <t>Penumbra</t>
  </si>
  <si>
    <t>Penn National Gaming</t>
  </si>
  <si>
    <t>PepsiCo</t>
  </si>
  <si>
    <t>Pfizer</t>
  </si>
  <si>
    <t>Principal Financial Group</t>
  </si>
  <si>
    <t>Performance Food Group</t>
  </si>
  <si>
    <t>Procter &amp; Gamble</t>
  </si>
  <si>
    <t>Progyny</t>
  </si>
  <si>
    <t>The Progressive</t>
  </si>
  <si>
    <t>ParkerHannifin</t>
  </si>
  <si>
    <t>Koninklijke Philips</t>
  </si>
  <si>
    <t>PLDT</t>
  </si>
  <si>
    <t>PHI</t>
  </si>
  <si>
    <t>PulteGroup</t>
  </si>
  <si>
    <t>Polaris</t>
  </si>
  <si>
    <t>Premier</t>
  </si>
  <si>
    <t>Pinterest</t>
  </si>
  <si>
    <t>Park Hotels &amp; Resorts</t>
  </si>
  <si>
    <t>PerkinElmer</t>
  </si>
  <si>
    <t>Anaplan</t>
  </si>
  <si>
    <t>Prologis</t>
  </si>
  <si>
    <t>Planet Fitness</t>
  </si>
  <si>
    <t>Playtika</t>
  </si>
  <si>
    <t>Palantir Technologies</t>
  </si>
  <si>
    <t>Plug Power</t>
  </si>
  <si>
    <t>Philip Morris International</t>
  </si>
  <si>
    <t>The PNC Financial Services Group</t>
  </si>
  <si>
    <t>Pinnacle Financial Partners</t>
  </si>
  <si>
    <t>PNM Resources</t>
  </si>
  <si>
    <t>Pentair</t>
  </si>
  <si>
    <t>Pinnacle West Capital</t>
  </si>
  <si>
    <t>Porsche Automobil Holding SE</t>
  </si>
  <si>
    <t>Insulet</t>
  </si>
  <si>
    <t>Pool Corp.</t>
  </si>
  <si>
    <t>Portland General Electric</t>
  </si>
  <si>
    <t>Post Holdings</t>
  </si>
  <si>
    <t>Power Integrations</t>
  </si>
  <si>
    <t>Pacific Premier Bancorp</t>
  </si>
  <si>
    <t>Pilgrim's Pride</t>
  </si>
  <si>
    <t>PPG Industries</t>
  </si>
  <si>
    <t>Kering</t>
  </si>
  <si>
    <t>Perficient</t>
  </si>
  <si>
    <t>PRFT</t>
  </si>
  <si>
    <t>Perrigo</t>
  </si>
  <si>
    <t>Primerica</t>
  </si>
  <si>
    <t>Paramount Resources</t>
  </si>
  <si>
    <t>PRMRF</t>
  </si>
  <si>
    <t>Prosus</t>
  </si>
  <si>
    <t>Prudential Financial</t>
  </si>
  <si>
    <t>PS Business Parks</t>
  </si>
  <si>
    <t>Persimmon</t>
  </si>
  <si>
    <t>Parsons</t>
  </si>
  <si>
    <t>Pearson</t>
  </si>
  <si>
    <t>Pure Storage</t>
  </si>
  <si>
    <t>Pershing Square Tontine</t>
  </si>
  <si>
    <t>PattersonUTI Energy</t>
  </si>
  <si>
    <t>PTEN</t>
  </si>
  <si>
    <t>Peloton Interactive</t>
  </si>
  <si>
    <t>Publicis Groupe</t>
  </si>
  <si>
    <t>Prudential</t>
  </si>
  <si>
    <t>Quanta Services</t>
  </si>
  <si>
    <t>Pioneer Natural Resources</t>
  </si>
  <si>
    <t>Paycor HCM</t>
  </si>
  <si>
    <t>PYCR</t>
  </si>
  <si>
    <t>PayPal</t>
  </si>
  <si>
    <t>Papa John's International</t>
  </si>
  <si>
    <t>Qualcomm</t>
  </si>
  <si>
    <t>Quidel</t>
  </si>
  <si>
    <t>QIAGEN</t>
  </si>
  <si>
    <t>Qualys</t>
  </si>
  <si>
    <t>Qorvo</t>
  </si>
  <si>
    <t>QuantumScape</t>
  </si>
  <si>
    <t>Restaurant Brands International</t>
  </si>
  <si>
    <t>Ryder System</t>
  </si>
  <si>
    <t>Ferrari</t>
  </si>
  <si>
    <t>Randstad Holding</t>
  </si>
  <si>
    <t>Ultragenyx Pharmaceutical</t>
  </si>
  <si>
    <t>Ritchie Bros. Auctioneers</t>
  </si>
  <si>
    <t>Reckitt Benckiser Group</t>
  </si>
  <si>
    <t>Roblox</t>
  </si>
  <si>
    <t>Rogers Communication</t>
  </si>
  <si>
    <t>Royal Caribbean Cruises</t>
  </si>
  <si>
    <t>R1 RCM</t>
  </si>
  <si>
    <t>Red Electrica Corporacion</t>
  </si>
  <si>
    <t>Radian Group</t>
  </si>
  <si>
    <t>Koninklijke DSM</t>
  </si>
  <si>
    <t>Dr. Reddys Laboratories</t>
  </si>
  <si>
    <t>Everest Re Group</t>
  </si>
  <si>
    <t>Regency Centers</t>
  </si>
  <si>
    <t>Renewable Energy Group</t>
  </si>
  <si>
    <t>Regeneron Pharmaceuticals</t>
  </si>
  <si>
    <t>Remy Cointreau</t>
  </si>
  <si>
    <t>Repsol</t>
  </si>
  <si>
    <t>Rexford Industrial Realty</t>
  </si>
  <si>
    <t>Reynolds Consumer Products</t>
  </si>
  <si>
    <t>Resideo Technologies</t>
  </si>
  <si>
    <t>Regions Financial</t>
  </si>
  <si>
    <t>Reinsurance Group of America</t>
  </si>
  <si>
    <t>Repligen</t>
  </si>
  <si>
    <t>Royal Gold</t>
  </si>
  <si>
    <t>Roche Holding</t>
  </si>
  <si>
    <t>Robert Half International</t>
  </si>
  <si>
    <t>Ryman Hospitality Properties</t>
  </si>
  <si>
    <t>Ricoh Co.</t>
  </si>
  <si>
    <t>RICOY</t>
  </si>
  <si>
    <t>OTCBB</t>
  </si>
  <si>
    <t>Rio Tinto</t>
  </si>
  <si>
    <t>Rivian Automotive</t>
  </si>
  <si>
    <t>RIVN</t>
  </si>
  <si>
    <t>Raymond James Financial</t>
  </si>
  <si>
    <t>Rocket Companies</t>
  </si>
  <si>
    <t>Rakuten</t>
  </si>
  <si>
    <t>Ralph Lauren</t>
  </si>
  <si>
    <t>RLX Technology</t>
  </si>
  <si>
    <t>ResMed</t>
  </si>
  <si>
    <t>Ringcentral</t>
  </si>
  <si>
    <t>RENAULT</t>
  </si>
  <si>
    <t>RNLSY</t>
  </si>
  <si>
    <t>RenaissanceRe</t>
  </si>
  <si>
    <t>Rogers</t>
  </si>
  <si>
    <t>Rockwell Automation</t>
  </si>
  <si>
    <t>Roku</t>
  </si>
  <si>
    <t>Rollins</t>
  </si>
  <si>
    <t>RBC Bearings</t>
  </si>
  <si>
    <t>Roper Technologies</t>
  </si>
  <si>
    <t>Ross Stores</t>
  </si>
  <si>
    <t>Royal Mail</t>
  </si>
  <si>
    <t>ROYMY</t>
  </si>
  <si>
    <t>Rapid7</t>
  </si>
  <si>
    <t>RPM International</t>
  </si>
  <si>
    <t>Royalty Pharma</t>
  </si>
  <si>
    <t>Range Resources</t>
  </si>
  <si>
    <t>Red Rock Resorts</t>
  </si>
  <si>
    <t>Regal Beloit</t>
  </si>
  <si>
    <t>RRX</t>
  </si>
  <si>
    <t>Republic Services</t>
  </si>
  <si>
    <t>Rentokil Initial</t>
  </si>
  <si>
    <t>Raytheon Technologies</t>
  </si>
  <si>
    <t>Sunrun</t>
  </si>
  <si>
    <t>Ryanair</t>
  </si>
  <si>
    <t>Ryan Specialty Group</t>
  </si>
  <si>
    <t>RYAN</t>
  </si>
  <si>
    <t>Rayonier</t>
  </si>
  <si>
    <t>SentinelOne</t>
  </si>
  <si>
    <t>S</t>
  </si>
  <si>
    <t>Sanderson Farms</t>
  </si>
  <si>
    <t>Safran</t>
  </si>
  <si>
    <t>Saia</t>
  </si>
  <si>
    <t>Science Applications International</t>
  </si>
  <si>
    <t>SailPoint Technologies</t>
  </si>
  <si>
    <t>The Boston Beer Company</t>
  </si>
  <si>
    <t>Banco Santander</t>
  </si>
  <si>
    <t>SARTORIUS</t>
  </si>
  <si>
    <t>Straumann Holding</t>
  </si>
  <si>
    <t>Sampo</t>
  </si>
  <si>
    <t>SAXPY</t>
  </si>
  <si>
    <t>SBA Communications</t>
  </si>
  <si>
    <t>Schneider Electric</t>
  </si>
  <si>
    <t>Star Bulk Carriers</t>
  </si>
  <si>
    <t>SBLK</t>
  </si>
  <si>
    <t>Sabra Healthcare REIT</t>
  </si>
  <si>
    <t>Companhia de saneamento Basico Do Estado De Sao Pa</t>
  </si>
  <si>
    <t>Starbucks</t>
  </si>
  <si>
    <t>Standard Chartered</t>
  </si>
  <si>
    <t>Southern Copper</t>
  </si>
  <si>
    <t>The Charles Schwab</t>
  </si>
  <si>
    <t>Sands China</t>
  </si>
  <si>
    <t>Scor</t>
  </si>
  <si>
    <t>SCRYY</t>
  </si>
  <si>
    <t>Sandvik</t>
  </si>
  <si>
    <t>Sea Limited</t>
  </si>
  <si>
    <t>SeaWorld Entertainment</t>
  </si>
  <si>
    <t>SolarEdge Technologies</t>
  </si>
  <si>
    <t>Sealed Air</t>
  </si>
  <si>
    <t>SEI Investments</t>
  </si>
  <si>
    <t>Seiko Epson</t>
  </si>
  <si>
    <t>Select Medical</t>
  </si>
  <si>
    <t>Spectris</t>
  </si>
  <si>
    <t>Stifel Financial</t>
  </si>
  <si>
    <t>ServisFirst Bancshares</t>
  </si>
  <si>
    <t>Simmons First National</t>
  </si>
  <si>
    <t>SoftBank Group</t>
  </si>
  <si>
    <t>Singapore Telecommunications</t>
  </si>
  <si>
    <t>SGAPY</t>
  </si>
  <si>
    <t>SES</t>
  </si>
  <si>
    <t>Seagen</t>
  </si>
  <si>
    <t>Sage Group</t>
  </si>
  <si>
    <t>Surgery Partners</t>
  </si>
  <si>
    <t>SGS</t>
  </si>
  <si>
    <t>Sotera Health</t>
  </si>
  <si>
    <t>Sharp</t>
  </si>
  <si>
    <t>Shell PLC Unsponsored ADR</t>
  </si>
  <si>
    <t>SHEL</t>
  </si>
  <si>
    <t>Shinhan Financial Group Co</t>
  </si>
  <si>
    <t>Shell Midstream Partners</t>
  </si>
  <si>
    <t>Schroders</t>
  </si>
  <si>
    <t>SHNWF</t>
  </si>
  <si>
    <t>Shopify</t>
  </si>
  <si>
    <t>SherwinWilliams</t>
  </si>
  <si>
    <t>Showa Denko</t>
  </si>
  <si>
    <t>Shizuoka Bank</t>
  </si>
  <si>
    <t>National Steel</t>
  </si>
  <si>
    <t>Shanghai Electric Group Co.</t>
  </si>
  <si>
    <t>Signet Jewelers</t>
  </si>
  <si>
    <t>Selective Insurance Group</t>
  </si>
  <si>
    <t>Silicon Motion Technology</t>
  </si>
  <si>
    <t>SIMO</t>
  </si>
  <si>
    <t>Sirius XM</t>
  </si>
  <si>
    <t>SITE Centers Corp.</t>
  </si>
  <si>
    <t>SiteOne Landscape Supply</t>
  </si>
  <si>
    <t>SiTime</t>
  </si>
  <si>
    <t>SITM</t>
  </si>
  <si>
    <t>South Jersey Industries</t>
  </si>
  <si>
    <t>The J. M. Smucker Co.</t>
  </si>
  <si>
    <t>Shaw Communications</t>
  </si>
  <si>
    <t>Sekisui House</t>
  </si>
  <si>
    <t>SK Telecom Co.</t>
  </si>
  <si>
    <t>Skechers</t>
  </si>
  <si>
    <t>Silicon Laboratories</t>
  </si>
  <si>
    <t>Schlumberger</t>
  </si>
  <si>
    <t>Sun Life Financial</t>
  </si>
  <si>
    <t>Standard Life</t>
  </si>
  <si>
    <t>SL Green Realty</t>
  </si>
  <si>
    <t>Silgan Holdings</t>
  </si>
  <si>
    <t>SM Energy</t>
  </si>
  <si>
    <t>SM</t>
  </si>
  <si>
    <t>Smartsheet</t>
  </si>
  <si>
    <t>Sumitomo Mitsui Financial Group</t>
  </si>
  <si>
    <t>Smurfit Kappa</t>
  </si>
  <si>
    <t>Scotts MiracleGro</t>
  </si>
  <si>
    <t>San Miguel</t>
  </si>
  <si>
    <t>Smiths Group</t>
  </si>
  <si>
    <t>Shimano</t>
  </si>
  <si>
    <t>SMNNY</t>
  </si>
  <si>
    <t>Simply Good Foods</t>
  </si>
  <si>
    <t>Sompo</t>
  </si>
  <si>
    <t>Samsonite International</t>
  </si>
  <si>
    <t>SMSEY</t>
  </si>
  <si>
    <t>Semtech</t>
  </si>
  <si>
    <t>SnapOn</t>
  </si>
  <si>
    <t>Snap</t>
  </si>
  <si>
    <t>Schneider National</t>
  </si>
  <si>
    <t>Smith &amp; Nephew SNATS</t>
  </si>
  <si>
    <t>Snowflake</t>
  </si>
  <si>
    <t>China Petroleum &amp; Chemical</t>
  </si>
  <si>
    <t>Synopsys</t>
  </si>
  <si>
    <t>Sunny Optical</t>
  </si>
  <si>
    <t>Synovus Financial</t>
  </si>
  <si>
    <t>TD SYNNEX</t>
  </si>
  <si>
    <t>The Southern Company</t>
  </si>
  <si>
    <t>SoFi Technologies</t>
  </si>
  <si>
    <t>Sonoco</t>
  </si>
  <si>
    <t>South32</t>
  </si>
  <si>
    <t>Spectrum Brands</t>
  </si>
  <si>
    <t>Simon Property Group</t>
  </si>
  <si>
    <t>S&amp;P Global</t>
  </si>
  <si>
    <t>Spark New Zealand</t>
  </si>
  <si>
    <t>Splunk</t>
  </si>
  <si>
    <t>Spotify Technology</t>
  </si>
  <si>
    <t>Spirit Aerosystems</t>
  </si>
  <si>
    <t>SPS Commerce</t>
  </si>
  <si>
    <t>Block, Inc.</t>
  </si>
  <si>
    <t>Sociedad Quimica y Minera</t>
  </si>
  <si>
    <t>SQM</t>
  </si>
  <si>
    <t>Spire</t>
  </si>
  <si>
    <t>Spirit Realty Capital</t>
  </si>
  <si>
    <t>Stericycle</t>
  </si>
  <si>
    <t>Sarepta Therapeutics</t>
  </si>
  <si>
    <t>South State</t>
  </si>
  <si>
    <t>Simpson Manufacturing</t>
  </si>
  <si>
    <t>Shiseido Co.</t>
  </si>
  <si>
    <t>SSDOY</t>
  </si>
  <si>
    <t>SSE</t>
  </si>
  <si>
    <t>Sasol</t>
  </si>
  <si>
    <t>Sysmex</t>
  </si>
  <si>
    <t>SS&amp;C Technologies</t>
  </si>
  <si>
    <t>Swiss Re</t>
  </si>
  <si>
    <t>Silver Standard Resources</t>
  </si>
  <si>
    <t>Sumitomo</t>
  </si>
  <si>
    <t>Sensata Technologies Holding</t>
  </si>
  <si>
    <t>STAAR Surgical</t>
  </si>
  <si>
    <t>Stag Industrial</t>
  </si>
  <si>
    <t>STERIS</t>
  </si>
  <si>
    <t>Stellantis</t>
  </si>
  <si>
    <t>Steel Dynamics</t>
  </si>
  <si>
    <t>STMicroelectronics</t>
  </si>
  <si>
    <t>Stantec</t>
  </si>
  <si>
    <t>StoneCo</t>
  </si>
  <si>
    <t>STORE Capital</t>
  </si>
  <si>
    <t>State Street</t>
  </si>
  <si>
    <t>Stevanato Group</t>
  </si>
  <si>
    <t>STVN</t>
  </si>
  <si>
    <t>Starwood Property Trust</t>
  </si>
  <si>
    <t>Seagate Technology</t>
  </si>
  <si>
    <t>Constellation Brands</t>
  </si>
  <si>
    <t>Suncor Energy</t>
  </si>
  <si>
    <t>Sun Hung Kai Properties</t>
  </si>
  <si>
    <t>Sun Communities</t>
  </si>
  <si>
    <t>Summit Materials</t>
  </si>
  <si>
    <t>Sunoco</t>
  </si>
  <si>
    <t>SUMCO</t>
  </si>
  <si>
    <t>Seven and I Holdings Co.</t>
  </si>
  <si>
    <t>SVNDY</t>
  </si>
  <si>
    <t>ShockWave Medical</t>
  </si>
  <si>
    <t>Switch</t>
  </si>
  <si>
    <t>Swedbank</t>
  </si>
  <si>
    <t>Stanley Black &amp; Decker</t>
  </si>
  <si>
    <t>Skyworks Solutions</t>
  </si>
  <si>
    <t>Swedish Match</t>
  </si>
  <si>
    <t>Southwestern Energy</t>
  </si>
  <si>
    <t>Swire Pacific</t>
  </si>
  <si>
    <t>Southwest Gas</t>
  </si>
  <si>
    <t>Sensient Technologies</t>
  </si>
  <si>
    <t>Symrise</t>
  </si>
  <si>
    <t>Stryker</t>
  </si>
  <si>
    <t>Synaptics</t>
  </si>
  <si>
    <t>Syneos Health</t>
  </si>
  <si>
    <t>Sysco</t>
  </si>
  <si>
    <t>Suzuki Motor</t>
  </si>
  <si>
    <t>AT&amp;T</t>
  </si>
  <si>
    <t>TransAlta</t>
  </si>
  <si>
    <t>TAC</t>
  </si>
  <si>
    <t>Molson Coors</t>
  </si>
  <si>
    <t>Tate &amp; Lyle</t>
  </si>
  <si>
    <t>TATYD</t>
  </si>
  <si>
    <t>Tencent</t>
  </si>
  <si>
    <t>Tricon Residential Inc.</t>
  </si>
  <si>
    <t>TCN</t>
  </si>
  <si>
    <t>Trip.com Group Limited</t>
  </si>
  <si>
    <t>Tingyi Cayman Islands</t>
  </si>
  <si>
    <t>The Toronto Dominion Bank</t>
  </si>
  <si>
    <t>Teradata</t>
  </si>
  <si>
    <t>Transdigm Group</t>
  </si>
  <si>
    <t>Teladoc Health</t>
  </si>
  <si>
    <t>Teledyne Technologies</t>
  </si>
  <si>
    <t>Atlassian</t>
  </si>
  <si>
    <t>Teck Resources</t>
  </si>
  <si>
    <t>Telefonica</t>
  </si>
  <si>
    <t>TE Connectivity</t>
  </si>
  <si>
    <t>Telenor</t>
  </si>
  <si>
    <t>TELNY</t>
  </si>
  <si>
    <t>Tenable Holdings</t>
  </si>
  <si>
    <t>Teradyne</t>
  </si>
  <si>
    <t>Teva Pharmaceutical Industries</t>
  </si>
  <si>
    <t>Terna Rete Elettrica Nazionale</t>
  </si>
  <si>
    <t>Truist Financial</t>
  </si>
  <si>
    <t>TFI International</t>
  </si>
  <si>
    <t>TFS Financial</t>
  </si>
  <si>
    <t>Teleflex</t>
  </si>
  <si>
    <t>TEGNA</t>
  </si>
  <si>
    <t>Target</t>
  </si>
  <si>
    <t>Tenet Healthcare</t>
  </si>
  <si>
    <t>The Hanover Insurance Group</t>
  </si>
  <si>
    <t>Thor Industries</t>
  </si>
  <si>
    <t>Telecom Italia</t>
  </si>
  <si>
    <t>TIIAY</t>
  </si>
  <si>
    <t>TIM</t>
  </si>
  <si>
    <t>TELUS International CDA</t>
  </si>
  <si>
    <t>The TJX Companies</t>
  </si>
  <si>
    <t>Telekom Austria</t>
  </si>
  <si>
    <t>ThyssenKrupp</t>
  </si>
  <si>
    <t>TKAMY</t>
  </si>
  <si>
    <t>Tokio Marine</t>
  </si>
  <si>
    <t>The Timken Company</t>
  </si>
  <si>
    <t>PT Telekomunikasi Indonesia</t>
  </si>
  <si>
    <t>TeliaSonera</t>
  </si>
  <si>
    <t>Telstra</t>
  </si>
  <si>
    <t>Tele2</t>
  </si>
  <si>
    <t>Toyota Motor</t>
  </si>
  <si>
    <t>Taylor Morrison Home</t>
  </si>
  <si>
    <t>Trend Micro</t>
  </si>
  <si>
    <t>Thermo Fisher Scientific</t>
  </si>
  <si>
    <t>TMobile US</t>
  </si>
  <si>
    <t>Terminix</t>
  </si>
  <si>
    <t>Tandem Diabetes Care</t>
  </si>
  <si>
    <t>TriNet</t>
  </si>
  <si>
    <t>Toll Brothers</t>
  </si>
  <si>
    <t>Tosoh</t>
  </si>
  <si>
    <t>Toast</t>
  </si>
  <si>
    <t>TOST</t>
  </si>
  <si>
    <t>Toshiba</t>
  </si>
  <si>
    <t>TPG Inc.</t>
  </si>
  <si>
    <t>TPG</t>
  </si>
  <si>
    <t>Texas Pacific Land</t>
  </si>
  <si>
    <t>Tapestry</t>
  </si>
  <si>
    <t>Tempur Sealy International</t>
  </si>
  <si>
    <t>Trex</t>
  </si>
  <si>
    <t>Targa Resources</t>
  </si>
  <si>
    <t>Thomson Reuters</t>
  </si>
  <si>
    <t>TripAdvisor</t>
  </si>
  <si>
    <t>Trimble</t>
  </si>
  <si>
    <t>Terreno Realty</t>
  </si>
  <si>
    <t>T. Rowe Price</t>
  </si>
  <si>
    <t>TC Energy</t>
  </si>
  <si>
    <t>Turquoise Hill Resources</t>
  </si>
  <si>
    <t>Triton</t>
  </si>
  <si>
    <t>Terumo</t>
  </si>
  <si>
    <t>The Travelers Companies</t>
  </si>
  <si>
    <t>Toray Industries</t>
  </si>
  <si>
    <t>Tenaris</t>
  </si>
  <si>
    <t>Tesco</t>
  </si>
  <si>
    <t>Tractor Supply Co.</t>
  </si>
  <si>
    <t>Tesla</t>
  </si>
  <si>
    <t>Tyson Foods</t>
  </si>
  <si>
    <t>TravelSky Technology</t>
  </si>
  <si>
    <t>TSYHY</t>
  </si>
  <si>
    <t>Trane Technologies</t>
  </si>
  <si>
    <t>Toro</t>
  </si>
  <si>
    <t>The Trade Desk</t>
  </si>
  <si>
    <t>TDK</t>
  </si>
  <si>
    <t>TotalEnergies</t>
  </si>
  <si>
    <t>TTE</t>
  </si>
  <si>
    <t>TeleTech</t>
  </si>
  <si>
    <t>Tetra Tech</t>
  </si>
  <si>
    <t>TakeTwo Interactive Software</t>
  </si>
  <si>
    <t>TELUS</t>
  </si>
  <si>
    <t>TUI Group</t>
  </si>
  <si>
    <t>Grupo Televisa</t>
  </si>
  <si>
    <t>Tradeweb Markets</t>
  </si>
  <si>
    <t>Turing Holding</t>
  </si>
  <si>
    <t>TWKS</t>
  </si>
  <si>
    <t>Twilio</t>
  </si>
  <si>
    <t>Taylor Wimpey</t>
  </si>
  <si>
    <t>Twitter</t>
  </si>
  <si>
    <t>Ternium</t>
  </si>
  <si>
    <t>10x Genomics</t>
  </si>
  <si>
    <t>Texas Instruments</t>
  </si>
  <si>
    <t>Texas Roadhouse</t>
  </si>
  <si>
    <t>Textron</t>
  </si>
  <si>
    <t>TYEKF</t>
  </si>
  <si>
    <t>Tyler Technologies</t>
  </si>
  <si>
    <t>Unity Software</t>
  </si>
  <si>
    <t>Under Armour</t>
  </si>
  <si>
    <t>United Airlines</t>
  </si>
  <si>
    <t>Uber Technologies</t>
  </si>
  <si>
    <t>UbiSoft Entertainment</t>
  </si>
  <si>
    <t>United Bankshares</t>
  </si>
  <si>
    <t>United Community Banks</t>
  </si>
  <si>
    <t>UCBI</t>
  </si>
  <si>
    <t>UCB</t>
  </si>
  <si>
    <t>UCBJF</t>
  </si>
  <si>
    <t>United Internet</t>
  </si>
  <si>
    <t>UDIRF</t>
  </si>
  <si>
    <t>United Dominion Realty Trust</t>
  </si>
  <si>
    <t>UFP Industries</t>
  </si>
  <si>
    <t>Ultrapar Participacoes</t>
  </si>
  <si>
    <t>Universal Health Services</t>
  </si>
  <si>
    <t>Ubiquiti</t>
  </si>
  <si>
    <t>Unilever</t>
  </si>
  <si>
    <t>Ulta Beauty</t>
  </si>
  <si>
    <t>UMB Financial</t>
  </si>
  <si>
    <t>United Microelectronics</t>
  </si>
  <si>
    <t>Umpqua</t>
  </si>
  <si>
    <t>UniCredit</t>
  </si>
  <si>
    <t>UNCRY</t>
  </si>
  <si>
    <t>Unifirst</t>
  </si>
  <si>
    <t>UnitedHealth Group</t>
  </si>
  <si>
    <t>Unicharm</t>
  </si>
  <si>
    <t>Union Pacific</t>
  </si>
  <si>
    <t>Univar Solutions</t>
  </si>
  <si>
    <t>United Overseas Bank</t>
  </si>
  <si>
    <t>UOVEY</t>
  </si>
  <si>
    <t>United Parcel Service</t>
  </si>
  <si>
    <t>Upstart</t>
  </si>
  <si>
    <t>United Rentals</t>
  </si>
  <si>
    <t>US Foods</t>
  </si>
  <si>
    <t>United Therapeutics</t>
  </si>
  <si>
    <t>Visa</t>
  </si>
  <si>
    <t>Marriot Vacations Worldwide</t>
  </si>
  <si>
    <t>Valaris</t>
  </si>
  <si>
    <t>Vinci</t>
  </si>
  <si>
    <t>Veeva Systems</t>
  </si>
  <si>
    <t>Veolia Environnement</t>
  </si>
  <si>
    <t>Vermilion Energy</t>
  </si>
  <si>
    <t>VET</t>
  </si>
  <si>
    <t>Vonage</t>
  </si>
  <si>
    <t>Viavi Solutions</t>
  </si>
  <si>
    <t>VICI Properties</t>
  </si>
  <si>
    <t>Vipshop</t>
  </si>
  <si>
    <t>Vir Biotechnology</t>
  </si>
  <si>
    <t>Virtu Financial</t>
  </si>
  <si>
    <t>Telefonica Brasil</t>
  </si>
  <si>
    <t>Vivendi</t>
  </si>
  <si>
    <t>Valeo</t>
  </si>
  <si>
    <t>Valero Energy</t>
  </si>
  <si>
    <t>Vallourec</t>
  </si>
  <si>
    <t>VLOWY</t>
  </si>
  <si>
    <t>Oil and Gas - Speciality - International</t>
  </si>
  <si>
    <t>Voestalpine</t>
  </si>
  <si>
    <t>Volvo</t>
  </si>
  <si>
    <t>Vulcan Materials</t>
  </si>
  <si>
    <t>Valmont Industries</t>
  </si>
  <si>
    <t>VMware</t>
  </si>
  <si>
    <t>Viper Energy Partners</t>
  </si>
  <si>
    <t>VNOM</t>
  </si>
  <si>
    <t>Vontier</t>
  </si>
  <si>
    <t>Vodafone Group</t>
  </si>
  <si>
    <t>Vonovia</t>
  </si>
  <si>
    <t>Royal Vopak</t>
  </si>
  <si>
    <t>Voya Financial</t>
  </si>
  <si>
    <t>Varonis Systems</t>
  </si>
  <si>
    <t>Verint Systems</t>
  </si>
  <si>
    <t>Verisk Analytics</t>
  </si>
  <si>
    <t>VeriSign</t>
  </si>
  <si>
    <t>Vertiv</t>
  </si>
  <si>
    <t>Vertex Pharmaceuticals</t>
  </si>
  <si>
    <t>Victoria's Secret</t>
  </si>
  <si>
    <t>VSCO</t>
  </si>
  <si>
    <t>Vistra</t>
  </si>
  <si>
    <t>Ventas</t>
  </si>
  <si>
    <t>Viatris</t>
  </si>
  <si>
    <t>Valvoline</t>
  </si>
  <si>
    <t>VOLKSWAGN-.1ADR</t>
  </si>
  <si>
    <t>Vestas Wind Systems</t>
  </si>
  <si>
    <t>Verizon Communications</t>
  </si>
  <si>
    <t>Wayfair</t>
  </si>
  <si>
    <t>Westinghouse Air Brake Technologies</t>
  </si>
  <si>
    <t>Western Alliance Ban</t>
  </si>
  <si>
    <t>Waters</t>
  </si>
  <si>
    <t>Weibo</t>
  </si>
  <si>
    <t>Walgreens Boots Alliance</t>
  </si>
  <si>
    <t>Warner Bros. Discovery, Inc.</t>
  </si>
  <si>
    <t>WBD</t>
  </si>
  <si>
    <t>Webster Financial</t>
  </si>
  <si>
    <t>Welbilt</t>
  </si>
  <si>
    <t>WESCO International</t>
  </si>
  <si>
    <t>Waste Connections</t>
  </si>
  <si>
    <t>Walker &amp; Dunlop</t>
  </si>
  <si>
    <t>Workday</t>
  </si>
  <si>
    <t>Western Digital</t>
  </si>
  <si>
    <t>Waterdrop</t>
  </si>
  <si>
    <t>BowX Acquisition</t>
  </si>
  <si>
    <t>WE</t>
  </si>
  <si>
    <t>WEC Energy Group</t>
  </si>
  <si>
    <t>Weir Group</t>
  </si>
  <si>
    <t>Welltower</t>
  </si>
  <si>
    <t>Wendy's</t>
  </si>
  <si>
    <t>Western Midstream Partners</t>
  </si>
  <si>
    <t>West Fraser Timber Co.</t>
  </si>
  <si>
    <t>WFG</t>
  </si>
  <si>
    <t>Wyndham Hotels &amp; Resorts</t>
  </si>
  <si>
    <t>Cactus</t>
  </si>
  <si>
    <t>Whirlpool</t>
  </si>
  <si>
    <t>Demant</t>
  </si>
  <si>
    <t>Wix.com</t>
  </si>
  <si>
    <t>West Japan Railway</t>
  </si>
  <si>
    <t>Workiva</t>
  </si>
  <si>
    <t>Westlake Corp.</t>
  </si>
  <si>
    <t>Whiting Petroleum</t>
  </si>
  <si>
    <t>WLL</t>
  </si>
  <si>
    <t>Wilmar International</t>
  </si>
  <si>
    <t>Woolworths</t>
  </si>
  <si>
    <t>Waste Management</t>
  </si>
  <si>
    <t>The Williams Companies</t>
  </si>
  <si>
    <t>Warner Music Group</t>
  </si>
  <si>
    <t>WalMart de Mexico</t>
  </si>
  <si>
    <t>WMMVY</t>
  </si>
  <si>
    <t>Advanced Drainage Systems</t>
  </si>
  <si>
    <t>Walmart</t>
  </si>
  <si>
    <t>George Weston</t>
  </si>
  <si>
    <t>Cree</t>
  </si>
  <si>
    <t>WOLF</t>
  </si>
  <si>
    <t>Petco Health and Wellness Co.</t>
  </si>
  <si>
    <t>Woodside Petroleum</t>
  </si>
  <si>
    <t>W.P. Carey</t>
  </si>
  <si>
    <t>Wheaton Precious Metals</t>
  </si>
  <si>
    <t>W.R. Berkley</t>
  </si>
  <si>
    <t>WestRock</t>
  </si>
  <si>
    <t>Wartsila</t>
  </si>
  <si>
    <t>WillScot Mobile Mini</t>
  </si>
  <si>
    <t>WilliamsSonoma</t>
  </si>
  <si>
    <t>Watsco</t>
  </si>
  <si>
    <t>West Pharmaceutical Services</t>
  </si>
  <si>
    <t>Wintrust Financial</t>
  </si>
  <si>
    <t>Wolters Kluwer</t>
  </si>
  <si>
    <t>White Mountains Insurance Group</t>
  </si>
  <si>
    <t>Essential Utilities</t>
  </si>
  <si>
    <t>Watts Water Technologies</t>
  </si>
  <si>
    <t>Willis Towers Watson</t>
  </si>
  <si>
    <t>WTW</t>
  </si>
  <si>
    <t>Western Union</t>
  </si>
  <si>
    <t>Woodward</t>
  </si>
  <si>
    <t>World Wrestling Entertainment</t>
  </si>
  <si>
    <t>Worldline</t>
  </si>
  <si>
    <t>WWLNF</t>
  </si>
  <si>
    <t>Want Want China</t>
  </si>
  <si>
    <t>Weyerhaeuser</t>
  </si>
  <si>
    <t>Worley Limited</t>
  </si>
  <si>
    <t>Wynn Resorts</t>
  </si>
  <si>
    <t>United States Steel</t>
  </si>
  <si>
    <t>Xcel Energy</t>
  </si>
  <si>
    <t>Qualtrics International</t>
  </si>
  <si>
    <t>ENN Energy</t>
  </si>
  <si>
    <t>Exxon Mobil</t>
  </si>
  <si>
    <t>XPeng</t>
  </si>
  <si>
    <t>XPO Logistics</t>
  </si>
  <si>
    <t>Dentsply Sirona</t>
  </si>
  <si>
    <t>Xtep International</t>
  </si>
  <si>
    <t>XTEPY</t>
  </si>
  <si>
    <t>Xylem</t>
  </si>
  <si>
    <t>Alleghany</t>
  </si>
  <si>
    <t>Z Holdings</t>
  </si>
  <si>
    <t>Yamaha Motor Co.</t>
  </si>
  <si>
    <t>YAMHF</t>
  </si>
  <si>
    <t>Yaskawa Electric</t>
  </si>
  <si>
    <t>Full Truck Alliance</t>
  </si>
  <si>
    <t>YMM</t>
  </si>
  <si>
    <t>Yandex</t>
  </si>
  <si>
    <t>CLEAR Secure</t>
  </si>
  <si>
    <t>YOU</t>
  </si>
  <si>
    <t>Yum Brands</t>
  </si>
  <si>
    <t>Yum China</t>
  </si>
  <si>
    <t>JOYY</t>
  </si>
  <si>
    <t>Zillow Group Class C</t>
  </si>
  <si>
    <t>Zimmer Biomet</t>
  </si>
  <si>
    <t>Zebra Technologies</t>
  </si>
  <si>
    <t>Ziff Davis</t>
  </si>
  <si>
    <t>ZD</t>
  </si>
  <si>
    <t>Zendesk</t>
  </si>
  <si>
    <t>Zillow Group Class A</t>
  </si>
  <si>
    <t>ZoomInfo Technologies</t>
  </si>
  <si>
    <t>ZIM Integrated Shipping Services</t>
  </si>
  <si>
    <t>Zions Bancorporation</t>
  </si>
  <si>
    <t>Zalando</t>
  </si>
  <si>
    <t>Zoom Video Communications</t>
  </si>
  <si>
    <t>Zscaler</t>
  </si>
  <si>
    <t>ZTO Express Cayman</t>
  </si>
  <si>
    <t>Zoetis</t>
  </si>
  <si>
    <t>Zurich Insurance Group</t>
  </si>
  <si>
    <t>Zurn Water Solutions</t>
  </si>
  <si>
    <t>ZWS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</si>
</sst>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" fillId="0" borderId="0"/>
  </cellStyleXfs>
  <cellXfs count="63">
    <xf numFmtId="0" fontId="0" fillId="0" borderId="0" xfId="0"/>
    <xf numFmtId="0" fontId="0" fillId="4" borderId="0" xfId="0" applyFill="1"/>
    <xf numFmtId="0" fontId="0" fillId="2" borderId="0" xfId="0" applyFill="1"/>
    <xf numFmtId="0" fontId="0" fillId="5" borderId="0" xfId="0" applyFill="1"/>
    <xf numFmtId="0" fontId="0" fillId="3" borderId="0" xfId="0" applyFill="1"/>
    <xf numFmtId="0" fontId="0" fillId="6" borderId="0" xfId="0" applyFill="1"/>
    <xf numFmtId="0" fontId="0" fillId="7" borderId="0" xfId="0" applyFill="1"/>
    <xf numFmtId="3" fontId="0" fillId="7" borderId="0" xfId="0" applyNumberFormat="1" applyFill="1"/>
    <xf numFmtId="0" fontId="0" fillId="8" borderId="0" xfId="0" applyFill="1"/>
    <xf numFmtId="0" fontId="0" fillId="9" borderId="0" xfId="0" applyFill="1"/>
    <xf numFmtId="1" fontId="0" fillId="9" borderId="0" xfId="0" applyNumberFormat="1" applyFill="1"/>
    <xf numFmtId="3" fontId="0" fillId="9" borderId="0" xfId="0" applyNumberFormat="1" applyFill="1"/>
    <xf numFmtId="0" fontId="0" fillId="10" borderId="0" xfId="0" applyFill="1"/>
    <xf numFmtId="3" fontId="0" fillId="0" borderId="0" xfId="0" applyNumberFormat="1"/>
    <xf numFmtId="0" fontId="0" fillId="4" borderId="0" xfId="0" applyFill="1" applyAlignment="1">
      <alignment vertical="center"/>
    </xf>
    <xf numFmtId="0" fontId="3" fillId="4" borderId="0" xfId="0" applyFont="1" applyFill="1"/>
    <xf numFmtId="0" fontId="0" fillId="0" borderId="0" xfId="0" applyAlignment="1">
      <alignment vertical="center"/>
    </xf>
    <xf numFmtId="2" fontId="0" fillId="6" borderId="0" xfId="0" applyNumberFormat="1" applyFill="1"/>
    <xf numFmtId="3" fontId="0" fillId="4" borderId="0" xfId="0" applyNumberFormat="1" applyFill="1"/>
    <xf numFmtId="164" fontId="0" fillId="4" borderId="0" xfId="1" applyNumberFormat="1" applyFont="1" applyFill="1"/>
    <xf numFmtId="2" fontId="0" fillId="4" borderId="0" xfId="0" applyNumberFormat="1" applyFill="1" applyAlignment="1">
      <alignment horizontal="center"/>
    </xf>
    <xf numFmtId="3" fontId="0" fillId="4" borderId="0" xfId="0" applyNumberFormat="1" applyFill="1" applyAlignment="1">
      <alignment horizontal="center"/>
    </xf>
    <xf numFmtId="164" fontId="5" fillId="4" borderId="0" xfId="1" applyNumberFormat="1" applyFont="1" applyFill="1"/>
    <xf numFmtId="0" fontId="0" fillId="1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0" fontId="0" fillId="4" borderId="0" xfId="0" applyFill="1"/>
    <xf numFmtId="0" fontId="0" fillId="8" borderId="0" xfId="0" applyFill="1" applyAlignment="1">
      <alignment horizontal="center"/>
    </xf>
    <xf numFmtId="164" fontId="0" fillId="4" borderId="0" xfId="1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0" fontId="0" fillId="11" borderId="0" xfId="0" applyFill="1"/>
    <xf numFmtId="3" fontId="0" fillId="11" borderId="0" xfId="0" applyNumberFormat="1" applyFill="1"/>
    <xf numFmtId="164" fontId="0" fillId="11" borderId="0" xfId="1" applyNumberFormat="1" applyFont="1" applyFill="1" applyAlignment="1">
      <alignment horizontal="center"/>
    </xf>
    <xf numFmtId="2" fontId="0" fillId="11" borderId="0" xfId="0" applyNumberFormat="1" applyFill="1" applyAlignment="1">
      <alignment horizontal="center"/>
    </xf>
    <xf numFmtId="3" fontId="0" fillId="11" borderId="0" xfId="0" applyNumberFormat="1" applyFill="1" applyAlignment="1">
      <alignment horizontal="center"/>
    </xf>
    <xf numFmtId="164" fontId="5" fillId="11" borderId="0" xfId="1" applyNumberFormat="1" applyFont="1" applyFill="1"/>
    <xf numFmtId="0" fontId="0" fillId="11" borderId="0" xfId="0" applyFill="1" applyAlignment="1">
      <alignment horizontal="center"/>
    </xf>
    <xf numFmtId="0" fontId="0" fillId="13" borderId="0" xfId="0" applyFill="1"/>
    <xf numFmtId="3" fontId="0" fillId="13" borderId="0" xfId="0" applyNumberFormat="1" applyFill="1"/>
    <xf numFmtId="164" fontId="0" fillId="13" borderId="0" xfId="1" applyNumberFormat="1" applyFont="1" applyFill="1" applyAlignment="1">
      <alignment horizontal="center"/>
    </xf>
    <xf numFmtId="2" fontId="0" fillId="13" borderId="0" xfId="0" applyNumberFormat="1" applyFill="1" applyAlignment="1">
      <alignment horizontal="center"/>
    </xf>
    <xf numFmtId="3" fontId="0" fillId="13" borderId="0" xfId="0" applyNumberFormat="1" applyFill="1" applyAlignment="1">
      <alignment horizontal="center"/>
    </xf>
    <xf numFmtId="164" fontId="5" fillId="13" borderId="0" xfId="1" applyNumberFormat="1" applyFont="1" applyFill="1"/>
    <xf numFmtId="0" fontId="0" fillId="13" borderId="0" xfId="0" applyFill="1" applyAlignment="1">
      <alignment horizontal="center"/>
    </xf>
    <xf numFmtId="10" fontId="0" fillId="9" borderId="0" xfId="0" applyNumberFormat="1" applyFill="1"/>
    <xf numFmtId="0" fontId="0" fillId="0" borderId="0" xfId="0"/>
    <xf numFmtId="10" fontId="0" fillId="3" borderId="0" xfId="0" applyNumberFormat="1" applyFill="1"/>
    <xf numFmtId="0" fontId="3" fillId="4" borderId="0" xfId="0" applyFont="1" applyFill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2" fillId="11" borderId="2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3" fillId="12" borderId="5" xfId="0" applyFont="1" applyFill="1" applyBorder="1" applyAlignment="1">
      <alignment horizontal="center"/>
    </xf>
    <xf numFmtId="0" fontId="0" fillId="12" borderId="6" xfId="0" applyFill="1" applyBorder="1" applyAlignment="1">
      <alignment horizontal="center"/>
    </xf>
    <xf numFmtId="0" fontId="0" fillId="12" borderId="7" xfId="0" applyFill="1" applyBorder="1" applyAlignment="1">
      <alignment horizontal="center"/>
    </xf>
    <xf numFmtId="0" fontId="0" fillId="4" borderId="0" xfId="0" applyFill="1" applyAlignment="1">
      <alignment wrapText="1"/>
    </xf>
    <xf numFmtId="0" fontId="0" fillId="0" borderId="0" xfId="0"/>
    <xf numFmtId="0" fontId="3" fillId="12" borderId="6" xfId="0" applyFont="1" applyFill="1" applyBorder="1" applyAlignment="1">
      <alignment horizontal="center"/>
    </xf>
    <xf numFmtId="0" fontId="3" fillId="12" borderId="7" xfId="0" applyFont="1" applyFill="1" applyBorder="1" applyAlignment="1">
      <alignment horizontal="center"/>
    </xf>
    <xf numFmtId="0" fontId="0" fillId="4" borderId="0" xfId="0" applyFill="1"/>
    <xf numFmtId="10" fontId="0" fillId="2" borderId="0" xfId="0" applyNumberFormat="1" applyFill="1"/>
    <xf numFmtId="2" fontId="0" fillId="10" borderId="0" xfId="0" applyNumberFormat="1" applyFill="1"/>
  </cellXfs>
  <cellStyles count="3">
    <cellStyle name="Normal" xfId="0" builtinId="0"/>
    <cellStyle name="Normal 2" xfId="2" xr:uid="{2C060D42-2755-477C-A55A-794790BED554}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25871-A521-4BAA-86B7-3C204582360A}">
  <sheetPr codeName="Sheet5">
    <tabColor rgb="FFFFFF00"/>
  </sheetPr>
  <dimension ref="B1:J15"/>
  <sheetViews>
    <sheetView zoomScale="150" zoomScaleNormal="150" workbookViewId="0">
      <selection activeCell="C30" sqref="C30"/>
    </sheetView>
  </sheetViews>
  <sheetFormatPr baseColWidth="10" defaultColWidth="9.1640625" defaultRowHeight="15" x14ac:dyDescent="0.2"/>
  <cols>
    <col min="1" max="1" width="9.1640625" style="1"/>
    <col min="2" max="10" width="12.83203125" style="1" customWidth="1"/>
    <col min="11" max="16384" width="9.1640625" style="1"/>
  </cols>
  <sheetData>
    <row r="1" spans="2:10" x14ac:dyDescent="0.2">
      <c r="B1" s="48"/>
      <c r="C1" s="48"/>
      <c r="D1" s="48"/>
      <c r="E1" s="48"/>
      <c r="F1" s="48"/>
      <c r="G1" s="48"/>
      <c r="H1" s="48"/>
      <c r="I1" s="48"/>
      <c r="J1" s="48"/>
    </row>
    <row r="2" spans="2:10" ht="16" thickBot="1" x14ac:dyDescent="0.25">
      <c r="B2" s="49"/>
      <c r="C2" s="49"/>
      <c r="D2" s="49"/>
      <c r="E2" s="49"/>
      <c r="F2" s="49"/>
      <c r="G2" s="49"/>
      <c r="H2" s="49"/>
      <c r="I2" s="49"/>
      <c r="J2" s="49"/>
    </row>
    <row r="3" spans="2:10" ht="16" thickBot="1" x14ac:dyDescent="0.25">
      <c r="B3" s="50" t="s">
        <v>376</v>
      </c>
      <c r="C3" s="51"/>
      <c r="D3" s="51"/>
      <c r="E3" s="51"/>
      <c r="F3" s="51"/>
      <c r="G3" s="51"/>
      <c r="H3" s="51"/>
      <c r="I3" s="51"/>
      <c r="J3" s="52"/>
    </row>
    <row r="5" spans="2:10" x14ac:dyDescent="0.2">
      <c r="B5" s="14"/>
      <c r="C5" s="14"/>
      <c r="D5" s="14"/>
      <c r="E5" s="14"/>
    </row>
    <row r="6" spans="2:10" x14ac:dyDescent="0.2">
      <c r="B6" s="53" t="s">
        <v>373</v>
      </c>
      <c r="C6" s="54"/>
      <c r="D6" s="54"/>
      <c r="E6" s="54"/>
      <c r="F6" s="54"/>
      <c r="G6" s="54"/>
      <c r="H6" s="54"/>
      <c r="I6" s="54"/>
      <c r="J6" s="55"/>
    </row>
    <row r="8" spans="2:10" x14ac:dyDescent="0.2">
      <c r="B8" s="53" t="s">
        <v>374</v>
      </c>
      <c r="C8" s="58"/>
      <c r="D8" s="58"/>
      <c r="E8" s="58"/>
      <c r="F8" s="59"/>
      <c r="G8" s="53" t="s">
        <v>375</v>
      </c>
      <c r="H8" s="58"/>
      <c r="I8" s="58"/>
      <c r="J8" s="59"/>
    </row>
    <row r="10" spans="2:10" x14ac:dyDescent="0.2">
      <c r="B10" s="1" t="s">
        <v>377</v>
      </c>
      <c r="G10" s="60"/>
      <c r="H10" s="57"/>
      <c r="I10" s="57"/>
      <c r="J10" s="57"/>
    </row>
    <row r="11" spans="2:10" x14ac:dyDescent="0.2">
      <c r="G11" s="60"/>
      <c r="H11" s="57"/>
      <c r="I11" s="57"/>
      <c r="J11" s="57"/>
    </row>
    <row r="13" spans="2:10" x14ac:dyDescent="0.2">
      <c r="B13" s="15"/>
    </row>
    <row r="14" spans="2:10" ht="33.75" customHeight="1" x14ac:dyDescent="0.2">
      <c r="B14" s="56"/>
      <c r="C14" s="57"/>
      <c r="D14" s="57"/>
      <c r="E14" s="57"/>
      <c r="F14" s="57"/>
      <c r="G14" s="57"/>
      <c r="H14" s="57"/>
      <c r="I14" s="57"/>
      <c r="J14" s="57"/>
    </row>
    <row r="15" spans="2:10" x14ac:dyDescent="0.2">
      <c r="B15" s="16"/>
    </row>
  </sheetData>
  <mergeCells count="8">
    <mergeCell ref="B1:J2"/>
    <mergeCell ref="B3:J3"/>
    <mergeCell ref="B6:J6"/>
    <mergeCell ref="B14:J14"/>
    <mergeCell ref="B8:F8"/>
    <mergeCell ref="G8:J8"/>
    <mergeCell ref="G10:J10"/>
    <mergeCell ref="G11:J1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F932B-D7D8-40AD-8EE6-2F09D89DAC04}">
  <sheetPr codeName="Sheet3"/>
  <dimension ref="A1:Z19"/>
  <sheetViews>
    <sheetView zoomScale="140" zoomScaleNormal="140" workbookViewId="0">
      <pane ySplit="1" topLeftCell="A2" activePane="bottomLeft" state="frozen"/>
      <selection pane="bottomLeft" activeCell="E43" sqref="E43"/>
    </sheetView>
  </sheetViews>
  <sheetFormatPr baseColWidth="10" defaultColWidth="8.83203125" defaultRowHeight="15" x14ac:dyDescent="0.2"/>
  <cols>
    <col min="4" max="4" width="24" customWidth="1"/>
    <col min="5" max="5" width="33.83203125" customWidth="1"/>
    <col min="7" max="7" width="13.33203125" style="13" customWidth="1"/>
    <col min="14" max="15" width="17.6640625" style="25" bestFit="1" customWidth="1"/>
    <col min="26" max="26" width="18" style="25" customWidth="1"/>
  </cols>
  <sheetData>
    <row r="1" spans="1:26" x14ac:dyDescent="0.2">
      <c r="A1" s="3" t="s">
        <v>0</v>
      </c>
      <c r="B1" s="3" t="s">
        <v>1</v>
      </c>
      <c r="C1" s="6" t="s">
        <v>12</v>
      </c>
      <c r="D1" s="6" t="s">
        <v>236</v>
      </c>
      <c r="E1" s="6" t="s">
        <v>164</v>
      </c>
      <c r="F1" s="6" t="s">
        <v>11</v>
      </c>
      <c r="G1" s="7" t="s">
        <v>382</v>
      </c>
      <c r="H1" s="2" t="s">
        <v>8</v>
      </c>
      <c r="I1" s="2" t="s">
        <v>7</v>
      </c>
      <c r="J1" s="2" t="s">
        <v>6</v>
      </c>
      <c r="K1" s="4" t="s">
        <v>5</v>
      </c>
      <c r="L1" s="4" t="s">
        <v>4</v>
      </c>
      <c r="M1" s="4" t="s">
        <v>3</v>
      </c>
      <c r="N1" s="28" t="s">
        <v>286</v>
      </c>
      <c r="O1" s="28" t="s">
        <v>287</v>
      </c>
      <c r="P1" s="5" t="s">
        <v>2</v>
      </c>
      <c r="Q1" s="5" t="s">
        <v>288</v>
      </c>
      <c r="R1" s="5" t="s">
        <v>289</v>
      </c>
      <c r="S1" s="9" t="s">
        <v>325</v>
      </c>
      <c r="T1" s="10" t="s">
        <v>384</v>
      </c>
      <c r="U1" s="11" t="s">
        <v>299</v>
      </c>
      <c r="V1" s="9" t="s">
        <v>300</v>
      </c>
      <c r="W1" s="12" t="s">
        <v>14</v>
      </c>
      <c r="X1" s="12" t="s">
        <v>13</v>
      </c>
      <c r="Y1" s="12" t="s">
        <v>300</v>
      </c>
      <c r="Z1" s="23" t="s">
        <v>383</v>
      </c>
    </row>
    <row r="2" spans="1:26" s="26" customFormat="1" x14ac:dyDescent="0.2">
      <c r="B2" s="3" t="s">
        <v>464</v>
      </c>
      <c r="C2" s="26" t="e">
        <f>VLOOKUP(B2,Nasdaq.com!$B:$AK,MATCH('Idea generation'!$C$1,Nasdaq.com!$B$1:$AK$1,),)</f>
        <v>#N/A</v>
      </c>
      <c r="D2" s="26" t="e">
        <f>VLOOKUP(B2,Nasdaq.com!$B:$AK,MATCH('Idea generation'!$D$1,Nasdaq.com!$B$1:$AK$1,),)</f>
        <v>#N/A</v>
      </c>
      <c r="E2" s="26" t="e">
        <f>VLOOKUP(B2,Nasdaq.com!$B:$AK,MATCH('Idea generation'!$E$1,Nasdaq.com!$B$1:$AK$1,),)</f>
        <v>#N/A</v>
      </c>
      <c r="F2" s="26" t="e">
        <f>VLOOKUP(B2,Nasdaq.com!$B:$AK,MATCH('Idea generation'!$F$1,Nasdaq.com!$B$1:$AK$1,),)</f>
        <v>#N/A</v>
      </c>
      <c r="G2" s="18" t="e">
        <f>VLOOKUP(B2,Nasdaq.com!$B:$AK,MATCH('Idea generation'!$G$1,Nasdaq.com!$B$1:$AK$1,),)</f>
        <v>#N/A</v>
      </c>
      <c r="H2" s="26" t="e">
        <f>VLOOKUP(B2,Nasdaq.com!$B:$AK,MATCH('Idea generation'!$H$1,Nasdaq.com!$B$1:$AK$1,),)</f>
        <v>#N/A</v>
      </c>
      <c r="I2" s="26" t="e">
        <f>VLOOKUP(B2,Nasdaq.com!$B:$AK,MATCH('Idea generation'!$I$1,Nasdaq.com!$B$1:$AK$1,),)</f>
        <v>#N/A</v>
      </c>
      <c r="J2" s="26" t="e">
        <f>VLOOKUP(B2,Nasdaq.com!$B:$AK,MATCH('Idea generation'!$J$1,Nasdaq.com!$B$1:$AK$1,),)</f>
        <v>#N/A</v>
      </c>
      <c r="K2" s="26" t="e">
        <f>VLOOKUP(B2,Nasdaq.com!$B:$AK,MATCH('Idea generation'!$K$1,Nasdaq.com!$B$1:$AK$1,),)</f>
        <v>#N/A</v>
      </c>
      <c r="L2" s="26" t="e">
        <f>VLOOKUP(B2,Nasdaq.com!$B:$AK,MATCH('Idea generation'!$L$1,Nasdaq.com!$B$1:$AK$1,),)</f>
        <v>#N/A</v>
      </c>
      <c r="M2" s="26" t="e">
        <f>VLOOKUP(B2,Nasdaq.com!$B:$AK,MATCH('Idea generation'!$M$1,Nasdaq.com!$B$1:$AK$1,),)</f>
        <v>#N/A</v>
      </c>
      <c r="N2" s="29" t="e">
        <f>VLOOKUP(B2,Nasdaq.com!$B:$AK,MATCH('Idea generation'!$N$1,Nasdaq.com!$B$1:$AK$1,),)</f>
        <v>#N/A</v>
      </c>
      <c r="O2" s="29" t="e">
        <f>VLOOKUP(B2,Nasdaq.com!$B:$AK,MATCH('Idea generation'!$O$1,Nasdaq.com!$B$1:$AK$1,),)</f>
        <v>#N/A</v>
      </c>
      <c r="P2" s="26" t="e">
        <f>VLOOKUP(B2,Nasdaq.com!$B:$AK,MATCH('Idea generation'!$P$1,Nasdaq.com!$B$1:$AK$1,),)</f>
        <v>#N/A</v>
      </c>
      <c r="Q2" s="20" t="e">
        <f>VLOOKUP(B2,Nasdaq.com!$B:$AK,MATCH('Idea generation'!$Q$1,Nasdaq.com!$B$1:$AK$1,),)</f>
        <v>#N/A</v>
      </c>
      <c r="R2" s="20" t="e">
        <f>VLOOKUP(B2,Nasdaq.com!$B:$AK,MATCH('Idea generation'!$R$1,Nasdaq.com!$B$1:$AK$1,),)</f>
        <v>#N/A</v>
      </c>
      <c r="S2" s="26" t="e">
        <f>VLOOKUP(B2,Nasdaq.com!$B:$AK,MATCH('Idea generation'!$S$1,Nasdaq.com!$B$1:$AK$1,),)</f>
        <v>#N/A</v>
      </c>
      <c r="T2" s="21" t="e">
        <f>VLOOKUP(B2,Nasdaq.com!$B:$AK,MATCH('Idea generation'!$T$1,Nasdaq.com!$B$1:$AK$1,),)</f>
        <v>#N/A</v>
      </c>
      <c r="U2" s="26" t="e">
        <f>VLOOKUP(B2,Nasdaq.com!$B:$AK,MATCH('Idea generation'!$U$1,Nasdaq.com!$B$1:$AK$1,),)</f>
        <v>#N/A</v>
      </c>
      <c r="V2" s="19" t="e">
        <f>VLOOKUP(B2,Nasdaq.com!$B:$AK,MATCH('Idea generation'!$V$1,Nasdaq.com!$B$1:$AK$1,),)</f>
        <v>#N/A</v>
      </c>
      <c r="W2" s="26" t="e">
        <f>VLOOKUP(B2,Nasdaq.com!$B:$AK,MATCH('Idea generation'!$W$1,Nasdaq.com!$B$1:$AK$1,),)</f>
        <v>#N/A</v>
      </c>
      <c r="X2" s="26" t="e">
        <f>VLOOKUP(B2,Nasdaq.com!$B:$AK,MATCH('Idea generation'!$X$1,Nasdaq.com!$B$1:$AK$1,),)</f>
        <v>#N/A</v>
      </c>
      <c r="Y2" s="26" t="e">
        <f>VLOOKUP(B2,Nasdaq.com!$B:$AK,MATCH('Idea generation'!$Y$1,Nasdaq.com!$B$1:$AK$1,),)</f>
        <v>#N/A</v>
      </c>
      <c r="Z2" s="24" t="e">
        <f>VLOOKUP(B2,Nasdaq.com!$B:$AK,MATCH('Idea generation'!$Z$1,Nasdaq.com!$B$1:$AK$1,),)</f>
        <v>#N/A</v>
      </c>
    </row>
    <row r="3" spans="1:26" s="26" customFormat="1" x14ac:dyDescent="0.2">
      <c r="B3" s="3" t="s">
        <v>465</v>
      </c>
      <c r="C3" s="26" t="str">
        <f>VLOOKUP(B3,Nasdaq.com!$B:$AK,MATCH('Idea generation'!$C$1,Nasdaq.com!$B$1:$AK$1,),)</f>
        <v>NYSE</v>
      </c>
      <c r="D3" s="26" t="str">
        <f>VLOOKUP(B3,Nasdaq.com!$B:$AK,MATCH('Idea generation'!$D$1,Nasdaq.com!$B$1:$AK$1,),)</f>
        <v>Industrial Products</v>
      </c>
      <c r="E3" s="26" t="str">
        <f>VLOOKUP(B3,Nasdaq.com!$B:$AK,MATCH('Idea generation'!$E$1,Nasdaq.com!$B$1:$AK$1,),)</f>
        <v xml:space="preserve">Manufacturing - General Industrial </v>
      </c>
      <c r="F3" s="26">
        <f>VLOOKUP(B3,Nasdaq.com!$B:$AK,MATCH('Idea generation'!$F$1,Nasdaq.com!$B$1:$AK$1,),)</f>
        <v>6</v>
      </c>
      <c r="G3" s="18">
        <f>VLOOKUP(B3,Nasdaq.com!$B:$AK,MATCH('Idea generation'!$G$1,Nasdaq.com!$B$1:$AK$1,),)</f>
        <v>3889</v>
      </c>
      <c r="H3" s="26">
        <f>VLOOKUP(B3,Nasdaq.com!$B:$AK,MATCH('Idea generation'!$H$1,Nasdaq.com!$B$1:$AK$1,),)</f>
        <v>4.42</v>
      </c>
      <c r="I3" s="26">
        <f>VLOOKUP(B3,Nasdaq.com!$B:$AK,MATCH('Idea generation'!$I$1,Nasdaq.com!$B$1:$AK$1,),)</f>
        <v>6.24</v>
      </c>
      <c r="J3" s="26">
        <f>VLOOKUP(B3,Nasdaq.com!$B:$AK,MATCH('Idea generation'!$J$1,Nasdaq.com!$B$1:$AK$1,),)</f>
        <v>6.9</v>
      </c>
      <c r="K3" s="26">
        <f>VLOOKUP(B3,Nasdaq.com!$B:$AK,MATCH('Idea generation'!$K$1,Nasdaq.com!$B$1:$AK$1,),)</f>
        <v>16.64</v>
      </c>
      <c r="L3" s="26">
        <f>VLOOKUP(B3,Nasdaq.com!$B:$AK,MATCH('Idea generation'!$L$1,Nasdaq.com!$B$1:$AK$1,),)</f>
        <v>16.21</v>
      </c>
      <c r="M3" s="26">
        <f>VLOOKUP(B3,Nasdaq.com!$B:$AK,MATCH('Idea generation'!$M$1,Nasdaq.com!$B$1:$AK$1,),)</f>
        <v>14.66</v>
      </c>
      <c r="N3" s="29">
        <f>VLOOKUP(B3,Nasdaq.com!$B:$AK,MATCH('Idea generation'!$N$1,Nasdaq.com!$B$1:$AK$1,),)</f>
        <v>-0.26333333333333336</v>
      </c>
      <c r="O3" s="29">
        <f>VLOOKUP(B3,Nasdaq.com!$B:$AK,MATCH('Idea generation'!$O$1,Nasdaq.com!$B$1:$AK$1,),)</f>
        <v>0.41176470588235303</v>
      </c>
      <c r="P3" s="26">
        <f>VLOOKUP(B3,Nasdaq.com!$B:$AK,MATCH('Idea generation'!$P$1,Nasdaq.com!$B$1:$AK$1,),)</f>
        <v>0</v>
      </c>
      <c r="Q3" s="20">
        <f>VLOOKUP(B3,Nasdaq.com!$B:$AK,MATCH('Idea generation'!$Q$1,Nasdaq.com!$B$1:$AK$1,),)</f>
        <v>-0.6318987341772152</v>
      </c>
      <c r="R3" s="20">
        <f>VLOOKUP(B3,Nasdaq.com!$B:$AK,MATCH('Idea generation'!$R$1,Nasdaq.com!$B$1:$AK$1,),)</f>
        <v>0.39367142857142851</v>
      </c>
      <c r="S3" s="26">
        <f>VLOOKUP(B3,Nasdaq.com!$B:$AK,MATCH('Idea generation'!$S$1,Nasdaq.com!$B$1:$AK$1,),)</f>
        <v>23.58</v>
      </c>
      <c r="T3" s="21">
        <f>VLOOKUP(B3,Nasdaq.com!$B:$AK,MATCH('Idea generation'!$T$1,Nasdaq.com!$B$1:$AK$1,),)</f>
        <v>3722.8000400000001</v>
      </c>
      <c r="U3" s="26">
        <f>VLOOKUP(B3,Nasdaq.com!$B:$AK,MATCH('Idea generation'!$U$1,Nasdaq.com!$B$1:$AK$1,),)</f>
        <v>4.46</v>
      </c>
      <c r="V3" s="22">
        <f>VLOOKUP(B3,Nasdaq.com!$B:$AK,MATCH('Idea generation'!$V$1,Nasdaq.com!$B$1:$AK$1,),)</f>
        <v>-0.99880197701942652</v>
      </c>
      <c r="W3" s="26">
        <f>VLOOKUP(B3,Nasdaq.com!$B:$AK,MATCH('Idea generation'!$W$1,Nasdaq.com!$B$1:$AK$1,),)</f>
        <v>33.94</v>
      </c>
      <c r="X3" s="26">
        <f>VLOOKUP(B3,Nasdaq.com!$B:$AK,MATCH('Idea generation'!$X$1,Nasdaq.com!$B$1:$AK$1,),)</f>
        <v>1.34</v>
      </c>
      <c r="Y3" s="26">
        <f>VLOOKUP(B3,Nasdaq.com!$B:$AK,MATCH('Idea generation'!$Y$1,Nasdaq.com!$B$1:$AK$1,),)</f>
        <v>-0.99880197701942652</v>
      </c>
      <c r="Z3" s="24">
        <f>VLOOKUP(B3,Nasdaq.com!$B:$AK,MATCH('Idea generation'!$Z$1,Nasdaq.com!$B$1:$AK$1,),)</f>
        <v>20220816</v>
      </c>
    </row>
    <row r="4" spans="1:26" s="26" customFormat="1" x14ac:dyDescent="0.2">
      <c r="B4" s="3" t="s">
        <v>417</v>
      </c>
      <c r="C4" s="26" t="e">
        <f>VLOOKUP(B4,Nasdaq.com!$B:$AK,MATCH('Idea generation'!$C$1,Nasdaq.com!$B$1:$AK$1,),)</f>
        <v>#N/A</v>
      </c>
      <c r="D4" s="26" t="e">
        <f>VLOOKUP(B4,Nasdaq.com!$B:$AK,MATCH('Idea generation'!$D$1,Nasdaq.com!$B$1:$AK$1,),)</f>
        <v>#N/A</v>
      </c>
      <c r="E4" s="26" t="e">
        <f>VLOOKUP(B4,Nasdaq.com!$B:$AK,MATCH('Idea generation'!$E$1,Nasdaq.com!$B$1:$AK$1,),)</f>
        <v>#N/A</v>
      </c>
      <c r="F4" s="26" t="e">
        <f>VLOOKUP(B4,Nasdaq.com!$B:$AK,MATCH('Idea generation'!$F$1,Nasdaq.com!$B$1:$AK$1,),)</f>
        <v>#N/A</v>
      </c>
      <c r="G4" s="18" t="e">
        <f>VLOOKUP(B4,Nasdaq.com!$B:$AK,MATCH('Idea generation'!$G$1,Nasdaq.com!$B$1:$AK$1,),)</f>
        <v>#N/A</v>
      </c>
      <c r="H4" s="26" t="e">
        <f>VLOOKUP(B4,Nasdaq.com!$B:$AK,MATCH('Idea generation'!$H$1,Nasdaq.com!$B$1:$AK$1,),)</f>
        <v>#N/A</v>
      </c>
      <c r="I4" s="26" t="e">
        <f>VLOOKUP(B4,Nasdaq.com!$B:$AK,MATCH('Idea generation'!$I$1,Nasdaq.com!$B$1:$AK$1,),)</f>
        <v>#N/A</v>
      </c>
      <c r="J4" s="26" t="e">
        <f>VLOOKUP(B4,Nasdaq.com!$B:$AK,MATCH('Idea generation'!$J$1,Nasdaq.com!$B$1:$AK$1,),)</f>
        <v>#N/A</v>
      </c>
      <c r="K4" s="26" t="e">
        <f>VLOOKUP(B4,Nasdaq.com!$B:$AK,MATCH('Idea generation'!$K$1,Nasdaq.com!$B$1:$AK$1,),)</f>
        <v>#N/A</v>
      </c>
      <c r="L4" s="26" t="e">
        <f>VLOOKUP(B4,Nasdaq.com!$B:$AK,MATCH('Idea generation'!$L$1,Nasdaq.com!$B$1:$AK$1,),)</f>
        <v>#N/A</v>
      </c>
      <c r="M4" s="26" t="e">
        <f>VLOOKUP(B4,Nasdaq.com!$B:$AK,MATCH('Idea generation'!$M$1,Nasdaq.com!$B$1:$AK$1,),)</f>
        <v>#N/A</v>
      </c>
      <c r="N4" s="29" t="e">
        <f>VLOOKUP(B4,Nasdaq.com!$B:$AK,MATCH('Idea generation'!$N$1,Nasdaq.com!$B$1:$AK$1,),)</f>
        <v>#N/A</v>
      </c>
      <c r="O4" s="29" t="e">
        <f>VLOOKUP(B4,Nasdaq.com!$B:$AK,MATCH('Idea generation'!$O$1,Nasdaq.com!$B$1:$AK$1,),)</f>
        <v>#N/A</v>
      </c>
      <c r="P4" s="26" t="e">
        <f>VLOOKUP(B4,Nasdaq.com!$B:$AK,MATCH('Idea generation'!$P$1,Nasdaq.com!$B$1:$AK$1,),)</f>
        <v>#N/A</v>
      </c>
      <c r="Q4" s="20" t="e">
        <f>VLOOKUP(B4,Nasdaq.com!$B:$AK,MATCH('Idea generation'!$Q$1,Nasdaq.com!$B$1:$AK$1,),)</f>
        <v>#N/A</v>
      </c>
      <c r="R4" s="20" t="e">
        <f>VLOOKUP(B4,Nasdaq.com!$B:$AK,MATCH('Idea generation'!$R$1,Nasdaq.com!$B$1:$AK$1,),)</f>
        <v>#N/A</v>
      </c>
      <c r="S4" s="26" t="e">
        <f>VLOOKUP(B4,Nasdaq.com!$B:$AK,MATCH('Idea generation'!$S$1,Nasdaq.com!$B$1:$AK$1,),)</f>
        <v>#N/A</v>
      </c>
      <c r="T4" s="21" t="e">
        <f>VLOOKUP(B4,Nasdaq.com!$B:$AK,MATCH('Idea generation'!$T$1,Nasdaq.com!$B$1:$AK$1,),)</f>
        <v>#N/A</v>
      </c>
      <c r="U4" s="26" t="e">
        <f>VLOOKUP(B4,Nasdaq.com!$B:$AK,MATCH('Idea generation'!$U$1,Nasdaq.com!$B$1:$AK$1,),)</f>
        <v>#N/A</v>
      </c>
      <c r="V4" s="22" t="e">
        <f>VLOOKUP(B4,Nasdaq.com!$B:$AK,MATCH('Idea generation'!$V$1,Nasdaq.com!$B$1:$AK$1,),)</f>
        <v>#N/A</v>
      </c>
      <c r="W4" s="26" t="e">
        <f>VLOOKUP(B4,Nasdaq.com!$B:$AK,MATCH('Idea generation'!$W$1,Nasdaq.com!$B$1:$AK$1,),)</f>
        <v>#N/A</v>
      </c>
      <c r="X4" s="26" t="e">
        <f>VLOOKUP(B4,Nasdaq.com!$B:$AK,MATCH('Idea generation'!$X$1,Nasdaq.com!$B$1:$AK$1,),)</f>
        <v>#N/A</v>
      </c>
      <c r="Y4" s="26" t="e">
        <f>VLOOKUP(B4,Nasdaq.com!$B:$AK,MATCH('Idea generation'!$Y$1,Nasdaq.com!$B$1:$AK$1,),)</f>
        <v>#N/A</v>
      </c>
      <c r="Z4" s="24" t="e">
        <f>VLOOKUP(B4,Nasdaq.com!$B:$AK,MATCH('Idea generation'!$Z$1,Nasdaq.com!$B$1:$AK$1,),)</f>
        <v>#N/A</v>
      </c>
    </row>
    <row r="5" spans="1:26" s="26" customFormat="1" x14ac:dyDescent="0.2">
      <c r="B5" s="3" t="s">
        <v>138</v>
      </c>
      <c r="C5" s="26" t="str">
        <f>VLOOKUP(B5,Nasdaq.com!$B:$AK,MATCH('Idea generation'!$C$1,Nasdaq.com!$B$1:$AK$1,),)</f>
        <v>NYSE</v>
      </c>
      <c r="D5" s="26" t="str">
        <f>VLOOKUP(B5,Nasdaq.com!$B:$AK,MATCH('Idea generation'!$D$1,Nasdaq.com!$B$1:$AK$1,),)</f>
        <v>Industrial Products</v>
      </c>
      <c r="E5" s="26" t="str">
        <f>VLOOKUP(B5,Nasdaq.com!$B:$AK,MATCH('Idea generation'!$E$1,Nasdaq.com!$B$1:$AK$1,),)</f>
        <v xml:space="preserve">Manufacturing - General Industrial </v>
      </c>
      <c r="F5" s="26">
        <f>VLOOKUP(B5,Nasdaq.com!$B:$AK,MATCH('Idea generation'!$F$1,Nasdaq.com!$B$1:$AK$1,),)</f>
        <v>12</v>
      </c>
      <c r="G5" s="18">
        <f>VLOOKUP(B5,Nasdaq.com!$B:$AK,MATCH('Idea generation'!$G$1,Nasdaq.com!$B$1:$AK$1,),)</f>
        <v>19182.38</v>
      </c>
      <c r="H5" s="26">
        <f>VLOOKUP(B5,Nasdaq.com!$B:$AK,MATCH('Idea generation'!$H$1,Nasdaq.com!$B$1:$AK$1,),)</f>
        <v>7.51</v>
      </c>
      <c r="I5" s="26">
        <f>VLOOKUP(B5,Nasdaq.com!$B:$AK,MATCH('Idea generation'!$I$1,Nasdaq.com!$B$1:$AK$1,),)</f>
        <v>8.57</v>
      </c>
      <c r="J5" s="26">
        <f>VLOOKUP(B5,Nasdaq.com!$B:$AK,MATCH('Idea generation'!$J$1,Nasdaq.com!$B$1:$AK$1,),)</f>
        <v>9.27</v>
      </c>
      <c r="K5" s="26">
        <f>VLOOKUP(B5,Nasdaq.com!$B:$AK,MATCH('Idea generation'!$K$1,Nasdaq.com!$B$1:$AK$1,),)</f>
        <v>17.239999999999998</v>
      </c>
      <c r="L5" s="26">
        <f>VLOOKUP(B5,Nasdaq.com!$B:$AK,MATCH('Idea generation'!$L$1,Nasdaq.com!$B$1:$AK$1,),)</f>
        <v>15.53</v>
      </c>
      <c r="M5" s="26">
        <f>VLOOKUP(B5,Nasdaq.com!$B:$AK,MATCH('Idea generation'!$M$1,Nasdaq.com!$B$1:$AK$1,),)</f>
        <v>14.36</v>
      </c>
      <c r="N5" s="29">
        <f>VLOOKUP(B5,Nasdaq.com!$B:$AK,MATCH('Idea generation'!$N$1,Nasdaq.com!$B$1:$AK$1,),)</f>
        <v>-0.3741666666666667</v>
      </c>
      <c r="O5" s="29">
        <f>VLOOKUP(B5,Nasdaq.com!$B:$AK,MATCH('Idea generation'!$O$1,Nasdaq.com!$B$1:$AK$1,),)</f>
        <v>0.14114513981358195</v>
      </c>
      <c r="P5" s="26">
        <f>VLOOKUP(B5,Nasdaq.com!$B:$AK,MATCH('Idea generation'!$P$1,Nasdaq.com!$B$1:$AK$1,),)</f>
        <v>1.1100000000000001</v>
      </c>
      <c r="Q5" s="20">
        <f>VLOOKUP(B5,Nasdaq.com!$B:$AK,MATCH('Idea generation'!$Q$1,Nasdaq.com!$B$1:$AK$1,),)</f>
        <v>-0.46075723830734955</v>
      </c>
      <c r="R5" s="20">
        <f>VLOOKUP(B5,Nasdaq.com!$B:$AK,MATCH('Idea generation'!$R$1,Nasdaq.com!$B$1:$AK$1,),)</f>
        <v>1.1002858490566032</v>
      </c>
      <c r="S5" s="26">
        <f>VLOOKUP(B5,Nasdaq.com!$B:$AK,MATCH('Idea generation'!$S$1,Nasdaq.com!$B$1:$AK$1,),)</f>
        <v>27.82</v>
      </c>
      <c r="T5" s="21">
        <f>VLOOKUP(B5,Nasdaq.com!$B:$AK,MATCH('Idea generation'!$T$1,Nasdaq.com!$B$1:$AK$1,),)</f>
        <v>8666.5654200000008</v>
      </c>
      <c r="U5" s="26">
        <f>VLOOKUP(B5,Nasdaq.com!$B:$AK,MATCH('Idea generation'!$U$1,Nasdaq.com!$B$1:$AK$1,),)</f>
        <v>-0.48</v>
      </c>
      <c r="V5" s="22">
        <f>VLOOKUP(B5,Nasdaq.com!$B:$AK,MATCH('Idea generation'!$V$1,Nasdaq.com!$B$1:$AK$1,),)</f>
        <v>-1.0000553852624123</v>
      </c>
      <c r="W5" s="26">
        <f>VLOOKUP(B5,Nasdaq.com!$B:$AK,MATCH('Idea generation'!$W$1,Nasdaq.com!$B$1:$AK$1,),)</f>
        <v>3.26</v>
      </c>
      <c r="X5" s="26">
        <f>VLOOKUP(B5,Nasdaq.com!$B:$AK,MATCH('Idea generation'!$X$1,Nasdaq.com!$B$1:$AK$1,),)</f>
        <v>1.5</v>
      </c>
      <c r="Y5" s="26">
        <f>VLOOKUP(B5,Nasdaq.com!$B:$AK,MATCH('Idea generation'!$Y$1,Nasdaq.com!$B$1:$AK$1,),)</f>
        <v>-1.0000553852624123</v>
      </c>
      <c r="Z5" s="24">
        <f>VLOOKUP(B5,Nasdaq.com!$B:$AK,MATCH('Idea generation'!$Z$1,Nasdaq.com!$B$1:$AK$1,),)</f>
        <v>20220719</v>
      </c>
    </row>
    <row r="6" spans="1:26" s="26" customFormat="1" x14ac:dyDescent="0.2">
      <c r="B6" s="3" t="s">
        <v>402</v>
      </c>
      <c r="C6" s="26" t="str">
        <f>VLOOKUP(B6,Nasdaq.com!$B:$AK,MATCH('Idea generation'!$C$1,Nasdaq.com!$B$1:$AK$1,),)</f>
        <v>NYSE</v>
      </c>
      <c r="D6" s="26" t="str">
        <f>VLOOKUP(B6,Nasdaq.com!$B:$AK,MATCH('Idea generation'!$D$1,Nasdaq.com!$B$1:$AK$1,),)</f>
        <v>Industrial Products</v>
      </c>
      <c r="E6" s="26" t="str">
        <f>VLOOKUP(B6,Nasdaq.com!$B:$AK,MATCH('Idea generation'!$E$1,Nasdaq.com!$B$1:$AK$1,),)</f>
        <v xml:space="preserve">Manufacturing - General Industrial </v>
      </c>
      <c r="F6" s="26">
        <f>VLOOKUP(B6,Nasdaq.com!$B:$AK,MATCH('Idea generation'!$F$1,Nasdaq.com!$B$1:$AK$1,),)</f>
        <v>12</v>
      </c>
      <c r="G6" s="18">
        <f>VLOOKUP(B6,Nasdaq.com!$B:$AK,MATCH('Idea generation'!$G$1,Nasdaq.com!$B$1:$AK$1,),)</f>
        <v>4036.92</v>
      </c>
      <c r="H6" s="26">
        <f>VLOOKUP(B6,Nasdaq.com!$B:$AK,MATCH('Idea generation'!$H$1,Nasdaq.com!$B$1:$AK$1,),)</f>
        <v>1.41</v>
      </c>
      <c r="I6" s="26">
        <f>VLOOKUP(B6,Nasdaq.com!$B:$AK,MATCH('Idea generation'!$I$1,Nasdaq.com!$B$1:$AK$1,),)</f>
        <v>1.51</v>
      </c>
      <c r="J6" s="26">
        <f>VLOOKUP(B6,Nasdaq.com!$B:$AK,MATCH('Idea generation'!$J$1,Nasdaq.com!$B$1:$AK$1,),)</f>
        <v>2.09</v>
      </c>
      <c r="K6" s="26">
        <f>VLOOKUP(B6,Nasdaq.com!$B:$AK,MATCH('Idea generation'!$K$1,Nasdaq.com!$B$1:$AK$1,),)</f>
        <v>26.19</v>
      </c>
      <c r="L6" s="26">
        <f>VLOOKUP(B6,Nasdaq.com!$B:$AK,MATCH('Idea generation'!$L$1,Nasdaq.com!$B$1:$AK$1,),)</f>
        <v>20.51</v>
      </c>
      <c r="M6" s="26">
        <f>VLOOKUP(B6,Nasdaq.com!$B:$AK,MATCH('Idea generation'!$M$1,Nasdaq.com!$B$1:$AK$1,),)</f>
        <v>14.77</v>
      </c>
      <c r="N6" s="29">
        <f>VLOOKUP(B6,Nasdaq.com!$B:$AK,MATCH('Idea generation'!$N$1,Nasdaq.com!$B$1:$AK$1,),)</f>
        <v>-0.88249999999999995</v>
      </c>
      <c r="O6" s="29">
        <f>VLOOKUP(B6,Nasdaq.com!$B:$AK,MATCH('Idea generation'!$O$1,Nasdaq.com!$B$1:$AK$1,),)</f>
        <v>7.0921985815602898E-2</v>
      </c>
      <c r="P6" s="26">
        <f>VLOOKUP(B6,Nasdaq.com!$B:$AK,MATCH('Idea generation'!$P$1,Nasdaq.com!$B$1:$AK$1,),)</f>
        <v>1.25</v>
      </c>
      <c r="Q6" s="20">
        <f>VLOOKUP(B6,Nasdaq.com!$B:$AK,MATCH('Idea generation'!$Q$1,Nasdaq.com!$B$1:$AK$1,),)</f>
        <v>-0.29677053824362609</v>
      </c>
      <c r="R6" s="20">
        <f>VLOOKUP(B6,Nasdaq.com!$B:$AK,MATCH('Idea generation'!$R$1,Nasdaq.com!$B$1:$AK$1,),)</f>
        <v>2.891909999999998</v>
      </c>
      <c r="S6" s="26">
        <f>VLOOKUP(B6,Nasdaq.com!$B:$AK,MATCH('Idea generation'!$S$1,Nasdaq.com!$B$1:$AK$1,),)</f>
        <v>8.57</v>
      </c>
      <c r="T6" s="21">
        <f>VLOOKUP(B6,Nasdaq.com!$B:$AK,MATCH('Idea generation'!$T$1,Nasdaq.com!$B$1:$AK$1,),)</f>
        <v>3712.8349600000001</v>
      </c>
      <c r="U6" s="26">
        <f>VLOOKUP(B6,Nasdaq.com!$B:$AK,MATCH('Idea generation'!$U$1,Nasdaq.com!$B$1:$AK$1,),)</f>
        <v>-0.89</v>
      </c>
      <c r="V6" s="22">
        <f>VLOOKUP(B6,Nasdaq.com!$B:$AK,MATCH('Idea generation'!$V$1,Nasdaq.com!$B$1:$AK$1,),)</f>
        <v>-1.0002397090120052</v>
      </c>
      <c r="W6" s="26">
        <f>VLOOKUP(B6,Nasdaq.com!$B:$AK,MATCH('Idea generation'!$W$1,Nasdaq.com!$B$1:$AK$1,),)</f>
        <v>-66.67</v>
      </c>
      <c r="X6" s="26">
        <f>VLOOKUP(B6,Nasdaq.com!$B:$AK,MATCH('Idea generation'!$X$1,Nasdaq.com!$B$1:$AK$1,),)</f>
        <v>2.59</v>
      </c>
      <c r="Y6" s="26">
        <f>VLOOKUP(B6,Nasdaq.com!$B:$AK,MATCH('Idea generation'!$Y$1,Nasdaq.com!$B$1:$AK$1,),)</f>
        <v>-1.0002397090120052</v>
      </c>
      <c r="Z6" s="24">
        <f>VLOOKUP(B6,Nasdaq.com!$B:$AK,MATCH('Idea generation'!$Z$1,Nasdaq.com!$B$1:$AK$1,),)</f>
        <v>20220804</v>
      </c>
    </row>
    <row r="7" spans="1:26" x14ac:dyDescent="0.2">
      <c r="B7" s="3" t="s">
        <v>149</v>
      </c>
      <c r="C7" s="27" t="str">
        <f>VLOOKUP(B7,Nasdaq.com!$B:$AK,MATCH('Idea generation'!$C$1,Nasdaq.com!$B$1:$AK$1,),)</f>
        <v>NYSE</v>
      </c>
      <c r="D7" s="27" t="str">
        <f>VLOOKUP(B7,Nasdaq.com!$B:$AK,MATCH('Idea generation'!$D$1,Nasdaq.com!$B$1:$AK$1,),)</f>
        <v>Industrial Products</v>
      </c>
      <c r="E7" s="27" t="str">
        <f>VLOOKUP(B7,Nasdaq.com!$B:$AK,MATCH('Idea generation'!$E$1,Nasdaq.com!$B$1:$AK$1,),)</f>
        <v xml:space="preserve">Manufacturing - General Industrial </v>
      </c>
      <c r="F7" s="27">
        <f>VLOOKUP(B7,Nasdaq.com!$B:$AK,MATCH('Idea generation'!$F$1,Nasdaq.com!$B$1:$AK$1,),)</f>
        <v>12</v>
      </c>
      <c r="G7" s="18">
        <f>VLOOKUP(B7,Nasdaq.com!$B:$AK,MATCH('Idea generation'!$G$1,Nasdaq.com!$B$1:$AK$1,),)</f>
        <v>10564.83</v>
      </c>
      <c r="H7" s="27">
        <f>VLOOKUP(B7,Nasdaq.com!$B:$AK,MATCH('Idea generation'!$H$1,Nasdaq.com!$B$1:$AK$1,),)</f>
        <v>2.41</v>
      </c>
      <c r="I7" s="27">
        <f>VLOOKUP(B7,Nasdaq.com!$B:$AK,MATCH('Idea generation'!$I$1,Nasdaq.com!$B$1:$AK$1,),)</f>
        <v>2.64</v>
      </c>
      <c r="J7" s="27">
        <f>VLOOKUP(B7,Nasdaq.com!$B:$AK,MATCH('Idea generation'!$J$1,Nasdaq.com!$B$1:$AK$1,),)</f>
        <v>2.91</v>
      </c>
      <c r="K7" s="27">
        <f>VLOOKUP(B7,Nasdaq.com!$B:$AK,MATCH('Idea generation'!$K$1,Nasdaq.com!$B$1:$AK$1,),)</f>
        <v>25.8</v>
      </c>
      <c r="L7" s="27">
        <f>VLOOKUP(B7,Nasdaq.com!$B:$AK,MATCH('Idea generation'!$L$1,Nasdaq.com!$B$1:$AK$1,),)</f>
        <v>23.62</v>
      </c>
      <c r="M7" s="27">
        <f>VLOOKUP(B7,Nasdaq.com!$B:$AK,MATCH('Idea generation'!$M$1,Nasdaq.com!$B$1:$AK$1,),)</f>
        <v>21.48</v>
      </c>
      <c r="N7" s="29">
        <f>VLOOKUP(B7,Nasdaq.com!$B:$AK,MATCH('Idea generation'!$N$1,Nasdaq.com!$B$1:$AK$1,),)</f>
        <v>-0.79916666666666669</v>
      </c>
      <c r="O7" s="29">
        <f>VLOOKUP(B7,Nasdaq.com!$B:$AK,MATCH('Idea generation'!$O$1,Nasdaq.com!$B$1:$AK$1,),)</f>
        <v>9.5435684647302885E-2</v>
      </c>
      <c r="P7" s="27">
        <f>VLOOKUP(B7,Nasdaq.com!$B:$AK,MATCH('Idea generation'!$P$1,Nasdaq.com!$B$1:$AK$1,),)</f>
        <v>2.95</v>
      </c>
      <c r="Q7" s="20">
        <f>VLOOKUP(B7,Nasdaq.com!$B:$AK,MATCH('Idea generation'!$Q$1,Nasdaq.com!$B$1:$AK$1,),)</f>
        <v>-0.32283628779979145</v>
      </c>
      <c r="R7" s="20">
        <f>VLOOKUP(B7,Nasdaq.com!$B:$AK,MATCH('Idea generation'!$R$1,Nasdaq.com!$B$1:$AK$1,),)</f>
        <v>2.474965217391305</v>
      </c>
      <c r="S7" s="27">
        <f>VLOOKUP(B7,Nasdaq.com!$B:$AK,MATCH('Idea generation'!$S$1,Nasdaq.com!$B$1:$AK$1,),)</f>
        <v>26.28</v>
      </c>
      <c r="T7" s="21">
        <f>VLOOKUP(B7,Nasdaq.com!$B:$AK,MATCH('Idea generation'!$T$1,Nasdaq.com!$B$1:$AK$1,),)</f>
        <v>2121.1918900000001</v>
      </c>
      <c r="U7" s="27">
        <f>VLOOKUP(B7,Nasdaq.com!$B:$AK,MATCH('Idea generation'!$U$1,Nasdaq.com!$B$1:$AK$1,),)</f>
        <v>6.01</v>
      </c>
      <c r="V7" s="22">
        <f>VLOOKUP(B7,Nasdaq.com!$B:$AK,MATCH('Idea generation'!$V$1,Nasdaq.com!$B$1:$AK$1,),)</f>
        <v>-0.99716668726279156</v>
      </c>
      <c r="W7" s="27">
        <f>VLOOKUP(B7,Nasdaq.com!$B:$AK,MATCH('Idea generation'!$W$1,Nasdaq.com!$B$1:$AK$1,),)</f>
        <v>-9.52</v>
      </c>
      <c r="X7" s="27">
        <f>VLOOKUP(B7,Nasdaq.com!$B:$AK,MATCH('Idea generation'!$X$1,Nasdaq.com!$B$1:$AK$1,),)</f>
        <v>1.35</v>
      </c>
      <c r="Y7" s="27">
        <f>VLOOKUP(B7,Nasdaq.com!$B:$AK,MATCH('Idea generation'!$Y$1,Nasdaq.com!$B$1:$AK$1,),)</f>
        <v>-0.99716668726279156</v>
      </c>
      <c r="Z7" s="24">
        <f>VLOOKUP(B7,Nasdaq.com!$B:$AK,MATCH('Idea generation'!$Z$1,Nasdaq.com!$B$1:$AK$1,),)</f>
        <v>20220720</v>
      </c>
    </row>
    <row r="8" spans="1:26" s="31" customFormat="1" x14ac:dyDescent="0.2">
      <c r="B8" s="31" t="s">
        <v>451</v>
      </c>
      <c r="C8" s="31" t="str">
        <f>VLOOKUP(B8,Nasdaq.com!$B:$AK,MATCH('Idea generation'!$C$1,Nasdaq.com!$B$1:$AK$1,),)</f>
        <v>NYSE</v>
      </c>
      <c r="D8" s="31" t="str">
        <f>VLOOKUP(B8,Nasdaq.com!$B:$AK,MATCH('Idea generation'!$D$1,Nasdaq.com!$B$1:$AK$1,),)</f>
        <v>Industrial Products</v>
      </c>
      <c r="E8" s="31" t="str">
        <f>VLOOKUP(B8,Nasdaq.com!$B:$AK,MATCH('Idea generation'!$E$1,Nasdaq.com!$B$1:$AK$1,),)</f>
        <v xml:space="preserve">Manufacturing - General Industrial </v>
      </c>
      <c r="F8" s="31">
        <f>VLOOKUP(B8,Nasdaq.com!$B:$AK,MATCH('Idea generation'!$F$1,Nasdaq.com!$B$1:$AK$1,),)</f>
        <v>12</v>
      </c>
      <c r="G8" s="32">
        <f>VLOOKUP(B8,Nasdaq.com!$B:$AK,MATCH('Idea generation'!$G$1,Nasdaq.com!$B$1:$AK$1,),)</f>
        <v>6500.25</v>
      </c>
      <c r="H8" s="31">
        <f>VLOOKUP(B8,Nasdaq.com!$B:$AK,MATCH('Idea generation'!$H$1,Nasdaq.com!$B$1:$AK$1,),)</f>
        <v>2.76</v>
      </c>
      <c r="I8" s="31">
        <f>VLOOKUP(B8,Nasdaq.com!$B:$AK,MATCH('Idea generation'!$I$1,Nasdaq.com!$B$1:$AK$1,),)</f>
        <v>4.97</v>
      </c>
      <c r="J8" s="31">
        <f>VLOOKUP(B8,Nasdaq.com!$B:$AK,MATCH('Idea generation'!$J$1,Nasdaq.com!$B$1:$AK$1,),)</f>
        <v>8.36</v>
      </c>
      <c r="K8" s="31">
        <f>VLOOKUP(B8,Nasdaq.com!$B:$AK,MATCH('Idea generation'!$K$1,Nasdaq.com!$B$1:$AK$1,),)</f>
        <v>60.8</v>
      </c>
      <c r="L8" s="31">
        <f>VLOOKUP(B8,Nasdaq.com!$B:$AK,MATCH('Idea generation'!$L$1,Nasdaq.com!$B$1:$AK$1,),)</f>
        <v>35.75</v>
      </c>
      <c r="M8" s="31">
        <f>VLOOKUP(B8,Nasdaq.com!$B:$AK,MATCH('Idea generation'!$M$1,Nasdaq.com!$B$1:$AK$1,),)</f>
        <v>21.25</v>
      </c>
      <c r="N8" s="33">
        <f>VLOOKUP(B8,Nasdaq.com!$B:$AK,MATCH('Idea generation'!$N$1,Nasdaq.com!$B$1:$AK$1,),)</f>
        <v>-0.77</v>
      </c>
      <c r="O8" s="33">
        <f>VLOOKUP(B8,Nasdaq.com!$B:$AK,MATCH('Idea generation'!$O$1,Nasdaq.com!$B$1:$AK$1,),)</f>
        <v>0.80072463768115942</v>
      </c>
      <c r="P8" s="31">
        <f>VLOOKUP(B8,Nasdaq.com!$B:$AK,MATCH('Idea generation'!$P$1,Nasdaq.com!$B$1:$AK$1,),)</f>
        <v>0</v>
      </c>
      <c r="Q8" s="34">
        <f>VLOOKUP(B8,Nasdaq.com!$B:$AK,MATCH('Idea generation'!$Q$1,Nasdaq.com!$B$1:$AK$1,),)</f>
        <v>-0.78961038961038954</v>
      </c>
      <c r="R8" s="34">
        <f>VLOOKUP(B8,Nasdaq.com!$B:$AK,MATCH('Idea generation'!$R$1,Nasdaq.com!$B$1:$AK$1,),)</f>
        <v>0.44647058823529412</v>
      </c>
      <c r="S8" s="31">
        <f>VLOOKUP(B8,Nasdaq.com!$B:$AK,MATCH('Idea generation'!$S$1,Nasdaq.com!$B$1:$AK$1,),)</f>
        <v>6.88</v>
      </c>
      <c r="T8" s="35">
        <f>VLOOKUP(B8,Nasdaq.com!$B:$AK,MATCH('Idea generation'!$T$1,Nasdaq.com!$B$1:$AK$1,),)</f>
        <v>1753</v>
      </c>
      <c r="U8" s="31">
        <f>VLOOKUP(B8,Nasdaq.com!$B:$AK,MATCH('Idea generation'!$U$1,Nasdaq.com!$B$1:$AK$1,),)</f>
        <v>7.11</v>
      </c>
      <c r="V8" s="36">
        <f>VLOOKUP(B8,Nasdaq.com!$B:$AK,MATCH('Idea generation'!$V$1,Nasdaq.com!$B$1:$AK$1,),)</f>
        <v>-0.99594409583571031</v>
      </c>
      <c r="W8" s="31">
        <f>VLOOKUP(B8,Nasdaq.com!$B:$AK,MATCH('Idea generation'!$W$1,Nasdaq.com!$B$1:$AK$1,),)</f>
        <v>8.77</v>
      </c>
      <c r="X8" s="31">
        <f>VLOOKUP(B8,Nasdaq.com!$B:$AK,MATCH('Idea generation'!$X$1,Nasdaq.com!$B$1:$AK$1,),)</f>
        <v>0</v>
      </c>
      <c r="Y8" s="31">
        <f>VLOOKUP(B8,Nasdaq.com!$B:$AK,MATCH('Idea generation'!$Y$1,Nasdaq.com!$B$1:$AK$1,),)</f>
        <v>-0.99594409583571031</v>
      </c>
      <c r="Z8" s="37">
        <f>VLOOKUP(B8,Nasdaq.com!$B:$AK,MATCH('Idea generation'!$Z$1,Nasdaq.com!$B$1:$AK$1,),)</f>
        <v>20220728</v>
      </c>
    </row>
    <row r="9" spans="1:26" x14ac:dyDescent="0.2">
      <c r="B9" s="3" t="s">
        <v>158</v>
      </c>
      <c r="C9" s="27" t="str">
        <f>VLOOKUP(B9,Nasdaq.com!$B:$AK,MATCH('Idea generation'!$C$1,Nasdaq.com!$B$1:$AK$1,),)</f>
        <v>NYSE</v>
      </c>
      <c r="D9" s="27" t="str">
        <f>VLOOKUP(B9,Nasdaq.com!$B:$AK,MATCH('Idea generation'!$D$1,Nasdaq.com!$B$1:$AK$1,),)</f>
        <v>Industrial Products</v>
      </c>
      <c r="E9" s="27" t="str">
        <f>VLOOKUP(B9,Nasdaq.com!$B:$AK,MATCH('Idea generation'!$E$1,Nasdaq.com!$B$1:$AK$1,),)</f>
        <v xml:space="preserve">Manufacturing - General Industrial </v>
      </c>
      <c r="F9" s="27">
        <f>VLOOKUP(B9,Nasdaq.com!$B:$AK,MATCH('Idea generation'!$F$1,Nasdaq.com!$B$1:$AK$1,),)</f>
        <v>12</v>
      </c>
      <c r="G9" s="18">
        <f>VLOOKUP(B9,Nasdaq.com!$B:$AK,MATCH('Idea generation'!$G$1,Nasdaq.com!$B$1:$AK$1,),)</f>
        <v>14373.42</v>
      </c>
      <c r="H9" s="27">
        <f>VLOOKUP(B9,Nasdaq.com!$B:$AK,MATCH('Idea generation'!$H$1,Nasdaq.com!$B$1:$AK$1,),)</f>
        <v>6.34</v>
      </c>
      <c r="I9" s="27">
        <f>VLOOKUP(B9,Nasdaq.com!$B:$AK,MATCH('Idea generation'!$I$1,Nasdaq.com!$B$1:$AK$1,),)</f>
        <v>7.69</v>
      </c>
      <c r="J9" s="27">
        <f>VLOOKUP(B9,Nasdaq.com!$B:$AK,MATCH('Idea generation'!$J$1,Nasdaq.com!$B$1:$AK$1,),)</f>
        <v>8.3800000000000008</v>
      </c>
      <c r="K9" s="27">
        <f>VLOOKUP(B9,Nasdaq.com!$B:$AK,MATCH('Idea generation'!$K$1,Nasdaq.com!$B$1:$AK$1,),)</f>
        <v>28.02</v>
      </c>
      <c r="L9" s="27">
        <f>VLOOKUP(B9,Nasdaq.com!$B:$AK,MATCH('Idea generation'!$L$1,Nasdaq.com!$B$1:$AK$1,),)</f>
        <v>24.6</v>
      </c>
      <c r="M9" s="27">
        <f>VLOOKUP(B9,Nasdaq.com!$B:$AK,MATCH('Idea generation'!$M$1,Nasdaq.com!$B$1:$AK$1,),)</f>
        <v>22.57</v>
      </c>
      <c r="N9" s="29">
        <f>VLOOKUP(B9,Nasdaq.com!$B:$AK,MATCH('Idea generation'!$N$1,Nasdaq.com!$B$1:$AK$1,),)</f>
        <v>-0.47166666666666668</v>
      </c>
      <c r="O9" s="29">
        <f>VLOOKUP(B9,Nasdaq.com!$B:$AK,MATCH('Idea generation'!$O$1,Nasdaq.com!$B$1:$AK$1,),)</f>
        <v>0.21293375394321776</v>
      </c>
      <c r="P9" s="27">
        <f>VLOOKUP(B9,Nasdaq.com!$B:$AK,MATCH('Idea generation'!$P$1,Nasdaq.com!$B$1:$AK$1,),)</f>
        <v>2.0499999999999998</v>
      </c>
      <c r="Q9" s="20">
        <f>VLOOKUP(B9,Nasdaq.com!$B:$AK,MATCH('Idea generation'!$Q$1,Nasdaq.com!$B$1:$AK$1,),)</f>
        <v>-0.59406360424028259</v>
      </c>
      <c r="R9" s="20">
        <f>VLOOKUP(B9,Nasdaq.com!$B:$AK,MATCH('Idea generation'!$R$1,Nasdaq.com!$B$1:$AK$1,),)</f>
        <v>1.1552888888888886</v>
      </c>
      <c r="S9" s="27">
        <f>VLOOKUP(B9,Nasdaq.com!$B:$AK,MATCH('Idea generation'!$S$1,Nasdaq.com!$B$1:$AK$1,),)</f>
        <v>18.61</v>
      </c>
      <c r="T9" s="21">
        <f>VLOOKUP(B9,Nasdaq.com!$B:$AK,MATCH('Idea generation'!$T$1,Nasdaq.com!$B$1:$AK$1,),)</f>
        <v>3070.7080000000001</v>
      </c>
      <c r="U9" s="27">
        <f>VLOOKUP(B9,Nasdaq.com!$B:$AK,MATCH('Idea generation'!$U$1,Nasdaq.com!$B$1:$AK$1,),)</f>
        <v>3.36</v>
      </c>
      <c r="V9" s="22">
        <f>VLOOKUP(B9,Nasdaq.com!$B:$AK,MATCH('Idea generation'!$V$1,Nasdaq.com!$B$1:$AK$1,),)</f>
        <v>-0.99890578980482669</v>
      </c>
      <c r="W9" s="27">
        <f>VLOOKUP(B9,Nasdaq.com!$B:$AK,MATCH('Idea generation'!$W$1,Nasdaq.com!$B$1:$AK$1,),)</f>
        <v>12.64</v>
      </c>
      <c r="X9" s="27">
        <f>VLOOKUP(B9,Nasdaq.com!$B:$AK,MATCH('Idea generation'!$X$1,Nasdaq.com!$B$1:$AK$1,),)</f>
        <v>1.27</v>
      </c>
      <c r="Y9" s="27">
        <f>VLOOKUP(B9,Nasdaq.com!$B:$AK,MATCH('Idea generation'!$Y$1,Nasdaq.com!$B$1:$AK$1,),)</f>
        <v>-0.99890578980482669</v>
      </c>
      <c r="Z9" s="24">
        <f>VLOOKUP(B9,Nasdaq.com!$B:$AK,MATCH('Idea generation'!$Z$1,Nasdaq.com!$B$1:$AK$1,),)</f>
        <v>20220726</v>
      </c>
    </row>
    <row r="10" spans="1:26" x14ac:dyDescent="0.2">
      <c r="B10" s="3" t="s">
        <v>168</v>
      </c>
      <c r="C10" s="27" t="str">
        <f>VLOOKUP(B10,Nasdaq.com!$B:$AK,MATCH('Idea generation'!$C$1,Nasdaq.com!$B$1:$AK$1,),)</f>
        <v>NYSE</v>
      </c>
      <c r="D10" s="27" t="str">
        <f>VLOOKUP(B10,Nasdaq.com!$B:$AK,MATCH('Idea generation'!$D$1,Nasdaq.com!$B$1:$AK$1,),)</f>
        <v>Industrial Products</v>
      </c>
      <c r="E10" s="27" t="str">
        <f>VLOOKUP(B10,Nasdaq.com!$B:$AK,MATCH('Idea generation'!$E$1,Nasdaq.com!$B$1:$AK$1,),)</f>
        <v xml:space="preserve">Manufacturing - General Industrial </v>
      </c>
      <c r="F10" s="27">
        <f>VLOOKUP(B10,Nasdaq.com!$B:$AK,MATCH('Idea generation'!$F$1,Nasdaq.com!$B$1:$AK$1,),)</f>
        <v>12</v>
      </c>
      <c r="G10" s="18">
        <f>VLOOKUP(B10,Nasdaq.com!$B:$AK,MATCH('Idea generation'!$G$1,Nasdaq.com!$B$1:$AK$1,),)</f>
        <v>19216.72</v>
      </c>
      <c r="H10" s="27">
        <f>VLOOKUP(B10,Nasdaq.com!$B:$AK,MATCH('Idea generation'!$H$1,Nasdaq.com!$B$1:$AK$1,),)</f>
        <v>2.0099999999999998</v>
      </c>
      <c r="I10" s="27">
        <f>VLOOKUP(B10,Nasdaq.com!$B:$AK,MATCH('Idea generation'!$I$1,Nasdaq.com!$B$1:$AK$1,),)</f>
        <v>2.29</v>
      </c>
      <c r="J10" s="27">
        <f>VLOOKUP(B10,Nasdaq.com!$B:$AK,MATCH('Idea generation'!$J$1,Nasdaq.com!$B$1:$AK$1,),)</f>
        <v>2.57</v>
      </c>
      <c r="K10" s="27">
        <f>VLOOKUP(B10,Nasdaq.com!$B:$AK,MATCH('Idea generation'!$K$1,Nasdaq.com!$B$1:$AK$1,),)</f>
        <v>21.52</v>
      </c>
      <c r="L10" s="27">
        <f>VLOOKUP(B10,Nasdaq.com!$B:$AK,MATCH('Idea generation'!$L$1,Nasdaq.com!$B$1:$AK$1,),)</f>
        <v>20.67</v>
      </c>
      <c r="M10" s="27">
        <f>VLOOKUP(B10,Nasdaq.com!$B:$AK,MATCH('Idea generation'!$M$1,Nasdaq.com!$B$1:$AK$1,),)</f>
        <v>18.440000000000001</v>
      </c>
      <c r="N10" s="29">
        <f>VLOOKUP(B10,Nasdaq.com!$B:$AK,MATCH('Idea generation'!$N$1,Nasdaq.com!$B$1:$AK$1,),)</f>
        <v>-0.83250000000000002</v>
      </c>
      <c r="O10" s="29">
        <f>VLOOKUP(B10,Nasdaq.com!$B:$AK,MATCH('Idea generation'!$O$1,Nasdaq.com!$B$1:$AK$1,),)</f>
        <v>0.13930348258706482</v>
      </c>
      <c r="P10" s="27">
        <f>VLOOKUP(B10,Nasdaq.com!$B:$AK,MATCH('Idea generation'!$P$1,Nasdaq.com!$B$1:$AK$1,),)</f>
        <v>0</v>
      </c>
      <c r="Q10" s="20">
        <f>VLOOKUP(B10,Nasdaq.com!$B:$AK,MATCH('Idea generation'!$Q$1,Nasdaq.com!$B$1:$AK$1,),)</f>
        <v>-0.25849849849849849</v>
      </c>
      <c r="R10" s="20">
        <f>VLOOKUP(B10,Nasdaq.com!$B:$AK,MATCH('Idea generation'!$R$1,Nasdaq.com!$B$1:$AK$1,),)</f>
        <v>1.4838107142857129</v>
      </c>
      <c r="S10" s="27">
        <f>VLOOKUP(B10,Nasdaq.com!$B:$AK,MATCH('Idea generation'!$S$1,Nasdaq.com!$B$1:$AK$1,),)</f>
        <v>9.16</v>
      </c>
      <c r="T10" s="21">
        <f>VLOOKUP(B10,Nasdaq.com!$B:$AK,MATCH('Idea generation'!$T$1,Nasdaq.com!$B$1:$AK$1,),)</f>
        <v>5768.3999000000003</v>
      </c>
      <c r="U10" s="27">
        <f>VLOOKUP(B10,Nasdaq.com!$B:$AK,MATCH('Idea generation'!$U$1,Nasdaq.com!$B$1:$AK$1,),)</f>
        <v>26.27</v>
      </c>
      <c r="V10" s="22"/>
      <c r="W10" s="27">
        <f>VLOOKUP(B10,Nasdaq.com!$B:$AK,MATCH('Idea generation'!$W$1,Nasdaq.com!$B$1:$AK$1,),)</f>
        <v>8.89</v>
      </c>
      <c r="X10" s="27">
        <f>VLOOKUP(B10,Nasdaq.com!$B:$AK,MATCH('Idea generation'!$X$1,Nasdaq.com!$B$1:$AK$1,),)</f>
        <v>0.17</v>
      </c>
      <c r="Y10" s="27">
        <f>VLOOKUP(B10,Nasdaq.com!$B:$AK,MATCH('Idea generation'!$Y$1,Nasdaq.com!$B$1:$AK$1,),)</f>
        <v>-0.99544587746074953</v>
      </c>
      <c r="Z10" s="24">
        <f>VLOOKUP(B10,Nasdaq.com!$B:$AK,MATCH('Idea generation'!$Z$1,Nasdaq.com!$B$1:$AK$1,),)</f>
        <v>20220727</v>
      </c>
    </row>
    <row r="11" spans="1:26" x14ac:dyDescent="0.2">
      <c r="B11" s="3" t="s">
        <v>171</v>
      </c>
      <c r="C11" s="27" t="str">
        <f>VLOOKUP(B11,Nasdaq.com!$B:$AK,MATCH('Idea generation'!$C$1,Nasdaq.com!$B$1:$AK$1,),)</f>
        <v>NYSE</v>
      </c>
      <c r="D11" s="27" t="str">
        <f>VLOOKUP(B11,Nasdaq.com!$B:$AK,MATCH('Idea generation'!$D$1,Nasdaq.com!$B$1:$AK$1,),)</f>
        <v>Industrial Products</v>
      </c>
      <c r="E11" s="27" t="str">
        <f>VLOOKUP(B11,Nasdaq.com!$B:$AK,MATCH('Idea generation'!$E$1,Nasdaq.com!$B$1:$AK$1,),)</f>
        <v xml:space="preserve">Manufacturing - General Industrial </v>
      </c>
      <c r="F11" s="27">
        <f>VLOOKUP(B11,Nasdaq.com!$B:$AK,MATCH('Idea generation'!$F$1,Nasdaq.com!$B$1:$AK$1,),)</f>
        <v>12</v>
      </c>
      <c r="G11" s="18">
        <f>VLOOKUP(B11,Nasdaq.com!$B:$AK,MATCH('Idea generation'!$G$1,Nasdaq.com!$B$1:$AK$1,),)</f>
        <v>63637.14</v>
      </c>
      <c r="H11" s="27">
        <f>VLOOKUP(B11,Nasdaq.com!$B:$AK,MATCH('Idea generation'!$H$1,Nasdaq.com!$B$1:$AK$1,),)</f>
        <v>8.4700000000000006</v>
      </c>
      <c r="I11" s="27">
        <f>VLOOKUP(B11,Nasdaq.com!$B:$AK,MATCH('Idea generation'!$I$1,Nasdaq.com!$B$1:$AK$1,),)</f>
        <v>9.16</v>
      </c>
      <c r="J11" s="27">
        <f>VLOOKUP(B11,Nasdaq.com!$B:$AK,MATCH('Idea generation'!$J$1,Nasdaq.com!$B$1:$AK$1,),)</f>
        <v>10.050000000000001</v>
      </c>
      <c r="K11" s="27">
        <f>VLOOKUP(B11,Nasdaq.com!$B:$AK,MATCH('Idea generation'!$K$1,Nasdaq.com!$B$1:$AK$1,),)</f>
        <v>24.98</v>
      </c>
      <c r="L11" s="27">
        <f>VLOOKUP(B11,Nasdaq.com!$B:$AK,MATCH('Idea generation'!$L$1,Nasdaq.com!$B$1:$AK$1,),)</f>
        <v>22.3</v>
      </c>
      <c r="M11" s="27">
        <f>VLOOKUP(B11,Nasdaq.com!$B:$AK,MATCH('Idea generation'!$M$1,Nasdaq.com!$B$1:$AK$1,),)</f>
        <v>20.329999999999998</v>
      </c>
      <c r="N11" s="29">
        <f>VLOOKUP(B11,Nasdaq.com!$B:$AK,MATCH('Idea generation'!$N$1,Nasdaq.com!$B$1:$AK$1,),)</f>
        <v>-0.29416666666666663</v>
      </c>
      <c r="O11" s="29">
        <f>VLOOKUP(B11,Nasdaq.com!$B:$AK,MATCH('Idea generation'!$O$1,Nasdaq.com!$B$1:$AK$1,),)</f>
        <v>8.1463990554899585E-2</v>
      </c>
      <c r="P11" s="27">
        <f>VLOOKUP(B11,Nasdaq.com!$B:$AK,MATCH('Idea generation'!$P$1,Nasdaq.com!$B$1:$AK$1,),)</f>
        <v>2.23</v>
      </c>
      <c r="Q11" s="20">
        <f>VLOOKUP(B11,Nasdaq.com!$B:$AK,MATCH('Idea generation'!$Q$1,Nasdaq.com!$B$1:$AK$1,),)</f>
        <v>-0.84917847025495763</v>
      </c>
      <c r="R11" s="20">
        <f>VLOOKUP(B11,Nasdaq.com!$B:$AK,MATCH('Idea generation'!$R$1,Nasdaq.com!$B$1:$AK$1,),)</f>
        <v>2.7374057971014514</v>
      </c>
      <c r="S11" s="27">
        <f>VLOOKUP(B11,Nasdaq.com!$B:$AK,MATCH('Idea generation'!$S$1,Nasdaq.com!$B$1:$AK$1,),)</f>
        <v>72.569999999999993</v>
      </c>
      <c r="T11" s="21">
        <f>VLOOKUP(B11,Nasdaq.com!$B:$AK,MATCH('Idea generation'!$T$1,Nasdaq.com!$B$1:$AK$1,),)</f>
        <v>15968.74121</v>
      </c>
      <c r="U11" s="27">
        <f>VLOOKUP(B11,Nasdaq.com!$B:$AK,MATCH('Idea generation'!$U$1,Nasdaq.com!$B$1:$AK$1,),)</f>
        <v>-1.18</v>
      </c>
      <c r="V11" s="22">
        <f>VLOOKUP(B11,Nasdaq.com!$B:$AK,MATCH('Idea generation'!$V$1,Nasdaq.com!$B$1:$AK$1,),)</f>
        <v>-1.0000738943655285</v>
      </c>
      <c r="W11" s="27">
        <f>VLOOKUP(B11,Nasdaq.com!$B:$AK,MATCH('Idea generation'!$W$1,Nasdaq.com!$B$1:$AK$1,),)</f>
        <v>1.93</v>
      </c>
      <c r="X11" s="27">
        <f>VLOOKUP(B11,Nasdaq.com!$B:$AK,MATCH('Idea generation'!$X$1,Nasdaq.com!$B$1:$AK$1,),)</f>
        <v>2.39</v>
      </c>
      <c r="Y11" s="27">
        <f>VLOOKUP(B11,Nasdaq.com!$B:$AK,MATCH('Idea generation'!$Y$1,Nasdaq.com!$B$1:$AK$1,),)</f>
        <v>-1.0000738943655285</v>
      </c>
      <c r="Z11" s="24">
        <f>VLOOKUP(B11,Nasdaq.com!$B:$AK,MATCH('Idea generation'!$Z$1,Nasdaq.com!$B$1:$AK$1,),)</f>
        <v>20220729</v>
      </c>
    </row>
    <row r="12" spans="1:26" x14ac:dyDescent="0.2">
      <c r="B12" s="3" t="s">
        <v>403</v>
      </c>
      <c r="C12" s="27" t="str">
        <f>VLOOKUP(B12,Nasdaq.com!$B:$AK,MATCH('Idea generation'!$C$1,Nasdaq.com!$B$1:$AK$1,),)</f>
        <v>NSDQ</v>
      </c>
      <c r="D12" s="27" t="str">
        <f>VLOOKUP(B12,Nasdaq.com!$B:$AK,MATCH('Idea generation'!$D$1,Nasdaq.com!$B$1:$AK$1,),)</f>
        <v>Industrial Products</v>
      </c>
      <c r="E12" s="27" t="str">
        <f>VLOOKUP(B12,Nasdaq.com!$B:$AK,MATCH('Idea generation'!$E$1,Nasdaq.com!$B$1:$AK$1,),)</f>
        <v xml:space="preserve">Manufacturing - General Industrial </v>
      </c>
      <c r="F12" s="27">
        <f>VLOOKUP(B12,Nasdaq.com!$B:$AK,MATCH('Idea generation'!$F$1,Nasdaq.com!$B$1:$AK$1,),)</f>
        <v>12</v>
      </c>
      <c r="G12" s="18">
        <f>VLOOKUP(B12,Nasdaq.com!$B:$AK,MATCH('Idea generation'!$G$1,Nasdaq.com!$B$1:$AK$1,),)</f>
        <v>7885.44</v>
      </c>
      <c r="H12" s="27">
        <f>VLOOKUP(B12,Nasdaq.com!$B:$AK,MATCH('Idea generation'!$H$1,Nasdaq.com!$B$1:$AK$1,),)</f>
        <v>7.9</v>
      </c>
      <c r="I12" s="27">
        <f>VLOOKUP(B12,Nasdaq.com!$B:$AK,MATCH('Idea generation'!$I$1,Nasdaq.com!$B$1:$AK$1,),)</f>
        <v>9.56</v>
      </c>
      <c r="J12" s="27">
        <f>VLOOKUP(B12,Nasdaq.com!$B:$AK,MATCH('Idea generation'!$J$1,Nasdaq.com!$B$1:$AK$1,),)</f>
        <v>10.55</v>
      </c>
      <c r="K12" s="27">
        <f>VLOOKUP(B12,Nasdaq.com!$B:$AK,MATCH('Idea generation'!$K$1,Nasdaq.com!$B$1:$AK$1,),)</f>
        <v>17.53</v>
      </c>
      <c r="L12" s="27">
        <f>VLOOKUP(B12,Nasdaq.com!$B:$AK,MATCH('Idea generation'!$L$1,Nasdaq.com!$B$1:$AK$1,),)</f>
        <v>15.16</v>
      </c>
      <c r="M12" s="27">
        <f>VLOOKUP(B12,Nasdaq.com!$B:$AK,MATCH('Idea generation'!$M$1,Nasdaq.com!$B$1:$AK$1,),)</f>
        <v>13.74</v>
      </c>
      <c r="N12" s="29">
        <f>VLOOKUP(B12,Nasdaq.com!$B:$AK,MATCH('Idea generation'!$N$1,Nasdaq.com!$B$1:$AK$1,),)</f>
        <v>-0.34166666666666662</v>
      </c>
      <c r="O12" s="29">
        <f>VLOOKUP(B12,Nasdaq.com!$B:$AK,MATCH('Idea generation'!$O$1,Nasdaq.com!$B$1:$AK$1,),)</f>
        <v>0.21012658227848102</v>
      </c>
      <c r="P12" s="27">
        <f>VLOOKUP(B12,Nasdaq.com!$B:$AK,MATCH('Idea generation'!$P$1,Nasdaq.com!$B$1:$AK$1,),)</f>
        <v>0</v>
      </c>
      <c r="Q12" s="20">
        <f>VLOOKUP(B12,Nasdaq.com!$B:$AK,MATCH('Idea generation'!$Q$1,Nasdaq.com!$B$1:$AK$1,),)</f>
        <v>-0.51307317073170744</v>
      </c>
      <c r="R12" s="20">
        <f>VLOOKUP(B12,Nasdaq.com!$B:$AK,MATCH('Idea generation'!$R$1,Nasdaq.com!$B$1:$AK$1,),)</f>
        <v>0.72146987951807229</v>
      </c>
      <c r="S12" s="27">
        <f>VLOOKUP(B12,Nasdaq.com!$B:$AK,MATCH('Idea generation'!$S$1,Nasdaq.com!$B$1:$AK$1,),)</f>
        <v>19.53</v>
      </c>
      <c r="T12" s="21">
        <f>VLOOKUP(B12,Nasdaq.com!$B:$AK,MATCH('Idea generation'!$T$1,Nasdaq.com!$B$1:$AK$1,),)</f>
        <v>4078.22192</v>
      </c>
      <c r="U12" s="27">
        <f>VLOOKUP(B12,Nasdaq.com!$B:$AK,MATCH('Idea generation'!$U$1,Nasdaq.com!$B$1:$AK$1,),)</f>
        <v>6.35</v>
      </c>
      <c r="V12" s="22">
        <f>VLOOKUP(B12,Nasdaq.com!$B:$AK,MATCH('Idea generation'!$V$1,Nasdaq.com!$B$1:$AK$1,),)</f>
        <v>-0.99844294888199714</v>
      </c>
      <c r="W12" s="27">
        <f>VLOOKUP(B12,Nasdaq.com!$B:$AK,MATCH('Idea generation'!$W$1,Nasdaq.com!$B$1:$AK$1,),)</f>
        <v>0.47</v>
      </c>
      <c r="X12" s="27">
        <f>VLOOKUP(B12,Nasdaq.com!$B:$AK,MATCH('Idea generation'!$X$1,Nasdaq.com!$B$1:$AK$1,),)</f>
        <v>0</v>
      </c>
      <c r="Y12" s="27">
        <f>VLOOKUP(B12,Nasdaq.com!$B:$AK,MATCH('Idea generation'!$Y$1,Nasdaq.com!$B$1:$AK$1,),)</f>
        <v>-0.99844294888199714</v>
      </c>
      <c r="Z12" s="24">
        <f>VLOOKUP(B12,Nasdaq.com!$B:$AK,MATCH('Idea generation'!$Z$1,Nasdaq.com!$B$1:$AK$1,),)</f>
        <v>20220811</v>
      </c>
    </row>
    <row r="13" spans="1:26" x14ac:dyDescent="0.2">
      <c r="B13" s="3" t="s">
        <v>321</v>
      </c>
      <c r="C13" s="27" t="str">
        <f>VLOOKUP(B13,Nasdaq.com!$B:$AK,MATCH('Idea generation'!$C$1,Nasdaq.com!$B$1:$AK$1,),)</f>
        <v>NSDQ</v>
      </c>
      <c r="D13" s="27" t="str">
        <f>VLOOKUP(B13,Nasdaq.com!$B:$AK,MATCH('Idea generation'!$D$1,Nasdaq.com!$B$1:$AK$1,),)</f>
        <v>Industrial Products</v>
      </c>
      <c r="E13" s="27" t="str">
        <f>VLOOKUP(B13,Nasdaq.com!$B:$AK,MATCH('Idea generation'!$E$1,Nasdaq.com!$B$1:$AK$1,),)</f>
        <v xml:space="preserve">Manufacturing - General Industrial </v>
      </c>
      <c r="F13" s="27">
        <f>VLOOKUP(B13,Nasdaq.com!$B:$AK,MATCH('Idea generation'!$F$1,Nasdaq.com!$B$1:$AK$1,),)</f>
        <v>10</v>
      </c>
      <c r="G13" s="18">
        <f>VLOOKUP(B13,Nasdaq.com!$B:$AK,MATCH('Idea generation'!$G$1,Nasdaq.com!$B$1:$AK$1,),)</f>
        <v>12485.03</v>
      </c>
      <c r="H13" s="27">
        <f>VLOOKUP(B13,Nasdaq.com!$B:$AK,MATCH('Idea generation'!$H$1,Nasdaq.com!$B$1:$AK$1,),)</f>
        <v>7.96</v>
      </c>
      <c r="I13" s="27">
        <f>VLOOKUP(B13,Nasdaq.com!$B:$AK,MATCH('Idea generation'!$I$1,Nasdaq.com!$B$1:$AK$1,),)</f>
        <v>9.2100000000000009</v>
      </c>
      <c r="J13" s="27">
        <f>VLOOKUP(B13,Nasdaq.com!$B:$AK,MATCH('Idea generation'!$J$1,Nasdaq.com!$B$1:$AK$1,),)</f>
        <v>9.8699999999999992</v>
      </c>
      <c r="K13" s="27">
        <f>VLOOKUP(B13,Nasdaq.com!$B:$AK,MATCH('Idea generation'!$K$1,Nasdaq.com!$B$1:$AK$1,),)</f>
        <v>24.49</v>
      </c>
      <c r="L13" s="27">
        <f>VLOOKUP(B13,Nasdaq.com!$B:$AK,MATCH('Idea generation'!$L$1,Nasdaq.com!$B$1:$AK$1,),)</f>
        <v>23.41</v>
      </c>
      <c r="M13" s="27">
        <f>VLOOKUP(B13,Nasdaq.com!$B:$AK,MATCH('Idea generation'!$M$1,Nasdaq.com!$B$1:$AK$1,),)</f>
        <v>21.83</v>
      </c>
      <c r="N13" s="29">
        <f>VLOOKUP(B13,Nasdaq.com!$B:$AK,MATCH('Idea generation'!$N$1,Nasdaq.com!$B$1:$AK$1,),)</f>
        <v>-0.20400000000000001</v>
      </c>
      <c r="O13" s="29">
        <f>VLOOKUP(B13,Nasdaq.com!$B:$AK,MATCH('Idea generation'!$O$1,Nasdaq.com!$B$1:$AK$1,),)</f>
        <v>0.15703517587939711</v>
      </c>
      <c r="P13" s="27">
        <f>VLOOKUP(B13,Nasdaq.com!$B:$AK,MATCH('Idea generation'!$P$1,Nasdaq.com!$B$1:$AK$1,),)</f>
        <v>1.8</v>
      </c>
      <c r="Q13" s="20">
        <f>VLOOKUP(B13,Nasdaq.com!$B:$AK,MATCH('Idea generation'!$Q$1,Nasdaq.com!$B$1:$AK$1,),)</f>
        <v>-1.2004901960784311</v>
      </c>
      <c r="R13" s="20">
        <f>VLOOKUP(B13,Nasdaq.com!$B:$AK,MATCH('Idea generation'!$R$1,Nasdaq.com!$B$1:$AK$1,),)</f>
        <v>1.4907487999999989</v>
      </c>
      <c r="S13" s="27">
        <f>VLOOKUP(B13,Nasdaq.com!$B:$AK,MATCH('Idea generation'!$S$1,Nasdaq.com!$B$1:$AK$1,),)</f>
        <v>23.93</v>
      </c>
      <c r="T13" s="21">
        <f>VLOOKUP(B13,Nasdaq.com!$B:$AK,MATCH('Idea generation'!$T$1,Nasdaq.com!$B$1:$AK$1,),)</f>
        <v>2569.2919900000002</v>
      </c>
      <c r="U13" s="27">
        <f>VLOOKUP(B13,Nasdaq.com!$B:$AK,MATCH('Idea generation'!$U$1,Nasdaq.com!$B$1:$AK$1,),)</f>
        <v>2.37</v>
      </c>
      <c r="V13" s="22">
        <f>VLOOKUP(B13,Nasdaq.com!$B:$AK,MATCH('Idea generation'!$V$1,Nasdaq.com!$B$1:$AK$1,),)</f>
        <v>-0.99907756689032456</v>
      </c>
      <c r="W13" s="27">
        <f>VLOOKUP(B13,Nasdaq.com!$B:$AK,MATCH('Idea generation'!$W$1,Nasdaq.com!$B$1:$AK$1,),)</f>
        <v>7.05</v>
      </c>
      <c r="X13" s="27">
        <f>VLOOKUP(B13,Nasdaq.com!$B:$AK,MATCH('Idea generation'!$X$1,Nasdaq.com!$B$1:$AK$1,),)</f>
        <v>0.95</v>
      </c>
      <c r="Y13" s="27">
        <f>VLOOKUP(B13,Nasdaq.com!$B:$AK,MATCH('Idea generation'!$Y$1,Nasdaq.com!$B$1:$AK$1,),)</f>
        <v>-0.99907756689032456</v>
      </c>
      <c r="Z13" s="24">
        <f>VLOOKUP(B13,Nasdaq.com!$B:$AK,MATCH('Idea generation'!$Z$1,Nasdaq.com!$B$1:$AK$1,),)</f>
        <v>20220829</v>
      </c>
    </row>
    <row r="14" spans="1:26" x14ac:dyDescent="0.2">
      <c r="B14" s="3" t="s">
        <v>202</v>
      </c>
      <c r="C14" s="27" t="str">
        <f>VLOOKUP(B14,Nasdaq.com!$B:$AK,MATCH('Idea generation'!$C$1,Nasdaq.com!$B$1:$AK$1,),)</f>
        <v>NYSE</v>
      </c>
      <c r="D14" s="27" t="str">
        <f>VLOOKUP(B14,Nasdaq.com!$B:$AK,MATCH('Idea generation'!$D$1,Nasdaq.com!$B$1:$AK$1,),)</f>
        <v>Industrial Products</v>
      </c>
      <c r="E14" s="27" t="str">
        <f>VLOOKUP(B14,Nasdaq.com!$B:$AK,MATCH('Idea generation'!$E$1,Nasdaq.com!$B$1:$AK$1,),)</f>
        <v xml:space="preserve">Manufacturing - General Industrial </v>
      </c>
      <c r="F14" s="27">
        <f>VLOOKUP(B14,Nasdaq.com!$B:$AK,MATCH('Idea generation'!$F$1,Nasdaq.com!$B$1:$AK$1,),)</f>
        <v>6</v>
      </c>
      <c r="G14" s="18">
        <f>VLOOKUP(B14,Nasdaq.com!$B:$AK,MATCH('Idea generation'!$G$1,Nasdaq.com!$B$1:$AK$1,),)</f>
        <v>34404.980000000003</v>
      </c>
      <c r="H14" s="27">
        <f>VLOOKUP(B14,Nasdaq.com!$B:$AK,MATCH('Idea generation'!$H$1,Nasdaq.com!$B$1:$AK$1,),)</f>
        <v>14.94</v>
      </c>
      <c r="I14" s="27">
        <f>VLOOKUP(B14,Nasdaq.com!$B:$AK,MATCH('Idea generation'!$I$1,Nasdaq.com!$B$1:$AK$1,),)</f>
        <v>18.23</v>
      </c>
      <c r="J14" s="27">
        <f>VLOOKUP(B14,Nasdaq.com!$B:$AK,MATCH('Idea generation'!$J$1,Nasdaq.com!$B$1:$AK$1,),)</f>
        <v>19.57</v>
      </c>
      <c r="K14" s="27">
        <f>VLOOKUP(B14,Nasdaq.com!$B:$AK,MATCH('Idea generation'!$K$1,Nasdaq.com!$B$1:$AK$1,),)</f>
        <v>14.95</v>
      </c>
      <c r="L14" s="27">
        <f>VLOOKUP(B14,Nasdaq.com!$B:$AK,MATCH('Idea generation'!$L$1,Nasdaq.com!$B$1:$AK$1,),)</f>
        <v>14.7</v>
      </c>
      <c r="M14" s="27">
        <f>VLOOKUP(B14,Nasdaq.com!$B:$AK,MATCH('Idea generation'!$M$1,Nasdaq.com!$B$1:$AK$1,),)</f>
        <v>13.7</v>
      </c>
      <c r="N14" s="29">
        <f>VLOOKUP(B14,Nasdaq.com!$B:$AK,MATCH('Idea generation'!$N$1,Nasdaq.com!$B$1:$AK$1,),)</f>
        <v>1.49</v>
      </c>
      <c r="O14" s="29">
        <f>VLOOKUP(B14,Nasdaq.com!$B:$AK,MATCH('Idea generation'!$O$1,Nasdaq.com!$B$1:$AK$1,),)</f>
        <v>0.22021419009370824</v>
      </c>
      <c r="P14" s="27">
        <f>VLOOKUP(B14,Nasdaq.com!$B:$AK,MATCH('Idea generation'!$P$1,Nasdaq.com!$B$1:$AK$1,),)</f>
        <v>1.63</v>
      </c>
      <c r="Q14" s="20">
        <f>VLOOKUP(B14,Nasdaq.com!$B:$AK,MATCH('Idea generation'!$Q$1,Nasdaq.com!$B$1:$AK$1,),)</f>
        <v>0.10033557046979866</v>
      </c>
      <c r="R14" s="20">
        <f>VLOOKUP(B14,Nasdaq.com!$B:$AK,MATCH('Idea generation'!$R$1,Nasdaq.com!$B$1:$AK$1,),)</f>
        <v>0.66753191489361674</v>
      </c>
      <c r="S14" s="27">
        <f>VLOOKUP(B14,Nasdaq.com!$B:$AK,MATCH('Idea generation'!$S$1,Nasdaq.com!$B$1:$AK$1,),)</f>
        <v>27.07</v>
      </c>
      <c r="T14" s="21">
        <f>VLOOKUP(B14,Nasdaq.com!$B:$AK,MATCH('Idea generation'!$T$1,Nasdaq.com!$B$1:$AK$1,),)</f>
        <v>15765.634760000001</v>
      </c>
      <c r="U14" s="27">
        <f>VLOOKUP(B14,Nasdaq.com!$B:$AK,MATCH('Idea generation'!$U$1,Nasdaq.com!$B$1:$AK$1,),)</f>
        <v>2.5099999999999998</v>
      </c>
      <c r="V14" s="22">
        <f>VLOOKUP(B14,Nasdaq.com!$B:$AK,MATCH('Idea generation'!$V$1,Nasdaq.com!$B$1:$AK$1,),)</f>
        <v>-0.99984079296278205</v>
      </c>
      <c r="W14" s="27">
        <f>VLOOKUP(B14,Nasdaq.com!$B:$AK,MATCH('Idea generation'!$W$1,Nasdaq.com!$B$1:$AK$1,),)</f>
        <v>4.7699999999999996</v>
      </c>
      <c r="X14" s="27">
        <f>VLOOKUP(B14,Nasdaq.com!$B:$AK,MATCH('Idea generation'!$X$1,Nasdaq.com!$B$1:$AK$1,),)</f>
        <v>1.99</v>
      </c>
      <c r="Y14" s="27">
        <f>VLOOKUP(B14,Nasdaq.com!$B:$AK,MATCH('Idea generation'!$Y$1,Nasdaq.com!$B$1:$AK$1,),)</f>
        <v>-0.99984079296278205</v>
      </c>
      <c r="Z14" s="24">
        <f>VLOOKUP(B14,Nasdaq.com!$B:$AK,MATCH('Idea generation'!$Z$1,Nasdaq.com!$B$1:$AK$1,),)</f>
        <v>20220804</v>
      </c>
    </row>
    <row r="15" spans="1:26" x14ac:dyDescent="0.2">
      <c r="B15" s="3" t="s">
        <v>361</v>
      </c>
      <c r="C15" s="27" t="str">
        <f>VLOOKUP(B15,Nasdaq.com!$B:$AK,MATCH('Idea generation'!$C$1,Nasdaq.com!$B$1:$AK$1,),)</f>
        <v>NSDQ</v>
      </c>
      <c r="D15" s="27" t="str">
        <f>VLOOKUP(B15,Nasdaq.com!$B:$AK,MATCH('Idea generation'!$D$1,Nasdaq.com!$B$1:$AK$1,),)</f>
        <v>Industrial Products</v>
      </c>
      <c r="E15" s="27" t="str">
        <f>VLOOKUP(B15,Nasdaq.com!$B:$AK,MATCH('Idea generation'!$E$1,Nasdaq.com!$B$1:$AK$1,),)</f>
        <v xml:space="preserve">Manufacturing - General Industrial </v>
      </c>
      <c r="F15" s="27">
        <f>VLOOKUP(B15,Nasdaq.com!$B:$AK,MATCH('Idea generation'!$F$1,Nasdaq.com!$B$1:$AK$1,),)</f>
        <v>3</v>
      </c>
      <c r="G15" s="18">
        <f>VLOOKUP(B15,Nasdaq.com!$B:$AK,MATCH('Idea generation'!$G$1,Nasdaq.com!$B$1:$AK$1,),)</f>
        <v>4887.32</v>
      </c>
      <c r="H15" s="27">
        <f>VLOOKUP(B15,Nasdaq.com!$B:$AK,MATCH('Idea generation'!$H$1,Nasdaq.com!$B$1:$AK$1,),)</f>
        <v>3.69</v>
      </c>
      <c r="I15" s="27">
        <f>VLOOKUP(B15,Nasdaq.com!$B:$AK,MATCH('Idea generation'!$I$1,Nasdaq.com!$B$1:$AK$1,),)</f>
        <v>5.45</v>
      </c>
      <c r="J15" s="27">
        <f>VLOOKUP(B15,Nasdaq.com!$B:$AK,MATCH('Idea generation'!$J$1,Nasdaq.com!$B$1:$AK$1,),)</f>
        <v>5.74</v>
      </c>
      <c r="K15" s="27">
        <f>VLOOKUP(B15,Nasdaq.com!$B:$AK,MATCH('Idea generation'!$K$1,Nasdaq.com!$B$1:$AK$1,),)</f>
        <v>43.51</v>
      </c>
      <c r="L15" s="27">
        <f>VLOOKUP(B15,Nasdaq.com!$B:$AK,MATCH('Idea generation'!$L$1,Nasdaq.com!$B$1:$AK$1,),)</f>
        <v>31.07</v>
      </c>
      <c r="M15" s="27">
        <f>VLOOKUP(B15,Nasdaq.com!$B:$AK,MATCH('Idea generation'!$M$1,Nasdaq.com!$B$1:$AK$1,),)</f>
        <v>29.47</v>
      </c>
      <c r="N15" s="29">
        <f>VLOOKUP(B15,Nasdaq.com!$B:$AK,MATCH('Idea generation'!$N$1,Nasdaq.com!$B$1:$AK$1,),)</f>
        <v>0.22999999999999998</v>
      </c>
      <c r="O15" s="29">
        <f>VLOOKUP(B15,Nasdaq.com!$B:$AK,MATCH('Idea generation'!$O$1,Nasdaq.com!$B$1:$AK$1,),)</f>
        <v>0.47696476964769657</v>
      </c>
      <c r="P15" s="27">
        <f>VLOOKUP(B15,Nasdaq.com!$B:$AK,MATCH('Idea generation'!$P$1,Nasdaq.com!$B$1:$AK$1,),)</f>
        <v>0</v>
      </c>
      <c r="Q15" s="20">
        <f>VLOOKUP(B15,Nasdaq.com!$B:$AK,MATCH('Idea generation'!$Q$1,Nasdaq.com!$B$1:$AK$1,),)</f>
        <v>1.8917391304347826</v>
      </c>
      <c r="R15" s="20">
        <f>VLOOKUP(B15,Nasdaq.com!$B:$AK,MATCH('Idea generation'!$R$1,Nasdaq.com!$B$1:$AK$1,),)</f>
        <v>0.65141079545454528</v>
      </c>
      <c r="S15" s="27">
        <f>VLOOKUP(B15,Nasdaq.com!$B:$AK,MATCH('Idea generation'!$S$1,Nasdaq.com!$B$1:$AK$1,),)</f>
        <v>5.66</v>
      </c>
      <c r="T15" s="21">
        <f>VLOOKUP(B15,Nasdaq.com!$B:$AK,MATCH('Idea generation'!$T$1,Nasdaq.com!$B$1:$AK$1,),)</f>
        <v>1436.9630099999999</v>
      </c>
      <c r="U15" s="27">
        <f>VLOOKUP(B15,Nasdaq.com!$B:$AK,MATCH('Idea generation'!$U$1,Nasdaq.com!$B$1:$AK$1,),)</f>
        <v>0.41</v>
      </c>
      <c r="V15" s="22">
        <f>VLOOKUP(B15,Nasdaq.com!$B:$AK,MATCH('Idea generation'!$V$1,Nasdaq.com!$B$1:$AK$1,),)</f>
        <v>-0.99971467602356723</v>
      </c>
      <c r="W15" s="27">
        <f>VLOOKUP(B15,Nasdaq.com!$B:$AK,MATCH('Idea generation'!$W$1,Nasdaq.com!$B$1:$AK$1,),)</f>
        <v>18.87</v>
      </c>
      <c r="X15" s="27">
        <f>VLOOKUP(B15,Nasdaq.com!$B:$AK,MATCH('Idea generation'!$X$1,Nasdaq.com!$B$1:$AK$1,),)</f>
        <v>0</v>
      </c>
      <c r="Y15" s="27">
        <f>VLOOKUP(B15,Nasdaq.com!$B:$AK,MATCH('Idea generation'!$Y$1,Nasdaq.com!$B$1:$AK$1,),)</f>
        <v>-0.99971467602356723</v>
      </c>
      <c r="Z15" s="24">
        <f>VLOOKUP(B15,Nasdaq.com!$B:$AK,MATCH('Idea generation'!$Z$1,Nasdaq.com!$B$1:$AK$1,),)</f>
        <v>20220804</v>
      </c>
    </row>
    <row r="16" spans="1:26" x14ac:dyDescent="0.2">
      <c r="B16" s="3" t="s">
        <v>212</v>
      </c>
      <c r="C16" s="27" t="str">
        <f>VLOOKUP(B16,Nasdaq.com!$B:$AK,MATCH('Idea generation'!$C$1,Nasdaq.com!$B$1:$AK$1,),)</f>
        <v>NYSE</v>
      </c>
      <c r="D16" s="27" t="str">
        <f>VLOOKUP(B16,Nasdaq.com!$B:$AK,MATCH('Idea generation'!$D$1,Nasdaq.com!$B$1:$AK$1,),)</f>
        <v>Computer and Technology</v>
      </c>
      <c r="E16" s="27" t="str">
        <f>VLOOKUP(B16,Nasdaq.com!$B:$AK,MATCH('Idea generation'!$E$1,Nasdaq.com!$B$1:$AK$1,),)</f>
        <v>Computers - IT Services</v>
      </c>
      <c r="F16" s="27">
        <f>VLOOKUP(B16,Nasdaq.com!$B:$AK,MATCH('Idea generation'!$F$1,Nasdaq.com!$B$1:$AK$1,),)</f>
        <v>12</v>
      </c>
      <c r="G16" s="18">
        <f>VLOOKUP(B16,Nasdaq.com!$B:$AK,MATCH('Idea generation'!$G$1,Nasdaq.com!$B$1:$AK$1,),)</f>
        <v>45809.34</v>
      </c>
      <c r="H16" s="27">
        <f>VLOOKUP(B16,Nasdaq.com!$B:$AK,MATCH('Idea generation'!$H$1,Nasdaq.com!$B$1:$AK$1,),)</f>
        <v>14.11</v>
      </c>
      <c r="I16" s="27">
        <f>VLOOKUP(B16,Nasdaq.com!$B:$AK,MATCH('Idea generation'!$I$1,Nasdaq.com!$B$1:$AK$1,),)</f>
        <v>15.63</v>
      </c>
      <c r="J16" s="27">
        <f>VLOOKUP(B16,Nasdaq.com!$B:$AK,MATCH('Idea generation'!$J$1,Nasdaq.com!$B$1:$AK$1,),)</f>
        <v>16.739999999999998</v>
      </c>
      <c r="K16" s="27">
        <f>VLOOKUP(B16,Nasdaq.com!$B:$AK,MATCH('Idea generation'!$K$1,Nasdaq.com!$B$1:$AK$1,),)</f>
        <v>28.51</v>
      </c>
      <c r="L16" s="27">
        <f>VLOOKUP(B16,Nasdaq.com!$B:$AK,MATCH('Idea generation'!$L$1,Nasdaq.com!$B$1:$AK$1,),)</f>
        <v>27.67</v>
      </c>
      <c r="M16" s="27">
        <f>VLOOKUP(B16,Nasdaq.com!$B:$AK,MATCH('Idea generation'!$M$1,Nasdaq.com!$B$1:$AK$1,),)</f>
        <v>25.84</v>
      </c>
      <c r="N16" s="29">
        <f>VLOOKUP(B16,Nasdaq.com!$B:$AK,MATCH('Idea generation'!$N$1,Nasdaq.com!$B$1:$AK$1,),)</f>
        <v>0.17583333333333329</v>
      </c>
      <c r="O16" s="29">
        <f>VLOOKUP(B16,Nasdaq.com!$B:$AK,MATCH('Idea generation'!$O$1,Nasdaq.com!$B$1:$AK$1,),)</f>
        <v>0.10772501771793065</v>
      </c>
      <c r="P16" s="27">
        <f>VLOOKUP(B16,Nasdaq.com!$B:$AK,MATCH('Idea generation'!$P$1,Nasdaq.com!$B$1:$AK$1,),)</f>
        <v>2.64</v>
      </c>
      <c r="Q16" s="20">
        <f>VLOOKUP(B16,Nasdaq.com!$B:$AK,MATCH('Idea generation'!$Q$1,Nasdaq.com!$B$1:$AK$1,),)</f>
        <v>1.6214218009478678</v>
      </c>
      <c r="R16" s="20">
        <f>VLOOKUP(B16,Nasdaq.com!$B:$AK,MATCH('Idea generation'!$R$1,Nasdaq.com!$B$1:$AK$1,),)</f>
        <v>2.5685769736842081</v>
      </c>
      <c r="S16" s="27">
        <f>VLOOKUP(B16,Nasdaq.com!$B:$AK,MATCH('Idea generation'!$S$1,Nasdaq.com!$B$1:$AK$1,),)</f>
        <v>13.36</v>
      </c>
      <c r="T16" s="21">
        <f>VLOOKUP(B16,Nasdaq.com!$B:$AK,MATCH('Idea generation'!$T$1,Nasdaq.com!$B$1:$AK$1,),)</f>
        <v>6221.8271400000003</v>
      </c>
      <c r="U16" s="27">
        <f>VLOOKUP(B16,Nasdaq.com!$B:$AK,MATCH('Idea generation'!$U$1,Nasdaq.com!$B$1:$AK$1,),)</f>
        <v>7.16</v>
      </c>
      <c r="V16" s="22">
        <f>VLOOKUP(B16,Nasdaq.com!$B:$AK,MATCH('Idea generation'!$V$1,Nasdaq.com!$B$1:$AK$1,),)</f>
        <v>-0.99884921264463167</v>
      </c>
      <c r="W16" s="27">
        <f>VLOOKUP(B16,Nasdaq.com!$B:$AK,MATCH('Idea generation'!$W$1,Nasdaq.com!$B$1:$AK$1,),)</f>
        <v>2.17</v>
      </c>
      <c r="X16" s="27">
        <f>VLOOKUP(B16,Nasdaq.com!$B:$AK,MATCH('Idea generation'!$X$1,Nasdaq.com!$B$1:$AK$1,),)</f>
        <v>0.56999999999999995</v>
      </c>
      <c r="Y16" s="27">
        <f>VLOOKUP(B16,Nasdaq.com!$B:$AK,MATCH('Idea generation'!$Y$1,Nasdaq.com!$B$1:$AK$1,),)</f>
        <v>-0.99884921264463167</v>
      </c>
      <c r="Z16" s="24">
        <f>VLOOKUP(B16,Nasdaq.com!$B:$AK,MATCH('Idea generation'!$Z$1,Nasdaq.com!$B$1:$AK$1,),)</f>
        <v>20220722</v>
      </c>
    </row>
    <row r="17" spans="2:26" x14ac:dyDescent="0.2">
      <c r="B17" s="3" t="s">
        <v>344</v>
      </c>
      <c r="C17" s="27" t="str">
        <f>VLOOKUP(B17,Nasdaq.com!$B:$AK,MATCH('Idea generation'!$C$1,Nasdaq.com!$B$1:$AK$1,),)</f>
        <v>NYSE</v>
      </c>
      <c r="D17" s="27" t="str">
        <f>VLOOKUP(B17,Nasdaq.com!$B:$AK,MATCH('Idea generation'!$D$1,Nasdaq.com!$B$1:$AK$1,),)</f>
        <v>Industrial Products</v>
      </c>
      <c r="E17" s="27" t="str">
        <f>VLOOKUP(B17,Nasdaq.com!$B:$AK,MATCH('Idea generation'!$E$1,Nasdaq.com!$B$1:$AK$1,),)</f>
        <v xml:space="preserve">Manufacturing - General Industrial </v>
      </c>
      <c r="F17" s="27">
        <f>VLOOKUP(B17,Nasdaq.com!$B:$AK,MATCH('Idea generation'!$F$1,Nasdaq.com!$B$1:$AK$1,),)</f>
        <v>12</v>
      </c>
      <c r="G17" s="18">
        <f>VLOOKUP(B17,Nasdaq.com!$B:$AK,MATCH('Idea generation'!$G$1,Nasdaq.com!$B$1:$AK$1,),)</f>
        <v>15115.18</v>
      </c>
      <c r="H17" s="27">
        <f>VLOOKUP(B17,Nasdaq.com!$B:$AK,MATCH('Idea generation'!$H$1,Nasdaq.com!$B$1:$AK$1,),)</f>
        <v>2.4700000000000002</v>
      </c>
      <c r="I17" s="27">
        <f>VLOOKUP(B17,Nasdaq.com!$B:$AK,MATCH('Idea generation'!$I$1,Nasdaq.com!$B$1:$AK$1,),)</f>
        <v>2.5499999999999998</v>
      </c>
      <c r="J17" s="27">
        <f>VLOOKUP(B17,Nasdaq.com!$B:$AK,MATCH('Idea generation'!$J$1,Nasdaq.com!$B$1:$AK$1,),)</f>
        <v>3.16</v>
      </c>
      <c r="K17" s="27">
        <f>VLOOKUP(B17,Nasdaq.com!$B:$AK,MATCH('Idea generation'!$K$1,Nasdaq.com!$B$1:$AK$1,),)</f>
        <v>35.119999999999997</v>
      </c>
      <c r="L17" s="27">
        <f>VLOOKUP(B17,Nasdaq.com!$B:$AK,MATCH('Idea generation'!$L$1,Nasdaq.com!$B$1:$AK$1,),)</f>
        <v>32.979999999999997</v>
      </c>
      <c r="M17" s="27">
        <f>VLOOKUP(B17,Nasdaq.com!$B:$AK,MATCH('Idea generation'!$M$1,Nasdaq.com!$B$1:$AK$1,),)</f>
        <v>26.54</v>
      </c>
      <c r="N17" s="29">
        <f>VLOOKUP(B17,Nasdaq.com!$B:$AK,MATCH('Idea generation'!$N$1,Nasdaq.com!$B$1:$AK$1,),)</f>
        <v>-0.79416666666666658</v>
      </c>
      <c r="O17" s="29">
        <f>VLOOKUP(B17,Nasdaq.com!$B:$AK,MATCH('Idea generation'!$O$1,Nasdaq.com!$B$1:$AK$1,),)</f>
        <v>3.2388663967611184E-2</v>
      </c>
      <c r="P17" s="27">
        <f>VLOOKUP(B17,Nasdaq.com!$B:$AK,MATCH('Idea generation'!$P$1,Nasdaq.com!$B$1:$AK$1,),)</f>
        <v>2.75</v>
      </c>
      <c r="Q17" s="20">
        <f>VLOOKUP(B17,Nasdaq.com!$B:$AK,MATCH('Idea generation'!$Q$1,Nasdaq.com!$B$1:$AK$1,),)</f>
        <v>-0.4422245540398741</v>
      </c>
      <c r="R17" s="20">
        <f>VLOOKUP(B17,Nasdaq.com!$B:$AK,MATCH('Idea generation'!$R$1,Nasdaq.com!$B$1:$AK$1,),)</f>
        <v>10.182575000000046</v>
      </c>
      <c r="S17" s="27">
        <f>VLOOKUP(B17,Nasdaq.com!$B:$AK,MATCH('Idea generation'!$S$1,Nasdaq.com!$B$1:$AK$1,),)</f>
        <v>13.8</v>
      </c>
      <c r="T17" s="21">
        <f>VLOOKUP(B17,Nasdaq.com!$B:$AK,MATCH('Idea generation'!$T$1,Nasdaq.com!$B$1:$AK$1,),)</f>
        <v>5315.0249000000003</v>
      </c>
      <c r="U17" s="27">
        <f>VLOOKUP(B17,Nasdaq.com!$B:$AK,MATCH('Idea generation'!$U$1,Nasdaq.com!$B$1:$AK$1,),)</f>
        <v>2.33</v>
      </c>
      <c r="V17" s="22">
        <f>VLOOKUP(B17,Nasdaq.com!$B:$AK,MATCH('Idea generation'!$V$1,Nasdaq.com!$B$1:$AK$1,),)</f>
        <v>-0.99956162011583427</v>
      </c>
      <c r="W17" s="27">
        <f>VLOOKUP(B17,Nasdaq.com!$B:$AK,MATCH('Idea generation'!$W$1,Nasdaq.com!$B$1:$AK$1,),)</f>
        <v>11.9</v>
      </c>
      <c r="X17" s="27">
        <f>VLOOKUP(B17,Nasdaq.com!$B:$AK,MATCH('Idea generation'!$X$1,Nasdaq.com!$B$1:$AK$1,),)</f>
        <v>1.43</v>
      </c>
      <c r="Y17" s="27">
        <f>VLOOKUP(B17,Nasdaq.com!$B:$AK,MATCH('Idea generation'!$Y$1,Nasdaq.com!$B$1:$AK$1,),)</f>
        <v>-0.99956162011583427</v>
      </c>
      <c r="Z17" s="24">
        <f>VLOOKUP(B17,Nasdaq.com!$B:$AK,MATCH('Idea generation'!$Z$1,Nasdaq.com!$B$1:$AK$1,),)</f>
        <v>20220802</v>
      </c>
    </row>
    <row r="18" spans="2:26" s="38" customFormat="1" x14ac:dyDescent="0.2">
      <c r="B18" s="38" t="s">
        <v>203</v>
      </c>
      <c r="C18" s="38" t="str">
        <f>VLOOKUP(B18,Nasdaq.com!$B:$AK,MATCH('Idea generation'!$C$1,Nasdaq.com!$B$1:$AK$1,),)</f>
        <v>NYSE</v>
      </c>
      <c r="D18" s="38" t="str">
        <f>VLOOKUP(B18,Nasdaq.com!$B:$AK,MATCH('Idea generation'!$D$1,Nasdaq.com!$B$1:$AK$1,),)</f>
        <v>Industrial Products</v>
      </c>
      <c r="E18" s="38" t="str">
        <f>VLOOKUP(B18,Nasdaq.com!$B:$AK,MATCH('Idea generation'!$E$1,Nasdaq.com!$B$1:$AK$1,),)</f>
        <v>Manufacturing - Thermal Products</v>
      </c>
      <c r="F18" s="38">
        <f>VLOOKUP(B18,Nasdaq.com!$B:$AK,MATCH('Idea generation'!$F$1,Nasdaq.com!$B$1:$AK$1,),)</f>
        <v>12</v>
      </c>
      <c r="G18" s="39">
        <f>VLOOKUP(B18,Nasdaq.com!$B:$AK,MATCH('Idea generation'!$G$1,Nasdaq.com!$B$1:$AK$1,),)</f>
        <v>8319.6</v>
      </c>
      <c r="H18" s="38">
        <f>VLOOKUP(B18,Nasdaq.com!$B:$AK,MATCH('Idea generation'!$H$1,Nasdaq.com!$B$1:$AK$1,),)</f>
        <v>3.39</v>
      </c>
      <c r="I18" s="38">
        <f>VLOOKUP(B18,Nasdaq.com!$B:$AK,MATCH('Idea generation'!$I$1,Nasdaq.com!$B$1:$AK$1,),)</f>
        <v>3.75</v>
      </c>
      <c r="J18" s="38">
        <f>VLOOKUP(B18,Nasdaq.com!$B:$AK,MATCH('Idea generation'!$J$1,Nasdaq.com!$B$1:$AK$1,),)</f>
        <v>3.9</v>
      </c>
      <c r="K18" s="38">
        <f>VLOOKUP(B18,Nasdaq.com!$B:$AK,MATCH('Idea generation'!$K$1,Nasdaq.com!$B$1:$AK$1,),)</f>
        <v>14.58</v>
      </c>
      <c r="L18" s="38">
        <f>VLOOKUP(B18,Nasdaq.com!$B:$AK,MATCH('Idea generation'!$L$1,Nasdaq.com!$B$1:$AK$1,),)</f>
        <v>13.4</v>
      </c>
      <c r="M18" s="38">
        <f>VLOOKUP(B18,Nasdaq.com!$B:$AK,MATCH('Idea generation'!$M$1,Nasdaq.com!$B$1:$AK$1,),)</f>
        <v>12.89</v>
      </c>
      <c r="N18" s="40">
        <f>VLOOKUP(B18,Nasdaq.com!$B:$AK,MATCH('Idea generation'!$N$1,Nasdaq.com!$B$1:$AK$1,),)</f>
        <v>-0.71749999999999992</v>
      </c>
      <c r="O18" s="40">
        <f>VLOOKUP(B18,Nasdaq.com!$B:$AK,MATCH('Idea generation'!$O$1,Nasdaq.com!$B$1:$AK$1,),)</f>
        <v>0.10619469026548668</v>
      </c>
      <c r="P18" s="38">
        <f>VLOOKUP(B18,Nasdaq.com!$B:$AK,MATCH('Idea generation'!$P$1,Nasdaq.com!$B$1:$AK$1,),)</f>
        <v>1.28</v>
      </c>
      <c r="Q18" s="41">
        <f>VLOOKUP(B18,Nasdaq.com!$B:$AK,MATCH('Idea generation'!$Q$1,Nasdaq.com!$B$1:$AK$1,),)</f>
        <v>-0.20320557491289204</v>
      </c>
      <c r="R18" s="41">
        <f>VLOOKUP(B18,Nasdaq.com!$B:$AK,MATCH('Idea generation'!$R$1,Nasdaq.com!$B$1:$AK$1,),)</f>
        <v>1.261833333333334</v>
      </c>
      <c r="S18" s="38">
        <f>VLOOKUP(B18,Nasdaq.com!$B:$AK,MATCH('Idea generation'!$S$1,Nasdaq.com!$B$1:$AK$1,),)</f>
        <v>24.17</v>
      </c>
      <c r="T18" s="42">
        <f>VLOOKUP(B18,Nasdaq.com!$B:$AK,MATCH('Idea generation'!$T$1,Nasdaq.com!$B$1:$AK$1,),)</f>
        <v>4139.6669899999997</v>
      </c>
      <c r="U18" s="38">
        <f>VLOOKUP(B18,Nasdaq.com!$B:$AK,MATCH('Idea generation'!$U$1,Nasdaq.com!$B$1:$AK$1,),)</f>
        <v>-7.54</v>
      </c>
      <c r="V18" s="43">
        <f>VLOOKUP(B18,Nasdaq.com!$B:$AK,MATCH('Idea generation'!$V$1,Nasdaq.com!$B$1:$AK$1,),)</f>
        <v>-1.0018214025471648</v>
      </c>
      <c r="W18" s="38">
        <f>VLOOKUP(B18,Nasdaq.com!$B:$AK,MATCH('Idea generation'!$W$1,Nasdaq.com!$B$1:$AK$1,),)</f>
        <v>4.9400000000000004</v>
      </c>
      <c r="X18" s="38">
        <f>VLOOKUP(B18,Nasdaq.com!$B:$AK,MATCH('Idea generation'!$X$1,Nasdaq.com!$B$1:$AK$1,),)</f>
        <v>1.67</v>
      </c>
      <c r="Y18" s="38">
        <f>VLOOKUP(B18,Nasdaq.com!$B:$AK,MATCH('Idea generation'!$Y$1,Nasdaq.com!$B$1:$AK$1,),)</f>
        <v>-1.0018214025471648</v>
      </c>
      <c r="Z18" s="44">
        <f>VLOOKUP(B18,Nasdaq.com!$B:$AK,MATCH('Idea generation'!$Z$1,Nasdaq.com!$B$1:$AK$1,),)</f>
        <v>20220726</v>
      </c>
    </row>
    <row r="19" spans="2:26" x14ac:dyDescent="0.2">
      <c r="N19" s="30" t="e">
        <f>AVERAGE(N2:N18)</f>
        <v>#N/A</v>
      </c>
      <c r="O19" s="30" t="e">
        <f>AVERAGE(O2:O18)</f>
        <v>#N/A</v>
      </c>
    </row>
  </sheetData>
  <autoFilter ref="A1:Z17" xr:uid="{854E8EE2-020C-4BE4-BD88-66B2E9803338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Y2500"/>
  <sheetViews>
    <sheetView tabSelected="1" zoomScale="140" zoomScaleNormal="140" workbookViewId="0">
      <pane xSplit="1" ySplit="1" topLeftCell="F2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ColWidth="9.1640625" defaultRowHeight="15" x14ac:dyDescent="0.2"/>
  <cols>
    <col min="1" max="1" width="27.1640625" style="3" customWidth="1"/>
    <col min="2" max="2" width="9.1640625" style="3"/>
    <col min="3" max="6" width="9.1640625" style="6"/>
    <col min="7" max="9" width="9.1640625" style="2"/>
    <col min="10" max="11" width="9.1640625" style="4"/>
    <col min="12" max="14" width="9.1640625" style="8"/>
    <col min="15" max="17" width="9.1640625" style="5"/>
    <col min="18" max="22" width="9.1640625" style="9"/>
    <col min="23" max="25" width="9.1640625" style="12"/>
    <col min="26" max="26" width="19.5" style="46" customWidth="1"/>
    <col min="27" max="16384" width="9.1640625" style="46"/>
  </cols>
  <sheetData>
    <row r="1" spans="1:25" x14ac:dyDescent="0.2">
      <c r="A1" s="3" t="s">
        <v>0</v>
      </c>
      <c r="B1" s="3" t="s">
        <v>1</v>
      </c>
      <c r="C1" s="6" t="s">
        <v>12</v>
      </c>
      <c r="D1" s="6" t="s">
        <v>164</v>
      </c>
      <c r="E1" s="6" t="s">
        <v>236</v>
      </c>
      <c r="F1" s="6" t="s">
        <v>382</v>
      </c>
      <c r="G1" s="2" t="s">
        <v>11</v>
      </c>
      <c r="H1" s="2" t="s">
        <v>8</v>
      </c>
      <c r="I1" s="2" t="s">
        <v>7</v>
      </c>
      <c r="J1" s="4" t="s">
        <v>286</v>
      </c>
      <c r="K1" s="4" t="s">
        <v>287</v>
      </c>
      <c r="L1" s="8" t="s">
        <v>6</v>
      </c>
      <c r="M1" s="8" t="s">
        <v>5</v>
      </c>
      <c r="N1" s="8" t="s">
        <v>4</v>
      </c>
      <c r="O1" s="5" t="s">
        <v>288</v>
      </c>
      <c r="P1" s="5" t="s">
        <v>289</v>
      </c>
      <c r="Q1" s="5" t="s">
        <v>3</v>
      </c>
      <c r="R1" s="9" t="s">
        <v>383</v>
      </c>
      <c r="S1" s="9" t="s">
        <v>325</v>
      </c>
      <c r="T1" s="9" t="s">
        <v>299</v>
      </c>
      <c r="U1" s="9" t="s">
        <v>384</v>
      </c>
      <c r="V1" s="9" t="s">
        <v>300</v>
      </c>
      <c r="W1" s="12" t="s">
        <v>14</v>
      </c>
      <c r="X1" s="12" t="s">
        <v>13</v>
      </c>
      <c r="Y1" s="12" t="s">
        <v>2</v>
      </c>
    </row>
    <row r="2" spans="1:25" x14ac:dyDescent="0.2">
      <c r="A2" s="3" t="s">
        <v>2317</v>
      </c>
      <c r="B2" s="3" t="s">
        <v>15</v>
      </c>
      <c r="C2" s="6" t="s">
        <v>354</v>
      </c>
      <c r="D2" s="6" t="s">
        <v>144</v>
      </c>
      <c r="E2" s="6" t="s">
        <v>119</v>
      </c>
      <c r="F2" s="6">
        <v>37200.339999999997</v>
      </c>
      <c r="G2" s="2">
        <v>10</v>
      </c>
      <c r="H2" s="61">
        <v>4.3099999999999996</v>
      </c>
      <c r="I2" s="61">
        <v>4.8899999999999997</v>
      </c>
      <c r="J2" s="47">
        <f>(H2-G2)/ABS(G2)</f>
        <v>-0.56900000000000006</v>
      </c>
      <c r="K2" s="47">
        <f>(I2-H2)/ABS(H2)</f>
        <v>0.13457076566125292</v>
      </c>
      <c r="L2" s="8">
        <v>5.38</v>
      </c>
      <c r="M2" s="8">
        <v>26.63</v>
      </c>
      <c r="N2" s="8">
        <v>25.33</v>
      </c>
      <c r="O2" s="17">
        <f>M2/(J2*100)</f>
        <v>-0.46801405975395421</v>
      </c>
      <c r="P2" s="17">
        <f>N2/(K2*100)</f>
        <v>1.8822810344827583</v>
      </c>
      <c r="Q2" s="17">
        <v>23.03</v>
      </c>
      <c r="R2" s="9">
        <v>20220816</v>
      </c>
      <c r="S2" s="9">
        <v>27.42</v>
      </c>
      <c r="T2" s="9">
        <v>7.82</v>
      </c>
      <c r="U2" s="9">
        <v>6704.3461900000002</v>
      </c>
      <c r="V2" s="45">
        <f>(T2-U2)/U2</f>
        <v>-0.99883359245206282</v>
      </c>
      <c r="W2" s="12">
        <v>1.8</v>
      </c>
      <c r="X2" s="12">
        <v>0.68</v>
      </c>
      <c r="Y2" s="62">
        <v>2.5299999999999998</v>
      </c>
    </row>
    <row r="3" spans="1:25" x14ac:dyDescent="0.2">
      <c r="A3" s="3" t="s">
        <v>2318</v>
      </c>
      <c r="B3" s="3" t="s">
        <v>461</v>
      </c>
      <c r="C3" s="6" t="s">
        <v>354</v>
      </c>
      <c r="D3" s="6" t="s">
        <v>311</v>
      </c>
      <c r="E3" s="6" t="s">
        <v>201</v>
      </c>
      <c r="F3" s="6">
        <v>11592.6</v>
      </c>
      <c r="G3" s="2">
        <v>12</v>
      </c>
      <c r="H3" s="61">
        <v>6.26</v>
      </c>
      <c r="I3" s="61">
        <v>13.17</v>
      </c>
      <c r="J3" s="47">
        <f t="shared" ref="J3:J66" si="0">(H3-G3)/ABS(G3)</f>
        <v>-0.47833333333333333</v>
      </c>
      <c r="K3" s="47">
        <f t="shared" ref="K3:K66" si="1">(I3-H3)/ABS(H3)</f>
        <v>1.1038338658146964</v>
      </c>
      <c r="L3" s="8">
        <v>11.26</v>
      </c>
      <c r="M3" s="8">
        <v>6.91</v>
      </c>
      <c r="N3" s="8">
        <v>4.7699999999999996</v>
      </c>
      <c r="O3" s="17">
        <f t="shared" ref="O3:O66" si="2">M3/(J3*100)</f>
        <v>-0.14445993031358884</v>
      </c>
      <c r="P3" s="17">
        <f t="shared" ref="P3:P66" si="3">N3/(K3*100)</f>
        <v>4.3213024602026043E-2</v>
      </c>
      <c r="Q3" s="17">
        <v>5.58</v>
      </c>
      <c r="R3" s="9">
        <v>20220721</v>
      </c>
      <c r="S3" s="9">
        <v>29.44</v>
      </c>
      <c r="T3" s="9">
        <v>-2.39</v>
      </c>
      <c r="U3" s="9">
        <v>14776.167960000001</v>
      </c>
      <c r="V3" s="45">
        <f t="shared" ref="V3:V66" si="4">(T3-U3)/U3</f>
        <v>-1.0001617469432176</v>
      </c>
      <c r="W3" s="12">
        <v>2.34</v>
      </c>
      <c r="X3" s="12">
        <v>0.64</v>
      </c>
      <c r="Y3" s="62">
        <v>0.55000000000000004</v>
      </c>
    </row>
    <row r="4" spans="1:25" x14ac:dyDescent="0.2">
      <c r="A4" s="3" t="s">
        <v>2319</v>
      </c>
      <c r="B4" s="3" t="s">
        <v>2061</v>
      </c>
      <c r="C4" s="6" t="s">
        <v>356</v>
      </c>
      <c r="D4" s="6" t="s">
        <v>170</v>
      </c>
      <c r="E4" s="6" t="s">
        <v>163</v>
      </c>
      <c r="F4" s="6">
        <v>119756.66</v>
      </c>
      <c r="G4" s="2">
        <v>12</v>
      </c>
      <c r="H4" s="61">
        <v>2.12</v>
      </c>
      <c r="I4" s="61">
        <v>2.2000000000000002</v>
      </c>
      <c r="J4" s="47">
        <f t="shared" si="0"/>
        <v>-0.82333333333333325</v>
      </c>
      <c r="K4" s="47">
        <f t="shared" si="1"/>
        <v>3.7735849056603807E-2</v>
      </c>
      <c r="L4" s="8">
        <v>2.52</v>
      </c>
      <c r="N4" s="8">
        <v>18.079999999999998</v>
      </c>
      <c r="O4" s="17">
        <f t="shared" si="2"/>
        <v>0</v>
      </c>
      <c r="P4" s="17">
        <f t="shared" si="3"/>
        <v>4.7911999999999955</v>
      </c>
      <c r="Q4" s="17">
        <v>15.78</v>
      </c>
      <c r="V4" s="45" t="e">
        <f t="shared" si="4"/>
        <v>#DIV/0!</v>
      </c>
      <c r="X4" s="12">
        <v>2.63</v>
      </c>
      <c r="Y4" s="62"/>
    </row>
    <row r="5" spans="1:25" x14ac:dyDescent="0.2">
      <c r="A5" s="3" t="s">
        <v>2320</v>
      </c>
      <c r="B5" s="3" t="s">
        <v>17</v>
      </c>
      <c r="C5" s="6" t="s">
        <v>355</v>
      </c>
      <c r="D5" s="6" t="s">
        <v>235</v>
      </c>
      <c r="E5" s="6" t="s">
        <v>237</v>
      </c>
      <c r="F5" s="6">
        <v>11197.64</v>
      </c>
      <c r="G5" s="2">
        <v>12</v>
      </c>
      <c r="H5" s="61">
        <v>-8.44</v>
      </c>
      <c r="I5" s="61">
        <v>-1.06</v>
      </c>
      <c r="J5" s="47">
        <f t="shared" si="0"/>
        <v>-1.7033333333333331</v>
      </c>
      <c r="K5" s="47">
        <f t="shared" si="1"/>
        <v>0.87440758293838861</v>
      </c>
      <c r="L5" s="8">
        <v>2.12</v>
      </c>
      <c r="O5" s="17">
        <f t="shared" si="2"/>
        <v>0</v>
      </c>
      <c r="P5" s="17">
        <f t="shared" si="3"/>
        <v>0</v>
      </c>
      <c r="Q5" s="17">
        <v>8.15</v>
      </c>
      <c r="R5" s="9">
        <v>20220728</v>
      </c>
      <c r="T5" s="9">
        <v>-15.32</v>
      </c>
      <c r="U5" s="9">
        <v>46753.496090000001</v>
      </c>
      <c r="V5" s="45">
        <f t="shared" si="4"/>
        <v>-1.0003276760302697</v>
      </c>
      <c r="W5" s="12">
        <v>4.53</v>
      </c>
      <c r="X5" s="12">
        <v>0</v>
      </c>
      <c r="Y5" s="62"/>
    </row>
    <row r="6" spans="1:25" x14ac:dyDescent="0.2">
      <c r="A6" s="3" t="s">
        <v>2321</v>
      </c>
      <c r="B6" s="3" t="s">
        <v>18</v>
      </c>
      <c r="C6" s="6" t="s">
        <v>354</v>
      </c>
      <c r="D6" s="6" t="s">
        <v>67</v>
      </c>
      <c r="E6" s="6" t="s">
        <v>231</v>
      </c>
      <c r="F6" s="6">
        <v>11576.14</v>
      </c>
      <c r="G6" s="2">
        <v>12</v>
      </c>
      <c r="H6" s="61">
        <v>11.94</v>
      </c>
      <c r="I6" s="61">
        <v>13.69</v>
      </c>
      <c r="J6" s="47">
        <f t="shared" si="0"/>
        <v>-5.0000000000000417E-3</v>
      </c>
      <c r="K6" s="47">
        <f t="shared" si="1"/>
        <v>0.14656616415410387</v>
      </c>
      <c r="L6" s="8">
        <v>15.53</v>
      </c>
      <c r="M6" s="8">
        <v>15.58</v>
      </c>
      <c r="N6" s="8">
        <v>13.94</v>
      </c>
      <c r="O6" s="17">
        <f t="shared" si="2"/>
        <v>-31.159999999999737</v>
      </c>
      <c r="P6" s="17">
        <f t="shared" si="3"/>
        <v>0.95110628571428557</v>
      </c>
      <c r="Q6" s="17">
        <v>12.29</v>
      </c>
      <c r="R6" s="9">
        <v>20220823</v>
      </c>
      <c r="S6" s="9">
        <v>24.74</v>
      </c>
      <c r="T6" s="9">
        <v>3.21</v>
      </c>
      <c r="U6" s="9">
        <v>11371.542960000001</v>
      </c>
      <c r="V6" s="45">
        <f t="shared" si="4"/>
        <v>-0.99971771640741358</v>
      </c>
      <c r="W6" s="12">
        <v>1.1299999999999999</v>
      </c>
      <c r="X6" s="12">
        <v>3.14</v>
      </c>
      <c r="Y6" s="62">
        <v>1.0900000000000001</v>
      </c>
    </row>
    <row r="7" spans="1:25" x14ac:dyDescent="0.2">
      <c r="A7" s="3" t="s">
        <v>2322</v>
      </c>
      <c r="B7" s="3" t="s">
        <v>19</v>
      </c>
      <c r="C7" s="6" t="s">
        <v>355</v>
      </c>
      <c r="D7" s="6" t="s">
        <v>131</v>
      </c>
      <c r="E7" s="6" t="s">
        <v>119</v>
      </c>
      <c r="F7" s="6">
        <v>2327105.25</v>
      </c>
      <c r="G7" s="2">
        <v>9</v>
      </c>
      <c r="H7" s="61">
        <v>5.6</v>
      </c>
      <c r="I7" s="61">
        <v>6.11</v>
      </c>
      <c r="J7" s="47">
        <f t="shared" si="0"/>
        <v>-0.37777777777777782</v>
      </c>
      <c r="K7" s="47">
        <f t="shared" si="1"/>
        <v>9.1071428571428692E-2</v>
      </c>
      <c r="L7" s="8">
        <v>6.64</v>
      </c>
      <c r="M7" s="8">
        <v>23.34</v>
      </c>
      <c r="N7" s="8">
        <v>23.52</v>
      </c>
      <c r="O7" s="17">
        <f t="shared" si="2"/>
        <v>-0.61782352941176455</v>
      </c>
      <c r="P7" s="17">
        <f t="shared" si="3"/>
        <v>2.5825882352941143</v>
      </c>
      <c r="Q7" s="17">
        <v>21.64</v>
      </c>
      <c r="R7" s="9">
        <v>20220726</v>
      </c>
      <c r="S7" s="9">
        <v>152.88</v>
      </c>
      <c r="T7" s="9">
        <v>10.77</v>
      </c>
      <c r="U7" s="9">
        <v>394913.59375</v>
      </c>
      <c r="V7" s="45">
        <f t="shared" si="4"/>
        <v>-0.9999727282115114</v>
      </c>
      <c r="W7" s="12">
        <v>6.29</v>
      </c>
      <c r="X7" s="12">
        <v>0.64</v>
      </c>
      <c r="Y7" s="62">
        <v>1.88</v>
      </c>
    </row>
    <row r="8" spans="1:25" x14ac:dyDescent="0.2">
      <c r="A8" s="3" t="s">
        <v>2323</v>
      </c>
      <c r="B8" s="3" t="s">
        <v>462</v>
      </c>
      <c r="C8" s="6" t="s">
        <v>354</v>
      </c>
      <c r="D8" s="6" t="s">
        <v>150</v>
      </c>
      <c r="E8" s="6" t="s">
        <v>163</v>
      </c>
      <c r="F8" s="6">
        <v>4209.8599999999997</v>
      </c>
      <c r="G8" s="2">
        <v>12</v>
      </c>
      <c r="H8" s="61">
        <v>3.61</v>
      </c>
      <c r="I8" s="61">
        <v>3.43</v>
      </c>
      <c r="J8" s="47">
        <f t="shared" si="0"/>
        <v>-0.69916666666666671</v>
      </c>
      <c r="K8" s="47">
        <f t="shared" si="1"/>
        <v>-4.9861495844875273E-2</v>
      </c>
      <c r="L8" s="8">
        <v>3.67</v>
      </c>
      <c r="M8" s="8">
        <v>10.59</v>
      </c>
      <c r="N8" s="8">
        <v>12.32</v>
      </c>
      <c r="O8" s="17">
        <f t="shared" si="2"/>
        <v>-0.15146603098927294</v>
      </c>
      <c r="P8" s="17">
        <f t="shared" si="3"/>
        <v>-2.4708444444444484</v>
      </c>
      <c r="Q8" s="17">
        <v>11.52</v>
      </c>
      <c r="R8" s="9">
        <v>20220804</v>
      </c>
      <c r="S8" s="9">
        <v>24.87</v>
      </c>
      <c r="T8" s="9">
        <v>6.87</v>
      </c>
      <c r="U8" s="9">
        <v>3597.8998999999999</v>
      </c>
      <c r="V8" s="45">
        <f t="shared" si="4"/>
        <v>-0.99809055276940861</v>
      </c>
      <c r="W8" s="12">
        <v>12.5</v>
      </c>
      <c r="X8" s="12">
        <v>8.52</v>
      </c>
      <c r="Y8" s="62"/>
    </row>
    <row r="9" spans="1:25" x14ac:dyDescent="0.2">
      <c r="A9" s="3" t="s">
        <v>20</v>
      </c>
      <c r="B9" s="3" t="s">
        <v>20</v>
      </c>
      <c r="C9" s="6" t="s">
        <v>354</v>
      </c>
      <c r="D9" s="6" t="s">
        <v>181</v>
      </c>
      <c r="E9" s="6" t="s">
        <v>201</v>
      </c>
      <c r="F9" s="6">
        <v>62354.11</v>
      </c>
      <c r="G9" s="2">
        <v>12</v>
      </c>
      <c r="H9" s="61">
        <v>1.52</v>
      </c>
      <c r="I9" s="61">
        <v>1.48</v>
      </c>
      <c r="J9" s="47">
        <f t="shared" si="0"/>
        <v>-0.87333333333333341</v>
      </c>
      <c r="K9" s="47">
        <f t="shared" si="1"/>
        <v>-2.6315789473684233E-2</v>
      </c>
      <c r="L9" s="8">
        <v>1.73</v>
      </c>
      <c r="M9" s="8">
        <v>21.85</v>
      </c>
      <c r="N9" s="8">
        <v>20.56</v>
      </c>
      <c r="O9" s="17">
        <f t="shared" si="2"/>
        <v>-0.2501908396946565</v>
      </c>
      <c r="P9" s="17">
        <f t="shared" si="3"/>
        <v>-7.8127999999999922</v>
      </c>
      <c r="Q9" s="17">
        <v>17.579999999999998</v>
      </c>
      <c r="R9" s="9">
        <v>20220728</v>
      </c>
      <c r="S9" s="9">
        <v>19.34</v>
      </c>
      <c r="T9" s="9">
        <v>-5.96</v>
      </c>
      <c r="U9" s="9">
        <v>30454.230459999999</v>
      </c>
      <c r="V9" s="45">
        <f t="shared" si="4"/>
        <v>-1.0001957035167193</v>
      </c>
      <c r="W9" s="12">
        <v>-8.82</v>
      </c>
      <c r="X9" s="12">
        <v>1.74</v>
      </c>
      <c r="Y9" s="62">
        <v>3.32</v>
      </c>
    </row>
    <row r="10" spans="1:25" x14ac:dyDescent="0.2">
      <c r="A10" s="3" t="s">
        <v>2324</v>
      </c>
      <c r="B10" s="3" t="s">
        <v>21</v>
      </c>
      <c r="C10" s="6" t="s">
        <v>354</v>
      </c>
      <c r="D10" s="6" t="s">
        <v>179</v>
      </c>
      <c r="E10" s="6" t="s">
        <v>208</v>
      </c>
      <c r="F10" s="6">
        <v>266073.78000000003</v>
      </c>
      <c r="G10" s="2">
        <v>12</v>
      </c>
      <c r="H10" s="61">
        <v>12.67</v>
      </c>
      <c r="I10" s="61">
        <v>14.02</v>
      </c>
      <c r="J10" s="47">
        <f t="shared" si="0"/>
        <v>5.5833333333333325E-2</v>
      </c>
      <c r="K10" s="47">
        <f t="shared" si="1"/>
        <v>0.10655090765588</v>
      </c>
      <c r="L10" s="8">
        <v>11.86</v>
      </c>
      <c r="M10" s="8">
        <v>11.66</v>
      </c>
      <c r="N10" s="8">
        <v>10.74</v>
      </c>
      <c r="O10" s="17">
        <f t="shared" si="2"/>
        <v>2.0883582089552242</v>
      </c>
      <c r="P10" s="17">
        <f t="shared" si="3"/>
        <v>1.0079688888888891</v>
      </c>
      <c r="Q10" s="17">
        <v>12.7</v>
      </c>
      <c r="R10" s="9">
        <v>20220729</v>
      </c>
      <c r="S10" s="9">
        <v>159.31</v>
      </c>
      <c r="T10" s="9">
        <v>18.010000000000002</v>
      </c>
      <c r="U10" s="9">
        <v>59633.089840000001</v>
      </c>
      <c r="V10" s="45">
        <f t="shared" si="4"/>
        <v>-0.99969798646945307</v>
      </c>
      <c r="W10" s="12">
        <v>0.32</v>
      </c>
      <c r="X10" s="12">
        <v>3.75</v>
      </c>
      <c r="Y10" s="62">
        <v>4.24</v>
      </c>
    </row>
    <row r="11" spans="1:25" x14ac:dyDescent="0.2">
      <c r="A11" s="3" t="s">
        <v>2325</v>
      </c>
      <c r="B11" s="3" t="s">
        <v>22</v>
      </c>
      <c r="C11" s="6" t="s">
        <v>354</v>
      </c>
      <c r="D11" s="6" t="s">
        <v>186</v>
      </c>
      <c r="E11" s="6" t="s">
        <v>208</v>
      </c>
      <c r="F11" s="6">
        <v>32634.5</v>
      </c>
      <c r="G11" s="2">
        <v>9</v>
      </c>
      <c r="H11" s="61">
        <v>9.24</v>
      </c>
      <c r="I11" s="61">
        <v>10.89</v>
      </c>
      <c r="J11" s="47">
        <f t="shared" si="0"/>
        <v>2.6666666666666689E-2</v>
      </c>
      <c r="K11" s="47">
        <f t="shared" si="1"/>
        <v>0.1785714285714286</v>
      </c>
      <c r="L11" s="8">
        <v>11.49</v>
      </c>
      <c r="M11" s="8">
        <v>15.05</v>
      </c>
      <c r="N11" s="8">
        <v>14.31</v>
      </c>
      <c r="O11" s="17">
        <f t="shared" si="2"/>
        <v>5.6437499999999963</v>
      </c>
      <c r="P11" s="17">
        <f t="shared" si="3"/>
        <v>0.80135999999999985</v>
      </c>
      <c r="Q11" s="17">
        <v>13.56</v>
      </c>
      <c r="R11" s="9">
        <v>20220803</v>
      </c>
      <c r="S11" s="9">
        <v>349.46</v>
      </c>
      <c r="T11" s="9">
        <v>8.33</v>
      </c>
      <c r="U11" s="9">
        <v>236889.5625</v>
      </c>
      <c r="V11" s="45">
        <f t="shared" si="4"/>
        <v>-0.9999648359348885</v>
      </c>
      <c r="W11" s="12">
        <v>7.69</v>
      </c>
      <c r="X11" s="12">
        <v>1.18</v>
      </c>
      <c r="Y11" s="62">
        <v>1.71</v>
      </c>
    </row>
    <row r="12" spans="1:25" x14ac:dyDescent="0.2">
      <c r="A12" s="3" t="s">
        <v>485</v>
      </c>
      <c r="B12" s="3" t="s">
        <v>486</v>
      </c>
      <c r="C12" s="6" t="s">
        <v>355</v>
      </c>
      <c r="D12" s="6" t="s">
        <v>106</v>
      </c>
      <c r="E12" s="6" t="s">
        <v>163</v>
      </c>
      <c r="F12" s="6">
        <v>3125.3</v>
      </c>
      <c r="G12" s="2">
        <v>12</v>
      </c>
      <c r="H12" s="61">
        <v>5.36</v>
      </c>
      <c r="I12" s="61">
        <v>4.76</v>
      </c>
      <c r="J12" s="47">
        <f t="shared" si="0"/>
        <v>-0.55333333333333334</v>
      </c>
      <c r="K12" s="47">
        <f t="shared" si="1"/>
        <v>-0.11194029850746277</v>
      </c>
      <c r="L12" s="8">
        <v>5.0999999999999996</v>
      </c>
      <c r="M12" s="8">
        <v>9.58</v>
      </c>
      <c r="N12" s="8">
        <v>9.4499999999999993</v>
      </c>
      <c r="O12" s="17">
        <f t="shared" si="2"/>
        <v>-0.17313253012048191</v>
      </c>
      <c r="P12" s="17">
        <f t="shared" si="3"/>
        <v>-0.84419999999999928</v>
      </c>
      <c r="Q12" s="17">
        <v>8.82</v>
      </c>
      <c r="R12" s="9">
        <v>20220728</v>
      </c>
      <c r="S12" s="9">
        <v>11.2</v>
      </c>
      <c r="T12" s="9">
        <v>33.130000000000003</v>
      </c>
      <c r="U12" s="9">
        <v>1041.5260000000001</v>
      </c>
      <c r="V12" s="45">
        <f t="shared" si="4"/>
        <v>-0.96819090449974365</v>
      </c>
      <c r="W12" s="12">
        <v>0</v>
      </c>
      <c r="X12" s="12">
        <v>1.33</v>
      </c>
      <c r="Y12" s="62"/>
    </row>
    <row r="13" spans="1:25" x14ac:dyDescent="0.2">
      <c r="A13" s="3" t="s">
        <v>2326</v>
      </c>
      <c r="B13" s="3" t="s">
        <v>517</v>
      </c>
      <c r="C13" s="6" t="s">
        <v>355</v>
      </c>
      <c r="D13" s="6" t="s">
        <v>191</v>
      </c>
      <c r="E13" s="6" t="s">
        <v>208</v>
      </c>
      <c r="F13" s="6">
        <v>3328.8</v>
      </c>
      <c r="G13" s="2">
        <v>6</v>
      </c>
      <c r="H13" s="61">
        <v>0.21</v>
      </c>
      <c r="I13" s="61">
        <v>0.36</v>
      </c>
      <c r="J13" s="47">
        <f t="shared" si="0"/>
        <v>-0.96499999999999997</v>
      </c>
      <c r="K13" s="47">
        <f t="shared" si="1"/>
        <v>0.7142857142857143</v>
      </c>
      <c r="L13" s="8">
        <v>0.46</v>
      </c>
      <c r="N13" s="8">
        <v>40.020000000000003</v>
      </c>
      <c r="O13" s="17">
        <f t="shared" si="2"/>
        <v>0</v>
      </c>
      <c r="P13" s="17">
        <f t="shared" si="3"/>
        <v>0.56028</v>
      </c>
      <c r="Q13" s="17">
        <v>31.84</v>
      </c>
      <c r="U13" s="9">
        <v>496.55498999999998</v>
      </c>
      <c r="V13" s="45">
        <f t="shared" si="4"/>
        <v>-1</v>
      </c>
      <c r="X13" s="12">
        <v>0</v>
      </c>
      <c r="Y13" s="62">
        <v>1.26</v>
      </c>
    </row>
    <row r="14" spans="1:25" x14ac:dyDescent="0.2">
      <c r="A14" s="3" t="s">
        <v>2327</v>
      </c>
      <c r="B14" s="3" t="s">
        <v>1925</v>
      </c>
      <c r="C14" s="6" t="s">
        <v>354</v>
      </c>
      <c r="D14" s="6" t="s">
        <v>116</v>
      </c>
      <c r="E14" s="6" t="s">
        <v>154</v>
      </c>
      <c r="F14" s="6">
        <v>46267.24</v>
      </c>
      <c r="G14" s="2">
        <v>12</v>
      </c>
      <c r="H14" s="61">
        <v>0.14000000000000001</v>
      </c>
      <c r="I14" s="61">
        <v>0.16</v>
      </c>
      <c r="J14" s="47">
        <f t="shared" si="0"/>
        <v>-0.98833333333333329</v>
      </c>
      <c r="K14" s="47">
        <f t="shared" si="1"/>
        <v>0.14285714285714277</v>
      </c>
      <c r="L14" s="8">
        <v>0.17</v>
      </c>
      <c r="M14" s="8">
        <v>19.600000000000001</v>
      </c>
      <c r="N14" s="8">
        <v>18.97</v>
      </c>
      <c r="O14" s="17">
        <f t="shared" si="2"/>
        <v>-0.19831365935919057</v>
      </c>
      <c r="P14" s="17">
        <f t="shared" si="3"/>
        <v>1.3279000000000007</v>
      </c>
      <c r="Q14" s="17">
        <v>17.29</v>
      </c>
      <c r="R14" s="9">
        <v>20220804</v>
      </c>
      <c r="S14" s="9">
        <v>16.87</v>
      </c>
      <c r="T14" s="9">
        <v>-3.69</v>
      </c>
      <c r="U14" s="9">
        <v>16669.939450000002</v>
      </c>
      <c r="V14" s="45">
        <f t="shared" si="4"/>
        <v>-1.0002213565328817</v>
      </c>
      <c r="W14" s="12">
        <v>0</v>
      </c>
      <c r="X14" s="12">
        <v>0.81</v>
      </c>
      <c r="Y14" s="62">
        <v>2.12</v>
      </c>
    </row>
    <row r="15" spans="1:25" x14ac:dyDescent="0.2">
      <c r="A15" s="3" t="s">
        <v>2328</v>
      </c>
      <c r="B15" s="3" t="s">
        <v>487</v>
      </c>
      <c r="C15" s="6" t="s">
        <v>354</v>
      </c>
      <c r="D15" s="6" t="s">
        <v>412</v>
      </c>
      <c r="E15" s="6" t="s">
        <v>231</v>
      </c>
      <c r="F15" s="6">
        <v>3957.74</v>
      </c>
      <c r="G15" s="2">
        <v>12</v>
      </c>
      <c r="H15" s="61">
        <v>25.57</v>
      </c>
      <c r="I15" s="61">
        <v>35.58</v>
      </c>
      <c r="J15" s="47">
        <f t="shared" si="0"/>
        <v>1.1308333333333334</v>
      </c>
      <c r="K15" s="47">
        <f t="shared" si="1"/>
        <v>0.39147438404380125</v>
      </c>
      <c r="L15" s="8">
        <v>33.04</v>
      </c>
      <c r="M15" s="8">
        <v>5.61</v>
      </c>
      <c r="N15" s="8">
        <v>5.03</v>
      </c>
      <c r="O15" s="17">
        <f t="shared" si="2"/>
        <v>4.9609432571849667E-2</v>
      </c>
      <c r="P15" s="17">
        <f t="shared" si="3"/>
        <v>0.12848861138861142</v>
      </c>
      <c r="Q15" s="17">
        <v>5.41</v>
      </c>
      <c r="R15" s="9">
        <v>20220726</v>
      </c>
      <c r="S15" s="9">
        <v>39.72</v>
      </c>
      <c r="T15" s="9">
        <v>9.35</v>
      </c>
      <c r="U15" s="9">
        <v>16426.28515</v>
      </c>
      <c r="V15" s="45">
        <f t="shared" si="4"/>
        <v>-0.99943079035128046</v>
      </c>
      <c r="W15" s="12">
        <v>3.92</v>
      </c>
      <c r="X15" s="12">
        <v>0</v>
      </c>
      <c r="Y15" s="62">
        <v>0.27</v>
      </c>
    </row>
    <row r="16" spans="1:25" x14ac:dyDescent="0.2">
      <c r="A16" s="3" t="s">
        <v>2329</v>
      </c>
      <c r="B16" s="3" t="s">
        <v>1926</v>
      </c>
      <c r="C16" s="6" t="s">
        <v>354</v>
      </c>
      <c r="D16" s="6" t="s">
        <v>1554</v>
      </c>
      <c r="E16" s="6" t="s">
        <v>108</v>
      </c>
      <c r="F16" s="6">
        <v>3196.34</v>
      </c>
      <c r="G16" s="2">
        <v>10</v>
      </c>
      <c r="H16" s="61">
        <v>3.53</v>
      </c>
      <c r="I16" s="61">
        <v>3.61</v>
      </c>
      <c r="J16" s="47">
        <f t="shared" si="0"/>
        <v>-0.64700000000000002</v>
      </c>
      <c r="K16" s="47">
        <f t="shared" si="1"/>
        <v>2.266288951841362E-2</v>
      </c>
      <c r="L16" s="8">
        <v>3.93</v>
      </c>
      <c r="M16" s="8">
        <v>13.62</v>
      </c>
      <c r="N16" s="8">
        <v>13.25</v>
      </c>
      <c r="O16" s="17">
        <f t="shared" si="2"/>
        <v>-0.21051004636785159</v>
      </c>
      <c r="P16" s="17">
        <f t="shared" si="3"/>
        <v>5.8465624999999939</v>
      </c>
      <c r="Q16" s="17">
        <v>12.16</v>
      </c>
      <c r="R16" s="9">
        <v>20220608</v>
      </c>
      <c r="S16" s="9">
        <v>14.86</v>
      </c>
      <c r="T16" s="9">
        <v>2.48</v>
      </c>
      <c r="U16" s="9">
        <v>7839.1918900000001</v>
      </c>
      <c r="V16" s="45">
        <f t="shared" si="4"/>
        <v>-0.99968364086058881</v>
      </c>
      <c r="W16" s="12">
        <v>18.989999999999998</v>
      </c>
      <c r="X16" s="12">
        <v>1.63</v>
      </c>
      <c r="Y16" s="62"/>
    </row>
    <row r="17" spans="1:25" x14ac:dyDescent="0.2">
      <c r="A17" s="3" t="s">
        <v>2330</v>
      </c>
      <c r="B17" s="3" t="s">
        <v>23</v>
      </c>
      <c r="C17" s="6" t="s">
        <v>355</v>
      </c>
      <c r="D17" s="6" t="s">
        <v>191</v>
      </c>
      <c r="E17" s="6" t="s">
        <v>208</v>
      </c>
      <c r="F17" s="6">
        <v>11890.82</v>
      </c>
      <c r="G17" s="2">
        <v>3</v>
      </c>
      <c r="H17" s="61">
        <v>4.3600000000000003</v>
      </c>
      <c r="I17" s="61">
        <v>4.62</v>
      </c>
      <c r="J17" s="47">
        <f t="shared" si="0"/>
        <v>0.45333333333333342</v>
      </c>
      <c r="K17" s="47">
        <f t="shared" si="1"/>
        <v>5.9633027522935728E-2</v>
      </c>
      <c r="L17" s="8">
        <v>5.68</v>
      </c>
      <c r="M17" s="8">
        <v>59.04</v>
      </c>
      <c r="N17" s="8">
        <v>56.54</v>
      </c>
      <c r="O17" s="17">
        <f t="shared" si="2"/>
        <v>1.3023529411764703</v>
      </c>
      <c r="P17" s="17">
        <f t="shared" si="3"/>
        <v>9.4813230769230845</v>
      </c>
      <c r="Q17" s="17">
        <v>45.93</v>
      </c>
      <c r="R17" s="9">
        <v>20220803</v>
      </c>
      <c r="S17" s="9">
        <v>14.47</v>
      </c>
      <c r="T17" s="9">
        <v>15.04</v>
      </c>
      <c r="U17" s="9">
        <v>1164.31005</v>
      </c>
      <c r="V17" s="45">
        <f t="shared" si="4"/>
        <v>-0.98708247858892917</v>
      </c>
      <c r="W17" s="12">
        <v>7.41</v>
      </c>
      <c r="X17" s="12">
        <v>0</v>
      </c>
      <c r="Y17" s="62">
        <v>2.98</v>
      </c>
    </row>
    <row r="18" spans="1:25" x14ac:dyDescent="0.2">
      <c r="A18" s="3" t="s">
        <v>2331</v>
      </c>
      <c r="B18" s="3" t="s">
        <v>488</v>
      </c>
      <c r="C18" s="6" t="s">
        <v>355</v>
      </c>
      <c r="D18" s="6" t="s">
        <v>175</v>
      </c>
      <c r="E18" s="6" t="s">
        <v>119</v>
      </c>
      <c r="F18" s="6">
        <v>73480.38</v>
      </c>
      <c r="G18" s="2">
        <v>12</v>
      </c>
      <c r="H18" s="61">
        <v>-0.62</v>
      </c>
      <c r="I18" s="61">
        <v>1.79</v>
      </c>
      <c r="J18" s="47">
        <f t="shared" si="0"/>
        <v>-1.0516666666666665</v>
      </c>
      <c r="K18" s="47">
        <f t="shared" si="1"/>
        <v>3.8870967741935485</v>
      </c>
      <c r="L18" s="8">
        <v>2.63</v>
      </c>
      <c r="M18" s="8">
        <v>98.53</v>
      </c>
      <c r="N18" s="8">
        <v>63.74</v>
      </c>
      <c r="O18" s="17">
        <f t="shared" si="2"/>
        <v>-0.93689381933438998</v>
      </c>
      <c r="P18" s="17">
        <f t="shared" si="3"/>
        <v>0.16397842323651451</v>
      </c>
      <c r="Q18" s="17">
        <v>43.44</v>
      </c>
      <c r="R18" s="9">
        <v>20220811</v>
      </c>
      <c r="S18" s="9">
        <v>18.510000000000002</v>
      </c>
      <c r="U18" s="9">
        <v>8329.5087800000001</v>
      </c>
      <c r="V18" s="45">
        <f t="shared" si="4"/>
        <v>-1</v>
      </c>
      <c r="W18" s="12">
        <v>89.29</v>
      </c>
      <c r="X18" s="12">
        <v>0</v>
      </c>
      <c r="Y18" s="62"/>
    </row>
    <row r="19" spans="1:25" x14ac:dyDescent="0.2">
      <c r="A19" s="3" t="s">
        <v>326</v>
      </c>
      <c r="B19" s="3" t="s">
        <v>327</v>
      </c>
      <c r="C19" s="6" t="s">
        <v>354</v>
      </c>
      <c r="D19" s="6" t="s">
        <v>193</v>
      </c>
      <c r="E19" s="6" t="s">
        <v>208</v>
      </c>
      <c r="F19" s="6">
        <v>201130.75</v>
      </c>
      <c r="G19" s="2">
        <v>12</v>
      </c>
      <c r="H19" s="61">
        <v>5.07</v>
      </c>
      <c r="I19" s="61">
        <v>4.82</v>
      </c>
      <c r="J19" s="47">
        <f t="shared" si="0"/>
        <v>-0.57750000000000001</v>
      </c>
      <c r="K19" s="47">
        <f t="shared" si="1"/>
        <v>-4.9309664694280074E-2</v>
      </c>
      <c r="L19" s="8">
        <v>4.87</v>
      </c>
      <c r="M19" s="8">
        <v>20.440000000000001</v>
      </c>
      <c r="N19" s="8">
        <v>23.84</v>
      </c>
      <c r="O19" s="17">
        <f t="shared" si="2"/>
        <v>-0.35393939393939394</v>
      </c>
      <c r="P19" s="17">
        <f t="shared" si="3"/>
        <v>-4.8347520000000008</v>
      </c>
      <c r="Q19" s="17">
        <v>23.57</v>
      </c>
      <c r="R19" s="9">
        <v>20220728</v>
      </c>
      <c r="S19" s="9">
        <v>28.72</v>
      </c>
      <c r="T19" s="9">
        <v>11.63</v>
      </c>
      <c r="U19" s="9">
        <v>41619.464840000001</v>
      </c>
      <c r="V19" s="45">
        <f t="shared" si="4"/>
        <v>-0.99972056344201665</v>
      </c>
      <c r="W19" s="12">
        <v>17.690000000000001</v>
      </c>
      <c r="X19" s="12">
        <v>1.64</v>
      </c>
      <c r="Y19" s="62">
        <v>3.04</v>
      </c>
    </row>
    <row r="20" spans="1:25" x14ac:dyDescent="0.2">
      <c r="A20" s="3" t="s">
        <v>2332</v>
      </c>
      <c r="B20" s="3" t="s">
        <v>25</v>
      </c>
      <c r="C20" s="6" t="s">
        <v>354</v>
      </c>
      <c r="D20" s="6" t="s">
        <v>216</v>
      </c>
      <c r="E20" s="6" t="s">
        <v>163</v>
      </c>
      <c r="F20" s="6">
        <v>9032.92</v>
      </c>
      <c r="G20" s="2">
        <v>12</v>
      </c>
      <c r="H20" s="61">
        <v>2.11</v>
      </c>
      <c r="I20" s="61">
        <v>2.4700000000000002</v>
      </c>
      <c r="J20" s="47">
        <f t="shared" si="0"/>
        <v>-0.82416666666666671</v>
      </c>
      <c r="K20" s="47">
        <f t="shared" si="1"/>
        <v>0.17061611374407598</v>
      </c>
      <c r="L20" s="8">
        <v>2.64</v>
      </c>
      <c r="M20" s="8">
        <v>28.4</v>
      </c>
      <c r="N20" s="8">
        <v>26.24</v>
      </c>
      <c r="O20" s="17">
        <f t="shared" si="2"/>
        <v>-0.34459049544994941</v>
      </c>
      <c r="P20" s="17">
        <f t="shared" si="3"/>
        <v>1.5379555555555542</v>
      </c>
      <c r="Q20" s="17">
        <v>24.49</v>
      </c>
      <c r="R20" s="9">
        <v>20220725</v>
      </c>
      <c r="S20" s="9">
        <v>1.81</v>
      </c>
      <c r="T20" s="9">
        <v>3.41</v>
      </c>
      <c r="U20" s="9">
        <v>1003.75299</v>
      </c>
      <c r="V20" s="45">
        <f t="shared" si="4"/>
        <v>-0.99660274984585606</v>
      </c>
      <c r="W20" s="12">
        <v>2.86</v>
      </c>
      <c r="X20" s="12">
        <v>2.9</v>
      </c>
      <c r="Y20" s="62"/>
    </row>
    <row r="21" spans="1:25" x14ac:dyDescent="0.2">
      <c r="A21" s="3" t="s">
        <v>2062</v>
      </c>
      <c r="B21" s="3" t="s">
        <v>2063</v>
      </c>
      <c r="C21" s="6" t="s">
        <v>356</v>
      </c>
      <c r="D21" s="6" t="s">
        <v>235</v>
      </c>
      <c r="E21" s="6" t="s">
        <v>237</v>
      </c>
      <c r="F21" s="6">
        <v>6124.79</v>
      </c>
      <c r="G21" s="2">
        <v>12</v>
      </c>
      <c r="H21" s="61"/>
      <c r="I21" s="61">
        <v>-2.36</v>
      </c>
      <c r="J21" s="47">
        <f t="shared" si="0"/>
        <v>-1</v>
      </c>
      <c r="K21" s="47" t="e">
        <f t="shared" si="1"/>
        <v>#DIV/0!</v>
      </c>
      <c r="L21" s="8">
        <v>1.48</v>
      </c>
      <c r="O21" s="17">
        <f t="shared" si="2"/>
        <v>0</v>
      </c>
      <c r="P21" s="17" t="e">
        <f t="shared" si="3"/>
        <v>#DIV/0!</v>
      </c>
      <c r="Q21" s="17">
        <v>11.56</v>
      </c>
      <c r="R21" s="9">
        <v>20220722</v>
      </c>
      <c r="S21" s="9">
        <v>-1230.47</v>
      </c>
      <c r="T21" s="9">
        <v>-32.22</v>
      </c>
      <c r="V21" s="45" t="e">
        <f t="shared" si="4"/>
        <v>#DIV/0!</v>
      </c>
      <c r="W21" s="12">
        <v>-59.2</v>
      </c>
      <c r="X21" s="12">
        <v>0</v>
      </c>
      <c r="Y21" s="62"/>
    </row>
    <row r="22" spans="1:25" x14ac:dyDescent="0.2">
      <c r="A22" s="3" t="s">
        <v>2064</v>
      </c>
      <c r="B22" s="3" t="s">
        <v>2065</v>
      </c>
      <c r="C22" s="6" t="s">
        <v>356</v>
      </c>
      <c r="D22" s="6" t="s">
        <v>69</v>
      </c>
      <c r="E22" s="6" t="s">
        <v>163</v>
      </c>
      <c r="F22" s="6">
        <v>133245.53</v>
      </c>
      <c r="G22" s="2">
        <v>12</v>
      </c>
      <c r="H22" s="61"/>
      <c r="I22" s="61"/>
      <c r="J22" s="47">
        <f t="shared" si="0"/>
        <v>-1</v>
      </c>
      <c r="K22" s="47" t="e">
        <f t="shared" si="1"/>
        <v>#DIV/0!</v>
      </c>
      <c r="M22" s="8">
        <v>3.78</v>
      </c>
      <c r="O22" s="17">
        <f t="shared" si="2"/>
        <v>-3.78E-2</v>
      </c>
      <c r="P22" s="17" t="e">
        <f t="shared" si="3"/>
        <v>#DIV/0!</v>
      </c>
      <c r="Q22" s="17"/>
      <c r="R22" s="9">
        <v>20220602</v>
      </c>
      <c r="S22" s="9">
        <v>10.69</v>
      </c>
      <c r="T22" s="9">
        <v>9.64</v>
      </c>
      <c r="V22" s="45" t="e">
        <f t="shared" si="4"/>
        <v>#DIV/0!</v>
      </c>
      <c r="X22" s="12">
        <v>6.3</v>
      </c>
      <c r="Y22" s="62"/>
    </row>
    <row r="23" spans="1:25" x14ac:dyDescent="0.2">
      <c r="A23" s="3" t="s">
        <v>2333</v>
      </c>
      <c r="B23" s="3" t="s">
        <v>26</v>
      </c>
      <c r="C23" s="6" t="s">
        <v>355</v>
      </c>
      <c r="D23" s="6" t="s">
        <v>173</v>
      </c>
      <c r="E23" s="6" t="s">
        <v>163</v>
      </c>
      <c r="F23" s="6">
        <v>17681.919999999998</v>
      </c>
      <c r="G23" s="2">
        <v>12</v>
      </c>
      <c r="H23" s="61">
        <v>3.33</v>
      </c>
      <c r="I23" s="61">
        <v>4.32</v>
      </c>
      <c r="J23" s="47">
        <f t="shared" si="0"/>
        <v>-0.72250000000000003</v>
      </c>
      <c r="K23" s="47">
        <f t="shared" si="1"/>
        <v>0.29729729729729737</v>
      </c>
      <c r="L23" s="8">
        <v>5.15</v>
      </c>
      <c r="M23" s="8">
        <v>11.45</v>
      </c>
      <c r="N23" s="8">
        <v>10.91</v>
      </c>
      <c r="O23" s="17">
        <f t="shared" si="2"/>
        <v>-0.15847750865051902</v>
      </c>
      <c r="P23" s="17">
        <f t="shared" si="3"/>
        <v>0.36697272727272717</v>
      </c>
      <c r="Q23" s="17">
        <v>9.14</v>
      </c>
      <c r="R23" s="9">
        <v>20220727</v>
      </c>
      <c r="S23" s="9">
        <v>13.18</v>
      </c>
      <c r="T23" s="9">
        <v>16.309999999999999</v>
      </c>
      <c r="U23" s="9">
        <v>9527.8447199999991</v>
      </c>
      <c r="V23" s="45">
        <f t="shared" si="4"/>
        <v>-0.9982881752925965</v>
      </c>
      <c r="W23" s="12">
        <v>-2.65</v>
      </c>
      <c r="X23" s="12">
        <v>0</v>
      </c>
      <c r="Y23" s="62">
        <v>1.0900000000000001</v>
      </c>
    </row>
    <row r="24" spans="1:25" x14ac:dyDescent="0.2">
      <c r="A24" s="3" t="s">
        <v>2334</v>
      </c>
      <c r="B24" s="3" t="s">
        <v>444</v>
      </c>
      <c r="C24" s="6" t="s">
        <v>355</v>
      </c>
      <c r="D24" s="6" t="s">
        <v>190</v>
      </c>
      <c r="E24" s="6" t="s">
        <v>208</v>
      </c>
      <c r="F24" s="6">
        <v>6510.68</v>
      </c>
      <c r="G24" s="2">
        <v>12</v>
      </c>
      <c r="H24" s="61">
        <v>2.57</v>
      </c>
      <c r="I24" s="61">
        <v>3.08</v>
      </c>
      <c r="J24" s="47">
        <f t="shared" si="0"/>
        <v>-0.78583333333333327</v>
      </c>
      <c r="K24" s="47">
        <f t="shared" si="1"/>
        <v>0.19844357976653706</v>
      </c>
      <c r="L24" s="8">
        <v>3.34</v>
      </c>
      <c r="M24" s="8">
        <v>25.96</v>
      </c>
      <c r="N24" s="8">
        <v>23.33</v>
      </c>
      <c r="O24" s="17">
        <f t="shared" si="2"/>
        <v>-0.33034994697773068</v>
      </c>
      <c r="P24" s="17">
        <f t="shared" si="3"/>
        <v>1.1756490196078424</v>
      </c>
      <c r="Q24" s="17">
        <v>21.53</v>
      </c>
      <c r="R24" s="9">
        <v>20220801</v>
      </c>
      <c r="S24" s="9">
        <v>10.16</v>
      </c>
      <c r="T24" s="9">
        <v>-3.86</v>
      </c>
      <c r="U24" s="9">
        <v>2595.0900799999999</v>
      </c>
      <c r="V24" s="45">
        <f t="shared" si="4"/>
        <v>-1.0014874242823972</v>
      </c>
      <c r="W24" s="12">
        <v>6.35</v>
      </c>
      <c r="X24" s="12">
        <v>0</v>
      </c>
      <c r="Y24" s="62">
        <v>1.87</v>
      </c>
    </row>
    <row r="25" spans="1:25" x14ac:dyDescent="0.2">
      <c r="A25" s="3" t="s">
        <v>2335</v>
      </c>
      <c r="B25" s="3" t="s">
        <v>518</v>
      </c>
      <c r="C25" s="6" t="s">
        <v>354</v>
      </c>
      <c r="D25" s="6" t="s">
        <v>136</v>
      </c>
      <c r="E25" s="6" t="s">
        <v>154</v>
      </c>
      <c r="F25" s="6">
        <v>14130.53</v>
      </c>
      <c r="G25" s="2">
        <v>2</v>
      </c>
      <c r="H25" s="61">
        <v>2.97</v>
      </c>
      <c r="I25" s="61">
        <v>2.83</v>
      </c>
      <c r="J25" s="47">
        <f t="shared" si="0"/>
        <v>0.4850000000000001</v>
      </c>
      <c r="K25" s="47">
        <f t="shared" si="1"/>
        <v>-4.713804713804718E-2</v>
      </c>
      <c r="L25" s="8">
        <v>2.94</v>
      </c>
      <c r="M25" s="8">
        <v>9.85</v>
      </c>
      <c r="N25" s="8">
        <v>10.69</v>
      </c>
      <c r="O25" s="17">
        <f t="shared" si="2"/>
        <v>0.20309278350515461</v>
      </c>
      <c r="P25" s="17">
        <f t="shared" si="3"/>
        <v>-2.2678071428571407</v>
      </c>
      <c r="Q25" s="17">
        <v>10.28</v>
      </c>
      <c r="R25" s="9">
        <v>20220804</v>
      </c>
      <c r="S25" s="9">
        <v>79.209999999999994</v>
      </c>
      <c r="U25" s="9">
        <v>74276.617180000001</v>
      </c>
      <c r="V25" s="45">
        <f t="shared" si="4"/>
        <v>-1</v>
      </c>
      <c r="W25" s="12">
        <v>15.38</v>
      </c>
      <c r="X25" s="12">
        <v>1.59</v>
      </c>
      <c r="Y25" s="62">
        <v>1.75</v>
      </c>
    </row>
    <row r="26" spans="1:25" x14ac:dyDescent="0.2">
      <c r="A26" s="3" t="s">
        <v>2336</v>
      </c>
      <c r="B26" s="3" t="s">
        <v>2066</v>
      </c>
      <c r="C26" s="6" t="s">
        <v>355</v>
      </c>
      <c r="D26" s="6" t="s">
        <v>132</v>
      </c>
      <c r="E26" s="6" t="s">
        <v>119</v>
      </c>
      <c r="F26" s="6">
        <v>3007.41</v>
      </c>
      <c r="G26" s="2">
        <v>12</v>
      </c>
      <c r="H26" s="61"/>
      <c r="I26" s="61"/>
      <c r="J26" s="47">
        <f t="shared" si="0"/>
        <v>-1</v>
      </c>
      <c r="K26" s="47" t="e">
        <f t="shared" si="1"/>
        <v>#DIV/0!</v>
      </c>
      <c r="M26" s="8">
        <v>13.65</v>
      </c>
      <c r="O26" s="17">
        <f t="shared" si="2"/>
        <v>-0.13650000000000001</v>
      </c>
      <c r="P26" s="17" t="e">
        <f t="shared" si="3"/>
        <v>#DIV/0!</v>
      </c>
      <c r="Q26" s="17"/>
      <c r="R26" s="9">
        <v>20220804</v>
      </c>
      <c r="S26" s="9">
        <v>16.989999999999998</v>
      </c>
      <c r="T26" s="9">
        <v>8.25</v>
      </c>
      <c r="V26" s="45" t="e">
        <f t="shared" si="4"/>
        <v>#DIV/0!</v>
      </c>
      <c r="X26" s="12">
        <v>0</v>
      </c>
      <c r="Y26" s="62"/>
    </row>
    <row r="27" spans="1:25" x14ac:dyDescent="0.2">
      <c r="A27" s="3" t="s">
        <v>27</v>
      </c>
      <c r="B27" s="3" t="s">
        <v>28</v>
      </c>
      <c r="C27" s="6" t="s">
        <v>354</v>
      </c>
      <c r="D27" s="6" t="s">
        <v>145</v>
      </c>
      <c r="E27" s="6" t="s">
        <v>140</v>
      </c>
      <c r="F27" s="6">
        <v>9836.0400000000009</v>
      </c>
      <c r="G27" s="2">
        <v>9</v>
      </c>
      <c r="H27" s="61">
        <v>2.79</v>
      </c>
      <c r="I27" s="61">
        <v>3.43</v>
      </c>
      <c r="J27" s="47">
        <f t="shared" si="0"/>
        <v>-0.69</v>
      </c>
      <c r="K27" s="47">
        <f t="shared" si="1"/>
        <v>0.22939068100358428</v>
      </c>
      <c r="L27" s="8">
        <v>3.86</v>
      </c>
      <c r="M27" s="8">
        <v>21.35</v>
      </c>
      <c r="N27" s="8">
        <v>20.29</v>
      </c>
      <c r="O27" s="17">
        <f t="shared" si="2"/>
        <v>-0.30942028985507247</v>
      </c>
      <c r="P27" s="17">
        <f t="shared" si="3"/>
        <v>0.88451718749999975</v>
      </c>
      <c r="Q27" s="17">
        <v>18.05</v>
      </c>
      <c r="R27" s="9">
        <v>20220808</v>
      </c>
      <c r="S27" s="9">
        <v>17.350000000000001</v>
      </c>
      <c r="T27" s="9">
        <v>-9.66</v>
      </c>
      <c r="U27" s="9">
        <v>13468.299800000001</v>
      </c>
      <c r="V27" s="45">
        <f t="shared" si="4"/>
        <v>-1.0007172397513753</v>
      </c>
      <c r="W27" s="12">
        <v>6.41</v>
      </c>
      <c r="X27" s="12">
        <v>0.86</v>
      </c>
      <c r="Y27" s="62">
        <v>1.04</v>
      </c>
    </row>
    <row r="28" spans="1:25" x14ac:dyDescent="0.2">
      <c r="A28" s="3" t="s">
        <v>2337</v>
      </c>
      <c r="B28" s="3" t="s">
        <v>29</v>
      </c>
      <c r="C28" s="6" t="s">
        <v>354</v>
      </c>
      <c r="D28" s="6" t="s">
        <v>135</v>
      </c>
      <c r="E28" s="6" t="s">
        <v>108</v>
      </c>
      <c r="F28" s="6">
        <v>184814.88</v>
      </c>
      <c r="G28" s="2">
        <v>8</v>
      </c>
      <c r="H28" s="61">
        <v>8.7899999999999991</v>
      </c>
      <c r="I28" s="61">
        <v>10.8</v>
      </c>
      <c r="J28" s="47">
        <f t="shared" si="0"/>
        <v>9.8749999999999893E-2</v>
      </c>
      <c r="K28" s="47">
        <f t="shared" si="1"/>
        <v>0.22866894197952239</v>
      </c>
      <c r="L28" s="8">
        <v>11.99</v>
      </c>
      <c r="M28" s="8">
        <v>29.39</v>
      </c>
      <c r="N28" s="8">
        <v>27</v>
      </c>
      <c r="O28" s="17">
        <f t="shared" si="2"/>
        <v>2.9762025316455727</v>
      </c>
      <c r="P28" s="17">
        <f t="shared" si="3"/>
        <v>1.1807462686567154</v>
      </c>
      <c r="Q28" s="17">
        <v>24.31</v>
      </c>
      <c r="R28" s="9">
        <v>20220623</v>
      </c>
      <c r="S28" s="9">
        <v>31.16</v>
      </c>
      <c r="T28" s="9">
        <v>7.71</v>
      </c>
      <c r="U28" s="9">
        <v>62080.652340000001</v>
      </c>
      <c r="V28" s="45">
        <f t="shared" si="4"/>
        <v>-0.99987580671740084</v>
      </c>
      <c r="W28" s="12">
        <v>7.63</v>
      </c>
      <c r="X28" s="12">
        <v>1.33</v>
      </c>
      <c r="Y28" s="62">
        <v>2.7</v>
      </c>
    </row>
    <row r="29" spans="1:25" x14ac:dyDescent="0.2">
      <c r="A29" s="3" t="s">
        <v>2338</v>
      </c>
      <c r="B29" s="3" t="s">
        <v>2339</v>
      </c>
      <c r="C29" s="6" t="s">
        <v>355</v>
      </c>
      <c r="D29" s="6" t="s">
        <v>172</v>
      </c>
      <c r="E29" s="6" t="s">
        <v>163</v>
      </c>
      <c r="F29" s="6">
        <v>3971.72</v>
      </c>
      <c r="G29" s="2">
        <v>12</v>
      </c>
      <c r="H29" s="61">
        <v>3.27</v>
      </c>
      <c r="I29" s="61">
        <v>3.48</v>
      </c>
      <c r="J29" s="47">
        <f t="shared" si="0"/>
        <v>-0.72750000000000004</v>
      </c>
      <c r="K29" s="47">
        <f t="shared" si="1"/>
        <v>6.4220183486238522E-2</v>
      </c>
      <c r="L29" s="8">
        <v>3.43</v>
      </c>
      <c r="N29" s="8">
        <v>7</v>
      </c>
      <c r="O29" s="17">
        <f t="shared" si="2"/>
        <v>0</v>
      </c>
      <c r="P29" s="17">
        <f t="shared" si="3"/>
        <v>1.0900000000000003</v>
      </c>
      <c r="Q29" s="17">
        <v>7.1</v>
      </c>
      <c r="R29" s="9">
        <v>20220802</v>
      </c>
      <c r="S29" s="9">
        <v>11.08</v>
      </c>
      <c r="V29" s="45" t="e">
        <f t="shared" si="4"/>
        <v>#DIV/0!</v>
      </c>
      <c r="W29" s="12">
        <v>17.440000000000001</v>
      </c>
      <c r="X29" s="12">
        <v>2.2999999999999998</v>
      </c>
      <c r="Y29" s="62">
        <v>0.63</v>
      </c>
    </row>
    <row r="30" spans="1:25" x14ac:dyDescent="0.2">
      <c r="B30" s="3" t="s">
        <v>2067</v>
      </c>
      <c r="C30" s="6" t="s">
        <v>355</v>
      </c>
      <c r="D30" s="6" t="s">
        <v>519</v>
      </c>
      <c r="E30" s="6" t="s">
        <v>163</v>
      </c>
      <c r="F30" s="6">
        <v>17833.59</v>
      </c>
      <c r="G30" s="2">
        <v>12</v>
      </c>
      <c r="H30" s="61"/>
      <c r="I30" s="61"/>
      <c r="J30" s="47">
        <f t="shared" si="0"/>
        <v>-1</v>
      </c>
      <c r="K30" s="47" t="e">
        <f t="shared" si="1"/>
        <v>#DIV/0!</v>
      </c>
      <c r="O30" s="17">
        <f t="shared" si="2"/>
        <v>0</v>
      </c>
      <c r="P30" s="17" t="e">
        <f t="shared" si="3"/>
        <v>#DIV/0!</v>
      </c>
      <c r="Q30" s="17"/>
      <c r="V30" s="45" t="e">
        <f t="shared" si="4"/>
        <v>#DIV/0!</v>
      </c>
      <c r="X30" s="12">
        <v>1.92</v>
      </c>
      <c r="Y30" s="62"/>
    </row>
    <row r="31" spans="1:25" x14ac:dyDescent="0.2">
      <c r="A31" s="3" t="s">
        <v>2340</v>
      </c>
      <c r="B31" s="3" t="s">
        <v>30</v>
      </c>
      <c r="C31" s="6" t="s">
        <v>355</v>
      </c>
      <c r="D31" s="6" t="s">
        <v>132</v>
      </c>
      <c r="E31" s="6" t="s">
        <v>119</v>
      </c>
      <c r="F31" s="6">
        <v>193063.5</v>
      </c>
      <c r="G31" s="2">
        <v>11</v>
      </c>
      <c r="H31" s="61">
        <v>12.46</v>
      </c>
      <c r="I31" s="61">
        <v>13.58</v>
      </c>
      <c r="J31" s="47">
        <f t="shared" si="0"/>
        <v>0.1327272727272728</v>
      </c>
      <c r="K31" s="47">
        <f t="shared" si="1"/>
        <v>8.988764044943813E-2</v>
      </c>
      <c r="L31" s="8">
        <v>15.89</v>
      </c>
      <c r="M31" s="8">
        <v>32.15</v>
      </c>
      <c r="N31" s="8">
        <v>30.09</v>
      </c>
      <c r="O31" s="17">
        <f t="shared" si="2"/>
        <v>2.4222602739726011</v>
      </c>
      <c r="P31" s="17">
        <f t="shared" si="3"/>
        <v>3.3475125000000023</v>
      </c>
      <c r="Q31" s="17">
        <v>25.71</v>
      </c>
      <c r="R31" s="9">
        <v>20220616</v>
      </c>
      <c r="S31" s="9">
        <v>36.47</v>
      </c>
      <c r="T31" s="9">
        <v>21.07</v>
      </c>
      <c r="U31" s="9">
        <v>17822.822260000001</v>
      </c>
      <c r="V31" s="45">
        <f t="shared" si="4"/>
        <v>-0.99881780788179164</v>
      </c>
      <c r="W31" s="12">
        <v>0.9</v>
      </c>
      <c r="X31" s="12">
        <v>0</v>
      </c>
      <c r="Y31" s="62">
        <v>1.73</v>
      </c>
    </row>
    <row r="32" spans="1:25" x14ac:dyDescent="0.2">
      <c r="A32" s="3" t="s">
        <v>2341</v>
      </c>
      <c r="B32" s="3" t="s">
        <v>409</v>
      </c>
      <c r="C32" s="6" t="s">
        <v>354</v>
      </c>
      <c r="D32" s="6" t="s">
        <v>217</v>
      </c>
      <c r="E32" s="6" t="s">
        <v>163</v>
      </c>
      <c r="F32" s="6">
        <v>5138.93</v>
      </c>
      <c r="G32" s="2">
        <v>12</v>
      </c>
      <c r="H32" s="61">
        <v>3.58</v>
      </c>
      <c r="I32" s="61">
        <v>3.89</v>
      </c>
      <c r="J32" s="47">
        <f t="shared" si="0"/>
        <v>-0.70166666666666666</v>
      </c>
      <c r="K32" s="47">
        <f t="shared" si="1"/>
        <v>8.659217877094974E-2</v>
      </c>
      <c r="L32" s="8">
        <v>4.0599999999999996</v>
      </c>
      <c r="M32" s="8">
        <v>18.68</v>
      </c>
      <c r="N32" s="8">
        <v>17.579999999999998</v>
      </c>
      <c r="O32" s="17">
        <f t="shared" si="2"/>
        <v>-0.26622327790973871</v>
      </c>
      <c r="P32" s="17">
        <f t="shared" si="3"/>
        <v>2.0302064516129024</v>
      </c>
      <c r="Q32" s="17">
        <v>16.850000000000001</v>
      </c>
      <c r="R32" s="9">
        <v>20220725</v>
      </c>
      <c r="S32" s="9">
        <v>3.94</v>
      </c>
      <c r="T32" s="9">
        <v>30.06</v>
      </c>
      <c r="U32" s="9">
        <v>418.20800000000003</v>
      </c>
      <c r="V32" s="45">
        <f t="shared" si="4"/>
        <v>-0.92812189149896707</v>
      </c>
      <c r="W32" s="12">
        <v>3.19</v>
      </c>
      <c r="X32" s="12">
        <v>4.1100000000000003</v>
      </c>
      <c r="Y32" s="62">
        <v>2.48</v>
      </c>
    </row>
    <row r="33" spans="1:25" x14ac:dyDescent="0.2">
      <c r="A33" s="3" t="s">
        <v>2342</v>
      </c>
      <c r="B33" s="3" t="s">
        <v>31</v>
      </c>
      <c r="C33" s="6" t="s">
        <v>356</v>
      </c>
      <c r="D33" s="6" t="s">
        <v>230</v>
      </c>
      <c r="E33" s="6" t="s">
        <v>146</v>
      </c>
      <c r="F33" s="6">
        <v>36996.230000000003</v>
      </c>
      <c r="G33" s="2">
        <v>12</v>
      </c>
      <c r="H33" s="61">
        <v>3.96</v>
      </c>
      <c r="I33" s="61">
        <v>4.75</v>
      </c>
      <c r="J33" s="47">
        <f t="shared" si="0"/>
        <v>-0.66999999999999993</v>
      </c>
      <c r="K33" s="47">
        <f t="shared" si="1"/>
        <v>0.1994949494949495</v>
      </c>
      <c r="L33" s="8">
        <v>5.77</v>
      </c>
      <c r="M33" s="8">
        <v>25.09</v>
      </c>
      <c r="N33" s="8">
        <v>19.97</v>
      </c>
      <c r="O33" s="17">
        <f t="shared" si="2"/>
        <v>-0.37447761194029849</v>
      </c>
      <c r="P33" s="17">
        <f t="shared" si="3"/>
        <v>1.0010278481012655</v>
      </c>
      <c r="Q33" s="17">
        <v>16.43</v>
      </c>
      <c r="R33" s="9">
        <v>20220804</v>
      </c>
      <c r="S33" s="9">
        <v>16.5</v>
      </c>
      <c r="T33" s="9">
        <v>0.24</v>
      </c>
      <c r="U33" s="9">
        <v>25513.738280000001</v>
      </c>
      <c r="V33" s="45">
        <f t="shared" si="4"/>
        <v>-0.99999059330320916</v>
      </c>
      <c r="W33" s="12">
        <v>16.88</v>
      </c>
      <c r="X33" s="12">
        <v>1.3</v>
      </c>
      <c r="Y33" s="62">
        <v>1.04</v>
      </c>
    </row>
    <row r="34" spans="1:25" x14ac:dyDescent="0.2">
      <c r="A34" s="3" t="s">
        <v>2343</v>
      </c>
      <c r="B34" s="3" t="s">
        <v>32</v>
      </c>
      <c r="C34" s="6" t="s">
        <v>355</v>
      </c>
      <c r="D34" s="6" t="s">
        <v>227</v>
      </c>
      <c r="E34" s="6" t="s">
        <v>119</v>
      </c>
      <c r="F34" s="6">
        <v>85248.19</v>
      </c>
      <c r="G34" s="2">
        <v>10</v>
      </c>
      <c r="H34" s="61">
        <v>6.41</v>
      </c>
      <c r="I34" s="61">
        <v>9.24</v>
      </c>
      <c r="J34" s="47">
        <f t="shared" si="0"/>
        <v>-0.35899999999999999</v>
      </c>
      <c r="K34" s="47">
        <f t="shared" si="1"/>
        <v>0.44149765990639628</v>
      </c>
      <c r="L34" s="8">
        <v>10.1</v>
      </c>
      <c r="M34" s="8">
        <v>21.05</v>
      </c>
      <c r="N34" s="8">
        <v>17.75</v>
      </c>
      <c r="O34" s="17">
        <f t="shared" si="2"/>
        <v>-0.58635097493036215</v>
      </c>
      <c r="P34" s="17">
        <f t="shared" si="3"/>
        <v>0.40204063604240281</v>
      </c>
      <c r="Q34" s="17">
        <v>16.239999999999998</v>
      </c>
      <c r="R34" s="9">
        <v>20220817</v>
      </c>
      <c r="S34" s="9">
        <v>12.11</v>
      </c>
      <c r="T34" s="9">
        <v>8.06</v>
      </c>
      <c r="U34" s="9">
        <v>11823.79394</v>
      </c>
      <c r="V34" s="45">
        <f t="shared" si="4"/>
        <v>-0.99931832370887885</v>
      </c>
      <c r="W34" s="12">
        <v>13.21</v>
      </c>
      <c r="X34" s="12">
        <v>1.85</v>
      </c>
      <c r="Y34" s="62">
        <v>1.45</v>
      </c>
    </row>
    <row r="35" spans="1:25" x14ac:dyDescent="0.2">
      <c r="A35" s="3" t="s">
        <v>2344</v>
      </c>
      <c r="B35" s="3" t="s">
        <v>33</v>
      </c>
      <c r="C35" s="6" t="s">
        <v>354</v>
      </c>
      <c r="D35" s="6" t="s">
        <v>290</v>
      </c>
      <c r="E35" s="6" t="s">
        <v>154</v>
      </c>
      <c r="F35" s="6">
        <v>49692.72</v>
      </c>
      <c r="G35" s="2">
        <v>12</v>
      </c>
      <c r="H35" s="61">
        <v>4.99</v>
      </c>
      <c r="I35" s="61">
        <v>6.32</v>
      </c>
      <c r="J35" s="47">
        <f t="shared" si="0"/>
        <v>-0.58416666666666661</v>
      </c>
      <c r="K35" s="47">
        <f t="shared" si="1"/>
        <v>0.26653306613226452</v>
      </c>
      <c r="L35" s="8">
        <v>5.98</v>
      </c>
      <c r="M35" s="8">
        <v>15.49</v>
      </c>
      <c r="N35" s="8">
        <v>13.97</v>
      </c>
      <c r="O35" s="17">
        <f t="shared" si="2"/>
        <v>-0.26516405135520688</v>
      </c>
      <c r="P35" s="17">
        <f t="shared" si="3"/>
        <v>0.5241375939849624</v>
      </c>
      <c r="Q35" s="17">
        <v>14.77</v>
      </c>
      <c r="R35" s="9">
        <v>20220726</v>
      </c>
      <c r="S35" s="9">
        <v>14.4</v>
      </c>
      <c r="T35" s="9">
        <v>6.21</v>
      </c>
      <c r="U35" s="9">
        <v>93838.148430000001</v>
      </c>
      <c r="V35" s="45">
        <f t="shared" si="4"/>
        <v>-0.9999338222236489</v>
      </c>
      <c r="W35" s="12">
        <v>40.74</v>
      </c>
      <c r="X35" s="12">
        <v>1.81</v>
      </c>
      <c r="Y35" s="62">
        <v>2.19</v>
      </c>
    </row>
    <row r="36" spans="1:25" x14ac:dyDescent="0.2">
      <c r="A36" s="3" t="s">
        <v>2345</v>
      </c>
      <c r="B36" s="3" t="s">
        <v>463</v>
      </c>
      <c r="C36" s="6" t="s">
        <v>354</v>
      </c>
      <c r="D36" s="6" t="s">
        <v>54</v>
      </c>
      <c r="E36" s="6" t="s">
        <v>35</v>
      </c>
      <c r="F36" s="6">
        <v>3194.2</v>
      </c>
      <c r="G36" s="2">
        <v>9</v>
      </c>
      <c r="H36" s="61">
        <v>1.71</v>
      </c>
      <c r="I36" s="61">
        <v>0.42</v>
      </c>
      <c r="J36" s="47">
        <f t="shared" si="0"/>
        <v>-0.81</v>
      </c>
      <c r="K36" s="47">
        <f t="shared" si="1"/>
        <v>-0.75438596491228072</v>
      </c>
      <c r="L36" s="8">
        <v>3.61</v>
      </c>
      <c r="N36" s="8">
        <v>79.739999999999995</v>
      </c>
      <c r="O36" s="17">
        <f t="shared" si="2"/>
        <v>0</v>
      </c>
      <c r="P36" s="17">
        <f t="shared" si="3"/>
        <v>-1.0570186046511627</v>
      </c>
      <c r="Q36" s="17">
        <v>9.33</v>
      </c>
      <c r="R36" s="9">
        <v>20220804</v>
      </c>
      <c r="S36" s="9">
        <v>-4.92</v>
      </c>
      <c r="T36" s="9">
        <v>-6.45</v>
      </c>
      <c r="U36" s="9">
        <v>14222.20312</v>
      </c>
      <c r="V36" s="45">
        <f t="shared" si="4"/>
        <v>-1.000453516234129</v>
      </c>
      <c r="W36" s="12">
        <v>-750</v>
      </c>
      <c r="X36" s="12">
        <v>0</v>
      </c>
      <c r="Y36" s="62">
        <v>2.25</v>
      </c>
    </row>
    <row r="37" spans="1:25" x14ac:dyDescent="0.2">
      <c r="A37" s="3" t="s">
        <v>2346</v>
      </c>
      <c r="B37" s="3" t="s">
        <v>34</v>
      </c>
      <c r="C37" s="6" t="s">
        <v>355</v>
      </c>
      <c r="D37" s="6" t="s">
        <v>210</v>
      </c>
      <c r="E37" s="6" t="s">
        <v>108</v>
      </c>
      <c r="F37" s="6">
        <v>91185.85</v>
      </c>
      <c r="G37" s="2">
        <v>6</v>
      </c>
      <c r="H37" s="61">
        <v>5.95</v>
      </c>
      <c r="I37" s="61">
        <v>6.97</v>
      </c>
      <c r="J37" s="47">
        <f t="shared" si="0"/>
        <v>-8.3333333333333037E-3</v>
      </c>
      <c r="K37" s="47">
        <f t="shared" si="1"/>
        <v>0.17142857142857135</v>
      </c>
      <c r="L37" s="8">
        <v>7.75</v>
      </c>
      <c r="M37" s="8">
        <v>32.53</v>
      </c>
      <c r="N37" s="8">
        <v>31.32</v>
      </c>
      <c r="O37" s="17">
        <f t="shared" si="2"/>
        <v>-39.036000000000143</v>
      </c>
      <c r="P37" s="17">
        <f t="shared" si="3"/>
        <v>1.8270000000000008</v>
      </c>
      <c r="Q37" s="17">
        <v>28.17</v>
      </c>
      <c r="R37" s="9">
        <v>20220727</v>
      </c>
      <c r="S37" s="9">
        <v>56.01</v>
      </c>
      <c r="T37" s="9">
        <v>4.8499999999999996</v>
      </c>
      <c r="U37" s="9">
        <v>16425.664059999999</v>
      </c>
      <c r="V37" s="45">
        <f t="shared" si="4"/>
        <v>-0.9997047303547496</v>
      </c>
      <c r="W37" s="12">
        <v>6.76</v>
      </c>
      <c r="X37" s="12">
        <v>1.91</v>
      </c>
      <c r="Y37" s="62">
        <v>2.61</v>
      </c>
    </row>
    <row r="38" spans="1:25" x14ac:dyDescent="0.2">
      <c r="A38" s="3" t="s">
        <v>2347</v>
      </c>
      <c r="B38" s="3" t="s">
        <v>1837</v>
      </c>
      <c r="C38" s="6" t="s">
        <v>356</v>
      </c>
      <c r="D38" s="6" t="s">
        <v>136</v>
      </c>
      <c r="E38" s="6" t="s">
        <v>154</v>
      </c>
      <c r="F38" s="6">
        <v>28657.360000000001</v>
      </c>
      <c r="G38" s="2">
        <v>12</v>
      </c>
      <c r="H38" s="61">
        <v>2.42</v>
      </c>
      <c r="I38" s="61">
        <v>2.37</v>
      </c>
      <c r="J38" s="47">
        <f t="shared" si="0"/>
        <v>-0.79833333333333334</v>
      </c>
      <c r="K38" s="47">
        <f t="shared" si="1"/>
        <v>-2.0661157024793316E-2</v>
      </c>
      <c r="L38" s="8">
        <v>2.46</v>
      </c>
      <c r="M38" s="8">
        <v>10.73</v>
      </c>
      <c r="N38" s="8">
        <v>11.53</v>
      </c>
      <c r="O38" s="17">
        <f t="shared" si="2"/>
        <v>-0.13440501043841338</v>
      </c>
      <c r="P38" s="17">
        <f t="shared" si="3"/>
        <v>-5.5805200000000195</v>
      </c>
      <c r="Q38" s="17">
        <v>11.13</v>
      </c>
      <c r="R38" s="9">
        <v>20220810</v>
      </c>
      <c r="S38" s="9">
        <v>16.600000000000001</v>
      </c>
      <c r="T38" s="9">
        <v>6.4</v>
      </c>
      <c r="U38" s="9">
        <v>86102.359370000006</v>
      </c>
      <c r="V38" s="45">
        <f t="shared" si="4"/>
        <v>-0.99992566986495113</v>
      </c>
      <c r="W38" s="12">
        <v>0</v>
      </c>
      <c r="X38" s="12">
        <v>3.37</v>
      </c>
      <c r="Y38" s="62">
        <v>1.9</v>
      </c>
    </row>
    <row r="39" spans="1:25" x14ac:dyDescent="0.2">
      <c r="A39" s="3" t="s">
        <v>2348</v>
      </c>
      <c r="B39" s="3" t="s">
        <v>36</v>
      </c>
      <c r="C39" s="6" t="s">
        <v>355</v>
      </c>
      <c r="D39" s="6" t="s">
        <v>132</v>
      </c>
      <c r="E39" s="6" t="s">
        <v>119</v>
      </c>
      <c r="F39" s="6">
        <v>41733.050000000003</v>
      </c>
      <c r="G39" s="2">
        <v>1</v>
      </c>
      <c r="H39" s="61">
        <v>5.01</v>
      </c>
      <c r="I39" s="61">
        <v>6.68</v>
      </c>
      <c r="J39" s="47">
        <f t="shared" si="0"/>
        <v>4.01</v>
      </c>
      <c r="K39" s="47">
        <f t="shared" si="1"/>
        <v>0.33333333333333331</v>
      </c>
      <c r="L39" s="8">
        <v>8.24</v>
      </c>
      <c r="M39" s="8">
        <v>35.03</v>
      </c>
      <c r="N39" s="8">
        <v>28.7</v>
      </c>
      <c r="O39" s="17">
        <f t="shared" si="2"/>
        <v>8.7356608478803E-2</v>
      </c>
      <c r="P39" s="17">
        <f t="shared" si="3"/>
        <v>0.8610000000000001</v>
      </c>
      <c r="Q39" s="17">
        <v>23.25</v>
      </c>
      <c r="R39" s="9">
        <v>20220824</v>
      </c>
      <c r="S39" s="9">
        <v>61.41</v>
      </c>
      <c r="T39" s="9">
        <v>20.65</v>
      </c>
      <c r="U39" s="9">
        <v>5064.5639600000004</v>
      </c>
      <c r="V39" s="45">
        <f t="shared" si="4"/>
        <v>-0.99592264997281232</v>
      </c>
      <c r="W39" s="12">
        <v>7.52</v>
      </c>
      <c r="X39" s="12">
        <v>0</v>
      </c>
      <c r="Y39" s="62"/>
    </row>
    <row r="40" spans="1:25" x14ac:dyDescent="0.2">
      <c r="A40" s="3" t="s">
        <v>395</v>
      </c>
      <c r="B40" s="3" t="s">
        <v>395</v>
      </c>
      <c r="C40" s="6" t="s">
        <v>354</v>
      </c>
      <c r="D40" s="6" t="s">
        <v>226</v>
      </c>
      <c r="E40" s="6" t="s">
        <v>201</v>
      </c>
      <c r="F40" s="6">
        <v>6661.44</v>
      </c>
      <c r="G40" s="2">
        <v>12</v>
      </c>
      <c r="H40" s="61">
        <v>0.33</v>
      </c>
      <c r="I40" s="61">
        <v>0.16</v>
      </c>
      <c r="J40" s="47">
        <f t="shared" si="0"/>
        <v>-0.97250000000000003</v>
      </c>
      <c r="K40" s="47">
        <f t="shared" si="1"/>
        <v>-0.51515151515151514</v>
      </c>
      <c r="L40" s="8">
        <v>0.27</v>
      </c>
      <c r="N40" s="8">
        <v>45.94</v>
      </c>
      <c r="O40" s="17">
        <f t="shared" si="2"/>
        <v>0</v>
      </c>
      <c r="P40" s="17">
        <f t="shared" si="3"/>
        <v>-0.89177647058823528</v>
      </c>
      <c r="Q40" s="17">
        <v>27.22</v>
      </c>
      <c r="R40" s="9">
        <v>20220803</v>
      </c>
      <c r="S40" s="9">
        <v>-5.18</v>
      </c>
      <c r="T40" s="9">
        <v>5.81</v>
      </c>
      <c r="U40" s="9">
        <v>6237.6000899999999</v>
      </c>
      <c r="V40" s="45">
        <f t="shared" si="4"/>
        <v>-0.99906855202062173</v>
      </c>
      <c r="W40" s="12">
        <v>-108.33</v>
      </c>
      <c r="X40" s="12">
        <v>1.9</v>
      </c>
      <c r="Y40" s="62"/>
    </row>
    <row r="41" spans="1:25" x14ac:dyDescent="0.2">
      <c r="A41" s="3" t="s">
        <v>2349</v>
      </c>
      <c r="B41" s="3" t="s">
        <v>2350</v>
      </c>
      <c r="C41" s="6" t="s">
        <v>356</v>
      </c>
      <c r="D41" s="6" t="s">
        <v>153</v>
      </c>
      <c r="E41" s="6" t="s">
        <v>108</v>
      </c>
      <c r="F41" s="6">
        <v>48731.07</v>
      </c>
      <c r="G41" s="2">
        <v>12</v>
      </c>
      <c r="H41" s="61">
        <v>0.18</v>
      </c>
      <c r="I41" s="61">
        <v>0.26</v>
      </c>
      <c r="J41" s="47">
        <f t="shared" si="0"/>
        <v>-0.98499999999999999</v>
      </c>
      <c r="K41" s="47">
        <f t="shared" si="1"/>
        <v>0.44444444444444453</v>
      </c>
      <c r="L41" s="8">
        <v>0.32</v>
      </c>
      <c r="N41" s="8">
        <v>60.52</v>
      </c>
      <c r="O41" s="17">
        <f t="shared" si="2"/>
        <v>0</v>
      </c>
      <c r="P41" s="17">
        <f t="shared" si="3"/>
        <v>1.3616999999999999</v>
      </c>
      <c r="Q41" s="17">
        <v>49.56</v>
      </c>
      <c r="R41" s="9">
        <v>20220608</v>
      </c>
      <c r="U41" s="9">
        <v>1554.932</v>
      </c>
      <c r="V41" s="45">
        <f t="shared" si="4"/>
        <v>-1</v>
      </c>
      <c r="X41" s="12">
        <v>0</v>
      </c>
      <c r="Y41" s="62">
        <v>1.87</v>
      </c>
    </row>
    <row r="42" spans="1:25" x14ac:dyDescent="0.2">
      <c r="A42" s="3" t="s">
        <v>2351</v>
      </c>
      <c r="B42" s="3" t="s">
        <v>37</v>
      </c>
      <c r="C42" s="6" t="s">
        <v>354</v>
      </c>
      <c r="D42" s="6" t="s">
        <v>246</v>
      </c>
      <c r="E42" s="6" t="s">
        <v>250</v>
      </c>
      <c r="F42" s="6">
        <v>24756.18</v>
      </c>
      <c r="G42" s="2">
        <v>12</v>
      </c>
      <c r="H42" s="61">
        <v>3.86</v>
      </c>
      <c r="I42" s="61">
        <v>4.07</v>
      </c>
      <c r="J42" s="47">
        <f t="shared" si="0"/>
        <v>-0.67833333333333334</v>
      </c>
      <c r="K42" s="47">
        <f t="shared" si="1"/>
        <v>5.4404145077720317E-2</v>
      </c>
      <c r="L42" s="8">
        <v>4.3600000000000003</v>
      </c>
      <c r="M42" s="8">
        <v>24.58</v>
      </c>
      <c r="N42" s="8">
        <v>23.56</v>
      </c>
      <c r="O42" s="17">
        <f t="shared" si="2"/>
        <v>-0.36235872235872235</v>
      </c>
      <c r="P42" s="17">
        <f t="shared" si="3"/>
        <v>4.3305523809523718</v>
      </c>
      <c r="Q42" s="17">
        <v>21.98</v>
      </c>
      <c r="R42" s="9">
        <v>20220804</v>
      </c>
      <c r="S42" s="9">
        <v>10.33</v>
      </c>
      <c r="T42" s="9">
        <v>-0.3</v>
      </c>
      <c r="U42" s="9">
        <v>6737.3740200000002</v>
      </c>
      <c r="V42" s="45">
        <f t="shared" si="4"/>
        <v>-1.000044527734264</v>
      </c>
      <c r="W42" s="12">
        <v>1.04</v>
      </c>
      <c r="X42" s="12">
        <v>2.46</v>
      </c>
      <c r="Y42" s="62">
        <v>3.27</v>
      </c>
    </row>
    <row r="43" spans="1:25" x14ac:dyDescent="0.2">
      <c r="A43" s="3" t="s">
        <v>2352</v>
      </c>
      <c r="B43" s="3" t="s">
        <v>2353</v>
      </c>
      <c r="C43" s="6" t="s">
        <v>354</v>
      </c>
      <c r="D43" s="6" t="s">
        <v>172</v>
      </c>
      <c r="E43" s="6" t="s">
        <v>163</v>
      </c>
      <c r="F43" s="6">
        <v>14499.33</v>
      </c>
      <c r="G43" s="2">
        <v>12</v>
      </c>
      <c r="H43" s="61">
        <v>0.7</v>
      </c>
      <c r="I43" s="61">
        <v>0.72</v>
      </c>
      <c r="J43" s="47">
        <f t="shared" si="0"/>
        <v>-0.94166666666666676</v>
      </c>
      <c r="K43" s="47">
        <f t="shared" si="1"/>
        <v>2.8571428571428598E-2</v>
      </c>
      <c r="L43" s="8">
        <v>0.8</v>
      </c>
      <c r="N43" s="8">
        <v>7.53</v>
      </c>
      <c r="O43" s="17">
        <f t="shared" si="2"/>
        <v>0</v>
      </c>
      <c r="P43" s="17">
        <f t="shared" si="3"/>
        <v>2.6354999999999977</v>
      </c>
      <c r="Q43" s="17">
        <v>6.78</v>
      </c>
      <c r="R43" s="9">
        <v>20220811</v>
      </c>
      <c r="S43" s="9">
        <v>7.33</v>
      </c>
      <c r="V43" s="45" t="e">
        <f t="shared" si="4"/>
        <v>#DIV/0!</v>
      </c>
      <c r="W43" s="12">
        <v>-63.41</v>
      </c>
      <c r="X43" s="12">
        <v>2.61</v>
      </c>
      <c r="Y43" s="62">
        <v>4.5599999999999996</v>
      </c>
    </row>
    <row r="44" spans="1:25" x14ac:dyDescent="0.2">
      <c r="A44" s="3" t="s">
        <v>2354</v>
      </c>
      <c r="B44" s="3" t="s">
        <v>1927</v>
      </c>
      <c r="C44" s="6" t="s">
        <v>354</v>
      </c>
      <c r="D44" s="6" t="s">
        <v>170</v>
      </c>
      <c r="E44" s="6" t="s">
        <v>163</v>
      </c>
      <c r="F44" s="6">
        <v>3759.74</v>
      </c>
      <c r="G44" s="2">
        <v>12</v>
      </c>
      <c r="H44" s="61">
        <v>3.31</v>
      </c>
      <c r="I44" s="61">
        <v>4.0599999999999996</v>
      </c>
      <c r="J44" s="47">
        <f t="shared" si="0"/>
        <v>-0.72416666666666663</v>
      </c>
      <c r="K44" s="47">
        <f t="shared" si="1"/>
        <v>0.22658610271903309</v>
      </c>
      <c r="L44" s="8">
        <v>5.08</v>
      </c>
      <c r="M44" s="8">
        <v>9.18</v>
      </c>
      <c r="N44" s="8">
        <v>9.94</v>
      </c>
      <c r="O44" s="17">
        <f t="shared" si="2"/>
        <v>-0.12676639815880322</v>
      </c>
      <c r="P44" s="17">
        <f t="shared" si="3"/>
        <v>0.43868533333333359</v>
      </c>
      <c r="Q44" s="17">
        <v>7.95</v>
      </c>
      <c r="R44" s="9">
        <v>20220804</v>
      </c>
      <c r="S44" s="9">
        <v>7.26</v>
      </c>
      <c r="T44" s="9">
        <v>2</v>
      </c>
      <c r="U44" s="9">
        <v>2237.96801</v>
      </c>
      <c r="V44" s="45">
        <f t="shared" si="4"/>
        <v>-0.99910633217674993</v>
      </c>
      <c r="W44" s="12">
        <v>-3.16</v>
      </c>
      <c r="X44" s="12">
        <v>0.84</v>
      </c>
      <c r="Y44" s="62"/>
    </row>
    <row r="45" spans="1:25" x14ac:dyDescent="0.2">
      <c r="A45" s="3" t="s">
        <v>2355</v>
      </c>
      <c r="B45" s="3" t="s">
        <v>38</v>
      </c>
      <c r="C45" s="6" t="s">
        <v>354</v>
      </c>
      <c r="D45" s="6" t="s">
        <v>196</v>
      </c>
      <c r="E45" s="6" t="s">
        <v>60</v>
      </c>
      <c r="F45" s="6">
        <v>13166.17</v>
      </c>
      <c r="G45" s="2">
        <v>12</v>
      </c>
      <c r="H45" s="61">
        <v>2.5299999999999998</v>
      </c>
      <c r="I45" s="61">
        <v>2.31</v>
      </c>
      <c r="J45" s="47">
        <f t="shared" si="0"/>
        <v>-0.78916666666666668</v>
      </c>
      <c r="K45" s="47">
        <f t="shared" si="1"/>
        <v>-8.6956521739130349E-2</v>
      </c>
      <c r="L45" s="8">
        <v>2.52</v>
      </c>
      <c r="M45" s="8">
        <v>22.82</v>
      </c>
      <c r="N45" s="8">
        <v>23.18</v>
      </c>
      <c r="O45" s="17">
        <f t="shared" si="2"/>
        <v>-0.28916578669482573</v>
      </c>
      <c r="P45" s="17">
        <f t="shared" si="3"/>
        <v>-2.6657000000000028</v>
      </c>
      <c r="Q45" s="17">
        <v>21.32</v>
      </c>
      <c r="R45" s="9">
        <v>20220727</v>
      </c>
      <c r="S45" s="9">
        <v>7.76</v>
      </c>
      <c r="T45" s="9">
        <v>15.52</v>
      </c>
      <c r="U45" s="9">
        <v>6105.25</v>
      </c>
      <c r="V45" s="45">
        <f t="shared" si="4"/>
        <v>-0.99745792555587398</v>
      </c>
      <c r="W45" s="12">
        <v>69.44</v>
      </c>
      <c r="X45" s="12">
        <v>2.98</v>
      </c>
      <c r="Y45" s="62">
        <v>23.18</v>
      </c>
    </row>
    <row r="46" spans="1:25" x14ac:dyDescent="0.2">
      <c r="A46" s="3" t="s">
        <v>2356</v>
      </c>
      <c r="B46" s="3" t="s">
        <v>39</v>
      </c>
      <c r="C46" s="6" t="s">
        <v>355</v>
      </c>
      <c r="D46" s="6" t="s">
        <v>246</v>
      </c>
      <c r="E46" s="6" t="s">
        <v>250</v>
      </c>
      <c r="F46" s="6">
        <v>52679.360000000001</v>
      </c>
      <c r="G46" s="2">
        <v>12</v>
      </c>
      <c r="H46" s="61">
        <v>4.7</v>
      </c>
      <c r="I46" s="61">
        <v>5.01</v>
      </c>
      <c r="J46" s="47">
        <f t="shared" si="0"/>
        <v>-0.60833333333333328</v>
      </c>
      <c r="K46" s="47">
        <f t="shared" si="1"/>
        <v>6.5957446808510553E-2</v>
      </c>
      <c r="L46" s="8">
        <v>5.3</v>
      </c>
      <c r="M46" s="8">
        <v>21.33</v>
      </c>
      <c r="N46" s="8">
        <v>20.46</v>
      </c>
      <c r="O46" s="17">
        <f t="shared" si="2"/>
        <v>-0.35063013698630136</v>
      </c>
      <c r="P46" s="17">
        <f t="shared" si="3"/>
        <v>3.1020000000000043</v>
      </c>
      <c r="Q46" s="17">
        <v>19.34</v>
      </c>
      <c r="R46" s="9">
        <v>20220728</v>
      </c>
      <c r="S46" s="9">
        <v>10.65</v>
      </c>
      <c r="T46" s="9">
        <v>0.55000000000000004</v>
      </c>
      <c r="U46" s="9">
        <v>18159.529289999999</v>
      </c>
      <c r="V46" s="45">
        <f t="shared" si="4"/>
        <v>-0.99996971287134062</v>
      </c>
      <c r="W46" s="12">
        <v>2.52</v>
      </c>
      <c r="X46" s="12">
        <v>3.04</v>
      </c>
      <c r="Y46" s="62">
        <v>3.3</v>
      </c>
    </row>
    <row r="47" spans="1:25" x14ac:dyDescent="0.2">
      <c r="A47" s="3" t="s">
        <v>2357</v>
      </c>
      <c r="B47" s="3" t="s">
        <v>396</v>
      </c>
      <c r="C47" s="6" t="s">
        <v>354</v>
      </c>
      <c r="D47" s="6" t="s">
        <v>397</v>
      </c>
      <c r="E47" s="6" t="s">
        <v>163</v>
      </c>
      <c r="F47" s="6">
        <v>11720.09</v>
      </c>
      <c r="G47" s="2">
        <v>12</v>
      </c>
      <c r="H47" s="61">
        <v>9.3000000000000007</v>
      </c>
      <c r="I47" s="61">
        <v>6.77</v>
      </c>
      <c r="J47" s="47">
        <f t="shared" si="0"/>
        <v>-0.22499999999999995</v>
      </c>
      <c r="K47" s="47">
        <f t="shared" si="1"/>
        <v>-0.27204301075268827</v>
      </c>
      <c r="L47" s="8">
        <v>7.97</v>
      </c>
      <c r="M47" s="8">
        <v>4.92</v>
      </c>
      <c r="N47" s="8">
        <v>7.05</v>
      </c>
      <c r="O47" s="17">
        <f t="shared" si="2"/>
        <v>-0.2186666666666667</v>
      </c>
      <c r="P47" s="17">
        <f t="shared" si="3"/>
        <v>-0.25915019762845842</v>
      </c>
      <c r="Q47" s="17">
        <v>5.99</v>
      </c>
      <c r="R47" s="9">
        <v>20220804</v>
      </c>
      <c r="S47" s="9">
        <v>12.47</v>
      </c>
      <c r="T47" s="9">
        <v>-0.41</v>
      </c>
      <c r="U47" s="9">
        <v>7017.125</v>
      </c>
      <c r="V47" s="45">
        <f t="shared" si="4"/>
        <v>-1.0000584284874503</v>
      </c>
      <c r="W47" s="12">
        <v>60.43</v>
      </c>
      <c r="X47" s="12">
        <v>0</v>
      </c>
      <c r="Y47" s="62">
        <v>0.38</v>
      </c>
    </row>
    <row r="48" spans="1:25" x14ac:dyDescent="0.2">
      <c r="A48" s="3" t="s">
        <v>40</v>
      </c>
      <c r="B48" s="3" t="s">
        <v>40</v>
      </c>
      <c r="C48" s="6" t="s">
        <v>354</v>
      </c>
      <c r="D48" s="6" t="s">
        <v>246</v>
      </c>
      <c r="E48" s="6" t="s">
        <v>250</v>
      </c>
      <c r="F48" s="6">
        <v>14692.91</v>
      </c>
      <c r="G48" s="2">
        <v>12</v>
      </c>
      <c r="H48" s="61">
        <v>1.51</v>
      </c>
      <c r="I48" s="61">
        <v>1.61</v>
      </c>
      <c r="J48" s="47">
        <f t="shared" si="0"/>
        <v>-0.87416666666666665</v>
      </c>
      <c r="K48" s="47">
        <f t="shared" si="1"/>
        <v>6.6225165562913968E-2</v>
      </c>
      <c r="L48" s="8">
        <v>1.78</v>
      </c>
      <c r="M48" s="8">
        <v>14.97</v>
      </c>
      <c r="N48" s="8">
        <v>13.66</v>
      </c>
      <c r="O48" s="17">
        <f t="shared" si="2"/>
        <v>-0.17124880838894185</v>
      </c>
      <c r="P48" s="17">
        <f t="shared" si="3"/>
        <v>2.0626599999999979</v>
      </c>
      <c r="Q48" s="17">
        <v>12.36</v>
      </c>
      <c r="R48" s="9">
        <v>20220803</v>
      </c>
      <c r="S48" s="9">
        <v>33.020000000000003</v>
      </c>
      <c r="T48" s="9">
        <v>-5.12</v>
      </c>
      <c r="U48" s="9">
        <v>11318.855460000001</v>
      </c>
      <c r="V48" s="45">
        <f t="shared" si="4"/>
        <v>-1.0004523425551368</v>
      </c>
      <c r="W48" s="12">
        <v>-8.6999999999999993</v>
      </c>
      <c r="X48" s="12">
        <v>2.87</v>
      </c>
      <c r="Y48" s="62">
        <v>1.92</v>
      </c>
    </row>
    <row r="49" spans="1:25" x14ac:dyDescent="0.2">
      <c r="A49" s="3" t="s">
        <v>2358</v>
      </c>
      <c r="B49" s="3" t="s">
        <v>2359</v>
      </c>
      <c r="C49" s="6" t="s">
        <v>356</v>
      </c>
      <c r="D49" s="6" t="s">
        <v>684</v>
      </c>
      <c r="E49" s="6" t="s">
        <v>218</v>
      </c>
      <c r="F49" s="6">
        <v>9993.7199999999993</v>
      </c>
      <c r="G49" s="2">
        <v>12</v>
      </c>
      <c r="H49" s="61"/>
      <c r="I49" s="61"/>
      <c r="J49" s="47">
        <f t="shared" si="0"/>
        <v>-1</v>
      </c>
      <c r="K49" s="47" t="e">
        <f t="shared" si="1"/>
        <v>#DIV/0!</v>
      </c>
      <c r="M49" s="8">
        <v>20.96</v>
      </c>
      <c r="O49" s="17">
        <f t="shared" si="2"/>
        <v>-0.20960000000000001</v>
      </c>
      <c r="P49" s="17" t="e">
        <f t="shared" si="3"/>
        <v>#DIV/0!</v>
      </c>
      <c r="Q49" s="17"/>
      <c r="R49" s="9">
        <v>20220728</v>
      </c>
      <c r="S49" s="9">
        <v>9.48</v>
      </c>
      <c r="T49" s="9">
        <v>25.4</v>
      </c>
      <c r="V49" s="45" t="e">
        <f t="shared" si="4"/>
        <v>#DIV/0!</v>
      </c>
      <c r="X49" s="12">
        <v>2.15</v>
      </c>
      <c r="Y49" s="62"/>
    </row>
    <row r="50" spans="1:25" x14ac:dyDescent="0.2">
      <c r="A50" s="3" t="s">
        <v>2360</v>
      </c>
      <c r="B50" s="3" t="s">
        <v>41</v>
      </c>
      <c r="C50" s="6" t="s">
        <v>354</v>
      </c>
      <c r="D50" s="6" t="s">
        <v>173</v>
      </c>
      <c r="E50" s="6" t="s">
        <v>163</v>
      </c>
      <c r="F50" s="6">
        <v>11636.85</v>
      </c>
      <c r="G50" s="2">
        <v>12</v>
      </c>
      <c r="H50" s="61">
        <v>10.45</v>
      </c>
      <c r="I50" s="61">
        <v>10.98</v>
      </c>
      <c r="J50" s="47">
        <f t="shared" si="0"/>
        <v>-0.12916666666666674</v>
      </c>
      <c r="K50" s="47">
        <f t="shared" si="1"/>
        <v>5.0717703349282411E-2</v>
      </c>
      <c r="L50" s="8">
        <v>11.23</v>
      </c>
      <c r="M50" s="8">
        <v>10.7</v>
      </c>
      <c r="N50" s="8">
        <v>12.46</v>
      </c>
      <c r="O50" s="17">
        <f t="shared" si="2"/>
        <v>-0.82838709677419309</v>
      </c>
      <c r="P50" s="17">
        <f t="shared" si="3"/>
        <v>2.456735849056598</v>
      </c>
      <c r="Q50" s="17">
        <v>12.18</v>
      </c>
      <c r="R50" s="9">
        <v>20220802</v>
      </c>
      <c r="S50" s="9">
        <v>21.08</v>
      </c>
      <c r="T50" s="9">
        <v>1.32</v>
      </c>
      <c r="U50" s="9">
        <v>6557</v>
      </c>
      <c r="V50" s="45">
        <f t="shared" si="4"/>
        <v>-0.99979868842458441</v>
      </c>
      <c r="W50" s="12">
        <v>45.31</v>
      </c>
      <c r="X50" s="12">
        <v>1.64</v>
      </c>
      <c r="Y50" s="62"/>
    </row>
    <row r="51" spans="1:25" x14ac:dyDescent="0.2">
      <c r="A51" s="3" t="s">
        <v>2361</v>
      </c>
      <c r="B51" s="3" t="s">
        <v>42</v>
      </c>
      <c r="C51" s="6" t="s">
        <v>354</v>
      </c>
      <c r="D51" s="6" t="s">
        <v>167</v>
      </c>
      <c r="E51" s="6" t="s">
        <v>163</v>
      </c>
      <c r="F51" s="6">
        <v>38083.01</v>
      </c>
      <c r="G51" s="2">
        <v>12</v>
      </c>
      <c r="H51" s="61">
        <v>5.9</v>
      </c>
      <c r="I51" s="61">
        <v>5.27</v>
      </c>
      <c r="J51" s="47">
        <f t="shared" si="0"/>
        <v>-0.5083333333333333</v>
      </c>
      <c r="K51" s="47">
        <f t="shared" si="1"/>
        <v>-0.10677966101694927</v>
      </c>
      <c r="L51" s="8">
        <v>5.38</v>
      </c>
      <c r="M51" s="8">
        <v>10.16</v>
      </c>
      <c r="N51" s="8">
        <v>11.22</v>
      </c>
      <c r="O51" s="17">
        <f t="shared" si="2"/>
        <v>-0.19986885245901642</v>
      </c>
      <c r="P51" s="17">
        <f t="shared" si="3"/>
        <v>-1.0507619047619037</v>
      </c>
      <c r="Q51" s="17">
        <v>10.99</v>
      </c>
      <c r="R51" s="9">
        <v>20220727</v>
      </c>
      <c r="S51" s="9">
        <v>11.96</v>
      </c>
      <c r="T51" s="9">
        <v>0.27</v>
      </c>
      <c r="U51" s="9">
        <v>19742.056639999999</v>
      </c>
      <c r="V51" s="45">
        <f t="shared" si="4"/>
        <v>-0.99998632361334361</v>
      </c>
      <c r="W51" s="12">
        <v>2.9</v>
      </c>
      <c r="X51" s="12">
        <v>2.71</v>
      </c>
      <c r="Y51" s="62">
        <v>2.2400000000000002</v>
      </c>
    </row>
    <row r="52" spans="1:25" x14ac:dyDescent="0.2">
      <c r="A52" s="3" t="s">
        <v>2362</v>
      </c>
      <c r="B52" s="3" t="s">
        <v>1838</v>
      </c>
      <c r="C52" s="6" t="s">
        <v>355</v>
      </c>
      <c r="D52" s="6" t="s">
        <v>124</v>
      </c>
      <c r="E52" s="6" t="s">
        <v>108</v>
      </c>
      <c r="F52" s="6">
        <v>8025.78</v>
      </c>
      <c r="G52" s="2">
        <v>6</v>
      </c>
      <c r="H52" s="61">
        <v>-2.02</v>
      </c>
      <c r="I52" s="61">
        <v>-2.31</v>
      </c>
      <c r="J52" s="47">
        <f t="shared" si="0"/>
        <v>-1.3366666666666667</v>
      </c>
      <c r="K52" s="47">
        <f t="shared" si="1"/>
        <v>-0.14356435643564358</v>
      </c>
      <c r="L52" s="8">
        <v>-1.53</v>
      </c>
      <c r="O52" s="17">
        <f t="shared" si="2"/>
        <v>0</v>
      </c>
      <c r="P52" s="17">
        <f t="shared" si="3"/>
        <v>0</v>
      </c>
      <c r="Q52" s="17"/>
      <c r="R52" s="9">
        <v>20220908</v>
      </c>
      <c r="S52" s="9">
        <v>-18</v>
      </c>
      <c r="U52" s="9">
        <v>1341.05297</v>
      </c>
      <c r="V52" s="45">
        <f t="shared" si="4"/>
        <v>-1</v>
      </c>
      <c r="W52" s="12">
        <v>57.78</v>
      </c>
      <c r="X52" s="12">
        <v>0</v>
      </c>
      <c r="Y52" s="62"/>
    </row>
    <row r="53" spans="1:25" x14ac:dyDescent="0.2">
      <c r="A53" s="3" t="s">
        <v>43</v>
      </c>
      <c r="B53" s="3" t="s">
        <v>43</v>
      </c>
      <c r="C53" s="6" t="s">
        <v>354</v>
      </c>
      <c r="D53" s="6" t="s">
        <v>182</v>
      </c>
      <c r="E53" s="6" t="s">
        <v>201</v>
      </c>
      <c r="F53" s="6">
        <v>9241.66</v>
      </c>
      <c r="G53" s="2">
        <v>12</v>
      </c>
      <c r="H53" s="61">
        <v>9.02</v>
      </c>
      <c r="I53" s="61">
        <v>12</v>
      </c>
      <c r="J53" s="47">
        <f t="shared" si="0"/>
        <v>-0.24833333333333338</v>
      </c>
      <c r="K53" s="47">
        <f t="shared" si="1"/>
        <v>0.33037694013303776</v>
      </c>
      <c r="L53" s="8">
        <v>14.18</v>
      </c>
      <c r="M53" s="8">
        <v>11.52</v>
      </c>
      <c r="N53" s="8">
        <v>10.33</v>
      </c>
      <c r="O53" s="17">
        <f t="shared" si="2"/>
        <v>-0.46389261744966431</v>
      </c>
      <c r="P53" s="17">
        <f t="shared" si="3"/>
        <v>0.31267315436241605</v>
      </c>
      <c r="Q53" s="17">
        <v>8.74</v>
      </c>
      <c r="R53" s="9">
        <v>20220804</v>
      </c>
      <c r="S53" s="9">
        <v>24.11</v>
      </c>
      <c r="T53" s="9">
        <v>6.02</v>
      </c>
      <c r="U53" s="9">
        <v>12604.73437</v>
      </c>
      <c r="V53" s="45">
        <f t="shared" si="4"/>
        <v>-0.99952240167675976</v>
      </c>
      <c r="W53" s="12">
        <v>27.13</v>
      </c>
      <c r="X53" s="12">
        <v>0.77</v>
      </c>
      <c r="Y53" s="62">
        <v>1.03</v>
      </c>
    </row>
    <row r="54" spans="1:25" x14ac:dyDescent="0.2">
      <c r="A54" s="3" t="s">
        <v>2363</v>
      </c>
      <c r="B54" s="3" t="s">
        <v>328</v>
      </c>
      <c r="C54" s="6" t="s">
        <v>356</v>
      </c>
      <c r="D54" s="6" t="s">
        <v>172</v>
      </c>
      <c r="E54" s="6" t="s">
        <v>163</v>
      </c>
      <c r="F54" s="6">
        <v>9382.4</v>
      </c>
      <c r="G54" s="2">
        <v>12</v>
      </c>
      <c r="H54" s="61">
        <v>4.1399999999999997</v>
      </c>
      <c r="I54" s="61">
        <v>5.18</v>
      </c>
      <c r="J54" s="47">
        <f t="shared" si="0"/>
        <v>-0.65500000000000003</v>
      </c>
      <c r="K54" s="47">
        <f t="shared" si="1"/>
        <v>0.25120772946859904</v>
      </c>
      <c r="L54" s="8">
        <v>5.8</v>
      </c>
      <c r="M54" s="8">
        <v>9.69</v>
      </c>
      <c r="N54" s="8">
        <v>9.49</v>
      </c>
      <c r="O54" s="17">
        <f t="shared" si="2"/>
        <v>-0.14793893129770991</v>
      </c>
      <c r="P54" s="17">
        <f t="shared" si="3"/>
        <v>0.37777499999999997</v>
      </c>
      <c r="Q54" s="17">
        <v>8.48</v>
      </c>
      <c r="R54" s="9">
        <v>20220810</v>
      </c>
      <c r="S54" s="9">
        <v>5.7</v>
      </c>
      <c r="T54" s="9">
        <v>1.92</v>
      </c>
      <c r="V54" s="45" t="e">
        <f t="shared" si="4"/>
        <v>#DIV/0!</v>
      </c>
      <c r="W54" s="12">
        <v>60.19</v>
      </c>
      <c r="X54" s="12">
        <v>4.57</v>
      </c>
      <c r="Y54" s="62">
        <v>1.21</v>
      </c>
    </row>
    <row r="55" spans="1:25" x14ac:dyDescent="0.2">
      <c r="B55" s="3" t="s">
        <v>2068</v>
      </c>
      <c r="C55" s="6" t="s">
        <v>354</v>
      </c>
      <c r="D55" s="6" t="s">
        <v>519</v>
      </c>
      <c r="E55" s="6" t="s">
        <v>163</v>
      </c>
      <c r="F55" s="6">
        <v>82991.27</v>
      </c>
      <c r="G55" s="2">
        <v>12</v>
      </c>
      <c r="H55" s="61"/>
      <c r="I55" s="61"/>
      <c r="J55" s="47">
        <f t="shared" si="0"/>
        <v>-1</v>
      </c>
      <c r="K55" s="47" t="e">
        <f t="shared" si="1"/>
        <v>#DIV/0!</v>
      </c>
      <c r="O55" s="17">
        <f t="shared" si="2"/>
        <v>0</v>
      </c>
      <c r="P55" s="17" t="e">
        <f t="shared" si="3"/>
        <v>#DIV/0!</v>
      </c>
      <c r="Q55" s="17"/>
      <c r="V55" s="45" t="e">
        <f t="shared" si="4"/>
        <v>#DIV/0!</v>
      </c>
      <c r="X55" s="12">
        <v>1.88</v>
      </c>
      <c r="Y55" s="62"/>
    </row>
    <row r="56" spans="1:25" x14ac:dyDescent="0.2">
      <c r="A56" s="3" t="s">
        <v>2364</v>
      </c>
      <c r="B56" s="3" t="s">
        <v>1928</v>
      </c>
      <c r="C56" s="6" t="s">
        <v>354</v>
      </c>
      <c r="D56" s="6" t="s">
        <v>195</v>
      </c>
      <c r="E56" s="6" t="s">
        <v>208</v>
      </c>
      <c r="F56" s="6">
        <v>7817.37</v>
      </c>
      <c r="G56" s="2">
        <v>12</v>
      </c>
      <c r="H56" s="61">
        <v>-1.03</v>
      </c>
      <c r="I56" s="61">
        <v>-0.11</v>
      </c>
      <c r="J56" s="47">
        <f t="shared" si="0"/>
        <v>-1.0858333333333332</v>
      </c>
      <c r="K56" s="47">
        <f t="shared" si="1"/>
        <v>0.89320388349514568</v>
      </c>
      <c r="L56" s="8">
        <v>0.1</v>
      </c>
      <c r="O56" s="17">
        <f t="shared" si="2"/>
        <v>0</v>
      </c>
      <c r="P56" s="17">
        <f t="shared" si="3"/>
        <v>0</v>
      </c>
      <c r="Q56" s="17">
        <v>189.05</v>
      </c>
      <c r="R56" s="9">
        <v>20220803</v>
      </c>
      <c r="S56" s="9">
        <v>-10.37</v>
      </c>
      <c r="U56" s="9">
        <v>2607.8229900000001</v>
      </c>
      <c r="V56" s="45">
        <f t="shared" si="4"/>
        <v>-1</v>
      </c>
      <c r="W56" s="12">
        <v>-16.670000000000002</v>
      </c>
      <c r="X56" s="12">
        <v>0</v>
      </c>
      <c r="Y56" s="62"/>
    </row>
    <row r="57" spans="1:25" x14ac:dyDescent="0.2">
      <c r="A57" s="3" t="s">
        <v>2365</v>
      </c>
      <c r="B57" s="3" t="s">
        <v>369</v>
      </c>
      <c r="C57" s="6" t="s">
        <v>355</v>
      </c>
      <c r="D57" s="6" t="s">
        <v>214</v>
      </c>
      <c r="E57" s="6" t="s">
        <v>163</v>
      </c>
      <c r="F57" s="6">
        <v>6337.89</v>
      </c>
      <c r="G57" s="2">
        <v>12</v>
      </c>
      <c r="H57" s="61">
        <v>2.89</v>
      </c>
      <c r="I57" s="61">
        <v>2.34</v>
      </c>
      <c r="J57" s="47">
        <f t="shared" si="0"/>
        <v>-0.75916666666666666</v>
      </c>
      <c r="K57" s="47">
        <f t="shared" si="1"/>
        <v>-0.19031141868512119</v>
      </c>
      <c r="L57" s="8">
        <v>1.99</v>
      </c>
      <c r="M57" s="8">
        <v>4.0599999999999996</v>
      </c>
      <c r="N57" s="8">
        <v>5.18</v>
      </c>
      <c r="O57" s="17">
        <f t="shared" si="2"/>
        <v>-5.3479692645444561E-2</v>
      </c>
      <c r="P57" s="17">
        <f t="shared" si="3"/>
        <v>-0.2721854545454544</v>
      </c>
      <c r="Q57" s="17">
        <v>6.1</v>
      </c>
      <c r="R57" s="9">
        <v>20220725</v>
      </c>
      <c r="S57" s="9">
        <v>18.399999999999999</v>
      </c>
      <c r="T57" s="9">
        <v>5.0999999999999996</v>
      </c>
      <c r="U57" s="9">
        <v>1002</v>
      </c>
      <c r="V57" s="45">
        <f t="shared" si="4"/>
        <v>-0.99491017964071859</v>
      </c>
      <c r="W57" s="12">
        <v>18.03</v>
      </c>
      <c r="X57" s="12">
        <v>11.89</v>
      </c>
      <c r="Y57" s="62"/>
    </row>
    <row r="58" spans="1:25" x14ac:dyDescent="0.2">
      <c r="A58" s="3" t="s">
        <v>2366</v>
      </c>
      <c r="B58" s="3" t="s">
        <v>2069</v>
      </c>
      <c r="C58" s="6" t="s">
        <v>354</v>
      </c>
      <c r="D58" s="6" t="s">
        <v>172</v>
      </c>
      <c r="E58" s="6" t="s">
        <v>163</v>
      </c>
      <c r="F58" s="6">
        <v>3717.65</v>
      </c>
      <c r="G58" s="2">
        <v>12</v>
      </c>
      <c r="H58" s="61"/>
      <c r="I58" s="61"/>
      <c r="J58" s="47">
        <f t="shared" si="0"/>
        <v>-1</v>
      </c>
      <c r="K58" s="47" t="e">
        <f t="shared" si="1"/>
        <v>#DIV/0!</v>
      </c>
      <c r="M58" s="8">
        <v>7.98</v>
      </c>
      <c r="O58" s="17">
        <f t="shared" si="2"/>
        <v>-7.980000000000001E-2</v>
      </c>
      <c r="P58" s="17" t="e">
        <f t="shared" si="3"/>
        <v>#DIV/0!</v>
      </c>
      <c r="Q58" s="17"/>
      <c r="R58" s="9">
        <v>20220804</v>
      </c>
      <c r="S58" s="9">
        <v>8.14</v>
      </c>
      <c r="T58" s="9">
        <v>-11.1</v>
      </c>
      <c r="V58" s="45" t="e">
        <f t="shared" si="4"/>
        <v>#DIV/0!</v>
      </c>
      <c r="X58" s="12">
        <v>1.73</v>
      </c>
      <c r="Y58" s="62"/>
    </row>
    <row r="59" spans="1:25" x14ac:dyDescent="0.2">
      <c r="A59" s="3" t="s">
        <v>2367</v>
      </c>
      <c r="B59" s="3" t="s">
        <v>45</v>
      </c>
      <c r="C59" s="6" t="s">
        <v>354</v>
      </c>
      <c r="D59" s="6" t="s">
        <v>246</v>
      </c>
      <c r="E59" s="6" t="s">
        <v>250</v>
      </c>
      <c r="F59" s="6">
        <v>18515.43</v>
      </c>
      <c r="G59" s="2">
        <v>12</v>
      </c>
      <c r="H59" s="61">
        <v>2.15</v>
      </c>
      <c r="I59" s="61">
        <v>2.27</v>
      </c>
      <c r="J59" s="47">
        <f t="shared" si="0"/>
        <v>-0.8208333333333333</v>
      </c>
      <c r="K59" s="47">
        <f t="shared" si="1"/>
        <v>5.5813953488372148E-2</v>
      </c>
      <c r="L59" s="8">
        <v>2.29</v>
      </c>
      <c r="M59" s="8">
        <v>20.91</v>
      </c>
      <c r="N59" s="8">
        <v>21.12</v>
      </c>
      <c r="O59" s="17">
        <f t="shared" si="2"/>
        <v>-0.25474111675126904</v>
      </c>
      <c r="P59" s="17">
        <f t="shared" si="3"/>
        <v>3.7839999999999963</v>
      </c>
      <c r="Q59" s="17">
        <v>20.96</v>
      </c>
      <c r="R59" s="9">
        <v>20220719</v>
      </c>
      <c r="S59" s="9">
        <v>4.4000000000000004</v>
      </c>
      <c r="T59" s="9">
        <v>2.75</v>
      </c>
      <c r="U59" s="9">
        <v>7350.4282199999998</v>
      </c>
      <c r="V59" s="45">
        <f t="shared" si="4"/>
        <v>-0.99962587213728349</v>
      </c>
      <c r="W59" s="12">
        <v>8.41</v>
      </c>
      <c r="X59" s="12">
        <v>3.68</v>
      </c>
      <c r="Y59" s="62">
        <v>3.53</v>
      </c>
    </row>
    <row r="60" spans="1:25" x14ac:dyDescent="0.2">
      <c r="A60" s="3" t="s">
        <v>2368</v>
      </c>
      <c r="B60" s="3" t="s">
        <v>1929</v>
      </c>
      <c r="C60" s="6" t="s">
        <v>356</v>
      </c>
      <c r="D60" s="6" t="s">
        <v>118</v>
      </c>
      <c r="E60" s="6" t="s">
        <v>140</v>
      </c>
      <c r="F60" s="6">
        <v>6700.74</v>
      </c>
      <c r="G60" s="2">
        <v>12</v>
      </c>
      <c r="H60" s="61">
        <v>4.82</v>
      </c>
      <c r="I60" s="61">
        <v>4.93</v>
      </c>
      <c r="J60" s="47">
        <f t="shared" si="0"/>
        <v>-0.59833333333333327</v>
      </c>
      <c r="K60" s="47">
        <f t="shared" si="1"/>
        <v>2.2821576763485358E-2</v>
      </c>
      <c r="L60" s="8">
        <v>4.97</v>
      </c>
      <c r="N60" s="8">
        <v>5.23</v>
      </c>
      <c r="O60" s="17">
        <f t="shared" si="2"/>
        <v>0</v>
      </c>
      <c r="P60" s="17">
        <f t="shared" si="3"/>
        <v>2.2916909090909212</v>
      </c>
      <c r="Q60" s="17">
        <v>5.19</v>
      </c>
      <c r="U60" s="9">
        <v>27042.960930000001</v>
      </c>
      <c r="V60" s="45">
        <f t="shared" si="4"/>
        <v>-1</v>
      </c>
      <c r="X60" s="12">
        <v>5.57</v>
      </c>
      <c r="Y60" s="62"/>
    </row>
    <row r="61" spans="1:25" x14ac:dyDescent="0.2">
      <c r="A61" s="3" t="s">
        <v>2369</v>
      </c>
      <c r="B61" s="3" t="s">
        <v>489</v>
      </c>
      <c r="C61" s="6" t="s">
        <v>356</v>
      </c>
      <c r="D61" s="6" t="s">
        <v>210</v>
      </c>
      <c r="E61" s="6" t="s">
        <v>108</v>
      </c>
      <c r="F61" s="6">
        <v>6392.51</v>
      </c>
      <c r="G61" s="2">
        <v>12</v>
      </c>
      <c r="H61" s="61">
        <v>2.21</v>
      </c>
      <c r="I61" s="61">
        <v>2.25</v>
      </c>
      <c r="J61" s="47">
        <f t="shared" si="0"/>
        <v>-0.8158333333333333</v>
      </c>
      <c r="K61" s="47">
        <f t="shared" si="1"/>
        <v>1.8099547511312233E-2</v>
      </c>
      <c r="L61" s="8">
        <v>2.4</v>
      </c>
      <c r="M61" s="8">
        <v>13.54</v>
      </c>
      <c r="N61" s="8">
        <v>8.36</v>
      </c>
      <c r="O61" s="17">
        <f t="shared" si="2"/>
        <v>-0.16596527068437181</v>
      </c>
      <c r="P61" s="17">
        <f t="shared" si="3"/>
        <v>4.6188999999999956</v>
      </c>
      <c r="Q61" s="17">
        <v>7.84</v>
      </c>
      <c r="R61" s="9">
        <v>20220727</v>
      </c>
      <c r="S61" s="9">
        <v>10.43</v>
      </c>
      <c r="T61" s="9">
        <v>-4.1500000000000004</v>
      </c>
      <c r="U61" s="9">
        <v>24428.800780000001</v>
      </c>
      <c r="V61" s="45">
        <f t="shared" si="4"/>
        <v>-1.0001698814459774</v>
      </c>
      <c r="X61" s="12">
        <v>2.0099999999999998</v>
      </c>
      <c r="Y61" s="62"/>
    </row>
    <row r="62" spans="1:25" x14ac:dyDescent="0.2">
      <c r="A62" s="3" t="s">
        <v>2370</v>
      </c>
      <c r="B62" s="3" t="s">
        <v>47</v>
      </c>
      <c r="C62" s="6" t="s">
        <v>354</v>
      </c>
      <c r="D62" s="6" t="s">
        <v>172</v>
      </c>
      <c r="E62" s="6" t="s">
        <v>163</v>
      </c>
      <c r="F62" s="6">
        <v>45733.25</v>
      </c>
      <c r="G62" s="2">
        <v>12</v>
      </c>
      <c r="H62" s="61">
        <v>4.68</v>
      </c>
      <c r="I62" s="61">
        <v>5.32</v>
      </c>
      <c r="J62" s="47">
        <f t="shared" si="0"/>
        <v>-0.61</v>
      </c>
      <c r="K62" s="47">
        <f t="shared" si="1"/>
        <v>0.13675213675213688</v>
      </c>
      <c r="L62" s="8">
        <v>6.28</v>
      </c>
      <c r="M62" s="8">
        <v>10.75</v>
      </c>
      <c r="N62" s="8">
        <v>10.84</v>
      </c>
      <c r="O62" s="17">
        <f t="shared" si="2"/>
        <v>-0.17622950819672131</v>
      </c>
      <c r="P62" s="17">
        <f t="shared" si="3"/>
        <v>0.79267499999999935</v>
      </c>
      <c r="Q62" s="17">
        <v>9.1999999999999993</v>
      </c>
      <c r="R62" s="9">
        <v>20220804</v>
      </c>
      <c r="S62" s="9">
        <v>7.11</v>
      </c>
      <c r="T62" s="9">
        <v>-0.1</v>
      </c>
      <c r="U62" s="9">
        <v>46848</v>
      </c>
      <c r="V62" s="45">
        <f t="shared" si="4"/>
        <v>-1.0000021345628416</v>
      </c>
      <c r="W62" s="12">
        <v>4.84</v>
      </c>
      <c r="X62" s="12">
        <v>2.2200000000000002</v>
      </c>
      <c r="Y62" s="62">
        <v>1.08</v>
      </c>
    </row>
    <row r="63" spans="1:25" x14ac:dyDescent="0.2">
      <c r="A63" s="3" t="s">
        <v>329</v>
      </c>
      <c r="B63" s="3" t="s">
        <v>330</v>
      </c>
      <c r="C63" s="6" t="s">
        <v>356</v>
      </c>
      <c r="D63" s="6" t="s">
        <v>126</v>
      </c>
      <c r="E63" s="6" t="s">
        <v>60</v>
      </c>
      <c r="F63" s="6">
        <v>82571.11</v>
      </c>
      <c r="G63" s="2">
        <v>12</v>
      </c>
      <c r="H63" s="61">
        <v>1.23</v>
      </c>
      <c r="I63" s="61">
        <v>1.36</v>
      </c>
      <c r="J63" s="47">
        <f t="shared" si="0"/>
        <v>-0.89749999999999996</v>
      </c>
      <c r="K63" s="47">
        <f t="shared" si="1"/>
        <v>0.10569105691056919</v>
      </c>
      <c r="L63" s="8">
        <v>1.5</v>
      </c>
      <c r="N63" s="8">
        <v>25.5</v>
      </c>
      <c r="O63" s="17">
        <f t="shared" si="2"/>
        <v>0</v>
      </c>
      <c r="P63" s="17">
        <f t="shared" si="3"/>
        <v>2.4126923076923057</v>
      </c>
      <c r="Q63" s="17">
        <v>23.12</v>
      </c>
      <c r="U63" s="9">
        <v>30411.589840000001</v>
      </c>
      <c r="V63" s="45">
        <f t="shared" si="4"/>
        <v>-1</v>
      </c>
      <c r="X63" s="12">
        <v>1.33</v>
      </c>
      <c r="Y63" s="62">
        <v>2.14</v>
      </c>
    </row>
    <row r="64" spans="1:25" x14ac:dyDescent="0.2">
      <c r="A64" s="3" t="s">
        <v>2371</v>
      </c>
      <c r="B64" s="3" t="s">
        <v>490</v>
      </c>
      <c r="C64" s="6" t="s">
        <v>354</v>
      </c>
      <c r="D64" s="6" t="s">
        <v>216</v>
      </c>
      <c r="E64" s="6" t="s">
        <v>163</v>
      </c>
      <c r="F64" s="6">
        <v>6997.1</v>
      </c>
      <c r="G64" s="2">
        <v>12</v>
      </c>
      <c r="H64" s="61">
        <v>2.15</v>
      </c>
      <c r="I64" s="61">
        <v>2.42</v>
      </c>
      <c r="J64" s="47">
        <f t="shared" si="0"/>
        <v>-0.8208333333333333</v>
      </c>
      <c r="K64" s="47">
        <f t="shared" si="1"/>
        <v>0.12558139534883722</v>
      </c>
      <c r="L64" s="8">
        <v>2.4900000000000002</v>
      </c>
      <c r="M64" s="8">
        <v>20.149999999999999</v>
      </c>
      <c r="N64" s="8">
        <v>18.38</v>
      </c>
      <c r="O64" s="17">
        <f t="shared" si="2"/>
        <v>-0.24548223350253806</v>
      </c>
      <c r="P64" s="17">
        <f t="shared" si="3"/>
        <v>1.4635925925925923</v>
      </c>
      <c r="Q64" s="17">
        <v>17.850000000000001</v>
      </c>
      <c r="R64" s="9">
        <v>20220804</v>
      </c>
      <c r="S64" s="9">
        <v>40.71</v>
      </c>
      <c r="U64" s="9">
        <v>749.08501999999999</v>
      </c>
      <c r="V64" s="45">
        <f t="shared" si="4"/>
        <v>-1</v>
      </c>
      <c r="W64" s="12">
        <v>0</v>
      </c>
      <c r="X64" s="12">
        <v>4.04</v>
      </c>
      <c r="Y64" s="62"/>
    </row>
    <row r="65" spans="1:25" x14ac:dyDescent="0.2">
      <c r="A65" s="3" t="s">
        <v>2372</v>
      </c>
      <c r="B65" s="3" t="s">
        <v>445</v>
      </c>
      <c r="C65" s="6" t="s">
        <v>356</v>
      </c>
      <c r="D65" s="6" t="s">
        <v>235</v>
      </c>
      <c r="E65" s="6" t="s">
        <v>237</v>
      </c>
      <c r="F65" s="6">
        <v>9332.19</v>
      </c>
      <c r="G65" s="2">
        <v>12</v>
      </c>
      <c r="H65" s="61">
        <v>-3.38</v>
      </c>
      <c r="I65" s="61">
        <v>-1.1100000000000001</v>
      </c>
      <c r="J65" s="47">
        <f t="shared" si="0"/>
        <v>-1.2816666666666665</v>
      </c>
      <c r="K65" s="47">
        <f t="shared" si="1"/>
        <v>0.67159763313609455</v>
      </c>
      <c r="L65" s="8">
        <v>0.65</v>
      </c>
      <c r="O65" s="17">
        <f t="shared" si="2"/>
        <v>0</v>
      </c>
      <c r="P65" s="17">
        <f t="shared" si="3"/>
        <v>0</v>
      </c>
      <c r="Q65" s="17">
        <v>19.77</v>
      </c>
      <c r="R65" s="9">
        <v>20220527</v>
      </c>
      <c r="S65" s="9">
        <v>-22.85</v>
      </c>
      <c r="T65" s="9">
        <v>-13.37</v>
      </c>
      <c r="U65" s="9">
        <v>17078.445309999999</v>
      </c>
      <c r="V65" s="45">
        <f t="shared" si="4"/>
        <v>-1.0007828581441292</v>
      </c>
      <c r="X65" s="12">
        <v>0</v>
      </c>
      <c r="Y65" s="62"/>
    </row>
    <row r="66" spans="1:25" x14ac:dyDescent="0.2">
      <c r="A66" s="3" t="s">
        <v>2373</v>
      </c>
      <c r="B66" s="3" t="s">
        <v>465</v>
      </c>
      <c r="C66" s="6" t="s">
        <v>354</v>
      </c>
      <c r="D66" s="6" t="s">
        <v>183</v>
      </c>
      <c r="E66" s="6" t="s">
        <v>201</v>
      </c>
      <c r="F66" s="6">
        <v>3889</v>
      </c>
      <c r="G66" s="2">
        <v>6</v>
      </c>
      <c r="H66" s="61">
        <v>4.42</v>
      </c>
      <c r="I66" s="61">
        <v>6.24</v>
      </c>
      <c r="J66" s="47">
        <f t="shared" si="0"/>
        <v>-0.26333333333333336</v>
      </c>
      <c r="K66" s="47">
        <f t="shared" si="1"/>
        <v>0.41176470588235303</v>
      </c>
      <c r="L66" s="8">
        <v>6.9</v>
      </c>
      <c r="M66" s="8">
        <v>16.64</v>
      </c>
      <c r="N66" s="8">
        <v>16.21</v>
      </c>
      <c r="O66" s="17">
        <f t="shared" si="2"/>
        <v>-0.6318987341772152</v>
      </c>
      <c r="P66" s="17">
        <f t="shared" si="3"/>
        <v>0.39367142857142851</v>
      </c>
      <c r="Q66" s="17">
        <v>14.66</v>
      </c>
      <c r="R66" s="9">
        <v>20220816</v>
      </c>
      <c r="S66" s="9">
        <v>23.58</v>
      </c>
      <c r="T66" s="9">
        <v>4.46</v>
      </c>
      <c r="U66" s="9">
        <v>3722.8000400000001</v>
      </c>
      <c r="V66" s="45">
        <f t="shared" si="4"/>
        <v>-0.99880197701942652</v>
      </c>
      <c r="W66" s="12">
        <v>33.94</v>
      </c>
      <c r="X66" s="12">
        <v>1.34</v>
      </c>
      <c r="Y66" s="62"/>
    </row>
    <row r="67" spans="1:25" x14ac:dyDescent="0.2">
      <c r="A67" s="3" t="s">
        <v>2374</v>
      </c>
      <c r="B67" s="3" t="s">
        <v>48</v>
      </c>
      <c r="C67" s="6" t="s">
        <v>354</v>
      </c>
      <c r="D67" s="6" t="s">
        <v>172</v>
      </c>
      <c r="E67" s="6" t="s">
        <v>163</v>
      </c>
      <c r="F67" s="6">
        <v>9738.02</v>
      </c>
      <c r="G67" s="2">
        <v>12</v>
      </c>
      <c r="H67" s="61">
        <v>9.17</v>
      </c>
      <c r="I67" s="61">
        <v>12.88</v>
      </c>
      <c r="J67" s="47">
        <f t="shared" ref="J67:J130" si="5">(H67-G67)/ABS(G67)</f>
        <v>-0.23583333333333334</v>
      </c>
      <c r="K67" s="47">
        <f t="shared" ref="K67:K130" si="6">(I67-H67)/ABS(H67)</f>
        <v>0.40458015267175584</v>
      </c>
      <c r="L67" s="8">
        <v>14.55</v>
      </c>
      <c r="M67" s="8">
        <v>16.95</v>
      </c>
      <c r="N67" s="8">
        <v>13.98</v>
      </c>
      <c r="O67" s="17">
        <f t="shared" ref="O67:O130" si="7">M67/(J67*100)</f>
        <v>-0.7187279151943462</v>
      </c>
      <c r="P67" s="17">
        <f t="shared" ref="P67:P130" si="8">N67/(K67*100)</f>
        <v>0.345543396226415</v>
      </c>
      <c r="Q67" s="17">
        <v>12.38</v>
      </c>
      <c r="R67" s="9">
        <v>20220802</v>
      </c>
      <c r="S67" s="9">
        <v>11.23</v>
      </c>
      <c r="T67" s="9">
        <v>12.03</v>
      </c>
      <c r="U67" s="9">
        <v>10555.672850000001</v>
      </c>
      <c r="V67" s="45">
        <f t="shared" ref="V67:V130" si="9">(T67-U67)/U67</f>
        <v>-0.99886032845362382</v>
      </c>
      <c r="W67" s="12">
        <v>31.12</v>
      </c>
      <c r="X67" s="12">
        <v>1.51</v>
      </c>
      <c r="Y67" s="62">
        <v>0.81</v>
      </c>
    </row>
    <row r="68" spans="1:25" x14ac:dyDescent="0.2">
      <c r="A68" s="3" t="s">
        <v>466</v>
      </c>
      <c r="B68" s="3" t="s">
        <v>49</v>
      </c>
      <c r="C68" s="6" t="s">
        <v>354</v>
      </c>
      <c r="D68" s="6" t="s">
        <v>169</v>
      </c>
      <c r="E68" s="6" t="s">
        <v>163</v>
      </c>
      <c r="F68" s="6">
        <v>33825.15</v>
      </c>
      <c r="G68" s="2">
        <v>12</v>
      </c>
      <c r="H68" s="61">
        <v>5.43</v>
      </c>
      <c r="I68" s="61">
        <v>7.79</v>
      </c>
      <c r="J68" s="47">
        <f t="shared" si="5"/>
        <v>-0.54749999999999999</v>
      </c>
      <c r="K68" s="47">
        <f t="shared" si="6"/>
        <v>0.4346224677716391</v>
      </c>
      <c r="L68" s="8">
        <v>8.7200000000000006</v>
      </c>
      <c r="M68" s="8">
        <v>25.6</v>
      </c>
      <c r="N68" s="8">
        <v>20.67</v>
      </c>
      <c r="O68" s="17">
        <f t="shared" si="7"/>
        <v>-0.46757990867579913</v>
      </c>
      <c r="P68" s="17">
        <f t="shared" si="8"/>
        <v>0.47558516949152535</v>
      </c>
      <c r="Q68" s="17">
        <v>18.46</v>
      </c>
      <c r="R68" s="9">
        <v>20220804</v>
      </c>
      <c r="S68" s="9">
        <v>15.45</v>
      </c>
      <c r="T68" s="9">
        <v>5.96</v>
      </c>
      <c r="U68" s="9">
        <v>8534.6015599999992</v>
      </c>
      <c r="V68" s="45">
        <f t="shared" si="9"/>
        <v>-0.9993016662865748</v>
      </c>
      <c r="W68" s="12">
        <v>1.44</v>
      </c>
      <c r="X68" s="12">
        <v>1.27</v>
      </c>
      <c r="Y68" s="62">
        <v>1.98</v>
      </c>
    </row>
    <row r="69" spans="1:25" x14ac:dyDescent="0.2">
      <c r="A69" s="3" t="s">
        <v>2375</v>
      </c>
      <c r="B69" s="3" t="s">
        <v>2070</v>
      </c>
      <c r="C69" s="6" t="s">
        <v>356</v>
      </c>
      <c r="D69" s="6" t="s">
        <v>155</v>
      </c>
      <c r="E69" s="6" t="s">
        <v>154</v>
      </c>
      <c r="F69" s="6">
        <v>13460.35</v>
      </c>
      <c r="G69" s="2">
        <v>3</v>
      </c>
      <c r="H69" s="61"/>
      <c r="I69" s="61"/>
      <c r="J69" s="47">
        <f t="shared" si="5"/>
        <v>-1</v>
      </c>
      <c r="K69" s="47" t="e">
        <f t="shared" si="6"/>
        <v>#DIV/0!</v>
      </c>
      <c r="M69" s="8">
        <v>19.89</v>
      </c>
      <c r="O69" s="17">
        <f t="shared" si="7"/>
        <v>-0.19889999999999999</v>
      </c>
      <c r="P69" s="17" t="e">
        <f t="shared" si="8"/>
        <v>#DIV/0!</v>
      </c>
      <c r="Q69" s="17"/>
      <c r="R69" s="9">
        <v>20220729</v>
      </c>
      <c r="S69" s="9">
        <v>11.09</v>
      </c>
      <c r="V69" s="45" t="e">
        <f t="shared" si="9"/>
        <v>#DIV/0!</v>
      </c>
      <c r="X69" s="12">
        <v>1.1499999999999999</v>
      </c>
      <c r="Y69" s="62"/>
    </row>
    <row r="70" spans="1:25" x14ac:dyDescent="0.2">
      <c r="A70" s="3" t="s">
        <v>2376</v>
      </c>
      <c r="B70" s="3" t="s">
        <v>491</v>
      </c>
      <c r="C70" s="6" t="s">
        <v>354</v>
      </c>
      <c r="D70" s="6" t="s">
        <v>24</v>
      </c>
      <c r="E70" s="6" t="s">
        <v>10</v>
      </c>
      <c r="F70" s="6">
        <v>3316.9</v>
      </c>
      <c r="G70" s="2">
        <v>12</v>
      </c>
      <c r="H70" s="61">
        <v>2.0299999999999998</v>
      </c>
      <c r="I70" s="61">
        <v>1.96</v>
      </c>
      <c r="J70" s="47">
        <f t="shared" si="5"/>
        <v>-0.83083333333333342</v>
      </c>
      <c r="K70" s="47">
        <f t="shared" si="6"/>
        <v>-3.4482758620689578E-2</v>
      </c>
      <c r="L70" s="8">
        <v>2.12</v>
      </c>
      <c r="M70" s="8">
        <v>20.21</v>
      </c>
      <c r="N70" s="8">
        <v>21.03</v>
      </c>
      <c r="O70" s="17">
        <f t="shared" si="7"/>
        <v>-0.2432497492477432</v>
      </c>
      <c r="P70" s="17">
        <f t="shared" si="8"/>
        <v>-6.0987000000000142</v>
      </c>
      <c r="Q70" s="17">
        <v>19.41</v>
      </c>
      <c r="R70" s="9">
        <v>20220725</v>
      </c>
      <c r="S70" s="9">
        <v>37.15</v>
      </c>
      <c r="T70" s="9">
        <v>3.32</v>
      </c>
      <c r="U70" s="9">
        <v>2299.6870100000001</v>
      </c>
      <c r="V70" s="45">
        <f t="shared" si="9"/>
        <v>-0.9985563252801084</v>
      </c>
      <c r="W70" s="12">
        <v>4.76</v>
      </c>
      <c r="X70" s="12">
        <v>0</v>
      </c>
      <c r="Y70" s="62"/>
    </row>
    <row r="71" spans="1:25" x14ac:dyDescent="0.2">
      <c r="A71" s="3" t="s">
        <v>2377</v>
      </c>
      <c r="B71" s="3" t="s">
        <v>50</v>
      </c>
      <c r="C71" s="6" t="s">
        <v>355</v>
      </c>
      <c r="D71" s="6" t="s">
        <v>176</v>
      </c>
      <c r="E71" s="6" t="s">
        <v>119</v>
      </c>
      <c r="F71" s="6">
        <v>16169.99</v>
      </c>
      <c r="G71" s="2">
        <v>12</v>
      </c>
      <c r="H71" s="61">
        <v>5.67</v>
      </c>
      <c r="I71" s="61">
        <v>5.45</v>
      </c>
      <c r="J71" s="47">
        <f t="shared" si="5"/>
        <v>-0.52749999999999997</v>
      </c>
      <c r="K71" s="47">
        <f t="shared" si="6"/>
        <v>-3.880070546737209E-2</v>
      </c>
      <c r="L71" s="8">
        <v>6.31</v>
      </c>
      <c r="M71" s="8">
        <v>17.54</v>
      </c>
      <c r="N71" s="8">
        <v>18.489999999999998</v>
      </c>
      <c r="O71" s="17">
        <f t="shared" si="7"/>
        <v>-0.33251184834123221</v>
      </c>
      <c r="P71" s="17">
        <f t="shared" si="8"/>
        <v>-4.7653772727272772</v>
      </c>
      <c r="Q71" s="17">
        <v>15.97</v>
      </c>
      <c r="R71" s="9">
        <v>20220802</v>
      </c>
      <c r="S71" s="9">
        <v>17.420000000000002</v>
      </c>
      <c r="T71" s="9">
        <v>8.39</v>
      </c>
      <c r="U71" s="9">
        <v>3665.4379800000002</v>
      </c>
      <c r="V71" s="45">
        <f t="shared" si="9"/>
        <v>-0.99771105116338654</v>
      </c>
      <c r="W71" s="12">
        <v>-2.11</v>
      </c>
      <c r="X71" s="12">
        <v>0</v>
      </c>
      <c r="Y71" s="62">
        <v>1.54</v>
      </c>
    </row>
    <row r="72" spans="1:25" x14ac:dyDescent="0.2">
      <c r="A72" s="3" t="s">
        <v>2378</v>
      </c>
      <c r="B72" s="3" t="s">
        <v>348</v>
      </c>
      <c r="C72" s="6" t="s">
        <v>356</v>
      </c>
      <c r="D72" s="6" t="s">
        <v>126</v>
      </c>
      <c r="E72" s="6" t="s">
        <v>60</v>
      </c>
      <c r="F72" s="6">
        <v>16061.79</v>
      </c>
      <c r="G72" s="2">
        <v>12</v>
      </c>
      <c r="H72" s="61">
        <v>1.51</v>
      </c>
      <c r="I72" s="61">
        <v>1.67</v>
      </c>
      <c r="J72" s="47">
        <f t="shared" si="5"/>
        <v>-0.87416666666666665</v>
      </c>
      <c r="K72" s="47">
        <f t="shared" si="6"/>
        <v>0.1059602649006622</v>
      </c>
      <c r="L72" s="8">
        <v>2.04</v>
      </c>
      <c r="M72" s="8">
        <v>20.329999999999998</v>
      </c>
      <c r="N72" s="8">
        <v>17.690000000000001</v>
      </c>
      <c r="O72" s="17">
        <f t="shared" si="7"/>
        <v>-0.2325643469971401</v>
      </c>
      <c r="P72" s="17">
        <f t="shared" si="8"/>
        <v>1.6694937500000011</v>
      </c>
      <c r="Q72" s="17">
        <v>14.47</v>
      </c>
      <c r="R72" s="9">
        <v>20220720</v>
      </c>
      <c r="S72" s="9">
        <v>11.87</v>
      </c>
      <c r="T72" s="9">
        <v>-7.02</v>
      </c>
      <c r="U72" s="9">
        <v>11628.514639999999</v>
      </c>
      <c r="V72" s="45">
        <f t="shared" si="9"/>
        <v>-1.000603688451821</v>
      </c>
      <c r="W72" s="12">
        <v>-63.64</v>
      </c>
      <c r="X72" s="12">
        <v>2.99</v>
      </c>
      <c r="Y72" s="62">
        <v>1.25</v>
      </c>
    </row>
    <row r="73" spans="1:25" x14ac:dyDescent="0.2">
      <c r="A73" s="3" t="s">
        <v>2379</v>
      </c>
      <c r="B73" s="3" t="s">
        <v>431</v>
      </c>
      <c r="C73" s="6" t="s">
        <v>354</v>
      </c>
      <c r="D73" s="6" t="s">
        <v>238</v>
      </c>
      <c r="E73" s="6" t="s">
        <v>237</v>
      </c>
      <c r="F73" s="6">
        <v>4108.41</v>
      </c>
      <c r="G73" s="2">
        <v>12</v>
      </c>
      <c r="H73" s="61">
        <v>3.13</v>
      </c>
      <c r="I73" s="61">
        <v>-0.93</v>
      </c>
      <c r="J73" s="47">
        <f t="shared" si="5"/>
        <v>-0.73916666666666675</v>
      </c>
      <c r="K73" s="47">
        <f t="shared" si="6"/>
        <v>-1.2971246006389776</v>
      </c>
      <c r="L73" s="8">
        <v>5.81</v>
      </c>
      <c r="M73" s="8">
        <v>8.7799999999999994</v>
      </c>
      <c r="O73" s="17">
        <f t="shared" si="7"/>
        <v>-0.11878241262683201</v>
      </c>
      <c r="P73" s="17">
        <f t="shared" si="8"/>
        <v>0</v>
      </c>
      <c r="Q73" s="17">
        <v>6.38</v>
      </c>
      <c r="R73" s="9">
        <v>20220804</v>
      </c>
      <c r="S73" s="9">
        <v>7.52</v>
      </c>
      <c r="T73" s="9">
        <v>8.7799999999999994</v>
      </c>
      <c r="U73" s="9">
        <v>2392.56005</v>
      </c>
      <c r="V73" s="45">
        <f t="shared" si="9"/>
        <v>-0.9963302906441156</v>
      </c>
      <c r="W73" s="12">
        <v>30.77</v>
      </c>
      <c r="X73" s="12">
        <v>2</v>
      </c>
      <c r="Y73" s="62"/>
    </row>
    <row r="74" spans="1:25" x14ac:dyDescent="0.2">
      <c r="A74" s="3" t="s">
        <v>2380</v>
      </c>
      <c r="B74" s="3" t="s">
        <v>51</v>
      </c>
      <c r="C74" s="6" t="s">
        <v>354</v>
      </c>
      <c r="D74" s="6" t="s">
        <v>126</v>
      </c>
      <c r="E74" s="6" t="s">
        <v>60</v>
      </c>
      <c r="F74" s="6">
        <v>29869.59</v>
      </c>
      <c r="G74" s="2">
        <v>12</v>
      </c>
      <c r="H74" s="61">
        <v>3.99</v>
      </c>
      <c r="I74" s="61">
        <v>12.27</v>
      </c>
      <c r="J74" s="47">
        <f t="shared" si="5"/>
        <v>-0.66749999999999998</v>
      </c>
      <c r="K74" s="47">
        <f t="shared" si="6"/>
        <v>2.0751879699248117</v>
      </c>
      <c r="L74" s="8">
        <v>15.52</v>
      </c>
      <c r="M74" s="8">
        <v>47.85</v>
      </c>
      <c r="N74" s="8">
        <v>20.78</v>
      </c>
      <c r="O74" s="17">
        <f t="shared" si="7"/>
        <v>-0.71685393258426966</v>
      </c>
      <c r="P74" s="17">
        <f t="shared" si="8"/>
        <v>0.10013550724637683</v>
      </c>
      <c r="Q74" s="17">
        <v>16.43</v>
      </c>
      <c r="R74" s="9">
        <v>20220803</v>
      </c>
      <c r="S74" s="9">
        <v>10.35</v>
      </c>
      <c r="T74" s="9">
        <v>2.29</v>
      </c>
      <c r="U74" s="9">
        <v>5788.9018500000002</v>
      </c>
      <c r="V74" s="45">
        <f t="shared" si="9"/>
        <v>-0.99960441547303136</v>
      </c>
      <c r="W74" s="12">
        <v>37.57</v>
      </c>
      <c r="X74" s="12">
        <v>0.62</v>
      </c>
      <c r="Y74" s="62">
        <v>0.81</v>
      </c>
    </row>
    <row r="75" spans="1:25" x14ac:dyDescent="0.2">
      <c r="A75" s="3" t="s">
        <v>2381</v>
      </c>
      <c r="B75" s="3" t="s">
        <v>467</v>
      </c>
      <c r="C75" s="6" t="s">
        <v>354</v>
      </c>
      <c r="D75" s="6" t="s">
        <v>246</v>
      </c>
      <c r="E75" s="6" t="s">
        <v>250</v>
      </c>
      <c r="F75" s="6">
        <v>3289.15</v>
      </c>
      <c r="G75" s="2">
        <v>12</v>
      </c>
      <c r="H75" s="61">
        <v>3.15</v>
      </c>
      <c r="I75" s="61">
        <v>3.72</v>
      </c>
      <c r="J75" s="47">
        <f t="shared" si="5"/>
        <v>-0.73749999999999993</v>
      </c>
      <c r="K75" s="47">
        <f t="shared" si="6"/>
        <v>0.18095238095238106</v>
      </c>
      <c r="L75" s="8">
        <v>3.99</v>
      </c>
      <c r="M75" s="8">
        <v>17.73</v>
      </c>
      <c r="N75" s="8">
        <v>16.59</v>
      </c>
      <c r="O75" s="17">
        <f t="shared" si="7"/>
        <v>-0.24040677966101695</v>
      </c>
      <c r="P75" s="17">
        <f t="shared" si="8"/>
        <v>0.9168157894736837</v>
      </c>
      <c r="Q75" s="17">
        <v>15.44</v>
      </c>
      <c r="R75" s="9">
        <v>20220803</v>
      </c>
      <c r="S75" s="9">
        <v>6.23</v>
      </c>
      <c r="T75" s="9">
        <v>-2.5299999999999998</v>
      </c>
      <c r="U75" s="9">
        <v>1516.84997</v>
      </c>
      <c r="V75" s="45">
        <f t="shared" si="9"/>
        <v>-1.0016679302831775</v>
      </c>
      <c r="W75" s="12">
        <v>-3.88</v>
      </c>
      <c r="X75" s="12">
        <v>4.21</v>
      </c>
      <c r="Y75" s="62">
        <v>1.9</v>
      </c>
    </row>
    <row r="76" spans="1:25" x14ac:dyDescent="0.2">
      <c r="A76" s="3" t="s">
        <v>2382</v>
      </c>
      <c r="B76" s="3" t="s">
        <v>2383</v>
      </c>
      <c r="C76" s="6" t="s">
        <v>356</v>
      </c>
      <c r="D76" s="6" t="s">
        <v>145</v>
      </c>
      <c r="E76" s="6" t="s">
        <v>140</v>
      </c>
      <c r="F76" s="6">
        <v>10331.209999999999</v>
      </c>
      <c r="G76" s="2">
        <v>12</v>
      </c>
      <c r="H76" s="61">
        <v>1.5</v>
      </c>
      <c r="I76" s="61">
        <v>1.28</v>
      </c>
      <c r="J76" s="47">
        <f t="shared" si="5"/>
        <v>-0.875</v>
      </c>
      <c r="K76" s="47">
        <f t="shared" si="6"/>
        <v>-0.14666666666666664</v>
      </c>
      <c r="L76" s="8">
        <v>1.41</v>
      </c>
      <c r="M76" s="8">
        <v>18.52</v>
      </c>
      <c r="N76" s="8">
        <v>19.239999999999998</v>
      </c>
      <c r="O76" s="17">
        <f t="shared" si="7"/>
        <v>-0.21165714285714285</v>
      </c>
      <c r="P76" s="17">
        <f t="shared" si="8"/>
        <v>-1.311818181818182</v>
      </c>
      <c r="Q76" s="17">
        <v>17.41</v>
      </c>
      <c r="R76" s="9">
        <v>20220531</v>
      </c>
      <c r="S76" s="9">
        <v>15.35</v>
      </c>
      <c r="T76" s="9">
        <v>2.0299999999999998</v>
      </c>
      <c r="U76" s="9">
        <v>4840.9101499999997</v>
      </c>
      <c r="V76" s="45">
        <f t="shared" si="9"/>
        <v>-0.99958065736873891</v>
      </c>
      <c r="X76" s="12">
        <v>1.87</v>
      </c>
      <c r="Y76" s="62">
        <v>2.0499999999999998</v>
      </c>
    </row>
    <row r="77" spans="1:25" x14ac:dyDescent="0.2">
      <c r="A77" s="3" t="s">
        <v>2384</v>
      </c>
      <c r="B77" s="3" t="s">
        <v>520</v>
      </c>
      <c r="C77" s="6" t="s">
        <v>355</v>
      </c>
      <c r="D77" s="6" t="s">
        <v>143</v>
      </c>
      <c r="E77" s="6" t="s">
        <v>119</v>
      </c>
      <c r="F77" s="6">
        <v>4682.5</v>
      </c>
      <c r="G77" s="2">
        <v>3</v>
      </c>
      <c r="H77" s="61">
        <v>0.8</v>
      </c>
      <c r="I77" s="61">
        <v>1.03</v>
      </c>
      <c r="J77" s="47">
        <f t="shared" si="5"/>
        <v>-0.73333333333333339</v>
      </c>
      <c r="K77" s="47">
        <f t="shared" si="6"/>
        <v>0.28749999999999998</v>
      </c>
      <c r="L77" s="8">
        <v>1.18</v>
      </c>
      <c r="M77" s="8">
        <v>31.51</v>
      </c>
      <c r="N77" s="8">
        <v>23.86</v>
      </c>
      <c r="O77" s="17">
        <f t="shared" si="7"/>
        <v>-0.42968181818181816</v>
      </c>
      <c r="P77" s="17">
        <f t="shared" si="8"/>
        <v>0.829913043478261</v>
      </c>
      <c r="Q77" s="17">
        <v>20.83</v>
      </c>
      <c r="R77" s="9">
        <v>20220804</v>
      </c>
      <c r="S77" s="9">
        <v>18.12</v>
      </c>
      <c r="U77" s="9">
        <v>897.59996999999998</v>
      </c>
      <c r="V77" s="45">
        <f t="shared" si="9"/>
        <v>-1</v>
      </c>
      <c r="W77" s="12">
        <v>0</v>
      </c>
      <c r="X77" s="12">
        <v>0</v>
      </c>
      <c r="Y77" s="62"/>
    </row>
    <row r="78" spans="1:25" x14ac:dyDescent="0.2">
      <c r="A78" s="3" t="s">
        <v>2385</v>
      </c>
      <c r="B78" s="3" t="s">
        <v>52</v>
      </c>
      <c r="C78" s="6" t="s">
        <v>355</v>
      </c>
      <c r="D78" s="6" t="s">
        <v>186</v>
      </c>
      <c r="E78" s="6" t="s">
        <v>208</v>
      </c>
      <c r="F78" s="6">
        <v>21658.13</v>
      </c>
      <c r="G78" s="2">
        <v>12</v>
      </c>
      <c r="H78" s="61">
        <v>11.09</v>
      </c>
      <c r="I78" s="61">
        <v>10.14</v>
      </c>
      <c r="J78" s="47">
        <f t="shared" si="5"/>
        <v>-7.583333333333335E-2</v>
      </c>
      <c r="K78" s="47">
        <f t="shared" si="6"/>
        <v>-8.5662759242560796E-2</v>
      </c>
      <c r="L78" s="8">
        <v>12.85</v>
      </c>
      <c r="M78" s="8">
        <v>25.28</v>
      </c>
      <c r="N78" s="8">
        <v>27.1</v>
      </c>
      <c r="O78" s="17">
        <f t="shared" si="7"/>
        <v>-3.3336263736263732</v>
      </c>
      <c r="P78" s="17">
        <f t="shared" si="8"/>
        <v>-3.1635684210526347</v>
      </c>
      <c r="Q78" s="17">
        <v>21.39</v>
      </c>
      <c r="R78" s="9">
        <v>20220727</v>
      </c>
      <c r="S78" s="9">
        <v>19.899999999999999</v>
      </c>
      <c r="T78" s="9">
        <v>25.07</v>
      </c>
      <c r="U78" s="9">
        <v>4242.6362300000001</v>
      </c>
      <c r="V78" s="45">
        <f t="shared" si="9"/>
        <v>-0.99409093812410132</v>
      </c>
      <c r="W78" s="12">
        <v>-4.91</v>
      </c>
      <c r="X78" s="12">
        <v>0</v>
      </c>
      <c r="Y78" s="62">
        <v>3.74</v>
      </c>
    </row>
    <row r="79" spans="1:25" x14ac:dyDescent="0.2">
      <c r="A79" s="3" t="s">
        <v>2386</v>
      </c>
      <c r="B79" s="3" t="s">
        <v>2387</v>
      </c>
      <c r="C79" s="6" t="s">
        <v>354</v>
      </c>
      <c r="D79" s="6" t="s">
        <v>177</v>
      </c>
      <c r="E79" s="6" t="s">
        <v>119</v>
      </c>
      <c r="F79" s="6">
        <v>4483.01</v>
      </c>
      <c r="G79" s="2">
        <v>12</v>
      </c>
      <c r="H79" s="61"/>
      <c r="I79" s="61">
        <v>0.55000000000000004</v>
      </c>
      <c r="J79" s="47">
        <f t="shared" si="5"/>
        <v>-1</v>
      </c>
      <c r="K79" s="47" t="e">
        <f t="shared" si="6"/>
        <v>#DIV/0!</v>
      </c>
      <c r="L79" s="8">
        <v>0.65</v>
      </c>
      <c r="N79" s="8">
        <v>14.51</v>
      </c>
      <c r="O79" s="17">
        <f t="shared" si="7"/>
        <v>0</v>
      </c>
      <c r="P79" s="17" t="e">
        <f t="shared" si="8"/>
        <v>#DIV/0!</v>
      </c>
      <c r="Q79" s="17">
        <v>12.28</v>
      </c>
      <c r="R79" s="9">
        <v>20220811</v>
      </c>
      <c r="S79" s="9">
        <v>6.33</v>
      </c>
      <c r="V79" s="45" t="e">
        <f t="shared" si="9"/>
        <v>#DIV/0!</v>
      </c>
      <c r="X79" s="12">
        <v>0</v>
      </c>
      <c r="Y79" s="62"/>
    </row>
    <row r="80" spans="1:25" x14ac:dyDescent="0.2">
      <c r="A80" s="3" t="s">
        <v>2388</v>
      </c>
      <c r="B80" s="3" t="s">
        <v>2071</v>
      </c>
      <c r="C80" s="6" t="s">
        <v>356</v>
      </c>
      <c r="D80" s="6" t="s">
        <v>172</v>
      </c>
      <c r="E80" s="6" t="s">
        <v>163</v>
      </c>
      <c r="F80" s="6">
        <v>86838.15</v>
      </c>
      <c r="G80" s="2">
        <v>12</v>
      </c>
      <c r="H80" s="61">
        <v>2.52</v>
      </c>
      <c r="I80" s="61">
        <v>1.86</v>
      </c>
      <c r="J80" s="47">
        <f t="shared" si="5"/>
        <v>-0.79</v>
      </c>
      <c r="K80" s="47">
        <f t="shared" si="6"/>
        <v>-0.26190476190476186</v>
      </c>
      <c r="L80" s="8">
        <v>2.46</v>
      </c>
      <c r="M80" s="8">
        <v>16.48</v>
      </c>
      <c r="N80" s="8">
        <v>11.43</v>
      </c>
      <c r="O80" s="17">
        <f t="shared" si="7"/>
        <v>-0.20860759493670886</v>
      </c>
      <c r="P80" s="17">
        <f t="shared" si="8"/>
        <v>-0.43641818181818187</v>
      </c>
      <c r="Q80" s="17">
        <v>8.64</v>
      </c>
      <c r="R80" s="9">
        <v>20220805</v>
      </c>
      <c r="S80" s="9">
        <v>5.57</v>
      </c>
      <c r="T80" s="9">
        <v>5.19</v>
      </c>
      <c r="V80" s="45" t="e">
        <f t="shared" si="9"/>
        <v>#DIV/0!</v>
      </c>
      <c r="X80" s="12">
        <v>3.69</v>
      </c>
      <c r="Y80" s="62"/>
    </row>
    <row r="81" spans="1:25" x14ac:dyDescent="0.2">
      <c r="A81" s="3" t="s">
        <v>2389</v>
      </c>
      <c r="B81" s="3" t="s">
        <v>398</v>
      </c>
      <c r="C81" s="6" t="s">
        <v>354</v>
      </c>
      <c r="D81" s="6" t="s">
        <v>235</v>
      </c>
      <c r="E81" s="6" t="s">
        <v>237</v>
      </c>
      <c r="F81" s="6">
        <v>5942.71</v>
      </c>
      <c r="G81" s="2">
        <v>12</v>
      </c>
      <c r="H81" s="61">
        <v>-2.13</v>
      </c>
      <c r="I81" s="61">
        <v>3.92</v>
      </c>
      <c r="J81" s="47">
        <f t="shared" si="5"/>
        <v>-1.1775</v>
      </c>
      <c r="K81" s="47">
        <f t="shared" si="6"/>
        <v>2.84037558685446</v>
      </c>
      <c r="L81" s="8">
        <v>6.49</v>
      </c>
      <c r="M81" s="8">
        <v>589.13</v>
      </c>
      <c r="N81" s="8">
        <v>12.04</v>
      </c>
      <c r="O81" s="17">
        <f t="shared" si="7"/>
        <v>-5.0032271762208067</v>
      </c>
      <c r="P81" s="17">
        <f t="shared" si="8"/>
        <v>4.2388760330578507E-2</v>
      </c>
      <c r="Q81" s="17">
        <v>7.27</v>
      </c>
      <c r="R81" s="9">
        <v>20220728</v>
      </c>
      <c r="S81" s="9">
        <v>0.36</v>
      </c>
      <c r="T81" s="9">
        <v>-12.18</v>
      </c>
      <c r="U81" s="9">
        <v>9447.5956999999999</v>
      </c>
      <c r="V81" s="45">
        <f t="shared" si="9"/>
        <v>-1.0012892168956806</v>
      </c>
      <c r="W81" s="12">
        <v>15.82</v>
      </c>
      <c r="X81" s="12">
        <v>0</v>
      </c>
      <c r="Y81" s="62"/>
    </row>
    <row r="82" spans="1:25" x14ac:dyDescent="0.2">
      <c r="A82" s="3" t="s">
        <v>2390</v>
      </c>
      <c r="B82" s="3" t="s">
        <v>1930</v>
      </c>
      <c r="C82" s="6" t="s">
        <v>355</v>
      </c>
      <c r="D82" s="6" t="s">
        <v>185</v>
      </c>
      <c r="E82" s="6" t="s">
        <v>208</v>
      </c>
      <c r="F82" s="6">
        <v>4798.21</v>
      </c>
      <c r="G82" s="2">
        <v>12</v>
      </c>
      <c r="H82" s="61">
        <v>0.67</v>
      </c>
      <c r="I82" s="61">
        <v>-0.03</v>
      </c>
      <c r="J82" s="47">
        <f t="shared" si="5"/>
        <v>-0.94416666666666671</v>
      </c>
      <c r="K82" s="47">
        <f t="shared" si="6"/>
        <v>-1.0447761194029852</v>
      </c>
      <c r="L82" s="8">
        <v>0.62</v>
      </c>
      <c r="M82" s="8">
        <v>37.17</v>
      </c>
      <c r="O82" s="17">
        <f t="shared" si="7"/>
        <v>-0.39368049426301854</v>
      </c>
      <c r="P82" s="17">
        <f t="shared" si="8"/>
        <v>0</v>
      </c>
      <c r="Q82" s="17">
        <v>47.35</v>
      </c>
      <c r="R82" s="9">
        <v>20220727</v>
      </c>
      <c r="S82" s="9">
        <v>3.87</v>
      </c>
      <c r="T82" s="9">
        <v>6.2</v>
      </c>
      <c r="U82" s="9">
        <v>1089.66003</v>
      </c>
      <c r="V82" s="45">
        <f t="shared" si="9"/>
        <v>-0.99431015194711692</v>
      </c>
      <c r="W82" s="12">
        <v>1100</v>
      </c>
      <c r="X82" s="12">
        <v>0</v>
      </c>
      <c r="Y82" s="62"/>
    </row>
    <row r="83" spans="1:25" x14ac:dyDescent="0.2">
      <c r="A83" s="3" t="s">
        <v>2391</v>
      </c>
      <c r="B83" s="3" t="s">
        <v>55</v>
      </c>
      <c r="C83" s="6" t="s">
        <v>354</v>
      </c>
      <c r="D83" s="6" t="s">
        <v>173</v>
      </c>
      <c r="E83" s="6" t="s">
        <v>163</v>
      </c>
      <c r="F83" s="6">
        <v>36762.480000000003</v>
      </c>
      <c r="G83" s="2">
        <v>12</v>
      </c>
      <c r="H83" s="61">
        <v>13.43</v>
      </c>
      <c r="I83" s="61">
        <v>9.14</v>
      </c>
      <c r="J83" s="47">
        <f t="shared" si="5"/>
        <v>0.11916666666666664</v>
      </c>
      <c r="K83" s="47">
        <f t="shared" si="6"/>
        <v>-0.31943410275502598</v>
      </c>
      <c r="L83" s="8">
        <v>12.82</v>
      </c>
      <c r="M83" s="8">
        <v>13.57</v>
      </c>
      <c r="N83" s="8">
        <v>14.64</v>
      </c>
      <c r="O83" s="17">
        <f t="shared" si="7"/>
        <v>1.1387412587412591</v>
      </c>
      <c r="P83" s="17">
        <f t="shared" si="8"/>
        <v>-0.45831048951048964</v>
      </c>
      <c r="Q83" s="17">
        <v>10.43</v>
      </c>
      <c r="R83" s="9">
        <v>20220803</v>
      </c>
      <c r="S83" s="9">
        <v>12.5</v>
      </c>
      <c r="T83" s="9">
        <v>6.65</v>
      </c>
      <c r="U83" s="9">
        <v>48699.445310000003</v>
      </c>
      <c r="V83" s="45">
        <f t="shared" si="9"/>
        <v>-0.99986344813667449</v>
      </c>
      <c r="W83" s="12">
        <v>-7.53</v>
      </c>
      <c r="X83" s="12">
        <v>2.54</v>
      </c>
      <c r="Y83" s="62">
        <v>2.7</v>
      </c>
    </row>
    <row r="84" spans="1:25" x14ac:dyDescent="0.2">
      <c r="A84" s="3" t="s">
        <v>2392</v>
      </c>
      <c r="B84" s="3" t="s">
        <v>56</v>
      </c>
      <c r="C84" s="6" t="s">
        <v>354</v>
      </c>
      <c r="D84" s="6" t="s">
        <v>226</v>
      </c>
      <c r="E84" s="6" t="s">
        <v>201</v>
      </c>
      <c r="F84" s="6">
        <v>9727.0300000000007</v>
      </c>
      <c r="G84" s="2">
        <v>12</v>
      </c>
      <c r="H84" s="61">
        <v>5.08</v>
      </c>
      <c r="I84" s="61">
        <v>5.67</v>
      </c>
      <c r="J84" s="47">
        <f t="shared" si="5"/>
        <v>-0.57666666666666666</v>
      </c>
      <c r="K84" s="47">
        <f t="shared" si="6"/>
        <v>0.11614173228346454</v>
      </c>
      <c r="L84" s="8">
        <v>6.42</v>
      </c>
      <c r="M84" s="8">
        <v>21.89</v>
      </c>
      <c r="N84" s="8">
        <v>19.55</v>
      </c>
      <c r="O84" s="17">
        <f t="shared" si="7"/>
        <v>-0.37959537572254337</v>
      </c>
      <c r="P84" s="17">
        <f t="shared" si="8"/>
        <v>1.6832881355932208</v>
      </c>
      <c r="Q84" s="17">
        <v>17.25</v>
      </c>
      <c r="R84" s="9">
        <v>20220728</v>
      </c>
      <c r="S84" s="9">
        <v>57.54</v>
      </c>
      <c r="T84" s="9">
        <v>4.07</v>
      </c>
      <c r="U84" s="9">
        <v>3100.5349099999999</v>
      </c>
      <c r="V84" s="45">
        <f t="shared" si="9"/>
        <v>-0.99868732327867893</v>
      </c>
      <c r="W84" s="12">
        <v>8.08</v>
      </c>
      <c r="X84" s="12">
        <v>1.48</v>
      </c>
      <c r="Y84" s="62">
        <v>2.17</v>
      </c>
    </row>
    <row r="85" spans="1:25" x14ac:dyDescent="0.2">
      <c r="A85" s="3" t="s">
        <v>2393</v>
      </c>
      <c r="B85" s="3" t="s">
        <v>57</v>
      </c>
      <c r="C85" s="6" t="s">
        <v>354</v>
      </c>
      <c r="D85" s="6" t="s">
        <v>148</v>
      </c>
      <c r="E85" s="6" t="s">
        <v>163</v>
      </c>
      <c r="F85" s="6">
        <v>13509.79</v>
      </c>
      <c r="G85" s="2">
        <v>12</v>
      </c>
      <c r="H85" s="61">
        <v>8.59</v>
      </c>
      <c r="I85" s="61">
        <v>7.84</v>
      </c>
      <c r="J85" s="47">
        <f t="shared" si="5"/>
        <v>-0.28416666666666668</v>
      </c>
      <c r="K85" s="47">
        <f t="shared" si="6"/>
        <v>-8.7310826542491268E-2</v>
      </c>
      <c r="L85" s="8">
        <v>7.53</v>
      </c>
      <c r="M85" s="8">
        <v>4.9000000000000004</v>
      </c>
      <c r="N85" s="8">
        <v>5.34</v>
      </c>
      <c r="O85" s="17">
        <f t="shared" si="7"/>
        <v>-0.17243401759530794</v>
      </c>
      <c r="P85" s="17">
        <f t="shared" si="8"/>
        <v>-0.61160800000000004</v>
      </c>
      <c r="Q85" s="17">
        <v>5.56</v>
      </c>
      <c r="R85" s="9">
        <v>20220719</v>
      </c>
      <c r="S85" s="9">
        <v>21.56</v>
      </c>
      <c r="T85" s="9">
        <v>4.04</v>
      </c>
      <c r="U85" s="9">
        <v>8819.4824200000003</v>
      </c>
      <c r="V85" s="45">
        <f t="shared" si="9"/>
        <v>-0.99954192323227053</v>
      </c>
      <c r="W85" s="12">
        <v>5.18</v>
      </c>
      <c r="X85" s="12">
        <v>2.87</v>
      </c>
      <c r="Y85" s="62">
        <v>0.17</v>
      </c>
    </row>
    <row r="86" spans="1:25" x14ac:dyDescent="0.2">
      <c r="A86" s="3" t="s">
        <v>2394</v>
      </c>
      <c r="B86" s="3" t="s">
        <v>2072</v>
      </c>
      <c r="C86" s="6" t="s">
        <v>356</v>
      </c>
      <c r="D86" s="6" t="s">
        <v>235</v>
      </c>
      <c r="E86" s="6" t="s">
        <v>237</v>
      </c>
      <c r="F86" s="6">
        <v>7022.24</v>
      </c>
      <c r="G86" s="2">
        <v>3</v>
      </c>
      <c r="H86" s="61"/>
      <c r="I86" s="61"/>
      <c r="J86" s="47">
        <f t="shared" si="5"/>
        <v>-1</v>
      </c>
      <c r="K86" s="47" t="e">
        <f t="shared" si="6"/>
        <v>#DIV/0!</v>
      </c>
      <c r="O86" s="17">
        <f t="shared" si="7"/>
        <v>0</v>
      </c>
      <c r="P86" s="17" t="e">
        <f t="shared" si="8"/>
        <v>#DIV/0!</v>
      </c>
      <c r="Q86" s="17"/>
      <c r="R86" s="9">
        <v>20220729</v>
      </c>
      <c r="S86" s="9">
        <v>-18.66</v>
      </c>
      <c r="T86" s="9">
        <v>-18.45</v>
      </c>
      <c r="V86" s="45" t="e">
        <f t="shared" si="9"/>
        <v>#DIV/0!</v>
      </c>
      <c r="X86" s="12">
        <v>0</v>
      </c>
      <c r="Y86" s="62"/>
    </row>
    <row r="87" spans="1:25" x14ac:dyDescent="0.2">
      <c r="A87" s="3" t="s">
        <v>2395</v>
      </c>
      <c r="B87" s="3" t="s">
        <v>58</v>
      </c>
      <c r="C87" s="6" t="s">
        <v>355</v>
      </c>
      <c r="D87" s="6" t="s">
        <v>185</v>
      </c>
      <c r="E87" s="6" t="s">
        <v>208</v>
      </c>
      <c r="F87" s="6">
        <v>15174.18</v>
      </c>
      <c r="G87" s="2">
        <v>12</v>
      </c>
      <c r="H87" s="61">
        <v>-6.46</v>
      </c>
      <c r="I87" s="61">
        <v>-6.78</v>
      </c>
      <c r="J87" s="47">
        <f t="shared" si="5"/>
        <v>-1.5383333333333333</v>
      </c>
      <c r="K87" s="47">
        <f t="shared" si="6"/>
        <v>-4.9535603715170323E-2</v>
      </c>
      <c r="L87" s="8">
        <v>-2.67</v>
      </c>
      <c r="O87" s="17">
        <f t="shared" si="7"/>
        <v>0</v>
      </c>
      <c r="P87" s="17">
        <f t="shared" si="8"/>
        <v>0</v>
      </c>
      <c r="Q87" s="17"/>
      <c r="R87" s="9">
        <v>20220802</v>
      </c>
      <c r="S87" s="9">
        <v>-137.44</v>
      </c>
      <c r="T87" s="9">
        <v>85.32</v>
      </c>
      <c r="U87" s="9">
        <v>1078.40002</v>
      </c>
      <c r="V87" s="45">
        <f t="shared" si="9"/>
        <v>-0.92088279078481472</v>
      </c>
      <c r="W87" s="12">
        <v>-3.63</v>
      </c>
      <c r="X87" s="12">
        <v>0</v>
      </c>
      <c r="Y87" s="62"/>
    </row>
    <row r="88" spans="1:25" x14ac:dyDescent="0.2">
      <c r="A88" s="3" t="s">
        <v>2396</v>
      </c>
      <c r="B88" s="3" t="s">
        <v>393</v>
      </c>
      <c r="C88" s="6" t="s">
        <v>356</v>
      </c>
      <c r="D88" s="6" t="s">
        <v>187</v>
      </c>
      <c r="E88" s="6" t="s">
        <v>208</v>
      </c>
      <c r="F88" s="6">
        <v>29502.13</v>
      </c>
      <c r="G88" s="2">
        <v>3</v>
      </c>
      <c r="H88" s="61">
        <v>1.02</v>
      </c>
      <c r="I88" s="61">
        <v>1.1000000000000001</v>
      </c>
      <c r="J88" s="47">
        <f t="shared" si="5"/>
        <v>-0.66</v>
      </c>
      <c r="K88" s="47">
        <f t="shared" si="6"/>
        <v>7.8431372549019676E-2</v>
      </c>
      <c r="L88" s="8">
        <v>1.24</v>
      </c>
      <c r="M88" s="8">
        <v>24.72</v>
      </c>
      <c r="N88" s="8">
        <v>14.65</v>
      </c>
      <c r="O88" s="17">
        <f t="shared" si="7"/>
        <v>-0.37454545454545451</v>
      </c>
      <c r="P88" s="17">
        <f t="shared" si="8"/>
        <v>1.8678749999999984</v>
      </c>
      <c r="Q88" s="17">
        <v>12.99</v>
      </c>
      <c r="R88" s="9">
        <v>20220729</v>
      </c>
      <c r="S88" s="9">
        <v>9.3699999999999992</v>
      </c>
      <c r="T88" s="9">
        <v>0.06</v>
      </c>
      <c r="U88" s="9">
        <v>12859.12011</v>
      </c>
      <c r="V88" s="45">
        <f t="shared" si="9"/>
        <v>-0.99999533405089258</v>
      </c>
      <c r="X88" s="12">
        <v>1.94</v>
      </c>
      <c r="Y88" s="62">
        <v>0.62</v>
      </c>
    </row>
    <row r="89" spans="1:25" x14ac:dyDescent="0.2">
      <c r="A89" s="3" t="s">
        <v>2397</v>
      </c>
      <c r="B89" s="3" t="s">
        <v>446</v>
      </c>
      <c r="C89" s="6" t="s">
        <v>355</v>
      </c>
      <c r="D89" s="6" t="s">
        <v>226</v>
      </c>
      <c r="E89" s="6" t="s">
        <v>201</v>
      </c>
      <c r="F89" s="6">
        <v>3265.19</v>
      </c>
      <c r="G89" s="2">
        <v>12</v>
      </c>
      <c r="H89" s="61">
        <v>1.88</v>
      </c>
      <c r="I89" s="61">
        <v>1.88</v>
      </c>
      <c r="J89" s="47">
        <f t="shared" si="5"/>
        <v>-0.84333333333333338</v>
      </c>
      <c r="K89" s="47">
        <f t="shared" si="6"/>
        <v>0</v>
      </c>
      <c r="L89" s="8">
        <v>2.12</v>
      </c>
      <c r="M89" s="8">
        <v>34.49</v>
      </c>
      <c r="N89" s="8">
        <v>34.74</v>
      </c>
      <c r="O89" s="17">
        <f t="shared" si="7"/>
        <v>-0.40897233201581024</v>
      </c>
      <c r="P89" s="17" t="e">
        <f t="shared" si="8"/>
        <v>#DIV/0!</v>
      </c>
      <c r="Q89" s="17">
        <v>30.77</v>
      </c>
      <c r="R89" s="9">
        <v>20220804</v>
      </c>
      <c r="S89" s="9">
        <v>11.71</v>
      </c>
      <c r="T89" s="9">
        <v>22.16</v>
      </c>
      <c r="U89" s="9">
        <v>836.67998999999998</v>
      </c>
      <c r="V89" s="45">
        <f t="shared" si="9"/>
        <v>-0.97351436598836316</v>
      </c>
      <c r="W89" s="12">
        <v>18.18</v>
      </c>
      <c r="X89" s="12">
        <v>0</v>
      </c>
      <c r="Y89" s="62">
        <v>2.3199999999999998</v>
      </c>
    </row>
    <row r="90" spans="1:25" x14ac:dyDescent="0.2">
      <c r="A90" s="3" t="s">
        <v>2398</v>
      </c>
      <c r="B90" s="3" t="s">
        <v>1839</v>
      </c>
      <c r="C90" s="6" t="s">
        <v>356</v>
      </c>
      <c r="D90" s="6" t="s">
        <v>239</v>
      </c>
      <c r="E90" s="6" t="s">
        <v>237</v>
      </c>
      <c r="F90" s="6">
        <v>9811.82</v>
      </c>
      <c r="G90" s="2">
        <v>3</v>
      </c>
      <c r="H90" s="61">
        <v>0.08</v>
      </c>
      <c r="I90" s="61">
        <v>0.09</v>
      </c>
      <c r="J90" s="47">
        <f t="shared" si="5"/>
        <v>-0.97333333333333327</v>
      </c>
      <c r="K90" s="47">
        <f t="shared" si="6"/>
        <v>0.12499999999999993</v>
      </c>
      <c r="L90" s="8">
        <v>0.16</v>
      </c>
      <c r="N90" s="8">
        <v>27.63</v>
      </c>
      <c r="O90" s="17">
        <f t="shared" si="7"/>
        <v>0</v>
      </c>
      <c r="P90" s="17">
        <f t="shared" si="8"/>
        <v>2.2104000000000013</v>
      </c>
      <c r="Q90" s="17">
        <v>16.93</v>
      </c>
      <c r="U90" s="9">
        <v>17969.54492</v>
      </c>
      <c r="V90" s="45">
        <f t="shared" si="9"/>
        <v>-1</v>
      </c>
      <c r="X90" s="12">
        <v>0.77</v>
      </c>
      <c r="Y90" s="62">
        <v>2.5</v>
      </c>
    </row>
    <row r="91" spans="1:25" x14ac:dyDescent="0.2">
      <c r="A91" s="3" t="s">
        <v>2399</v>
      </c>
      <c r="B91" s="3" t="s">
        <v>59</v>
      </c>
      <c r="C91" s="6" t="s">
        <v>354</v>
      </c>
      <c r="D91" s="6" t="s">
        <v>54</v>
      </c>
      <c r="E91" s="6" t="s">
        <v>35</v>
      </c>
      <c r="F91" s="6">
        <v>3781.64</v>
      </c>
      <c r="G91" s="2">
        <v>12</v>
      </c>
      <c r="H91" s="61">
        <v>3.89</v>
      </c>
      <c r="I91" s="61">
        <v>5.14</v>
      </c>
      <c r="J91" s="47">
        <f t="shared" si="5"/>
        <v>-0.67583333333333329</v>
      </c>
      <c r="K91" s="47">
        <f t="shared" si="6"/>
        <v>0.32133676092544977</v>
      </c>
      <c r="L91" s="8">
        <v>6.06</v>
      </c>
      <c r="M91" s="8">
        <v>8.9600000000000009</v>
      </c>
      <c r="N91" s="8">
        <v>7.58</v>
      </c>
      <c r="O91" s="17">
        <f t="shared" si="7"/>
        <v>-0.13257706535141803</v>
      </c>
      <c r="P91" s="17">
        <f t="shared" si="8"/>
        <v>0.23588960000000009</v>
      </c>
      <c r="Q91" s="17">
        <v>6.43</v>
      </c>
      <c r="R91" s="9">
        <v>20220727</v>
      </c>
      <c r="S91" s="9">
        <v>65.55</v>
      </c>
      <c r="T91" s="9">
        <v>-0.51</v>
      </c>
      <c r="U91" s="9">
        <v>2729.9980399999999</v>
      </c>
      <c r="V91" s="45">
        <f t="shared" si="9"/>
        <v>-1.0001868133209357</v>
      </c>
      <c r="W91" s="12">
        <v>12.07</v>
      </c>
      <c r="X91" s="12">
        <v>2.16</v>
      </c>
      <c r="Y91" s="62">
        <v>1.08</v>
      </c>
    </row>
    <row r="92" spans="1:25" x14ac:dyDescent="0.2">
      <c r="A92" s="3" t="s">
        <v>2400</v>
      </c>
      <c r="B92" s="3" t="s">
        <v>447</v>
      </c>
      <c r="C92" s="6" t="s">
        <v>355</v>
      </c>
      <c r="D92" s="6" t="s">
        <v>145</v>
      </c>
      <c r="E92" s="6" t="s">
        <v>140</v>
      </c>
      <c r="F92" s="6">
        <v>4235.78</v>
      </c>
      <c r="G92" s="2">
        <v>12</v>
      </c>
      <c r="H92" s="61">
        <v>0.56999999999999995</v>
      </c>
      <c r="I92" s="61">
        <v>0.79</v>
      </c>
      <c r="J92" s="47">
        <f t="shared" si="5"/>
        <v>-0.95250000000000001</v>
      </c>
      <c r="K92" s="47">
        <f t="shared" si="6"/>
        <v>0.38596491228070196</v>
      </c>
      <c r="L92" s="8">
        <v>0.94</v>
      </c>
      <c r="M92" s="8">
        <v>70.8</v>
      </c>
      <c r="N92" s="8">
        <v>67.209999999999994</v>
      </c>
      <c r="O92" s="17">
        <f t="shared" si="7"/>
        <v>-0.74330708661417322</v>
      </c>
      <c r="P92" s="17">
        <f t="shared" si="8"/>
        <v>1.7413499999999991</v>
      </c>
      <c r="Q92" s="17">
        <v>56.29</v>
      </c>
      <c r="R92" s="9">
        <v>20220804</v>
      </c>
      <c r="S92" s="9">
        <v>3.27</v>
      </c>
      <c r="T92" s="9">
        <v>11.48</v>
      </c>
      <c r="U92" s="9">
        <v>576.96696999999995</v>
      </c>
      <c r="V92" s="45">
        <f t="shared" si="9"/>
        <v>-0.98010284713525275</v>
      </c>
      <c r="W92" s="12">
        <v>26.67</v>
      </c>
      <c r="X92" s="12">
        <v>0</v>
      </c>
      <c r="Y92" s="62"/>
    </row>
    <row r="93" spans="1:25" x14ac:dyDescent="0.2">
      <c r="A93" s="3" t="s">
        <v>2401</v>
      </c>
      <c r="B93" s="3" t="s">
        <v>61</v>
      </c>
      <c r="C93" s="6" t="s">
        <v>354</v>
      </c>
      <c r="D93" s="6" t="s">
        <v>54</v>
      </c>
      <c r="E93" s="6" t="s">
        <v>35</v>
      </c>
      <c r="F93" s="6">
        <v>6749.08</v>
      </c>
      <c r="G93" s="2">
        <v>12</v>
      </c>
      <c r="H93" s="61">
        <v>4.84</v>
      </c>
      <c r="I93" s="61">
        <v>4.37</v>
      </c>
      <c r="J93" s="47">
        <f t="shared" si="5"/>
        <v>-0.59666666666666668</v>
      </c>
      <c r="K93" s="47">
        <f t="shared" si="6"/>
        <v>-9.710743801652888E-2</v>
      </c>
      <c r="L93" s="8">
        <v>7.82</v>
      </c>
      <c r="M93" s="8">
        <v>21</v>
      </c>
      <c r="N93" s="8">
        <v>17.690000000000001</v>
      </c>
      <c r="O93" s="17">
        <f t="shared" si="7"/>
        <v>-0.35195530726256979</v>
      </c>
      <c r="P93" s="17">
        <f t="shared" si="8"/>
        <v>-1.8216936170212774</v>
      </c>
      <c r="Q93" s="17">
        <v>9.89</v>
      </c>
      <c r="R93" s="9">
        <v>20220715</v>
      </c>
      <c r="S93" s="9">
        <v>12.3</v>
      </c>
      <c r="T93" s="9">
        <v>-6.29</v>
      </c>
      <c r="U93" s="9">
        <v>9253</v>
      </c>
      <c r="V93" s="45">
        <f t="shared" si="9"/>
        <v>-1.000679779530963</v>
      </c>
      <c r="W93" s="12">
        <v>-65.12</v>
      </c>
      <c r="X93" s="12">
        <v>3.31</v>
      </c>
      <c r="Y93" s="62"/>
    </row>
    <row r="94" spans="1:25" x14ac:dyDescent="0.2">
      <c r="A94" s="3" t="s">
        <v>2402</v>
      </c>
      <c r="B94" s="3" t="s">
        <v>468</v>
      </c>
      <c r="C94" s="6" t="s">
        <v>354</v>
      </c>
      <c r="D94" s="6" t="s">
        <v>205</v>
      </c>
      <c r="E94" s="6" t="s">
        <v>218</v>
      </c>
      <c r="F94" s="6">
        <v>5119.2700000000004</v>
      </c>
      <c r="G94" s="2">
        <v>12</v>
      </c>
      <c r="H94" s="61">
        <v>0.7</v>
      </c>
      <c r="I94" s="61">
        <v>0.83</v>
      </c>
      <c r="J94" s="47">
        <f t="shared" si="5"/>
        <v>-0.94166666666666676</v>
      </c>
      <c r="K94" s="47">
        <f t="shared" si="6"/>
        <v>0.18571428571428572</v>
      </c>
      <c r="L94" s="8">
        <v>0.88</v>
      </c>
      <c r="M94" s="8">
        <v>12.74</v>
      </c>
      <c r="N94" s="8">
        <v>12.81</v>
      </c>
      <c r="O94" s="17">
        <f t="shared" si="7"/>
        <v>-0.13529203539823009</v>
      </c>
      <c r="P94" s="17">
        <f t="shared" si="8"/>
        <v>0.68976923076923069</v>
      </c>
      <c r="Q94" s="17">
        <v>12.19</v>
      </c>
      <c r="R94" s="9">
        <v>20220727</v>
      </c>
      <c r="S94" s="9">
        <v>17.41</v>
      </c>
      <c r="T94" s="9">
        <v>107.04</v>
      </c>
      <c r="U94" s="9">
        <v>906.16101000000003</v>
      </c>
      <c r="V94" s="45">
        <f t="shared" si="9"/>
        <v>-0.88187529719470059</v>
      </c>
      <c r="W94" s="12">
        <v>-9.52</v>
      </c>
      <c r="X94" s="12">
        <v>8.41</v>
      </c>
      <c r="Y94" s="62"/>
    </row>
    <row r="95" spans="1:25" x14ac:dyDescent="0.2">
      <c r="A95" s="3" t="s">
        <v>2403</v>
      </c>
      <c r="B95" s="3" t="s">
        <v>331</v>
      </c>
      <c r="C95" s="6" t="s">
        <v>356</v>
      </c>
      <c r="D95" s="6" t="s">
        <v>233</v>
      </c>
      <c r="E95" s="6" t="s">
        <v>108</v>
      </c>
      <c r="F95" s="6">
        <v>28651.75</v>
      </c>
      <c r="G95" s="2">
        <v>12</v>
      </c>
      <c r="H95" s="61">
        <v>-0.12</v>
      </c>
      <c r="I95" s="61">
        <v>1.63</v>
      </c>
      <c r="J95" s="47">
        <f t="shared" si="5"/>
        <v>-1.01</v>
      </c>
      <c r="K95" s="47">
        <f t="shared" si="6"/>
        <v>14.583333333333334</v>
      </c>
      <c r="L95" s="8">
        <v>2.59</v>
      </c>
      <c r="N95" s="8">
        <v>38.94</v>
      </c>
      <c r="O95" s="17">
        <f t="shared" si="7"/>
        <v>0</v>
      </c>
      <c r="P95" s="17">
        <f t="shared" si="8"/>
        <v>2.670171428571428E-2</v>
      </c>
      <c r="Q95" s="17">
        <v>24.59</v>
      </c>
      <c r="R95" s="9">
        <v>20220527</v>
      </c>
      <c r="S95" s="9">
        <v>-1.29</v>
      </c>
      <c r="T95" s="9">
        <v>-19.170000000000002</v>
      </c>
      <c r="U95" s="9">
        <v>4735.2949200000003</v>
      </c>
      <c r="V95" s="45">
        <f t="shared" si="9"/>
        <v>-1.0040483222954146</v>
      </c>
      <c r="W95" s="12">
        <v>0</v>
      </c>
      <c r="X95" s="12">
        <v>0</v>
      </c>
      <c r="Y95" s="62"/>
    </row>
    <row r="96" spans="1:25" x14ac:dyDescent="0.2">
      <c r="A96" s="3" t="s">
        <v>2404</v>
      </c>
      <c r="B96" s="3" t="s">
        <v>62</v>
      </c>
      <c r="C96" s="6" t="s">
        <v>355</v>
      </c>
      <c r="D96" s="6" t="s">
        <v>229</v>
      </c>
      <c r="E96" s="6" t="s">
        <v>119</v>
      </c>
      <c r="F96" s="6">
        <v>101652.22</v>
      </c>
      <c r="G96" s="2">
        <v>10</v>
      </c>
      <c r="H96" s="61">
        <v>6.84</v>
      </c>
      <c r="I96" s="61">
        <v>7.54</v>
      </c>
      <c r="J96" s="47">
        <f t="shared" si="5"/>
        <v>-0.316</v>
      </c>
      <c r="K96" s="47">
        <f t="shared" si="6"/>
        <v>0.10233918128654973</v>
      </c>
      <c r="L96" s="8">
        <v>8.83</v>
      </c>
      <c r="M96" s="8">
        <v>15.18</v>
      </c>
      <c r="N96" s="8">
        <v>15.27</v>
      </c>
      <c r="O96" s="17">
        <f t="shared" si="7"/>
        <v>-0.48037974683544299</v>
      </c>
      <c r="P96" s="17">
        <f t="shared" si="8"/>
        <v>1.4920971428571423</v>
      </c>
      <c r="Q96" s="17">
        <v>13.03</v>
      </c>
      <c r="R96" s="9">
        <v>20220818</v>
      </c>
      <c r="S96" s="9">
        <v>57.17</v>
      </c>
      <c r="T96" s="9">
        <v>10.02</v>
      </c>
      <c r="U96" s="9">
        <v>25469.949209999999</v>
      </c>
      <c r="V96" s="45">
        <f t="shared" si="9"/>
        <v>-0.99960659521079587</v>
      </c>
      <c r="W96" s="12">
        <v>-2.12</v>
      </c>
      <c r="X96" s="12">
        <v>0.9</v>
      </c>
      <c r="Y96" s="62">
        <v>1.72</v>
      </c>
    </row>
    <row r="97" spans="1:25" x14ac:dyDescent="0.2">
      <c r="A97" s="3" t="s">
        <v>2405</v>
      </c>
      <c r="B97" s="3" t="s">
        <v>492</v>
      </c>
      <c r="C97" s="6" t="s">
        <v>355</v>
      </c>
      <c r="D97" s="6" t="s">
        <v>143</v>
      </c>
      <c r="E97" s="6" t="s">
        <v>119</v>
      </c>
      <c r="F97" s="6">
        <v>3052.18</v>
      </c>
      <c r="G97" s="2">
        <v>1</v>
      </c>
      <c r="H97" s="61">
        <v>1.58</v>
      </c>
      <c r="I97" s="61">
        <v>1.74</v>
      </c>
      <c r="J97" s="47">
        <f t="shared" si="5"/>
        <v>0.58000000000000007</v>
      </c>
      <c r="K97" s="47">
        <f t="shared" si="6"/>
        <v>0.10126582278481007</v>
      </c>
      <c r="L97" s="8">
        <v>2.25</v>
      </c>
      <c r="M97" s="8">
        <v>50.09</v>
      </c>
      <c r="N97" s="8">
        <v>46.15</v>
      </c>
      <c r="O97" s="17">
        <f t="shared" si="7"/>
        <v>0.86362068965517236</v>
      </c>
      <c r="P97" s="17">
        <f t="shared" si="8"/>
        <v>4.5573125000000028</v>
      </c>
      <c r="Q97" s="17">
        <v>35.56</v>
      </c>
      <c r="R97" s="9">
        <v>20220531</v>
      </c>
      <c r="S97" s="9">
        <v>-4.95</v>
      </c>
      <c r="T97" s="9">
        <v>-3.11</v>
      </c>
      <c r="U97" s="9">
        <v>386.78600999999998</v>
      </c>
      <c r="V97" s="45">
        <f t="shared" si="9"/>
        <v>-1.0080406217381026</v>
      </c>
      <c r="W97" s="12">
        <v>4.6500000000000004</v>
      </c>
      <c r="X97" s="12">
        <v>0</v>
      </c>
      <c r="Y97" s="62">
        <v>3.35</v>
      </c>
    </row>
    <row r="98" spans="1:25" x14ac:dyDescent="0.2">
      <c r="A98" s="3" t="s">
        <v>2406</v>
      </c>
      <c r="B98" s="3" t="s">
        <v>2407</v>
      </c>
      <c r="C98" s="6" t="s">
        <v>354</v>
      </c>
      <c r="D98" s="6" t="s">
        <v>272</v>
      </c>
      <c r="E98" s="6" t="s">
        <v>108</v>
      </c>
      <c r="F98" s="6">
        <v>3619.78</v>
      </c>
      <c r="G98" s="2">
        <v>12</v>
      </c>
      <c r="H98" s="61">
        <v>0.35</v>
      </c>
      <c r="I98" s="61">
        <v>0.43</v>
      </c>
      <c r="J98" s="47">
        <f t="shared" si="5"/>
        <v>-0.97083333333333333</v>
      </c>
      <c r="K98" s="47">
        <f t="shared" si="6"/>
        <v>0.22857142857142862</v>
      </c>
      <c r="L98" s="8">
        <v>0.56999999999999995</v>
      </c>
      <c r="N98" s="8">
        <v>13.95</v>
      </c>
      <c r="O98" s="17">
        <f t="shared" si="7"/>
        <v>0</v>
      </c>
      <c r="P98" s="17">
        <f t="shared" si="8"/>
        <v>0.61031249999999981</v>
      </c>
      <c r="Q98" s="17">
        <v>10.53</v>
      </c>
      <c r="R98" s="9">
        <v>20220728</v>
      </c>
      <c r="S98" s="9">
        <v>112.89</v>
      </c>
      <c r="U98" s="9">
        <v>5267.8701099999998</v>
      </c>
      <c r="V98" s="45">
        <f t="shared" si="9"/>
        <v>-1</v>
      </c>
      <c r="W98" s="12">
        <v>33.33</v>
      </c>
      <c r="X98" s="12">
        <v>0</v>
      </c>
      <c r="Y98" s="62">
        <v>0.65</v>
      </c>
    </row>
    <row r="99" spans="1:25" x14ac:dyDescent="0.2">
      <c r="A99" s="3" t="s">
        <v>2408</v>
      </c>
      <c r="B99" s="3" t="s">
        <v>1931</v>
      </c>
      <c r="C99" s="6" t="s">
        <v>354</v>
      </c>
      <c r="D99" s="6" t="s">
        <v>621</v>
      </c>
      <c r="E99" s="6" t="s">
        <v>146</v>
      </c>
      <c r="F99" s="6">
        <v>6320.21</v>
      </c>
      <c r="G99" s="2">
        <v>12</v>
      </c>
      <c r="H99" s="61">
        <v>-2.7</v>
      </c>
      <c r="I99" s="61">
        <v>-1.19</v>
      </c>
      <c r="J99" s="47">
        <f t="shared" si="5"/>
        <v>-1.2249999999999999</v>
      </c>
      <c r="K99" s="47">
        <f t="shared" si="6"/>
        <v>0.55925925925925934</v>
      </c>
      <c r="L99" s="8">
        <v>-0.36</v>
      </c>
      <c r="O99" s="17">
        <f t="shared" si="7"/>
        <v>0</v>
      </c>
      <c r="P99" s="17">
        <f t="shared" si="8"/>
        <v>0</v>
      </c>
      <c r="Q99" s="17"/>
      <c r="R99" s="9">
        <v>20220808</v>
      </c>
      <c r="T99" s="9">
        <v>-27</v>
      </c>
      <c r="U99" s="9">
        <v>4381.6000899999999</v>
      </c>
      <c r="V99" s="45">
        <f t="shared" si="9"/>
        <v>-1.0061621324277452</v>
      </c>
      <c r="W99" s="12">
        <v>17.46</v>
      </c>
      <c r="X99" s="12">
        <v>0</v>
      </c>
      <c r="Y99" s="62"/>
    </row>
    <row r="100" spans="1:25" x14ac:dyDescent="0.2">
      <c r="A100" s="3" t="s">
        <v>2409</v>
      </c>
      <c r="B100" s="3" t="s">
        <v>378</v>
      </c>
      <c r="C100" s="6" t="s">
        <v>354</v>
      </c>
      <c r="D100" s="6" t="s">
        <v>137</v>
      </c>
      <c r="E100" s="6" t="s">
        <v>201</v>
      </c>
      <c r="F100" s="6">
        <v>19686.240000000002</v>
      </c>
      <c r="G100" s="2">
        <v>6</v>
      </c>
      <c r="H100" s="61">
        <v>0.74</v>
      </c>
      <c r="I100" s="61">
        <v>0.81</v>
      </c>
      <c r="J100" s="47">
        <f t="shared" si="5"/>
        <v>-0.87666666666666659</v>
      </c>
      <c r="K100" s="47">
        <f t="shared" si="6"/>
        <v>9.4594594594594683E-2</v>
      </c>
      <c r="L100" s="8">
        <v>0.84</v>
      </c>
      <c r="M100" s="8">
        <v>16.38</v>
      </c>
      <c r="N100" s="8">
        <v>16.21</v>
      </c>
      <c r="O100" s="17">
        <f t="shared" si="7"/>
        <v>-0.18684410646387833</v>
      </c>
      <c r="P100" s="17">
        <f t="shared" si="8"/>
        <v>1.7136285714285699</v>
      </c>
      <c r="Q100" s="17">
        <v>15.52</v>
      </c>
      <c r="R100" s="9">
        <v>20220816</v>
      </c>
      <c r="S100" s="9">
        <v>26.05</v>
      </c>
      <c r="T100" s="9">
        <v>41.47</v>
      </c>
      <c r="U100" s="9">
        <v>14432.01757</v>
      </c>
      <c r="V100" s="45">
        <f t="shared" si="9"/>
        <v>-0.99712652788850509</v>
      </c>
      <c r="W100" s="12">
        <v>5</v>
      </c>
      <c r="X100" s="12">
        <v>3.66</v>
      </c>
      <c r="Y100" s="62">
        <v>1.65</v>
      </c>
    </row>
    <row r="101" spans="1:25" x14ac:dyDescent="0.2">
      <c r="A101" s="3" t="s">
        <v>2410</v>
      </c>
      <c r="B101" s="3" t="s">
        <v>332</v>
      </c>
      <c r="C101" s="6" t="s">
        <v>355</v>
      </c>
      <c r="D101" s="6" t="s">
        <v>143</v>
      </c>
      <c r="E101" s="6" t="s">
        <v>119</v>
      </c>
      <c r="F101" s="6">
        <v>160025.16</v>
      </c>
      <c r="G101" s="2">
        <v>12</v>
      </c>
      <c r="H101" s="61">
        <v>2.65</v>
      </c>
      <c r="I101" s="61">
        <v>4.34</v>
      </c>
      <c r="J101" s="47">
        <f t="shared" si="5"/>
        <v>-0.77916666666666667</v>
      </c>
      <c r="K101" s="47">
        <f t="shared" si="6"/>
        <v>0.63773584905660374</v>
      </c>
      <c r="L101" s="8">
        <v>4.95</v>
      </c>
      <c r="M101" s="8">
        <v>28.96</v>
      </c>
      <c r="N101" s="8">
        <v>22.74</v>
      </c>
      <c r="O101" s="17">
        <f t="shared" si="7"/>
        <v>-0.37167914438502675</v>
      </c>
      <c r="P101" s="17">
        <f t="shared" si="8"/>
        <v>0.35657396449704143</v>
      </c>
      <c r="Q101" s="17">
        <v>19.97</v>
      </c>
      <c r="R101" s="9">
        <v>20220726</v>
      </c>
      <c r="S101" s="9">
        <v>20.66</v>
      </c>
      <c r="T101" s="9">
        <v>29.74</v>
      </c>
      <c r="U101" s="9">
        <v>25918.679680000001</v>
      </c>
      <c r="V101" s="45">
        <f t="shared" si="9"/>
        <v>-0.99885256500843478</v>
      </c>
      <c r="W101" s="12">
        <v>24.18</v>
      </c>
      <c r="X101" s="12">
        <v>0</v>
      </c>
      <c r="Y101" s="62">
        <v>0.69</v>
      </c>
    </row>
    <row r="102" spans="1:25" x14ac:dyDescent="0.2">
      <c r="A102" s="3" t="s">
        <v>2411</v>
      </c>
      <c r="B102" s="3" t="s">
        <v>63</v>
      </c>
      <c r="C102" s="6" t="s">
        <v>354</v>
      </c>
      <c r="D102" s="6" t="s">
        <v>144</v>
      </c>
      <c r="E102" s="6" t="s">
        <v>119</v>
      </c>
      <c r="F102" s="6">
        <v>27810.799999999999</v>
      </c>
      <c r="G102" s="2">
        <v>12</v>
      </c>
      <c r="H102" s="61">
        <v>4.79</v>
      </c>
      <c r="I102" s="61">
        <v>5.44</v>
      </c>
      <c r="J102" s="47">
        <f t="shared" si="5"/>
        <v>-0.60083333333333333</v>
      </c>
      <c r="K102" s="47">
        <f t="shared" si="6"/>
        <v>0.13569937369519841</v>
      </c>
      <c r="L102" s="8">
        <v>5.83</v>
      </c>
      <c r="M102" s="8">
        <v>23.57</v>
      </c>
      <c r="N102" s="8">
        <v>22.16</v>
      </c>
      <c r="O102" s="17">
        <f t="shared" si="7"/>
        <v>-0.3922884882108183</v>
      </c>
      <c r="P102" s="17">
        <f t="shared" si="8"/>
        <v>1.6330215384615374</v>
      </c>
      <c r="Q102" s="17">
        <v>20.67</v>
      </c>
      <c r="R102" s="9">
        <v>20220802</v>
      </c>
      <c r="S102" s="9">
        <v>17.82</v>
      </c>
      <c r="T102" s="9">
        <v>4.75</v>
      </c>
      <c r="U102" s="9">
        <v>6031.6298800000004</v>
      </c>
      <c r="V102" s="45">
        <f t="shared" si="9"/>
        <v>-0.99921248483502767</v>
      </c>
      <c r="W102" s="12">
        <v>4.72</v>
      </c>
      <c r="X102" s="12">
        <v>0.73</v>
      </c>
      <c r="Y102" s="62">
        <v>2.36</v>
      </c>
    </row>
    <row r="103" spans="1:25" x14ac:dyDescent="0.2">
      <c r="A103" s="3" t="s">
        <v>2412</v>
      </c>
      <c r="B103" s="3" t="s">
        <v>309</v>
      </c>
      <c r="C103" s="6" t="s">
        <v>355</v>
      </c>
      <c r="D103" s="6" t="s">
        <v>192</v>
      </c>
      <c r="E103" s="6" t="s">
        <v>208</v>
      </c>
      <c r="F103" s="6">
        <v>3823.72</v>
      </c>
      <c r="G103" s="2">
        <v>12</v>
      </c>
      <c r="H103" s="61">
        <v>5.93</v>
      </c>
      <c r="I103" s="61">
        <v>5.29</v>
      </c>
      <c r="J103" s="47">
        <f t="shared" si="5"/>
        <v>-0.50583333333333336</v>
      </c>
      <c r="K103" s="47">
        <f t="shared" si="6"/>
        <v>-0.10792580101180434</v>
      </c>
      <c r="L103" s="8">
        <v>6.44</v>
      </c>
      <c r="M103" s="8">
        <v>20.85</v>
      </c>
      <c r="N103" s="8">
        <v>22.17</v>
      </c>
      <c r="O103" s="17">
        <f t="shared" si="7"/>
        <v>-0.41219110378912688</v>
      </c>
      <c r="P103" s="17">
        <f t="shared" si="8"/>
        <v>-2.0541890625000012</v>
      </c>
      <c r="Q103" s="17">
        <v>18.23</v>
      </c>
      <c r="R103" s="9">
        <v>20220803</v>
      </c>
      <c r="S103" s="9">
        <v>19.37</v>
      </c>
      <c r="T103" s="9">
        <v>10.06</v>
      </c>
      <c r="U103" s="9">
        <v>2346.6430599999999</v>
      </c>
      <c r="V103" s="45">
        <f t="shared" si="9"/>
        <v>-0.99571302505631176</v>
      </c>
      <c r="W103" s="12">
        <v>10.81</v>
      </c>
      <c r="X103" s="12">
        <v>0</v>
      </c>
      <c r="Y103" s="62">
        <v>2.2999999999999998</v>
      </c>
    </row>
    <row r="104" spans="1:25" x14ac:dyDescent="0.2">
      <c r="A104" s="3" t="s">
        <v>2413</v>
      </c>
      <c r="B104" s="3" t="s">
        <v>410</v>
      </c>
      <c r="C104" s="6" t="s">
        <v>354</v>
      </c>
      <c r="D104" s="6" t="s">
        <v>150</v>
      </c>
      <c r="E104" s="6" t="s">
        <v>163</v>
      </c>
      <c r="F104" s="6">
        <v>5166.71</v>
      </c>
      <c r="G104" s="2">
        <v>12</v>
      </c>
      <c r="H104" s="61">
        <v>18.11</v>
      </c>
      <c r="I104" s="61">
        <v>18.53</v>
      </c>
      <c r="J104" s="47">
        <f t="shared" si="5"/>
        <v>0.50916666666666666</v>
      </c>
      <c r="K104" s="47">
        <f t="shared" si="6"/>
        <v>2.3191606847045926E-2</v>
      </c>
      <c r="L104" s="8">
        <v>20.16</v>
      </c>
      <c r="M104" s="8">
        <v>7.06</v>
      </c>
      <c r="N104" s="8">
        <v>7.15</v>
      </c>
      <c r="O104" s="17">
        <f t="shared" si="7"/>
        <v>0.13865793780687397</v>
      </c>
      <c r="P104" s="17">
        <f t="shared" si="8"/>
        <v>3.083011904761892</v>
      </c>
      <c r="Q104" s="17">
        <v>6.58</v>
      </c>
      <c r="R104" s="9">
        <v>20220727</v>
      </c>
      <c r="S104" s="9">
        <v>22.99</v>
      </c>
      <c r="T104" s="9">
        <v>-0.88</v>
      </c>
      <c r="U104" s="9">
        <v>2556.6279199999999</v>
      </c>
      <c r="V104" s="45">
        <f t="shared" si="9"/>
        <v>-1.0003442033911607</v>
      </c>
      <c r="W104" s="12">
        <v>7.64</v>
      </c>
      <c r="X104" s="12">
        <v>0.03</v>
      </c>
      <c r="Y104" s="62">
        <v>0.74</v>
      </c>
    </row>
    <row r="105" spans="1:25" x14ac:dyDescent="0.2">
      <c r="A105" s="3" t="s">
        <v>2414</v>
      </c>
      <c r="B105" s="3" t="s">
        <v>64</v>
      </c>
      <c r="C105" s="6" t="s">
        <v>355</v>
      </c>
      <c r="D105" s="6" t="s">
        <v>185</v>
      </c>
      <c r="E105" s="6" t="s">
        <v>208</v>
      </c>
      <c r="F105" s="6">
        <v>135179.29999999999</v>
      </c>
      <c r="G105" s="2">
        <v>12</v>
      </c>
      <c r="H105" s="61">
        <v>16.850000000000001</v>
      </c>
      <c r="I105" s="61">
        <v>17.510000000000002</v>
      </c>
      <c r="J105" s="47">
        <f t="shared" si="5"/>
        <v>0.40416666666666679</v>
      </c>
      <c r="K105" s="47">
        <f t="shared" si="6"/>
        <v>3.9169139465875379E-2</v>
      </c>
      <c r="L105" s="8">
        <v>18.96</v>
      </c>
      <c r="M105" s="8">
        <v>14.33</v>
      </c>
      <c r="N105" s="8">
        <v>14.45</v>
      </c>
      <c r="O105" s="17">
        <f t="shared" si="7"/>
        <v>0.35455670103092773</v>
      </c>
      <c r="P105" s="17">
        <f t="shared" si="8"/>
        <v>3.6891287878787868</v>
      </c>
      <c r="Q105" s="17">
        <v>13.35</v>
      </c>
      <c r="R105" s="9">
        <v>20220802</v>
      </c>
      <c r="S105" s="9">
        <v>165.95</v>
      </c>
      <c r="T105" s="9">
        <v>3.04</v>
      </c>
      <c r="U105" s="9">
        <v>26258.488280000001</v>
      </c>
      <c r="V105" s="45">
        <f t="shared" si="9"/>
        <v>-0.99988422791260545</v>
      </c>
      <c r="W105" s="12">
        <v>0.71</v>
      </c>
      <c r="X105" s="12">
        <v>3.07</v>
      </c>
      <c r="Y105" s="62">
        <v>2.17</v>
      </c>
    </row>
    <row r="106" spans="1:25" x14ac:dyDescent="0.2">
      <c r="A106" s="3" t="s">
        <v>333</v>
      </c>
      <c r="B106" s="3" t="s">
        <v>334</v>
      </c>
      <c r="C106" s="6" t="s">
        <v>354</v>
      </c>
      <c r="D106" s="6" t="s">
        <v>216</v>
      </c>
      <c r="E106" s="6" t="s">
        <v>163</v>
      </c>
      <c r="F106" s="6">
        <v>12970.43</v>
      </c>
      <c r="G106" s="2">
        <v>12</v>
      </c>
      <c r="H106" s="61">
        <v>1.36</v>
      </c>
      <c r="I106" s="61">
        <v>1.56</v>
      </c>
      <c r="J106" s="47">
        <f t="shared" si="5"/>
        <v>-0.88666666666666671</v>
      </c>
      <c r="K106" s="47">
        <f t="shared" si="6"/>
        <v>0.14705882352941171</v>
      </c>
      <c r="L106" s="8">
        <v>1.73</v>
      </c>
      <c r="M106" s="8">
        <v>26.04</v>
      </c>
      <c r="N106" s="8">
        <v>23.94</v>
      </c>
      <c r="O106" s="17">
        <f t="shared" si="7"/>
        <v>-0.29368421052631577</v>
      </c>
      <c r="P106" s="17">
        <f t="shared" si="8"/>
        <v>1.6279200000000005</v>
      </c>
      <c r="Q106" s="17">
        <v>21.59</v>
      </c>
      <c r="R106" s="9">
        <v>20220804</v>
      </c>
      <c r="S106" s="9">
        <v>3.05</v>
      </c>
      <c r="T106" s="9">
        <v>7.34</v>
      </c>
      <c r="U106" s="9">
        <v>1459.23803</v>
      </c>
      <c r="V106" s="45">
        <f t="shared" si="9"/>
        <v>-0.99496997758480843</v>
      </c>
      <c r="W106" s="12">
        <v>2.7</v>
      </c>
      <c r="X106" s="12">
        <v>1.93</v>
      </c>
      <c r="Y106" s="62">
        <v>3.07</v>
      </c>
    </row>
    <row r="107" spans="1:25" x14ac:dyDescent="0.2">
      <c r="A107" s="3" t="s">
        <v>2415</v>
      </c>
      <c r="B107" s="3" t="s">
        <v>349</v>
      </c>
      <c r="C107" s="6" t="s">
        <v>356</v>
      </c>
      <c r="D107" s="6" t="s">
        <v>242</v>
      </c>
      <c r="E107" s="6" t="s">
        <v>237</v>
      </c>
      <c r="F107" s="6">
        <v>59354.07</v>
      </c>
      <c r="G107" s="2">
        <v>12</v>
      </c>
      <c r="H107" s="61">
        <v>4.16</v>
      </c>
      <c r="I107" s="61">
        <v>5.99</v>
      </c>
      <c r="J107" s="47">
        <f t="shared" si="5"/>
        <v>-0.65333333333333332</v>
      </c>
      <c r="K107" s="47">
        <f t="shared" si="6"/>
        <v>0.43990384615384615</v>
      </c>
      <c r="L107" s="8">
        <v>2.44</v>
      </c>
      <c r="M107" s="8">
        <v>3.1</v>
      </c>
      <c r="N107" s="8">
        <v>2.4700000000000002</v>
      </c>
      <c r="O107" s="17">
        <f t="shared" si="7"/>
        <v>-4.7448979591836742E-2</v>
      </c>
      <c r="P107" s="17">
        <f t="shared" si="8"/>
        <v>5.6148633879781425E-2</v>
      </c>
      <c r="Q107" s="17">
        <v>6.07</v>
      </c>
      <c r="R107" s="9">
        <v>20220601</v>
      </c>
      <c r="S107" s="9">
        <v>50.96</v>
      </c>
      <c r="T107" s="9">
        <v>8.31</v>
      </c>
      <c r="V107" s="45" t="e">
        <f t="shared" si="9"/>
        <v>#DIV/0!</v>
      </c>
      <c r="X107" s="12">
        <v>8.7799999999999994</v>
      </c>
      <c r="Y107" s="62"/>
    </row>
    <row r="108" spans="1:25" x14ac:dyDescent="0.2">
      <c r="A108" s="3" t="s">
        <v>2416</v>
      </c>
      <c r="B108" s="3" t="s">
        <v>2073</v>
      </c>
      <c r="C108" s="6" t="s">
        <v>355</v>
      </c>
      <c r="D108" s="6" t="s">
        <v>143</v>
      </c>
      <c r="E108" s="6" t="s">
        <v>119</v>
      </c>
      <c r="F108" s="6">
        <v>4846.63</v>
      </c>
      <c r="G108" s="2">
        <v>12</v>
      </c>
      <c r="H108" s="61"/>
      <c r="I108" s="61"/>
      <c r="J108" s="47">
        <f t="shared" si="5"/>
        <v>-1</v>
      </c>
      <c r="K108" s="47" t="e">
        <f t="shared" si="6"/>
        <v>#DIV/0!</v>
      </c>
      <c r="M108" s="8">
        <v>7.02</v>
      </c>
      <c r="O108" s="17">
        <f t="shared" si="7"/>
        <v>-7.0199999999999999E-2</v>
      </c>
      <c r="P108" s="17" t="e">
        <f t="shared" si="8"/>
        <v>#DIV/0!</v>
      </c>
      <c r="Q108" s="17"/>
      <c r="R108" s="9">
        <v>20220725</v>
      </c>
      <c r="S108" s="9">
        <v>24.26</v>
      </c>
      <c r="T108" s="9">
        <v>9</v>
      </c>
      <c r="V108" s="45" t="e">
        <f t="shared" si="9"/>
        <v>#DIV/0!</v>
      </c>
      <c r="W108" s="12">
        <v>25.45</v>
      </c>
      <c r="X108" s="12">
        <v>1.01</v>
      </c>
      <c r="Y108" s="62"/>
    </row>
    <row r="109" spans="1:25" x14ac:dyDescent="0.2">
      <c r="A109" s="3" t="s">
        <v>2417</v>
      </c>
      <c r="B109" s="3" t="s">
        <v>469</v>
      </c>
      <c r="C109" s="6" t="s">
        <v>354</v>
      </c>
      <c r="D109" s="6" t="s">
        <v>195</v>
      </c>
      <c r="E109" s="6" t="s">
        <v>208</v>
      </c>
      <c r="F109" s="6">
        <v>4192.3</v>
      </c>
      <c r="G109" s="2">
        <v>12</v>
      </c>
      <c r="H109" s="61">
        <v>7.65</v>
      </c>
      <c r="I109" s="61">
        <v>10.46</v>
      </c>
      <c r="J109" s="47">
        <f t="shared" si="5"/>
        <v>-0.36249999999999999</v>
      </c>
      <c r="K109" s="47">
        <f t="shared" si="6"/>
        <v>0.36732026143790852</v>
      </c>
      <c r="L109" s="8">
        <v>8</v>
      </c>
      <c r="M109" s="8">
        <v>9.56</v>
      </c>
      <c r="N109" s="8">
        <v>8.9600000000000009</v>
      </c>
      <c r="O109" s="17">
        <f t="shared" si="7"/>
        <v>-0.2637241379310345</v>
      </c>
      <c r="P109" s="17">
        <f t="shared" si="8"/>
        <v>0.24392882562277579</v>
      </c>
      <c r="Q109" s="17">
        <v>11.72</v>
      </c>
      <c r="R109" s="9">
        <v>20220804</v>
      </c>
      <c r="S109" s="9">
        <v>44.09</v>
      </c>
      <c r="T109" s="9">
        <v>14.86</v>
      </c>
      <c r="U109" s="9">
        <v>5016.5468700000001</v>
      </c>
      <c r="V109" s="45">
        <f t="shared" si="9"/>
        <v>-0.99703780301767619</v>
      </c>
      <c r="W109" s="12">
        <v>7.38</v>
      </c>
      <c r="X109" s="12">
        <v>0</v>
      </c>
      <c r="Y109" s="62">
        <v>8.07</v>
      </c>
    </row>
    <row r="110" spans="1:25" x14ac:dyDescent="0.2">
      <c r="A110" s="3" t="s">
        <v>2418</v>
      </c>
      <c r="B110" s="3" t="s">
        <v>65</v>
      </c>
      <c r="C110" s="6" t="s">
        <v>354</v>
      </c>
      <c r="D110" s="6" t="s">
        <v>150</v>
      </c>
      <c r="E110" s="6" t="s">
        <v>163</v>
      </c>
      <c r="F110" s="6">
        <v>30150.1</v>
      </c>
      <c r="G110" s="2">
        <v>12</v>
      </c>
      <c r="H110" s="61">
        <v>22.32</v>
      </c>
      <c r="I110" s="61">
        <v>25.49</v>
      </c>
      <c r="J110" s="47">
        <f t="shared" si="5"/>
        <v>0.86</v>
      </c>
      <c r="K110" s="47">
        <f t="shared" si="6"/>
        <v>0.14202508960573468</v>
      </c>
      <c r="L110" s="8">
        <v>30.54</v>
      </c>
      <c r="M110" s="8">
        <v>11.77</v>
      </c>
      <c r="N110" s="8">
        <v>10.76</v>
      </c>
      <c r="O110" s="17">
        <f t="shared" si="7"/>
        <v>0.13686046511627906</v>
      </c>
      <c r="P110" s="17">
        <f t="shared" si="8"/>
        <v>0.75761261829653048</v>
      </c>
      <c r="Q110" s="17">
        <v>8.98</v>
      </c>
      <c r="R110" s="9">
        <v>20220725</v>
      </c>
      <c r="S110" s="9">
        <v>50.02</v>
      </c>
      <c r="T110" s="9">
        <v>1.46</v>
      </c>
      <c r="U110" s="9">
        <v>14628</v>
      </c>
      <c r="V110" s="45">
        <f t="shared" si="9"/>
        <v>-0.99990019141372721</v>
      </c>
      <c r="W110" s="12">
        <v>0.84</v>
      </c>
      <c r="X110" s="12">
        <v>1.82</v>
      </c>
      <c r="Y110" s="62"/>
    </row>
    <row r="111" spans="1:25" x14ac:dyDescent="0.2">
      <c r="A111" s="3" t="s">
        <v>2419</v>
      </c>
      <c r="B111" s="3" t="s">
        <v>2420</v>
      </c>
      <c r="C111" s="6" t="s">
        <v>354</v>
      </c>
      <c r="D111" s="6" t="s">
        <v>197</v>
      </c>
      <c r="E111" s="6" t="s">
        <v>60</v>
      </c>
      <c r="F111" s="6">
        <v>3336.65</v>
      </c>
      <c r="G111" s="2">
        <v>12</v>
      </c>
      <c r="H111" s="61">
        <v>13.52</v>
      </c>
      <c r="I111" s="61">
        <v>84.55</v>
      </c>
      <c r="J111" s="47">
        <f t="shared" si="5"/>
        <v>0.12666666666666662</v>
      </c>
      <c r="K111" s="47">
        <f t="shared" si="6"/>
        <v>5.2536982248520712</v>
      </c>
      <c r="L111" s="8">
        <v>32.83</v>
      </c>
      <c r="M111" s="8">
        <v>4.79</v>
      </c>
      <c r="N111" s="8">
        <v>2.11</v>
      </c>
      <c r="O111" s="17">
        <f t="shared" si="7"/>
        <v>0.37815789473684225</v>
      </c>
      <c r="P111" s="17">
        <f t="shared" si="8"/>
        <v>4.0162184992256792E-3</v>
      </c>
      <c r="Q111" s="17">
        <v>5.43</v>
      </c>
      <c r="R111" s="9">
        <v>20220805</v>
      </c>
      <c r="S111" s="9">
        <v>152.74</v>
      </c>
      <c r="T111" s="9">
        <v>0.24</v>
      </c>
      <c r="U111" s="9">
        <v>4039.3998999999999</v>
      </c>
      <c r="V111" s="45">
        <f t="shared" si="9"/>
        <v>-0.99994058523396023</v>
      </c>
      <c r="W111" s="12">
        <v>10.98</v>
      </c>
      <c r="X111" s="12">
        <v>0</v>
      </c>
      <c r="Y111" s="62"/>
    </row>
    <row r="112" spans="1:25" x14ac:dyDescent="0.2">
      <c r="A112" s="3" t="s">
        <v>2421</v>
      </c>
      <c r="B112" s="3" t="s">
        <v>2074</v>
      </c>
      <c r="C112" s="6" t="s">
        <v>356</v>
      </c>
      <c r="D112" s="6" t="s">
        <v>522</v>
      </c>
      <c r="E112" s="6" t="s">
        <v>119</v>
      </c>
      <c r="F112" s="6">
        <v>3148.84</v>
      </c>
      <c r="G112" s="2">
        <v>12</v>
      </c>
      <c r="H112" s="61"/>
      <c r="I112" s="61">
        <v>0.6</v>
      </c>
      <c r="J112" s="47">
        <f t="shared" si="5"/>
        <v>-1</v>
      </c>
      <c r="K112" s="47" t="e">
        <f t="shared" si="6"/>
        <v>#DIV/0!</v>
      </c>
      <c r="L112" s="8">
        <v>0.66</v>
      </c>
      <c r="M112" s="8">
        <v>9.57</v>
      </c>
      <c r="N112" s="8">
        <v>9.57</v>
      </c>
      <c r="O112" s="17">
        <f t="shared" si="7"/>
        <v>-9.5700000000000007E-2</v>
      </c>
      <c r="P112" s="17" t="e">
        <f t="shared" si="8"/>
        <v>#DIV/0!</v>
      </c>
      <c r="Q112" s="17">
        <v>8.6999999999999993</v>
      </c>
      <c r="R112" s="9">
        <v>20220531</v>
      </c>
      <c r="S112" s="9">
        <v>9.11</v>
      </c>
      <c r="T112" s="9">
        <v>57.53</v>
      </c>
      <c r="U112" s="9">
        <v>5645.5</v>
      </c>
      <c r="V112" s="45">
        <f t="shared" si="9"/>
        <v>-0.98980958285360021</v>
      </c>
      <c r="X112" s="12">
        <v>0</v>
      </c>
      <c r="Y112" s="62"/>
    </row>
    <row r="113" spans="1:25" x14ac:dyDescent="0.2">
      <c r="A113" s="3" t="s">
        <v>2422</v>
      </c>
      <c r="B113" s="3" t="s">
        <v>66</v>
      </c>
      <c r="C113" s="6" t="s">
        <v>354</v>
      </c>
      <c r="D113" s="6" t="s">
        <v>215</v>
      </c>
      <c r="E113" s="6" t="s">
        <v>163</v>
      </c>
      <c r="F113" s="6">
        <v>116210.62</v>
      </c>
      <c r="G113" s="2">
        <v>12</v>
      </c>
      <c r="H113" s="61">
        <v>9.49</v>
      </c>
      <c r="I113" s="61">
        <v>9.98</v>
      </c>
      <c r="J113" s="47">
        <f t="shared" si="5"/>
        <v>-0.20916666666666664</v>
      </c>
      <c r="K113" s="47">
        <f t="shared" si="6"/>
        <v>5.1633298208640696E-2</v>
      </c>
      <c r="L113" s="8">
        <v>10.86</v>
      </c>
      <c r="M113" s="8">
        <v>26.42</v>
      </c>
      <c r="N113" s="8">
        <v>25.53</v>
      </c>
      <c r="O113" s="17">
        <f t="shared" si="7"/>
        <v>-1.2631075697211158</v>
      </c>
      <c r="P113" s="17">
        <f t="shared" si="8"/>
        <v>4.944483673469386</v>
      </c>
      <c r="Q113" s="17">
        <v>23.46</v>
      </c>
      <c r="R113" s="9">
        <v>20220804</v>
      </c>
      <c r="S113" s="9">
        <v>30.44</v>
      </c>
      <c r="T113" s="9">
        <v>8.11</v>
      </c>
      <c r="U113" s="9">
        <v>10682.462890000001</v>
      </c>
      <c r="V113" s="45">
        <f t="shared" si="9"/>
        <v>-0.99924081177875257</v>
      </c>
      <c r="W113" s="12">
        <v>0.39</v>
      </c>
      <c r="X113" s="12">
        <v>2.2000000000000002</v>
      </c>
      <c r="Y113" s="62">
        <v>2.4900000000000002</v>
      </c>
    </row>
    <row r="114" spans="1:25" x14ac:dyDescent="0.2">
      <c r="A114" s="3" t="s">
        <v>2423</v>
      </c>
      <c r="B114" s="3" t="s">
        <v>291</v>
      </c>
      <c r="C114" s="6" t="s">
        <v>354</v>
      </c>
      <c r="D114" s="6" t="s">
        <v>278</v>
      </c>
      <c r="E114" s="6" t="s">
        <v>119</v>
      </c>
      <c r="F114" s="6">
        <v>72054.84</v>
      </c>
      <c r="G114" s="2">
        <v>12</v>
      </c>
      <c r="H114" s="61">
        <v>1.21</v>
      </c>
      <c r="I114" s="61">
        <v>1.26</v>
      </c>
      <c r="J114" s="47">
        <f t="shared" si="5"/>
        <v>-0.89916666666666656</v>
      </c>
      <c r="K114" s="47">
        <f t="shared" si="6"/>
        <v>4.1322314049586813E-2</v>
      </c>
      <c r="L114" s="8">
        <v>1.45</v>
      </c>
      <c r="M114" s="8">
        <v>13.36</v>
      </c>
      <c r="N114" s="8">
        <v>17.809999999999999</v>
      </c>
      <c r="O114" s="17">
        <f t="shared" si="7"/>
        <v>-0.14858202038924931</v>
      </c>
      <c r="P114" s="17">
        <f t="shared" si="8"/>
        <v>4.3100199999999953</v>
      </c>
      <c r="Q114" s="17">
        <v>15.53</v>
      </c>
      <c r="R114" s="9">
        <v>20220712</v>
      </c>
      <c r="S114" s="9">
        <v>28.79</v>
      </c>
      <c r="T114" s="9">
        <v>-3.12</v>
      </c>
      <c r="U114" s="9">
        <v>42441.796869999998</v>
      </c>
      <c r="V114" s="45">
        <f t="shared" si="9"/>
        <v>-1.0000735124389186</v>
      </c>
      <c r="W114" s="12">
        <v>30.56</v>
      </c>
      <c r="X114" s="12">
        <v>1.75</v>
      </c>
      <c r="Y114" s="62">
        <v>0.71</v>
      </c>
    </row>
    <row r="115" spans="1:25" x14ac:dyDescent="0.2">
      <c r="A115" s="3" t="s">
        <v>2424</v>
      </c>
      <c r="B115" s="3" t="s">
        <v>68</v>
      </c>
      <c r="C115" s="6" t="s">
        <v>355</v>
      </c>
      <c r="D115" s="6" t="s">
        <v>174</v>
      </c>
      <c r="E115" s="6" t="s">
        <v>231</v>
      </c>
      <c r="F115" s="6">
        <v>1130148</v>
      </c>
      <c r="G115" s="2">
        <v>12</v>
      </c>
      <c r="H115" s="61">
        <v>41.09</v>
      </c>
      <c r="I115" s="61">
        <v>10.85</v>
      </c>
      <c r="J115" s="47">
        <f t="shared" si="5"/>
        <v>2.4241666666666668</v>
      </c>
      <c r="K115" s="47">
        <f t="shared" si="6"/>
        <v>-0.73594548551959116</v>
      </c>
      <c r="L115" s="8">
        <v>54.81</v>
      </c>
      <c r="M115" s="8">
        <v>41.74</v>
      </c>
      <c r="N115" s="8">
        <v>204.81</v>
      </c>
      <c r="O115" s="17">
        <f t="shared" si="7"/>
        <v>0.17218288071502233</v>
      </c>
      <c r="P115" s="17">
        <f t="shared" si="8"/>
        <v>-2.7829506944444442</v>
      </c>
      <c r="Q115" s="17">
        <v>40.53</v>
      </c>
      <c r="R115" s="9">
        <v>20220804</v>
      </c>
      <c r="S115" s="9">
        <v>21.6</v>
      </c>
      <c r="T115" s="9">
        <v>28.23</v>
      </c>
      <c r="U115" s="9">
        <v>526957.125</v>
      </c>
      <c r="V115" s="45">
        <f t="shared" si="9"/>
        <v>-0.99994642827915081</v>
      </c>
      <c r="W115" s="12">
        <v>-51.43</v>
      </c>
      <c r="X115" s="12">
        <v>0</v>
      </c>
      <c r="Y115" s="62">
        <v>7.72</v>
      </c>
    </row>
    <row r="116" spans="1:25" x14ac:dyDescent="0.2">
      <c r="A116" s="3" t="s">
        <v>2425</v>
      </c>
      <c r="B116" s="3" t="s">
        <v>411</v>
      </c>
      <c r="C116" s="6" t="s">
        <v>354</v>
      </c>
      <c r="D116" s="6" t="s">
        <v>412</v>
      </c>
      <c r="E116" s="6" t="s">
        <v>231</v>
      </c>
      <c r="F116" s="6">
        <v>7263.94</v>
      </c>
      <c r="G116" s="2">
        <v>12</v>
      </c>
      <c r="H116" s="61">
        <v>17.52</v>
      </c>
      <c r="I116" s="61">
        <v>23.2</v>
      </c>
      <c r="J116" s="47">
        <f t="shared" si="5"/>
        <v>0.45999999999999996</v>
      </c>
      <c r="K116" s="47">
        <f t="shared" si="6"/>
        <v>0.32420091324200911</v>
      </c>
      <c r="L116" s="8">
        <v>20.59</v>
      </c>
      <c r="M116" s="8">
        <v>5.51</v>
      </c>
      <c r="N116" s="8">
        <v>5.0999999999999996</v>
      </c>
      <c r="O116" s="17">
        <f t="shared" si="7"/>
        <v>0.11978260869565217</v>
      </c>
      <c r="P116" s="17">
        <f t="shared" si="8"/>
        <v>0.15730985915492957</v>
      </c>
      <c r="Q116" s="17">
        <v>5.75</v>
      </c>
      <c r="R116" s="9">
        <v>20220718</v>
      </c>
      <c r="S116" s="9">
        <v>59.93</v>
      </c>
      <c r="T116" s="9">
        <v>2.98</v>
      </c>
      <c r="U116" s="9">
        <v>27577.259760000001</v>
      </c>
      <c r="V116" s="45">
        <f t="shared" si="9"/>
        <v>-0.99989193995248493</v>
      </c>
      <c r="W116" s="12">
        <v>7.24</v>
      </c>
      <c r="X116" s="12">
        <v>0</v>
      </c>
      <c r="Y116" s="62">
        <v>0.21</v>
      </c>
    </row>
    <row r="117" spans="1:25" x14ac:dyDescent="0.2">
      <c r="A117" s="3" t="s">
        <v>2426</v>
      </c>
      <c r="B117" s="3" t="s">
        <v>70</v>
      </c>
      <c r="C117" s="6" t="s">
        <v>354</v>
      </c>
      <c r="D117" s="6" t="s">
        <v>129</v>
      </c>
      <c r="E117" s="6" t="s">
        <v>119</v>
      </c>
      <c r="F117" s="6">
        <v>31970.01</v>
      </c>
      <c r="G117" s="2">
        <v>12</v>
      </c>
      <c r="H117" s="61">
        <v>2.79</v>
      </c>
      <c r="I117" s="61">
        <v>3.7</v>
      </c>
      <c r="J117" s="47">
        <f t="shared" si="5"/>
        <v>-0.76750000000000007</v>
      </c>
      <c r="K117" s="47">
        <f t="shared" si="6"/>
        <v>0.32616487455197135</v>
      </c>
      <c r="L117" s="8">
        <v>4.2699999999999996</v>
      </c>
      <c r="M117" s="8">
        <v>33.67</v>
      </c>
      <c r="N117" s="8">
        <v>28.06</v>
      </c>
      <c r="O117" s="17">
        <f t="shared" si="7"/>
        <v>-0.43869706840390882</v>
      </c>
      <c r="P117" s="17">
        <f t="shared" si="8"/>
        <v>0.86030109890109874</v>
      </c>
      <c r="Q117" s="17">
        <v>24.3</v>
      </c>
      <c r="R117" s="9">
        <v>20220801</v>
      </c>
      <c r="S117" s="9">
        <v>21.16</v>
      </c>
      <c r="T117" s="9">
        <v>14.22</v>
      </c>
      <c r="U117" s="9">
        <v>3905.9099099999999</v>
      </c>
      <c r="V117" s="45">
        <f t="shared" si="9"/>
        <v>-0.99635936303507833</v>
      </c>
      <c r="W117" s="12">
        <v>3.7</v>
      </c>
      <c r="X117" s="12">
        <v>0</v>
      </c>
      <c r="Y117" s="62">
        <v>1.78</v>
      </c>
    </row>
    <row r="118" spans="1:25" x14ac:dyDescent="0.2">
      <c r="A118" s="3" t="s">
        <v>2427</v>
      </c>
      <c r="B118" s="3" t="s">
        <v>1840</v>
      </c>
      <c r="C118" s="6" t="s">
        <v>356</v>
      </c>
      <c r="D118" s="6" t="s">
        <v>232</v>
      </c>
      <c r="E118" s="6" t="s">
        <v>60</v>
      </c>
      <c r="F118" s="6">
        <v>3205.97</v>
      </c>
      <c r="G118" s="2">
        <v>12</v>
      </c>
      <c r="H118" s="61">
        <v>1.19</v>
      </c>
      <c r="I118" s="61">
        <v>1.76</v>
      </c>
      <c r="J118" s="47">
        <f t="shared" si="5"/>
        <v>-0.90083333333333337</v>
      </c>
      <c r="K118" s="47">
        <f t="shared" si="6"/>
        <v>0.47899159663865554</v>
      </c>
      <c r="L118" s="8">
        <v>0.99</v>
      </c>
      <c r="M118" s="8">
        <v>4.78</v>
      </c>
      <c r="N118" s="8">
        <v>3.37</v>
      </c>
      <c r="O118" s="17">
        <f t="shared" si="7"/>
        <v>-5.3061979648473631E-2</v>
      </c>
      <c r="P118" s="17">
        <f t="shared" si="8"/>
        <v>7.0356140350877186E-2</v>
      </c>
      <c r="Q118" s="17">
        <v>5.98</v>
      </c>
      <c r="R118" s="9">
        <v>20220531</v>
      </c>
      <c r="S118" s="9">
        <v>28.45</v>
      </c>
      <c r="T118" s="9">
        <v>0.85</v>
      </c>
      <c r="U118" s="9">
        <v>9194.70507</v>
      </c>
      <c r="V118" s="45">
        <f t="shared" si="9"/>
        <v>-0.99990755549052102</v>
      </c>
      <c r="X118" s="12">
        <v>3.65</v>
      </c>
      <c r="Y118" s="62"/>
    </row>
    <row r="119" spans="1:25" x14ac:dyDescent="0.2">
      <c r="A119" s="3" t="s">
        <v>2428</v>
      </c>
      <c r="B119" s="3" t="s">
        <v>335</v>
      </c>
      <c r="C119" s="6" t="s">
        <v>356</v>
      </c>
      <c r="D119" s="6" t="s">
        <v>230</v>
      </c>
      <c r="E119" s="6" t="s">
        <v>146</v>
      </c>
      <c r="F119" s="6">
        <v>26817.03</v>
      </c>
      <c r="G119" s="2">
        <v>12</v>
      </c>
      <c r="H119" s="61">
        <v>0.4</v>
      </c>
      <c r="I119" s="61">
        <v>0.49</v>
      </c>
      <c r="J119" s="47">
        <f t="shared" si="5"/>
        <v>-0.96666666666666667</v>
      </c>
      <c r="K119" s="47">
        <f t="shared" si="6"/>
        <v>0.22499999999999992</v>
      </c>
      <c r="L119" s="8">
        <v>0.59</v>
      </c>
      <c r="N119" s="8">
        <v>20.45</v>
      </c>
      <c r="O119" s="17">
        <f t="shared" si="7"/>
        <v>0</v>
      </c>
      <c r="P119" s="17">
        <f t="shared" si="8"/>
        <v>0.90888888888888919</v>
      </c>
      <c r="Q119" s="17">
        <v>16.809999999999999</v>
      </c>
      <c r="R119" s="9">
        <v>20220628</v>
      </c>
      <c r="U119" s="9">
        <v>9046.2646399999994</v>
      </c>
      <c r="V119" s="45">
        <f t="shared" si="9"/>
        <v>-1</v>
      </c>
      <c r="X119" s="12">
        <v>0</v>
      </c>
      <c r="Y119" s="62"/>
    </row>
    <row r="120" spans="1:25" x14ac:dyDescent="0.2">
      <c r="A120" s="3" t="s">
        <v>2429</v>
      </c>
      <c r="B120" s="3" t="s">
        <v>71</v>
      </c>
      <c r="C120" s="6" t="s">
        <v>355</v>
      </c>
      <c r="D120" s="6" t="s">
        <v>132</v>
      </c>
      <c r="E120" s="6" t="s">
        <v>119</v>
      </c>
      <c r="F120" s="6">
        <v>22004.15</v>
      </c>
      <c r="G120" s="2">
        <v>12</v>
      </c>
      <c r="H120" s="61">
        <v>7.21</v>
      </c>
      <c r="I120" s="61">
        <v>7.84</v>
      </c>
      <c r="J120" s="47">
        <f t="shared" si="5"/>
        <v>-0.39916666666666667</v>
      </c>
      <c r="K120" s="47">
        <f t="shared" si="6"/>
        <v>8.7378640776699018E-2</v>
      </c>
      <c r="L120" s="8">
        <v>8.82</v>
      </c>
      <c r="M120" s="8">
        <v>33.24</v>
      </c>
      <c r="N120" s="8">
        <v>32.24</v>
      </c>
      <c r="O120" s="17">
        <f t="shared" si="7"/>
        <v>-0.83273486430062638</v>
      </c>
      <c r="P120" s="17">
        <f t="shared" si="8"/>
        <v>3.6896888888888895</v>
      </c>
      <c r="Q120" s="17">
        <v>28.68</v>
      </c>
      <c r="R120" s="9">
        <v>20220803</v>
      </c>
      <c r="S120" s="9">
        <v>12.14</v>
      </c>
      <c r="T120" s="9">
        <v>14.88</v>
      </c>
      <c r="U120" s="9">
        <v>2055.22802</v>
      </c>
      <c r="V120" s="45">
        <f t="shared" si="9"/>
        <v>-0.99275992743617802</v>
      </c>
      <c r="W120" s="12">
        <v>19.3</v>
      </c>
      <c r="X120" s="12">
        <v>0</v>
      </c>
      <c r="Y120" s="62">
        <v>2.8</v>
      </c>
    </row>
    <row r="121" spans="1:25" x14ac:dyDescent="0.2">
      <c r="A121" s="3" t="s">
        <v>2430</v>
      </c>
      <c r="B121" s="3" t="s">
        <v>72</v>
      </c>
      <c r="C121" s="6" t="s">
        <v>354</v>
      </c>
      <c r="D121" s="6" t="s">
        <v>189</v>
      </c>
      <c r="E121" s="6" t="s">
        <v>208</v>
      </c>
      <c r="F121" s="6">
        <v>123539.07</v>
      </c>
      <c r="G121" s="2">
        <v>12</v>
      </c>
      <c r="H121" s="61">
        <v>25.96</v>
      </c>
      <c r="I121" s="61">
        <v>28.5</v>
      </c>
      <c r="J121" s="47">
        <f t="shared" si="5"/>
        <v>1.1633333333333333</v>
      </c>
      <c r="K121" s="47">
        <f t="shared" si="6"/>
        <v>9.7842835130970682E-2</v>
      </c>
      <c r="L121" s="8">
        <v>32.380000000000003</v>
      </c>
      <c r="M121" s="8">
        <v>18.829999999999998</v>
      </c>
      <c r="N121" s="8">
        <v>17.98</v>
      </c>
      <c r="O121" s="17">
        <f t="shared" si="7"/>
        <v>0.16186246418338107</v>
      </c>
      <c r="P121" s="17">
        <f t="shared" si="8"/>
        <v>1.8376409448818907</v>
      </c>
      <c r="Q121" s="17">
        <v>15.83</v>
      </c>
      <c r="R121" s="9">
        <v>20220720</v>
      </c>
      <c r="S121" s="9">
        <v>18.71</v>
      </c>
      <c r="T121" s="9">
        <v>11.66</v>
      </c>
      <c r="U121" s="9">
        <v>153076.57811999999</v>
      </c>
      <c r="V121" s="45">
        <f t="shared" si="9"/>
        <v>-0.99992382897407817</v>
      </c>
      <c r="W121" s="12">
        <v>5.63</v>
      </c>
      <c r="X121" s="12">
        <v>1</v>
      </c>
      <c r="Y121" s="62">
        <v>1.44</v>
      </c>
    </row>
    <row r="122" spans="1:25" x14ac:dyDescent="0.2">
      <c r="A122" s="3" t="s">
        <v>2431</v>
      </c>
      <c r="B122" s="3" t="s">
        <v>1932</v>
      </c>
      <c r="C122" s="6" t="s">
        <v>356</v>
      </c>
      <c r="D122" s="6" t="s">
        <v>69</v>
      </c>
      <c r="E122" s="6" t="s">
        <v>163</v>
      </c>
      <c r="F122" s="6">
        <v>51661.15</v>
      </c>
      <c r="G122" s="2">
        <v>9</v>
      </c>
      <c r="H122" s="61">
        <v>1.67</v>
      </c>
      <c r="I122" s="61">
        <v>1.57</v>
      </c>
      <c r="J122" s="47">
        <f t="shared" si="5"/>
        <v>-0.81444444444444442</v>
      </c>
      <c r="K122" s="47">
        <f t="shared" si="6"/>
        <v>-5.9880239520958008E-2</v>
      </c>
      <c r="L122" s="8">
        <v>1.6</v>
      </c>
      <c r="N122" s="8">
        <v>11.67</v>
      </c>
      <c r="O122" s="17">
        <f t="shared" si="7"/>
        <v>0</v>
      </c>
      <c r="P122" s="17">
        <f t="shared" si="8"/>
        <v>-1.9488900000000025</v>
      </c>
      <c r="Q122" s="17">
        <v>11.48</v>
      </c>
      <c r="U122" s="9">
        <v>13439.059569999999</v>
      </c>
      <c r="V122" s="45">
        <f t="shared" si="9"/>
        <v>-1</v>
      </c>
      <c r="X122" s="12">
        <v>5.51</v>
      </c>
      <c r="Y122" s="62">
        <v>2.0499999999999998</v>
      </c>
    </row>
    <row r="123" spans="1:25" x14ac:dyDescent="0.2">
      <c r="A123" s="3" t="s">
        <v>2432</v>
      </c>
      <c r="B123" s="3" t="s">
        <v>73</v>
      </c>
      <c r="C123" s="6" t="s">
        <v>354</v>
      </c>
      <c r="D123" s="6" t="s">
        <v>169</v>
      </c>
      <c r="E123" s="6" t="s">
        <v>163</v>
      </c>
      <c r="F123" s="6">
        <v>57925.58</v>
      </c>
      <c r="G123" s="2">
        <v>12</v>
      </c>
      <c r="H123" s="61">
        <v>11.69</v>
      </c>
      <c r="I123" s="61">
        <v>13.19</v>
      </c>
      <c r="J123" s="47">
        <f t="shared" si="5"/>
        <v>-2.5833333333333375E-2</v>
      </c>
      <c r="K123" s="47">
        <f t="shared" si="6"/>
        <v>0.12831479897348161</v>
      </c>
      <c r="L123" s="8">
        <v>14.61</v>
      </c>
      <c r="M123" s="8">
        <v>21.7</v>
      </c>
      <c r="N123" s="8">
        <v>20.67</v>
      </c>
      <c r="O123" s="17">
        <f t="shared" si="7"/>
        <v>-8.3999999999999861</v>
      </c>
      <c r="P123" s="17">
        <f t="shared" si="8"/>
        <v>1.6108820000000001</v>
      </c>
      <c r="Q123" s="17">
        <v>18.66</v>
      </c>
      <c r="R123" s="9">
        <v>20220729</v>
      </c>
      <c r="S123" s="9">
        <v>119.46</v>
      </c>
      <c r="T123" s="9">
        <v>3.09</v>
      </c>
      <c r="U123" s="9">
        <v>12727.559569999999</v>
      </c>
      <c r="V123" s="45">
        <f t="shared" si="9"/>
        <v>-0.99975721975740872</v>
      </c>
      <c r="W123" s="12">
        <v>-0.62</v>
      </c>
      <c r="X123" s="12">
        <v>0.82</v>
      </c>
      <c r="Y123" s="62"/>
    </row>
    <row r="124" spans="1:25" x14ac:dyDescent="0.2">
      <c r="A124" s="3" t="s">
        <v>2433</v>
      </c>
      <c r="B124" s="3" t="s">
        <v>2075</v>
      </c>
      <c r="C124" s="6" t="s">
        <v>356</v>
      </c>
      <c r="D124" s="6" t="s">
        <v>221</v>
      </c>
      <c r="E124" s="6" t="s">
        <v>231</v>
      </c>
      <c r="F124" s="6">
        <v>16104.45</v>
      </c>
      <c r="G124" s="2">
        <v>2</v>
      </c>
      <c r="H124" s="61"/>
      <c r="I124" s="61"/>
      <c r="J124" s="47">
        <f t="shared" si="5"/>
        <v>-1</v>
      </c>
      <c r="K124" s="47" t="e">
        <f t="shared" si="6"/>
        <v>#DIV/0!</v>
      </c>
      <c r="M124" s="8">
        <v>65.959999999999994</v>
      </c>
      <c r="O124" s="17">
        <f t="shared" si="7"/>
        <v>-0.65959999999999996</v>
      </c>
      <c r="P124" s="17" t="e">
        <f t="shared" si="8"/>
        <v>#DIV/0!</v>
      </c>
      <c r="Q124" s="17"/>
      <c r="R124" s="9">
        <v>20220527</v>
      </c>
      <c r="S124" s="9">
        <v>1.39</v>
      </c>
      <c r="T124" s="9">
        <v>1.93</v>
      </c>
      <c r="V124" s="45" t="e">
        <f t="shared" si="9"/>
        <v>#DIV/0!</v>
      </c>
      <c r="X124" s="12">
        <v>1.1299999999999999</v>
      </c>
      <c r="Y124" s="62"/>
    </row>
    <row r="125" spans="1:25" x14ac:dyDescent="0.2">
      <c r="A125" s="3" t="s">
        <v>2434</v>
      </c>
      <c r="B125" s="3" t="s">
        <v>74</v>
      </c>
      <c r="C125" s="6" t="s">
        <v>354</v>
      </c>
      <c r="D125" s="6" t="s">
        <v>181</v>
      </c>
      <c r="E125" s="6" t="s">
        <v>201</v>
      </c>
      <c r="F125" s="6">
        <v>9302.69</v>
      </c>
      <c r="G125" s="2">
        <v>12</v>
      </c>
      <c r="H125" s="61">
        <v>2.92</v>
      </c>
      <c r="I125" s="61">
        <v>3.55</v>
      </c>
      <c r="J125" s="47">
        <f t="shared" si="5"/>
        <v>-0.75666666666666671</v>
      </c>
      <c r="K125" s="47">
        <f t="shared" si="6"/>
        <v>0.21575342465753422</v>
      </c>
      <c r="L125" s="8">
        <v>3.85</v>
      </c>
      <c r="M125" s="8">
        <v>18.690000000000001</v>
      </c>
      <c r="N125" s="8">
        <v>16.82</v>
      </c>
      <c r="O125" s="17">
        <f t="shared" si="7"/>
        <v>-0.24700440528634363</v>
      </c>
      <c r="P125" s="17">
        <f t="shared" si="8"/>
        <v>0.77959365079365084</v>
      </c>
      <c r="Q125" s="17">
        <v>15.51</v>
      </c>
      <c r="R125" s="9">
        <v>20220804</v>
      </c>
      <c r="S125" s="9">
        <v>27.82</v>
      </c>
      <c r="T125" s="9">
        <v>2.4500000000000002</v>
      </c>
      <c r="U125" s="9">
        <v>4078.6999500000002</v>
      </c>
      <c r="V125" s="45">
        <f t="shared" si="9"/>
        <v>-0.99939931840291418</v>
      </c>
      <c r="W125" s="12">
        <v>2.67</v>
      </c>
      <c r="X125" s="12">
        <v>1.88</v>
      </c>
      <c r="Y125" s="62">
        <v>1.87</v>
      </c>
    </row>
    <row r="126" spans="1:25" x14ac:dyDescent="0.2">
      <c r="A126" s="3" t="s">
        <v>413</v>
      </c>
      <c r="B126" s="3" t="s">
        <v>413</v>
      </c>
      <c r="C126" s="6" t="s">
        <v>355</v>
      </c>
      <c r="D126" s="6" t="s">
        <v>200</v>
      </c>
      <c r="E126" s="6" t="s">
        <v>218</v>
      </c>
      <c r="F126" s="6">
        <v>15504.57</v>
      </c>
      <c r="G126" s="2">
        <v>12</v>
      </c>
      <c r="H126" s="61">
        <v>4.0199999999999996</v>
      </c>
      <c r="I126" s="61">
        <v>10.68</v>
      </c>
      <c r="J126" s="47">
        <f t="shared" si="5"/>
        <v>-0.66500000000000004</v>
      </c>
      <c r="K126" s="47">
        <f t="shared" si="6"/>
        <v>1.6567164179104479</v>
      </c>
      <c r="L126" s="8">
        <v>11.34</v>
      </c>
      <c r="M126" s="8">
        <v>9.3699999999999992</v>
      </c>
      <c r="N126" s="8">
        <v>4.29</v>
      </c>
      <c r="O126" s="17">
        <f t="shared" si="7"/>
        <v>-0.14090225563909772</v>
      </c>
      <c r="P126" s="17">
        <f t="shared" si="8"/>
        <v>2.5894594594594596E-2</v>
      </c>
      <c r="Q126" s="17">
        <v>4.04</v>
      </c>
      <c r="R126" s="9">
        <v>20220803</v>
      </c>
      <c r="S126" s="9">
        <v>11632.79</v>
      </c>
      <c r="T126" s="9">
        <v>-0.73</v>
      </c>
      <c r="U126" s="9">
        <v>10979.054679999999</v>
      </c>
      <c r="V126" s="45">
        <f t="shared" si="9"/>
        <v>-1.0000664902417626</v>
      </c>
      <c r="W126" s="12">
        <v>-7.69</v>
      </c>
      <c r="X126" s="12">
        <v>1.0900000000000001</v>
      </c>
      <c r="Y126" s="62">
        <v>0.16</v>
      </c>
    </row>
    <row r="127" spans="1:25" x14ac:dyDescent="0.2">
      <c r="A127" s="3" t="s">
        <v>2435</v>
      </c>
      <c r="B127" s="3" t="s">
        <v>336</v>
      </c>
      <c r="C127" s="6" t="s">
        <v>354</v>
      </c>
      <c r="D127" s="6" t="s">
        <v>126</v>
      </c>
      <c r="E127" s="6" t="s">
        <v>60</v>
      </c>
      <c r="F127" s="6">
        <v>53777.82</v>
      </c>
      <c r="G127" s="2">
        <v>9</v>
      </c>
      <c r="H127" s="61">
        <v>9.01</v>
      </c>
      <c r="I127" s="61">
        <v>10.27</v>
      </c>
      <c r="J127" s="47">
        <f t="shared" si="5"/>
        <v>1.1111111111110875E-3</v>
      </c>
      <c r="K127" s="47">
        <f t="shared" si="6"/>
        <v>0.13984461709211984</v>
      </c>
      <c r="L127" s="8">
        <v>11.64</v>
      </c>
      <c r="M127" s="8">
        <v>24.95</v>
      </c>
      <c r="N127" s="8">
        <v>23.61</v>
      </c>
      <c r="O127" s="17">
        <f t="shared" si="7"/>
        <v>224.55000000000479</v>
      </c>
      <c r="P127" s="17">
        <f t="shared" si="8"/>
        <v>1.6883023809523812</v>
      </c>
      <c r="Q127" s="17">
        <v>20.83</v>
      </c>
      <c r="R127" s="9">
        <v>20220808</v>
      </c>
      <c r="S127" s="9">
        <v>15.32</v>
      </c>
      <c r="T127" s="9">
        <v>4.76</v>
      </c>
      <c r="U127" s="9">
        <v>12067.05566</v>
      </c>
      <c r="V127" s="45">
        <f t="shared" si="9"/>
        <v>-0.99960553757817006</v>
      </c>
      <c r="W127" s="12">
        <v>1.28</v>
      </c>
      <c r="X127" s="12">
        <v>2.67</v>
      </c>
      <c r="Y127" s="62">
        <v>1.81</v>
      </c>
    </row>
    <row r="128" spans="1:25" x14ac:dyDescent="0.2">
      <c r="A128" s="3" t="s">
        <v>493</v>
      </c>
      <c r="B128" s="3" t="s">
        <v>494</v>
      </c>
      <c r="C128" s="6" t="s">
        <v>356</v>
      </c>
      <c r="D128" s="6" t="s">
        <v>232</v>
      </c>
      <c r="E128" s="6" t="s">
        <v>60</v>
      </c>
      <c r="F128" s="6">
        <v>3109.46</v>
      </c>
      <c r="G128" s="2">
        <v>12</v>
      </c>
      <c r="H128" s="61">
        <v>11.05</v>
      </c>
      <c r="I128" s="61">
        <v>11.15</v>
      </c>
      <c r="J128" s="47">
        <f t="shared" si="5"/>
        <v>-7.9166666666666607E-2</v>
      </c>
      <c r="K128" s="47">
        <f t="shared" si="6"/>
        <v>9.0497737556560764E-3</v>
      </c>
      <c r="L128" s="8">
        <v>7.36</v>
      </c>
      <c r="M128" s="8">
        <v>2.74</v>
      </c>
      <c r="N128" s="8">
        <v>3.49</v>
      </c>
      <c r="O128" s="17">
        <f t="shared" si="7"/>
        <v>-0.34610526315789503</v>
      </c>
      <c r="P128" s="17">
        <f t="shared" si="8"/>
        <v>3.8564500000000139</v>
      </c>
      <c r="Q128" s="17">
        <v>5.28</v>
      </c>
      <c r="R128" s="9">
        <v>20220527</v>
      </c>
      <c r="S128" s="9">
        <v>35.07</v>
      </c>
      <c r="T128" s="9">
        <v>-0.31</v>
      </c>
      <c r="U128" s="9">
        <v>10635.440420000001</v>
      </c>
      <c r="V128" s="45">
        <f t="shared" si="9"/>
        <v>-1.0000291478291221</v>
      </c>
      <c r="X128" s="12">
        <v>4.9400000000000004</v>
      </c>
      <c r="Y128" s="62"/>
    </row>
    <row r="129" spans="1:25" x14ac:dyDescent="0.2">
      <c r="A129" s="3" t="s">
        <v>2436</v>
      </c>
      <c r="B129" s="3" t="s">
        <v>1841</v>
      </c>
      <c r="C129" s="6" t="s">
        <v>354</v>
      </c>
      <c r="D129" s="6" t="s">
        <v>124</v>
      </c>
      <c r="E129" s="6" t="s">
        <v>108</v>
      </c>
      <c r="F129" s="6">
        <v>4034.16</v>
      </c>
      <c r="G129" s="2">
        <v>12</v>
      </c>
      <c r="H129" s="61"/>
      <c r="I129" s="61">
        <v>1.34</v>
      </c>
      <c r="J129" s="47">
        <f t="shared" si="5"/>
        <v>-1</v>
      </c>
      <c r="K129" s="47" t="e">
        <f t="shared" si="6"/>
        <v>#DIV/0!</v>
      </c>
      <c r="L129" s="8">
        <v>1.57</v>
      </c>
      <c r="M129" s="8">
        <v>14.66</v>
      </c>
      <c r="N129" s="8">
        <v>12.91</v>
      </c>
      <c r="O129" s="17">
        <f t="shared" si="7"/>
        <v>-0.14660000000000001</v>
      </c>
      <c r="P129" s="17" t="e">
        <f t="shared" si="8"/>
        <v>#DIV/0!</v>
      </c>
      <c r="Q129" s="17">
        <v>11.02</v>
      </c>
      <c r="R129" s="9">
        <v>20220810</v>
      </c>
      <c r="S129" s="9">
        <v>12.06</v>
      </c>
      <c r="V129" s="45" t="e">
        <f t="shared" si="9"/>
        <v>#DIV/0!</v>
      </c>
      <c r="W129" s="12">
        <v>9.52</v>
      </c>
      <c r="X129" s="12">
        <v>0</v>
      </c>
      <c r="Y129" s="62">
        <v>0.62</v>
      </c>
    </row>
    <row r="130" spans="1:25" x14ac:dyDescent="0.2">
      <c r="A130" s="3" t="s">
        <v>2437</v>
      </c>
      <c r="B130" s="3" t="s">
        <v>75</v>
      </c>
      <c r="C130" s="6" t="s">
        <v>354</v>
      </c>
      <c r="D130" s="6" t="s">
        <v>292</v>
      </c>
      <c r="E130" s="6" t="s">
        <v>119</v>
      </c>
      <c r="F130" s="6">
        <v>41751.919999999998</v>
      </c>
      <c r="G130" s="2">
        <v>12</v>
      </c>
      <c r="H130" s="61">
        <v>2.41</v>
      </c>
      <c r="I130" s="61">
        <v>2.82</v>
      </c>
      <c r="J130" s="47">
        <f t="shared" si="5"/>
        <v>-0.79916666666666669</v>
      </c>
      <c r="K130" s="47">
        <f t="shared" si="6"/>
        <v>0.1701244813278007</v>
      </c>
      <c r="L130" s="8">
        <v>3.04</v>
      </c>
      <c r="M130" s="8">
        <v>26.59</v>
      </c>
      <c r="N130" s="8">
        <v>24.77</v>
      </c>
      <c r="O130" s="17">
        <f t="shared" si="7"/>
        <v>-0.33272158498435866</v>
      </c>
      <c r="P130" s="17">
        <f t="shared" si="8"/>
        <v>1.4559926829268304</v>
      </c>
      <c r="Q130" s="17">
        <v>23.02</v>
      </c>
      <c r="R130" s="9">
        <v>20220727</v>
      </c>
      <c r="S130" s="9">
        <v>26.69</v>
      </c>
      <c r="T130" s="9">
        <v>9.77</v>
      </c>
      <c r="U130" s="9">
        <v>12097.114250000001</v>
      </c>
      <c r="V130" s="45">
        <f t="shared" si="9"/>
        <v>-0.99919236937024047</v>
      </c>
      <c r="W130" s="12">
        <v>9.84</v>
      </c>
      <c r="X130" s="12">
        <v>1.1399999999999999</v>
      </c>
      <c r="Y130" s="62">
        <v>2.27</v>
      </c>
    </row>
    <row r="131" spans="1:25" x14ac:dyDescent="0.2">
      <c r="A131" s="3" t="s">
        <v>2438</v>
      </c>
      <c r="B131" s="3" t="s">
        <v>1842</v>
      </c>
      <c r="C131" s="6" t="s">
        <v>354</v>
      </c>
      <c r="D131" s="6" t="s">
        <v>215</v>
      </c>
      <c r="E131" s="6" t="s">
        <v>163</v>
      </c>
      <c r="F131" s="6">
        <v>3760.64</v>
      </c>
      <c r="G131" s="2">
        <v>12</v>
      </c>
      <c r="H131" s="61">
        <v>0.92</v>
      </c>
      <c r="I131" s="61">
        <v>1.47</v>
      </c>
      <c r="J131" s="47">
        <f t="shared" ref="J131:J194" si="10">(H131-G131)/ABS(G131)</f>
        <v>-0.92333333333333334</v>
      </c>
      <c r="K131" s="47">
        <f t="shared" ref="K131:K194" si="11">(I131-H131)/ABS(H131)</f>
        <v>0.59782608695652162</v>
      </c>
      <c r="L131" s="8">
        <v>1.68</v>
      </c>
      <c r="M131" s="8">
        <v>14.04</v>
      </c>
      <c r="N131" s="8">
        <v>11.21</v>
      </c>
      <c r="O131" s="17">
        <f t="shared" ref="O131:O194" si="12">M131/(J131*100)</f>
        <v>-0.15205776173285199</v>
      </c>
      <c r="P131" s="17">
        <f t="shared" ref="P131:P194" si="13">N131/(K131*100)</f>
        <v>0.1875127272727273</v>
      </c>
      <c r="Q131" s="17">
        <v>9.75</v>
      </c>
      <c r="R131" s="9">
        <v>20220804</v>
      </c>
      <c r="S131" s="9">
        <v>2.65</v>
      </c>
      <c r="T131" s="9">
        <v>-12.08</v>
      </c>
      <c r="U131" s="9">
        <v>1184.73901</v>
      </c>
      <c r="V131" s="45">
        <f t="shared" ref="V131:V194" si="14">(T131-U131)/U131</f>
        <v>-1.0101963385167843</v>
      </c>
      <c r="W131" s="12">
        <v>3.7</v>
      </c>
      <c r="X131" s="12">
        <v>3.65</v>
      </c>
      <c r="Y131" s="62"/>
    </row>
    <row r="132" spans="1:25" x14ac:dyDescent="0.2">
      <c r="A132" s="3" t="s">
        <v>2439</v>
      </c>
      <c r="B132" s="3" t="s">
        <v>470</v>
      </c>
      <c r="C132" s="6" t="s">
        <v>355</v>
      </c>
      <c r="D132" s="6" t="s">
        <v>185</v>
      </c>
      <c r="E132" s="6" t="s">
        <v>208</v>
      </c>
      <c r="F132" s="6">
        <v>4468.59</v>
      </c>
      <c r="G132" s="2">
        <v>12</v>
      </c>
      <c r="H132" s="61">
        <v>-8.51</v>
      </c>
      <c r="I132" s="61">
        <v>-5.58</v>
      </c>
      <c r="J132" s="47">
        <f t="shared" si="10"/>
        <v>-1.7091666666666665</v>
      </c>
      <c r="K132" s="47">
        <f t="shared" si="11"/>
        <v>0.34430082256169209</v>
      </c>
      <c r="L132" s="8">
        <v>-4.34</v>
      </c>
      <c r="O132" s="17">
        <f t="shared" si="12"/>
        <v>0</v>
      </c>
      <c r="P132" s="17">
        <f t="shared" si="13"/>
        <v>0</v>
      </c>
      <c r="Q132" s="17"/>
      <c r="R132" s="9">
        <v>20220808</v>
      </c>
      <c r="S132" s="9">
        <v>-607.37</v>
      </c>
      <c r="U132" s="9">
        <v>91.132000000000005</v>
      </c>
      <c r="V132" s="45">
        <f t="shared" si="14"/>
        <v>-1</v>
      </c>
      <c r="W132" s="12">
        <v>-4.41</v>
      </c>
      <c r="X132" s="12">
        <v>0</v>
      </c>
      <c r="Y132" s="62"/>
    </row>
    <row r="133" spans="1:25" x14ac:dyDescent="0.2">
      <c r="A133" s="3" t="s">
        <v>2440</v>
      </c>
      <c r="B133" s="3" t="s">
        <v>425</v>
      </c>
      <c r="C133" s="6" t="s">
        <v>356</v>
      </c>
      <c r="D133" s="6" t="s">
        <v>188</v>
      </c>
      <c r="E133" s="6" t="s">
        <v>208</v>
      </c>
      <c r="F133" s="6">
        <v>4579.82</v>
      </c>
      <c r="G133" s="2">
        <v>6</v>
      </c>
      <c r="H133" s="61">
        <v>0.91</v>
      </c>
      <c r="I133" s="61">
        <v>1.06</v>
      </c>
      <c r="J133" s="47">
        <f t="shared" si="10"/>
        <v>-0.84833333333333327</v>
      </c>
      <c r="K133" s="47">
        <f t="shared" si="11"/>
        <v>0.16483516483516486</v>
      </c>
      <c r="L133" s="8">
        <v>1.77</v>
      </c>
      <c r="N133" s="8">
        <v>9.5500000000000007</v>
      </c>
      <c r="O133" s="17">
        <f t="shared" si="12"/>
        <v>0</v>
      </c>
      <c r="P133" s="17">
        <f t="shared" si="13"/>
        <v>0.5793666666666667</v>
      </c>
      <c r="Q133" s="17">
        <v>5.72</v>
      </c>
      <c r="U133" s="9">
        <v>2746.7700100000002</v>
      </c>
      <c r="V133" s="45">
        <f t="shared" si="14"/>
        <v>-1</v>
      </c>
      <c r="X133" s="12">
        <v>1.21</v>
      </c>
      <c r="Y133" s="62"/>
    </row>
    <row r="134" spans="1:25" x14ac:dyDescent="0.2">
      <c r="A134" s="3" t="s">
        <v>2441</v>
      </c>
      <c r="B134" s="3" t="s">
        <v>76</v>
      </c>
      <c r="C134" s="6" t="s">
        <v>354</v>
      </c>
      <c r="D134" s="6" t="s">
        <v>150</v>
      </c>
      <c r="E134" s="6" t="s">
        <v>163</v>
      </c>
      <c r="F134" s="6">
        <v>33381.79</v>
      </c>
      <c r="G134" s="2">
        <v>12</v>
      </c>
      <c r="H134" s="61">
        <v>4.58</v>
      </c>
      <c r="I134" s="61">
        <v>5.76</v>
      </c>
      <c r="J134" s="47">
        <f t="shared" si="10"/>
        <v>-0.61833333333333329</v>
      </c>
      <c r="K134" s="47">
        <f t="shared" si="11"/>
        <v>0.25764192139737985</v>
      </c>
      <c r="L134" s="8">
        <v>6.8</v>
      </c>
      <c r="M134" s="8">
        <v>10.72</v>
      </c>
      <c r="N134" s="8">
        <v>10.09</v>
      </c>
      <c r="O134" s="17">
        <f t="shared" si="12"/>
        <v>-0.17336927223719678</v>
      </c>
      <c r="P134" s="17">
        <f t="shared" si="13"/>
        <v>0.39162881355932211</v>
      </c>
      <c r="Q134" s="17">
        <v>8.5399999999999991</v>
      </c>
      <c r="R134" s="9">
        <v>20220803</v>
      </c>
      <c r="S134" s="9">
        <v>30.91</v>
      </c>
      <c r="T134" s="9">
        <v>26.36</v>
      </c>
      <c r="U134" s="9">
        <v>2468.4030699999998</v>
      </c>
      <c r="V134" s="45">
        <f t="shared" si="14"/>
        <v>-0.98932103094491775</v>
      </c>
      <c r="W134" s="12">
        <v>50.5</v>
      </c>
      <c r="X134" s="12">
        <v>2.75</v>
      </c>
      <c r="Y134" s="62">
        <v>0.57999999999999996</v>
      </c>
    </row>
    <row r="135" spans="1:25" x14ac:dyDescent="0.2">
      <c r="A135" s="3" t="s">
        <v>2442</v>
      </c>
      <c r="B135" s="3" t="s">
        <v>1933</v>
      </c>
      <c r="C135" s="6" t="s">
        <v>355</v>
      </c>
      <c r="D135" s="6" t="s">
        <v>233</v>
      </c>
      <c r="E135" s="6" t="s">
        <v>108</v>
      </c>
      <c r="F135" s="6">
        <v>13691.36</v>
      </c>
      <c r="G135" s="2">
        <v>12</v>
      </c>
      <c r="H135" s="61">
        <v>0.15</v>
      </c>
      <c r="I135" s="61">
        <v>0.39</v>
      </c>
      <c r="J135" s="47">
        <f t="shared" si="10"/>
        <v>-0.98749999999999993</v>
      </c>
      <c r="K135" s="47">
        <f t="shared" si="11"/>
        <v>1.6</v>
      </c>
      <c r="L135" s="8">
        <v>1.23</v>
      </c>
      <c r="M135" s="8">
        <v>121.43</v>
      </c>
      <c r="N135" s="8">
        <v>94.22</v>
      </c>
      <c r="O135" s="17">
        <f t="shared" si="12"/>
        <v>-1.2296708860759495</v>
      </c>
      <c r="P135" s="17">
        <f t="shared" si="13"/>
        <v>0.58887500000000004</v>
      </c>
      <c r="Q135" s="17">
        <v>29.54</v>
      </c>
      <c r="R135" s="9">
        <v>20220810</v>
      </c>
      <c r="S135" s="9">
        <v>5.49</v>
      </c>
      <c r="U135" s="9">
        <v>3457.8620599999999</v>
      </c>
      <c r="V135" s="45">
        <f t="shared" si="14"/>
        <v>-1</v>
      </c>
      <c r="W135" s="12">
        <v>700</v>
      </c>
      <c r="X135" s="12">
        <v>0</v>
      </c>
      <c r="Y135" s="62">
        <v>4.71</v>
      </c>
    </row>
    <row r="136" spans="1:25" x14ac:dyDescent="0.2">
      <c r="A136" s="3" t="s">
        <v>2443</v>
      </c>
      <c r="B136" s="3" t="s">
        <v>471</v>
      </c>
      <c r="C136" s="6" t="s">
        <v>355</v>
      </c>
      <c r="D136" s="6" t="s">
        <v>177</v>
      </c>
      <c r="E136" s="6" t="s">
        <v>119</v>
      </c>
      <c r="F136" s="6">
        <v>3634.51</v>
      </c>
      <c r="G136" s="2">
        <v>12</v>
      </c>
      <c r="H136" s="61">
        <v>0.06</v>
      </c>
      <c r="I136" s="61">
        <v>-1.6</v>
      </c>
      <c r="J136" s="47">
        <f t="shared" si="10"/>
        <v>-0.995</v>
      </c>
      <c r="K136" s="47">
        <f t="shared" si="11"/>
        <v>-27.666666666666671</v>
      </c>
      <c r="L136" s="8">
        <v>-1.1000000000000001</v>
      </c>
      <c r="O136" s="17">
        <f t="shared" si="12"/>
        <v>0</v>
      </c>
      <c r="P136" s="17">
        <f t="shared" si="13"/>
        <v>0</v>
      </c>
      <c r="Q136" s="17"/>
      <c r="R136" s="9">
        <v>20220808</v>
      </c>
      <c r="S136" s="9">
        <v>-4.72</v>
      </c>
      <c r="T136" s="9">
        <v>26.67</v>
      </c>
      <c r="U136" s="9">
        <v>456.505</v>
      </c>
      <c r="V136" s="45">
        <f t="shared" si="14"/>
        <v>-0.94157785785478798</v>
      </c>
      <c r="W136" s="12">
        <v>-720</v>
      </c>
      <c r="X136" s="12">
        <v>0</v>
      </c>
      <c r="Y136" s="62"/>
    </row>
    <row r="137" spans="1:25" x14ac:dyDescent="0.2">
      <c r="A137" s="3" t="s">
        <v>2444</v>
      </c>
      <c r="B137" s="3" t="s">
        <v>414</v>
      </c>
      <c r="C137" s="6" t="s">
        <v>355</v>
      </c>
      <c r="D137" s="6" t="s">
        <v>177</v>
      </c>
      <c r="E137" s="6" t="s">
        <v>119</v>
      </c>
      <c r="F137" s="6">
        <v>3331.63</v>
      </c>
      <c r="G137" s="2">
        <v>12</v>
      </c>
      <c r="H137" s="61">
        <v>-0.75</v>
      </c>
      <c r="I137" s="61">
        <v>-0.8</v>
      </c>
      <c r="J137" s="47">
        <f t="shared" si="10"/>
        <v>-1.0625</v>
      </c>
      <c r="K137" s="47">
        <f t="shared" si="11"/>
        <v>-6.6666666666666721E-2</v>
      </c>
      <c r="L137" s="8">
        <v>-0.63</v>
      </c>
      <c r="O137" s="17">
        <f t="shared" si="12"/>
        <v>0</v>
      </c>
      <c r="P137" s="17">
        <f t="shared" si="13"/>
        <v>0</v>
      </c>
      <c r="Q137" s="17"/>
      <c r="R137" s="9">
        <v>20220804</v>
      </c>
      <c r="S137" s="9">
        <v>-28.38</v>
      </c>
      <c r="T137" s="9">
        <v>18.45</v>
      </c>
      <c r="U137" s="9">
        <v>455.01</v>
      </c>
      <c r="V137" s="45">
        <f t="shared" si="14"/>
        <v>-0.95945144062767851</v>
      </c>
      <c r="W137" s="12">
        <v>57.14</v>
      </c>
      <c r="X137" s="12">
        <v>0</v>
      </c>
      <c r="Y137" s="62"/>
    </row>
    <row r="138" spans="1:25" x14ac:dyDescent="0.2">
      <c r="A138" s="3" t="s">
        <v>2445</v>
      </c>
      <c r="B138" s="3" t="s">
        <v>77</v>
      </c>
      <c r="C138" s="6" t="s">
        <v>354</v>
      </c>
      <c r="D138" s="6" t="s">
        <v>233</v>
      </c>
      <c r="E138" s="6" t="s">
        <v>108</v>
      </c>
      <c r="F138" s="6">
        <v>27567.22</v>
      </c>
      <c r="G138" s="2">
        <v>12</v>
      </c>
      <c r="H138" s="61">
        <v>2.6</v>
      </c>
      <c r="I138" s="61">
        <v>3.96</v>
      </c>
      <c r="J138" s="47">
        <f t="shared" si="10"/>
        <v>-0.78333333333333333</v>
      </c>
      <c r="K138" s="47">
        <f t="shared" si="11"/>
        <v>0.52307692307692299</v>
      </c>
      <c r="L138" s="8">
        <v>5.88</v>
      </c>
      <c r="M138" s="8">
        <v>46.89</v>
      </c>
      <c r="N138" s="8">
        <v>25.69</v>
      </c>
      <c r="O138" s="17">
        <f t="shared" si="12"/>
        <v>-0.59859574468085108</v>
      </c>
      <c r="P138" s="17">
        <f t="shared" si="13"/>
        <v>0.49113235294117658</v>
      </c>
      <c r="Q138" s="17">
        <v>17.309999999999999</v>
      </c>
      <c r="R138" s="9">
        <v>20220804</v>
      </c>
      <c r="S138" s="9">
        <v>7.23</v>
      </c>
      <c r="T138" s="9">
        <v>-2.19</v>
      </c>
      <c r="U138" s="9">
        <v>17892.21875</v>
      </c>
      <c r="V138" s="45">
        <f t="shared" si="14"/>
        <v>-1.0001223995766315</v>
      </c>
      <c r="W138" s="12">
        <v>0</v>
      </c>
      <c r="X138" s="12">
        <v>0</v>
      </c>
      <c r="Y138" s="62">
        <v>2.35</v>
      </c>
    </row>
    <row r="139" spans="1:25" x14ac:dyDescent="0.2">
      <c r="A139" s="3" t="s">
        <v>2446</v>
      </c>
      <c r="B139" s="3" t="s">
        <v>359</v>
      </c>
      <c r="C139" s="6" t="s">
        <v>354</v>
      </c>
      <c r="D139" s="6" t="s">
        <v>246</v>
      </c>
      <c r="E139" s="6" t="s">
        <v>250</v>
      </c>
      <c r="F139" s="6">
        <v>9768.32</v>
      </c>
      <c r="G139" s="2">
        <v>12</v>
      </c>
      <c r="H139" s="61">
        <v>0.71</v>
      </c>
      <c r="I139" s="61">
        <v>0.74</v>
      </c>
      <c r="J139" s="47">
        <f t="shared" si="10"/>
        <v>-0.9408333333333333</v>
      </c>
      <c r="K139" s="47">
        <f t="shared" si="11"/>
        <v>4.2253521126760604E-2</v>
      </c>
      <c r="L139" s="8">
        <v>0.8</v>
      </c>
      <c r="M139" s="8">
        <v>20.14</v>
      </c>
      <c r="N139" s="8">
        <v>19.649999999999999</v>
      </c>
      <c r="O139" s="17">
        <f t="shared" si="12"/>
        <v>-0.21406554472984943</v>
      </c>
      <c r="P139" s="17">
        <f t="shared" si="13"/>
        <v>4.6504999999999947</v>
      </c>
      <c r="Q139" s="17">
        <v>18.03</v>
      </c>
      <c r="R139" s="9">
        <v>20220811</v>
      </c>
      <c r="S139" s="9">
        <v>6.88</v>
      </c>
      <c r="T139" s="9">
        <v>10.34</v>
      </c>
      <c r="U139" s="9">
        <v>2711.0400300000001</v>
      </c>
      <c r="V139" s="45">
        <f t="shared" si="14"/>
        <v>-0.99618596557572769</v>
      </c>
      <c r="W139" s="12">
        <v>-4.55</v>
      </c>
      <c r="X139" s="12">
        <v>4.71</v>
      </c>
      <c r="Y139" s="62">
        <v>2.42</v>
      </c>
    </row>
    <row r="140" spans="1:25" x14ac:dyDescent="0.2">
      <c r="A140" s="3" t="s">
        <v>2447</v>
      </c>
      <c r="B140" s="3" t="s">
        <v>1934</v>
      </c>
      <c r="C140" s="6" t="s">
        <v>354</v>
      </c>
      <c r="D140" s="6" t="s">
        <v>233</v>
      </c>
      <c r="E140" s="6" t="s">
        <v>108</v>
      </c>
      <c r="F140" s="6">
        <v>4332.22</v>
      </c>
      <c r="G140" s="2">
        <v>9</v>
      </c>
      <c r="H140" s="61">
        <v>0.67</v>
      </c>
      <c r="I140" s="61">
        <v>0.87</v>
      </c>
      <c r="J140" s="47">
        <f t="shared" si="10"/>
        <v>-0.92555555555555558</v>
      </c>
      <c r="K140" s="47">
        <f t="shared" si="11"/>
        <v>0.29850746268656708</v>
      </c>
      <c r="L140" s="8">
        <v>1.03</v>
      </c>
      <c r="M140" s="8">
        <v>44.65</v>
      </c>
      <c r="N140" s="8">
        <v>41.14</v>
      </c>
      <c r="O140" s="17">
        <f t="shared" si="12"/>
        <v>-0.48241296518607441</v>
      </c>
      <c r="P140" s="17">
        <f t="shared" si="13"/>
        <v>1.3781900000000005</v>
      </c>
      <c r="Q140" s="17">
        <v>34.51</v>
      </c>
      <c r="R140" s="9">
        <v>20220802</v>
      </c>
      <c r="S140" s="9">
        <v>13.25</v>
      </c>
      <c r="T140" s="9">
        <v>3.85</v>
      </c>
      <c r="U140" s="9">
        <v>1698.0379600000001</v>
      </c>
      <c r="V140" s="45">
        <f t="shared" si="14"/>
        <v>-0.99773267730716697</v>
      </c>
      <c r="W140" s="12">
        <v>11.11</v>
      </c>
      <c r="X140" s="12">
        <v>0</v>
      </c>
      <c r="Y140" s="62">
        <v>2.74</v>
      </c>
    </row>
    <row r="141" spans="1:25" x14ac:dyDescent="0.2">
      <c r="A141" s="3" t="s">
        <v>2448</v>
      </c>
      <c r="B141" s="3" t="s">
        <v>1935</v>
      </c>
      <c r="C141" s="6" t="s">
        <v>354</v>
      </c>
      <c r="D141" s="6" t="s">
        <v>200</v>
      </c>
      <c r="E141" s="6" t="s">
        <v>218</v>
      </c>
      <c r="F141" s="6">
        <v>13364.22</v>
      </c>
      <c r="G141" s="2">
        <v>12</v>
      </c>
      <c r="H141" s="61">
        <v>1.58</v>
      </c>
      <c r="I141" s="61">
        <v>6.27</v>
      </c>
      <c r="J141" s="47">
        <f t="shared" si="10"/>
        <v>-0.86833333333333329</v>
      </c>
      <c r="K141" s="47">
        <f t="shared" si="11"/>
        <v>2.9683544303797462</v>
      </c>
      <c r="L141" s="8">
        <v>6.81</v>
      </c>
      <c r="M141" s="8">
        <v>22.14</v>
      </c>
      <c r="N141" s="8">
        <v>6.85</v>
      </c>
      <c r="O141" s="17">
        <f t="shared" si="12"/>
        <v>-0.25497120921305183</v>
      </c>
      <c r="P141" s="17">
        <f t="shared" si="13"/>
        <v>2.307675906183369E-2</v>
      </c>
      <c r="Q141" s="17">
        <v>6.31</v>
      </c>
      <c r="R141" s="9">
        <v>20220727</v>
      </c>
      <c r="S141" s="9">
        <v>10.73</v>
      </c>
      <c r="T141" s="9">
        <v>2.42</v>
      </c>
      <c r="U141" s="9">
        <v>6886.4047799999998</v>
      </c>
      <c r="V141" s="45">
        <f t="shared" si="14"/>
        <v>-0.99964858295768089</v>
      </c>
      <c r="W141" s="12">
        <v>7.48</v>
      </c>
      <c r="X141" s="12">
        <v>0</v>
      </c>
      <c r="Y141" s="62"/>
    </row>
    <row r="142" spans="1:25" x14ac:dyDescent="0.2">
      <c r="A142" s="3" t="s">
        <v>2449</v>
      </c>
      <c r="B142" s="3" t="s">
        <v>2076</v>
      </c>
      <c r="C142" s="6" t="s">
        <v>356</v>
      </c>
      <c r="D142" s="6" t="s">
        <v>145</v>
      </c>
      <c r="E142" s="6" t="s">
        <v>140</v>
      </c>
      <c r="F142" s="6">
        <v>3521.81</v>
      </c>
      <c r="G142" s="2">
        <v>12</v>
      </c>
      <c r="H142" s="61"/>
      <c r="I142" s="61"/>
      <c r="J142" s="47">
        <f t="shared" si="10"/>
        <v>-1</v>
      </c>
      <c r="K142" s="47" t="e">
        <f t="shared" si="11"/>
        <v>#DIV/0!</v>
      </c>
      <c r="O142" s="17">
        <f t="shared" si="12"/>
        <v>0</v>
      </c>
      <c r="P142" s="17" t="e">
        <f t="shared" si="13"/>
        <v>#DIV/0!</v>
      </c>
      <c r="Q142" s="17"/>
      <c r="V142" s="45" t="e">
        <f t="shared" si="14"/>
        <v>#DIV/0!</v>
      </c>
      <c r="X142" s="12">
        <v>1.61</v>
      </c>
      <c r="Y142" s="62"/>
    </row>
    <row r="143" spans="1:25" x14ac:dyDescent="0.2">
      <c r="A143" s="3" t="s">
        <v>2450</v>
      </c>
      <c r="B143" s="3" t="s">
        <v>368</v>
      </c>
      <c r="C143" s="6" t="s">
        <v>355</v>
      </c>
      <c r="D143" s="6" t="s">
        <v>152</v>
      </c>
      <c r="E143" s="6" t="s">
        <v>163</v>
      </c>
      <c r="F143" s="6">
        <v>9564.9</v>
      </c>
      <c r="G143" s="2">
        <v>12</v>
      </c>
      <c r="H143" s="61">
        <v>1.93</v>
      </c>
      <c r="I143" s="61">
        <v>1.77</v>
      </c>
      <c r="J143" s="47">
        <f t="shared" si="10"/>
        <v>-0.83916666666666673</v>
      </c>
      <c r="K143" s="47">
        <f t="shared" si="11"/>
        <v>-8.2901554404145039E-2</v>
      </c>
      <c r="L143" s="8">
        <v>1.93</v>
      </c>
      <c r="M143" s="8">
        <v>10.06</v>
      </c>
      <c r="N143" s="8">
        <v>10.98</v>
      </c>
      <c r="O143" s="17">
        <f t="shared" si="12"/>
        <v>-0.11988083416087388</v>
      </c>
      <c r="P143" s="17">
        <f t="shared" si="13"/>
        <v>-1.3244625000000008</v>
      </c>
      <c r="Q143" s="17">
        <v>10.07</v>
      </c>
      <c r="R143" s="9">
        <v>20220727</v>
      </c>
      <c r="S143" s="9">
        <v>10.23</v>
      </c>
      <c r="T143" s="9">
        <v>10.63</v>
      </c>
      <c r="U143" s="9">
        <v>1892.3570500000001</v>
      </c>
      <c r="V143" s="45">
        <f t="shared" si="14"/>
        <v>-0.99438266684397636</v>
      </c>
      <c r="W143" s="12">
        <v>-12.77</v>
      </c>
      <c r="X143" s="12">
        <v>8.66</v>
      </c>
      <c r="Y143" s="62"/>
    </row>
    <row r="144" spans="1:25" x14ac:dyDescent="0.2">
      <c r="A144" s="3" t="s">
        <v>2451</v>
      </c>
      <c r="B144" s="3" t="s">
        <v>78</v>
      </c>
      <c r="C144" s="6" t="s">
        <v>354</v>
      </c>
      <c r="D144" s="6" t="s">
        <v>215</v>
      </c>
      <c r="E144" s="6" t="s">
        <v>163</v>
      </c>
      <c r="F144" s="6">
        <v>26653.48</v>
      </c>
      <c r="G144" s="2">
        <v>12</v>
      </c>
      <c r="H144" s="61">
        <v>7.76</v>
      </c>
      <c r="I144" s="61">
        <v>8.4</v>
      </c>
      <c r="J144" s="47">
        <f t="shared" si="10"/>
        <v>-0.35333333333333333</v>
      </c>
      <c r="K144" s="47">
        <f t="shared" si="11"/>
        <v>8.2474226804123793E-2</v>
      </c>
      <c r="L144" s="8">
        <v>9.17</v>
      </c>
      <c r="M144" s="8">
        <v>20.67</v>
      </c>
      <c r="N144" s="8">
        <v>19.440000000000001</v>
      </c>
      <c r="O144" s="17">
        <f t="shared" si="12"/>
        <v>-0.58499999999999996</v>
      </c>
      <c r="P144" s="17">
        <f t="shared" si="13"/>
        <v>2.3570999999999978</v>
      </c>
      <c r="Q144" s="17">
        <v>17.809999999999999</v>
      </c>
      <c r="R144" s="9">
        <v>20220725</v>
      </c>
      <c r="S144" s="9">
        <v>2.2799999999999998</v>
      </c>
      <c r="T144" s="9">
        <v>17.62</v>
      </c>
      <c r="V144" s="45" t="e">
        <f t="shared" si="14"/>
        <v>#DIV/0!</v>
      </c>
      <c r="W144" s="12">
        <v>2.5</v>
      </c>
      <c r="X144" s="12">
        <v>2.82</v>
      </c>
      <c r="Y144" s="62">
        <v>2.52</v>
      </c>
    </row>
    <row r="145" spans="1:25" x14ac:dyDescent="0.2">
      <c r="A145" s="3" t="s">
        <v>2452</v>
      </c>
      <c r="B145" s="3" t="s">
        <v>399</v>
      </c>
      <c r="C145" s="6" t="s">
        <v>354</v>
      </c>
      <c r="D145" s="6" t="s">
        <v>150</v>
      </c>
      <c r="E145" s="6" t="s">
        <v>163</v>
      </c>
      <c r="F145" s="6">
        <v>20681.650000000001</v>
      </c>
      <c r="G145" s="2">
        <v>12</v>
      </c>
      <c r="H145" s="61">
        <v>2.46</v>
      </c>
      <c r="I145" s="61">
        <v>3.24</v>
      </c>
      <c r="J145" s="47">
        <f t="shared" si="10"/>
        <v>-0.79499999999999993</v>
      </c>
      <c r="K145" s="47">
        <f t="shared" si="11"/>
        <v>0.31707317073170743</v>
      </c>
      <c r="L145" s="8">
        <v>4.04</v>
      </c>
      <c r="M145" s="8">
        <v>25.53</v>
      </c>
      <c r="N145" s="8">
        <v>21.73</v>
      </c>
      <c r="O145" s="17">
        <f t="shared" si="12"/>
        <v>-0.32113207547169814</v>
      </c>
      <c r="P145" s="17">
        <f t="shared" si="13"/>
        <v>0.68533076923076897</v>
      </c>
      <c r="Q145" s="17">
        <v>17.43</v>
      </c>
      <c r="R145" s="9">
        <v>20220804</v>
      </c>
      <c r="S145" s="9">
        <v>14.53</v>
      </c>
      <c r="T145" s="9">
        <v>27.31</v>
      </c>
      <c r="U145" s="9">
        <v>2813.0568800000001</v>
      </c>
      <c r="V145" s="45">
        <f t="shared" si="14"/>
        <v>-0.99029170003842937</v>
      </c>
      <c r="W145" s="12">
        <v>-1.52</v>
      </c>
      <c r="X145" s="12">
        <v>3.46</v>
      </c>
      <c r="Y145" s="62">
        <v>0.84</v>
      </c>
    </row>
    <row r="146" spans="1:25" x14ac:dyDescent="0.2">
      <c r="A146" s="3" t="s">
        <v>2453</v>
      </c>
      <c r="B146" s="3" t="s">
        <v>337</v>
      </c>
      <c r="C146" s="6" t="s">
        <v>355</v>
      </c>
      <c r="D146" s="6" t="s">
        <v>185</v>
      </c>
      <c r="E146" s="6" t="s">
        <v>208</v>
      </c>
      <c r="F146" s="6">
        <v>16942</v>
      </c>
      <c r="G146" s="2">
        <v>12</v>
      </c>
      <c r="H146" s="61">
        <v>-7.96</v>
      </c>
      <c r="I146" s="61">
        <v>-19.41</v>
      </c>
      <c r="J146" s="47">
        <f t="shared" si="10"/>
        <v>-1.6633333333333333</v>
      </c>
      <c r="K146" s="47">
        <f t="shared" si="11"/>
        <v>-1.4384422110552764</v>
      </c>
      <c r="L146" s="8">
        <v>-17.43</v>
      </c>
      <c r="O146" s="17">
        <f t="shared" si="12"/>
        <v>0</v>
      </c>
      <c r="P146" s="17">
        <f t="shared" si="13"/>
        <v>0</v>
      </c>
      <c r="Q146" s="17"/>
      <c r="R146" s="9">
        <v>20220804</v>
      </c>
      <c r="S146" s="9">
        <v>-32.54</v>
      </c>
      <c r="U146" s="9">
        <v>163.14198999999999</v>
      </c>
      <c r="V146" s="45">
        <f t="shared" si="14"/>
        <v>-1</v>
      </c>
      <c r="W146" s="12">
        <v>14</v>
      </c>
      <c r="X146" s="12">
        <v>0</v>
      </c>
      <c r="Y146" s="62"/>
    </row>
    <row r="147" spans="1:25" x14ac:dyDescent="0.2">
      <c r="A147" s="3" t="s">
        <v>2454</v>
      </c>
      <c r="B147" s="3" t="s">
        <v>350</v>
      </c>
      <c r="C147" s="6" t="s">
        <v>356</v>
      </c>
      <c r="D147" s="6" t="s">
        <v>126</v>
      </c>
      <c r="E147" s="6" t="s">
        <v>60</v>
      </c>
      <c r="F147" s="6">
        <v>8913.58</v>
      </c>
      <c r="G147" s="2">
        <v>12</v>
      </c>
      <c r="H147" s="61">
        <v>12.34</v>
      </c>
      <c r="I147" s="61">
        <v>13.58</v>
      </c>
      <c r="J147" s="47">
        <f t="shared" si="10"/>
        <v>2.8333333333333321E-2</v>
      </c>
      <c r="K147" s="47">
        <f t="shared" si="11"/>
        <v>0.10048622366288494</v>
      </c>
      <c r="L147" s="8">
        <v>11.7</v>
      </c>
      <c r="M147" s="8">
        <v>7.05</v>
      </c>
      <c r="N147" s="8">
        <v>8.84</v>
      </c>
      <c r="O147" s="17">
        <f t="shared" si="12"/>
        <v>2.488235294117648</v>
      </c>
      <c r="P147" s="17">
        <f t="shared" si="13"/>
        <v>0.87972258064516107</v>
      </c>
      <c r="Q147" s="17">
        <v>10.25</v>
      </c>
      <c r="R147" s="9">
        <v>20220804</v>
      </c>
      <c r="S147" s="9">
        <v>17.59</v>
      </c>
      <c r="T147" s="9">
        <v>2.48</v>
      </c>
      <c r="U147" s="9">
        <v>11966.565420000001</v>
      </c>
      <c r="V147" s="45">
        <f t="shared" si="14"/>
        <v>-0.999792755906732</v>
      </c>
      <c r="X147" s="12">
        <v>2.2200000000000002</v>
      </c>
      <c r="Y147" s="62">
        <v>1.71</v>
      </c>
    </row>
    <row r="148" spans="1:25" x14ac:dyDescent="0.2">
      <c r="A148" s="3" t="s">
        <v>79</v>
      </c>
      <c r="B148" s="3" t="s">
        <v>80</v>
      </c>
      <c r="C148" s="6" t="s">
        <v>354</v>
      </c>
      <c r="D148" s="6" t="s">
        <v>155</v>
      </c>
      <c r="E148" s="6" t="s">
        <v>154</v>
      </c>
      <c r="F148" s="6">
        <v>8612.93</v>
      </c>
      <c r="G148" s="2">
        <v>9</v>
      </c>
      <c r="H148" s="61">
        <v>-0.32</v>
      </c>
      <c r="I148" s="61">
        <v>1.17</v>
      </c>
      <c r="J148" s="47">
        <f t="shared" si="10"/>
        <v>-1.0355555555555556</v>
      </c>
      <c r="K148" s="47">
        <f t="shared" si="11"/>
        <v>4.65625</v>
      </c>
      <c r="L148" s="8">
        <v>1.97</v>
      </c>
      <c r="M148" s="8">
        <v>48.61</v>
      </c>
      <c r="N148" s="8">
        <v>28.77</v>
      </c>
      <c r="O148" s="17">
        <f t="shared" si="12"/>
        <v>-0.46940987124463518</v>
      </c>
      <c r="P148" s="17">
        <f t="shared" si="13"/>
        <v>6.1787919463087246E-2</v>
      </c>
      <c r="Q148" s="17">
        <v>16.989999999999998</v>
      </c>
      <c r="R148" s="9">
        <v>20220809</v>
      </c>
      <c r="S148" s="9">
        <v>6.43</v>
      </c>
      <c r="T148" s="9">
        <v>-5.4</v>
      </c>
      <c r="U148" s="9">
        <v>15525.84179</v>
      </c>
      <c r="V148" s="45">
        <f t="shared" si="14"/>
        <v>-1.0003478072282996</v>
      </c>
      <c r="W148" s="12">
        <v>4.76</v>
      </c>
      <c r="X148" s="12">
        <v>1.31</v>
      </c>
      <c r="Y148" s="62">
        <v>0.83</v>
      </c>
    </row>
    <row r="149" spans="1:25" x14ac:dyDescent="0.2">
      <c r="A149" s="3" t="s">
        <v>2455</v>
      </c>
      <c r="B149" s="3" t="s">
        <v>81</v>
      </c>
      <c r="C149" s="6" t="s">
        <v>354</v>
      </c>
      <c r="D149" s="6" t="s">
        <v>142</v>
      </c>
      <c r="E149" s="6" t="s">
        <v>119</v>
      </c>
      <c r="F149" s="6">
        <v>7868.31</v>
      </c>
      <c r="G149" s="2">
        <v>12</v>
      </c>
      <c r="H149" s="61">
        <v>14.6</v>
      </c>
      <c r="I149" s="61">
        <v>21.57</v>
      </c>
      <c r="J149" s="47">
        <f t="shared" si="10"/>
        <v>0.21666666666666665</v>
      </c>
      <c r="K149" s="47">
        <f t="shared" si="11"/>
        <v>0.47739726027397267</v>
      </c>
      <c r="L149" s="8">
        <v>18.32</v>
      </c>
      <c r="M149" s="8">
        <v>6.55</v>
      </c>
      <c r="N149" s="8">
        <v>5.52</v>
      </c>
      <c r="O149" s="17">
        <f t="shared" si="12"/>
        <v>0.30230769230769233</v>
      </c>
      <c r="P149" s="17">
        <f t="shared" si="13"/>
        <v>0.11562697274031561</v>
      </c>
      <c r="Q149" s="17">
        <v>6.51</v>
      </c>
      <c r="R149" s="9">
        <v>20220804</v>
      </c>
      <c r="S149" s="9">
        <v>24.4</v>
      </c>
      <c r="T149" s="9">
        <v>5.14</v>
      </c>
      <c r="U149" s="9">
        <v>36698.433590000001</v>
      </c>
      <c r="V149" s="45">
        <f t="shared" si="14"/>
        <v>-0.99985993952610008</v>
      </c>
      <c r="W149" s="12">
        <v>19.87</v>
      </c>
      <c r="X149" s="12">
        <v>0</v>
      </c>
      <c r="Y149" s="62">
        <v>1.76</v>
      </c>
    </row>
    <row r="150" spans="1:25" x14ac:dyDescent="0.2">
      <c r="A150" s="3" t="s">
        <v>2456</v>
      </c>
      <c r="B150" s="3" t="s">
        <v>415</v>
      </c>
      <c r="C150" s="6" t="s">
        <v>355</v>
      </c>
      <c r="D150" s="6" t="s">
        <v>187</v>
      </c>
      <c r="E150" s="6" t="s">
        <v>208</v>
      </c>
      <c r="F150" s="6">
        <v>3524.19</v>
      </c>
      <c r="G150" s="2">
        <v>9</v>
      </c>
      <c r="H150" s="61">
        <v>-0.79</v>
      </c>
      <c r="I150" s="61">
        <v>-1.03</v>
      </c>
      <c r="J150" s="47">
        <f t="shared" si="10"/>
        <v>-1.0877777777777777</v>
      </c>
      <c r="K150" s="47">
        <f t="shared" si="11"/>
        <v>-0.30379746835443033</v>
      </c>
      <c r="L150" s="8">
        <v>-1.99</v>
      </c>
      <c r="O150" s="17">
        <f t="shared" si="12"/>
        <v>0</v>
      </c>
      <c r="P150" s="17">
        <f t="shared" si="13"/>
        <v>0</v>
      </c>
      <c r="Q150" s="17"/>
      <c r="R150" s="9">
        <v>20220804</v>
      </c>
      <c r="S150" s="9">
        <v>-26.77</v>
      </c>
      <c r="T150" s="9">
        <v>60.06</v>
      </c>
      <c r="U150" s="9">
        <v>286.94900000000001</v>
      </c>
      <c r="V150" s="45">
        <f t="shared" si="14"/>
        <v>-0.79069451365922172</v>
      </c>
      <c r="W150" s="12">
        <v>5.13</v>
      </c>
      <c r="X150" s="12">
        <v>0</v>
      </c>
      <c r="Y150" s="62"/>
    </row>
    <row r="151" spans="1:25" x14ac:dyDescent="0.2">
      <c r="A151" s="3" t="s">
        <v>2457</v>
      </c>
      <c r="B151" s="3" t="s">
        <v>2458</v>
      </c>
      <c r="C151" s="6" t="s">
        <v>354</v>
      </c>
      <c r="D151" s="6" t="s">
        <v>544</v>
      </c>
      <c r="E151" s="6" t="s">
        <v>146</v>
      </c>
      <c r="F151" s="6">
        <v>4545.5</v>
      </c>
      <c r="G151" s="2">
        <v>12</v>
      </c>
      <c r="H151" s="61">
        <v>0.17</v>
      </c>
      <c r="I151" s="61">
        <v>0.1</v>
      </c>
      <c r="J151" s="47">
        <f t="shared" si="10"/>
        <v>-0.98583333333333334</v>
      </c>
      <c r="K151" s="47">
        <f t="shared" si="11"/>
        <v>-0.41176470588235298</v>
      </c>
      <c r="L151" s="8">
        <v>0.22</v>
      </c>
      <c r="N151" s="8">
        <v>160.66999999999999</v>
      </c>
      <c r="O151" s="17">
        <f t="shared" si="12"/>
        <v>0</v>
      </c>
      <c r="P151" s="17">
        <f t="shared" si="13"/>
        <v>-3.9019857142857135</v>
      </c>
      <c r="Q151" s="17">
        <v>74.98</v>
      </c>
      <c r="U151" s="9">
        <v>2389.2600000000002</v>
      </c>
      <c r="V151" s="45">
        <f t="shared" si="14"/>
        <v>-1</v>
      </c>
      <c r="W151" s="12">
        <v>1100</v>
      </c>
      <c r="X151" s="12">
        <v>0.95</v>
      </c>
      <c r="Y151" s="62">
        <v>7</v>
      </c>
    </row>
    <row r="152" spans="1:25" x14ac:dyDescent="0.2">
      <c r="A152" s="3" t="s">
        <v>2459</v>
      </c>
      <c r="B152" s="3" t="s">
        <v>523</v>
      </c>
      <c r="C152" s="6" t="s">
        <v>354</v>
      </c>
      <c r="D152" s="6" t="s">
        <v>177</v>
      </c>
      <c r="E152" s="6" t="s">
        <v>119</v>
      </c>
      <c r="F152" s="6">
        <v>3909.9</v>
      </c>
      <c r="G152" s="2">
        <v>1</v>
      </c>
      <c r="H152" s="61">
        <v>-0.96</v>
      </c>
      <c r="I152" s="61">
        <v>-1.25</v>
      </c>
      <c r="J152" s="47">
        <f t="shared" si="10"/>
        <v>-1.96</v>
      </c>
      <c r="K152" s="47">
        <f t="shared" si="11"/>
        <v>-0.30208333333333337</v>
      </c>
      <c r="L152" s="8">
        <v>-1.08</v>
      </c>
      <c r="O152" s="17">
        <f t="shared" si="12"/>
        <v>0</v>
      </c>
      <c r="P152" s="17">
        <f t="shared" si="13"/>
        <v>0</v>
      </c>
      <c r="Q152" s="17"/>
      <c r="R152" s="9">
        <v>20220602</v>
      </c>
      <c r="S152" s="9">
        <v>-158.77000000000001</v>
      </c>
      <c r="U152" s="9">
        <v>529.24199999999996</v>
      </c>
      <c r="V152" s="45">
        <f t="shared" si="14"/>
        <v>-1</v>
      </c>
      <c r="W152" s="12">
        <v>10.71</v>
      </c>
      <c r="X152" s="12">
        <v>0</v>
      </c>
      <c r="Y152" s="62"/>
    </row>
    <row r="153" spans="1:25" x14ac:dyDescent="0.2">
      <c r="A153" s="3" t="s">
        <v>495</v>
      </c>
      <c r="B153" s="3" t="s">
        <v>496</v>
      </c>
      <c r="C153" s="6" t="s">
        <v>354</v>
      </c>
      <c r="D153" s="6" t="s">
        <v>103</v>
      </c>
      <c r="E153" s="6" t="s">
        <v>163</v>
      </c>
      <c r="F153" s="6">
        <v>3087.9</v>
      </c>
      <c r="G153" s="2">
        <v>12</v>
      </c>
      <c r="H153" s="61">
        <v>2.11</v>
      </c>
      <c r="I153" s="61">
        <v>1.89</v>
      </c>
      <c r="J153" s="47">
        <f t="shared" si="10"/>
        <v>-0.82416666666666671</v>
      </c>
      <c r="K153" s="47">
        <f t="shared" si="11"/>
        <v>-0.10426540284360189</v>
      </c>
      <c r="L153" s="8">
        <v>2.19</v>
      </c>
      <c r="M153" s="8">
        <v>9.89</v>
      </c>
      <c r="N153" s="8">
        <v>10.89</v>
      </c>
      <c r="O153" s="17">
        <f t="shared" si="12"/>
        <v>-0.12</v>
      </c>
      <c r="P153" s="17">
        <f t="shared" si="13"/>
        <v>-1.0444500000000001</v>
      </c>
      <c r="Q153" s="17">
        <v>9.41</v>
      </c>
      <c r="R153" s="9">
        <v>20220728</v>
      </c>
      <c r="S153" s="9">
        <v>8.6999999999999993</v>
      </c>
      <c r="T153" s="9">
        <v>-1.37</v>
      </c>
      <c r="U153" s="9">
        <v>1142.4499499999999</v>
      </c>
      <c r="V153" s="45">
        <f t="shared" si="14"/>
        <v>-1.0011991772593625</v>
      </c>
      <c r="W153" s="12">
        <v>27.03</v>
      </c>
      <c r="X153" s="12">
        <v>3.89</v>
      </c>
      <c r="Y153" s="62">
        <v>1.36</v>
      </c>
    </row>
    <row r="154" spans="1:25" x14ac:dyDescent="0.2">
      <c r="A154" s="3" t="s">
        <v>2460</v>
      </c>
      <c r="B154" s="3" t="s">
        <v>2461</v>
      </c>
      <c r="C154" s="6" t="s">
        <v>356</v>
      </c>
      <c r="D154" s="6" t="s">
        <v>155</v>
      </c>
      <c r="E154" s="6" t="s">
        <v>154</v>
      </c>
      <c r="F154" s="6">
        <v>17218.91</v>
      </c>
      <c r="G154" s="2">
        <v>9</v>
      </c>
      <c r="H154" s="61">
        <v>1.02</v>
      </c>
      <c r="I154" s="61">
        <v>1.62</v>
      </c>
      <c r="J154" s="47">
        <f t="shared" si="10"/>
        <v>-0.88666666666666671</v>
      </c>
      <c r="K154" s="47">
        <f t="shared" si="11"/>
        <v>0.58823529411764719</v>
      </c>
      <c r="L154" s="8">
        <v>1.71</v>
      </c>
      <c r="N154" s="8">
        <v>13.43</v>
      </c>
      <c r="O154" s="17">
        <f t="shared" si="12"/>
        <v>0</v>
      </c>
      <c r="P154" s="17">
        <f t="shared" si="13"/>
        <v>0.22830999999999996</v>
      </c>
      <c r="Q154" s="17">
        <v>12.74</v>
      </c>
      <c r="U154" s="9">
        <v>21333.519530000001</v>
      </c>
      <c r="V154" s="45">
        <f t="shared" si="14"/>
        <v>-1</v>
      </c>
      <c r="X154" s="12">
        <v>3.86</v>
      </c>
      <c r="Y154" s="62">
        <v>1.03</v>
      </c>
    </row>
    <row r="155" spans="1:25" x14ac:dyDescent="0.2">
      <c r="A155" s="3" t="s">
        <v>426</v>
      </c>
      <c r="B155" s="3" t="s">
        <v>426</v>
      </c>
      <c r="C155" s="6" t="s">
        <v>354</v>
      </c>
      <c r="D155" s="6" t="s">
        <v>134</v>
      </c>
      <c r="E155" s="6" t="s">
        <v>119</v>
      </c>
      <c r="F155" s="6">
        <v>4765.08</v>
      </c>
      <c r="G155" s="2">
        <v>12</v>
      </c>
      <c r="H155" s="61">
        <v>5.28</v>
      </c>
      <c r="I155" s="61">
        <v>6.46</v>
      </c>
      <c r="J155" s="47">
        <f t="shared" si="10"/>
        <v>-0.55999999999999994</v>
      </c>
      <c r="K155" s="47">
        <f t="shared" si="11"/>
        <v>0.22348484848484843</v>
      </c>
      <c r="L155" s="8">
        <v>7.32</v>
      </c>
      <c r="M155" s="8">
        <v>15.49</v>
      </c>
      <c r="N155" s="8">
        <v>14.44</v>
      </c>
      <c r="O155" s="17">
        <f t="shared" si="12"/>
        <v>-0.27660714285714288</v>
      </c>
      <c r="P155" s="17">
        <f t="shared" si="13"/>
        <v>0.64612881355932217</v>
      </c>
      <c r="Q155" s="17">
        <v>12.74</v>
      </c>
      <c r="R155" s="9">
        <v>20220727</v>
      </c>
      <c r="S155" s="9">
        <v>17.55</v>
      </c>
      <c r="T155" s="9">
        <v>11.7</v>
      </c>
      <c r="U155" s="9">
        <v>4448.3168900000001</v>
      </c>
      <c r="V155" s="45">
        <f t="shared" si="14"/>
        <v>-0.99736979170114837</v>
      </c>
      <c r="W155" s="12">
        <v>12.95</v>
      </c>
      <c r="X155" s="12">
        <v>0</v>
      </c>
      <c r="Y155" s="62">
        <v>0.94</v>
      </c>
    </row>
    <row r="156" spans="1:25" x14ac:dyDescent="0.2">
      <c r="A156" s="3" t="s">
        <v>2462</v>
      </c>
      <c r="B156" s="3" t="s">
        <v>400</v>
      </c>
      <c r="C156" s="6" t="s">
        <v>354</v>
      </c>
      <c r="D156" s="6" t="s">
        <v>128</v>
      </c>
      <c r="E156" s="6" t="s">
        <v>60</v>
      </c>
      <c r="F156" s="6">
        <v>5767.55</v>
      </c>
      <c r="G156" s="2">
        <v>9</v>
      </c>
      <c r="H156" s="61">
        <v>4.4800000000000004</v>
      </c>
      <c r="I156" s="61">
        <v>5.1100000000000003</v>
      </c>
      <c r="J156" s="47">
        <f t="shared" si="10"/>
        <v>-0.50222222222222213</v>
      </c>
      <c r="K156" s="47">
        <f t="shared" si="11"/>
        <v>0.14062499999999997</v>
      </c>
      <c r="L156" s="8">
        <v>5.85</v>
      </c>
      <c r="M156" s="8">
        <v>21.94</v>
      </c>
      <c r="N156" s="8">
        <v>20.7</v>
      </c>
      <c r="O156" s="17">
        <f t="shared" si="12"/>
        <v>-0.43685840707964613</v>
      </c>
      <c r="P156" s="17">
        <f t="shared" si="13"/>
        <v>1.4720000000000004</v>
      </c>
      <c r="Q156" s="17">
        <v>18.07</v>
      </c>
      <c r="R156" s="9">
        <v>20220726</v>
      </c>
      <c r="S156" s="9">
        <v>9.4499999999999993</v>
      </c>
      <c r="T156" s="9">
        <v>-13.93</v>
      </c>
      <c r="U156" s="9">
        <v>2340.6420800000001</v>
      </c>
      <c r="V156" s="45">
        <f t="shared" si="14"/>
        <v>-1.0059513584409283</v>
      </c>
      <c r="W156" s="12">
        <v>10.29</v>
      </c>
      <c r="X156" s="12">
        <v>1.1299999999999999</v>
      </c>
      <c r="Y156" s="62"/>
    </row>
    <row r="157" spans="1:25" x14ac:dyDescent="0.2">
      <c r="A157" s="3" t="s">
        <v>2463</v>
      </c>
      <c r="B157" s="3" t="s">
        <v>82</v>
      </c>
      <c r="C157" s="6" t="s">
        <v>356</v>
      </c>
      <c r="D157" s="6" t="s">
        <v>162</v>
      </c>
      <c r="E157" s="6" t="s">
        <v>201</v>
      </c>
      <c r="F157" s="6">
        <v>22694.29</v>
      </c>
      <c r="G157" s="2">
        <v>4</v>
      </c>
      <c r="H157" s="61">
        <v>11.94</v>
      </c>
      <c r="I157" s="61">
        <v>14.69</v>
      </c>
      <c r="J157" s="47">
        <f t="shared" si="10"/>
        <v>1.9849999999999999</v>
      </c>
      <c r="K157" s="47">
        <f t="shared" si="11"/>
        <v>0.23031825795644892</v>
      </c>
      <c r="L157" s="8">
        <v>16.84</v>
      </c>
      <c r="M157" s="8">
        <v>17.760000000000002</v>
      </c>
      <c r="N157" s="8">
        <v>13.94</v>
      </c>
      <c r="O157" s="17">
        <f t="shared" si="12"/>
        <v>8.9471032745591941E-2</v>
      </c>
      <c r="P157" s="17">
        <f t="shared" si="13"/>
        <v>0.60524945454545453</v>
      </c>
      <c r="Q157" s="17">
        <v>12.16</v>
      </c>
      <c r="R157" s="9">
        <v>20220621</v>
      </c>
      <c r="S157" s="9">
        <v>27.56</v>
      </c>
      <c r="T157" s="9">
        <v>13.26</v>
      </c>
      <c r="U157" s="9">
        <v>8938.0302699999993</v>
      </c>
      <c r="V157" s="45">
        <f t="shared" si="14"/>
        <v>-0.9985164516566355</v>
      </c>
      <c r="X157" s="12">
        <v>0.44</v>
      </c>
      <c r="Y157" s="62"/>
    </row>
    <row r="158" spans="1:25" x14ac:dyDescent="0.2">
      <c r="A158" s="3" t="s">
        <v>2464</v>
      </c>
      <c r="B158" s="3" t="s">
        <v>2077</v>
      </c>
      <c r="C158" s="6" t="s">
        <v>356</v>
      </c>
      <c r="D158" s="6" t="s">
        <v>524</v>
      </c>
      <c r="E158" s="6" t="s">
        <v>119</v>
      </c>
      <c r="F158" s="6">
        <v>14370.09</v>
      </c>
      <c r="G158" s="2">
        <v>12</v>
      </c>
      <c r="H158" s="61">
        <v>11.69</v>
      </c>
      <c r="I158" s="61">
        <v>13.71</v>
      </c>
      <c r="J158" s="47">
        <f t="shared" si="10"/>
        <v>-2.5833333333333375E-2</v>
      </c>
      <c r="K158" s="47">
        <f t="shared" si="11"/>
        <v>0.17279726261762202</v>
      </c>
      <c r="L158" s="8">
        <v>15.61</v>
      </c>
      <c r="M158" s="8">
        <v>26.71</v>
      </c>
      <c r="N158" s="8">
        <v>21.59</v>
      </c>
      <c r="O158" s="17">
        <f t="shared" si="12"/>
        <v>-10.339354838709662</v>
      </c>
      <c r="P158" s="17">
        <f t="shared" si="13"/>
        <v>1.2494410891089098</v>
      </c>
      <c r="Q158" s="17">
        <v>18.96</v>
      </c>
      <c r="R158" s="9">
        <v>20220720</v>
      </c>
      <c r="S158" s="9">
        <v>21.2</v>
      </c>
      <c r="T158" s="9">
        <v>23.88</v>
      </c>
      <c r="U158" s="9">
        <v>2452.4599600000001</v>
      </c>
      <c r="V158" s="45">
        <f t="shared" si="14"/>
        <v>-0.99026283797106307</v>
      </c>
      <c r="W158" s="12">
        <v>-17.53</v>
      </c>
      <c r="X158" s="12">
        <v>0.76</v>
      </c>
      <c r="Y158" s="62"/>
    </row>
    <row r="159" spans="1:25" x14ac:dyDescent="0.2">
      <c r="A159" s="3" t="s">
        <v>2465</v>
      </c>
      <c r="B159" s="3" t="s">
        <v>83</v>
      </c>
      <c r="C159" s="6" t="s">
        <v>355</v>
      </c>
      <c r="D159" s="6" t="s">
        <v>229</v>
      </c>
      <c r="E159" s="6" t="s">
        <v>119</v>
      </c>
      <c r="F159" s="6">
        <v>229503.7</v>
      </c>
      <c r="G159" s="2">
        <v>12</v>
      </c>
      <c r="H159" s="61">
        <v>15.73</v>
      </c>
      <c r="I159" s="61">
        <v>17.54</v>
      </c>
      <c r="J159" s="47">
        <f t="shared" si="10"/>
        <v>0.31083333333333335</v>
      </c>
      <c r="K159" s="47">
        <f t="shared" si="11"/>
        <v>0.11506675143038771</v>
      </c>
      <c r="L159" s="8">
        <v>22.32</v>
      </c>
      <c r="M159" s="8">
        <v>33.619999999999997</v>
      </c>
      <c r="N159" s="8">
        <v>31.93</v>
      </c>
      <c r="O159" s="17">
        <f t="shared" si="12"/>
        <v>1.0816085790884717</v>
      </c>
      <c r="P159" s="17">
        <f t="shared" si="13"/>
        <v>2.7749110497237588</v>
      </c>
      <c r="Q159" s="17">
        <v>25.09</v>
      </c>
      <c r="R159" s="9">
        <v>20220720</v>
      </c>
      <c r="S159" s="9">
        <v>54.58</v>
      </c>
      <c r="T159" s="9">
        <v>20.440000000000001</v>
      </c>
      <c r="U159" s="9">
        <v>23684.527340000001</v>
      </c>
      <c r="V159" s="45">
        <f t="shared" si="14"/>
        <v>-0.99913698932190731</v>
      </c>
      <c r="W159" s="12">
        <v>89.95</v>
      </c>
      <c r="X159" s="12">
        <v>1.18</v>
      </c>
      <c r="Y159" s="62">
        <v>1.81</v>
      </c>
    </row>
    <row r="160" spans="1:25" x14ac:dyDescent="0.2">
      <c r="A160" s="3" t="s">
        <v>2466</v>
      </c>
      <c r="B160" s="3" t="s">
        <v>351</v>
      </c>
      <c r="C160" s="6" t="s">
        <v>355</v>
      </c>
      <c r="D160" s="6" t="s">
        <v>185</v>
      </c>
      <c r="E160" s="6" t="s">
        <v>208</v>
      </c>
      <c r="F160" s="6">
        <v>5053.3500000000004</v>
      </c>
      <c r="G160" s="2">
        <v>12</v>
      </c>
      <c r="H160" s="61">
        <v>-8.11</v>
      </c>
      <c r="I160" s="61">
        <v>-8.92</v>
      </c>
      <c r="J160" s="47">
        <f t="shared" si="10"/>
        <v>-1.6758333333333333</v>
      </c>
      <c r="K160" s="47">
        <f t="shared" si="11"/>
        <v>-9.9876695437731269E-2</v>
      </c>
      <c r="L160" s="8">
        <v>-8.49</v>
      </c>
      <c r="O160" s="17">
        <f t="shared" si="12"/>
        <v>0</v>
      </c>
      <c r="P160" s="17">
        <f t="shared" si="13"/>
        <v>0</v>
      </c>
      <c r="Q160" s="17"/>
      <c r="R160" s="9">
        <v>20220824</v>
      </c>
      <c r="S160" s="9">
        <v>-54.58</v>
      </c>
      <c r="T160" s="9">
        <v>45.48</v>
      </c>
      <c r="U160" s="9">
        <v>40.603000000000002</v>
      </c>
      <c r="V160" s="45">
        <f t="shared" si="14"/>
        <v>0.12011427727015234</v>
      </c>
      <c r="W160" s="12">
        <v>-10.220000000000001</v>
      </c>
      <c r="X160" s="12">
        <v>0</v>
      </c>
      <c r="Y160" s="62"/>
    </row>
    <row r="161" spans="1:25" x14ac:dyDescent="0.2">
      <c r="A161" s="3" t="s">
        <v>2467</v>
      </c>
      <c r="B161" s="3" t="s">
        <v>509</v>
      </c>
      <c r="C161" s="6" t="s">
        <v>354</v>
      </c>
      <c r="D161" s="6" t="s">
        <v>143</v>
      </c>
      <c r="E161" s="6" t="s">
        <v>119</v>
      </c>
      <c r="F161" s="6">
        <v>15206.34</v>
      </c>
      <c r="G161" s="2">
        <v>12</v>
      </c>
      <c r="H161" s="61">
        <v>1.06</v>
      </c>
      <c r="I161" s="61">
        <v>0.87</v>
      </c>
      <c r="J161" s="47">
        <f t="shared" si="10"/>
        <v>-0.91166666666666663</v>
      </c>
      <c r="K161" s="47">
        <f t="shared" si="11"/>
        <v>-0.17924528301886797</v>
      </c>
      <c r="L161" s="8">
        <v>0.92</v>
      </c>
      <c r="M161" s="8">
        <v>6.3</v>
      </c>
      <c r="N161" s="8">
        <v>7.97</v>
      </c>
      <c r="O161" s="17">
        <f t="shared" si="12"/>
        <v>-6.9104204753199269E-2</v>
      </c>
      <c r="P161" s="17">
        <f t="shared" si="13"/>
        <v>-0.44464210526315784</v>
      </c>
      <c r="Q161" s="17">
        <v>7.53</v>
      </c>
      <c r="R161" s="9">
        <v>20220804</v>
      </c>
      <c r="S161" s="9">
        <v>26.31</v>
      </c>
      <c r="T161" s="9">
        <v>19.79</v>
      </c>
      <c r="V161" s="45" t="e">
        <f t="shared" si="14"/>
        <v>#DIV/0!</v>
      </c>
      <c r="W161" s="12">
        <v>16.670000000000002</v>
      </c>
      <c r="X161" s="12">
        <v>3.14</v>
      </c>
      <c r="Y161" s="62">
        <v>0.31</v>
      </c>
    </row>
    <row r="162" spans="1:25" x14ac:dyDescent="0.2">
      <c r="A162" s="3" t="s">
        <v>2468</v>
      </c>
      <c r="B162" s="3" t="s">
        <v>1843</v>
      </c>
      <c r="C162" s="6" t="s">
        <v>356</v>
      </c>
      <c r="D162" s="6" t="s">
        <v>525</v>
      </c>
      <c r="E162" s="6" t="s">
        <v>140</v>
      </c>
      <c r="F162" s="6">
        <v>19851.849999999999</v>
      </c>
      <c r="G162" s="2">
        <v>12</v>
      </c>
      <c r="H162" s="61">
        <v>-0.22</v>
      </c>
      <c r="I162" s="61">
        <v>-0.11</v>
      </c>
      <c r="J162" s="47">
        <f t="shared" si="10"/>
        <v>-1.0183333333333333</v>
      </c>
      <c r="K162" s="47">
        <f t="shared" si="11"/>
        <v>0.5</v>
      </c>
      <c r="L162" s="8">
        <v>0.14000000000000001</v>
      </c>
      <c r="O162" s="17">
        <f t="shared" si="12"/>
        <v>0</v>
      </c>
      <c r="P162" s="17">
        <f t="shared" si="13"/>
        <v>0</v>
      </c>
      <c r="Q162" s="17">
        <v>85.86</v>
      </c>
      <c r="U162" s="9">
        <v>7265.0297799999998</v>
      </c>
      <c r="V162" s="45">
        <f t="shared" si="14"/>
        <v>-1</v>
      </c>
      <c r="X162" s="12">
        <v>2.1</v>
      </c>
      <c r="Y162" s="62"/>
    </row>
    <row r="163" spans="1:25" x14ac:dyDescent="0.2">
      <c r="A163" s="3" t="s">
        <v>2469</v>
      </c>
      <c r="B163" s="3" t="s">
        <v>1844</v>
      </c>
      <c r="C163" s="6" t="s">
        <v>354</v>
      </c>
      <c r="D163" s="6" t="s">
        <v>128</v>
      </c>
      <c r="E163" s="6" t="s">
        <v>60</v>
      </c>
      <c r="F163" s="6">
        <v>3854.35</v>
      </c>
      <c r="G163" s="2">
        <v>12</v>
      </c>
      <c r="H163" s="61">
        <v>0.68</v>
      </c>
      <c r="I163" s="61">
        <v>0.98</v>
      </c>
      <c r="J163" s="47">
        <f t="shared" si="10"/>
        <v>-0.94333333333333336</v>
      </c>
      <c r="K163" s="47">
        <f t="shared" si="11"/>
        <v>0.44117647058823517</v>
      </c>
      <c r="L163" s="8">
        <v>1.1000000000000001</v>
      </c>
      <c r="M163" s="8">
        <v>21.06</v>
      </c>
      <c r="N163" s="8">
        <v>20.27</v>
      </c>
      <c r="O163" s="17">
        <f t="shared" si="12"/>
        <v>-0.22325088339222612</v>
      </c>
      <c r="P163" s="17">
        <f t="shared" si="13"/>
        <v>0.45945333333333349</v>
      </c>
      <c r="Q163" s="17">
        <v>18</v>
      </c>
      <c r="R163" s="9">
        <v>20220810</v>
      </c>
      <c r="S163" s="9">
        <v>20.68</v>
      </c>
      <c r="U163" s="9">
        <v>1605.2199700000001</v>
      </c>
      <c r="V163" s="45">
        <f t="shared" si="14"/>
        <v>-1</v>
      </c>
      <c r="W163" s="12">
        <v>-6.25</v>
      </c>
      <c r="X163" s="12">
        <v>0</v>
      </c>
      <c r="Y163" s="62"/>
    </row>
    <row r="164" spans="1:25" x14ac:dyDescent="0.2">
      <c r="A164" s="3" t="s">
        <v>2470</v>
      </c>
      <c r="B164" s="3" t="s">
        <v>1845</v>
      </c>
      <c r="C164" s="6" t="s">
        <v>354</v>
      </c>
      <c r="D164" s="6" t="s">
        <v>150</v>
      </c>
      <c r="E164" s="6" t="s">
        <v>163</v>
      </c>
      <c r="F164" s="6">
        <v>3215.6</v>
      </c>
      <c r="G164" s="2">
        <v>12</v>
      </c>
      <c r="H164" s="61">
        <v>1.72</v>
      </c>
      <c r="I164" s="61">
        <v>1.58</v>
      </c>
      <c r="J164" s="47">
        <f t="shared" si="10"/>
        <v>-0.85666666666666658</v>
      </c>
      <c r="K164" s="47">
        <f t="shared" si="11"/>
        <v>-8.1395348837209253E-2</v>
      </c>
      <c r="L164" s="8">
        <v>1.87</v>
      </c>
      <c r="M164" s="8">
        <v>7.38</v>
      </c>
      <c r="N164" s="8">
        <v>8.1999999999999993</v>
      </c>
      <c r="O164" s="17">
        <f t="shared" si="12"/>
        <v>-8.6147859922178993E-2</v>
      </c>
      <c r="P164" s="17">
        <f t="shared" si="13"/>
        <v>-1.007428571428572</v>
      </c>
      <c r="Q164" s="17">
        <v>6.93</v>
      </c>
      <c r="R164" s="9">
        <v>20220808</v>
      </c>
      <c r="S164" s="9">
        <v>13.7</v>
      </c>
      <c r="T164" s="9">
        <v>16.850000000000001</v>
      </c>
      <c r="U164" s="9">
        <v>1709.18994</v>
      </c>
      <c r="V164" s="45">
        <f t="shared" si="14"/>
        <v>-0.99014152868229499</v>
      </c>
      <c r="W164" s="12">
        <v>-2.5</v>
      </c>
      <c r="X164" s="12">
        <v>3.85</v>
      </c>
      <c r="Y164" s="62">
        <v>2.0499999999999998</v>
      </c>
    </row>
    <row r="165" spans="1:25" x14ac:dyDescent="0.2">
      <c r="A165" s="3" t="s">
        <v>497</v>
      </c>
      <c r="B165" s="3" t="s">
        <v>498</v>
      </c>
      <c r="C165" s="6" t="s">
        <v>356</v>
      </c>
      <c r="D165" s="6" t="s">
        <v>46</v>
      </c>
      <c r="E165" s="6" t="s">
        <v>35</v>
      </c>
      <c r="F165" s="6">
        <v>6733.49</v>
      </c>
      <c r="G165" s="2">
        <v>3</v>
      </c>
      <c r="H165" s="61">
        <v>0.08</v>
      </c>
      <c r="I165" s="61">
        <v>0.09</v>
      </c>
      <c r="J165" s="47">
        <f t="shared" si="10"/>
        <v>-0.97333333333333327</v>
      </c>
      <c r="K165" s="47">
        <f t="shared" si="11"/>
        <v>0.12499999999999993</v>
      </c>
      <c r="L165" s="8">
        <v>0.1</v>
      </c>
      <c r="N165" s="8">
        <v>21</v>
      </c>
      <c r="O165" s="17">
        <f t="shared" si="12"/>
        <v>0</v>
      </c>
      <c r="P165" s="17">
        <f t="shared" si="13"/>
        <v>1.680000000000001</v>
      </c>
      <c r="Q165" s="17">
        <v>17.850000000000001</v>
      </c>
      <c r="R165" s="9">
        <v>20220609</v>
      </c>
      <c r="U165" s="9">
        <v>587.76</v>
      </c>
      <c r="V165" s="45">
        <f t="shared" si="14"/>
        <v>-1</v>
      </c>
      <c r="X165" s="12">
        <v>0.81</v>
      </c>
      <c r="Y165" s="62"/>
    </row>
    <row r="166" spans="1:25" x14ac:dyDescent="0.2">
      <c r="A166" s="3" t="s">
        <v>2471</v>
      </c>
      <c r="B166" s="3" t="s">
        <v>2472</v>
      </c>
      <c r="C166" s="6" t="s">
        <v>356</v>
      </c>
      <c r="D166" s="6" t="s">
        <v>1150</v>
      </c>
      <c r="E166" s="6" t="s">
        <v>119</v>
      </c>
      <c r="F166" s="6">
        <v>13044.42</v>
      </c>
      <c r="G166" s="2">
        <v>3</v>
      </c>
      <c r="H166" s="61">
        <v>3.86</v>
      </c>
      <c r="I166" s="61">
        <v>5.39</v>
      </c>
      <c r="J166" s="47">
        <f t="shared" si="10"/>
        <v>0.28666666666666663</v>
      </c>
      <c r="K166" s="47">
        <f t="shared" si="11"/>
        <v>0.39637305699481862</v>
      </c>
      <c r="L166" s="8">
        <v>5.5</v>
      </c>
      <c r="M166" s="8">
        <v>15.21</v>
      </c>
      <c r="N166" s="8">
        <v>12.3</v>
      </c>
      <c r="O166" s="17">
        <f t="shared" si="12"/>
        <v>0.5305813953488373</v>
      </c>
      <c r="P166" s="17">
        <f t="shared" si="13"/>
        <v>0.31031372549019609</v>
      </c>
      <c r="Q166" s="17">
        <v>12.06</v>
      </c>
      <c r="R166" s="9">
        <v>20220531</v>
      </c>
      <c r="S166" s="9">
        <v>33.4</v>
      </c>
      <c r="T166" s="9">
        <v>18.25</v>
      </c>
      <c r="U166" s="9">
        <v>4590.9047799999998</v>
      </c>
      <c r="V166" s="45">
        <f t="shared" si="14"/>
        <v>-0.99602474874244729</v>
      </c>
      <c r="W166" s="12">
        <v>17.11</v>
      </c>
      <c r="X166" s="12">
        <v>1.31</v>
      </c>
      <c r="Y166" s="62"/>
    </row>
    <row r="167" spans="1:25" x14ac:dyDescent="0.2">
      <c r="A167" s="3" t="s">
        <v>2473</v>
      </c>
      <c r="B167" s="3" t="s">
        <v>1846</v>
      </c>
      <c r="C167" s="6" t="s">
        <v>354</v>
      </c>
      <c r="D167" s="6" t="s">
        <v>176</v>
      </c>
      <c r="E167" s="6" t="s">
        <v>119</v>
      </c>
      <c r="F167" s="6">
        <v>4153.03</v>
      </c>
      <c r="G167" s="2">
        <v>12</v>
      </c>
      <c r="H167" s="61">
        <v>3.2</v>
      </c>
      <c r="I167" s="61">
        <v>2.2400000000000002</v>
      </c>
      <c r="J167" s="47">
        <f t="shared" si="10"/>
        <v>-0.73333333333333339</v>
      </c>
      <c r="K167" s="47">
        <f t="shared" si="11"/>
        <v>-0.3</v>
      </c>
      <c r="L167" s="8">
        <v>2.72</v>
      </c>
      <c r="M167" s="8">
        <v>11.73</v>
      </c>
      <c r="N167" s="8">
        <v>14.73</v>
      </c>
      <c r="O167" s="17">
        <f t="shared" si="12"/>
        <v>-0.15995454545454543</v>
      </c>
      <c r="P167" s="17">
        <f t="shared" si="13"/>
        <v>-0.49099999999999999</v>
      </c>
      <c r="Q167" s="17">
        <v>12.14</v>
      </c>
      <c r="R167" s="9">
        <v>20220824</v>
      </c>
      <c r="S167" s="9">
        <v>10.119999999999999</v>
      </c>
      <c r="T167" s="9">
        <v>7.78</v>
      </c>
      <c r="U167" s="9">
        <v>1051.3330000000001</v>
      </c>
      <c r="V167" s="45">
        <f t="shared" si="14"/>
        <v>-0.99259987083065027</v>
      </c>
      <c r="W167" s="12">
        <v>10</v>
      </c>
      <c r="X167" s="12">
        <v>1.54</v>
      </c>
      <c r="Y167" s="62"/>
    </row>
    <row r="168" spans="1:25" x14ac:dyDescent="0.2">
      <c r="A168" s="3" t="s">
        <v>2474</v>
      </c>
      <c r="B168" s="3" t="s">
        <v>1936</v>
      </c>
      <c r="C168" s="6" t="s">
        <v>354</v>
      </c>
      <c r="D168" s="6" t="s">
        <v>1919</v>
      </c>
      <c r="E168" s="6" t="s">
        <v>60</v>
      </c>
      <c r="F168" s="6">
        <v>3357.79</v>
      </c>
      <c r="G168" s="2">
        <v>12</v>
      </c>
      <c r="H168" s="61">
        <v>-0.03</v>
      </c>
      <c r="I168" s="61">
        <v>1.26</v>
      </c>
      <c r="J168" s="47">
        <f t="shared" si="10"/>
        <v>-1.0024999999999999</v>
      </c>
      <c r="K168" s="47">
        <f t="shared" si="11"/>
        <v>43</v>
      </c>
      <c r="L168" s="8">
        <v>1.67</v>
      </c>
      <c r="M168" s="8">
        <v>46.64</v>
      </c>
      <c r="N168" s="8">
        <v>21.43</v>
      </c>
      <c r="O168" s="17">
        <f t="shared" si="12"/>
        <v>-0.46523690773067333</v>
      </c>
      <c r="P168" s="17">
        <f t="shared" si="13"/>
        <v>4.9837209302325582E-3</v>
      </c>
      <c r="Q168" s="17">
        <v>16.170000000000002</v>
      </c>
      <c r="R168" s="9">
        <v>20220802</v>
      </c>
      <c r="S168" s="9">
        <v>11.17</v>
      </c>
      <c r="T168" s="9">
        <v>-6.41</v>
      </c>
      <c r="U168" s="9">
        <v>3262.0200100000002</v>
      </c>
      <c r="V168" s="45">
        <f t="shared" si="14"/>
        <v>-1.0019650400611735</v>
      </c>
      <c r="W168" s="12">
        <v>81.819999999999993</v>
      </c>
      <c r="X168" s="12">
        <v>0</v>
      </c>
      <c r="Y168" s="62"/>
    </row>
    <row r="169" spans="1:25" x14ac:dyDescent="0.2">
      <c r="A169" s="3" t="s">
        <v>2475</v>
      </c>
      <c r="B169" s="3" t="s">
        <v>2078</v>
      </c>
      <c r="C169" s="6" t="s">
        <v>354</v>
      </c>
      <c r="D169" s="6" t="s">
        <v>2079</v>
      </c>
      <c r="E169" s="6" t="s">
        <v>201</v>
      </c>
      <c r="F169" s="6">
        <v>4483.01</v>
      </c>
      <c r="G169" s="2">
        <v>9</v>
      </c>
      <c r="H169" s="61"/>
      <c r="I169" s="61"/>
      <c r="J169" s="47">
        <f t="shared" si="10"/>
        <v>-1</v>
      </c>
      <c r="K169" s="47" t="e">
        <f t="shared" si="11"/>
        <v>#DIV/0!</v>
      </c>
      <c r="M169" s="8">
        <v>5.68</v>
      </c>
      <c r="O169" s="17">
        <f t="shared" si="12"/>
        <v>-5.6799999999999996E-2</v>
      </c>
      <c r="P169" s="17" t="e">
        <f t="shared" si="13"/>
        <v>#DIV/0!</v>
      </c>
      <c r="Q169" s="17"/>
      <c r="R169" s="9">
        <v>20220802</v>
      </c>
      <c r="S169" s="9">
        <v>93.07</v>
      </c>
      <c r="T169" s="9">
        <v>14.42</v>
      </c>
      <c r="V169" s="45" t="e">
        <f t="shared" si="14"/>
        <v>#DIV/0!</v>
      </c>
      <c r="X169" s="12">
        <v>0</v>
      </c>
      <c r="Y169" s="62"/>
    </row>
    <row r="170" spans="1:25" x14ac:dyDescent="0.2">
      <c r="A170" s="3" t="s">
        <v>2476</v>
      </c>
      <c r="B170" s="3" t="s">
        <v>510</v>
      </c>
      <c r="C170" s="6" t="s">
        <v>356</v>
      </c>
      <c r="D170" s="6" t="s">
        <v>183</v>
      </c>
      <c r="E170" s="6" t="s">
        <v>201</v>
      </c>
      <c r="F170" s="6">
        <v>51095.92</v>
      </c>
      <c r="G170" s="2">
        <v>12</v>
      </c>
      <c r="H170" s="61">
        <v>0.44</v>
      </c>
      <c r="I170" s="61">
        <v>0.46</v>
      </c>
      <c r="J170" s="47">
        <f t="shared" si="10"/>
        <v>-0.96333333333333337</v>
      </c>
      <c r="K170" s="47">
        <f t="shared" si="11"/>
        <v>4.5454545454545497E-2</v>
      </c>
      <c r="L170" s="8">
        <v>0.5</v>
      </c>
      <c r="M170" s="8">
        <v>23.44</v>
      </c>
      <c r="N170" s="8">
        <v>22.93</v>
      </c>
      <c r="O170" s="17">
        <f t="shared" si="12"/>
        <v>-0.24332179930795847</v>
      </c>
      <c r="P170" s="17">
        <f t="shared" si="13"/>
        <v>5.0445999999999955</v>
      </c>
      <c r="Q170" s="17">
        <v>21.12</v>
      </c>
      <c r="R170" s="9">
        <v>20220715</v>
      </c>
      <c r="S170" s="9">
        <v>29.42</v>
      </c>
      <c r="T170" s="9">
        <v>-1.27</v>
      </c>
      <c r="U170" s="9">
        <v>13438.900390000001</v>
      </c>
      <c r="V170" s="45">
        <f t="shared" si="14"/>
        <v>-1.0000945017793974</v>
      </c>
      <c r="W170" s="12">
        <v>6.98</v>
      </c>
      <c r="X170" s="12">
        <v>5.0999999999999996</v>
      </c>
      <c r="Y170" s="62">
        <v>3.48</v>
      </c>
    </row>
    <row r="171" spans="1:25" x14ac:dyDescent="0.2">
      <c r="A171" s="3" t="s">
        <v>2477</v>
      </c>
      <c r="B171" s="3" t="s">
        <v>84</v>
      </c>
      <c r="C171" s="6" t="s">
        <v>354</v>
      </c>
      <c r="D171" s="6" t="s">
        <v>264</v>
      </c>
      <c r="E171" s="6" t="s">
        <v>250</v>
      </c>
      <c r="F171" s="6">
        <v>16228.61</v>
      </c>
      <c r="G171" s="2">
        <v>9</v>
      </c>
      <c r="H171" s="61">
        <v>5.0999999999999996</v>
      </c>
      <c r="I171" s="61">
        <v>5.52</v>
      </c>
      <c r="J171" s="47">
        <f t="shared" si="10"/>
        <v>-0.43333333333333335</v>
      </c>
      <c r="K171" s="47">
        <f t="shared" si="11"/>
        <v>8.2352941176470573E-2</v>
      </c>
      <c r="L171" s="8">
        <v>5.92</v>
      </c>
      <c r="M171" s="8">
        <v>21.7</v>
      </c>
      <c r="N171" s="8">
        <v>21.15</v>
      </c>
      <c r="O171" s="17">
        <f t="shared" si="12"/>
        <v>-0.50076923076923074</v>
      </c>
      <c r="P171" s="17">
        <f t="shared" si="13"/>
        <v>2.5682142857142858</v>
      </c>
      <c r="Q171" s="17">
        <v>19.71</v>
      </c>
      <c r="R171" s="9">
        <v>20220803</v>
      </c>
      <c r="S171" s="9">
        <v>8.8000000000000007</v>
      </c>
      <c r="T171" s="9">
        <v>6.82</v>
      </c>
      <c r="U171" s="9">
        <v>4047.4199199999998</v>
      </c>
      <c r="V171" s="45">
        <f t="shared" si="14"/>
        <v>-0.99831497592668861</v>
      </c>
      <c r="W171" s="12">
        <v>-0.84</v>
      </c>
      <c r="X171" s="12">
        <v>2.33</v>
      </c>
      <c r="Y171" s="62">
        <v>2.9</v>
      </c>
    </row>
    <row r="172" spans="1:25" x14ac:dyDescent="0.2">
      <c r="A172" s="3" t="s">
        <v>2478</v>
      </c>
      <c r="B172" s="3" t="s">
        <v>85</v>
      </c>
      <c r="C172" s="6" t="s">
        <v>354</v>
      </c>
      <c r="D172" s="6" t="s">
        <v>137</v>
      </c>
      <c r="E172" s="6" t="s">
        <v>201</v>
      </c>
      <c r="F172" s="6">
        <v>6985.5</v>
      </c>
      <c r="G172" s="2">
        <v>12</v>
      </c>
      <c r="H172" s="61">
        <v>3.85</v>
      </c>
      <c r="I172" s="61">
        <v>4.01</v>
      </c>
      <c r="J172" s="47">
        <f t="shared" si="10"/>
        <v>-0.6791666666666667</v>
      </c>
      <c r="K172" s="47">
        <f t="shared" si="11"/>
        <v>4.1558441558441482E-2</v>
      </c>
      <c r="L172" s="8">
        <v>4.47</v>
      </c>
      <c r="M172" s="8">
        <v>28.48</v>
      </c>
      <c r="N172" s="8">
        <v>26.6</v>
      </c>
      <c r="O172" s="17">
        <f t="shared" si="12"/>
        <v>-0.41933742331288343</v>
      </c>
      <c r="P172" s="17">
        <f t="shared" si="13"/>
        <v>6.4006250000000122</v>
      </c>
      <c r="Q172" s="17">
        <v>23.81</v>
      </c>
      <c r="R172" s="9">
        <v>20220804</v>
      </c>
      <c r="S172" s="9">
        <v>12.7</v>
      </c>
      <c r="T172" s="9">
        <v>6.16</v>
      </c>
      <c r="U172" s="9">
        <v>3399.4199199999998</v>
      </c>
      <c r="V172" s="45">
        <f t="shared" si="14"/>
        <v>-0.99818792613299745</v>
      </c>
      <c r="W172" s="12">
        <v>0</v>
      </c>
      <c r="X172" s="12">
        <v>1.43</v>
      </c>
      <c r="Y172" s="62">
        <v>3.8</v>
      </c>
    </row>
    <row r="173" spans="1:25" x14ac:dyDescent="0.2">
      <c r="A173" s="3" t="s">
        <v>2479</v>
      </c>
      <c r="B173" s="3" t="s">
        <v>86</v>
      </c>
      <c r="C173" s="6" t="s">
        <v>354</v>
      </c>
      <c r="D173" s="6" t="s">
        <v>129</v>
      </c>
      <c r="E173" s="6" t="s">
        <v>119</v>
      </c>
      <c r="F173" s="6">
        <v>5205.8</v>
      </c>
      <c r="G173" s="2">
        <v>12</v>
      </c>
      <c r="H173" s="61">
        <v>2.0699999999999998</v>
      </c>
      <c r="I173" s="61">
        <v>1.46</v>
      </c>
      <c r="J173" s="47">
        <f t="shared" si="10"/>
        <v>-0.82750000000000001</v>
      </c>
      <c r="K173" s="47">
        <f t="shared" si="11"/>
        <v>-0.29468599033816423</v>
      </c>
      <c r="L173" s="8">
        <v>1.39</v>
      </c>
      <c r="M173" s="8">
        <v>5.48</v>
      </c>
      <c r="N173" s="8">
        <v>7.82</v>
      </c>
      <c r="O173" s="17">
        <f t="shared" si="12"/>
        <v>-6.622356495468279E-2</v>
      </c>
      <c r="P173" s="17">
        <f t="shared" si="13"/>
        <v>-0.26536721311475409</v>
      </c>
      <c r="Q173" s="17">
        <v>8.24</v>
      </c>
      <c r="R173" s="9">
        <v>20220727</v>
      </c>
      <c r="S173" s="9">
        <v>-95.86</v>
      </c>
      <c r="T173" s="9">
        <v>1.88</v>
      </c>
      <c r="U173" s="9">
        <v>9836.4580000000005</v>
      </c>
      <c r="V173" s="45">
        <f t="shared" si="14"/>
        <v>-0.99980887429194543</v>
      </c>
      <c r="W173" s="12">
        <v>43.33</v>
      </c>
      <c r="X173" s="12">
        <v>0</v>
      </c>
      <c r="Y173" s="62">
        <v>0.35</v>
      </c>
    </row>
    <row r="174" spans="1:25" x14ac:dyDescent="0.2">
      <c r="A174" s="3" t="s">
        <v>2480</v>
      </c>
      <c r="B174" s="3" t="s">
        <v>346</v>
      </c>
      <c r="C174" s="6" t="s">
        <v>355</v>
      </c>
      <c r="D174" s="6" t="s">
        <v>234</v>
      </c>
      <c r="E174" s="6" t="s">
        <v>146</v>
      </c>
      <c r="F174" s="6">
        <v>60978.93</v>
      </c>
      <c r="G174" s="2">
        <v>12</v>
      </c>
      <c r="H174" s="61">
        <v>3.79</v>
      </c>
      <c r="I174" s="61">
        <v>2.94</v>
      </c>
      <c r="J174" s="47">
        <f t="shared" si="10"/>
        <v>-0.6841666666666667</v>
      </c>
      <c r="K174" s="47">
        <f t="shared" si="11"/>
        <v>-0.22427440633245385</v>
      </c>
      <c r="L174" s="8">
        <v>3.91</v>
      </c>
      <c r="M174" s="8">
        <v>23.92</v>
      </c>
      <c r="N174" s="8">
        <v>26.53</v>
      </c>
      <c r="O174" s="17">
        <f t="shared" si="12"/>
        <v>-0.34962241169305724</v>
      </c>
      <c r="P174" s="17">
        <f t="shared" si="13"/>
        <v>-1.1829258823529412</v>
      </c>
      <c r="Q174" s="17">
        <v>19.920000000000002</v>
      </c>
      <c r="R174" s="9">
        <v>20220802</v>
      </c>
      <c r="S174" s="9">
        <v>12.7</v>
      </c>
      <c r="T174" s="9">
        <v>5.03</v>
      </c>
      <c r="U174" s="9">
        <v>7773.7290000000003</v>
      </c>
      <c r="V174" s="45">
        <f t="shared" si="14"/>
        <v>-0.99935294888720716</v>
      </c>
      <c r="W174" s="12">
        <v>-47.95</v>
      </c>
      <c r="X174" s="12">
        <v>0.6</v>
      </c>
      <c r="Y174" s="62">
        <v>1.83</v>
      </c>
    </row>
    <row r="175" spans="1:25" x14ac:dyDescent="0.2">
      <c r="A175" s="3" t="s">
        <v>2481</v>
      </c>
      <c r="B175" s="3" t="s">
        <v>360</v>
      </c>
      <c r="C175" s="6" t="s">
        <v>354</v>
      </c>
      <c r="D175" s="6" t="s">
        <v>196</v>
      </c>
      <c r="E175" s="6" t="s">
        <v>60</v>
      </c>
      <c r="F175" s="6">
        <v>7393.95</v>
      </c>
      <c r="G175" s="2">
        <v>12</v>
      </c>
      <c r="H175" s="61">
        <v>1.33</v>
      </c>
      <c r="I175" s="61">
        <v>2</v>
      </c>
      <c r="J175" s="47">
        <f t="shared" si="10"/>
        <v>-0.88916666666666666</v>
      </c>
      <c r="K175" s="47">
        <f t="shared" si="11"/>
        <v>0.50375939849624052</v>
      </c>
      <c r="L175" s="8">
        <v>2.67</v>
      </c>
      <c r="N175" s="8">
        <v>8.8699999999999992</v>
      </c>
      <c r="O175" s="17">
        <f t="shared" si="12"/>
        <v>0</v>
      </c>
      <c r="P175" s="17">
        <f t="shared" si="13"/>
        <v>0.17607611940298509</v>
      </c>
      <c r="Q175" s="17">
        <v>6.62</v>
      </c>
      <c r="R175" s="9">
        <v>20220530</v>
      </c>
      <c r="U175" s="9">
        <v>4496.5551699999996</v>
      </c>
      <c r="V175" s="45">
        <f t="shared" si="14"/>
        <v>-1</v>
      </c>
      <c r="X175" s="12">
        <v>1.59</v>
      </c>
      <c r="Y175" s="62">
        <v>0.66</v>
      </c>
    </row>
    <row r="176" spans="1:25" x14ac:dyDescent="0.2">
      <c r="A176" s="3" t="s">
        <v>2482</v>
      </c>
      <c r="B176" s="3" t="s">
        <v>2483</v>
      </c>
      <c r="C176" s="6" t="s">
        <v>355</v>
      </c>
      <c r="D176" s="6" t="s">
        <v>233</v>
      </c>
      <c r="E176" s="6" t="s">
        <v>108</v>
      </c>
      <c r="F176" s="6">
        <v>3343.21</v>
      </c>
      <c r="G176" s="2">
        <v>12</v>
      </c>
      <c r="H176" s="61"/>
      <c r="I176" s="61"/>
      <c r="J176" s="47">
        <f t="shared" si="10"/>
        <v>-1</v>
      </c>
      <c r="K176" s="47" t="e">
        <f t="shared" si="11"/>
        <v>#DIV/0!</v>
      </c>
      <c r="O176" s="17">
        <f t="shared" si="12"/>
        <v>0</v>
      </c>
      <c r="P176" s="17" t="e">
        <f t="shared" si="13"/>
        <v>#DIV/0!</v>
      </c>
      <c r="Q176" s="17"/>
      <c r="R176" s="9">
        <v>20220803</v>
      </c>
      <c r="S176" s="9">
        <v>-20.25</v>
      </c>
      <c r="V176" s="45" t="e">
        <f t="shared" si="14"/>
        <v>#DIV/0!</v>
      </c>
      <c r="X176" s="12">
        <v>0</v>
      </c>
      <c r="Y176" s="62"/>
    </row>
    <row r="177" spans="1:25" x14ac:dyDescent="0.2">
      <c r="A177" s="3" t="s">
        <v>2484</v>
      </c>
      <c r="B177" s="3" t="s">
        <v>401</v>
      </c>
      <c r="C177" s="6" t="s">
        <v>354</v>
      </c>
      <c r="D177" s="6" t="s">
        <v>196</v>
      </c>
      <c r="E177" s="6" t="s">
        <v>60</v>
      </c>
      <c r="F177" s="6">
        <v>5016.63</v>
      </c>
      <c r="G177" s="2">
        <v>12</v>
      </c>
      <c r="H177" s="61">
        <v>0.28999999999999998</v>
      </c>
      <c r="I177" s="61">
        <v>0.31</v>
      </c>
      <c r="J177" s="47">
        <f t="shared" si="10"/>
        <v>-0.97583333333333344</v>
      </c>
      <c r="K177" s="47">
        <f t="shared" si="11"/>
        <v>6.8965517241379379E-2</v>
      </c>
      <c r="L177" s="8">
        <v>0.33</v>
      </c>
      <c r="M177" s="8">
        <v>15.35</v>
      </c>
      <c r="N177" s="8">
        <v>16.84</v>
      </c>
      <c r="O177" s="17">
        <f t="shared" si="12"/>
        <v>-0.15730145175064045</v>
      </c>
      <c r="P177" s="17">
        <f t="shared" si="13"/>
        <v>2.4417999999999975</v>
      </c>
      <c r="Q177" s="17">
        <v>15.82</v>
      </c>
      <c r="R177" s="9">
        <v>20220804</v>
      </c>
      <c r="S177" s="9">
        <v>6.28</v>
      </c>
      <c r="T177" s="9">
        <v>-1.69</v>
      </c>
      <c r="U177" s="9">
        <v>1845</v>
      </c>
      <c r="V177" s="45">
        <f t="shared" si="14"/>
        <v>-1.0009159891598916</v>
      </c>
      <c r="W177" s="12">
        <v>28.57</v>
      </c>
      <c r="X177" s="12">
        <v>2.2999999999999998</v>
      </c>
      <c r="Y177" s="62">
        <v>7.98</v>
      </c>
    </row>
    <row r="178" spans="1:25" x14ac:dyDescent="0.2">
      <c r="A178" s="3" t="s">
        <v>2485</v>
      </c>
      <c r="B178" s="3" t="s">
        <v>1937</v>
      </c>
      <c r="C178" s="6" t="s">
        <v>354</v>
      </c>
      <c r="D178" s="6" t="s">
        <v>246</v>
      </c>
      <c r="E178" s="6" t="s">
        <v>250</v>
      </c>
      <c r="F178" s="6">
        <v>3164.18</v>
      </c>
      <c r="G178" s="2">
        <v>12</v>
      </c>
      <c r="H178" s="61">
        <v>2.06</v>
      </c>
      <c r="I178" s="61">
        <v>1.94</v>
      </c>
      <c r="J178" s="47">
        <f t="shared" si="10"/>
        <v>-0.82833333333333325</v>
      </c>
      <c r="K178" s="47">
        <f t="shared" si="11"/>
        <v>-5.825242718446607E-2</v>
      </c>
      <c r="L178" s="8">
        <v>2.44</v>
      </c>
      <c r="M178" s="8">
        <v>20.8</v>
      </c>
      <c r="N178" s="8">
        <v>22.51</v>
      </c>
      <c r="O178" s="17">
        <f t="shared" si="12"/>
        <v>-0.25110663983903425</v>
      </c>
      <c r="P178" s="17">
        <f t="shared" si="13"/>
        <v>-3.8642166666666635</v>
      </c>
      <c r="Q178" s="17">
        <v>17.899999999999999</v>
      </c>
      <c r="R178" s="9">
        <v>20220803</v>
      </c>
      <c r="S178" s="9">
        <v>7.05</v>
      </c>
      <c r="T178" s="9">
        <v>-1.08</v>
      </c>
      <c r="U178" s="9">
        <v>1511.8000400000001</v>
      </c>
      <c r="V178" s="45">
        <f t="shared" si="14"/>
        <v>-1.0007143801901208</v>
      </c>
      <c r="W178" s="12">
        <v>6.45</v>
      </c>
      <c r="X178" s="12">
        <v>4.03</v>
      </c>
      <c r="Y178" s="62">
        <v>3.89</v>
      </c>
    </row>
    <row r="179" spans="1:25" x14ac:dyDescent="0.2">
      <c r="A179" s="3" t="s">
        <v>2486</v>
      </c>
      <c r="B179" s="3" t="s">
        <v>370</v>
      </c>
      <c r="C179" s="6" t="s">
        <v>354</v>
      </c>
      <c r="D179" s="6" t="s">
        <v>150</v>
      </c>
      <c r="E179" s="6" t="s">
        <v>163</v>
      </c>
      <c r="F179" s="6">
        <v>4506.6000000000004</v>
      </c>
      <c r="G179" s="2">
        <v>12</v>
      </c>
      <c r="H179" s="61">
        <v>0.85</v>
      </c>
      <c r="I179" s="61">
        <v>0.72</v>
      </c>
      <c r="J179" s="47">
        <f t="shared" si="10"/>
        <v>-0.9291666666666667</v>
      </c>
      <c r="K179" s="47">
        <f t="shared" si="11"/>
        <v>-0.15294117647058825</v>
      </c>
      <c r="L179" s="8">
        <v>0.83</v>
      </c>
      <c r="M179" s="8">
        <v>4.37</v>
      </c>
      <c r="N179" s="8">
        <v>5.64</v>
      </c>
      <c r="O179" s="17">
        <f t="shared" si="12"/>
        <v>-4.7031390134529144E-2</v>
      </c>
      <c r="P179" s="17">
        <f t="shared" si="13"/>
        <v>-0.36876923076923074</v>
      </c>
      <c r="Q179" s="17">
        <v>4.8899999999999997</v>
      </c>
      <c r="R179" s="9">
        <v>20220810</v>
      </c>
      <c r="S179" s="9">
        <v>8.81</v>
      </c>
      <c r="T179" s="9">
        <v>-3.23</v>
      </c>
      <c r="U179" s="9">
        <v>7161.8598599999996</v>
      </c>
      <c r="V179" s="45">
        <f t="shared" si="14"/>
        <v>-1.0004510001679927</v>
      </c>
      <c r="W179" s="12">
        <v>-5.26</v>
      </c>
      <c r="X179" s="12">
        <v>433.21</v>
      </c>
      <c r="Y179" s="62"/>
    </row>
    <row r="180" spans="1:25" x14ac:dyDescent="0.2">
      <c r="A180" s="3" t="s">
        <v>2487</v>
      </c>
      <c r="B180" s="3" t="s">
        <v>87</v>
      </c>
      <c r="C180" s="6" t="s">
        <v>354</v>
      </c>
      <c r="D180" s="6" t="s">
        <v>216</v>
      </c>
      <c r="E180" s="6" t="s">
        <v>163</v>
      </c>
      <c r="F180" s="6">
        <v>28725.65</v>
      </c>
      <c r="G180" s="2">
        <v>12</v>
      </c>
      <c r="H180" s="61">
        <v>8.2200000000000006</v>
      </c>
      <c r="I180" s="61">
        <v>9.59</v>
      </c>
      <c r="J180" s="47">
        <f t="shared" si="10"/>
        <v>-0.31499999999999995</v>
      </c>
      <c r="K180" s="47">
        <f t="shared" si="11"/>
        <v>0.16666666666666655</v>
      </c>
      <c r="L180" s="8">
        <v>10.51</v>
      </c>
      <c r="M180" s="8">
        <v>23.97</v>
      </c>
      <c r="N180" s="8">
        <v>21.42</v>
      </c>
      <c r="O180" s="17">
        <f t="shared" si="12"/>
        <v>-0.76095238095238105</v>
      </c>
      <c r="P180" s="17">
        <f t="shared" si="13"/>
        <v>1.285200000000001</v>
      </c>
      <c r="Q180" s="17">
        <v>19.55</v>
      </c>
      <c r="R180" s="9">
        <v>20220727</v>
      </c>
      <c r="S180" s="9">
        <v>10.31</v>
      </c>
      <c r="T180" s="9">
        <v>1.67</v>
      </c>
      <c r="U180" s="9">
        <v>2530.3820799999999</v>
      </c>
      <c r="V180" s="45">
        <f t="shared" si="14"/>
        <v>-0.99934002061854621</v>
      </c>
      <c r="W180" s="12">
        <v>0</v>
      </c>
      <c r="X180" s="12">
        <v>3.1</v>
      </c>
      <c r="Y180" s="62">
        <v>3.47</v>
      </c>
    </row>
    <row r="181" spans="1:25" x14ac:dyDescent="0.2">
      <c r="A181" s="3" t="s">
        <v>2488</v>
      </c>
      <c r="B181" s="3" t="s">
        <v>319</v>
      </c>
      <c r="C181" s="6" t="s">
        <v>355</v>
      </c>
      <c r="D181" s="6" t="s">
        <v>143</v>
      </c>
      <c r="E181" s="6" t="s">
        <v>119</v>
      </c>
      <c r="F181" s="6">
        <v>224824.11</v>
      </c>
      <c r="G181" s="2">
        <v>10</v>
      </c>
      <c r="H181" s="61">
        <v>27.93</v>
      </c>
      <c r="I181" s="61">
        <v>35.340000000000003</v>
      </c>
      <c r="J181" s="47">
        <f t="shared" si="10"/>
        <v>1.7929999999999999</v>
      </c>
      <c r="K181" s="47">
        <f t="shared" si="11"/>
        <v>0.26530612244897972</v>
      </c>
      <c r="L181" s="8">
        <v>38.18</v>
      </c>
      <c r="M181" s="8">
        <v>17.079999999999998</v>
      </c>
      <c r="N181" s="8">
        <v>15.58</v>
      </c>
      <c r="O181" s="17">
        <f t="shared" si="12"/>
        <v>9.5259341885108761E-2</v>
      </c>
      <c r="P181" s="17">
        <f t="shared" si="13"/>
        <v>0.58724615384615353</v>
      </c>
      <c r="Q181" s="17">
        <v>14.42</v>
      </c>
      <c r="R181" s="9">
        <v>20220901</v>
      </c>
      <c r="S181" s="9">
        <v>54.47</v>
      </c>
      <c r="T181" s="9">
        <v>10.84</v>
      </c>
      <c r="U181" s="9">
        <v>31959.308590000001</v>
      </c>
      <c r="V181" s="45">
        <f t="shared" si="14"/>
        <v>-0.99966081869482648</v>
      </c>
      <c r="W181" s="12">
        <v>4.01</v>
      </c>
      <c r="X181" s="12">
        <v>2.98</v>
      </c>
      <c r="Y181" s="62">
        <v>1</v>
      </c>
    </row>
    <row r="182" spans="1:25" x14ac:dyDescent="0.2">
      <c r="A182" s="3" t="s">
        <v>2489</v>
      </c>
      <c r="B182" s="3" t="s">
        <v>2080</v>
      </c>
      <c r="C182" s="6" t="s">
        <v>356</v>
      </c>
      <c r="D182" s="6" t="s">
        <v>278</v>
      </c>
      <c r="E182" s="6" t="s">
        <v>119</v>
      </c>
      <c r="F182" s="6">
        <v>18918.900000000001</v>
      </c>
      <c r="G182" s="2">
        <v>12</v>
      </c>
      <c r="H182" s="61"/>
      <c r="I182" s="61"/>
      <c r="J182" s="47">
        <f t="shared" si="10"/>
        <v>-1</v>
      </c>
      <c r="K182" s="47" t="e">
        <f t="shared" si="11"/>
        <v>#DIV/0!</v>
      </c>
      <c r="M182" s="8">
        <v>22.75</v>
      </c>
      <c r="O182" s="17">
        <f t="shared" si="12"/>
        <v>-0.22750000000000001</v>
      </c>
      <c r="P182" s="17" t="e">
        <f t="shared" si="13"/>
        <v>#DIV/0!</v>
      </c>
      <c r="Q182" s="17"/>
      <c r="R182" s="9">
        <v>20220527</v>
      </c>
      <c r="S182" s="9">
        <v>35.119999999999997</v>
      </c>
      <c r="T182" s="9">
        <v>5.87</v>
      </c>
      <c r="V182" s="45" t="e">
        <f t="shared" si="14"/>
        <v>#DIV/0!</v>
      </c>
      <c r="X182" s="12">
        <v>3.11</v>
      </c>
      <c r="Y182" s="62"/>
    </row>
    <row r="183" spans="1:25" x14ac:dyDescent="0.2">
      <c r="A183" s="3" t="s">
        <v>2490</v>
      </c>
      <c r="B183" s="3" t="s">
        <v>385</v>
      </c>
      <c r="C183" s="6" t="s">
        <v>354</v>
      </c>
      <c r="D183" s="6" t="s">
        <v>177</v>
      </c>
      <c r="E183" s="6" t="s">
        <v>119</v>
      </c>
      <c r="F183" s="6">
        <v>7146.51</v>
      </c>
      <c r="G183" s="2">
        <v>12</v>
      </c>
      <c r="H183" s="61">
        <v>-0.17</v>
      </c>
      <c r="I183" s="61">
        <v>-7.0000000000000007E-2</v>
      </c>
      <c r="J183" s="47">
        <f t="shared" si="10"/>
        <v>-1.0141666666666667</v>
      </c>
      <c r="K183" s="47">
        <f t="shared" si="11"/>
        <v>0.58823529411764708</v>
      </c>
      <c r="L183" s="8">
        <v>0.14000000000000001</v>
      </c>
      <c r="M183" s="8">
        <v>8134</v>
      </c>
      <c r="O183" s="17">
        <f t="shared" si="12"/>
        <v>-80.203779786359902</v>
      </c>
      <c r="P183" s="17">
        <f t="shared" si="13"/>
        <v>0</v>
      </c>
      <c r="Q183" s="17">
        <v>566.54999999999995</v>
      </c>
      <c r="R183" s="9">
        <v>20220804</v>
      </c>
      <c r="S183" s="9">
        <v>-9.6199999999999992</v>
      </c>
      <c r="T183" s="9">
        <v>36.119999999999997</v>
      </c>
      <c r="U183" s="9">
        <v>863.48999000000003</v>
      </c>
      <c r="V183" s="45">
        <f t="shared" si="14"/>
        <v>-0.95816975249475678</v>
      </c>
      <c r="W183" s="12">
        <v>161.54</v>
      </c>
      <c r="X183" s="12">
        <v>0</v>
      </c>
      <c r="Y183" s="62"/>
    </row>
    <row r="184" spans="1:25" x14ac:dyDescent="0.2">
      <c r="A184" s="3" t="s">
        <v>2491</v>
      </c>
      <c r="B184" s="3" t="s">
        <v>472</v>
      </c>
      <c r="C184" s="6" t="s">
        <v>354</v>
      </c>
      <c r="D184" s="6" t="s">
        <v>126</v>
      </c>
      <c r="E184" s="6" t="s">
        <v>60</v>
      </c>
      <c r="F184" s="6">
        <v>4469.82</v>
      </c>
      <c r="G184" s="2">
        <v>12</v>
      </c>
      <c r="H184" s="61">
        <v>3.01</v>
      </c>
      <c r="I184" s="61">
        <v>3.51</v>
      </c>
      <c r="J184" s="47">
        <f t="shared" si="10"/>
        <v>-0.74916666666666665</v>
      </c>
      <c r="K184" s="47">
        <f t="shared" si="11"/>
        <v>0.16611295681063123</v>
      </c>
      <c r="L184" s="8">
        <v>3.99</v>
      </c>
      <c r="M184" s="8">
        <v>15.57</v>
      </c>
      <c r="N184" s="8">
        <v>13.93</v>
      </c>
      <c r="O184" s="17">
        <f t="shared" si="12"/>
        <v>-0.20783092324805338</v>
      </c>
      <c r="P184" s="17">
        <f t="shared" si="13"/>
        <v>0.83858600000000005</v>
      </c>
      <c r="Q184" s="17">
        <v>12.24</v>
      </c>
      <c r="R184" s="9">
        <v>20220729</v>
      </c>
      <c r="S184" s="9">
        <v>16.149999999999999</v>
      </c>
      <c r="T184" s="9">
        <v>5.83</v>
      </c>
      <c r="U184" s="9">
        <v>5102.4868100000003</v>
      </c>
      <c r="V184" s="45">
        <f t="shared" si="14"/>
        <v>-0.99885741987836718</v>
      </c>
      <c r="W184" s="12">
        <v>4.21</v>
      </c>
      <c r="X184" s="12">
        <v>1.94</v>
      </c>
      <c r="Y184" s="62">
        <v>0.93</v>
      </c>
    </row>
    <row r="185" spans="1:25" x14ac:dyDescent="0.2">
      <c r="A185" s="3" t="s">
        <v>2492</v>
      </c>
      <c r="B185" s="3" t="s">
        <v>473</v>
      </c>
      <c r="C185" s="6" t="s">
        <v>355</v>
      </c>
      <c r="D185" s="6" t="s">
        <v>142</v>
      </c>
      <c r="E185" s="6" t="s">
        <v>119</v>
      </c>
      <c r="F185" s="6">
        <v>4647.7</v>
      </c>
      <c r="G185" s="2">
        <v>6</v>
      </c>
      <c r="H185" s="61">
        <v>2.62</v>
      </c>
      <c r="I185" s="61">
        <v>6.83</v>
      </c>
      <c r="J185" s="47">
        <f t="shared" si="10"/>
        <v>-0.56333333333333335</v>
      </c>
      <c r="K185" s="47">
        <f t="shared" si="11"/>
        <v>1.6068702290076335</v>
      </c>
      <c r="L185" s="8">
        <v>6.99</v>
      </c>
      <c r="M185" s="8">
        <v>7.93</v>
      </c>
      <c r="N185" s="8">
        <v>6.97</v>
      </c>
      <c r="O185" s="17">
        <f t="shared" si="12"/>
        <v>-0.14076923076923076</v>
      </c>
      <c r="P185" s="17">
        <f t="shared" si="13"/>
        <v>4.3376247030878855E-2</v>
      </c>
      <c r="Q185" s="17">
        <v>6.81</v>
      </c>
      <c r="R185" s="9">
        <v>20220810</v>
      </c>
      <c r="S185" s="9">
        <v>14.4</v>
      </c>
      <c r="T185" s="9">
        <v>2.4300000000000002</v>
      </c>
      <c r="U185" s="9">
        <v>24181.26757</v>
      </c>
      <c r="V185" s="45">
        <f t="shared" si="14"/>
        <v>-0.9998995089900492</v>
      </c>
      <c r="W185" s="12">
        <v>42.38</v>
      </c>
      <c r="X185" s="12">
        <v>2.19</v>
      </c>
      <c r="Y185" s="62">
        <v>0.19</v>
      </c>
    </row>
    <row r="186" spans="1:25" x14ac:dyDescent="0.2">
      <c r="A186" s="3" t="s">
        <v>2493</v>
      </c>
      <c r="B186" s="3" t="s">
        <v>386</v>
      </c>
      <c r="C186" s="6" t="s">
        <v>354</v>
      </c>
      <c r="D186" s="6" t="s">
        <v>195</v>
      </c>
      <c r="E186" s="6" t="s">
        <v>208</v>
      </c>
      <c r="F186" s="6">
        <v>19390.47</v>
      </c>
      <c r="G186" s="2">
        <v>12</v>
      </c>
      <c r="H186" s="61">
        <v>1.38</v>
      </c>
      <c r="I186" s="61">
        <v>1.51</v>
      </c>
      <c r="J186" s="47">
        <f t="shared" si="10"/>
        <v>-0.88500000000000012</v>
      </c>
      <c r="K186" s="47">
        <f t="shared" si="11"/>
        <v>9.4202898550724723E-2</v>
      </c>
      <c r="L186" s="8">
        <v>1.74</v>
      </c>
      <c r="M186" s="8">
        <v>22.06</v>
      </c>
      <c r="N186" s="8">
        <v>21.02</v>
      </c>
      <c r="O186" s="17">
        <f t="shared" si="12"/>
        <v>-0.24926553672316379</v>
      </c>
      <c r="P186" s="17">
        <f t="shared" si="13"/>
        <v>2.2313538461538442</v>
      </c>
      <c r="Q186" s="17">
        <v>18.3</v>
      </c>
      <c r="R186" s="9">
        <v>20220804</v>
      </c>
      <c r="S186" s="9">
        <v>32.17</v>
      </c>
      <c r="U186" s="9">
        <v>7955.3417900000004</v>
      </c>
      <c r="V186" s="45">
        <f t="shared" si="14"/>
        <v>-1</v>
      </c>
      <c r="W186" s="12">
        <v>8.57</v>
      </c>
      <c r="X186" s="12">
        <v>0</v>
      </c>
      <c r="Y186" s="62">
        <v>0.68</v>
      </c>
    </row>
    <row r="187" spans="1:25" x14ac:dyDescent="0.2">
      <c r="A187" s="3" t="s">
        <v>2494</v>
      </c>
      <c r="B187" s="3" t="s">
        <v>372</v>
      </c>
      <c r="C187" s="6" t="s">
        <v>356</v>
      </c>
      <c r="D187" s="6" t="s">
        <v>170</v>
      </c>
      <c r="E187" s="6" t="s">
        <v>163</v>
      </c>
      <c r="F187" s="6">
        <v>20222.2</v>
      </c>
      <c r="G187" s="2">
        <v>12</v>
      </c>
      <c r="H187" s="61">
        <v>1.1399999999999999</v>
      </c>
      <c r="I187" s="61">
        <v>1</v>
      </c>
      <c r="J187" s="47">
        <f t="shared" si="10"/>
        <v>-0.90499999999999992</v>
      </c>
      <c r="K187" s="47">
        <f t="shared" si="11"/>
        <v>-0.12280701754385957</v>
      </c>
      <c r="L187" s="8">
        <v>1.37</v>
      </c>
      <c r="N187" s="8">
        <v>10.95</v>
      </c>
      <c r="O187" s="17">
        <f t="shared" si="12"/>
        <v>0</v>
      </c>
      <c r="P187" s="17">
        <f t="shared" si="13"/>
        <v>-0.89164285714285763</v>
      </c>
      <c r="Q187" s="17">
        <v>8.02</v>
      </c>
      <c r="U187" s="9">
        <v>10166.75</v>
      </c>
      <c r="V187" s="45">
        <f t="shared" si="14"/>
        <v>-1</v>
      </c>
      <c r="X187" s="12">
        <v>12.68</v>
      </c>
      <c r="Y187" s="62"/>
    </row>
    <row r="188" spans="1:25" x14ac:dyDescent="0.2">
      <c r="A188" s="3" t="s">
        <v>2495</v>
      </c>
      <c r="B188" s="3" t="s">
        <v>88</v>
      </c>
      <c r="C188" s="6" t="s">
        <v>354</v>
      </c>
      <c r="D188" s="6" t="s">
        <v>293</v>
      </c>
      <c r="E188" s="6" t="s">
        <v>201</v>
      </c>
      <c r="F188" s="6">
        <v>13797.46</v>
      </c>
      <c r="G188" s="2">
        <v>12</v>
      </c>
      <c r="H188" s="61">
        <v>8.94</v>
      </c>
      <c r="I188" s="61">
        <v>9.7100000000000009</v>
      </c>
      <c r="J188" s="47">
        <f t="shared" si="10"/>
        <v>-0.25500000000000006</v>
      </c>
      <c r="K188" s="47">
        <f t="shared" si="11"/>
        <v>8.6129753914988977E-2</v>
      </c>
      <c r="L188" s="8">
        <v>10.73</v>
      </c>
      <c r="M188" s="8">
        <v>18.93</v>
      </c>
      <c r="N188" s="8">
        <v>17.39</v>
      </c>
      <c r="O188" s="17">
        <f t="shared" si="12"/>
        <v>-0.74235294117647033</v>
      </c>
      <c r="P188" s="17">
        <f t="shared" si="13"/>
        <v>2.0190467532467493</v>
      </c>
      <c r="Q188" s="17">
        <v>15.73</v>
      </c>
      <c r="R188" s="9">
        <v>20220727</v>
      </c>
      <c r="S188" s="9">
        <v>40.5</v>
      </c>
      <c r="T188" s="9">
        <v>4.7699999999999996</v>
      </c>
      <c r="U188" s="9">
        <v>9428.3271399999994</v>
      </c>
      <c r="V188" s="45">
        <f t="shared" si="14"/>
        <v>-0.99949407780095334</v>
      </c>
      <c r="W188" s="12">
        <v>10.09</v>
      </c>
      <c r="X188" s="12">
        <v>1.61</v>
      </c>
      <c r="Y188" s="62">
        <v>2.48</v>
      </c>
    </row>
    <row r="189" spans="1:25" x14ac:dyDescent="0.2">
      <c r="A189" s="3" t="s">
        <v>2496</v>
      </c>
      <c r="B189" s="3" t="s">
        <v>474</v>
      </c>
      <c r="C189" s="6" t="s">
        <v>354</v>
      </c>
      <c r="D189" s="6" t="s">
        <v>121</v>
      </c>
      <c r="E189" s="6" t="s">
        <v>140</v>
      </c>
      <c r="F189" s="6">
        <v>3872.34</v>
      </c>
      <c r="G189" s="2">
        <v>12</v>
      </c>
      <c r="H189" s="61">
        <v>4.3</v>
      </c>
      <c r="I189" s="61">
        <v>5.09</v>
      </c>
      <c r="J189" s="47">
        <f t="shared" si="10"/>
        <v>-0.64166666666666672</v>
      </c>
      <c r="K189" s="47">
        <f t="shared" si="11"/>
        <v>0.18372093023255814</v>
      </c>
      <c r="L189" s="8">
        <v>5.77</v>
      </c>
      <c r="M189" s="8">
        <v>18.57</v>
      </c>
      <c r="N189" s="8">
        <v>16.22</v>
      </c>
      <c r="O189" s="17">
        <f t="shared" si="12"/>
        <v>-0.28940259740259738</v>
      </c>
      <c r="P189" s="17">
        <f t="shared" si="13"/>
        <v>0.88286075949367082</v>
      </c>
      <c r="Q189" s="17">
        <v>14.3</v>
      </c>
      <c r="R189" s="9">
        <v>20220726</v>
      </c>
      <c r="S189" s="9">
        <v>40.89</v>
      </c>
      <c r="T189" s="9">
        <v>-2.86</v>
      </c>
      <c r="U189" s="9">
        <v>1236.8669400000001</v>
      </c>
      <c r="V189" s="45">
        <f t="shared" si="14"/>
        <v>-1.0023122939966362</v>
      </c>
      <c r="W189" s="12">
        <v>-9.73</v>
      </c>
      <c r="X189" s="12">
        <v>1.1200000000000001</v>
      </c>
      <c r="Y189" s="62">
        <v>1.23</v>
      </c>
    </row>
    <row r="190" spans="1:25" x14ac:dyDescent="0.2">
      <c r="A190" s="3" t="s">
        <v>2497</v>
      </c>
      <c r="B190" s="3" t="s">
        <v>89</v>
      </c>
      <c r="C190" s="6" t="s">
        <v>354</v>
      </c>
      <c r="D190" s="6" t="s">
        <v>270</v>
      </c>
      <c r="E190" s="6" t="s">
        <v>250</v>
      </c>
      <c r="F190" s="6">
        <v>27048.53</v>
      </c>
      <c r="G190" s="2">
        <v>12</v>
      </c>
      <c r="H190" s="61">
        <v>4.25</v>
      </c>
      <c r="I190" s="61">
        <v>4.47</v>
      </c>
      <c r="J190" s="47">
        <f t="shared" si="10"/>
        <v>-0.64583333333333337</v>
      </c>
      <c r="K190" s="47">
        <f t="shared" si="11"/>
        <v>5.1764705882352879E-2</v>
      </c>
      <c r="L190" s="8">
        <v>4.82</v>
      </c>
      <c r="M190" s="8">
        <v>33.9</v>
      </c>
      <c r="N190" s="8">
        <v>33.270000000000003</v>
      </c>
      <c r="O190" s="17">
        <f t="shared" si="12"/>
        <v>-0.52490322580645155</v>
      </c>
      <c r="P190" s="17">
        <f t="shared" si="13"/>
        <v>6.4271590909090985</v>
      </c>
      <c r="Q190" s="17">
        <v>30.89</v>
      </c>
      <c r="R190" s="9">
        <v>20220801</v>
      </c>
      <c r="S190" s="9">
        <v>11.25</v>
      </c>
      <c r="T190" s="9">
        <v>4.03</v>
      </c>
      <c r="U190" s="9">
        <v>3693.625</v>
      </c>
      <c r="V190" s="45">
        <f t="shared" si="14"/>
        <v>-0.99890893092828859</v>
      </c>
      <c r="W190" s="12">
        <v>16</v>
      </c>
      <c r="X190" s="12">
        <v>1.76</v>
      </c>
      <c r="Y190" s="62">
        <v>4.12</v>
      </c>
    </row>
    <row r="191" spans="1:25" x14ac:dyDescent="0.2">
      <c r="A191" s="3" t="s">
        <v>2498</v>
      </c>
      <c r="B191" s="3" t="s">
        <v>338</v>
      </c>
      <c r="C191" s="6" t="s">
        <v>356</v>
      </c>
      <c r="D191" s="6" t="s">
        <v>172</v>
      </c>
      <c r="E191" s="6" t="s">
        <v>163</v>
      </c>
      <c r="F191" s="6">
        <v>60818.04</v>
      </c>
      <c r="G191" s="2">
        <v>12</v>
      </c>
      <c r="H191" s="61">
        <v>3.28</v>
      </c>
      <c r="I191" s="61">
        <v>3.05</v>
      </c>
      <c r="J191" s="47">
        <f t="shared" si="10"/>
        <v>-0.72666666666666668</v>
      </c>
      <c r="K191" s="47">
        <f t="shared" si="11"/>
        <v>-7.0121951219512188E-2</v>
      </c>
      <c r="L191" s="8">
        <v>3.32</v>
      </c>
      <c r="N191" s="8">
        <v>8.4600000000000009</v>
      </c>
      <c r="O191" s="17">
        <f t="shared" si="12"/>
        <v>0</v>
      </c>
      <c r="P191" s="17">
        <f t="shared" si="13"/>
        <v>-1.2064695652173916</v>
      </c>
      <c r="Q191" s="17">
        <v>7.76</v>
      </c>
      <c r="V191" s="45" t="e">
        <f t="shared" si="14"/>
        <v>#DIV/0!</v>
      </c>
      <c r="X191" s="12">
        <v>5.17</v>
      </c>
      <c r="Y191" s="62">
        <v>1.21</v>
      </c>
    </row>
    <row r="192" spans="1:25" x14ac:dyDescent="0.2">
      <c r="A192" s="3" t="s">
        <v>2499</v>
      </c>
      <c r="B192" s="3" t="s">
        <v>1847</v>
      </c>
      <c r="C192" s="6" t="s">
        <v>355</v>
      </c>
      <c r="D192" s="6" t="s">
        <v>226</v>
      </c>
      <c r="E192" s="6" t="s">
        <v>201</v>
      </c>
      <c r="F192" s="6">
        <v>6996.05</v>
      </c>
      <c r="G192" s="2">
        <v>12</v>
      </c>
      <c r="H192" s="61">
        <v>2.0499999999999998</v>
      </c>
      <c r="I192" s="61">
        <v>1.85</v>
      </c>
      <c r="J192" s="47">
        <f t="shared" si="10"/>
        <v>-0.82916666666666661</v>
      </c>
      <c r="K192" s="47">
        <f t="shared" si="11"/>
        <v>-9.7560975609755976E-2</v>
      </c>
      <c r="L192" s="8">
        <v>2.2200000000000002</v>
      </c>
      <c r="M192" s="8">
        <v>40.049999999999997</v>
      </c>
      <c r="N192" s="8">
        <v>53.37</v>
      </c>
      <c r="O192" s="17">
        <f t="shared" si="12"/>
        <v>-0.48301507537688443</v>
      </c>
      <c r="P192" s="17">
        <f t="shared" si="13"/>
        <v>-5.4704250000000068</v>
      </c>
      <c r="Q192" s="17">
        <v>44.3</v>
      </c>
      <c r="R192" s="9">
        <v>20220804</v>
      </c>
      <c r="S192" s="9">
        <v>3.9</v>
      </c>
      <c r="T192" s="9">
        <v>27.47</v>
      </c>
      <c r="U192" s="9">
        <v>1074.88195</v>
      </c>
      <c r="V192" s="45">
        <f t="shared" si="14"/>
        <v>-0.97444370519013734</v>
      </c>
      <c r="W192" s="12">
        <v>80</v>
      </c>
      <c r="X192" s="12">
        <v>0</v>
      </c>
      <c r="Y192" s="62"/>
    </row>
    <row r="193" spans="1:25" x14ac:dyDescent="0.2">
      <c r="A193" s="3" t="s">
        <v>2500</v>
      </c>
      <c r="B193" s="3" t="s">
        <v>90</v>
      </c>
      <c r="C193" s="6" t="s">
        <v>354</v>
      </c>
      <c r="D193" s="6" t="s">
        <v>151</v>
      </c>
      <c r="E193" s="6" t="s">
        <v>163</v>
      </c>
      <c r="F193" s="6">
        <v>124533.58</v>
      </c>
      <c r="G193" s="2">
        <v>12</v>
      </c>
      <c r="H193" s="61">
        <v>9.57</v>
      </c>
      <c r="I193" s="61">
        <v>9.76</v>
      </c>
      <c r="J193" s="47">
        <f t="shared" si="10"/>
        <v>-0.20249999999999999</v>
      </c>
      <c r="K193" s="47">
        <f t="shared" si="11"/>
        <v>1.9853709508881871E-2</v>
      </c>
      <c r="L193" s="8">
        <v>11.4</v>
      </c>
      <c r="M193" s="8">
        <v>16.57</v>
      </c>
      <c r="N193" s="8">
        <v>16.940000000000001</v>
      </c>
      <c r="O193" s="17">
        <f t="shared" si="12"/>
        <v>-0.81827160493827167</v>
      </c>
      <c r="P193" s="17">
        <f t="shared" si="13"/>
        <v>8.5324105263158128</v>
      </c>
      <c r="Q193" s="17">
        <v>14.5</v>
      </c>
      <c r="R193" s="9">
        <v>20220722</v>
      </c>
      <c r="S193" s="9">
        <v>33.35</v>
      </c>
      <c r="T193" s="9">
        <v>3.86</v>
      </c>
      <c r="U193" s="9">
        <v>50385.761709999999</v>
      </c>
      <c r="V193" s="45">
        <f t="shared" si="14"/>
        <v>-0.99992339105594519</v>
      </c>
      <c r="W193" s="12">
        <v>12.35</v>
      </c>
      <c r="X193" s="12">
        <v>1.26</v>
      </c>
      <c r="Y193" s="62">
        <v>1.33</v>
      </c>
    </row>
    <row r="194" spans="1:25" x14ac:dyDescent="0.2">
      <c r="A194" s="3" t="s">
        <v>2501</v>
      </c>
      <c r="B194" s="3" t="s">
        <v>91</v>
      </c>
      <c r="C194" s="6" t="s">
        <v>354</v>
      </c>
      <c r="D194" s="6" t="s">
        <v>173</v>
      </c>
      <c r="E194" s="6" t="s">
        <v>163</v>
      </c>
      <c r="F194" s="6">
        <v>4931.2299999999996</v>
      </c>
      <c r="G194" s="2">
        <v>12</v>
      </c>
      <c r="H194" s="61">
        <v>4.34</v>
      </c>
      <c r="I194" s="61">
        <v>6.18</v>
      </c>
      <c r="J194" s="47">
        <f t="shared" si="10"/>
        <v>-0.63833333333333331</v>
      </c>
      <c r="K194" s="47">
        <f t="shared" si="11"/>
        <v>0.42396313364055299</v>
      </c>
      <c r="L194" s="8">
        <v>6.61</v>
      </c>
      <c r="M194" s="8">
        <v>9.2799999999999994</v>
      </c>
      <c r="N194" s="8">
        <v>9.35</v>
      </c>
      <c r="O194" s="17">
        <f t="shared" si="12"/>
        <v>-0.14537859007832898</v>
      </c>
      <c r="P194" s="17">
        <f t="shared" si="13"/>
        <v>0.22053804347826084</v>
      </c>
      <c r="Q194" s="17">
        <v>8.75</v>
      </c>
      <c r="R194" s="9">
        <v>20220726</v>
      </c>
      <c r="S194" s="9">
        <v>11.84</v>
      </c>
      <c r="T194" s="9">
        <v>3.06</v>
      </c>
      <c r="U194" s="9">
        <v>5355.7451099999998</v>
      </c>
      <c r="V194" s="45">
        <f t="shared" si="14"/>
        <v>-0.99942865092771371</v>
      </c>
      <c r="W194" s="12">
        <v>20.11</v>
      </c>
      <c r="X194" s="12">
        <v>2.97</v>
      </c>
      <c r="Y194" s="62">
        <v>1.87</v>
      </c>
    </row>
    <row r="195" spans="1:25" x14ac:dyDescent="0.2">
      <c r="A195" s="3" t="s">
        <v>2502</v>
      </c>
      <c r="B195" s="3" t="s">
        <v>92</v>
      </c>
      <c r="C195" s="6" t="s">
        <v>354</v>
      </c>
      <c r="D195" s="6" t="s">
        <v>128</v>
      </c>
      <c r="E195" s="6" t="s">
        <v>60</v>
      </c>
      <c r="F195" s="6">
        <v>5977.41</v>
      </c>
      <c r="G195" s="2">
        <v>12</v>
      </c>
      <c r="H195" s="61">
        <v>1.68</v>
      </c>
      <c r="I195" s="61">
        <v>1.78</v>
      </c>
      <c r="J195" s="47">
        <f t="shared" ref="J195:J258" si="15">(H195-G195)/ABS(G195)</f>
        <v>-0.86</v>
      </c>
      <c r="K195" s="47">
        <f t="shared" ref="K195:K258" si="16">(I195-H195)/ABS(H195)</f>
        <v>5.9523809523809576E-2</v>
      </c>
      <c r="L195" s="8">
        <v>2.23</v>
      </c>
      <c r="M195" s="8">
        <v>18.239999999999998</v>
      </c>
      <c r="N195" s="8">
        <v>15.18</v>
      </c>
      <c r="O195" s="17">
        <f t="shared" ref="O195:O258" si="17">M195/(J195*100)</f>
        <v>-0.21209302325581394</v>
      </c>
      <c r="P195" s="17">
        <f t="shared" ref="P195:P258" si="18">N195/(K195*100)</f>
        <v>2.5502399999999974</v>
      </c>
      <c r="Q195" s="17">
        <v>12.09</v>
      </c>
      <c r="R195" s="9">
        <v>20220725</v>
      </c>
      <c r="S195" s="9">
        <v>22.66</v>
      </c>
      <c r="T195" s="9">
        <v>-1.6</v>
      </c>
      <c r="U195" s="9">
        <v>4946.4501899999996</v>
      </c>
      <c r="V195" s="45">
        <f t="shared" ref="V195:V258" si="19">(T195-U195)/U195</f>
        <v>-1.000323464290257</v>
      </c>
      <c r="W195" s="12">
        <v>19.23</v>
      </c>
      <c r="X195" s="12">
        <v>0</v>
      </c>
      <c r="Y195" s="62">
        <v>0.91</v>
      </c>
    </row>
    <row r="196" spans="1:25" x14ac:dyDescent="0.2">
      <c r="A196" s="3" t="s">
        <v>2503</v>
      </c>
      <c r="B196" s="3" t="s">
        <v>448</v>
      </c>
      <c r="C196" s="6" t="s">
        <v>355</v>
      </c>
      <c r="D196" s="6" t="s">
        <v>246</v>
      </c>
      <c r="E196" s="6" t="s">
        <v>250</v>
      </c>
      <c r="F196" s="6">
        <v>3752.01</v>
      </c>
      <c r="G196" s="2">
        <v>12</v>
      </c>
      <c r="H196" s="61">
        <v>-0.06</v>
      </c>
      <c r="I196" s="61">
        <v>0.56000000000000005</v>
      </c>
      <c r="J196" s="47">
        <f t="shared" si="15"/>
        <v>-1.0050000000000001</v>
      </c>
      <c r="K196" s="47">
        <f t="shared" si="16"/>
        <v>10.333333333333336</v>
      </c>
      <c r="L196" s="8">
        <v>0.73</v>
      </c>
      <c r="N196" s="8">
        <v>59.82</v>
      </c>
      <c r="O196" s="17">
        <f t="shared" si="17"/>
        <v>0</v>
      </c>
      <c r="P196" s="17">
        <f t="shared" si="18"/>
        <v>5.7890322580645151E-2</v>
      </c>
      <c r="Q196" s="17">
        <v>45.6</v>
      </c>
      <c r="R196" s="9">
        <v>20220802</v>
      </c>
      <c r="S196" s="9">
        <v>-1.26</v>
      </c>
      <c r="T196" s="9">
        <v>3.1</v>
      </c>
      <c r="U196" s="9">
        <v>1223.18505</v>
      </c>
      <c r="V196" s="45">
        <f t="shared" si="19"/>
        <v>-0.99746563285743239</v>
      </c>
      <c r="W196" s="12">
        <v>-25</v>
      </c>
      <c r="X196" s="12">
        <v>5.27</v>
      </c>
      <c r="Y196" s="62"/>
    </row>
    <row r="197" spans="1:25" x14ac:dyDescent="0.2">
      <c r="A197" s="3" t="s">
        <v>2504</v>
      </c>
      <c r="B197" s="3" t="s">
        <v>93</v>
      </c>
      <c r="C197" s="6" t="s">
        <v>354</v>
      </c>
      <c r="D197" s="6" t="s">
        <v>120</v>
      </c>
      <c r="E197" s="6" t="s">
        <v>140</v>
      </c>
      <c r="F197" s="6">
        <v>6050.19</v>
      </c>
      <c r="G197" s="2">
        <v>8</v>
      </c>
      <c r="H197" s="61">
        <v>9.8000000000000007</v>
      </c>
      <c r="I197" s="61">
        <v>11.92</v>
      </c>
      <c r="J197" s="47">
        <f t="shared" si="15"/>
        <v>0.22500000000000009</v>
      </c>
      <c r="K197" s="47">
        <f t="shared" si="16"/>
        <v>0.2163265306122448</v>
      </c>
      <c r="L197" s="8">
        <v>12.96</v>
      </c>
      <c r="M197" s="8">
        <v>15.27</v>
      </c>
      <c r="N197" s="8">
        <v>14.68</v>
      </c>
      <c r="O197" s="17">
        <f t="shared" si="17"/>
        <v>0.67866666666666642</v>
      </c>
      <c r="P197" s="17">
        <f t="shared" si="18"/>
        <v>0.67860377358490598</v>
      </c>
      <c r="Q197" s="17">
        <v>13.5</v>
      </c>
      <c r="R197" s="9">
        <v>20220707</v>
      </c>
      <c r="S197" s="9">
        <v>18.57</v>
      </c>
      <c r="T197" s="9">
        <v>-0.84</v>
      </c>
      <c r="U197" s="9">
        <v>3895</v>
      </c>
      <c r="V197" s="45">
        <f t="shared" si="19"/>
        <v>-1.0002156611039794</v>
      </c>
      <c r="W197" s="12">
        <v>11.26</v>
      </c>
      <c r="X197" s="12">
        <v>0.3</v>
      </c>
      <c r="Y197" s="62">
        <v>1.47</v>
      </c>
    </row>
    <row r="198" spans="1:25" x14ac:dyDescent="0.2">
      <c r="A198" s="3" t="s">
        <v>2505</v>
      </c>
      <c r="B198" s="3" t="s">
        <v>358</v>
      </c>
      <c r="C198" s="6" t="s">
        <v>354</v>
      </c>
      <c r="D198" s="6" t="s">
        <v>177</v>
      </c>
      <c r="E198" s="6" t="s">
        <v>119</v>
      </c>
      <c r="F198" s="6">
        <v>3750.57</v>
      </c>
      <c r="G198" s="2">
        <v>12</v>
      </c>
      <c r="H198" s="61">
        <v>-0.28999999999999998</v>
      </c>
      <c r="I198" s="61">
        <v>-0.54</v>
      </c>
      <c r="J198" s="47">
        <f t="shared" si="15"/>
        <v>-1.0241666666666667</v>
      </c>
      <c r="K198" s="47">
        <f t="shared" si="16"/>
        <v>-0.86206896551724166</v>
      </c>
      <c r="L198" s="8">
        <v>0.01</v>
      </c>
      <c r="O198" s="17">
        <f t="shared" si="17"/>
        <v>0</v>
      </c>
      <c r="P198" s="17">
        <f t="shared" si="18"/>
        <v>0</v>
      </c>
      <c r="Q198" s="17">
        <v>4230.7700000000004</v>
      </c>
      <c r="R198" s="9">
        <v>20220802</v>
      </c>
      <c r="S198" s="9">
        <v>-46.53</v>
      </c>
      <c r="T198" s="9">
        <v>46.96</v>
      </c>
      <c r="U198" s="9">
        <v>735.72398999999996</v>
      </c>
      <c r="V198" s="45">
        <f t="shared" si="19"/>
        <v>-0.93617171570006841</v>
      </c>
      <c r="W198" s="12">
        <v>32.200000000000003</v>
      </c>
      <c r="X198" s="12">
        <v>0</v>
      </c>
      <c r="Y198" s="62"/>
    </row>
    <row r="199" spans="1:25" x14ac:dyDescent="0.2">
      <c r="A199" s="3" t="s">
        <v>449</v>
      </c>
      <c r="B199" s="3" t="s">
        <v>449</v>
      </c>
      <c r="C199" s="6" t="s">
        <v>354</v>
      </c>
      <c r="D199" s="6" t="s">
        <v>117</v>
      </c>
      <c r="E199" s="6" t="s">
        <v>140</v>
      </c>
      <c r="F199" s="6">
        <v>3313.22</v>
      </c>
      <c r="G199" s="2">
        <v>9</v>
      </c>
      <c r="H199" s="61">
        <v>0.94</v>
      </c>
      <c r="I199" s="61">
        <v>1.1200000000000001</v>
      </c>
      <c r="J199" s="47">
        <f t="shared" si="15"/>
        <v>-0.89555555555555566</v>
      </c>
      <c r="K199" s="47">
        <f t="shared" si="16"/>
        <v>0.19148936170212785</v>
      </c>
      <c r="L199" s="8">
        <v>1.29</v>
      </c>
      <c r="M199" s="8">
        <v>19.61</v>
      </c>
      <c r="N199" s="8">
        <v>19.16</v>
      </c>
      <c r="O199" s="17">
        <f t="shared" si="17"/>
        <v>-0.218970223325062</v>
      </c>
      <c r="P199" s="17">
        <f t="shared" si="18"/>
        <v>1.0005777777777767</v>
      </c>
      <c r="Q199" s="17">
        <v>16.62</v>
      </c>
      <c r="R199" s="9">
        <v>20220811</v>
      </c>
      <c r="S199" s="9">
        <v>11.08</v>
      </c>
      <c r="U199" s="9">
        <v>1420.96398</v>
      </c>
      <c r="V199" s="45">
        <f t="shared" si="19"/>
        <v>-1</v>
      </c>
      <c r="W199" s="12">
        <v>6.45</v>
      </c>
      <c r="X199" s="12">
        <v>0</v>
      </c>
      <c r="Y199" s="62">
        <v>1.23</v>
      </c>
    </row>
    <row r="200" spans="1:25" x14ac:dyDescent="0.2">
      <c r="A200" s="3" t="s">
        <v>2506</v>
      </c>
      <c r="B200" s="3" t="s">
        <v>94</v>
      </c>
      <c r="C200" s="6" t="s">
        <v>355</v>
      </c>
      <c r="D200" s="6" t="s">
        <v>179</v>
      </c>
      <c r="E200" s="6" t="s">
        <v>208</v>
      </c>
      <c r="F200" s="6">
        <v>206692.64</v>
      </c>
      <c r="G200" s="2">
        <v>12</v>
      </c>
      <c r="H200" s="61">
        <v>2.58</v>
      </c>
      <c r="I200" s="61">
        <v>3.3</v>
      </c>
      <c r="J200" s="47">
        <f t="shared" si="15"/>
        <v>-0.78500000000000003</v>
      </c>
      <c r="K200" s="47">
        <f t="shared" si="16"/>
        <v>0.27906976744186035</v>
      </c>
      <c r="L200" s="8">
        <v>3.73</v>
      </c>
      <c r="M200" s="8">
        <v>23.99</v>
      </c>
      <c r="N200" s="8">
        <v>20.21</v>
      </c>
      <c r="O200" s="17">
        <f t="shared" si="17"/>
        <v>-0.30560509554140125</v>
      </c>
      <c r="P200" s="17">
        <f t="shared" si="18"/>
        <v>0.72419166666666701</v>
      </c>
      <c r="Q200" s="17">
        <v>17.88</v>
      </c>
      <c r="R200" s="9">
        <v>20220804</v>
      </c>
      <c r="S200" s="9">
        <v>25.35</v>
      </c>
      <c r="T200" s="9">
        <v>11.7</v>
      </c>
      <c r="U200" s="9">
        <v>43585.859369999998</v>
      </c>
      <c r="V200" s="45">
        <f t="shared" si="19"/>
        <v>-0.99973156431537402</v>
      </c>
      <c r="W200" s="12">
        <v>10.47</v>
      </c>
      <c r="X200" s="12">
        <v>2.89</v>
      </c>
      <c r="Y200" s="62">
        <v>1.25</v>
      </c>
    </row>
    <row r="201" spans="1:25" x14ac:dyDescent="0.2">
      <c r="A201" s="3" t="s">
        <v>2507</v>
      </c>
      <c r="B201" s="3" t="s">
        <v>95</v>
      </c>
      <c r="C201" s="6" t="s">
        <v>354</v>
      </c>
      <c r="D201" s="6" t="s">
        <v>67</v>
      </c>
      <c r="E201" s="6" t="s">
        <v>231</v>
      </c>
      <c r="F201" s="6">
        <v>40272.559999999998</v>
      </c>
      <c r="G201" s="2">
        <v>8</v>
      </c>
      <c r="H201" s="61">
        <v>89.72</v>
      </c>
      <c r="I201" s="61">
        <v>114.31</v>
      </c>
      <c r="J201" s="47">
        <f t="shared" si="15"/>
        <v>10.215</v>
      </c>
      <c r="K201" s="47">
        <f t="shared" si="16"/>
        <v>0.27407489968791798</v>
      </c>
      <c r="L201" s="8">
        <v>123.18</v>
      </c>
      <c r="M201" s="8">
        <v>18.41</v>
      </c>
      <c r="N201" s="8">
        <v>17.75</v>
      </c>
      <c r="O201" s="17">
        <f t="shared" si="17"/>
        <v>1.8022515907978463E-2</v>
      </c>
      <c r="P201" s="17">
        <f t="shared" si="18"/>
        <v>0.64763318422122818</v>
      </c>
      <c r="Q201" s="17">
        <v>16.47</v>
      </c>
      <c r="R201" s="9">
        <v>20220524</v>
      </c>
      <c r="S201" s="9">
        <v>-109.21</v>
      </c>
      <c r="T201" s="9">
        <v>7.72</v>
      </c>
      <c r="U201" s="9">
        <v>15987.688469999999</v>
      </c>
      <c r="V201" s="45">
        <f t="shared" si="19"/>
        <v>-0.99951712844452245</v>
      </c>
      <c r="W201" s="12">
        <v>25.28</v>
      </c>
      <c r="X201" s="12">
        <v>0</v>
      </c>
      <c r="Y201" s="62">
        <v>1.54</v>
      </c>
    </row>
    <row r="202" spans="1:25" x14ac:dyDescent="0.2">
      <c r="A202" s="3" t="s">
        <v>303</v>
      </c>
      <c r="B202" s="3" t="s">
        <v>304</v>
      </c>
      <c r="C202" s="6" t="s">
        <v>355</v>
      </c>
      <c r="D202" s="6" t="s">
        <v>177</v>
      </c>
      <c r="E202" s="6" t="s">
        <v>119</v>
      </c>
      <c r="F202" s="6">
        <v>12359.44</v>
      </c>
      <c r="G202" s="2">
        <v>6</v>
      </c>
      <c r="H202" s="61">
        <v>5.13</v>
      </c>
      <c r="I202" s="61">
        <v>5.47</v>
      </c>
      <c r="J202" s="47">
        <f t="shared" si="15"/>
        <v>-0.14500000000000002</v>
      </c>
      <c r="K202" s="47">
        <f t="shared" si="16"/>
        <v>6.6276803118908351E-2</v>
      </c>
      <c r="L202" s="8">
        <v>5.75</v>
      </c>
      <c r="M202" s="8">
        <v>39.07</v>
      </c>
      <c r="N202" s="8">
        <v>34.840000000000003</v>
      </c>
      <c r="O202" s="17">
        <f t="shared" si="17"/>
        <v>-2.6944827586206892</v>
      </c>
      <c r="P202" s="17">
        <f t="shared" si="18"/>
        <v>5.2567411764705918</v>
      </c>
      <c r="Q202" s="17">
        <v>33.18</v>
      </c>
      <c r="R202" s="9">
        <v>20220810</v>
      </c>
      <c r="S202" s="9">
        <v>40.86</v>
      </c>
      <c r="T202" s="9">
        <v>9.77</v>
      </c>
      <c r="U202" s="9">
        <v>756.60497999999995</v>
      </c>
      <c r="V202" s="45">
        <f t="shared" si="19"/>
        <v>-0.98708705300882371</v>
      </c>
      <c r="W202" s="12">
        <v>1.47</v>
      </c>
      <c r="X202" s="12">
        <v>0</v>
      </c>
      <c r="Y202" s="62">
        <v>4.3899999999999997</v>
      </c>
    </row>
    <row r="203" spans="1:25" x14ac:dyDescent="0.2">
      <c r="A203" s="3" t="s">
        <v>2508</v>
      </c>
      <c r="B203" s="3" t="s">
        <v>2509</v>
      </c>
      <c r="C203" s="6" t="s">
        <v>355</v>
      </c>
      <c r="D203" s="6" t="s">
        <v>194</v>
      </c>
      <c r="E203" s="6" t="s">
        <v>208</v>
      </c>
      <c r="F203" s="6">
        <v>5495.18</v>
      </c>
      <c r="G203" s="2">
        <v>9</v>
      </c>
      <c r="H203" s="61">
        <v>2.58</v>
      </c>
      <c r="I203" s="61">
        <v>0.54</v>
      </c>
      <c r="J203" s="47">
        <f t="shared" si="15"/>
        <v>-0.71333333333333337</v>
      </c>
      <c r="K203" s="47">
        <f t="shared" si="16"/>
        <v>-0.79069767441860461</v>
      </c>
      <c r="L203" s="8">
        <v>0.98</v>
      </c>
      <c r="M203" s="8">
        <v>63.72</v>
      </c>
      <c r="N203" s="8">
        <v>136.97</v>
      </c>
      <c r="O203" s="17">
        <f t="shared" si="17"/>
        <v>-0.89327102803738301</v>
      </c>
      <c r="P203" s="17">
        <f t="shared" si="18"/>
        <v>-1.7322676470588236</v>
      </c>
      <c r="Q203" s="17">
        <v>74.78</v>
      </c>
      <c r="R203" s="9">
        <v>20220804</v>
      </c>
      <c r="S203" s="9">
        <v>4.28</v>
      </c>
      <c r="T203" s="9">
        <v>6.68</v>
      </c>
      <c r="U203" s="9">
        <v>585.73698999999999</v>
      </c>
      <c r="V203" s="45">
        <f t="shared" si="19"/>
        <v>-0.98859556402609994</v>
      </c>
      <c r="W203" s="12">
        <v>9.09</v>
      </c>
      <c r="X203" s="12">
        <v>0.41</v>
      </c>
      <c r="Y203" s="62"/>
    </row>
    <row r="204" spans="1:25" x14ac:dyDescent="0.2">
      <c r="A204" s="3" t="s">
        <v>96</v>
      </c>
      <c r="B204" s="3" t="s">
        <v>96</v>
      </c>
      <c r="C204" s="6" t="s">
        <v>354</v>
      </c>
      <c r="D204" s="6" t="s">
        <v>235</v>
      </c>
      <c r="E204" s="6" t="s">
        <v>237</v>
      </c>
      <c r="F204" s="6">
        <v>5562.1</v>
      </c>
      <c r="G204" s="2">
        <v>12</v>
      </c>
      <c r="H204" s="61">
        <v>-4.32</v>
      </c>
      <c r="I204" s="61">
        <v>-2.06</v>
      </c>
      <c r="J204" s="47">
        <f t="shared" si="15"/>
        <v>-1.36</v>
      </c>
      <c r="K204" s="47">
        <f t="shared" si="16"/>
        <v>0.52314814814814814</v>
      </c>
      <c r="L204" s="8">
        <v>-1.1599999999999999</v>
      </c>
      <c r="O204" s="17">
        <f t="shared" si="17"/>
        <v>0</v>
      </c>
      <c r="P204" s="17">
        <f t="shared" si="18"/>
        <v>0</v>
      </c>
      <c r="Q204" s="17"/>
      <c r="R204" s="9">
        <v>20220811</v>
      </c>
      <c r="T204" s="9">
        <v>-15.36</v>
      </c>
      <c r="U204" s="9">
        <v>3215.92407</v>
      </c>
      <c r="V204" s="45">
        <f t="shared" si="19"/>
        <v>-1.0047762321701832</v>
      </c>
      <c r="W204" s="12">
        <v>5.79</v>
      </c>
      <c r="X204" s="12">
        <v>0</v>
      </c>
      <c r="Y204" s="62"/>
    </row>
    <row r="205" spans="1:25" x14ac:dyDescent="0.2">
      <c r="A205" s="3" t="s">
        <v>2510</v>
      </c>
      <c r="B205" s="3" t="s">
        <v>98</v>
      </c>
      <c r="C205" s="6" t="s">
        <v>354</v>
      </c>
      <c r="D205" s="6" t="s">
        <v>16</v>
      </c>
      <c r="E205" s="6" t="s">
        <v>10</v>
      </c>
      <c r="F205" s="6">
        <v>75569.649999999994</v>
      </c>
      <c r="G205" s="2">
        <v>12</v>
      </c>
      <c r="H205" s="61">
        <v>-1.7</v>
      </c>
      <c r="I205" s="61">
        <v>-0.81</v>
      </c>
      <c r="J205" s="47">
        <f t="shared" si="15"/>
        <v>-1.1416666666666666</v>
      </c>
      <c r="K205" s="47">
        <f t="shared" si="16"/>
        <v>0.5235294117647058</v>
      </c>
      <c r="L205" s="8">
        <v>5.32</v>
      </c>
      <c r="O205" s="17">
        <f t="shared" si="17"/>
        <v>0</v>
      </c>
      <c r="P205" s="17">
        <f t="shared" si="18"/>
        <v>0</v>
      </c>
      <c r="Q205" s="17">
        <v>24.02</v>
      </c>
      <c r="R205" s="9">
        <v>20220727</v>
      </c>
      <c r="T205" s="9">
        <v>-12.13</v>
      </c>
      <c r="U205" s="9">
        <v>75878.609370000006</v>
      </c>
      <c r="V205" s="45">
        <f t="shared" si="19"/>
        <v>-1.0001598605997226</v>
      </c>
      <c r="W205" s="12">
        <v>-957.69</v>
      </c>
      <c r="X205" s="12">
        <v>0</v>
      </c>
      <c r="Y205" s="62"/>
    </row>
    <row r="206" spans="1:25" x14ac:dyDescent="0.2">
      <c r="A206" s="3" t="s">
        <v>2511</v>
      </c>
      <c r="B206" s="3" t="s">
        <v>99</v>
      </c>
      <c r="C206" s="6" t="s">
        <v>354</v>
      </c>
      <c r="D206" s="6" t="s">
        <v>174</v>
      </c>
      <c r="E206" s="6" t="s">
        <v>231</v>
      </c>
      <c r="F206" s="6">
        <v>256127.13</v>
      </c>
      <c r="G206" s="2">
        <v>3</v>
      </c>
      <c r="H206" s="61">
        <v>7.93</v>
      </c>
      <c r="I206" s="61">
        <v>7.35</v>
      </c>
      <c r="J206" s="47">
        <f t="shared" si="15"/>
        <v>1.6433333333333333</v>
      </c>
      <c r="K206" s="47">
        <f t="shared" si="16"/>
        <v>-7.313997477931905E-2</v>
      </c>
      <c r="L206" s="8">
        <v>8.85</v>
      </c>
      <c r="M206" s="8">
        <v>11.51</v>
      </c>
      <c r="N206" s="8">
        <v>12.86</v>
      </c>
      <c r="O206" s="17">
        <f t="shared" si="17"/>
        <v>7.0040567951318453E-2</v>
      </c>
      <c r="P206" s="17">
        <f t="shared" si="18"/>
        <v>-1.7582724137931032</v>
      </c>
      <c r="Q206" s="17">
        <v>10.67</v>
      </c>
      <c r="R206" s="9">
        <v>20220802</v>
      </c>
      <c r="S206" s="9">
        <v>11.12</v>
      </c>
      <c r="T206" s="9">
        <v>42.31</v>
      </c>
      <c r="U206" s="9">
        <v>144611.75</v>
      </c>
      <c r="V206" s="45">
        <f t="shared" si="19"/>
        <v>-0.99970742349774488</v>
      </c>
      <c r="W206" s="12">
        <v>17.920000000000002</v>
      </c>
      <c r="X206" s="12">
        <v>0</v>
      </c>
      <c r="Y206" s="62">
        <v>1.37</v>
      </c>
    </row>
    <row r="207" spans="1:25" x14ac:dyDescent="0.2">
      <c r="A207" s="3" t="s">
        <v>2512</v>
      </c>
      <c r="B207" s="3" t="s">
        <v>100</v>
      </c>
      <c r="C207" s="6" t="s">
        <v>354</v>
      </c>
      <c r="D207" s="6" t="s">
        <v>97</v>
      </c>
      <c r="E207" s="6" t="s">
        <v>163</v>
      </c>
      <c r="F207" s="6">
        <v>295445.81</v>
      </c>
      <c r="G207" s="2">
        <v>12</v>
      </c>
      <c r="H207" s="61">
        <v>3.49</v>
      </c>
      <c r="I207" s="61">
        <v>3.34</v>
      </c>
      <c r="J207" s="47">
        <f t="shared" si="15"/>
        <v>-0.70916666666666661</v>
      </c>
      <c r="K207" s="47">
        <f t="shared" si="16"/>
        <v>-4.2979942693409844E-2</v>
      </c>
      <c r="L207" s="8">
        <v>3.89</v>
      </c>
      <c r="M207" s="8">
        <v>10.48</v>
      </c>
      <c r="N207" s="8">
        <v>10.99</v>
      </c>
      <c r="O207" s="17">
        <f t="shared" si="17"/>
        <v>-0.14777908343125737</v>
      </c>
      <c r="P207" s="17">
        <f t="shared" si="18"/>
        <v>-2.5570066666666609</v>
      </c>
      <c r="Q207" s="17">
        <v>9.44</v>
      </c>
      <c r="R207" s="9">
        <v>20220713</v>
      </c>
      <c r="S207" s="9">
        <v>12.55</v>
      </c>
      <c r="T207" s="9">
        <v>-2.4300000000000002</v>
      </c>
      <c r="U207" s="9">
        <v>94395.601559999996</v>
      </c>
      <c r="V207" s="45">
        <f t="shared" si="19"/>
        <v>-1.0000257427248711</v>
      </c>
      <c r="W207" s="12">
        <v>5.26</v>
      </c>
      <c r="X207" s="12">
        <v>2.29</v>
      </c>
      <c r="Y207" s="62">
        <v>1.57</v>
      </c>
    </row>
    <row r="208" spans="1:25" x14ac:dyDescent="0.2">
      <c r="A208" s="3" t="s">
        <v>2513</v>
      </c>
      <c r="B208" s="3" t="s">
        <v>2081</v>
      </c>
      <c r="C208" s="6" t="s">
        <v>356</v>
      </c>
      <c r="D208" s="6" t="s">
        <v>69</v>
      </c>
      <c r="E208" s="6" t="s">
        <v>163</v>
      </c>
      <c r="F208" s="6">
        <v>115871.03999999999</v>
      </c>
      <c r="G208" s="2">
        <v>12</v>
      </c>
      <c r="H208" s="61"/>
      <c r="I208" s="61"/>
      <c r="J208" s="47">
        <f t="shared" si="15"/>
        <v>-1</v>
      </c>
      <c r="K208" s="47" t="e">
        <f t="shared" si="16"/>
        <v>#DIV/0!</v>
      </c>
      <c r="M208" s="8">
        <v>3.63</v>
      </c>
      <c r="O208" s="17">
        <f t="shared" si="17"/>
        <v>-3.6299999999999999E-2</v>
      </c>
      <c r="P208" s="17" t="e">
        <f t="shared" si="18"/>
        <v>#DIV/0!</v>
      </c>
      <c r="Q208" s="17"/>
      <c r="R208" s="9">
        <v>20220602</v>
      </c>
      <c r="S208" s="9">
        <v>9.7200000000000006</v>
      </c>
      <c r="T208" s="9">
        <v>5.43</v>
      </c>
      <c r="V208" s="45" t="e">
        <f t="shared" si="19"/>
        <v>#DIV/0!</v>
      </c>
      <c r="X208" s="12">
        <v>6.49</v>
      </c>
      <c r="Y208" s="62"/>
    </row>
    <row r="209" spans="1:25" x14ac:dyDescent="0.2">
      <c r="A209" s="3" t="s">
        <v>2514</v>
      </c>
      <c r="B209" s="3" t="s">
        <v>339</v>
      </c>
      <c r="C209" s="6" t="s">
        <v>356</v>
      </c>
      <c r="D209" s="6" t="s">
        <v>24</v>
      </c>
      <c r="E209" s="6" t="s">
        <v>10</v>
      </c>
      <c r="F209" s="6">
        <v>30795.11</v>
      </c>
      <c r="G209" s="2">
        <v>12</v>
      </c>
      <c r="H209" s="61">
        <v>2.54</v>
      </c>
      <c r="I209" s="61">
        <v>2.72</v>
      </c>
      <c r="J209" s="47">
        <f t="shared" si="15"/>
        <v>-0.78833333333333344</v>
      </c>
      <c r="K209" s="47">
        <f t="shared" si="16"/>
        <v>7.0866141732283533E-2</v>
      </c>
      <c r="L209" s="8">
        <v>2.96</v>
      </c>
      <c r="N209" s="8">
        <v>14.35</v>
      </c>
      <c r="O209" s="17">
        <f t="shared" si="17"/>
        <v>0</v>
      </c>
      <c r="P209" s="17">
        <f t="shared" si="18"/>
        <v>2.0249444444444422</v>
      </c>
      <c r="Q209" s="17">
        <v>13.19</v>
      </c>
      <c r="U209" s="9">
        <v>29731.019530000001</v>
      </c>
      <c r="V209" s="45">
        <f t="shared" si="19"/>
        <v>-1</v>
      </c>
      <c r="X209" s="12">
        <v>3.95</v>
      </c>
      <c r="Y209" s="62">
        <v>1.98</v>
      </c>
    </row>
    <row r="210" spans="1:25" x14ac:dyDescent="0.2">
      <c r="A210" s="3" t="s">
        <v>2515</v>
      </c>
      <c r="B210" s="3" t="s">
        <v>101</v>
      </c>
      <c r="C210" s="6" t="s">
        <v>354</v>
      </c>
      <c r="D210" s="6" t="s">
        <v>159</v>
      </c>
      <c r="E210" s="6" t="s">
        <v>108</v>
      </c>
      <c r="F210" s="6">
        <v>11427.46</v>
      </c>
      <c r="G210" s="2">
        <v>3</v>
      </c>
      <c r="H210" s="61">
        <v>4.18</v>
      </c>
      <c r="I210" s="61">
        <v>4.38</v>
      </c>
      <c r="J210" s="47">
        <f t="shared" si="15"/>
        <v>0.39333333333333326</v>
      </c>
      <c r="K210" s="47">
        <f t="shared" si="16"/>
        <v>4.7846889952153158E-2</v>
      </c>
      <c r="L210" s="8">
        <v>4.84</v>
      </c>
      <c r="M210" s="8">
        <v>20.53</v>
      </c>
      <c r="N210" s="8">
        <v>19.72</v>
      </c>
      <c r="O210" s="17">
        <f t="shared" si="17"/>
        <v>0.52194915254237295</v>
      </c>
      <c r="P210" s="17">
        <f t="shared" si="18"/>
        <v>4.1214799999999956</v>
      </c>
      <c r="Q210" s="17">
        <v>17.850000000000001</v>
      </c>
      <c r="R210" s="9">
        <v>20220729</v>
      </c>
      <c r="S210" s="9">
        <v>54.2</v>
      </c>
      <c r="T210" s="9">
        <v>7.9</v>
      </c>
      <c r="U210" s="9">
        <v>8973.0615199999993</v>
      </c>
      <c r="V210" s="45">
        <f t="shared" si="19"/>
        <v>-0.99911958700133829</v>
      </c>
      <c r="W210" s="12">
        <v>3.61</v>
      </c>
      <c r="X210" s="12">
        <v>1.99</v>
      </c>
      <c r="Y210" s="62">
        <v>2.63</v>
      </c>
    </row>
    <row r="211" spans="1:25" x14ac:dyDescent="0.2">
      <c r="A211" s="3" t="s">
        <v>2516</v>
      </c>
      <c r="B211" s="3" t="s">
        <v>450</v>
      </c>
      <c r="C211" s="6" t="s">
        <v>354</v>
      </c>
      <c r="D211" s="6" t="s">
        <v>204</v>
      </c>
      <c r="E211" s="6" t="s">
        <v>218</v>
      </c>
      <c r="F211" s="6">
        <v>8111.97</v>
      </c>
      <c r="G211" s="2">
        <v>12</v>
      </c>
      <c r="H211" s="61">
        <v>9.01</v>
      </c>
      <c r="I211" s="61">
        <v>4.03</v>
      </c>
      <c r="J211" s="47">
        <f t="shared" si="15"/>
        <v>-0.24916666666666668</v>
      </c>
      <c r="K211" s="47">
        <f t="shared" si="16"/>
        <v>-0.55271920088790227</v>
      </c>
      <c r="L211" s="8">
        <v>2.06</v>
      </c>
      <c r="M211" s="8">
        <v>2.77</v>
      </c>
      <c r="N211" s="8">
        <v>4.46</v>
      </c>
      <c r="O211" s="17">
        <f t="shared" si="17"/>
        <v>-0.11117056856187291</v>
      </c>
      <c r="P211" s="17">
        <f t="shared" si="18"/>
        <v>-8.0691967871485956E-2</v>
      </c>
      <c r="Q211" s="17">
        <v>8.7200000000000006</v>
      </c>
      <c r="R211" s="9">
        <v>20220803</v>
      </c>
      <c r="S211" s="9">
        <v>156.07</v>
      </c>
      <c r="T211" s="9">
        <v>-0.43</v>
      </c>
      <c r="U211" s="9">
        <v>19893.279289999999</v>
      </c>
      <c r="V211" s="45">
        <f t="shared" si="19"/>
        <v>-1.0000216153402228</v>
      </c>
      <c r="W211" s="12">
        <v>24.39</v>
      </c>
      <c r="X211" s="12">
        <v>17.96</v>
      </c>
      <c r="Y211" s="62">
        <v>0.46</v>
      </c>
    </row>
    <row r="212" spans="1:25" x14ac:dyDescent="0.2">
      <c r="A212" s="3" t="s">
        <v>537</v>
      </c>
      <c r="B212" s="3" t="s">
        <v>2517</v>
      </c>
      <c r="C212" s="6" t="s">
        <v>354</v>
      </c>
      <c r="D212" s="6" t="s">
        <v>538</v>
      </c>
      <c r="E212" s="6" t="s">
        <v>201</v>
      </c>
      <c r="F212" s="6">
        <v>22948.05</v>
      </c>
      <c r="G212" s="2">
        <v>12</v>
      </c>
      <c r="H212" s="61">
        <v>3.42</v>
      </c>
      <c r="I212" s="61">
        <v>3.82</v>
      </c>
      <c r="J212" s="47">
        <f t="shared" si="15"/>
        <v>-0.71499999999999997</v>
      </c>
      <c r="K212" s="47">
        <f t="shared" si="16"/>
        <v>0.11695906432748536</v>
      </c>
      <c r="L212" s="8">
        <v>4.33</v>
      </c>
      <c r="M212" s="8">
        <v>20.27</v>
      </c>
      <c r="N212" s="8">
        <v>18.760000000000002</v>
      </c>
      <c r="O212" s="17">
        <f t="shared" si="17"/>
        <v>-0.28349650349650352</v>
      </c>
      <c r="P212" s="17">
        <f t="shared" si="18"/>
        <v>1.6039800000000004</v>
      </c>
      <c r="Q212" s="17">
        <v>16.559999999999999</v>
      </c>
      <c r="R212" s="9">
        <v>20220804</v>
      </c>
      <c r="S212" s="9">
        <v>30.95</v>
      </c>
      <c r="T212" s="9">
        <v>4.53</v>
      </c>
      <c r="U212" s="9">
        <v>15952.327139999999</v>
      </c>
      <c r="V212" s="45">
        <f t="shared" si="19"/>
        <v>-0.99971602889282263</v>
      </c>
      <c r="W212" s="12">
        <v>-7.23</v>
      </c>
      <c r="X212" s="12">
        <v>1.1100000000000001</v>
      </c>
      <c r="Y212" s="62">
        <v>3.75</v>
      </c>
    </row>
    <row r="213" spans="1:25" x14ac:dyDescent="0.2">
      <c r="A213" s="3" t="s">
        <v>2518</v>
      </c>
      <c r="B213" s="3" t="s">
        <v>2082</v>
      </c>
      <c r="C213" s="6" t="s">
        <v>354</v>
      </c>
      <c r="D213" s="6" t="s">
        <v>213</v>
      </c>
      <c r="E213" s="6" t="s">
        <v>163</v>
      </c>
      <c r="F213" s="6">
        <v>79230.16</v>
      </c>
      <c r="G213" s="2">
        <v>12</v>
      </c>
      <c r="H213" s="61"/>
      <c r="I213" s="61">
        <v>3.24</v>
      </c>
      <c r="J213" s="47">
        <f t="shared" si="15"/>
        <v>-1</v>
      </c>
      <c r="K213" s="47" t="e">
        <f t="shared" si="16"/>
        <v>#DIV/0!</v>
      </c>
      <c r="L213" s="8">
        <v>3.5</v>
      </c>
      <c r="M213" s="8">
        <v>12.51</v>
      </c>
      <c r="N213" s="8">
        <v>14.9</v>
      </c>
      <c r="O213" s="17">
        <f t="shared" si="17"/>
        <v>-0.12509999999999999</v>
      </c>
      <c r="P213" s="17" t="e">
        <f t="shared" si="18"/>
        <v>#DIV/0!</v>
      </c>
      <c r="Q213" s="17">
        <v>13.79</v>
      </c>
      <c r="R213" s="9">
        <v>20220811</v>
      </c>
      <c r="S213" s="9">
        <v>3.25</v>
      </c>
      <c r="T213" s="9">
        <v>16.649999999999999</v>
      </c>
      <c r="U213" s="9">
        <v>4039.6100999999999</v>
      </c>
      <c r="V213" s="45">
        <f t="shared" si="19"/>
        <v>-0.99587831508788438</v>
      </c>
      <c r="W213" s="12">
        <v>35.21</v>
      </c>
      <c r="X213" s="12">
        <v>1.1599999999999999</v>
      </c>
      <c r="Y213" s="62"/>
    </row>
    <row r="214" spans="1:25" x14ac:dyDescent="0.2">
      <c r="A214" s="3" t="s">
        <v>2519</v>
      </c>
      <c r="B214" s="3" t="s">
        <v>347</v>
      </c>
      <c r="C214" s="6" t="s">
        <v>356</v>
      </c>
      <c r="D214" s="6" t="s">
        <v>126</v>
      </c>
      <c r="E214" s="6" t="s">
        <v>60</v>
      </c>
      <c r="F214" s="6">
        <v>49983.61</v>
      </c>
      <c r="G214" s="2">
        <v>12</v>
      </c>
      <c r="H214" s="61">
        <v>1.8</v>
      </c>
      <c r="I214" s="61">
        <v>1.43</v>
      </c>
      <c r="J214" s="47">
        <f t="shared" si="15"/>
        <v>-0.85</v>
      </c>
      <c r="K214" s="47">
        <f t="shared" si="16"/>
        <v>-0.2055555555555556</v>
      </c>
      <c r="L214" s="8">
        <v>1.41</v>
      </c>
      <c r="M214" s="8">
        <v>6.3</v>
      </c>
      <c r="N214" s="8">
        <v>9.51</v>
      </c>
      <c r="O214" s="17">
        <f t="shared" si="17"/>
        <v>-7.4117647058823524E-2</v>
      </c>
      <c r="P214" s="17">
        <f t="shared" si="18"/>
        <v>-0.46264864864864852</v>
      </c>
      <c r="Q214" s="17">
        <v>9.67</v>
      </c>
      <c r="R214" s="9">
        <v>20220727</v>
      </c>
      <c r="S214" s="9">
        <v>16.54</v>
      </c>
      <c r="T214" s="9">
        <v>3.63</v>
      </c>
      <c r="U214" s="9">
        <v>90335.195309999996</v>
      </c>
      <c r="V214" s="45">
        <f t="shared" si="19"/>
        <v>-0.99995981632643238</v>
      </c>
      <c r="W214" s="12">
        <v>12.2</v>
      </c>
      <c r="X214" s="12">
        <v>4.6900000000000004</v>
      </c>
      <c r="Y214" s="62">
        <v>0.59</v>
      </c>
    </row>
    <row r="215" spans="1:25" x14ac:dyDescent="0.2">
      <c r="A215" s="3" t="s">
        <v>2520</v>
      </c>
      <c r="B215" s="3" t="s">
        <v>102</v>
      </c>
      <c r="C215" s="6" t="s">
        <v>354</v>
      </c>
      <c r="D215" s="6" t="s">
        <v>193</v>
      </c>
      <c r="E215" s="6" t="s">
        <v>208</v>
      </c>
      <c r="F215" s="6">
        <v>38142.300000000003</v>
      </c>
      <c r="G215" s="2">
        <v>12</v>
      </c>
      <c r="H215" s="61">
        <v>3.61</v>
      </c>
      <c r="I215" s="61">
        <v>4.16</v>
      </c>
      <c r="J215" s="47">
        <f t="shared" si="15"/>
        <v>-0.69916666666666671</v>
      </c>
      <c r="K215" s="47">
        <f t="shared" si="16"/>
        <v>0.15235457063711919</v>
      </c>
      <c r="L215" s="8">
        <v>4.7300000000000004</v>
      </c>
      <c r="M215" s="8">
        <v>19.989999999999998</v>
      </c>
      <c r="N215" s="8">
        <v>18.23</v>
      </c>
      <c r="O215" s="17">
        <f t="shared" si="17"/>
        <v>-0.28591179976162095</v>
      </c>
      <c r="P215" s="17">
        <f t="shared" si="18"/>
        <v>1.1965509090909086</v>
      </c>
      <c r="Q215" s="17">
        <v>16</v>
      </c>
      <c r="R215" s="9">
        <v>20220804</v>
      </c>
      <c r="S215" s="9">
        <v>21.59</v>
      </c>
      <c r="T215" s="9">
        <v>4.49</v>
      </c>
      <c r="U215" s="9">
        <v>15778.778319999999</v>
      </c>
      <c r="V215" s="45">
        <f t="shared" si="19"/>
        <v>-0.9997154405804467</v>
      </c>
      <c r="W215" s="12">
        <v>16.25</v>
      </c>
      <c r="X215" s="12">
        <v>1.48</v>
      </c>
      <c r="Y215" s="62">
        <v>1.66</v>
      </c>
    </row>
    <row r="216" spans="1:25" x14ac:dyDescent="0.2">
      <c r="A216" s="3" t="s">
        <v>2521</v>
      </c>
      <c r="B216" s="3" t="s">
        <v>2522</v>
      </c>
      <c r="C216" s="6" t="s">
        <v>356</v>
      </c>
      <c r="D216" s="6" t="s">
        <v>179</v>
      </c>
      <c r="E216" s="6" t="s">
        <v>208</v>
      </c>
      <c r="F216" s="6">
        <v>69339.490000000005</v>
      </c>
      <c r="G216" s="2">
        <v>12</v>
      </c>
      <c r="H216" s="61">
        <v>1.75</v>
      </c>
      <c r="I216" s="61">
        <v>1.93</v>
      </c>
      <c r="J216" s="47">
        <f t="shared" si="15"/>
        <v>-0.85416666666666663</v>
      </c>
      <c r="K216" s="47">
        <f t="shared" si="16"/>
        <v>0.10285714285714283</v>
      </c>
      <c r="L216" s="8">
        <v>2.09</v>
      </c>
      <c r="M216" s="8">
        <v>8.25</v>
      </c>
      <c r="N216" s="8">
        <v>9.1300000000000008</v>
      </c>
      <c r="O216" s="17">
        <f t="shared" si="17"/>
        <v>-9.6585365853658553E-2</v>
      </c>
      <c r="P216" s="17">
        <f t="shared" si="18"/>
        <v>0.8876388888888892</v>
      </c>
      <c r="Q216" s="17">
        <v>8.43</v>
      </c>
      <c r="R216" s="9">
        <v>20220804</v>
      </c>
      <c r="S216" s="9">
        <v>22.39</v>
      </c>
      <c r="T216" s="9">
        <v>1.65</v>
      </c>
      <c r="U216" s="9">
        <v>51031.398430000001</v>
      </c>
      <c r="V216" s="45">
        <f t="shared" si="19"/>
        <v>-0.99996766696483408</v>
      </c>
      <c r="W216" s="12">
        <v>26.92</v>
      </c>
      <c r="X216" s="12">
        <v>2</v>
      </c>
      <c r="Y216" s="62">
        <v>2.2999999999999998</v>
      </c>
    </row>
    <row r="217" spans="1:25" x14ac:dyDescent="0.2">
      <c r="A217" s="3" t="s">
        <v>2523</v>
      </c>
      <c r="B217" s="3" t="s">
        <v>475</v>
      </c>
      <c r="C217" s="6" t="s">
        <v>354</v>
      </c>
      <c r="D217" s="6" t="s">
        <v>132</v>
      </c>
      <c r="E217" s="6" t="s">
        <v>119</v>
      </c>
      <c r="F217" s="6">
        <v>3503.31</v>
      </c>
      <c r="G217" s="2">
        <v>2</v>
      </c>
      <c r="H217" s="61">
        <v>-0.13</v>
      </c>
      <c r="I217" s="61">
        <v>-0.12</v>
      </c>
      <c r="J217" s="47">
        <f t="shared" si="15"/>
        <v>-1.0649999999999999</v>
      </c>
      <c r="K217" s="47">
        <f t="shared" si="16"/>
        <v>7.6923076923076983E-2</v>
      </c>
      <c r="L217" s="8">
        <v>-0.05</v>
      </c>
      <c r="O217" s="17">
        <f t="shared" si="17"/>
        <v>0</v>
      </c>
      <c r="P217" s="17">
        <f t="shared" si="18"/>
        <v>0</v>
      </c>
      <c r="Q217" s="17"/>
      <c r="R217" s="9">
        <v>20220623</v>
      </c>
      <c r="S217" s="9">
        <v>-5.93</v>
      </c>
      <c r="T217" s="9">
        <v>-5.0599999999999996</v>
      </c>
      <c r="U217" s="9">
        <v>689</v>
      </c>
      <c r="V217" s="45">
        <f t="shared" si="19"/>
        <v>-1.0073439767779389</v>
      </c>
      <c r="W217" s="12">
        <v>133.33000000000001</v>
      </c>
      <c r="X217" s="12">
        <v>0</v>
      </c>
      <c r="Y217" s="62"/>
    </row>
    <row r="218" spans="1:25" x14ac:dyDescent="0.2">
      <c r="A218" s="3" t="s">
        <v>2524</v>
      </c>
      <c r="B218" s="3" t="s">
        <v>322</v>
      </c>
      <c r="C218" s="6" t="s">
        <v>354</v>
      </c>
      <c r="D218" s="6" t="s">
        <v>69</v>
      </c>
      <c r="E218" s="6" t="s">
        <v>163</v>
      </c>
      <c r="F218" s="6">
        <v>45115.97</v>
      </c>
      <c r="G218" s="2">
        <v>12</v>
      </c>
      <c r="H218" s="61">
        <v>0.44</v>
      </c>
      <c r="I218" s="61">
        <v>0.53</v>
      </c>
      <c r="J218" s="47">
        <f t="shared" si="15"/>
        <v>-0.96333333333333337</v>
      </c>
      <c r="K218" s="47">
        <f t="shared" si="16"/>
        <v>0.20454545454545461</v>
      </c>
      <c r="L218" s="8">
        <v>0.56000000000000005</v>
      </c>
      <c r="M218" s="8">
        <v>9.25</v>
      </c>
      <c r="N218" s="8">
        <v>7.96</v>
      </c>
      <c r="O218" s="17">
        <f t="shared" si="17"/>
        <v>-9.6020761245674727E-2</v>
      </c>
      <c r="P218" s="17">
        <f t="shared" si="18"/>
        <v>0.38915555555555542</v>
      </c>
      <c r="Q218" s="17">
        <v>7.49</v>
      </c>
      <c r="R218" s="9">
        <v>20220802</v>
      </c>
      <c r="S218" s="9">
        <v>17.91</v>
      </c>
      <c r="T218" s="9">
        <v>-20.07</v>
      </c>
      <c r="U218" s="9">
        <v>23878.925780000001</v>
      </c>
      <c r="V218" s="45">
        <f t="shared" si="19"/>
        <v>-1.000840490069985</v>
      </c>
      <c r="W218" s="12">
        <v>0</v>
      </c>
      <c r="X218" s="12">
        <v>0.85</v>
      </c>
      <c r="Y218" s="62">
        <v>0.45</v>
      </c>
    </row>
    <row r="219" spans="1:25" x14ac:dyDescent="0.2">
      <c r="A219" s="3" t="s">
        <v>2524</v>
      </c>
      <c r="B219" s="3" t="s">
        <v>2083</v>
      </c>
      <c r="C219" s="6" t="s">
        <v>354</v>
      </c>
      <c r="D219" s="6" t="s">
        <v>69</v>
      </c>
      <c r="E219" s="6" t="s">
        <v>163</v>
      </c>
      <c r="F219" s="6">
        <v>37204.639999999999</v>
      </c>
      <c r="G219" s="2">
        <v>12</v>
      </c>
      <c r="H219" s="61"/>
      <c r="I219" s="61"/>
      <c r="J219" s="47">
        <f t="shared" si="15"/>
        <v>-1</v>
      </c>
      <c r="K219" s="47" t="e">
        <f t="shared" si="16"/>
        <v>#DIV/0!</v>
      </c>
      <c r="M219" s="8">
        <v>7.63</v>
      </c>
      <c r="O219" s="17">
        <f t="shared" si="17"/>
        <v>-7.6299999999999993E-2</v>
      </c>
      <c r="P219" s="17" t="e">
        <f t="shared" si="18"/>
        <v>#DIV/0!</v>
      </c>
      <c r="Q219" s="17"/>
      <c r="R219" s="9">
        <v>20220802</v>
      </c>
      <c r="S219" s="9">
        <v>17.68</v>
      </c>
      <c r="T219" s="9">
        <v>-20.07</v>
      </c>
      <c r="V219" s="45" t="e">
        <f t="shared" si="19"/>
        <v>#DIV/0!</v>
      </c>
      <c r="X219" s="12">
        <v>3.41</v>
      </c>
      <c r="Y219" s="62"/>
    </row>
    <row r="220" spans="1:25" x14ac:dyDescent="0.2">
      <c r="A220" s="3" t="s">
        <v>2525</v>
      </c>
      <c r="B220" s="3" t="s">
        <v>2526</v>
      </c>
      <c r="C220" s="6" t="s">
        <v>354</v>
      </c>
      <c r="D220" s="6" t="s">
        <v>221</v>
      </c>
      <c r="E220" s="6" t="s">
        <v>231</v>
      </c>
      <c r="F220" s="6">
        <v>10142.98</v>
      </c>
      <c r="G220" s="2">
        <v>1</v>
      </c>
      <c r="H220" s="61">
        <v>4.51</v>
      </c>
      <c r="I220" s="61">
        <v>4.01</v>
      </c>
      <c r="J220" s="47">
        <f t="shared" si="15"/>
        <v>3.51</v>
      </c>
      <c r="K220" s="47">
        <f t="shared" si="16"/>
        <v>-0.11086474501108648</v>
      </c>
      <c r="L220" s="8">
        <v>5.13</v>
      </c>
      <c r="M220" s="8">
        <v>9.19</v>
      </c>
      <c r="N220" s="8">
        <v>10.61</v>
      </c>
      <c r="O220" s="17">
        <f t="shared" si="17"/>
        <v>2.6182336182336181E-2</v>
      </c>
      <c r="P220" s="17">
        <f t="shared" si="18"/>
        <v>-0.95702199999999982</v>
      </c>
      <c r="Q220" s="17">
        <v>8.2899999999999991</v>
      </c>
      <c r="R220" s="9">
        <v>20220817</v>
      </c>
      <c r="S220" s="9">
        <v>-83.19</v>
      </c>
      <c r="T220" s="9">
        <v>-5.18</v>
      </c>
      <c r="U220" s="9">
        <v>8076.9458000000004</v>
      </c>
      <c r="V220" s="45">
        <f t="shared" si="19"/>
        <v>-1.0006413315290541</v>
      </c>
      <c r="W220" s="12">
        <v>25.49</v>
      </c>
      <c r="X220" s="12">
        <v>1.88</v>
      </c>
      <c r="Y220" s="62">
        <v>1.28</v>
      </c>
    </row>
    <row r="221" spans="1:25" x14ac:dyDescent="0.2">
      <c r="A221" s="3" t="s">
        <v>2527</v>
      </c>
      <c r="B221" s="3" t="s">
        <v>105</v>
      </c>
      <c r="C221" s="6" t="s">
        <v>354</v>
      </c>
      <c r="D221" s="6" t="s">
        <v>220</v>
      </c>
      <c r="E221" s="6" t="s">
        <v>231</v>
      </c>
      <c r="F221" s="6">
        <v>18458.599999999999</v>
      </c>
      <c r="G221" s="2">
        <v>1</v>
      </c>
      <c r="H221" s="61">
        <v>10</v>
      </c>
      <c r="I221" s="61">
        <v>8.69</v>
      </c>
      <c r="J221" s="47">
        <f t="shared" si="15"/>
        <v>9</v>
      </c>
      <c r="K221" s="47">
        <f t="shared" si="16"/>
        <v>-0.13100000000000006</v>
      </c>
      <c r="L221" s="8">
        <v>10.3</v>
      </c>
      <c r="M221" s="8">
        <v>8.77</v>
      </c>
      <c r="N221" s="8">
        <v>9.44</v>
      </c>
      <c r="O221" s="17">
        <f t="shared" si="17"/>
        <v>9.7444444444444445E-3</v>
      </c>
      <c r="P221" s="17">
        <f t="shared" si="18"/>
        <v>-0.72061068702290032</v>
      </c>
      <c r="Q221" s="17">
        <v>7.97</v>
      </c>
      <c r="R221" s="9">
        <v>20220823</v>
      </c>
      <c r="S221" s="9">
        <v>63.39</v>
      </c>
      <c r="T221" s="9">
        <v>5.45</v>
      </c>
      <c r="U221" s="9">
        <v>49190.074209999999</v>
      </c>
      <c r="V221" s="45">
        <f t="shared" si="19"/>
        <v>-0.99988920529014191</v>
      </c>
      <c r="W221" s="12">
        <v>-1.26</v>
      </c>
      <c r="X221" s="12">
        <v>4.29</v>
      </c>
      <c r="Y221" s="62">
        <v>0.98</v>
      </c>
    </row>
    <row r="222" spans="1:25" x14ac:dyDescent="0.2">
      <c r="A222" s="3" t="s">
        <v>2528</v>
      </c>
      <c r="B222" s="3" t="s">
        <v>416</v>
      </c>
      <c r="C222" s="6" t="s">
        <v>354</v>
      </c>
      <c r="D222" s="6" t="s">
        <v>180</v>
      </c>
      <c r="E222" s="6" t="s">
        <v>146</v>
      </c>
      <c r="F222" s="6">
        <v>5647.94</v>
      </c>
      <c r="G222" s="2">
        <v>12</v>
      </c>
      <c r="H222" s="61">
        <v>8.16</v>
      </c>
      <c r="I222" s="61">
        <v>10.15</v>
      </c>
      <c r="J222" s="47">
        <f t="shared" si="15"/>
        <v>-0.32</v>
      </c>
      <c r="K222" s="47">
        <f t="shared" si="16"/>
        <v>0.24387254901960786</v>
      </c>
      <c r="L222" s="8">
        <v>11.49</v>
      </c>
      <c r="M222" s="8">
        <v>8.7100000000000009</v>
      </c>
      <c r="N222" s="8">
        <v>7.35</v>
      </c>
      <c r="O222" s="17">
        <f t="shared" si="17"/>
        <v>-0.27218750000000003</v>
      </c>
      <c r="P222" s="17">
        <f t="shared" si="18"/>
        <v>0.3013869346733668</v>
      </c>
      <c r="Q222" s="17">
        <v>6.49</v>
      </c>
      <c r="R222" s="9">
        <v>20220804</v>
      </c>
      <c r="S222" s="9">
        <v>35.51</v>
      </c>
      <c r="T222" s="9">
        <v>2.38</v>
      </c>
      <c r="U222" s="9">
        <v>6969.7329099999997</v>
      </c>
      <c r="V222" s="45">
        <f t="shared" si="19"/>
        <v>-0.99965852350000595</v>
      </c>
      <c r="W222" s="12">
        <v>8.58</v>
      </c>
      <c r="X222" s="12">
        <v>1.96</v>
      </c>
      <c r="Y222" s="62"/>
    </row>
    <row r="223" spans="1:25" x14ac:dyDescent="0.2">
      <c r="A223" s="3" t="s">
        <v>2529</v>
      </c>
      <c r="B223" s="3" t="s">
        <v>2530</v>
      </c>
      <c r="C223" s="6" t="s">
        <v>354</v>
      </c>
      <c r="D223" s="6" t="s">
        <v>122</v>
      </c>
      <c r="E223" s="6" t="s">
        <v>140</v>
      </c>
      <c r="F223" s="6">
        <v>3168.02</v>
      </c>
      <c r="G223" s="2">
        <v>12</v>
      </c>
      <c r="H223" s="61">
        <v>16.170000000000002</v>
      </c>
      <c r="I223" s="61">
        <v>18.43</v>
      </c>
      <c r="J223" s="47">
        <f t="shared" si="15"/>
        <v>0.34750000000000014</v>
      </c>
      <c r="K223" s="47">
        <f t="shared" si="16"/>
        <v>0.13976499690785391</v>
      </c>
      <c r="L223" s="8">
        <v>9.36</v>
      </c>
      <c r="M223" s="8">
        <v>3.68</v>
      </c>
      <c r="N223" s="8">
        <v>4.3600000000000003</v>
      </c>
      <c r="O223" s="17">
        <f t="shared" si="17"/>
        <v>0.10589928057553953</v>
      </c>
      <c r="P223" s="17">
        <f t="shared" si="18"/>
        <v>0.31195221238938087</v>
      </c>
      <c r="Q223" s="17">
        <v>8.58</v>
      </c>
      <c r="R223" s="9">
        <v>20220801</v>
      </c>
      <c r="S223" s="9">
        <v>62.72</v>
      </c>
      <c r="T223" s="9">
        <v>13.35</v>
      </c>
      <c r="V223" s="45" t="e">
        <f t="shared" si="19"/>
        <v>#DIV/0!</v>
      </c>
      <c r="W223" s="12">
        <v>9.5</v>
      </c>
      <c r="X223" s="12">
        <v>0.6</v>
      </c>
      <c r="Y223" s="62">
        <v>1.9</v>
      </c>
    </row>
    <row r="224" spans="1:25" x14ac:dyDescent="0.2">
      <c r="A224" s="3" t="s">
        <v>320</v>
      </c>
      <c r="B224" s="3" t="s">
        <v>320</v>
      </c>
      <c r="C224" s="6" t="s">
        <v>354</v>
      </c>
      <c r="D224" s="6" t="s">
        <v>139</v>
      </c>
      <c r="E224" s="6" t="s">
        <v>250</v>
      </c>
      <c r="F224" s="6">
        <v>48822.38</v>
      </c>
      <c r="G224" s="2">
        <v>12</v>
      </c>
      <c r="H224" s="61">
        <v>2.4900000000000002</v>
      </c>
      <c r="I224" s="61">
        <v>2.63</v>
      </c>
      <c r="J224" s="47">
        <f t="shared" si="15"/>
        <v>-0.79249999999999998</v>
      </c>
      <c r="K224" s="47">
        <f t="shared" si="16"/>
        <v>5.6224899598393441E-2</v>
      </c>
      <c r="L224" s="8">
        <v>2.77</v>
      </c>
      <c r="M224" s="8">
        <v>20.28</v>
      </c>
      <c r="N224" s="8">
        <v>20.36</v>
      </c>
      <c r="O224" s="17">
        <f t="shared" si="17"/>
        <v>-0.25589905362776028</v>
      </c>
      <c r="P224" s="17">
        <f t="shared" si="18"/>
        <v>3.6211714285714374</v>
      </c>
      <c r="Q224" s="17">
        <v>19.309999999999999</v>
      </c>
      <c r="R224" s="9">
        <v>20220804</v>
      </c>
      <c r="S224" s="9">
        <v>15.75</v>
      </c>
      <c r="T224" s="9">
        <v>0.98</v>
      </c>
      <c r="U224" s="9">
        <v>18807.771479999999</v>
      </c>
      <c r="V224" s="45">
        <f t="shared" si="19"/>
        <v>-0.99994789387987615</v>
      </c>
      <c r="W224" s="12">
        <v>9.3800000000000008</v>
      </c>
      <c r="X224" s="12">
        <v>5.37</v>
      </c>
      <c r="Y224" s="62">
        <v>4.8600000000000003</v>
      </c>
    </row>
    <row r="225" spans="1:25" x14ac:dyDescent="0.2">
      <c r="A225" s="3" t="s">
        <v>1848</v>
      </c>
      <c r="B225" s="3" t="s">
        <v>1849</v>
      </c>
      <c r="C225" s="6" t="s">
        <v>354</v>
      </c>
      <c r="D225" s="6" t="s">
        <v>69</v>
      </c>
      <c r="E225" s="6" t="s">
        <v>163</v>
      </c>
      <c r="F225" s="6">
        <v>10273.44</v>
      </c>
      <c r="G225" s="2">
        <v>12</v>
      </c>
      <c r="H225" s="61">
        <v>1.89</v>
      </c>
      <c r="I225" s="61">
        <v>2.31</v>
      </c>
      <c r="J225" s="47">
        <f t="shared" si="15"/>
        <v>-0.84249999999999992</v>
      </c>
      <c r="K225" s="47">
        <f t="shared" si="16"/>
        <v>0.22222222222222232</v>
      </c>
      <c r="L225" s="8">
        <v>2.2200000000000002</v>
      </c>
      <c r="M225" s="8">
        <v>7.29</v>
      </c>
      <c r="N225" s="8">
        <v>8.82</v>
      </c>
      <c r="O225" s="17">
        <f t="shared" si="17"/>
        <v>-8.6528189910979242E-2</v>
      </c>
      <c r="P225" s="17">
        <f t="shared" si="18"/>
        <v>0.39689999999999986</v>
      </c>
      <c r="Q225" s="17">
        <v>9.15</v>
      </c>
      <c r="R225" s="9">
        <v>20220804</v>
      </c>
      <c r="S225" s="9">
        <v>26.29</v>
      </c>
      <c r="U225" s="9">
        <v>3154.3850000000002</v>
      </c>
      <c r="V225" s="45">
        <f t="shared" si="19"/>
        <v>-1</v>
      </c>
      <c r="W225" s="12">
        <v>15</v>
      </c>
      <c r="X225" s="12">
        <v>5.07</v>
      </c>
      <c r="Y225" s="62">
        <v>0.87</v>
      </c>
    </row>
    <row r="226" spans="1:25" x14ac:dyDescent="0.2">
      <c r="A226" s="3" t="s">
        <v>2531</v>
      </c>
      <c r="B226" s="3" t="s">
        <v>511</v>
      </c>
      <c r="C226" s="6" t="s">
        <v>355</v>
      </c>
      <c r="D226" s="6" t="s">
        <v>128</v>
      </c>
      <c r="E226" s="6" t="s">
        <v>60</v>
      </c>
      <c r="F226" s="6">
        <v>4063.85</v>
      </c>
      <c r="G226" s="2">
        <v>12</v>
      </c>
      <c r="H226" s="61">
        <v>2.93</v>
      </c>
      <c r="I226" s="61">
        <v>3.46</v>
      </c>
      <c r="J226" s="47">
        <f t="shared" si="15"/>
        <v>-0.75583333333333336</v>
      </c>
      <c r="K226" s="47">
        <f t="shared" si="16"/>
        <v>0.18088737201365179</v>
      </c>
      <c r="L226" s="8">
        <v>3.58</v>
      </c>
      <c r="M226" s="8">
        <v>36.15</v>
      </c>
      <c r="N226" s="8">
        <v>36.57</v>
      </c>
      <c r="O226" s="17">
        <f t="shared" si="17"/>
        <v>-0.47828004410143321</v>
      </c>
      <c r="P226" s="17">
        <f t="shared" si="18"/>
        <v>2.0217000000000009</v>
      </c>
      <c r="Q226" s="17">
        <v>35.340000000000003</v>
      </c>
      <c r="R226" s="9">
        <v>20220729</v>
      </c>
      <c r="S226" s="9">
        <v>13.02</v>
      </c>
      <c r="T226" s="9">
        <v>6.97</v>
      </c>
      <c r="U226" s="9">
        <v>900.16699000000006</v>
      </c>
      <c r="V226" s="45">
        <f t="shared" si="19"/>
        <v>-0.99225699222763097</v>
      </c>
      <c r="W226" s="12">
        <v>21.92</v>
      </c>
      <c r="X226" s="12">
        <v>0.51</v>
      </c>
      <c r="Y226" s="62"/>
    </row>
    <row r="227" spans="1:25" x14ac:dyDescent="0.2">
      <c r="A227" s="3" t="s">
        <v>2532</v>
      </c>
      <c r="B227" s="3" t="s">
        <v>107</v>
      </c>
      <c r="C227" s="6" t="s">
        <v>354</v>
      </c>
      <c r="D227" s="6" t="s">
        <v>69</v>
      </c>
      <c r="E227" s="6" t="s">
        <v>163</v>
      </c>
      <c r="F227" s="6">
        <v>36110.35</v>
      </c>
      <c r="G227" s="2">
        <v>12</v>
      </c>
      <c r="H227" s="61">
        <v>1.89</v>
      </c>
      <c r="I227" s="61">
        <v>1.51</v>
      </c>
      <c r="J227" s="47">
        <f t="shared" si="15"/>
        <v>-0.84249999999999992</v>
      </c>
      <c r="K227" s="47">
        <f t="shared" si="16"/>
        <v>-0.20105820105820102</v>
      </c>
      <c r="L227" s="8">
        <v>1.48</v>
      </c>
      <c r="M227" s="8">
        <v>4.54</v>
      </c>
      <c r="N227" s="8">
        <v>5.72</v>
      </c>
      <c r="O227" s="17">
        <f t="shared" si="17"/>
        <v>-5.3887240356083096E-2</v>
      </c>
      <c r="P227" s="17">
        <f t="shared" si="18"/>
        <v>-0.2844947368421053</v>
      </c>
      <c r="Q227" s="17">
        <v>5.81</v>
      </c>
      <c r="R227" s="9">
        <v>20220727</v>
      </c>
      <c r="S227" s="9">
        <v>8.42</v>
      </c>
      <c r="T227" s="9">
        <v>1.76</v>
      </c>
      <c r="U227" s="9">
        <v>30308.025389999999</v>
      </c>
      <c r="V227" s="45">
        <f t="shared" si="19"/>
        <v>-0.99994192957220573</v>
      </c>
      <c r="W227" s="12">
        <v>-2.56</v>
      </c>
      <c r="X227" s="12">
        <v>4.91</v>
      </c>
      <c r="Y227" s="62">
        <v>0.19</v>
      </c>
    </row>
    <row r="228" spans="1:25" x14ac:dyDescent="0.2">
      <c r="A228" s="3" t="s">
        <v>109</v>
      </c>
      <c r="B228" s="3" t="s">
        <v>110</v>
      </c>
      <c r="C228" s="6" t="s">
        <v>354</v>
      </c>
      <c r="D228" s="6" t="s">
        <v>186</v>
      </c>
      <c r="E228" s="6" t="s">
        <v>208</v>
      </c>
      <c r="F228" s="6">
        <v>71978.820000000007</v>
      </c>
      <c r="G228" s="2">
        <v>9</v>
      </c>
      <c r="H228" s="61">
        <v>12.91</v>
      </c>
      <c r="I228" s="61">
        <v>11.19</v>
      </c>
      <c r="J228" s="47">
        <f t="shared" si="15"/>
        <v>0.43444444444444447</v>
      </c>
      <c r="K228" s="47">
        <f t="shared" si="16"/>
        <v>-0.13323005422153375</v>
      </c>
      <c r="L228" s="8">
        <v>12.29</v>
      </c>
      <c r="M228" s="8">
        <v>20.78</v>
      </c>
      <c r="N228" s="8">
        <v>22.56</v>
      </c>
      <c r="O228" s="17">
        <f t="shared" si="17"/>
        <v>0.47831202046035803</v>
      </c>
      <c r="P228" s="17">
        <f t="shared" si="18"/>
        <v>-1.693311627906976</v>
      </c>
      <c r="Q228" s="17">
        <v>20.55</v>
      </c>
      <c r="R228" s="9">
        <v>20220804</v>
      </c>
      <c r="S228" s="9">
        <v>14.91</v>
      </c>
      <c r="T228" s="9">
        <v>10.93</v>
      </c>
      <c r="U228" s="9">
        <v>18621.66992</v>
      </c>
      <c r="V228" s="45">
        <f t="shared" si="19"/>
        <v>-0.99941304941785802</v>
      </c>
      <c r="W228" s="12">
        <v>6.71</v>
      </c>
      <c r="X228" s="12">
        <v>1.38</v>
      </c>
      <c r="Y228" s="62">
        <v>4.17</v>
      </c>
    </row>
    <row r="229" spans="1:25" x14ac:dyDescent="0.2">
      <c r="A229" s="3" t="s">
        <v>2533</v>
      </c>
      <c r="B229" s="3" t="s">
        <v>1850</v>
      </c>
      <c r="C229" s="6" t="s">
        <v>355</v>
      </c>
      <c r="D229" s="6" t="s">
        <v>534</v>
      </c>
      <c r="E229" s="6" t="s">
        <v>231</v>
      </c>
      <c r="F229" s="6">
        <v>4116.25</v>
      </c>
      <c r="G229" s="2">
        <v>12</v>
      </c>
      <c r="H229" s="61">
        <v>4.49</v>
      </c>
      <c r="I229" s="61">
        <v>6.35</v>
      </c>
      <c r="J229" s="47">
        <f t="shared" si="15"/>
        <v>-0.62583333333333335</v>
      </c>
      <c r="K229" s="47">
        <f t="shared" si="16"/>
        <v>0.41425389755011122</v>
      </c>
      <c r="L229" s="8">
        <v>6.54</v>
      </c>
      <c r="M229" s="8">
        <v>11.32</v>
      </c>
      <c r="N229" s="8">
        <v>9.43</v>
      </c>
      <c r="O229" s="17">
        <f t="shared" si="17"/>
        <v>-0.18087882822902795</v>
      </c>
      <c r="P229" s="17">
        <f t="shared" si="18"/>
        <v>0.22763817204301082</v>
      </c>
      <c r="Q229" s="17">
        <v>9.16</v>
      </c>
      <c r="R229" s="9">
        <v>20220804</v>
      </c>
      <c r="S229" s="9">
        <v>26.21</v>
      </c>
      <c r="T229" s="9">
        <v>9.2100000000000009</v>
      </c>
      <c r="U229" s="9">
        <v>8079.7001899999996</v>
      </c>
      <c r="V229" s="45">
        <f t="shared" si="19"/>
        <v>-0.99886010621886701</v>
      </c>
      <c r="W229" s="12">
        <v>81.63</v>
      </c>
      <c r="X229" s="12">
        <v>0</v>
      </c>
      <c r="Y229" s="62"/>
    </row>
    <row r="230" spans="1:25" x14ac:dyDescent="0.2">
      <c r="A230" s="3" t="s">
        <v>2534</v>
      </c>
      <c r="B230" s="3" t="s">
        <v>499</v>
      </c>
      <c r="C230" s="6" t="s">
        <v>354</v>
      </c>
      <c r="D230" s="6" t="s">
        <v>213</v>
      </c>
      <c r="E230" s="6" t="s">
        <v>163</v>
      </c>
      <c r="F230" s="6">
        <v>11369.96</v>
      </c>
      <c r="G230" s="2">
        <v>12</v>
      </c>
      <c r="H230" s="61">
        <v>0.23</v>
      </c>
      <c r="I230" s="61">
        <v>0.34</v>
      </c>
      <c r="J230" s="47">
        <f t="shared" si="15"/>
        <v>-0.98083333333333333</v>
      </c>
      <c r="K230" s="47">
        <f t="shared" si="16"/>
        <v>0.47826086956521741</v>
      </c>
      <c r="L230" s="8">
        <v>0.56999999999999995</v>
      </c>
      <c r="M230" s="8">
        <v>40.450000000000003</v>
      </c>
      <c r="N230" s="8">
        <v>34.5</v>
      </c>
      <c r="O230" s="17">
        <f t="shared" si="17"/>
        <v>-0.4124044180118947</v>
      </c>
      <c r="P230" s="17">
        <f t="shared" si="18"/>
        <v>0.72136363636363632</v>
      </c>
      <c r="Q230" s="17">
        <v>20.58</v>
      </c>
      <c r="R230" s="9">
        <v>20220531</v>
      </c>
      <c r="S230" s="9">
        <v>-0.81</v>
      </c>
      <c r="U230" s="9">
        <v>12519.714840000001</v>
      </c>
      <c r="V230" s="45">
        <f t="shared" si="19"/>
        <v>-1</v>
      </c>
      <c r="W230" s="12">
        <v>114.29</v>
      </c>
      <c r="X230" s="12">
        <v>0</v>
      </c>
      <c r="Y230" s="62">
        <v>2.86</v>
      </c>
    </row>
    <row r="231" spans="1:25" x14ac:dyDescent="0.2">
      <c r="A231" s="3" t="s">
        <v>2535</v>
      </c>
      <c r="B231" s="3" t="s">
        <v>476</v>
      </c>
      <c r="C231" s="6" t="s">
        <v>354</v>
      </c>
      <c r="D231" s="6" t="s">
        <v>150</v>
      </c>
      <c r="E231" s="6" t="s">
        <v>163</v>
      </c>
      <c r="F231" s="6">
        <v>13602.94</v>
      </c>
      <c r="G231" s="2">
        <v>9</v>
      </c>
      <c r="H231" s="61">
        <v>3.33</v>
      </c>
      <c r="I231" s="61">
        <v>3.74</v>
      </c>
      <c r="J231" s="47">
        <f t="shared" si="15"/>
        <v>-0.63</v>
      </c>
      <c r="K231" s="47">
        <f t="shared" si="16"/>
        <v>0.12312312312312317</v>
      </c>
      <c r="L231" s="8">
        <v>3.47</v>
      </c>
      <c r="M231" s="8">
        <v>6.39</v>
      </c>
      <c r="N231" s="8">
        <v>7.28</v>
      </c>
      <c r="O231" s="17">
        <f t="shared" si="17"/>
        <v>-0.10142857142857142</v>
      </c>
      <c r="P231" s="17">
        <f t="shared" si="18"/>
        <v>0.59127804878048762</v>
      </c>
      <c r="Q231" s="17">
        <v>7.85</v>
      </c>
      <c r="R231" s="9">
        <v>20220802</v>
      </c>
      <c r="S231" s="9">
        <v>18.34</v>
      </c>
      <c r="T231" s="9">
        <v>5.34</v>
      </c>
      <c r="U231" s="9">
        <v>8541.0351499999997</v>
      </c>
      <c r="V231" s="45">
        <f t="shared" si="19"/>
        <v>-0.99937478304371574</v>
      </c>
      <c r="W231" s="12">
        <v>21.52</v>
      </c>
      <c r="X231" s="12">
        <v>4.26</v>
      </c>
      <c r="Y231" s="62">
        <v>4.6100000000000003</v>
      </c>
    </row>
    <row r="232" spans="1:25" x14ac:dyDescent="0.2">
      <c r="A232" s="3" t="s">
        <v>2536</v>
      </c>
      <c r="B232" s="3" t="s">
        <v>1938</v>
      </c>
      <c r="C232" s="6" t="s">
        <v>354</v>
      </c>
      <c r="D232" s="6" t="s">
        <v>246</v>
      </c>
      <c r="E232" s="6" t="s">
        <v>250</v>
      </c>
      <c r="F232" s="6">
        <v>10205.6</v>
      </c>
      <c r="G232" s="2">
        <v>12</v>
      </c>
      <c r="H232" s="61">
        <v>-0.38</v>
      </c>
      <c r="I232" s="61">
        <v>-0.18</v>
      </c>
      <c r="J232" s="47">
        <f t="shared" si="15"/>
        <v>-1.0316666666666667</v>
      </c>
      <c r="K232" s="47">
        <f t="shared" si="16"/>
        <v>0.52631578947368418</v>
      </c>
      <c r="L232" s="8">
        <v>-0.03</v>
      </c>
      <c r="O232" s="17">
        <f t="shared" si="17"/>
        <v>0</v>
      </c>
      <c r="P232" s="17">
        <f t="shared" si="18"/>
        <v>0</v>
      </c>
      <c r="Q232" s="17"/>
      <c r="R232" s="9">
        <v>20220804</v>
      </c>
      <c r="S232" s="9">
        <v>-0.7</v>
      </c>
      <c r="T232" s="9">
        <v>10.050000000000001</v>
      </c>
      <c r="U232" s="9">
        <v>2653.29711</v>
      </c>
      <c r="V232" s="45">
        <f t="shared" si="19"/>
        <v>-0.99621225984752226</v>
      </c>
      <c r="W232" s="12">
        <v>-128.57</v>
      </c>
      <c r="X232" s="12">
        <v>3.45</v>
      </c>
      <c r="Y232" s="62"/>
    </row>
    <row r="233" spans="1:25" x14ac:dyDescent="0.2">
      <c r="A233" s="3" t="s">
        <v>2537</v>
      </c>
      <c r="B233" s="3" t="s">
        <v>1939</v>
      </c>
      <c r="C233" s="6" t="s">
        <v>354</v>
      </c>
      <c r="D233" s="6" t="s">
        <v>306</v>
      </c>
      <c r="E233" s="6" t="s">
        <v>218</v>
      </c>
      <c r="F233" s="6">
        <v>6482.58</v>
      </c>
      <c r="G233" s="2">
        <v>12</v>
      </c>
      <c r="H233" s="61">
        <v>-0.54</v>
      </c>
      <c r="I233" s="61">
        <v>-0.43</v>
      </c>
      <c r="J233" s="47">
        <f t="shared" si="15"/>
        <v>-1.0449999999999999</v>
      </c>
      <c r="K233" s="47">
        <f t="shared" si="16"/>
        <v>0.20370370370370378</v>
      </c>
      <c r="L233" s="8">
        <v>-0.23</v>
      </c>
      <c r="O233" s="17">
        <f t="shared" si="17"/>
        <v>0</v>
      </c>
      <c r="P233" s="17">
        <f t="shared" si="18"/>
        <v>0</v>
      </c>
      <c r="Q233" s="17"/>
      <c r="R233" s="9">
        <v>20220804</v>
      </c>
      <c r="S233" s="9">
        <v>-2.08</v>
      </c>
      <c r="U233" s="9">
        <v>4599.2597599999999</v>
      </c>
      <c r="V233" s="45">
        <f t="shared" si="19"/>
        <v>-1</v>
      </c>
      <c r="W233" s="12">
        <v>-220</v>
      </c>
      <c r="X233" s="12">
        <v>3.4</v>
      </c>
      <c r="Y233" s="62"/>
    </row>
    <row r="234" spans="1:25" x14ac:dyDescent="0.2">
      <c r="A234" s="3" t="s">
        <v>2538</v>
      </c>
      <c r="B234" s="3" t="s">
        <v>111</v>
      </c>
      <c r="C234" s="6" t="s">
        <v>354</v>
      </c>
      <c r="D234" s="6" t="s">
        <v>137</v>
      </c>
      <c r="E234" s="6" t="s">
        <v>201</v>
      </c>
      <c r="F234" s="6">
        <v>7869.05</v>
      </c>
      <c r="G234" s="2">
        <v>9</v>
      </c>
      <c r="H234" s="61">
        <v>5.78</v>
      </c>
      <c r="I234" s="61">
        <v>7.27</v>
      </c>
      <c r="J234" s="47">
        <f t="shared" si="15"/>
        <v>-0.35777777777777775</v>
      </c>
      <c r="K234" s="47">
        <f t="shared" si="16"/>
        <v>0.25778546712802758</v>
      </c>
      <c r="L234" s="8">
        <v>8.0299999999999994</v>
      </c>
      <c r="M234" s="8">
        <v>8.81</v>
      </c>
      <c r="N234" s="8">
        <v>8</v>
      </c>
      <c r="O234" s="17">
        <f t="shared" si="17"/>
        <v>-0.24624223602484477</v>
      </c>
      <c r="P234" s="17">
        <f t="shared" si="18"/>
        <v>0.31033557046979876</v>
      </c>
      <c r="Q234" s="17">
        <v>7.24</v>
      </c>
      <c r="R234" s="9">
        <v>20220804</v>
      </c>
      <c r="S234" s="9">
        <v>28.63</v>
      </c>
      <c r="T234" s="9">
        <v>18.98</v>
      </c>
      <c r="U234" s="9">
        <v>15046.91015</v>
      </c>
      <c r="V234" s="45">
        <f t="shared" si="19"/>
        <v>-0.99873861146170273</v>
      </c>
      <c r="W234" s="12">
        <v>8.43</v>
      </c>
      <c r="X234" s="12">
        <v>0</v>
      </c>
      <c r="Y234" s="62">
        <v>0.8</v>
      </c>
    </row>
    <row r="235" spans="1:25" x14ac:dyDescent="0.2">
      <c r="A235" s="3" t="s">
        <v>2539</v>
      </c>
      <c r="B235" s="3" t="s">
        <v>2084</v>
      </c>
      <c r="C235" s="6" t="s">
        <v>356</v>
      </c>
      <c r="D235" s="6" t="s">
        <v>527</v>
      </c>
      <c r="E235" s="6" t="s">
        <v>119</v>
      </c>
      <c r="F235" s="6">
        <v>4101.53</v>
      </c>
      <c r="G235" s="2">
        <v>12</v>
      </c>
      <c r="H235" s="61"/>
      <c r="I235" s="61"/>
      <c r="J235" s="47">
        <f t="shared" si="15"/>
        <v>-1</v>
      </c>
      <c r="K235" s="47" t="e">
        <f t="shared" si="16"/>
        <v>#DIV/0!</v>
      </c>
      <c r="M235" s="8">
        <v>13</v>
      </c>
      <c r="O235" s="17">
        <f t="shared" si="17"/>
        <v>-0.13</v>
      </c>
      <c r="P235" s="17" t="e">
        <f t="shared" si="18"/>
        <v>#DIV/0!</v>
      </c>
      <c r="Q235" s="17"/>
      <c r="R235" s="9">
        <v>20220721</v>
      </c>
      <c r="S235" s="9">
        <v>56.24</v>
      </c>
      <c r="T235" s="9">
        <v>3.5</v>
      </c>
      <c r="V235" s="45" t="e">
        <f t="shared" si="19"/>
        <v>#DIV/0!</v>
      </c>
      <c r="X235" s="12">
        <v>5.27</v>
      </c>
      <c r="Y235" s="62"/>
    </row>
    <row r="236" spans="1:25" x14ac:dyDescent="0.2">
      <c r="A236" s="3" t="s">
        <v>2540</v>
      </c>
      <c r="B236" s="3" t="s">
        <v>2085</v>
      </c>
      <c r="C236" s="6" t="s">
        <v>354</v>
      </c>
      <c r="D236" s="6" t="s">
        <v>116</v>
      </c>
      <c r="E236" s="6" t="s">
        <v>154</v>
      </c>
      <c r="F236" s="6">
        <v>29739.3</v>
      </c>
      <c r="G236" s="2">
        <v>4</v>
      </c>
      <c r="H236" s="61"/>
      <c r="I236" s="61"/>
      <c r="J236" s="47">
        <f t="shared" si="15"/>
        <v>-1</v>
      </c>
      <c r="K236" s="47" t="e">
        <f t="shared" si="16"/>
        <v>#DIV/0!</v>
      </c>
      <c r="M236" s="8">
        <v>36.96</v>
      </c>
      <c r="O236" s="17">
        <f t="shared" si="17"/>
        <v>-0.36959999999999998</v>
      </c>
      <c r="P236" s="17" t="e">
        <f t="shared" si="18"/>
        <v>#DIV/0!</v>
      </c>
      <c r="Q236" s="17"/>
      <c r="R236" s="9">
        <v>20220608</v>
      </c>
      <c r="S236" s="9">
        <v>29.94</v>
      </c>
      <c r="T236" s="9">
        <v>-2.75</v>
      </c>
      <c r="V236" s="45" t="e">
        <f t="shared" si="19"/>
        <v>#DIV/0!</v>
      </c>
      <c r="X236" s="12">
        <v>1.21</v>
      </c>
      <c r="Y236" s="62"/>
    </row>
    <row r="237" spans="1:25" x14ac:dyDescent="0.2">
      <c r="A237" s="3" t="s">
        <v>2541</v>
      </c>
      <c r="B237" s="3" t="s">
        <v>500</v>
      </c>
      <c r="C237" s="6" t="s">
        <v>354</v>
      </c>
      <c r="D237" s="6" t="s">
        <v>116</v>
      </c>
      <c r="E237" s="6" t="s">
        <v>154</v>
      </c>
      <c r="F237" s="6">
        <v>31228.9</v>
      </c>
      <c r="G237" s="2">
        <v>4</v>
      </c>
      <c r="H237" s="61">
        <v>1.68</v>
      </c>
      <c r="I237" s="61">
        <v>1.86</v>
      </c>
      <c r="J237" s="47">
        <f t="shared" si="15"/>
        <v>-0.58000000000000007</v>
      </c>
      <c r="K237" s="47">
        <f t="shared" si="16"/>
        <v>0.10714285714285725</v>
      </c>
      <c r="L237" s="8">
        <v>2.1</v>
      </c>
      <c r="M237" s="8">
        <v>38.81</v>
      </c>
      <c r="N237" s="8">
        <v>35.020000000000003</v>
      </c>
      <c r="O237" s="17">
        <f t="shared" si="17"/>
        <v>-0.66913793103448271</v>
      </c>
      <c r="P237" s="17">
        <f t="shared" si="18"/>
        <v>3.2685333333333304</v>
      </c>
      <c r="Q237" s="17">
        <v>31.08</v>
      </c>
      <c r="R237" s="9">
        <v>20220608</v>
      </c>
      <c r="S237" s="9">
        <v>29.94</v>
      </c>
      <c r="T237" s="9">
        <v>-2.75</v>
      </c>
      <c r="U237" s="9">
        <v>3991.2719699999998</v>
      </c>
      <c r="V237" s="45">
        <f t="shared" si="19"/>
        <v>-1.0006890034106095</v>
      </c>
      <c r="W237" s="12">
        <v>12.5</v>
      </c>
      <c r="X237" s="12">
        <v>1.1599999999999999</v>
      </c>
      <c r="Y237" s="62"/>
    </row>
    <row r="238" spans="1:25" x14ac:dyDescent="0.2">
      <c r="A238" s="3" t="s">
        <v>2542</v>
      </c>
      <c r="B238" s="3" t="s">
        <v>340</v>
      </c>
      <c r="C238" s="6" t="s">
        <v>354</v>
      </c>
      <c r="D238" s="6" t="s">
        <v>225</v>
      </c>
      <c r="E238" s="6" t="s">
        <v>146</v>
      </c>
      <c r="F238" s="6">
        <v>5227.4799999999996</v>
      </c>
      <c r="G238" s="2">
        <v>12</v>
      </c>
      <c r="H238" s="61">
        <v>1.97</v>
      </c>
      <c r="I238" s="61">
        <v>3.08</v>
      </c>
      <c r="J238" s="47">
        <f t="shared" si="15"/>
        <v>-0.83583333333333332</v>
      </c>
      <c r="K238" s="47">
        <f t="shared" si="16"/>
        <v>0.56345177664974622</v>
      </c>
      <c r="L238" s="8">
        <v>4.1100000000000003</v>
      </c>
      <c r="M238" s="8">
        <v>39.11</v>
      </c>
      <c r="N238" s="8">
        <v>28.59</v>
      </c>
      <c r="O238" s="17">
        <f t="shared" si="17"/>
        <v>-0.46791625124626124</v>
      </c>
      <c r="P238" s="17">
        <f t="shared" si="18"/>
        <v>0.5074081081081081</v>
      </c>
      <c r="Q238" s="17">
        <v>21.39</v>
      </c>
      <c r="R238" s="9">
        <v>20220803</v>
      </c>
      <c r="S238" s="9">
        <v>9.48</v>
      </c>
      <c r="T238" s="9">
        <v>-1.76</v>
      </c>
      <c r="U238" s="9">
        <v>2063.3129800000002</v>
      </c>
      <c r="V238" s="45">
        <f t="shared" si="19"/>
        <v>-1.000852997105655</v>
      </c>
      <c r="W238" s="12">
        <v>14.63</v>
      </c>
      <c r="X238" s="12">
        <v>0</v>
      </c>
      <c r="Y238" s="62"/>
    </row>
    <row r="239" spans="1:25" x14ac:dyDescent="0.2">
      <c r="A239" s="3" t="s">
        <v>312</v>
      </c>
      <c r="B239" s="3" t="s">
        <v>313</v>
      </c>
      <c r="C239" s="6" t="s">
        <v>354</v>
      </c>
      <c r="D239" s="6" t="s">
        <v>314</v>
      </c>
      <c r="E239" s="6" t="s">
        <v>60</v>
      </c>
      <c r="F239" s="6">
        <v>17438.54</v>
      </c>
      <c r="G239" s="2">
        <v>12</v>
      </c>
      <c r="H239" s="61">
        <v>12.46</v>
      </c>
      <c r="I239" s="61">
        <v>12.87</v>
      </c>
      <c r="J239" s="47">
        <f t="shared" si="15"/>
        <v>3.8333333333333407E-2</v>
      </c>
      <c r="K239" s="47">
        <f t="shared" si="16"/>
        <v>3.2905296950240637E-2</v>
      </c>
      <c r="L239" s="8">
        <v>10.53</v>
      </c>
      <c r="M239" s="8">
        <v>8.16</v>
      </c>
      <c r="N239" s="8">
        <v>8.93</v>
      </c>
      <c r="O239" s="17">
        <f t="shared" si="17"/>
        <v>2.1286956521739091</v>
      </c>
      <c r="P239" s="17">
        <f t="shared" si="18"/>
        <v>2.7138487804878162</v>
      </c>
      <c r="Q239" s="17">
        <v>10.91</v>
      </c>
      <c r="R239" s="9">
        <v>20220727</v>
      </c>
      <c r="S239" s="9">
        <v>28.87</v>
      </c>
      <c r="T239" s="9">
        <v>3.43</v>
      </c>
      <c r="U239" s="9">
        <v>70324.226559999996</v>
      </c>
      <c r="V239" s="45">
        <f t="shared" si="19"/>
        <v>-0.99995122591221008</v>
      </c>
      <c r="W239" s="12">
        <v>31.48</v>
      </c>
      <c r="X239" s="12">
        <v>1.83</v>
      </c>
      <c r="Y239" s="62">
        <v>1.33</v>
      </c>
    </row>
    <row r="240" spans="1:25" x14ac:dyDescent="0.2">
      <c r="A240" s="3" t="s">
        <v>2543</v>
      </c>
      <c r="B240" s="3" t="s">
        <v>112</v>
      </c>
      <c r="C240" s="6" t="s">
        <v>355</v>
      </c>
      <c r="D240" s="6" t="s">
        <v>185</v>
      </c>
      <c r="E240" s="6" t="s">
        <v>208</v>
      </c>
      <c r="F240" s="6">
        <v>13481.21</v>
      </c>
      <c r="G240" s="2">
        <v>12</v>
      </c>
      <c r="H240" s="61">
        <v>-12.69</v>
      </c>
      <c r="I240" s="61">
        <v>-15.13</v>
      </c>
      <c r="J240" s="47">
        <f t="shared" si="15"/>
        <v>-2.0574999999999997</v>
      </c>
      <c r="K240" s="47">
        <f t="shared" si="16"/>
        <v>-0.19227738376674558</v>
      </c>
      <c r="L240" s="8">
        <v>-11</v>
      </c>
      <c r="O240" s="17">
        <f t="shared" si="17"/>
        <v>0</v>
      </c>
      <c r="P240" s="17">
        <f t="shared" si="18"/>
        <v>0</v>
      </c>
      <c r="Q240" s="17"/>
      <c r="R240" s="9">
        <v>20220804</v>
      </c>
      <c r="S240" s="9">
        <v>-40.1</v>
      </c>
      <c r="T240" s="9">
        <v>53.55</v>
      </c>
      <c r="U240" s="9">
        <v>1419.0870299999999</v>
      </c>
      <c r="V240" s="45">
        <f t="shared" si="19"/>
        <v>-0.96226447084080535</v>
      </c>
      <c r="W240" s="12">
        <v>6.19</v>
      </c>
      <c r="X240" s="12">
        <v>0</v>
      </c>
      <c r="Y240" s="62"/>
    </row>
    <row r="241" spans="1:25" x14ac:dyDescent="0.2">
      <c r="A241" s="3" t="s">
        <v>2544</v>
      </c>
      <c r="B241" s="3" t="s">
        <v>310</v>
      </c>
      <c r="C241" s="6" t="s">
        <v>354</v>
      </c>
      <c r="D241" s="6" t="s">
        <v>188</v>
      </c>
      <c r="E241" s="6" t="s">
        <v>208</v>
      </c>
      <c r="F241" s="6">
        <v>3559.36</v>
      </c>
      <c r="G241" s="2">
        <v>12</v>
      </c>
      <c r="H241" s="61">
        <v>4.22</v>
      </c>
      <c r="I241" s="61">
        <v>4.1500000000000004</v>
      </c>
      <c r="J241" s="47">
        <f t="shared" si="15"/>
        <v>-0.64833333333333332</v>
      </c>
      <c r="K241" s="47">
        <f t="shared" si="16"/>
        <v>-1.6587677725118342E-2</v>
      </c>
      <c r="L241" s="8">
        <v>4.6900000000000004</v>
      </c>
      <c r="M241" s="8">
        <v>2.4</v>
      </c>
      <c r="N241" s="8">
        <v>2.37</v>
      </c>
      <c r="O241" s="17">
        <f t="shared" si="17"/>
        <v>-3.7017994858611826E-2</v>
      </c>
      <c r="P241" s="17">
        <f t="shared" si="18"/>
        <v>-1.4287714285714408</v>
      </c>
      <c r="Q241" s="17">
        <v>2.1</v>
      </c>
      <c r="R241" s="9">
        <v>20220802</v>
      </c>
      <c r="S241" s="9">
        <v>-649.29</v>
      </c>
      <c r="T241" s="9">
        <v>-1.52</v>
      </c>
      <c r="U241" s="9">
        <v>8385.3027299999994</v>
      </c>
      <c r="V241" s="45">
        <f t="shared" si="19"/>
        <v>-1.0001812695437413</v>
      </c>
      <c r="W241" s="12">
        <v>-30.1</v>
      </c>
      <c r="X241" s="12">
        <v>0</v>
      </c>
      <c r="Y241" s="62">
        <v>0.21</v>
      </c>
    </row>
    <row r="242" spans="1:25" x14ac:dyDescent="0.2">
      <c r="A242" s="3" t="s">
        <v>2545</v>
      </c>
      <c r="B242" s="3" t="s">
        <v>477</v>
      </c>
      <c r="C242" s="6" t="s">
        <v>355</v>
      </c>
      <c r="D242" s="6" t="s">
        <v>170</v>
      </c>
      <c r="E242" s="6" t="s">
        <v>163</v>
      </c>
      <c r="F242" s="6">
        <v>3628.61</v>
      </c>
      <c r="G242" s="2">
        <v>12</v>
      </c>
      <c r="H242" s="61">
        <v>19.899999999999999</v>
      </c>
      <c r="I242" s="61">
        <v>14.15</v>
      </c>
      <c r="J242" s="47">
        <f t="shared" si="15"/>
        <v>0.65833333333333321</v>
      </c>
      <c r="K242" s="47">
        <f t="shared" si="16"/>
        <v>-0.28894472361809037</v>
      </c>
      <c r="L242" s="8">
        <v>15.4</v>
      </c>
      <c r="M242" s="8">
        <v>2.34</v>
      </c>
      <c r="N242" s="8">
        <v>3.42</v>
      </c>
      <c r="O242" s="17">
        <f t="shared" si="17"/>
        <v>3.5544303797468361E-2</v>
      </c>
      <c r="P242" s="17">
        <f t="shared" si="18"/>
        <v>-0.11836173913043481</v>
      </c>
      <c r="Q242" s="17">
        <v>3.15</v>
      </c>
      <c r="R242" s="9">
        <v>20220804</v>
      </c>
      <c r="S242" s="9">
        <v>11.56</v>
      </c>
      <c r="T242" s="9">
        <v>-5.66</v>
      </c>
      <c r="U242" s="9">
        <v>8540.0771399999994</v>
      </c>
      <c r="V242" s="45">
        <f t="shared" si="19"/>
        <v>-1.0006627574794951</v>
      </c>
      <c r="W242" s="12">
        <v>15.3</v>
      </c>
      <c r="X242" s="12">
        <v>0</v>
      </c>
      <c r="Y242" s="62"/>
    </row>
    <row r="243" spans="1:25" x14ac:dyDescent="0.2">
      <c r="A243" s="3" t="s">
        <v>2546</v>
      </c>
      <c r="B243" s="3" t="s">
        <v>2086</v>
      </c>
      <c r="C243" s="6" t="s">
        <v>356</v>
      </c>
      <c r="D243" s="6" t="s">
        <v>69</v>
      </c>
      <c r="E243" s="6" t="s">
        <v>163</v>
      </c>
      <c r="F243" s="6">
        <v>41270.839999999997</v>
      </c>
      <c r="G243" s="2">
        <v>12</v>
      </c>
      <c r="H243" s="61">
        <v>5.6</v>
      </c>
      <c r="I243" s="61">
        <v>6.55</v>
      </c>
      <c r="J243" s="47">
        <f t="shared" si="15"/>
        <v>-0.53333333333333333</v>
      </c>
      <c r="K243" s="47">
        <f t="shared" si="16"/>
        <v>0.16964285714285718</v>
      </c>
      <c r="L243" s="8">
        <v>8.83</v>
      </c>
      <c r="N243" s="8">
        <v>11.92</v>
      </c>
      <c r="O243" s="17">
        <f t="shared" si="17"/>
        <v>0</v>
      </c>
      <c r="P243" s="17">
        <f t="shared" si="18"/>
        <v>0.7026526315789472</v>
      </c>
      <c r="Q243" s="17">
        <v>8.84</v>
      </c>
      <c r="U243" s="9">
        <v>7058.06005</v>
      </c>
      <c r="V243" s="45">
        <f t="shared" si="19"/>
        <v>-1</v>
      </c>
      <c r="X243" s="12">
        <v>1.44</v>
      </c>
      <c r="Y243" s="62"/>
    </row>
    <row r="244" spans="1:25" x14ac:dyDescent="0.2">
      <c r="A244" s="3" t="s">
        <v>2547</v>
      </c>
      <c r="B244" s="3" t="s">
        <v>2548</v>
      </c>
      <c r="C244" s="6" t="s">
        <v>354</v>
      </c>
      <c r="D244" s="6" t="s">
        <v>197</v>
      </c>
      <c r="E244" s="6" t="s">
        <v>60</v>
      </c>
      <c r="F244" s="6">
        <v>100913.36</v>
      </c>
      <c r="G244" s="2">
        <v>6</v>
      </c>
      <c r="H244" s="61">
        <v>6.93</v>
      </c>
      <c r="I244" s="61">
        <v>8.65</v>
      </c>
      <c r="J244" s="47">
        <f t="shared" si="15"/>
        <v>0.15499999999999994</v>
      </c>
      <c r="K244" s="47">
        <f t="shared" si="16"/>
        <v>0.2481962481962483</v>
      </c>
      <c r="L244" s="8">
        <v>7.39</v>
      </c>
      <c r="N244" s="8">
        <v>7.91</v>
      </c>
      <c r="O244" s="17">
        <f t="shared" si="17"/>
        <v>0</v>
      </c>
      <c r="P244" s="17">
        <f t="shared" si="18"/>
        <v>0.31869941860465101</v>
      </c>
      <c r="Q244" s="17">
        <v>9.26</v>
      </c>
      <c r="U244" s="9">
        <v>66787.351559999996</v>
      </c>
      <c r="V244" s="45">
        <f t="shared" si="19"/>
        <v>-1</v>
      </c>
      <c r="X244" s="12">
        <v>8.77</v>
      </c>
      <c r="Y244" s="62">
        <v>2.64</v>
      </c>
    </row>
    <row r="245" spans="1:25" x14ac:dyDescent="0.2">
      <c r="A245" s="3" t="s">
        <v>2549</v>
      </c>
      <c r="B245" s="3" t="s">
        <v>427</v>
      </c>
      <c r="C245" s="6" t="s">
        <v>354</v>
      </c>
      <c r="D245" s="6" t="s">
        <v>185</v>
      </c>
      <c r="E245" s="6" t="s">
        <v>208</v>
      </c>
      <c r="F245" s="6">
        <v>10098.040000000001</v>
      </c>
      <c r="G245" s="2">
        <v>12</v>
      </c>
      <c r="H245" s="61">
        <v>-11.98</v>
      </c>
      <c r="I245" s="61">
        <v>-9.85</v>
      </c>
      <c r="J245" s="47">
        <f t="shared" si="15"/>
        <v>-1.9983333333333333</v>
      </c>
      <c r="K245" s="47">
        <f t="shared" si="16"/>
        <v>0.1777963272120201</v>
      </c>
      <c r="L245" s="8">
        <v>-5.37</v>
      </c>
      <c r="O245" s="17">
        <f t="shared" si="17"/>
        <v>0</v>
      </c>
      <c r="P245" s="17">
        <f t="shared" si="18"/>
        <v>0</v>
      </c>
      <c r="Q245" s="17"/>
      <c r="R245" s="9">
        <v>20220808</v>
      </c>
      <c r="U245" s="9">
        <v>1039.4300499999999</v>
      </c>
      <c r="V245" s="45">
        <f t="shared" si="19"/>
        <v>-1</v>
      </c>
      <c r="W245" s="12">
        <v>-17.86</v>
      </c>
      <c r="X245" s="12">
        <v>0</v>
      </c>
      <c r="Y245" s="62"/>
    </row>
    <row r="246" spans="1:25" x14ac:dyDescent="0.2">
      <c r="A246" s="3" t="s">
        <v>2550</v>
      </c>
      <c r="B246" s="3" t="s">
        <v>114</v>
      </c>
      <c r="C246" s="6" t="s">
        <v>355</v>
      </c>
      <c r="D246" s="6" t="s">
        <v>176</v>
      </c>
      <c r="E246" s="6" t="s">
        <v>119</v>
      </c>
      <c r="F246" s="6">
        <v>47059.31</v>
      </c>
      <c r="G246" s="2">
        <v>12</v>
      </c>
      <c r="H246" s="61">
        <v>8.11</v>
      </c>
      <c r="I246" s="61">
        <v>7.53</v>
      </c>
      <c r="J246" s="47">
        <f t="shared" si="15"/>
        <v>-0.32416666666666671</v>
      </c>
      <c r="K246" s="47">
        <f t="shared" si="16"/>
        <v>-7.1516646115906191E-2</v>
      </c>
      <c r="L246" s="8">
        <v>10.4</v>
      </c>
      <c r="M246" s="8">
        <v>16.489999999999998</v>
      </c>
      <c r="N246" s="8">
        <v>18.09</v>
      </c>
      <c r="O246" s="17">
        <f t="shared" si="17"/>
        <v>-0.50868894601542403</v>
      </c>
      <c r="P246" s="17">
        <f t="shared" si="18"/>
        <v>-2.5294810344827621</v>
      </c>
      <c r="Q246" s="17">
        <v>13.1</v>
      </c>
      <c r="R246" s="9">
        <v>20220811</v>
      </c>
      <c r="S246" s="9">
        <v>5.67</v>
      </c>
      <c r="T246" s="9">
        <v>10.33</v>
      </c>
      <c r="U246" s="9">
        <v>20586.710930000001</v>
      </c>
      <c r="V246" s="45">
        <f t="shared" si="19"/>
        <v>-0.9994982199907928</v>
      </c>
      <c r="W246" s="12">
        <v>132.88999999999999</v>
      </c>
      <c r="X246" s="12">
        <v>0</v>
      </c>
      <c r="Y246" s="62">
        <v>9.94</v>
      </c>
    </row>
    <row r="247" spans="1:25" x14ac:dyDescent="0.2">
      <c r="A247" s="3" t="s">
        <v>2551</v>
      </c>
      <c r="B247" s="3" t="s">
        <v>115</v>
      </c>
      <c r="C247" s="6" t="s">
        <v>355</v>
      </c>
      <c r="D247" s="6" t="s">
        <v>185</v>
      </c>
      <c r="E247" s="6" t="s">
        <v>208</v>
      </c>
      <c r="F247" s="6">
        <v>29908.43</v>
      </c>
      <c r="G247" s="2">
        <v>12</v>
      </c>
      <c r="H247" s="61">
        <v>19.18</v>
      </c>
      <c r="I247" s="61">
        <v>15.38</v>
      </c>
      <c r="J247" s="47">
        <f t="shared" si="15"/>
        <v>0.59833333333333327</v>
      </c>
      <c r="K247" s="47">
        <f t="shared" si="16"/>
        <v>-0.19812304483837326</v>
      </c>
      <c r="L247" s="8">
        <v>16.53</v>
      </c>
      <c r="M247" s="8">
        <v>11.7</v>
      </c>
      <c r="N247" s="8">
        <v>13.28</v>
      </c>
      <c r="O247" s="17">
        <f t="shared" si="17"/>
        <v>0.19554317548746519</v>
      </c>
      <c r="P247" s="17">
        <f t="shared" si="18"/>
        <v>-0.67029052631578956</v>
      </c>
      <c r="Q247" s="17">
        <v>12.35</v>
      </c>
      <c r="R247" s="9">
        <v>20220728</v>
      </c>
      <c r="S247" s="9">
        <v>23.46</v>
      </c>
      <c r="T247" s="9">
        <v>-1.38</v>
      </c>
      <c r="U247" s="9">
        <v>9892.4843700000001</v>
      </c>
      <c r="V247" s="45">
        <f t="shared" si="19"/>
        <v>-1.0001394998413324</v>
      </c>
      <c r="W247" s="12">
        <v>-17.91</v>
      </c>
      <c r="X247" s="12">
        <v>0</v>
      </c>
      <c r="Y247" s="62">
        <v>1</v>
      </c>
    </row>
    <row r="248" spans="1:25" x14ac:dyDescent="0.2">
      <c r="A248" s="3" t="s">
        <v>2552</v>
      </c>
      <c r="B248" s="3" t="s">
        <v>323</v>
      </c>
      <c r="C248" s="6" t="s">
        <v>355</v>
      </c>
      <c r="D248" s="6" t="s">
        <v>176</v>
      </c>
      <c r="E248" s="6" t="s">
        <v>119</v>
      </c>
      <c r="F248" s="6">
        <v>8179.26</v>
      </c>
      <c r="G248" s="2">
        <v>12</v>
      </c>
      <c r="H248" s="61">
        <v>-2.17</v>
      </c>
      <c r="I248" s="61">
        <v>-2.48</v>
      </c>
      <c r="J248" s="47">
        <f t="shared" si="15"/>
        <v>-1.1808333333333334</v>
      </c>
      <c r="K248" s="47">
        <f t="shared" si="16"/>
        <v>-0.14285714285714288</v>
      </c>
      <c r="L248" s="8">
        <v>-1.94</v>
      </c>
      <c r="O248" s="17">
        <f t="shared" si="17"/>
        <v>0</v>
      </c>
      <c r="P248" s="17">
        <f t="shared" si="18"/>
        <v>0</v>
      </c>
      <c r="Q248" s="17"/>
      <c r="R248" s="9">
        <v>20220609</v>
      </c>
      <c r="S248" s="9">
        <v>-28.6</v>
      </c>
      <c r="T248" s="9">
        <v>72.900000000000006</v>
      </c>
      <c r="U248" s="9">
        <v>3443.9470200000001</v>
      </c>
      <c r="V248" s="45">
        <f t="shared" si="19"/>
        <v>-0.97883242698663808</v>
      </c>
      <c r="W248" s="12">
        <v>5.71</v>
      </c>
      <c r="X248" s="12">
        <v>0</v>
      </c>
      <c r="Y248" s="62"/>
    </row>
    <row r="249" spans="1:25" x14ac:dyDescent="0.2">
      <c r="A249" s="3" t="s">
        <v>2553</v>
      </c>
      <c r="B249" s="3" t="s">
        <v>433</v>
      </c>
      <c r="C249" s="6" t="s">
        <v>354</v>
      </c>
      <c r="D249" s="6" t="s">
        <v>177</v>
      </c>
      <c r="E249" s="6" t="s">
        <v>119</v>
      </c>
      <c r="F249" s="6">
        <v>12115.93</v>
      </c>
      <c r="G249" s="2">
        <v>6</v>
      </c>
      <c r="H249" s="61">
        <v>-0.13</v>
      </c>
      <c r="I249" s="61">
        <v>-0.36</v>
      </c>
      <c r="J249" s="47">
        <f t="shared" si="15"/>
        <v>-1.0216666666666667</v>
      </c>
      <c r="K249" s="47">
        <f t="shared" si="16"/>
        <v>-1.7692307692307689</v>
      </c>
      <c r="L249" s="8">
        <v>-0.36</v>
      </c>
      <c r="O249" s="17">
        <f t="shared" si="17"/>
        <v>0</v>
      </c>
      <c r="P249" s="17">
        <f t="shared" si="18"/>
        <v>0</v>
      </c>
      <c r="Q249" s="17"/>
      <c r="R249" s="9">
        <v>20220825</v>
      </c>
      <c r="S249" s="9">
        <v>-5.05</v>
      </c>
      <c r="T249" s="9">
        <v>68.42</v>
      </c>
      <c r="U249" s="9">
        <v>623.64697000000001</v>
      </c>
      <c r="V249" s="45">
        <f t="shared" si="19"/>
        <v>-0.89029049559881612</v>
      </c>
      <c r="W249" s="12">
        <v>50</v>
      </c>
      <c r="X249" s="12">
        <v>0</v>
      </c>
      <c r="Y249" s="62"/>
    </row>
    <row r="250" spans="1:25" x14ac:dyDescent="0.2">
      <c r="A250" s="3" t="s">
        <v>2554</v>
      </c>
      <c r="B250" s="3" t="s">
        <v>438</v>
      </c>
      <c r="C250" s="6" t="s">
        <v>354</v>
      </c>
      <c r="D250" s="6" t="s">
        <v>193</v>
      </c>
      <c r="E250" s="6" t="s">
        <v>208</v>
      </c>
      <c r="F250" s="6">
        <v>15643.29</v>
      </c>
      <c r="G250" s="2">
        <v>12</v>
      </c>
      <c r="H250" s="61">
        <v>15.33</v>
      </c>
      <c r="I250" s="61">
        <v>14.2</v>
      </c>
      <c r="J250" s="47">
        <f t="shared" si="15"/>
        <v>0.27750000000000002</v>
      </c>
      <c r="K250" s="47">
        <f t="shared" si="16"/>
        <v>-7.371167645140253E-2</v>
      </c>
      <c r="L250" s="8">
        <v>15.65</v>
      </c>
      <c r="M250" s="8">
        <v>33.93</v>
      </c>
      <c r="N250" s="8">
        <v>36.79</v>
      </c>
      <c r="O250" s="17">
        <f t="shared" si="17"/>
        <v>1.2227027027027024</v>
      </c>
      <c r="P250" s="17">
        <f t="shared" si="18"/>
        <v>-4.9910681415929163</v>
      </c>
      <c r="Q250" s="17">
        <v>33.380000000000003</v>
      </c>
      <c r="R250" s="9">
        <v>20220804</v>
      </c>
      <c r="S250" s="9">
        <v>3.66</v>
      </c>
      <c r="T250" s="9">
        <v>7.21</v>
      </c>
      <c r="U250" s="9">
        <v>2858.8998999999999</v>
      </c>
      <c r="V250" s="45">
        <f t="shared" si="19"/>
        <v>-0.99747805091042185</v>
      </c>
      <c r="W250" s="12">
        <v>76.430000000000007</v>
      </c>
      <c r="X250" s="12">
        <v>0</v>
      </c>
      <c r="Y250" s="62"/>
    </row>
    <row r="251" spans="1:25" x14ac:dyDescent="0.2">
      <c r="A251" s="3" t="s">
        <v>2554</v>
      </c>
      <c r="B251" s="3" t="s">
        <v>2087</v>
      </c>
      <c r="C251" s="6" t="s">
        <v>354</v>
      </c>
      <c r="D251" s="6" t="s">
        <v>185</v>
      </c>
      <c r="E251" s="6" t="s">
        <v>208</v>
      </c>
      <c r="F251" s="6">
        <v>15120.51</v>
      </c>
      <c r="G251" s="2">
        <v>12</v>
      </c>
      <c r="H251" s="61"/>
      <c r="I251" s="61"/>
      <c r="J251" s="47">
        <f t="shared" si="15"/>
        <v>-1</v>
      </c>
      <c r="K251" s="47" t="e">
        <f t="shared" si="16"/>
        <v>#DIV/0!</v>
      </c>
      <c r="M251" s="8">
        <v>32.79</v>
      </c>
      <c r="O251" s="17">
        <f t="shared" si="17"/>
        <v>-0.32789999999999997</v>
      </c>
      <c r="P251" s="17" t="e">
        <f t="shared" si="18"/>
        <v>#DIV/0!</v>
      </c>
      <c r="Q251" s="17"/>
      <c r="R251" s="9">
        <v>20220804</v>
      </c>
      <c r="S251" s="9">
        <v>3.66</v>
      </c>
      <c r="T251" s="9">
        <v>7.21</v>
      </c>
      <c r="V251" s="45" t="e">
        <f t="shared" si="19"/>
        <v>#DIV/0!</v>
      </c>
      <c r="X251" s="12">
        <v>0</v>
      </c>
      <c r="Y251" s="62"/>
    </row>
    <row r="252" spans="1:25" x14ac:dyDescent="0.2">
      <c r="A252" s="3" t="s">
        <v>2555</v>
      </c>
      <c r="B252" s="3" t="s">
        <v>434</v>
      </c>
      <c r="C252" s="6" t="s">
        <v>356</v>
      </c>
      <c r="D252" s="6" t="s">
        <v>185</v>
      </c>
      <c r="E252" s="6" t="s">
        <v>208</v>
      </c>
      <c r="F252" s="6">
        <v>6509.52</v>
      </c>
      <c r="G252" s="2">
        <v>12</v>
      </c>
      <c r="H252" s="61">
        <v>0.98</v>
      </c>
      <c r="I252" s="61">
        <v>0.81</v>
      </c>
      <c r="J252" s="47">
        <f t="shared" si="15"/>
        <v>-0.91833333333333333</v>
      </c>
      <c r="K252" s="47">
        <f t="shared" si="16"/>
        <v>-0.17346938775510198</v>
      </c>
      <c r="L252" s="8">
        <v>1.22</v>
      </c>
      <c r="M252" s="8">
        <v>21.7</v>
      </c>
      <c r="N252" s="8">
        <v>26.79</v>
      </c>
      <c r="O252" s="17">
        <f t="shared" si="17"/>
        <v>-0.23629764065335754</v>
      </c>
      <c r="P252" s="17">
        <f t="shared" si="18"/>
        <v>-1.5443647058823533</v>
      </c>
      <c r="Q252" s="17">
        <v>17.79</v>
      </c>
      <c r="R252" s="9">
        <v>20220531</v>
      </c>
      <c r="S252" s="9">
        <v>12.3</v>
      </c>
      <c r="U252" s="9">
        <v>1818.40002</v>
      </c>
      <c r="V252" s="45">
        <f t="shared" si="19"/>
        <v>-1</v>
      </c>
      <c r="W252" s="12">
        <v>-21.43</v>
      </c>
      <c r="X252" s="12">
        <v>0</v>
      </c>
      <c r="Y252" s="62"/>
    </row>
    <row r="253" spans="1:25" x14ac:dyDescent="0.2">
      <c r="A253" s="3" t="s">
        <v>2556</v>
      </c>
      <c r="B253" s="3" t="s">
        <v>512</v>
      </c>
      <c r="C253" s="6" t="s">
        <v>354</v>
      </c>
      <c r="D253" s="6" t="s">
        <v>246</v>
      </c>
      <c r="E253" s="6" t="s">
        <v>250</v>
      </c>
      <c r="F253" s="6">
        <v>18480.77</v>
      </c>
      <c r="G253" s="2">
        <v>12</v>
      </c>
      <c r="H253" s="61">
        <v>3.58</v>
      </c>
      <c r="I253" s="61">
        <v>4.13</v>
      </c>
      <c r="J253" s="47">
        <f t="shared" si="15"/>
        <v>-0.70166666666666666</v>
      </c>
      <c r="K253" s="47">
        <f t="shared" si="16"/>
        <v>0.15363128491620107</v>
      </c>
      <c r="L253" s="8">
        <v>4.59</v>
      </c>
      <c r="M253" s="8">
        <v>16.5</v>
      </c>
      <c r="N253" s="8">
        <v>14.68</v>
      </c>
      <c r="O253" s="17">
        <f t="shared" si="17"/>
        <v>-0.23515439429928739</v>
      </c>
      <c r="P253" s="17">
        <f t="shared" si="18"/>
        <v>0.95553454545454575</v>
      </c>
      <c r="Q253" s="17">
        <v>13.19</v>
      </c>
      <c r="R253" s="9">
        <v>20220804</v>
      </c>
      <c r="S253" s="9">
        <v>3.4</v>
      </c>
      <c r="T253" s="9">
        <v>35.6</v>
      </c>
      <c r="V253" s="45" t="e">
        <f t="shared" si="19"/>
        <v>#DIV/0!</v>
      </c>
      <c r="W253" s="12">
        <v>11.63</v>
      </c>
      <c r="X253" s="12">
        <v>3.57</v>
      </c>
      <c r="Y253" s="62"/>
    </row>
    <row r="254" spans="1:25" x14ac:dyDescent="0.2">
      <c r="A254" s="3" t="s">
        <v>2557</v>
      </c>
      <c r="B254" s="3" t="s">
        <v>513</v>
      </c>
      <c r="C254" s="6" t="s">
        <v>354</v>
      </c>
      <c r="D254" s="6" t="s">
        <v>151</v>
      </c>
      <c r="E254" s="6" t="s">
        <v>163</v>
      </c>
      <c r="F254" s="6">
        <v>5389.56</v>
      </c>
      <c r="G254" s="2">
        <v>12</v>
      </c>
      <c r="H254" s="61"/>
      <c r="I254" s="61"/>
      <c r="J254" s="47">
        <f t="shared" si="15"/>
        <v>-1</v>
      </c>
      <c r="K254" s="47" t="e">
        <f t="shared" si="16"/>
        <v>#DIV/0!</v>
      </c>
      <c r="O254" s="17">
        <f t="shared" si="17"/>
        <v>0</v>
      </c>
      <c r="P254" s="17" t="e">
        <f t="shared" si="18"/>
        <v>#DIV/0!</v>
      </c>
      <c r="Q254" s="17"/>
      <c r="S254" s="9">
        <v>-2.31</v>
      </c>
      <c r="V254" s="45" t="e">
        <f t="shared" si="19"/>
        <v>#DIV/0!</v>
      </c>
      <c r="X254" s="12">
        <v>2.95</v>
      </c>
      <c r="Y254" s="62"/>
    </row>
    <row r="255" spans="1:25" x14ac:dyDescent="0.2">
      <c r="A255" s="3" t="s">
        <v>2558</v>
      </c>
      <c r="B255" s="3" t="s">
        <v>394</v>
      </c>
      <c r="C255" s="6" t="s">
        <v>354</v>
      </c>
      <c r="D255" s="6" t="s">
        <v>305</v>
      </c>
      <c r="E255" s="6" t="s">
        <v>146</v>
      </c>
      <c r="F255" s="6">
        <v>7827.85</v>
      </c>
      <c r="G255" s="2">
        <v>1</v>
      </c>
      <c r="H255" s="61">
        <v>3.18</v>
      </c>
      <c r="I255" s="61">
        <v>3.28</v>
      </c>
      <c r="J255" s="47">
        <f t="shared" si="15"/>
        <v>2.1800000000000002</v>
      </c>
      <c r="K255" s="47">
        <f t="shared" si="16"/>
        <v>3.1446540880503034E-2</v>
      </c>
      <c r="L255" s="8">
        <v>3.59</v>
      </c>
      <c r="M255" s="8">
        <v>17.02</v>
      </c>
      <c r="N255" s="8">
        <v>17.649999999999999</v>
      </c>
      <c r="O255" s="17">
        <f t="shared" si="17"/>
        <v>7.8073394495412826E-2</v>
      </c>
      <c r="P255" s="17">
        <f t="shared" si="18"/>
        <v>5.6127000000000189</v>
      </c>
      <c r="Q255" s="17">
        <v>16.14</v>
      </c>
      <c r="R255" s="9">
        <v>20220818</v>
      </c>
      <c r="S255" s="9">
        <v>77.13</v>
      </c>
      <c r="T255" s="9">
        <v>9.8699999999999992</v>
      </c>
      <c r="U255" s="9">
        <v>18408.703119999998</v>
      </c>
      <c r="V255" s="45">
        <f t="shared" si="19"/>
        <v>-0.99946384055760695</v>
      </c>
      <c r="W255" s="12">
        <v>19.18</v>
      </c>
      <c r="X255" s="12">
        <v>0</v>
      </c>
      <c r="Y255" s="62">
        <v>1.9</v>
      </c>
    </row>
    <row r="256" spans="1:25" x14ac:dyDescent="0.2">
      <c r="A256" s="3" t="s">
        <v>2559</v>
      </c>
      <c r="B256" s="3" t="s">
        <v>501</v>
      </c>
      <c r="C256" s="6" t="s">
        <v>354</v>
      </c>
      <c r="D256" s="6" t="s">
        <v>97</v>
      </c>
      <c r="E256" s="6" t="s">
        <v>163</v>
      </c>
      <c r="F256" s="6">
        <v>36884.07</v>
      </c>
      <c r="G256" s="2">
        <v>12</v>
      </c>
      <c r="H256" s="61">
        <v>4.17</v>
      </c>
      <c r="I256" s="61">
        <v>4.41</v>
      </c>
      <c r="J256" s="47">
        <f t="shared" si="15"/>
        <v>-0.65249999999999997</v>
      </c>
      <c r="K256" s="47">
        <f t="shared" si="16"/>
        <v>5.7553956834532426E-2</v>
      </c>
      <c r="L256" s="8">
        <v>5.29</v>
      </c>
      <c r="M256" s="8">
        <v>11.22</v>
      </c>
      <c r="N256" s="8">
        <v>10.35</v>
      </c>
      <c r="O256" s="17">
        <f t="shared" si="17"/>
        <v>-0.17195402298850576</v>
      </c>
      <c r="P256" s="17">
        <f t="shared" si="18"/>
        <v>1.7983124999999984</v>
      </c>
      <c r="Q256" s="17">
        <v>8.6300000000000008</v>
      </c>
      <c r="R256" s="9">
        <v>20220715</v>
      </c>
      <c r="S256" s="9">
        <v>9.33</v>
      </c>
      <c r="T256" s="9">
        <v>-1.04</v>
      </c>
      <c r="U256" s="9">
        <v>16579.462889999999</v>
      </c>
      <c r="V256" s="45">
        <f t="shared" si="19"/>
        <v>-1.0000627282081995</v>
      </c>
      <c r="W256" s="12">
        <v>0</v>
      </c>
      <c r="X256" s="12">
        <v>2.98</v>
      </c>
      <c r="Y256" s="62">
        <v>1.72</v>
      </c>
    </row>
    <row r="257" spans="1:25" x14ac:dyDescent="0.2">
      <c r="A257" s="3" t="s">
        <v>2560</v>
      </c>
      <c r="B257" s="3" t="s">
        <v>439</v>
      </c>
      <c r="C257" s="6" t="s">
        <v>356</v>
      </c>
      <c r="D257" s="6" t="s">
        <v>69</v>
      </c>
      <c r="E257" s="6" t="s">
        <v>163</v>
      </c>
      <c r="F257" s="6">
        <v>3737.07</v>
      </c>
      <c r="G257" s="2">
        <v>12</v>
      </c>
      <c r="H257" s="61">
        <v>0.21</v>
      </c>
      <c r="I257" s="61">
        <v>0.22</v>
      </c>
      <c r="J257" s="47">
        <f t="shared" si="15"/>
        <v>-0.98249999999999993</v>
      </c>
      <c r="K257" s="47">
        <f t="shared" si="16"/>
        <v>4.7619047619047665E-2</v>
      </c>
      <c r="L257" s="8">
        <v>0.26</v>
      </c>
      <c r="N257" s="8">
        <v>6.32</v>
      </c>
      <c r="O257" s="17">
        <f t="shared" si="17"/>
        <v>0</v>
      </c>
      <c r="P257" s="17">
        <f t="shared" si="18"/>
        <v>1.3271999999999988</v>
      </c>
      <c r="Q257" s="17">
        <v>5.35</v>
      </c>
      <c r="U257" s="9">
        <v>2129.0300200000001</v>
      </c>
      <c r="V257" s="45">
        <f t="shared" si="19"/>
        <v>-1</v>
      </c>
      <c r="X257" s="12">
        <v>5.65</v>
      </c>
      <c r="Y257" s="62">
        <v>0.4</v>
      </c>
    </row>
    <row r="258" spans="1:25" x14ac:dyDescent="0.2">
      <c r="A258" s="3" t="s">
        <v>2561</v>
      </c>
      <c r="B258" s="3" t="s">
        <v>428</v>
      </c>
      <c r="C258" s="6" t="s">
        <v>356</v>
      </c>
      <c r="D258" s="6" t="s">
        <v>357</v>
      </c>
      <c r="E258" s="6" t="s">
        <v>163</v>
      </c>
      <c r="F258" s="6">
        <v>6136.29</v>
      </c>
      <c r="G258" s="2">
        <v>4</v>
      </c>
      <c r="H258" s="61">
        <v>1.01</v>
      </c>
      <c r="I258" s="61">
        <v>1.03</v>
      </c>
      <c r="J258" s="47">
        <f t="shared" si="15"/>
        <v>-0.74750000000000005</v>
      </c>
      <c r="K258" s="47">
        <f t="shared" si="16"/>
        <v>1.980198019801982E-2</v>
      </c>
      <c r="L258" s="8">
        <v>1.05</v>
      </c>
      <c r="N258" s="8">
        <v>10.55</v>
      </c>
      <c r="O258" s="17">
        <f t="shared" si="17"/>
        <v>0</v>
      </c>
      <c r="P258" s="17">
        <f t="shared" si="18"/>
        <v>5.3277499999999955</v>
      </c>
      <c r="Q258" s="17">
        <v>10.35</v>
      </c>
      <c r="R258" s="9">
        <v>20220622</v>
      </c>
      <c r="U258" s="9">
        <v>3122.3600999999999</v>
      </c>
      <c r="V258" s="45">
        <f t="shared" si="19"/>
        <v>-1</v>
      </c>
      <c r="X258" s="12">
        <v>0</v>
      </c>
      <c r="Y258" s="62"/>
    </row>
    <row r="259" spans="1:25" x14ac:dyDescent="0.2">
      <c r="A259" s="3" t="s">
        <v>2562</v>
      </c>
      <c r="B259" s="3" t="s">
        <v>1940</v>
      </c>
      <c r="C259" s="6" t="s">
        <v>354</v>
      </c>
      <c r="D259" s="6" t="s">
        <v>246</v>
      </c>
      <c r="E259" s="6" t="s">
        <v>250</v>
      </c>
      <c r="F259" s="6">
        <v>4977.25</v>
      </c>
      <c r="G259" s="2">
        <v>12</v>
      </c>
      <c r="H259" s="61">
        <v>3.74</v>
      </c>
      <c r="I259" s="61">
        <v>4.05</v>
      </c>
      <c r="J259" s="47">
        <f t="shared" ref="J259:J322" si="20">(H259-G259)/ABS(G259)</f>
        <v>-0.68833333333333335</v>
      </c>
      <c r="K259" s="47">
        <f t="shared" ref="K259:K322" si="21">(I259-H259)/ABS(H259)</f>
        <v>8.2887700534759245E-2</v>
      </c>
      <c r="L259" s="8">
        <v>4.29</v>
      </c>
      <c r="M259" s="8">
        <v>19.05</v>
      </c>
      <c r="N259" s="8">
        <v>18.96</v>
      </c>
      <c r="O259" s="17">
        <f t="shared" ref="O259:O322" si="22">M259/(J259*100)</f>
        <v>-0.27675544794188867</v>
      </c>
      <c r="P259" s="17">
        <f t="shared" ref="P259:P322" si="23">N259/(K259*100)</f>
        <v>2.287432258064519</v>
      </c>
      <c r="Q259" s="17">
        <v>17.899999999999999</v>
      </c>
      <c r="R259" s="9">
        <v>20220802</v>
      </c>
      <c r="S259" s="9">
        <v>9.0399999999999991</v>
      </c>
      <c r="T259" s="9">
        <v>2.6</v>
      </c>
      <c r="V259" s="45" t="e">
        <f t="shared" ref="V259:V322" si="24">(T259-U259)/U259</f>
        <v>#DIV/0!</v>
      </c>
      <c r="W259" s="12">
        <v>11.66</v>
      </c>
      <c r="X259" s="12">
        <v>3.1</v>
      </c>
      <c r="Y259" s="62">
        <v>3.02</v>
      </c>
    </row>
    <row r="260" spans="1:25" x14ac:dyDescent="0.2">
      <c r="A260" s="3" t="s">
        <v>1941</v>
      </c>
      <c r="B260" s="3" t="s">
        <v>1942</v>
      </c>
      <c r="C260" s="6" t="s">
        <v>356</v>
      </c>
      <c r="D260" s="6" t="s">
        <v>69</v>
      </c>
      <c r="E260" s="6" t="s">
        <v>163</v>
      </c>
      <c r="F260" s="6">
        <v>12528.22</v>
      </c>
      <c r="G260" s="2">
        <v>12</v>
      </c>
      <c r="H260" s="61">
        <v>5.94</v>
      </c>
      <c r="I260" s="61">
        <v>4.95</v>
      </c>
      <c r="J260" s="47">
        <f t="shared" si="20"/>
        <v>-0.505</v>
      </c>
      <c r="K260" s="47">
        <f t="shared" si="21"/>
        <v>-0.16666666666666669</v>
      </c>
      <c r="L260" s="8">
        <v>5.25</v>
      </c>
      <c r="N260" s="8">
        <v>9.4700000000000006</v>
      </c>
      <c r="O260" s="17">
        <f t="shared" si="22"/>
        <v>0</v>
      </c>
      <c r="P260" s="17">
        <f t="shared" si="23"/>
        <v>-0.56820000000000004</v>
      </c>
      <c r="Q260" s="17">
        <v>8.93</v>
      </c>
      <c r="R260" s="9">
        <v>20220602</v>
      </c>
      <c r="S260" s="9">
        <v>11.65</v>
      </c>
      <c r="T260" s="9">
        <v>-0.1</v>
      </c>
      <c r="U260" s="9">
        <v>4573.7997999999998</v>
      </c>
      <c r="V260" s="45">
        <f t="shared" si="24"/>
        <v>-1.0000218636591833</v>
      </c>
      <c r="W260" s="12">
        <v>29.91</v>
      </c>
      <c r="X260" s="12">
        <v>2.71</v>
      </c>
      <c r="Y260" s="62"/>
    </row>
    <row r="261" spans="1:25" x14ac:dyDescent="0.2">
      <c r="A261" s="3" t="s">
        <v>2563</v>
      </c>
      <c r="B261" s="3" t="s">
        <v>440</v>
      </c>
      <c r="C261" s="6" t="s">
        <v>354</v>
      </c>
      <c r="D261" s="6" t="s">
        <v>123</v>
      </c>
      <c r="E261" s="6" t="s">
        <v>108</v>
      </c>
      <c r="F261" s="6">
        <v>10732.01</v>
      </c>
      <c r="G261" s="2">
        <v>12</v>
      </c>
      <c r="H261" s="61">
        <v>2.34</v>
      </c>
      <c r="I261" s="61">
        <v>2.63</v>
      </c>
      <c r="J261" s="47">
        <f t="shared" si="20"/>
        <v>-0.80500000000000005</v>
      </c>
      <c r="K261" s="47">
        <f t="shared" si="21"/>
        <v>0.12393162393162395</v>
      </c>
      <c r="L261" s="8">
        <v>2.93</v>
      </c>
      <c r="M261" s="8">
        <v>27.97</v>
      </c>
      <c r="N261" s="8">
        <v>26.11</v>
      </c>
      <c r="O261" s="17">
        <f t="shared" si="22"/>
        <v>-0.34745341614906833</v>
      </c>
      <c r="P261" s="17">
        <f t="shared" si="23"/>
        <v>2.1068068965517237</v>
      </c>
      <c r="Q261" s="17">
        <v>23.45</v>
      </c>
      <c r="R261" s="9">
        <v>20220804</v>
      </c>
      <c r="S261" s="9">
        <v>14.6</v>
      </c>
      <c r="T261" s="9">
        <v>7.65</v>
      </c>
      <c r="U261" s="9">
        <v>1600.6729700000001</v>
      </c>
      <c r="V261" s="45">
        <f t="shared" si="24"/>
        <v>-0.99522076017813932</v>
      </c>
      <c r="W261" s="12">
        <v>5</v>
      </c>
      <c r="X261" s="12">
        <v>0</v>
      </c>
      <c r="Y261" s="62">
        <v>2.73</v>
      </c>
    </row>
    <row r="262" spans="1:25" x14ac:dyDescent="0.2">
      <c r="A262" s="3" t="s">
        <v>2564</v>
      </c>
      <c r="B262" s="3" t="s">
        <v>301</v>
      </c>
      <c r="C262" s="6" t="s">
        <v>355</v>
      </c>
      <c r="D262" s="6" t="s">
        <v>174</v>
      </c>
      <c r="E262" s="6" t="s">
        <v>231</v>
      </c>
      <c r="F262" s="6">
        <v>90244.97</v>
      </c>
      <c r="G262" s="2">
        <v>12</v>
      </c>
      <c r="H262" s="61">
        <v>43.41</v>
      </c>
      <c r="I262" s="61">
        <v>100.71</v>
      </c>
      <c r="J262" s="47">
        <f t="shared" si="20"/>
        <v>2.6174999999999997</v>
      </c>
      <c r="K262" s="47">
        <f t="shared" si="21"/>
        <v>1.3199723565998618</v>
      </c>
      <c r="L262" s="8">
        <v>131.69999999999999</v>
      </c>
      <c r="M262" s="8">
        <v>40.479999999999997</v>
      </c>
      <c r="N262" s="8">
        <v>22.06</v>
      </c>
      <c r="O262" s="17">
        <f t="shared" si="22"/>
        <v>0.15465138490926456</v>
      </c>
      <c r="P262" s="17">
        <f t="shared" si="23"/>
        <v>0.16712471204188478</v>
      </c>
      <c r="Q262" s="17">
        <v>16.87</v>
      </c>
      <c r="R262" s="9">
        <v>20220803</v>
      </c>
      <c r="S262" s="9">
        <v>43.44</v>
      </c>
      <c r="T262" s="9">
        <v>-9.7100000000000009</v>
      </c>
      <c r="U262" s="9">
        <v>17675.587889999999</v>
      </c>
      <c r="V262" s="45">
        <f t="shared" si="24"/>
        <v>-1.0005493452359506</v>
      </c>
      <c r="W262" s="12">
        <v>2885.71</v>
      </c>
      <c r="X262" s="12">
        <v>0</v>
      </c>
      <c r="Y262" s="62">
        <v>1.0900000000000001</v>
      </c>
    </row>
    <row r="263" spans="1:25" x14ac:dyDescent="0.2">
      <c r="A263" s="3" t="s">
        <v>2565</v>
      </c>
      <c r="B263" s="3" t="s">
        <v>365</v>
      </c>
      <c r="C263" s="6" t="s">
        <v>356</v>
      </c>
      <c r="D263" s="6" t="s">
        <v>69</v>
      </c>
      <c r="E263" s="6" t="s">
        <v>163</v>
      </c>
      <c r="F263" s="6">
        <v>5842.63</v>
      </c>
      <c r="G263" s="2">
        <v>12</v>
      </c>
      <c r="H263" s="61">
        <v>0.5</v>
      </c>
      <c r="I263" s="61">
        <v>0.55000000000000004</v>
      </c>
      <c r="J263" s="47">
        <f t="shared" si="20"/>
        <v>-0.95833333333333337</v>
      </c>
      <c r="K263" s="47">
        <f t="shared" si="21"/>
        <v>0.10000000000000009</v>
      </c>
      <c r="L263" s="8">
        <v>0.67</v>
      </c>
      <c r="N263" s="8">
        <v>11.93</v>
      </c>
      <c r="O263" s="17">
        <f t="shared" si="22"/>
        <v>0</v>
      </c>
      <c r="P263" s="17">
        <f t="shared" si="23"/>
        <v>1.192999999999999</v>
      </c>
      <c r="Q263" s="17">
        <v>9.77</v>
      </c>
      <c r="S263" s="9">
        <v>8.83</v>
      </c>
      <c r="T263" s="9">
        <v>3.2</v>
      </c>
      <c r="U263" s="9">
        <v>2009.97497</v>
      </c>
      <c r="V263" s="45">
        <f t="shared" si="24"/>
        <v>-0.99840794037350622</v>
      </c>
      <c r="W263" s="12">
        <v>5.56</v>
      </c>
      <c r="X263" s="12">
        <v>3.24</v>
      </c>
      <c r="Y263" s="62"/>
    </row>
    <row r="264" spans="1:25" x14ac:dyDescent="0.2">
      <c r="A264" s="3" t="s">
        <v>2566</v>
      </c>
      <c r="B264" s="3" t="s">
        <v>528</v>
      </c>
      <c r="C264" s="6" t="s">
        <v>355</v>
      </c>
      <c r="D264" s="6" t="s">
        <v>529</v>
      </c>
      <c r="E264" s="6" t="s">
        <v>218</v>
      </c>
      <c r="F264" s="6">
        <v>38119.17</v>
      </c>
      <c r="G264" s="2">
        <v>12</v>
      </c>
      <c r="H264" s="61">
        <v>0.65</v>
      </c>
      <c r="I264" s="61">
        <v>1.17</v>
      </c>
      <c r="J264" s="47">
        <f t="shared" si="20"/>
        <v>-0.9458333333333333</v>
      </c>
      <c r="K264" s="47">
        <f t="shared" si="21"/>
        <v>0.79999999999999982</v>
      </c>
      <c r="L264" s="8">
        <v>1.75</v>
      </c>
      <c r="M264" s="8">
        <v>56.21</v>
      </c>
      <c r="N264" s="8">
        <v>31.79</v>
      </c>
      <c r="O264" s="17">
        <f t="shared" si="22"/>
        <v>-0.5942907488986785</v>
      </c>
      <c r="P264" s="17">
        <f t="shared" si="23"/>
        <v>0.39737500000000003</v>
      </c>
      <c r="Q264" s="17">
        <v>21.25</v>
      </c>
      <c r="R264" s="9">
        <v>20220720</v>
      </c>
      <c r="S264" s="9">
        <v>3.51</v>
      </c>
      <c r="T264" s="9">
        <v>8.1199999999999992</v>
      </c>
      <c r="U264" s="9">
        <v>22180.212889999999</v>
      </c>
      <c r="V264" s="45">
        <f t="shared" si="24"/>
        <v>-0.9996339079322516</v>
      </c>
      <c r="W264" s="12">
        <v>-21.05</v>
      </c>
      <c r="X264" s="12">
        <v>1.94</v>
      </c>
      <c r="Y264" s="62"/>
    </row>
    <row r="265" spans="1:25" x14ac:dyDescent="0.2">
      <c r="A265" s="3" t="s">
        <v>2567</v>
      </c>
      <c r="B265" s="3" t="s">
        <v>530</v>
      </c>
      <c r="C265" s="6" t="s">
        <v>354</v>
      </c>
      <c r="D265" s="6" t="s">
        <v>97</v>
      </c>
      <c r="E265" s="6" t="s">
        <v>163</v>
      </c>
      <c r="F265" s="6">
        <v>3403.17</v>
      </c>
      <c r="G265" s="2">
        <v>12</v>
      </c>
      <c r="H265" s="61">
        <v>4.26</v>
      </c>
      <c r="I265" s="61">
        <v>3.69</v>
      </c>
      <c r="J265" s="47">
        <f t="shared" si="20"/>
        <v>-0.64500000000000002</v>
      </c>
      <c r="K265" s="47">
        <f t="shared" si="21"/>
        <v>-0.13380281690140841</v>
      </c>
      <c r="L265" s="8">
        <v>4.03</v>
      </c>
      <c r="M265" s="8">
        <v>9.7899999999999991</v>
      </c>
      <c r="N265" s="8">
        <v>11.26</v>
      </c>
      <c r="O265" s="17">
        <f t="shared" si="22"/>
        <v>-0.15178294573643408</v>
      </c>
      <c r="P265" s="17">
        <f t="shared" si="23"/>
        <v>-0.84153684210526347</v>
      </c>
      <c r="Q265" s="17">
        <v>10.32</v>
      </c>
      <c r="R265" s="9">
        <v>20220728</v>
      </c>
      <c r="S265" s="9">
        <v>12.61</v>
      </c>
      <c r="T265" s="9">
        <v>-5.68</v>
      </c>
      <c r="U265" s="9">
        <v>986.24499000000003</v>
      </c>
      <c r="V265" s="45">
        <f t="shared" si="24"/>
        <v>-1.0057592181025934</v>
      </c>
      <c r="W265" s="12">
        <v>-7.06</v>
      </c>
      <c r="X265" s="12">
        <v>2.4</v>
      </c>
      <c r="Y265" s="62"/>
    </row>
    <row r="266" spans="1:25" x14ac:dyDescent="0.2">
      <c r="A266" s="3" t="s">
        <v>2568</v>
      </c>
      <c r="B266" s="3" t="s">
        <v>531</v>
      </c>
      <c r="C266" s="6" t="s">
        <v>355</v>
      </c>
      <c r="D266" s="6" t="s">
        <v>177</v>
      </c>
      <c r="E266" s="6" t="s">
        <v>119</v>
      </c>
      <c r="F266" s="6">
        <v>4329.79</v>
      </c>
      <c r="G266" s="2">
        <v>12</v>
      </c>
      <c r="H266" s="61">
        <v>0.61</v>
      </c>
      <c r="I266" s="61">
        <v>0.09</v>
      </c>
      <c r="J266" s="47">
        <f t="shared" si="20"/>
        <v>-0.94916666666666671</v>
      </c>
      <c r="K266" s="47">
        <f t="shared" si="21"/>
        <v>-0.85245901639344268</v>
      </c>
      <c r="L266" s="8">
        <v>0.36</v>
      </c>
      <c r="M266" s="8">
        <v>152.08000000000001</v>
      </c>
      <c r="N266" s="8">
        <v>786.15</v>
      </c>
      <c r="O266" s="17">
        <f t="shared" si="22"/>
        <v>-1.6022475856014049</v>
      </c>
      <c r="P266" s="17">
        <f t="shared" si="23"/>
        <v>-9.2221442307692296</v>
      </c>
      <c r="Q266" s="17">
        <v>201.98</v>
      </c>
      <c r="R266" s="9">
        <v>20220804</v>
      </c>
      <c r="S266" s="9">
        <v>-12.37</v>
      </c>
      <c r="T266" s="9">
        <v>25.25</v>
      </c>
      <c r="U266" s="9">
        <v>525.42296999999996</v>
      </c>
      <c r="V266" s="45">
        <f t="shared" si="24"/>
        <v>-0.95194347898417919</v>
      </c>
      <c r="W266" s="12">
        <v>112.5</v>
      </c>
      <c r="X266" s="12">
        <v>0</v>
      </c>
      <c r="Y266" s="62">
        <v>56.03</v>
      </c>
    </row>
    <row r="267" spans="1:25" x14ac:dyDescent="0.2">
      <c r="A267" s="3" t="s">
        <v>2569</v>
      </c>
      <c r="B267" s="3" t="s">
        <v>2570</v>
      </c>
      <c r="C267" s="6" t="s">
        <v>354</v>
      </c>
      <c r="D267" s="6" t="s">
        <v>195</v>
      </c>
      <c r="E267" s="6" t="s">
        <v>208</v>
      </c>
      <c r="F267" s="6">
        <v>6300</v>
      </c>
      <c r="G267" s="2">
        <v>12</v>
      </c>
      <c r="H267" s="61"/>
      <c r="I267" s="61">
        <v>1.05</v>
      </c>
      <c r="J267" s="47">
        <f t="shared" si="20"/>
        <v>-1</v>
      </c>
      <c r="K267" s="47" t="e">
        <f t="shared" si="21"/>
        <v>#DIV/0!</v>
      </c>
      <c r="L267" s="8">
        <v>1.2</v>
      </c>
      <c r="N267" s="8">
        <v>17.14</v>
      </c>
      <c r="O267" s="17">
        <f t="shared" si="22"/>
        <v>0</v>
      </c>
      <c r="P267" s="17" t="e">
        <f t="shared" si="23"/>
        <v>#DIV/0!</v>
      </c>
      <c r="Q267" s="17">
        <v>15</v>
      </c>
      <c r="R267" s="9">
        <v>20220815</v>
      </c>
      <c r="V267" s="45" t="e">
        <f t="shared" si="24"/>
        <v>#DIV/0!</v>
      </c>
      <c r="X267" s="12">
        <v>0</v>
      </c>
      <c r="Y267" s="62"/>
    </row>
    <row r="268" spans="1:25" x14ac:dyDescent="0.2">
      <c r="A268" s="3" t="s">
        <v>2571</v>
      </c>
      <c r="B268" s="3" t="s">
        <v>532</v>
      </c>
      <c r="C268" s="6" t="s">
        <v>354</v>
      </c>
      <c r="D268" s="6" t="s">
        <v>121</v>
      </c>
      <c r="E268" s="6" t="s">
        <v>140</v>
      </c>
      <c r="F268" s="6">
        <v>6487.07</v>
      </c>
      <c r="G268" s="2">
        <v>12</v>
      </c>
      <c r="H268" s="61">
        <v>10.69</v>
      </c>
      <c r="I268" s="61">
        <v>14.8</v>
      </c>
      <c r="J268" s="47">
        <f t="shared" si="20"/>
        <v>-0.1091666666666667</v>
      </c>
      <c r="K268" s="47">
        <f t="shared" si="21"/>
        <v>0.38447146866230136</v>
      </c>
      <c r="L268" s="8">
        <v>15.84</v>
      </c>
      <c r="M268" s="8">
        <v>16.05</v>
      </c>
      <c r="N268" s="8">
        <v>13.37</v>
      </c>
      <c r="O268" s="17">
        <f t="shared" si="22"/>
        <v>-1.4702290076335875</v>
      </c>
      <c r="P268" s="17">
        <f t="shared" si="23"/>
        <v>0.34775012165450109</v>
      </c>
      <c r="Q268" s="17">
        <v>12.5</v>
      </c>
      <c r="R268" s="9">
        <v>20220802</v>
      </c>
      <c r="S268" s="9">
        <v>25.63</v>
      </c>
      <c r="T268" s="9">
        <v>14.34</v>
      </c>
      <c r="U268" s="9">
        <v>4773.5</v>
      </c>
      <c r="V268" s="45">
        <f t="shared" si="24"/>
        <v>-0.99699591494710382</v>
      </c>
      <c r="W268" s="12">
        <v>22.81</v>
      </c>
      <c r="X268" s="12">
        <v>0</v>
      </c>
      <c r="Y268" s="62"/>
    </row>
    <row r="269" spans="1:25" x14ac:dyDescent="0.2">
      <c r="A269" s="3" t="s">
        <v>2572</v>
      </c>
      <c r="B269" s="3" t="s">
        <v>533</v>
      </c>
      <c r="C269" s="6" t="s">
        <v>354</v>
      </c>
      <c r="D269" s="6" t="s">
        <v>534</v>
      </c>
      <c r="E269" s="6" t="s">
        <v>231</v>
      </c>
      <c r="F269" s="6">
        <v>11714.72</v>
      </c>
      <c r="G269" s="2">
        <v>12</v>
      </c>
      <c r="H269" s="61">
        <v>9.26</v>
      </c>
      <c r="I269" s="61">
        <v>11.71</v>
      </c>
      <c r="J269" s="47">
        <f t="shared" si="20"/>
        <v>-0.22833333333333336</v>
      </c>
      <c r="K269" s="47">
        <f t="shared" si="21"/>
        <v>0.26457883369330465</v>
      </c>
      <c r="L269" s="8">
        <v>9.4499999999999993</v>
      </c>
      <c r="M269" s="8">
        <v>5.17</v>
      </c>
      <c r="N269" s="8">
        <v>5.66</v>
      </c>
      <c r="O269" s="17">
        <f t="shared" si="22"/>
        <v>-0.22642335766423355</v>
      </c>
      <c r="P269" s="17">
        <f t="shared" si="23"/>
        <v>0.2139248979591836</v>
      </c>
      <c r="Q269" s="17">
        <v>7.01</v>
      </c>
      <c r="R269" s="9">
        <v>20220804</v>
      </c>
      <c r="S269" s="9">
        <v>47.82</v>
      </c>
      <c r="T269" s="9">
        <v>22.92</v>
      </c>
      <c r="U269" s="9">
        <v>21675.970700000002</v>
      </c>
      <c r="V269" s="45">
        <f t="shared" si="24"/>
        <v>-0.99894260790821243</v>
      </c>
      <c r="W269" s="12">
        <v>81.400000000000006</v>
      </c>
      <c r="X269" s="12">
        <v>0</v>
      </c>
      <c r="Y269" s="62"/>
    </row>
    <row r="270" spans="1:25" x14ac:dyDescent="0.2">
      <c r="A270" s="3" t="s">
        <v>2573</v>
      </c>
      <c r="B270" s="3" t="s">
        <v>535</v>
      </c>
      <c r="C270" s="6" t="s">
        <v>354</v>
      </c>
      <c r="D270" s="6" t="s">
        <v>150</v>
      </c>
      <c r="E270" s="6" t="s">
        <v>163</v>
      </c>
      <c r="F270" s="6">
        <v>98846.78</v>
      </c>
      <c r="G270" s="2">
        <v>12</v>
      </c>
      <c r="H270" s="61">
        <v>38.979999999999997</v>
      </c>
      <c r="I270" s="61">
        <v>38.68</v>
      </c>
      <c r="J270" s="47">
        <f t="shared" si="20"/>
        <v>2.2483333333333331</v>
      </c>
      <c r="K270" s="47">
        <f t="shared" si="21"/>
        <v>-7.6962544894817134E-3</v>
      </c>
      <c r="L270" s="8">
        <v>43.97</v>
      </c>
      <c r="M270" s="8">
        <v>15.94</v>
      </c>
      <c r="N270" s="8">
        <v>16.87</v>
      </c>
      <c r="O270" s="17">
        <f t="shared" si="22"/>
        <v>7.0896960711638257E-2</v>
      </c>
      <c r="P270" s="17">
        <f t="shared" si="23"/>
        <v>-21.919753333333542</v>
      </c>
      <c r="Q270" s="17">
        <v>14.84</v>
      </c>
      <c r="R270" s="9">
        <v>20220713</v>
      </c>
      <c r="S270" s="9">
        <v>17</v>
      </c>
      <c r="T270" s="9">
        <v>10.5</v>
      </c>
      <c r="U270" s="9">
        <v>20153.0039</v>
      </c>
      <c r="V270" s="45">
        <f t="shared" si="24"/>
        <v>-0.99947898585977046</v>
      </c>
      <c r="W270" s="12">
        <v>6.73</v>
      </c>
      <c r="X270" s="12">
        <v>2.99</v>
      </c>
      <c r="Y270" s="62">
        <v>2.0699999999999998</v>
      </c>
    </row>
    <row r="271" spans="1:25" x14ac:dyDescent="0.2">
      <c r="A271" s="3" t="s">
        <v>2574</v>
      </c>
      <c r="B271" s="3" t="s">
        <v>536</v>
      </c>
      <c r="C271" s="6" t="s">
        <v>355</v>
      </c>
      <c r="D271" s="6" t="s">
        <v>132</v>
      </c>
      <c r="E271" s="6" t="s">
        <v>119</v>
      </c>
      <c r="F271" s="6">
        <v>3336.47</v>
      </c>
      <c r="G271" s="2">
        <v>12</v>
      </c>
      <c r="H271" s="61">
        <v>2.97</v>
      </c>
      <c r="I271" s="61">
        <v>2.75</v>
      </c>
      <c r="J271" s="47">
        <f t="shared" si="20"/>
        <v>-0.75249999999999995</v>
      </c>
      <c r="K271" s="47">
        <f t="shared" si="21"/>
        <v>-7.4074074074074139E-2</v>
      </c>
      <c r="L271" s="8">
        <v>3.13</v>
      </c>
      <c r="M271" s="8">
        <v>21.58</v>
      </c>
      <c r="N271" s="8">
        <v>22.92</v>
      </c>
      <c r="O271" s="17">
        <f t="shared" si="22"/>
        <v>-0.28677740863787371</v>
      </c>
      <c r="P271" s="17">
        <f t="shared" si="23"/>
        <v>-3.0941999999999976</v>
      </c>
      <c r="Q271" s="17">
        <v>20.13</v>
      </c>
      <c r="R271" s="9">
        <v>20220802</v>
      </c>
      <c r="S271" s="9">
        <v>8.94</v>
      </c>
      <c r="T271" s="9">
        <v>4.38</v>
      </c>
      <c r="U271" s="9">
        <v>1082.9250400000001</v>
      </c>
      <c r="V271" s="45">
        <f t="shared" si="24"/>
        <v>-0.99595539872270378</v>
      </c>
      <c r="W271" s="12">
        <v>-12.31</v>
      </c>
      <c r="X271" s="12">
        <v>0</v>
      </c>
      <c r="Y271" s="62">
        <v>4.01</v>
      </c>
    </row>
    <row r="272" spans="1:25" x14ac:dyDescent="0.2">
      <c r="A272" s="3" t="s">
        <v>2575</v>
      </c>
      <c r="B272" s="3" t="s">
        <v>539</v>
      </c>
      <c r="C272" s="6" t="s">
        <v>356</v>
      </c>
      <c r="D272" s="6" t="s">
        <v>121</v>
      </c>
      <c r="E272" s="6" t="s">
        <v>140</v>
      </c>
      <c r="F272" s="6">
        <v>5649.26</v>
      </c>
      <c r="G272" s="2">
        <v>7</v>
      </c>
      <c r="H272" s="61">
        <v>4.55</v>
      </c>
      <c r="I272" s="61">
        <v>5.55</v>
      </c>
      <c r="J272" s="47">
        <f t="shared" si="20"/>
        <v>-0.35000000000000003</v>
      </c>
      <c r="K272" s="47">
        <f t="shared" si="21"/>
        <v>0.21978021978021978</v>
      </c>
      <c r="L272" s="8">
        <v>5.26</v>
      </c>
      <c r="N272" s="8">
        <v>8.24</v>
      </c>
      <c r="O272" s="17">
        <f t="shared" si="22"/>
        <v>0</v>
      </c>
      <c r="P272" s="17">
        <f t="shared" si="23"/>
        <v>0.37492000000000003</v>
      </c>
      <c r="Q272" s="17">
        <v>8.69</v>
      </c>
      <c r="U272" s="9">
        <v>4462.18505</v>
      </c>
      <c r="V272" s="45">
        <f t="shared" si="24"/>
        <v>-1</v>
      </c>
      <c r="X272" s="12">
        <v>2.2400000000000002</v>
      </c>
      <c r="Y272" s="62"/>
    </row>
    <row r="273" spans="1:25" x14ac:dyDescent="0.2">
      <c r="A273" s="3" t="s">
        <v>2576</v>
      </c>
      <c r="B273" s="3" t="s">
        <v>2577</v>
      </c>
      <c r="C273" s="6" t="s">
        <v>355</v>
      </c>
      <c r="D273" s="6" t="s">
        <v>177</v>
      </c>
      <c r="E273" s="6" t="s">
        <v>119</v>
      </c>
      <c r="F273" s="6">
        <v>3714.37</v>
      </c>
      <c r="G273" s="2">
        <v>12</v>
      </c>
      <c r="H273" s="61">
        <v>1.84</v>
      </c>
      <c r="I273" s="61">
        <v>0.26</v>
      </c>
      <c r="J273" s="47">
        <f t="shared" si="20"/>
        <v>-0.84666666666666668</v>
      </c>
      <c r="K273" s="47">
        <f t="shared" si="21"/>
        <v>-0.85869565217391308</v>
      </c>
      <c r="L273" s="8">
        <v>0.48</v>
      </c>
      <c r="N273" s="8">
        <v>111.2</v>
      </c>
      <c r="O273" s="17">
        <f t="shared" si="22"/>
        <v>0</v>
      </c>
      <c r="P273" s="17">
        <f t="shared" si="23"/>
        <v>-1.2949873417721518</v>
      </c>
      <c r="Q273" s="17">
        <v>59.28</v>
      </c>
      <c r="R273" s="9">
        <v>20220810</v>
      </c>
      <c r="S273" s="9">
        <v>-0.57999999999999996</v>
      </c>
      <c r="U273" s="9">
        <v>936.76</v>
      </c>
      <c r="V273" s="45">
        <f t="shared" si="24"/>
        <v>-1</v>
      </c>
      <c r="W273" s="12">
        <v>300</v>
      </c>
      <c r="X273" s="12">
        <v>0</v>
      </c>
      <c r="Y273" s="62"/>
    </row>
    <row r="274" spans="1:25" x14ac:dyDescent="0.2">
      <c r="A274" s="3" t="s">
        <v>540</v>
      </c>
      <c r="B274" s="3" t="s">
        <v>541</v>
      </c>
      <c r="C274" s="6" t="s">
        <v>354</v>
      </c>
      <c r="D274" s="6" t="s">
        <v>69</v>
      </c>
      <c r="E274" s="6" t="s">
        <v>163</v>
      </c>
      <c r="F274" s="6">
        <v>71051.210000000006</v>
      </c>
      <c r="G274" s="2">
        <v>10</v>
      </c>
      <c r="H274" s="61">
        <v>10.130000000000001</v>
      </c>
      <c r="I274" s="61">
        <v>10.34</v>
      </c>
      <c r="J274" s="47">
        <f t="shared" si="20"/>
        <v>1.3000000000000077E-2</v>
      </c>
      <c r="K274" s="47">
        <f t="shared" si="21"/>
        <v>2.0730503455083815E-2</v>
      </c>
      <c r="L274" s="8">
        <v>11.09</v>
      </c>
      <c r="M274" s="8">
        <v>9.56</v>
      </c>
      <c r="N274" s="8">
        <v>10.23</v>
      </c>
      <c r="O274" s="17">
        <f t="shared" si="22"/>
        <v>7.35384615384611</v>
      </c>
      <c r="P274" s="17">
        <f t="shared" si="23"/>
        <v>4.9347571428571664</v>
      </c>
      <c r="Q274" s="17">
        <v>9.5399999999999991</v>
      </c>
      <c r="R274" s="9">
        <v>20220823</v>
      </c>
      <c r="S274" s="9">
        <v>17.05</v>
      </c>
      <c r="T274" s="9">
        <v>4.6100000000000003</v>
      </c>
      <c r="U274" s="9">
        <v>21803.41015</v>
      </c>
      <c r="V274" s="45">
        <f t="shared" si="24"/>
        <v>-0.99978856518460713</v>
      </c>
      <c r="W274" s="12">
        <v>4.9400000000000004</v>
      </c>
      <c r="X274" s="12">
        <v>4.0199999999999996</v>
      </c>
      <c r="Y274" s="62">
        <v>1.49</v>
      </c>
    </row>
    <row r="275" spans="1:25" x14ac:dyDescent="0.2">
      <c r="A275" s="3" t="s">
        <v>2578</v>
      </c>
      <c r="B275" s="3" t="s">
        <v>542</v>
      </c>
      <c r="C275" s="6" t="s">
        <v>355</v>
      </c>
      <c r="D275" s="6" t="s">
        <v>185</v>
      </c>
      <c r="E275" s="6" t="s">
        <v>208</v>
      </c>
      <c r="F275" s="6">
        <v>14588.73</v>
      </c>
      <c r="G275" s="2">
        <v>12</v>
      </c>
      <c r="H275" s="61">
        <v>1.25</v>
      </c>
      <c r="I275" s="61">
        <v>1.96</v>
      </c>
      <c r="J275" s="47">
        <f t="shared" si="20"/>
        <v>-0.89583333333333337</v>
      </c>
      <c r="K275" s="47">
        <f t="shared" si="21"/>
        <v>0.56799999999999995</v>
      </c>
      <c r="L275" s="8">
        <v>3.91</v>
      </c>
      <c r="M275" s="8">
        <v>61.13</v>
      </c>
      <c r="N275" s="8">
        <v>40.18</v>
      </c>
      <c r="O275" s="17">
        <f t="shared" si="22"/>
        <v>-0.68238139534883713</v>
      </c>
      <c r="P275" s="17">
        <f t="shared" si="23"/>
        <v>0.7073943661971831</v>
      </c>
      <c r="Q275" s="17">
        <v>20.149999999999999</v>
      </c>
      <c r="R275" s="9">
        <v>20220727</v>
      </c>
      <c r="S275" s="9">
        <v>1.36</v>
      </c>
      <c r="T275" s="9">
        <v>10.17</v>
      </c>
      <c r="U275" s="9">
        <v>2097.6049800000001</v>
      </c>
      <c r="V275" s="45">
        <f t="shared" si="24"/>
        <v>-0.99515161334142133</v>
      </c>
      <c r="W275" s="12">
        <v>44.74</v>
      </c>
      <c r="X275" s="12">
        <v>0</v>
      </c>
      <c r="Y275" s="62">
        <v>0.8</v>
      </c>
    </row>
    <row r="276" spans="1:25" x14ac:dyDescent="0.2">
      <c r="A276" s="3" t="s">
        <v>2579</v>
      </c>
      <c r="B276" s="3" t="s">
        <v>543</v>
      </c>
      <c r="C276" s="6" t="s">
        <v>356</v>
      </c>
      <c r="D276" s="6" t="s">
        <v>544</v>
      </c>
      <c r="E276" s="6" t="s">
        <v>146</v>
      </c>
      <c r="F276" s="6">
        <v>5742.54</v>
      </c>
      <c r="G276" s="2">
        <v>3</v>
      </c>
      <c r="H276" s="61">
        <v>2.1</v>
      </c>
      <c r="I276" s="61">
        <v>1.93</v>
      </c>
      <c r="J276" s="47">
        <f t="shared" si="20"/>
        <v>-0.3</v>
      </c>
      <c r="K276" s="47">
        <f t="shared" si="21"/>
        <v>-8.0952380952381026E-2</v>
      </c>
      <c r="L276" s="8">
        <v>2.12</v>
      </c>
      <c r="N276" s="8">
        <v>11.89</v>
      </c>
      <c r="O276" s="17">
        <f t="shared" si="22"/>
        <v>0</v>
      </c>
      <c r="P276" s="17">
        <f t="shared" si="23"/>
        <v>-1.4687647058823519</v>
      </c>
      <c r="Q276" s="17">
        <v>10.82</v>
      </c>
      <c r="R276" s="9">
        <v>20220620</v>
      </c>
      <c r="U276" s="9">
        <v>6710.4448199999997</v>
      </c>
      <c r="V276" s="45">
        <f t="shared" si="24"/>
        <v>-1</v>
      </c>
      <c r="X276" s="12">
        <v>7.9</v>
      </c>
      <c r="Y276" s="62"/>
    </row>
    <row r="277" spans="1:25" x14ac:dyDescent="0.2">
      <c r="A277" s="3" t="s">
        <v>2580</v>
      </c>
      <c r="B277" s="3" t="s">
        <v>545</v>
      </c>
      <c r="C277" s="6" t="s">
        <v>356</v>
      </c>
      <c r="D277" s="6" t="s">
        <v>195</v>
      </c>
      <c r="E277" s="6" t="s">
        <v>208</v>
      </c>
      <c r="F277" s="6">
        <v>11664.5</v>
      </c>
      <c r="G277" s="2">
        <v>12</v>
      </c>
      <c r="H277" s="61">
        <v>5.59</v>
      </c>
      <c r="I277" s="61">
        <v>4.32</v>
      </c>
      <c r="J277" s="47">
        <f t="shared" si="20"/>
        <v>-0.53416666666666668</v>
      </c>
      <c r="K277" s="47">
        <f t="shared" si="21"/>
        <v>-0.2271914132379248</v>
      </c>
      <c r="L277" s="8">
        <v>4.6900000000000004</v>
      </c>
      <c r="N277" s="8">
        <v>22.81</v>
      </c>
      <c r="O277" s="17">
        <f t="shared" si="22"/>
        <v>0</v>
      </c>
      <c r="P277" s="17">
        <f t="shared" si="23"/>
        <v>-1.0039992125984254</v>
      </c>
      <c r="Q277" s="17">
        <v>21.01</v>
      </c>
      <c r="R277" s="9">
        <v>20220601</v>
      </c>
      <c r="U277" s="9">
        <v>3702.8400799999999</v>
      </c>
      <c r="V277" s="45">
        <f t="shared" si="24"/>
        <v>-1</v>
      </c>
      <c r="X277" s="12">
        <v>0</v>
      </c>
      <c r="Y277" s="62"/>
    </row>
    <row r="278" spans="1:25" x14ac:dyDescent="0.2">
      <c r="A278" s="3" t="s">
        <v>2581</v>
      </c>
      <c r="B278" s="3" t="s">
        <v>546</v>
      </c>
      <c r="C278" s="6" t="s">
        <v>354</v>
      </c>
      <c r="D278" s="6" t="s">
        <v>185</v>
      </c>
      <c r="E278" s="6" t="s">
        <v>208</v>
      </c>
      <c r="F278" s="6">
        <v>165194.07999999999</v>
      </c>
      <c r="G278" s="2">
        <v>12</v>
      </c>
      <c r="H278" s="61">
        <v>7.5</v>
      </c>
      <c r="I278" s="61">
        <v>7.61</v>
      </c>
      <c r="J278" s="47">
        <f t="shared" si="20"/>
        <v>-0.375</v>
      </c>
      <c r="K278" s="47">
        <f t="shared" si="21"/>
        <v>1.466666666666671E-2</v>
      </c>
      <c r="L278" s="8">
        <v>8.19</v>
      </c>
      <c r="M278" s="8">
        <v>10.050000000000001</v>
      </c>
      <c r="N278" s="8">
        <v>10.19</v>
      </c>
      <c r="O278" s="17">
        <f t="shared" si="22"/>
        <v>-0.26800000000000002</v>
      </c>
      <c r="P278" s="17">
        <f t="shared" si="23"/>
        <v>6.9477272727272519</v>
      </c>
      <c r="Q278" s="17">
        <v>9.48</v>
      </c>
      <c r="R278" s="9">
        <v>20220727</v>
      </c>
      <c r="S278" s="9">
        <v>48.37</v>
      </c>
      <c r="T278" s="9">
        <v>23.99</v>
      </c>
      <c r="U278" s="9">
        <v>46330.816400000003</v>
      </c>
      <c r="V278" s="45">
        <f t="shared" si="24"/>
        <v>-0.99948220208785277</v>
      </c>
      <c r="W278" s="12">
        <v>2.08</v>
      </c>
      <c r="X278" s="12">
        <v>2.78</v>
      </c>
      <c r="Y278" s="62">
        <v>1.63</v>
      </c>
    </row>
    <row r="279" spans="1:25" x14ac:dyDescent="0.2">
      <c r="A279" s="3" t="s">
        <v>2582</v>
      </c>
      <c r="B279" s="3" t="s">
        <v>1943</v>
      </c>
      <c r="C279" s="6" t="s">
        <v>354</v>
      </c>
      <c r="D279" s="6" t="s">
        <v>216</v>
      </c>
      <c r="E279" s="6" t="s">
        <v>163</v>
      </c>
      <c r="F279" s="6">
        <v>3489.4</v>
      </c>
      <c r="G279" s="2">
        <v>12</v>
      </c>
      <c r="H279" s="61">
        <v>1.32</v>
      </c>
      <c r="I279" s="61">
        <v>1.45</v>
      </c>
      <c r="J279" s="47">
        <f t="shared" si="20"/>
        <v>-0.89</v>
      </c>
      <c r="K279" s="47">
        <f t="shared" si="21"/>
        <v>9.8484848484848397E-2</v>
      </c>
      <c r="L279" s="8">
        <v>1.5</v>
      </c>
      <c r="M279" s="8">
        <v>15.27</v>
      </c>
      <c r="N279" s="8">
        <v>14.26</v>
      </c>
      <c r="O279" s="17">
        <f t="shared" si="22"/>
        <v>-0.17157303370786517</v>
      </c>
      <c r="P279" s="17">
        <f t="shared" si="23"/>
        <v>1.4479384615384627</v>
      </c>
      <c r="Q279" s="17">
        <v>13.74</v>
      </c>
      <c r="R279" s="9">
        <v>20220802</v>
      </c>
      <c r="S279" s="9">
        <v>3.86</v>
      </c>
      <c r="U279" s="9">
        <v>378.49301000000003</v>
      </c>
      <c r="V279" s="45">
        <f t="shared" si="24"/>
        <v>-1</v>
      </c>
      <c r="W279" s="12">
        <v>0</v>
      </c>
      <c r="X279" s="12">
        <v>5.14</v>
      </c>
      <c r="Y279" s="62"/>
    </row>
    <row r="280" spans="1:25" x14ac:dyDescent="0.2">
      <c r="A280" s="3" t="s">
        <v>2583</v>
      </c>
      <c r="B280" s="3" t="s">
        <v>547</v>
      </c>
      <c r="C280" s="6" t="s">
        <v>356</v>
      </c>
      <c r="D280" s="6" t="s">
        <v>69</v>
      </c>
      <c r="E280" s="6" t="s">
        <v>163</v>
      </c>
      <c r="F280" s="6">
        <v>70011.3</v>
      </c>
      <c r="G280" s="2">
        <v>12</v>
      </c>
      <c r="H280" s="61">
        <v>3.77</v>
      </c>
      <c r="I280" s="61">
        <v>3.88</v>
      </c>
      <c r="J280" s="47">
        <f t="shared" si="20"/>
        <v>-0.68583333333333341</v>
      </c>
      <c r="K280" s="47">
        <f t="shared" si="21"/>
        <v>2.9177718832891213E-2</v>
      </c>
      <c r="L280" s="8">
        <v>3.65</v>
      </c>
      <c r="M280" s="8">
        <v>7.02</v>
      </c>
      <c r="N280" s="8">
        <v>7.3</v>
      </c>
      <c r="O280" s="17">
        <f t="shared" si="22"/>
        <v>-0.1023572296476306</v>
      </c>
      <c r="P280" s="17">
        <f t="shared" si="23"/>
        <v>2.501909090909094</v>
      </c>
      <c r="Q280" s="17">
        <v>7.76</v>
      </c>
      <c r="R280" s="9">
        <v>20220729</v>
      </c>
      <c r="S280" s="9">
        <v>7.51</v>
      </c>
      <c r="U280" s="9">
        <v>50488.90625</v>
      </c>
      <c r="V280" s="45">
        <f t="shared" si="24"/>
        <v>-1</v>
      </c>
      <c r="W280" s="12">
        <v>26.47</v>
      </c>
      <c r="X280" s="12">
        <v>5.84</v>
      </c>
      <c r="Y280" s="62">
        <v>0.67</v>
      </c>
    </row>
    <row r="281" spans="1:25" x14ac:dyDescent="0.2">
      <c r="A281" s="3" t="s">
        <v>2584</v>
      </c>
      <c r="B281" s="3" t="s">
        <v>548</v>
      </c>
      <c r="C281" s="6" t="s">
        <v>354</v>
      </c>
      <c r="D281" s="6" t="s">
        <v>69</v>
      </c>
      <c r="E281" s="6" t="s">
        <v>163</v>
      </c>
      <c r="F281" s="6">
        <v>79114.559999999998</v>
      </c>
      <c r="G281" s="2">
        <v>10</v>
      </c>
      <c r="H281" s="61">
        <v>6.15</v>
      </c>
      <c r="I281" s="61">
        <v>6.52</v>
      </c>
      <c r="J281" s="47">
        <f t="shared" si="20"/>
        <v>-0.38499999999999995</v>
      </c>
      <c r="K281" s="47">
        <f t="shared" si="21"/>
        <v>6.0162601626016131E-2</v>
      </c>
      <c r="L281" s="8">
        <v>6.82</v>
      </c>
      <c r="M281" s="8">
        <v>9.83</v>
      </c>
      <c r="N281" s="8">
        <v>10.130000000000001</v>
      </c>
      <c r="O281" s="17">
        <f t="shared" si="22"/>
        <v>-0.2553246753246754</v>
      </c>
      <c r="P281" s="17">
        <f t="shared" si="23"/>
        <v>1.6837702702702741</v>
      </c>
      <c r="Q281" s="17">
        <v>9.69</v>
      </c>
      <c r="R281" s="9">
        <v>20220823</v>
      </c>
      <c r="S281" s="9">
        <v>15.66</v>
      </c>
      <c r="T281" s="9">
        <v>3.15</v>
      </c>
      <c r="U281" s="9">
        <v>25284.16015</v>
      </c>
      <c r="V281" s="45">
        <f t="shared" si="24"/>
        <v>-0.9998754160715122</v>
      </c>
      <c r="W281" s="12">
        <v>12.42</v>
      </c>
      <c r="X281" s="12">
        <v>4.84</v>
      </c>
      <c r="Y281" s="62">
        <v>1.69</v>
      </c>
    </row>
    <row r="282" spans="1:25" x14ac:dyDescent="0.2">
      <c r="A282" s="3" t="s">
        <v>2585</v>
      </c>
      <c r="B282" s="3" t="s">
        <v>549</v>
      </c>
      <c r="C282" s="6" t="s">
        <v>356</v>
      </c>
      <c r="D282" s="6" t="s">
        <v>126</v>
      </c>
      <c r="E282" s="6" t="s">
        <v>60</v>
      </c>
      <c r="F282" s="6">
        <v>11879.12</v>
      </c>
      <c r="G282" s="2">
        <v>12</v>
      </c>
      <c r="H282" s="61">
        <v>0.78</v>
      </c>
      <c r="I282" s="61">
        <v>1.0900000000000001</v>
      </c>
      <c r="J282" s="47">
        <f t="shared" si="20"/>
        <v>-0.93500000000000005</v>
      </c>
      <c r="K282" s="47">
        <f t="shared" si="21"/>
        <v>0.39743589743589747</v>
      </c>
      <c r="L282" s="8">
        <v>1.01</v>
      </c>
      <c r="M282" s="8">
        <v>22.29</v>
      </c>
      <c r="N282" s="8">
        <v>14.11</v>
      </c>
      <c r="O282" s="17">
        <f t="shared" si="22"/>
        <v>-0.23839572192513367</v>
      </c>
      <c r="P282" s="17">
        <f t="shared" si="23"/>
        <v>0.35502580645161286</v>
      </c>
      <c r="Q282" s="17">
        <v>15.23</v>
      </c>
      <c r="R282" s="9">
        <v>20220531</v>
      </c>
      <c r="S282" s="9">
        <v>11.62</v>
      </c>
      <c r="T282" s="9">
        <v>3.03</v>
      </c>
      <c r="U282" s="9">
        <v>17556.050780000001</v>
      </c>
      <c r="V282" s="45">
        <f t="shared" si="24"/>
        <v>-0.99982740993188224</v>
      </c>
      <c r="W282" s="12">
        <v>-7.69</v>
      </c>
      <c r="X282" s="12">
        <v>1.38</v>
      </c>
      <c r="Y282" s="62"/>
    </row>
    <row r="283" spans="1:25" x14ac:dyDescent="0.2">
      <c r="A283" s="3" t="s">
        <v>2586</v>
      </c>
      <c r="B283" s="3" t="s">
        <v>550</v>
      </c>
      <c r="C283" s="6" t="s">
        <v>355</v>
      </c>
      <c r="D283" s="6" t="s">
        <v>185</v>
      </c>
      <c r="E283" s="6" t="s">
        <v>208</v>
      </c>
      <c r="F283" s="6">
        <v>38433.49</v>
      </c>
      <c r="G283" s="2">
        <v>12</v>
      </c>
      <c r="H283" s="61">
        <v>38.85</v>
      </c>
      <c r="I283" s="61">
        <v>34.78</v>
      </c>
      <c r="J283" s="47">
        <f t="shared" si="20"/>
        <v>2.2375000000000003</v>
      </c>
      <c r="K283" s="47">
        <f t="shared" si="21"/>
        <v>-0.10476190476190476</v>
      </c>
      <c r="L283" s="8">
        <v>15.6</v>
      </c>
      <c r="M283" s="8">
        <v>2.75</v>
      </c>
      <c r="N283" s="8">
        <v>4.55</v>
      </c>
      <c r="O283" s="17">
        <f t="shared" si="22"/>
        <v>1.2290502793296089E-2</v>
      </c>
      <c r="P283" s="17">
        <f t="shared" si="23"/>
        <v>-0.43431818181818183</v>
      </c>
      <c r="Q283" s="17">
        <v>10.14</v>
      </c>
      <c r="R283" s="9">
        <v>20220808</v>
      </c>
      <c r="S283" s="9">
        <v>122.24</v>
      </c>
      <c r="U283" s="9">
        <v>17080.533200000002</v>
      </c>
      <c r="V283" s="45">
        <f t="shared" si="24"/>
        <v>-1</v>
      </c>
      <c r="W283" s="12">
        <v>74.84</v>
      </c>
      <c r="X283" s="12">
        <v>0</v>
      </c>
      <c r="Y283" s="62"/>
    </row>
    <row r="284" spans="1:25" x14ac:dyDescent="0.2">
      <c r="A284" s="3" t="s">
        <v>2587</v>
      </c>
      <c r="B284" s="3" t="s">
        <v>551</v>
      </c>
      <c r="C284" s="6" t="s">
        <v>354</v>
      </c>
      <c r="D284" s="6" t="s">
        <v>113</v>
      </c>
      <c r="E284" s="6" t="s">
        <v>163</v>
      </c>
      <c r="F284" s="6">
        <v>3163.46</v>
      </c>
      <c r="G284" s="2">
        <v>12</v>
      </c>
      <c r="H284" s="61">
        <v>6.09</v>
      </c>
      <c r="I284" s="61">
        <v>5.55</v>
      </c>
      <c r="J284" s="47">
        <f t="shared" si="20"/>
        <v>-0.49249999999999999</v>
      </c>
      <c r="K284" s="47">
        <f t="shared" si="21"/>
        <v>-8.8669950738916259E-2</v>
      </c>
      <c r="L284" s="8">
        <v>6.07</v>
      </c>
      <c r="M284" s="8">
        <v>12.94</v>
      </c>
      <c r="N284" s="8">
        <v>14.15</v>
      </c>
      <c r="O284" s="17">
        <f t="shared" si="22"/>
        <v>-0.26274111675126904</v>
      </c>
      <c r="P284" s="17">
        <f t="shared" si="23"/>
        <v>-1.5958055555555555</v>
      </c>
      <c r="Q284" s="17">
        <v>12.93</v>
      </c>
      <c r="R284" s="9">
        <v>20220725</v>
      </c>
      <c r="S284" s="9">
        <v>17.989999999999998</v>
      </c>
      <c r="T284" s="9">
        <v>0.83</v>
      </c>
      <c r="U284" s="9">
        <v>704.5</v>
      </c>
      <c r="V284" s="45">
        <f t="shared" si="24"/>
        <v>-0.99882185947480473</v>
      </c>
      <c r="W284" s="12">
        <v>8.1999999999999993</v>
      </c>
      <c r="X284" s="12">
        <v>3.57</v>
      </c>
      <c r="Y284" s="62">
        <v>1.77</v>
      </c>
    </row>
    <row r="285" spans="1:25" x14ac:dyDescent="0.2">
      <c r="A285" s="3" t="s">
        <v>2588</v>
      </c>
      <c r="B285" s="3" t="s">
        <v>2088</v>
      </c>
      <c r="C285" s="6" t="s">
        <v>356</v>
      </c>
      <c r="D285" s="6" t="s">
        <v>239</v>
      </c>
      <c r="E285" s="6" t="s">
        <v>237</v>
      </c>
      <c r="F285" s="6">
        <v>15675.5</v>
      </c>
      <c r="G285" s="2">
        <v>12</v>
      </c>
      <c r="H285" s="61"/>
      <c r="I285" s="61"/>
      <c r="J285" s="47">
        <f t="shared" si="20"/>
        <v>-1</v>
      </c>
      <c r="K285" s="47" t="e">
        <f t="shared" si="21"/>
        <v>#DIV/0!</v>
      </c>
      <c r="O285" s="17">
        <f t="shared" si="22"/>
        <v>0</v>
      </c>
      <c r="P285" s="17" t="e">
        <f t="shared" si="23"/>
        <v>#DIV/0!</v>
      </c>
      <c r="Q285" s="17"/>
      <c r="V285" s="45" t="e">
        <f t="shared" si="24"/>
        <v>#DIV/0!</v>
      </c>
      <c r="X285" s="12">
        <v>0</v>
      </c>
      <c r="Y285" s="62"/>
    </row>
    <row r="286" spans="1:25" x14ac:dyDescent="0.2">
      <c r="A286" s="3" t="s">
        <v>2589</v>
      </c>
      <c r="B286" s="3" t="s">
        <v>552</v>
      </c>
      <c r="C286" s="6" t="s">
        <v>355</v>
      </c>
      <c r="D286" s="6" t="s">
        <v>553</v>
      </c>
      <c r="E286" s="6" t="s">
        <v>163</v>
      </c>
      <c r="F286" s="6">
        <v>5824.26</v>
      </c>
      <c r="G286" s="2">
        <v>12</v>
      </c>
      <c r="H286" s="61">
        <v>9.08</v>
      </c>
      <c r="I286" s="61">
        <v>6.09</v>
      </c>
      <c r="J286" s="47">
        <f t="shared" si="20"/>
        <v>-0.24333333333333332</v>
      </c>
      <c r="K286" s="47">
        <f t="shared" si="21"/>
        <v>-0.32929515418502203</v>
      </c>
      <c r="L286" s="8">
        <v>7.4</v>
      </c>
      <c r="M286" s="8">
        <v>11.02</v>
      </c>
      <c r="N286" s="8">
        <v>14.04</v>
      </c>
      <c r="O286" s="17">
        <f t="shared" si="22"/>
        <v>-0.45287671232876714</v>
      </c>
      <c r="P286" s="17">
        <f t="shared" si="23"/>
        <v>-0.42636521739130429</v>
      </c>
      <c r="Q286" s="17">
        <v>11.55</v>
      </c>
      <c r="R286" s="9">
        <v>20220720</v>
      </c>
      <c r="S286" s="9">
        <v>10.19</v>
      </c>
      <c r="T286" s="9">
        <v>4.8099999999999996</v>
      </c>
      <c r="U286" s="9">
        <v>1734.06799</v>
      </c>
      <c r="V286" s="45">
        <f t="shared" si="24"/>
        <v>-0.99722617565877569</v>
      </c>
      <c r="W286" s="12">
        <v>-32.590000000000003</v>
      </c>
      <c r="X286" s="12">
        <v>2.48</v>
      </c>
      <c r="Y286" s="62"/>
    </row>
    <row r="287" spans="1:25" x14ac:dyDescent="0.2">
      <c r="A287" s="3" t="s">
        <v>2590</v>
      </c>
      <c r="B287" s="3" t="s">
        <v>1944</v>
      </c>
      <c r="C287" s="6" t="s">
        <v>354</v>
      </c>
      <c r="D287" s="6" t="s">
        <v>177</v>
      </c>
      <c r="E287" s="6" t="s">
        <v>119</v>
      </c>
      <c r="F287" s="6">
        <v>3942.72</v>
      </c>
      <c r="G287" s="2">
        <v>1</v>
      </c>
      <c r="H287" s="61">
        <v>0.84</v>
      </c>
      <c r="I287" s="61">
        <v>1.1299999999999999</v>
      </c>
      <c r="J287" s="47">
        <f t="shared" si="20"/>
        <v>-0.16000000000000003</v>
      </c>
      <c r="K287" s="47">
        <f t="shared" si="21"/>
        <v>0.34523809523809518</v>
      </c>
      <c r="L287" s="8">
        <v>1.39</v>
      </c>
      <c r="M287" s="8">
        <v>30.54</v>
      </c>
      <c r="N287" s="8">
        <v>24.37</v>
      </c>
      <c r="O287" s="17">
        <f t="shared" si="22"/>
        <v>-1.9087499999999995</v>
      </c>
      <c r="P287" s="17">
        <f t="shared" si="23"/>
        <v>0.70588965517241398</v>
      </c>
      <c r="Q287" s="17">
        <v>19.78</v>
      </c>
      <c r="R287" s="9">
        <v>20220824</v>
      </c>
      <c r="T287" s="9">
        <v>15.38</v>
      </c>
      <c r="U287" s="9">
        <v>993.49901999999997</v>
      </c>
      <c r="V287" s="45">
        <f t="shared" si="24"/>
        <v>-0.98451936067335022</v>
      </c>
      <c r="W287" s="12">
        <v>-8</v>
      </c>
      <c r="X287" s="12">
        <v>0</v>
      </c>
      <c r="Y287" s="62"/>
    </row>
    <row r="288" spans="1:25" x14ac:dyDescent="0.2">
      <c r="A288" s="3" t="s">
        <v>554</v>
      </c>
      <c r="B288" s="3" t="s">
        <v>554</v>
      </c>
      <c r="C288" s="6" t="s">
        <v>354</v>
      </c>
      <c r="D288" s="6" t="s">
        <v>204</v>
      </c>
      <c r="E288" s="6" t="s">
        <v>218</v>
      </c>
      <c r="F288" s="6">
        <v>106841.37</v>
      </c>
      <c r="G288" s="2">
        <v>12</v>
      </c>
      <c r="H288" s="61">
        <v>3.77</v>
      </c>
      <c r="I288" s="61">
        <v>6.76</v>
      </c>
      <c r="J288" s="47">
        <f t="shared" si="20"/>
        <v>-0.68583333333333341</v>
      </c>
      <c r="K288" s="47">
        <f t="shared" si="21"/>
        <v>0.79310344827586199</v>
      </c>
      <c r="L288" s="8">
        <v>5.2</v>
      </c>
      <c r="M288" s="8">
        <v>6.57</v>
      </c>
      <c r="N288" s="8">
        <v>4.83</v>
      </c>
      <c r="O288" s="17">
        <f t="shared" si="22"/>
        <v>-9.5795868772782497E-2</v>
      </c>
      <c r="P288" s="17">
        <f t="shared" si="23"/>
        <v>6.090000000000001E-2</v>
      </c>
      <c r="Q288" s="17">
        <v>6.28</v>
      </c>
      <c r="R288" s="9">
        <v>20220802</v>
      </c>
      <c r="S288" s="9">
        <v>18.7</v>
      </c>
      <c r="T288" s="9">
        <v>-10.08</v>
      </c>
      <c r="U288" s="9">
        <v>210348</v>
      </c>
      <c r="V288" s="45">
        <f t="shared" si="24"/>
        <v>-1.0000479205887387</v>
      </c>
      <c r="W288" s="12">
        <v>36.17</v>
      </c>
      <c r="X288" s="12">
        <v>3.95</v>
      </c>
      <c r="Y288" s="62">
        <v>0.94</v>
      </c>
    </row>
    <row r="289" spans="1:25" x14ac:dyDescent="0.2">
      <c r="A289" s="3" t="s">
        <v>2591</v>
      </c>
      <c r="B289" s="3" t="s">
        <v>2592</v>
      </c>
      <c r="C289" s="6" t="s">
        <v>356</v>
      </c>
      <c r="D289" s="6" t="s">
        <v>69</v>
      </c>
      <c r="E289" s="6" t="s">
        <v>163</v>
      </c>
      <c r="F289" s="6">
        <v>4579.54</v>
      </c>
      <c r="G289" s="2">
        <v>12</v>
      </c>
      <c r="H289" s="61">
        <v>0.09</v>
      </c>
      <c r="I289" s="61">
        <v>0.19</v>
      </c>
      <c r="J289" s="47">
        <f t="shared" si="20"/>
        <v>-0.99250000000000005</v>
      </c>
      <c r="K289" s="47">
        <f t="shared" si="21"/>
        <v>1.1111111111111112</v>
      </c>
      <c r="L289" s="8">
        <v>0.28000000000000003</v>
      </c>
      <c r="N289" s="8">
        <v>15.54</v>
      </c>
      <c r="O289" s="17">
        <f t="shared" si="22"/>
        <v>0</v>
      </c>
      <c r="P289" s="17">
        <f t="shared" si="23"/>
        <v>0.13985999999999998</v>
      </c>
      <c r="Q289" s="17">
        <v>10.82</v>
      </c>
      <c r="U289" s="9">
        <v>2696.4650799999999</v>
      </c>
      <c r="V289" s="45">
        <f t="shared" si="24"/>
        <v>-1</v>
      </c>
      <c r="X289" s="12">
        <v>0</v>
      </c>
      <c r="Y289" s="62"/>
    </row>
    <row r="290" spans="1:25" x14ac:dyDescent="0.2">
      <c r="A290" s="3" t="s">
        <v>2593</v>
      </c>
      <c r="B290" s="3" t="s">
        <v>555</v>
      </c>
      <c r="C290" s="6" t="s">
        <v>355</v>
      </c>
      <c r="D290" s="6" t="s">
        <v>185</v>
      </c>
      <c r="E290" s="6" t="s">
        <v>208</v>
      </c>
      <c r="F290" s="6">
        <v>3297.83</v>
      </c>
      <c r="G290" s="2">
        <v>12</v>
      </c>
      <c r="H290" s="61">
        <v>-6.28</v>
      </c>
      <c r="I290" s="61">
        <v>-8.1300000000000008</v>
      </c>
      <c r="J290" s="47">
        <f t="shared" si="20"/>
        <v>-1.5233333333333334</v>
      </c>
      <c r="K290" s="47">
        <f t="shared" si="21"/>
        <v>-0.29458598726114654</v>
      </c>
      <c r="L290" s="8">
        <v>-6.65</v>
      </c>
      <c r="O290" s="17">
        <f t="shared" si="22"/>
        <v>0</v>
      </c>
      <c r="P290" s="17">
        <f t="shared" si="23"/>
        <v>0</v>
      </c>
      <c r="Q290" s="17"/>
      <c r="R290" s="9">
        <v>20220804</v>
      </c>
      <c r="S290" s="9">
        <v>-35.24</v>
      </c>
      <c r="T290" s="9">
        <v>102.7</v>
      </c>
      <c r="U290" s="9">
        <v>197.95899</v>
      </c>
      <c r="V290" s="45">
        <f t="shared" si="24"/>
        <v>-0.48120567800431796</v>
      </c>
      <c r="W290" s="12">
        <v>0</v>
      </c>
      <c r="X290" s="12">
        <v>0</v>
      </c>
      <c r="Y290" s="62"/>
    </row>
    <row r="291" spans="1:25" x14ac:dyDescent="0.2">
      <c r="A291" s="3" t="s">
        <v>2594</v>
      </c>
      <c r="B291" s="3" t="s">
        <v>556</v>
      </c>
      <c r="C291" s="6" t="s">
        <v>355</v>
      </c>
      <c r="D291" s="6" t="s">
        <v>106</v>
      </c>
      <c r="E291" s="6" t="s">
        <v>163</v>
      </c>
      <c r="F291" s="6">
        <v>6171.24</v>
      </c>
      <c r="G291" s="2">
        <v>12</v>
      </c>
      <c r="H291" s="61">
        <v>11.03</v>
      </c>
      <c r="I291" s="61">
        <v>10.36</v>
      </c>
      <c r="J291" s="47">
        <f t="shared" si="20"/>
        <v>-8.0833333333333382E-2</v>
      </c>
      <c r="K291" s="47">
        <f t="shared" si="21"/>
        <v>-6.0743427017225744E-2</v>
      </c>
      <c r="L291" s="8">
        <v>10.79</v>
      </c>
      <c r="M291" s="8">
        <v>7.32</v>
      </c>
      <c r="N291" s="8">
        <v>7.79</v>
      </c>
      <c r="O291" s="17">
        <f t="shared" si="22"/>
        <v>-0.90556701030927789</v>
      </c>
      <c r="P291" s="17">
        <f t="shared" si="23"/>
        <v>-1.2824432835820896</v>
      </c>
      <c r="Q291" s="17">
        <v>7.48</v>
      </c>
      <c r="R291" s="9">
        <v>20220728</v>
      </c>
      <c r="S291" s="9">
        <v>15.8</v>
      </c>
      <c r="T291" s="9">
        <v>5.98</v>
      </c>
      <c r="U291" s="9">
        <v>2678.8010199999999</v>
      </c>
      <c r="V291" s="45">
        <f t="shared" si="24"/>
        <v>-0.99776765800992562</v>
      </c>
      <c r="W291" s="12">
        <v>15.95</v>
      </c>
      <c r="X291" s="12">
        <v>2.73</v>
      </c>
      <c r="Y291" s="62"/>
    </row>
    <row r="292" spans="1:25" x14ac:dyDescent="0.2">
      <c r="A292" s="3" t="s">
        <v>2595</v>
      </c>
      <c r="B292" s="3" t="s">
        <v>557</v>
      </c>
      <c r="C292" s="6" t="s">
        <v>354</v>
      </c>
      <c r="D292" s="6" t="s">
        <v>210</v>
      </c>
      <c r="E292" s="6" t="s">
        <v>108</v>
      </c>
      <c r="F292" s="6">
        <v>16932.240000000002</v>
      </c>
      <c r="G292" s="2">
        <v>6</v>
      </c>
      <c r="H292" s="61">
        <v>5.65</v>
      </c>
      <c r="I292" s="61">
        <v>6.45</v>
      </c>
      <c r="J292" s="47">
        <f t="shared" si="20"/>
        <v>-5.8333333333333272E-2</v>
      </c>
      <c r="K292" s="47">
        <f t="shared" si="21"/>
        <v>0.14159292035398227</v>
      </c>
      <c r="L292" s="8">
        <v>6.96</v>
      </c>
      <c r="M292" s="8">
        <v>23.99</v>
      </c>
      <c r="N292" s="8">
        <v>22.41</v>
      </c>
      <c r="O292" s="17">
        <f t="shared" si="22"/>
        <v>-4.1125714285714325</v>
      </c>
      <c r="P292" s="17">
        <f t="shared" si="23"/>
        <v>1.5827062500000004</v>
      </c>
      <c r="Q292" s="17">
        <v>20.75</v>
      </c>
      <c r="R292" s="9">
        <v>20220811</v>
      </c>
      <c r="S292" s="9">
        <v>39.83</v>
      </c>
      <c r="T292" s="9">
        <v>5.13</v>
      </c>
      <c r="U292" s="9">
        <v>5655.45507</v>
      </c>
      <c r="V292" s="45">
        <f t="shared" si="24"/>
        <v>-0.99909291119167176</v>
      </c>
      <c r="W292" s="12">
        <v>9.0399999999999991</v>
      </c>
      <c r="X292" s="12">
        <v>1.77</v>
      </c>
      <c r="Y292" s="62"/>
    </row>
    <row r="293" spans="1:25" x14ac:dyDescent="0.2">
      <c r="A293" s="3" t="s">
        <v>2596</v>
      </c>
      <c r="B293" s="3" t="s">
        <v>2597</v>
      </c>
      <c r="C293" s="6" t="s">
        <v>354</v>
      </c>
      <c r="D293" s="6" t="s">
        <v>193</v>
      </c>
      <c r="E293" s="6" t="s">
        <v>208</v>
      </c>
      <c r="F293" s="6">
        <v>3529.05</v>
      </c>
      <c r="G293" s="2">
        <v>9</v>
      </c>
      <c r="H293" s="61">
        <v>0.94</v>
      </c>
      <c r="I293" s="61">
        <v>1.1399999999999999</v>
      </c>
      <c r="J293" s="47">
        <f t="shared" si="20"/>
        <v>-0.89555555555555566</v>
      </c>
      <c r="K293" s="47">
        <f t="shared" si="21"/>
        <v>0.21276595744680848</v>
      </c>
      <c r="L293" s="8">
        <v>1.27</v>
      </c>
      <c r="M293" s="8">
        <v>25.13</v>
      </c>
      <c r="N293" s="8">
        <v>22.7</v>
      </c>
      <c r="O293" s="17">
        <f t="shared" si="22"/>
        <v>-0.28060794044665005</v>
      </c>
      <c r="P293" s="17">
        <f t="shared" si="23"/>
        <v>1.0669000000000002</v>
      </c>
      <c r="Q293" s="17">
        <v>20.329999999999998</v>
      </c>
      <c r="R293" s="9">
        <v>20220804</v>
      </c>
      <c r="S293" s="9">
        <v>-1.94</v>
      </c>
      <c r="T293" s="9">
        <v>19.16</v>
      </c>
      <c r="U293" s="9">
        <v>1409.0760399999999</v>
      </c>
      <c r="V293" s="45">
        <f t="shared" si="24"/>
        <v>-0.98640243716016907</v>
      </c>
      <c r="W293" s="12">
        <v>43.75</v>
      </c>
      <c r="X293" s="12">
        <v>0</v>
      </c>
      <c r="Y293" s="62">
        <v>1.18</v>
      </c>
    </row>
    <row r="294" spans="1:25" x14ac:dyDescent="0.2">
      <c r="A294" s="3" t="s">
        <v>2598</v>
      </c>
      <c r="B294" s="3" t="s">
        <v>558</v>
      </c>
      <c r="C294" s="6" t="s">
        <v>356</v>
      </c>
      <c r="D294" s="6" t="s">
        <v>559</v>
      </c>
      <c r="E294" s="6" t="s">
        <v>35</v>
      </c>
      <c r="F294" s="6">
        <v>28505.18</v>
      </c>
      <c r="G294" s="2">
        <v>12</v>
      </c>
      <c r="H294" s="61">
        <v>2.1800000000000002</v>
      </c>
      <c r="I294" s="61">
        <v>1.7</v>
      </c>
      <c r="J294" s="47">
        <f t="shared" si="20"/>
        <v>-0.81833333333333336</v>
      </c>
      <c r="K294" s="47">
        <f t="shared" si="21"/>
        <v>-0.22018348623853218</v>
      </c>
      <c r="L294" s="8">
        <v>1.94</v>
      </c>
      <c r="M294" s="8">
        <v>153.62</v>
      </c>
      <c r="N294" s="8">
        <v>11.77</v>
      </c>
      <c r="O294" s="17">
        <f t="shared" si="22"/>
        <v>-1.8772301425661913</v>
      </c>
      <c r="P294" s="17">
        <f t="shared" si="23"/>
        <v>-0.53455416666666644</v>
      </c>
      <c r="Q294" s="17">
        <v>10.28</v>
      </c>
      <c r="U294" s="9">
        <v>33691.289060000003</v>
      </c>
      <c r="V294" s="45">
        <f t="shared" si="24"/>
        <v>-1</v>
      </c>
      <c r="X294" s="12">
        <v>2.5499999999999998</v>
      </c>
      <c r="Y294" s="62">
        <v>0.27</v>
      </c>
    </row>
    <row r="295" spans="1:25" x14ac:dyDescent="0.2">
      <c r="A295" s="3" t="s">
        <v>2599</v>
      </c>
      <c r="B295" s="3" t="s">
        <v>2089</v>
      </c>
      <c r="C295" s="6" t="s">
        <v>354</v>
      </c>
      <c r="D295" s="6" t="s">
        <v>173</v>
      </c>
      <c r="E295" s="6" t="s">
        <v>163</v>
      </c>
      <c r="F295" s="6">
        <v>689553.56</v>
      </c>
      <c r="G295" s="2">
        <v>12</v>
      </c>
      <c r="H295" s="61"/>
      <c r="I295" s="61"/>
      <c r="J295" s="47">
        <f t="shared" si="20"/>
        <v>-1</v>
      </c>
      <c r="K295" s="47" t="e">
        <f t="shared" si="21"/>
        <v>#DIV/0!</v>
      </c>
      <c r="M295" s="8">
        <v>25.51</v>
      </c>
      <c r="O295" s="17">
        <f t="shared" si="22"/>
        <v>-0.25509999999999999</v>
      </c>
      <c r="P295" s="17" t="e">
        <f t="shared" si="23"/>
        <v>#DIV/0!</v>
      </c>
      <c r="Q295" s="17"/>
      <c r="R295" s="9">
        <v>20220805</v>
      </c>
      <c r="S295" s="9">
        <v>5.52</v>
      </c>
      <c r="T295" s="9">
        <v>2.66</v>
      </c>
      <c r="V295" s="45" t="e">
        <f t="shared" si="24"/>
        <v>#DIV/0!</v>
      </c>
      <c r="X295" s="12">
        <v>0</v>
      </c>
      <c r="Y295" s="62"/>
    </row>
    <row r="296" spans="1:25" x14ac:dyDescent="0.2">
      <c r="A296" s="3" t="s">
        <v>2599</v>
      </c>
      <c r="B296" s="3" t="s">
        <v>560</v>
      </c>
      <c r="C296" s="6" t="s">
        <v>354</v>
      </c>
      <c r="D296" s="6" t="s">
        <v>173</v>
      </c>
      <c r="E296" s="6" t="s">
        <v>163</v>
      </c>
      <c r="F296" s="6">
        <v>689472.5</v>
      </c>
      <c r="G296" s="2">
        <v>12</v>
      </c>
      <c r="H296" s="61">
        <v>12.37</v>
      </c>
      <c r="I296" s="61">
        <v>12.88</v>
      </c>
      <c r="J296" s="47">
        <f t="shared" si="20"/>
        <v>3.0833333333333268E-2</v>
      </c>
      <c r="K296" s="47">
        <f t="shared" si="21"/>
        <v>4.122877930476973E-2</v>
      </c>
      <c r="L296" s="8">
        <v>14.81</v>
      </c>
      <c r="M296" s="8">
        <v>25.49</v>
      </c>
      <c r="N296" s="8">
        <v>24.26</v>
      </c>
      <c r="O296" s="17">
        <f t="shared" si="22"/>
        <v>8.2670270270270443</v>
      </c>
      <c r="P296" s="17">
        <f t="shared" si="23"/>
        <v>5.8842392156862573</v>
      </c>
      <c r="Q296" s="17">
        <v>21.09</v>
      </c>
      <c r="R296" s="9">
        <v>20220805</v>
      </c>
      <c r="S296" s="9">
        <v>5.52</v>
      </c>
      <c r="T296" s="9">
        <v>2.66</v>
      </c>
      <c r="V296" s="45" t="e">
        <f t="shared" si="24"/>
        <v>#DIV/0!</v>
      </c>
      <c r="W296" s="12">
        <v>14.8</v>
      </c>
      <c r="X296" s="12">
        <v>0</v>
      </c>
      <c r="Y296" s="62">
        <v>3.47</v>
      </c>
    </row>
    <row r="297" spans="1:25" x14ac:dyDescent="0.2">
      <c r="A297" s="3" t="s">
        <v>2600</v>
      </c>
      <c r="B297" s="3" t="s">
        <v>561</v>
      </c>
      <c r="C297" s="6" t="s">
        <v>355</v>
      </c>
      <c r="D297" s="6" t="s">
        <v>166</v>
      </c>
      <c r="E297" s="6" t="s">
        <v>119</v>
      </c>
      <c r="F297" s="6">
        <v>9021</v>
      </c>
      <c r="G297" s="2">
        <v>12</v>
      </c>
      <c r="H297" s="61">
        <v>2.09</v>
      </c>
      <c r="I297" s="61">
        <v>2.31</v>
      </c>
      <c r="J297" s="47">
        <f t="shared" si="20"/>
        <v>-0.82583333333333331</v>
      </c>
      <c r="K297" s="47">
        <f t="shared" si="21"/>
        <v>0.10526315789473695</v>
      </c>
      <c r="L297" s="8">
        <v>2.61</v>
      </c>
      <c r="M297" s="8">
        <v>28.11</v>
      </c>
      <c r="N297" s="8">
        <v>26.18</v>
      </c>
      <c r="O297" s="17">
        <f t="shared" si="22"/>
        <v>-0.34038345105953582</v>
      </c>
      <c r="P297" s="17">
        <f t="shared" si="23"/>
        <v>2.4870999999999972</v>
      </c>
      <c r="Q297" s="17">
        <v>23.17</v>
      </c>
      <c r="R297" s="9">
        <v>20220801</v>
      </c>
      <c r="S297" s="9">
        <v>31.16</v>
      </c>
      <c r="T297" s="9">
        <v>7.21</v>
      </c>
      <c r="U297" s="9">
        <v>2573.4750899999999</v>
      </c>
      <c r="V297" s="45">
        <f t="shared" si="24"/>
        <v>-0.99719834086289916</v>
      </c>
      <c r="W297" s="12">
        <v>19.510000000000002</v>
      </c>
      <c r="X297" s="12">
        <v>0.33</v>
      </c>
      <c r="Y297" s="62">
        <v>1.39</v>
      </c>
    </row>
    <row r="298" spans="1:25" x14ac:dyDescent="0.2">
      <c r="A298" s="3" t="s">
        <v>2601</v>
      </c>
      <c r="B298" s="3" t="s">
        <v>562</v>
      </c>
      <c r="C298" s="6" t="s">
        <v>354</v>
      </c>
      <c r="D298" s="6" t="s">
        <v>169</v>
      </c>
      <c r="E298" s="6" t="s">
        <v>163</v>
      </c>
      <c r="F298" s="6">
        <v>16400.060000000001</v>
      </c>
      <c r="G298" s="2">
        <v>12</v>
      </c>
      <c r="H298" s="61">
        <v>2.16</v>
      </c>
      <c r="I298" s="61">
        <v>2.2799999999999998</v>
      </c>
      <c r="J298" s="47">
        <f t="shared" si="20"/>
        <v>-0.82</v>
      </c>
      <c r="K298" s="47">
        <f t="shared" si="21"/>
        <v>5.5555555555555393E-2</v>
      </c>
      <c r="L298" s="8">
        <v>2.56</v>
      </c>
      <c r="M298" s="8">
        <v>25.59</v>
      </c>
      <c r="N298" s="8">
        <v>25.46</v>
      </c>
      <c r="O298" s="17">
        <f t="shared" si="22"/>
        <v>-0.31207317073170732</v>
      </c>
      <c r="P298" s="17">
        <f t="shared" si="23"/>
        <v>4.5828000000000131</v>
      </c>
      <c r="Q298" s="17">
        <v>22.73</v>
      </c>
      <c r="R298" s="9">
        <v>20220725</v>
      </c>
      <c r="S298" s="9">
        <v>15.53</v>
      </c>
      <c r="T298" s="9">
        <v>12.77</v>
      </c>
      <c r="U298" s="9">
        <v>3480.25488</v>
      </c>
      <c r="V298" s="45">
        <f t="shared" si="24"/>
        <v>-0.99633072851261972</v>
      </c>
      <c r="W298" s="12">
        <v>4</v>
      </c>
      <c r="X298" s="12">
        <v>0.71</v>
      </c>
      <c r="Y298" s="62"/>
    </row>
    <row r="299" spans="1:25" x14ac:dyDescent="0.2">
      <c r="A299" s="3" t="s">
        <v>2602</v>
      </c>
      <c r="B299" s="3" t="s">
        <v>563</v>
      </c>
      <c r="C299" s="6" t="s">
        <v>356</v>
      </c>
      <c r="D299" s="6" t="s">
        <v>522</v>
      </c>
      <c r="E299" s="6" t="s">
        <v>119</v>
      </c>
      <c r="F299" s="6">
        <v>4662.28</v>
      </c>
      <c r="G299" s="2">
        <v>3</v>
      </c>
      <c r="H299" s="61">
        <v>4.08</v>
      </c>
      <c r="I299" s="61">
        <v>3.08</v>
      </c>
      <c r="J299" s="47">
        <f t="shared" si="20"/>
        <v>0.36000000000000004</v>
      </c>
      <c r="K299" s="47">
        <f t="shared" si="21"/>
        <v>-0.24509803921568626</v>
      </c>
      <c r="L299" s="8">
        <v>3.63</v>
      </c>
      <c r="M299" s="8">
        <v>18.05</v>
      </c>
      <c r="N299" s="8">
        <v>11.55</v>
      </c>
      <c r="O299" s="17">
        <f t="shared" si="22"/>
        <v>0.50138888888888877</v>
      </c>
      <c r="P299" s="17">
        <f t="shared" si="23"/>
        <v>-0.47124000000000005</v>
      </c>
      <c r="Q299" s="17">
        <v>9.8000000000000007</v>
      </c>
      <c r="R299" s="9">
        <v>20220527</v>
      </c>
      <c r="S299" s="9">
        <v>5.45</v>
      </c>
      <c r="T299" s="9">
        <v>1.31</v>
      </c>
      <c r="U299" s="9">
        <v>6500.9101499999997</v>
      </c>
      <c r="V299" s="45">
        <f t="shared" si="24"/>
        <v>-0.9997984897545461</v>
      </c>
      <c r="W299" s="12">
        <v>136.36000000000001</v>
      </c>
      <c r="X299" s="12">
        <v>2.25</v>
      </c>
      <c r="Y299" s="62"/>
    </row>
    <row r="300" spans="1:25" x14ac:dyDescent="0.2">
      <c r="A300" s="3" t="s">
        <v>2603</v>
      </c>
      <c r="B300" s="3" t="s">
        <v>564</v>
      </c>
      <c r="C300" s="6" t="s">
        <v>354</v>
      </c>
      <c r="D300" s="6" t="s">
        <v>217</v>
      </c>
      <c r="E300" s="6" t="s">
        <v>163</v>
      </c>
      <c r="F300" s="6">
        <v>7143.89</v>
      </c>
      <c r="G300" s="2">
        <v>12</v>
      </c>
      <c r="H300" s="61">
        <v>1.75</v>
      </c>
      <c r="I300" s="61">
        <v>1.94</v>
      </c>
      <c r="J300" s="47">
        <f t="shared" si="20"/>
        <v>-0.85416666666666663</v>
      </c>
      <c r="K300" s="47">
        <f t="shared" si="21"/>
        <v>0.10857142857142854</v>
      </c>
      <c r="L300" s="8">
        <v>2.0499999999999998</v>
      </c>
      <c r="M300" s="8">
        <v>13.25</v>
      </c>
      <c r="N300" s="8">
        <v>12.31</v>
      </c>
      <c r="O300" s="17">
        <f t="shared" si="22"/>
        <v>-0.15512195121951222</v>
      </c>
      <c r="P300" s="17">
        <f t="shared" si="23"/>
        <v>1.1338157894736847</v>
      </c>
      <c r="Q300" s="17">
        <v>11.63</v>
      </c>
      <c r="R300" s="9">
        <v>20220801</v>
      </c>
      <c r="S300" s="9">
        <v>10.92</v>
      </c>
      <c r="T300" s="9">
        <v>-3.77</v>
      </c>
      <c r="U300" s="9">
        <v>1193.3360499999999</v>
      </c>
      <c r="V300" s="45">
        <f t="shared" si="24"/>
        <v>-1.0031592106850371</v>
      </c>
      <c r="W300" s="12">
        <v>4.26</v>
      </c>
      <c r="X300" s="12">
        <v>4.03</v>
      </c>
      <c r="Y300" s="62">
        <v>1.68</v>
      </c>
    </row>
    <row r="301" spans="1:25" x14ac:dyDescent="0.2">
      <c r="A301" s="3" t="s">
        <v>2604</v>
      </c>
      <c r="B301" s="3" t="s">
        <v>2605</v>
      </c>
      <c r="C301" s="6" t="s">
        <v>355</v>
      </c>
      <c r="D301" s="6" t="s">
        <v>233</v>
      </c>
      <c r="E301" s="6" t="s">
        <v>108</v>
      </c>
      <c r="F301" s="6">
        <v>3005.82</v>
      </c>
      <c r="G301" s="2">
        <v>1</v>
      </c>
      <c r="H301" s="61">
        <v>-0.92</v>
      </c>
      <c r="I301" s="61">
        <v>-0.84</v>
      </c>
      <c r="J301" s="47">
        <f t="shared" si="20"/>
        <v>-1.92</v>
      </c>
      <c r="K301" s="47">
        <f t="shared" si="21"/>
        <v>8.6956521739130502E-2</v>
      </c>
      <c r="L301" s="8">
        <v>-0.64</v>
      </c>
      <c r="O301" s="17">
        <f t="shared" si="22"/>
        <v>0</v>
      </c>
      <c r="P301" s="17">
        <f t="shared" si="23"/>
        <v>0</v>
      </c>
      <c r="Q301" s="17"/>
      <c r="U301" s="9">
        <v>339.91298999999998</v>
      </c>
      <c r="V301" s="45">
        <f t="shared" si="24"/>
        <v>-1</v>
      </c>
      <c r="W301" s="12">
        <v>10</v>
      </c>
      <c r="X301" s="12">
        <v>0</v>
      </c>
      <c r="Y301" s="62"/>
    </row>
    <row r="302" spans="1:25" x14ac:dyDescent="0.2">
      <c r="A302" s="3" t="s">
        <v>1851</v>
      </c>
      <c r="B302" s="3" t="s">
        <v>1852</v>
      </c>
      <c r="C302" s="6" t="s">
        <v>354</v>
      </c>
      <c r="D302" s="6" t="s">
        <v>69</v>
      </c>
      <c r="E302" s="6" t="s">
        <v>163</v>
      </c>
      <c r="F302" s="6">
        <v>9351.64</v>
      </c>
      <c r="G302" s="2">
        <v>12</v>
      </c>
      <c r="H302" s="61">
        <v>2.02</v>
      </c>
      <c r="I302" s="61">
        <v>2.2000000000000002</v>
      </c>
      <c r="J302" s="47">
        <f t="shared" si="20"/>
        <v>-0.83166666666666667</v>
      </c>
      <c r="K302" s="47">
        <f t="shared" si="21"/>
        <v>8.9108910891089188E-2</v>
      </c>
      <c r="L302" s="8">
        <v>2.19</v>
      </c>
      <c r="M302" s="8">
        <v>8.94</v>
      </c>
      <c r="N302" s="8">
        <v>9.01</v>
      </c>
      <c r="O302" s="17">
        <f t="shared" si="22"/>
        <v>-0.1074949899799599</v>
      </c>
      <c r="P302" s="17">
        <f t="shared" si="23"/>
        <v>1.0111222222222214</v>
      </c>
      <c r="Q302" s="17">
        <v>9.08</v>
      </c>
      <c r="R302" s="9">
        <v>20220804</v>
      </c>
      <c r="S302" s="9">
        <v>20.28</v>
      </c>
      <c r="T302" s="9">
        <v>-0.75</v>
      </c>
      <c r="U302" s="9">
        <v>2944.0200100000002</v>
      </c>
      <c r="V302" s="45">
        <f t="shared" si="24"/>
        <v>-1.0002547537032536</v>
      </c>
      <c r="W302" s="12">
        <v>16.36</v>
      </c>
      <c r="X302" s="12">
        <v>4.28</v>
      </c>
      <c r="Y302" s="62">
        <v>2.0499999999999998</v>
      </c>
    </row>
    <row r="303" spans="1:25" x14ac:dyDescent="0.2">
      <c r="A303" s="3" t="s">
        <v>2606</v>
      </c>
      <c r="B303" s="3" t="s">
        <v>2607</v>
      </c>
      <c r="C303" s="6" t="s">
        <v>354</v>
      </c>
      <c r="D303" s="6" t="s">
        <v>2608</v>
      </c>
      <c r="E303" s="6" t="s">
        <v>218</v>
      </c>
      <c r="F303" s="6">
        <v>3316.87</v>
      </c>
      <c r="G303" s="2">
        <v>12</v>
      </c>
      <c r="H303" s="61">
        <v>0.37</v>
      </c>
      <c r="I303" s="61">
        <v>1.54</v>
      </c>
      <c r="J303" s="47">
        <f t="shared" si="20"/>
        <v>-0.96916666666666673</v>
      </c>
      <c r="K303" s="47">
        <f t="shared" si="21"/>
        <v>3.1621621621621618</v>
      </c>
      <c r="L303" s="8">
        <v>2.0699999999999998</v>
      </c>
      <c r="M303" s="8">
        <v>16.670000000000002</v>
      </c>
      <c r="N303" s="8">
        <v>10.3</v>
      </c>
      <c r="O303" s="17">
        <f t="shared" si="22"/>
        <v>-0.17200343938091145</v>
      </c>
      <c r="P303" s="17">
        <f t="shared" si="23"/>
        <v>3.2572649572649576E-2</v>
      </c>
      <c r="Q303" s="17">
        <v>7.64</v>
      </c>
      <c r="R303" s="9">
        <v>20220801</v>
      </c>
      <c r="S303" s="9">
        <v>36.659999999999997</v>
      </c>
      <c r="T303" s="9">
        <v>-9.8000000000000007</v>
      </c>
      <c r="U303" s="9">
        <v>520.87901999999997</v>
      </c>
      <c r="V303" s="45">
        <f t="shared" si="24"/>
        <v>-1.0188143496353528</v>
      </c>
      <c r="W303" s="12">
        <v>14.71</v>
      </c>
      <c r="X303" s="12">
        <v>10.1</v>
      </c>
      <c r="Y303" s="62"/>
    </row>
    <row r="304" spans="1:25" x14ac:dyDescent="0.2">
      <c r="A304" s="3" t="s">
        <v>2609</v>
      </c>
      <c r="B304" s="3" t="s">
        <v>565</v>
      </c>
      <c r="C304" s="6" t="s">
        <v>354</v>
      </c>
      <c r="D304" s="6" t="s">
        <v>193</v>
      </c>
      <c r="E304" s="6" t="s">
        <v>208</v>
      </c>
      <c r="F304" s="6">
        <v>57382.98</v>
      </c>
      <c r="G304" s="2">
        <v>12</v>
      </c>
      <c r="H304" s="61">
        <v>1.61</v>
      </c>
      <c r="I304" s="61">
        <v>1.76</v>
      </c>
      <c r="J304" s="47">
        <f t="shared" si="20"/>
        <v>-0.86583333333333334</v>
      </c>
      <c r="K304" s="47">
        <f t="shared" si="21"/>
        <v>9.3167701863353977E-2</v>
      </c>
      <c r="L304" s="8">
        <v>2</v>
      </c>
      <c r="M304" s="8">
        <v>24.33</v>
      </c>
      <c r="N304" s="8">
        <v>22.77</v>
      </c>
      <c r="O304" s="17">
        <f t="shared" si="22"/>
        <v>-0.2810009624639076</v>
      </c>
      <c r="P304" s="17">
        <f t="shared" si="23"/>
        <v>2.4439800000000016</v>
      </c>
      <c r="Q304" s="17">
        <v>20.100000000000001</v>
      </c>
      <c r="R304" s="9">
        <v>20220726</v>
      </c>
      <c r="S304" s="9">
        <v>14.51</v>
      </c>
      <c r="T304" s="9">
        <v>5.84</v>
      </c>
      <c r="U304" s="9">
        <v>12848.38085</v>
      </c>
      <c r="V304" s="45">
        <f t="shared" si="24"/>
        <v>-0.99954546801903055</v>
      </c>
      <c r="W304" s="12">
        <v>2.63</v>
      </c>
      <c r="X304" s="12">
        <v>0</v>
      </c>
      <c r="Y304" s="62">
        <v>2.31</v>
      </c>
    </row>
    <row r="305" spans="1:25" x14ac:dyDescent="0.2">
      <c r="A305" s="3" t="s">
        <v>2610</v>
      </c>
      <c r="B305" s="3" t="s">
        <v>566</v>
      </c>
      <c r="C305" s="6" t="s">
        <v>355</v>
      </c>
      <c r="D305" s="6" t="s">
        <v>177</v>
      </c>
      <c r="E305" s="6" t="s">
        <v>119</v>
      </c>
      <c r="F305" s="6">
        <v>9108.5300000000007</v>
      </c>
      <c r="G305" s="2">
        <v>12</v>
      </c>
      <c r="H305" s="61">
        <v>0.78</v>
      </c>
      <c r="I305" s="61">
        <v>0.8</v>
      </c>
      <c r="J305" s="47">
        <f t="shared" si="20"/>
        <v>-0.93500000000000005</v>
      </c>
      <c r="K305" s="47">
        <f t="shared" si="21"/>
        <v>2.5641025641025664E-2</v>
      </c>
      <c r="L305" s="8">
        <v>0.89</v>
      </c>
      <c r="M305" s="8">
        <v>37.94</v>
      </c>
      <c r="N305" s="8">
        <v>41.26</v>
      </c>
      <c r="O305" s="17">
        <f t="shared" si="22"/>
        <v>-0.4057754010695187</v>
      </c>
      <c r="P305" s="17">
        <f t="shared" si="23"/>
        <v>16.091399999999982</v>
      </c>
      <c r="Q305" s="17">
        <v>37.19</v>
      </c>
      <c r="R305" s="9">
        <v>20220809</v>
      </c>
      <c r="S305" s="9">
        <v>55.22</v>
      </c>
      <c r="U305" s="9">
        <v>1124.3000400000001</v>
      </c>
      <c r="V305" s="45">
        <f t="shared" si="24"/>
        <v>-1</v>
      </c>
      <c r="W305" s="12">
        <v>20</v>
      </c>
      <c r="X305" s="12">
        <v>0.36</v>
      </c>
      <c r="Y305" s="62">
        <v>4.79</v>
      </c>
    </row>
    <row r="306" spans="1:25" x14ac:dyDescent="0.2">
      <c r="A306" s="3" t="s">
        <v>2611</v>
      </c>
      <c r="B306" s="3" t="s">
        <v>567</v>
      </c>
      <c r="C306" s="6" t="s">
        <v>356</v>
      </c>
      <c r="D306" s="6" t="s">
        <v>357</v>
      </c>
      <c r="E306" s="6" t="s">
        <v>163</v>
      </c>
      <c r="F306" s="6">
        <v>6507.56</v>
      </c>
      <c r="G306" s="2">
        <v>6</v>
      </c>
      <c r="H306" s="61">
        <v>1.76</v>
      </c>
      <c r="I306" s="61">
        <v>1.68</v>
      </c>
      <c r="J306" s="47">
        <f t="shared" si="20"/>
        <v>-0.70666666666666667</v>
      </c>
      <c r="K306" s="47">
        <f t="shared" si="21"/>
        <v>-4.5454545454545497E-2</v>
      </c>
      <c r="L306" s="8">
        <v>2</v>
      </c>
      <c r="N306" s="8">
        <v>7.58</v>
      </c>
      <c r="O306" s="17">
        <f t="shared" si="22"/>
        <v>0</v>
      </c>
      <c r="P306" s="17">
        <f t="shared" si="23"/>
        <v>-1.6675999999999986</v>
      </c>
      <c r="Q306" s="17">
        <v>6.38</v>
      </c>
      <c r="U306" s="9">
        <v>6876.7001899999996</v>
      </c>
      <c r="V306" s="45">
        <f t="shared" si="24"/>
        <v>-1</v>
      </c>
      <c r="X306" s="12">
        <v>3.86</v>
      </c>
      <c r="Y306" s="62"/>
    </row>
    <row r="307" spans="1:25" x14ac:dyDescent="0.2">
      <c r="A307" s="3" t="s">
        <v>2612</v>
      </c>
      <c r="B307" s="3" t="s">
        <v>2613</v>
      </c>
      <c r="C307" s="6" t="s">
        <v>356</v>
      </c>
      <c r="D307" s="6" t="s">
        <v>684</v>
      </c>
      <c r="E307" s="6" t="s">
        <v>218</v>
      </c>
      <c r="F307" s="6">
        <v>3079.45</v>
      </c>
      <c r="G307" s="2">
        <v>12</v>
      </c>
      <c r="H307" s="61"/>
      <c r="I307" s="61">
        <v>0.68</v>
      </c>
      <c r="J307" s="47">
        <f t="shared" si="20"/>
        <v>-1</v>
      </c>
      <c r="K307" s="47" t="e">
        <f t="shared" si="21"/>
        <v>#DIV/0!</v>
      </c>
      <c r="L307" s="8">
        <v>0.9</v>
      </c>
      <c r="M307" s="8">
        <v>6.76</v>
      </c>
      <c r="N307" s="8">
        <v>7.96</v>
      </c>
      <c r="O307" s="17">
        <f t="shared" si="22"/>
        <v>-6.7599999999999993E-2</v>
      </c>
      <c r="P307" s="17" t="e">
        <f t="shared" si="23"/>
        <v>#DIV/0!</v>
      </c>
      <c r="Q307" s="17">
        <v>6.01</v>
      </c>
      <c r="R307" s="9">
        <v>20220727</v>
      </c>
      <c r="S307" s="9">
        <v>29.82</v>
      </c>
      <c r="T307" s="9">
        <v>6.23</v>
      </c>
      <c r="U307" s="9">
        <v>2184</v>
      </c>
      <c r="V307" s="45">
        <f t="shared" si="24"/>
        <v>-0.99714743589743593</v>
      </c>
      <c r="W307" s="12">
        <v>-46.67</v>
      </c>
      <c r="X307" s="12">
        <v>0</v>
      </c>
      <c r="Y307" s="62"/>
    </row>
    <row r="308" spans="1:25" x14ac:dyDescent="0.2">
      <c r="A308" s="3" t="s">
        <v>568</v>
      </c>
      <c r="B308" s="3" t="s">
        <v>569</v>
      </c>
      <c r="C308" s="6" t="s">
        <v>570</v>
      </c>
      <c r="D308" s="6" t="s">
        <v>196</v>
      </c>
      <c r="E308" s="6" t="s">
        <v>60</v>
      </c>
      <c r="F308" s="6">
        <v>4321.87</v>
      </c>
      <c r="G308" s="2">
        <v>12</v>
      </c>
      <c r="H308" s="61">
        <v>0.4</v>
      </c>
      <c r="I308" s="61">
        <v>0.38</v>
      </c>
      <c r="J308" s="47">
        <f t="shared" si="20"/>
        <v>-0.96666666666666667</v>
      </c>
      <c r="K308" s="47">
        <f t="shared" si="21"/>
        <v>-5.0000000000000044E-2</v>
      </c>
      <c r="L308" s="8">
        <v>0.43</v>
      </c>
      <c r="M308" s="8">
        <v>12.39</v>
      </c>
      <c r="N308" s="8">
        <v>10.82</v>
      </c>
      <c r="O308" s="17">
        <f t="shared" si="22"/>
        <v>-0.12817241379310346</v>
      </c>
      <c r="P308" s="17">
        <f t="shared" si="23"/>
        <v>-2.1639999999999979</v>
      </c>
      <c r="Q308" s="17">
        <v>9.57</v>
      </c>
      <c r="R308" s="9">
        <v>20220803</v>
      </c>
      <c r="S308" s="9">
        <v>12.23</v>
      </c>
      <c r="T308" s="9">
        <v>24.64</v>
      </c>
      <c r="U308" s="9">
        <v>1798.77502</v>
      </c>
      <c r="V308" s="45">
        <f t="shared" si="24"/>
        <v>-0.98630178886962749</v>
      </c>
      <c r="W308" s="12">
        <v>20</v>
      </c>
      <c r="X308" s="12">
        <v>3.91</v>
      </c>
      <c r="Y308" s="62"/>
    </row>
    <row r="309" spans="1:25" x14ac:dyDescent="0.2">
      <c r="A309" s="3" t="s">
        <v>2614</v>
      </c>
      <c r="B309" s="3" t="s">
        <v>571</v>
      </c>
      <c r="C309" s="6" t="s">
        <v>354</v>
      </c>
      <c r="D309" s="6" t="s">
        <v>572</v>
      </c>
      <c r="E309" s="6" t="s">
        <v>154</v>
      </c>
      <c r="F309" s="6">
        <v>102664.33</v>
      </c>
      <c r="G309" s="2">
        <v>12</v>
      </c>
      <c r="H309" s="61">
        <v>4.3899999999999997</v>
      </c>
      <c r="I309" s="61">
        <v>4.57</v>
      </c>
      <c r="J309" s="47">
        <f t="shared" si="20"/>
        <v>-0.63416666666666666</v>
      </c>
      <c r="K309" s="47">
        <f t="shared" si="21"/>
        <v>4.1002277904328158E-2</v>
      </c>
      <c r="L309" s="8">
        <v>4.99</v>
      </c>
      <c r="N309" s="8">
        <v>9.7899999999999991</v>
      </c>
      <c r="O309" s="17">
        <f t="shared" si="22"/>
        <v>0</v>
      </c>
      <c r="P309" s="17">
        <f t="shared" si="23"/>
        <v>2.3876722222222142</v>
      </c>
      <c r="Q309" s="17">
        <v>8.98</v>
      </c>
      <c r="U309" s="9">
        <v>34607.640619999998</v>
      </c>
      <c r="V309" s="45">
        <f t="shared" si="24"/>
        <v>-1</v>
      </c>
      <c r="X309" s="12">
        <v>6.03</v>
      </c>
      <c r="Y309" s="62">
        <v>1.1000000000000001</v>
      </c>
    </row>
    <row r="310" spans="1:25" x14ac:dyDescent="0.2">
      <c r="A310" s="3" t="s">
        <v>2615</v>
      </c>
      <c r="B310" s="3" t="s">
        <v>573</v>
      </c>
      <c r="C310" s="6" t="s">
        <v>356</v>
      </c>
      <c r="D310" s="6" t="s">
        <v>213</v>
      </c>
      <c r="E310" s="6" t="s">
        <v>163</v>
      </c>
      <c r="F310" s="6">
        <v>6145.02</v>
      </c>
      <c r="G310" s="2">
        <v>3</v>
      </c>
      <c r="H310" s="61">
        <v>0.31</v>
      </c>
      <c r="I310" s="61">
        <v>0.33</v>
      </c>
      <c r="J310" s="47">
        <f t="shared" si="20"/>
        <v>-0.89666666666666661</v>
      </c>
      <c r="K310" s="47">
        <f t="shared" si="21"/>
        <v>6.4516129032258118E-2</v>
      </c>
      <c r="L310" s="8">
        <v>0.36</v>
      </c>
      <c r="N310" s="8">
        <v>19.89</v>
      </c>
      <c r="O310" s="17">
        <f t="shared" si="22"/>
        <v>0</v>
      </c>
      <c r="P310" s="17">
        <f t="shared" si="23"/>
        <v>3.0829499999999976</v>
      </c>
      <c r="Q310" s="17">
        <v>18.420000000000002</v>
      </c>
      <c r="U310" s="9">
        <v>429.13</v>
      </c>
      <c r="V310" s="45">
        <f t="shared" si="24"/>
        <v>-1</v>
      </c>
      <c r="X310" s="12">
        <v>2.96</v>
      </c>
      <c r="Y310" s="62"/>
    </row>
    <row r="311" spans="1:25" x14ac:dyDescent="0.2">
      <c r="A311" s="3" t="s">
        <v>2616</v>
      </c>
      <c r="B311" s="3" t="s">
        <v>2617</v>
      </c>
      <c r="C311" s="6" t="s">
        <v>354</v>
      </c>
      <c r="D311" s="6" t="s">
        <v>1947</v>
      </c>
      <c r="E311" s="6" t="s">
        <v>218</v>
      </c>
      <c r="F311" s="6">
        <v>3707.16</v>
      </c>
      <c r="G311" s="2">
        <v>12</v>
      </c>
      <c r="H311" s="61">
        <v>-0.8</v>
      </c>
      <c r="I311" s="61">
        <v>7.29</v>
      </c>
      <c r="J311" s="47">
        <f t="shared" si="20"/>
        <v>-1.0666666666666667</v>
      </c>
      <c r="K311" s="47">
        <f t="shared" si="21"/>
        <v>10.112499999999999</v>
      </c>
      <c r="L311" s="8">
        <v>3.4</v>
      </c>
      <c r="M311" s="8">
        <v>8.6199999999999992</v>
      </c>
      <c r="N311" s="8">
        <v>3.54</v>
      </c>
      <c r="O311" s="17">
        <f t="shared" si="22"/>
        <v>-8.0812499999999995E-2</v>
      </c>
      <c r="P311" s="17">
        <f t="shared" si="23"/>
        <v>3.5006180469715703E-3</v>
      </c>
      <c r="Q311" s="17">
        <v>7.58</v>
      </c>
      <c r="R311" s="9">
        <v>20220804</v>
      </c>
      <c r="S311" s="9">
        <v>42.49</v>
      </c>
      <c r="T311" s="9">
        <v>-15.91</v>
      </c>
      <c r="U311" s="9">
        <v>4912</v>
      </c>
      <c r="V311" s="45">
        <f t="shared" si="24"/>
        <v>-1.0032390065146579</v>
      </c>
      <c r="W311" s="12">
        <v>-30.09</v>
      </c>
      <c r="X311" s="12">
        <v>0</v>
      </c>
      <c r="Y311" s="62"/>
    </row>
    <row r="312" spans="1:25" x14ac:dyDescent="0.2">
      <c r="A312" s="3" t="s">
        <v>2618</v>
      </c>
      <c r="B312" s="3" t="s">
        <v>574</v>
      </c>
      <c r="C312" s="6" t="s">
        <v>354</v>
      </c>
      <c r="D312" s="6" t="s">
        <v>116</v>
      </c>
      <c r="E312" s="6" t="s">
        <v>154</v>
      </c>
      <c r="F312" s="6">
        <v>111830.39999999999</v>
      </c>
      <c r="G312" s="2">
        <v>12</v>
      </c>
      <c r="H312" s="61">
        <v>2.82</v>
      </c>
      <c r="I312" s="61">
        <v>3.07</v>
      </c>
      <c r="J312" s="47">
        <f t="shared" si="20"/>
        <v>-0.76500000000000001</v>
      </c>
      <c r="K312" s="47">
        <f t="shared" si="21"/>
        <v>8.8652482269503549E-2</v>
      </c>
      <c r="L312" s="8">
        <v>3.41</v>
      </c>
      <c r="M312" s="8">
        <v>18.7</v>
      </c>
      <c r="N312" s="8">
        <v>18.41</v>
      </c>
      <c r="O312" s="17">
        <f t="shared" si="22"/>
        <v>-0.24444444444444444</v>
      </c>
      <c r="P312" s="17">
        <f t="shared" si="23"/>
        <v>2.076648</v>
      </c>
      <c r="Q312" s="17">
        <v>16.579999999999998</v>
      </c>
      <c r="R312" s="9">
        <v>20220804</v>
      </c>
      <c r="S312" s="9">
        <v>11.42</v>
      </c>
      <c r="T312" s="9">
        <v>-2</v>
      </c>
      <c r="U312" s="9">
        <v>59038.820310000003</v>
      </c>
      <c r="V312" s="45">
        <f t="shared" si="24"/>
        <v>-1.0000338760156369</v>
      </c>
      <c r="W312" s="12">
        <v>11.67</v>
      </c>
      <c r="X312" s="12">
        <v>0.72</v>
      </c>
      <c r="Y312" s="62">
        <v>1.79</v>
      </c>
    </row>
    <row r="313" spans="1:25" x14ac:dyDescent="0.2">
      <c r="A313" s="3" t="s">
        <v>2619</v>
      </c>
      <c r="B313" s="3" t="s">
        <v>575</v>
      </c>
      <c r="C313" s="6" t="s">
        <v>356</v>
      </c>
      <c r="D313" s="6" t="s">
        <v>219</v>
      </c>
      <c r="E313" s="6" t="s">
        <v>231</v>
      </c>
      <c r="F313" s="6">
        <v>8189.97</v>
      </c>
      <c r="G313" s="2">
        <v>3</v>
      </c>
      <c r="H313" s="61">
        <v>1.22</v>
      </c>
      <c r="I313" s="61">
        <v>1.44</v>
      </c>
      <c r="J313" s="47">
        <f t="shared" si="20"/>
        <v>-0.59333333333333338</v>
      </c>
      <c r="K313" s="47">
        <f t="shared" si="21"/>
        <v>0.18032786885245899</v>
      </c>
      <c r="L313" s="8">
        <v>1.54</v>
      </c>
      <c r="N313" s="8">
        <v>14.36</v>
      </c>
      <c r="O313" s="17">
        <f t="shared" si="22"/>
        <v>0</v>
      </c>
      <c r="P313" s="17">
        <f t="shared" si="23"/>
        <v>0.79632727272727288</v>
      </c>
      <c r="Q313" s="17">
        <v>13.41</v>
      </c>
      <c r="U313" s="9">
        <v>3816.4199199999998</v>
      </c>
      <c r="V313" s="45">
        <f t="shared" si="24"/>
        <v>-1</v>
      </c>
      <c r="X313" s="12">
        <v>1.41</v>
      </c>
      <c r="Y313" s="62">
        <v>1.1200000000000001</v>
      </c>
    </row>
    <row r="314" spans="1:25" x14ac:dyDescent="0.2">
      <c r="A314" s="3" t="s">
        <v>2620</v>
      </c>
      <c r="B314" s="3" t="s">
        <v>576</v>
      </c>
      <c r="C314" s="6" t="s">
        <v>354</v>
      </c>
      <c r="D314" s="6" t="s">
        <v>577</v>
      </c>
      <c r="E314" s="6" t="s">
        <v>231</v>
      </c>
      <c r="F314" s="6">
        <v>11228.29</v>
      </c>
      <c r="G314" s="2">
        <v>1</v>
      </c>
      <c r="H314" s="61">
        <v>9.0299999999999994</v>
      </c>
      <c r="I314" s="61">
        <v>7.2</v>
      </c>
      <c r="J314" s="47">
        <f t="shared" si="20"/>
        <v>8.0299999999999994</v>
      </c>
      <c r="K314" s="47">
        <f t="shared" si="21"/>
        <v>-0.20265780730897001</v>
      </c>
      <c r="L314" s="8">
        <v>9.7200000000000006</v>
      </c>
      <c r="M314" s="8">
        <v>26.67</v>
      </c>
      <c r="N314" s="8">
        <v>23.58</v>
      </c>
      <c r="O314" s="17">
        <f t="shared" si="22"/>
        <v>3.3212951432129524E-2</v>
      </c>
      <c r="P314" s="17">
        <f t="shared" si="23"/>
        <v>-1.1635377049180331</v>
      </c>
      <c r="Q314" s="17">
        <v>17.47</v>
      </c>
      <c r="R314" s="9">
        <v>20220825</v>
      </c>
      <c r="S314" s="9">
        <v>60.38</v>
      </c>
      <c r="T314" s="9">
        <v>6.72</v>
      </c>
      <c r="U314" s="9">
        <v>9497.2128900000007</v>
      </c>
      <c r="V314" s="45">
        <f t="shared" si="24"/>
        <v>-0.99929242399029772</v>
      </c>
      <c r="W314" s="12">
        <v>-15.63</v>
      </c>
      <c r="X314" s="12">
        <v>0</v>
      </c>
      <c r="Y314" s="62">
        <v>1.79</v>
      </c>
    </row>
    <row r="315" spans="1:25" x14ac:dyDescent="0.2">
      <c r="A315" s="3" t="s">
        <v>2621</v>
      </c>
      <c r="B315" s="3" t="s">
        <v>578</v>
      </c>
      <c r="C315" s="6" t="s">
        <v>354</v>
      </c>
      <c r="D315" s="6" t="s">
        <v>54</v>
      </c>
      <c r="E315" s="6" t="s">
        <v>35</v>
      </c>
      <c r="F315" s="6">
        <v>9436.85</v>
      </c>
      <c r="G315" s="2">
        <v>12</v>
      </c>
      <c r="H315" s="61">
        <v>3.83</v>
      </c>
      <c r="I315" s="61">
        <v>4.0599999999999996</v>
      </c>
      <c r="J315" s="47">
        <f t="shared" si="20"/>
        <v>-0.68083333333333329</v>
      </c>
      <c r="K315" s="47">
        <f t="shared" si="21"/>
        <v>6.0052219321148702E-2</v>
      </c>
      <c r="L315" s="8">
        <v>5.05</v>
      </c>
      <c r="M315" s="8">
        <v>9.8699999999999992</v>
      </c>
      <c r="N315" s="8">
        <v>9.7100000000000009</v>
      </c>
      <c r="O315" s="17">
        <f t="shared" si="22"/>
        <v>-0.14496940024479804</v>
      </c>
      <c r="P315" s="17">
        <f t="shared" si="23"/>
        <v>1.6169260869565252</v>
      </c>
      <c r="Q315" s="17">
        <v>7.81</v>
      </c>
      <c r="R315" s="9">
        <v>20220803</v>
      </c>
      <c r="S315" s="9">
        <v>13.34</v>
      </c>
      <c r="T315" s="9">
        <v>8.18</v>
      </c>
      <c r="U315" s="9">
        <v>15737.45019</v>
      </c>
      <c r="V315" s="45">
        <f t="shared" si="24"/>
        <v>-0.99948022075360099</v>
      </c>
      <c r="W315" s="12">
        <v>31.25</v>
      </c>
      <c r="X315" s="12">
        <v>1.73</v>
      </c>
      <c r="Y315" s="62">
        <v>0.33</v>
      </c>
    </row>
    <row r="316" spans="1:25" x14ac:dyDescent="0.2">
      <c r="A316" s="3" t="s">
        <v>2622</v>
      </c>
      <c r="B316" s="3" t="s">
        <v>579</v>
      </c>
      <c r="C316" s="6" t="s">
        <v>354</v>
      </c>
      <c r="D316" s="6" t="s">
        <v>141</v>
      </c>
      <c r="E316" s="6" t="s">
        <v>119</v>
      </c>
      <c r="F316" s="6">
        <v>4616.18</v>
      </c>
      <c r="G316" s="2">
        <v>12</v>
      </c>
      <c r="H316" s="61">
        <v>3.06</v>
      </c>
      <c r="I316" s="61">
        <v>3.17</v>
      </c>
      <c r="J316" s="47">
        <f t="shared" si="20"/>
        <v>-0.745</v>
      </c>
      <c r="K316" s="47">
        <f t="shared" si="21"/>
        <v>3.5947712418300609E-2</v>
      </c>
      <c r="L316" s="8">
        <v>3.26</v>
      </c>
      <c r="M316" s="8">
        <v>16.760000000000002</v>
      </c>
      <c r="N316" s="8">
        <v>15.97</v>
      </c>
      <c r="O316" s="17">
        <f t="shared" si="22"/>
        <v>-0.22496644295302015</v>
      </c>
      <c r="P316" s="17">
        <f t="shared" si="23"/>
        <v>4.4425636363636416</v>
      </c>
      <c r="Q316" s="17">
        <v>15.53</v>
      </c>
      <c r="R316" s="9">
        <v>20220801</v>
      </c>
      <c r="S316" s="9">
        <v>43.72</v>
      </c>
      <c r="T316" s="9">
        <v>6.56</v>
      </c>
      <c r="U316" s="9">
        <v>2199.6999500000002</v>
      </c>
      <c r="V316" s="45">
        <f t="shared" si="24"/>
        <v>-0.99701777508336997</v>
      </c>
      <c r="W316" s="12">
        <v>4.55</v>
      </c>
      <c r="X316" s="12">
        <v>1.74</v>
      </c>
      <c r="Y316" s="62">
        <v>2.0499999999999998</v>
      </c>
    </row>
    <row r="317" spans="1:25" x14ac:dyDescent="0.2">
      <c r="A317" s="3" t="s">
        <v>2623</v>
      </c>
      <c r="B317" s="3" t="s">
        <v>580</v>
      </c>
      <c r="C317" s="6" t="s">
        <v>354</v>
      </c>
      <c r="D317" s="6" t="s">
        <v>151</v>
      </c>
      <c r="E317" s="6" t="s">
        <v>163</v>
      </c>
      <c r="F317" s="6">
        <v>82895.66</v>
      </c>
      <c r="G317" s="2">
        <v>12</v>
      </c>
      <c r="H317" s="61">
        <v>4.4000000000000004</v>
      </c>
      <c r="I317" s="61">
        <v>5.71</v>
      </c>
      <c r="J317" s="47">
        <f t="shared" si="20"/>
        <v>-0.6333333333333333</v>
      </c>
      <c r="K317" s="47">
        <f t="shared" si="21"/>
        <v>0.29772727272727262</v>
      </c>
      <c r="L317" s="8">
        <v>6.33</v>
      </c>
      <c r="M317" s="8">
        <v>22.07</v>
      </c>
      <c r="N317" s="8">
        <v>20.72</v>
      </c>
      <c r="O317" s="17">
        <f t="shared" si="22"/>
        <v>-0.34847368421052632</v>
      </c>
      <c r="P317" s="17">
        <f t="shared" si="23"/>
        <v>0.69593893129771012</v>
      </c>
      <c r="Q317" s="17">
        <v>18.690000000000001</v>
      </c>
      <c r="R317" s="9">
        <v>20220728</v>
      </c>
      <c r="S317" s="9">
        <v>18.77</v>
      </c>
      <c r="T317" s="9">
        <v>31.77</v>
      </c>
      <c r="U317" s="9">
        <v>13851.01269</v>
      </c>
      <c r="V317" s="45">
        <f t="shared" si="24"/>
        <v>-0.99770630489545808</v>
      </c>
      <c r="W317" s="12">
        <v>43.52</v>
      </c>
      <c r="X317" s="12">
        <v>4.46</v>
      </c>
      <c r="Y317" s="62">
        <v>1.25</v>
      </c>
    </row>
    <row r="318" spans="1:25" x14ac:dyDescent="0.2">
      <c r="A318" s="3" t="s">
        <v>2624</v>
      </c>
      <c r="B318" s="3" t="s">
        <v>581</v>
      </c>
      <c r="C318" s="6" t="s">
        <v>356</v>
      </c>
      <c r="D318" s="6" t="s">
        <v>137</v>
      </c>
      <c r="E318" s="6" t="s">
        <v>201</v>
      </c>
      <c r="F318" s="6">
        <v>11348.8</v>
      </c>
      <c r="G318" s="2">
        <v>6</v>
      </c>
      <c r="H318" s="61">
        <v>0.75</v>
      </c>
      <c r="I318" s="61">
        <v>0.8</v>
      </c>
      <c r="J318" s="47">
        <f t="shared" si="20"/>
        <v>-0.875</v>
      </c>
      <c r="K318" s="47">
        <f t="shared" si="21"/>
        <v>6.6666666666666721E-2</v>
      </c>
      <c r="L318" s="8">
        <v>0.84</v>
      </c>
      <c r="N318" s="8">
        <v>19.760000000000002</v>
      </c>
      <c r="O318" s="17">
        <f t="shared" si="22"/>
        <v>0</v>
      </c>
      <c r="P318" s="17">
        <f t="shared" si="23"/>
        <v>2.9639999999999977</v>
      </c>
      <c r="Q318" s="17">
        <v>18.82</v>
      </c>
      <c r="U318" s="9">
        <v>5592.5</v>
      </c>
      <c r="V318" s="45">
        <f t="shared" si="24"/>
        <v>-1</v>
      </c>
      <c r="X318" s="12">
        <v>2.57</v>
      </c>
      <c r="Y318" s="62"/>
    </row>
    <row r="319" spans="1:25" x14ac:dyDescent="0.2">
      <c r="A319" s="3" t="s">
        <v>2625</v>
      </c>
      <c r="B319" s="3" t="s">
        <v>582</v>
      </c>
      <c r="C319" s="6" t="s">
        <v>354</v>
      </c>
      <c r="D319" s="6" t="s">
        <v>214</v>
      </c>
      <c r="E319" s="6" t="s">
        <v>163</v>
      </c>
      <c r="F319" s="6">
        <v>5258.43</v>
      </c>
      <c r="G319" s="2">
        <v>12</v>
      </c>
      <c r="H319" s="61">
        <v>2.4500000000000002</v>
      </c>
      <c r="I319" s="61">
        <v>2.5299999999999998</v>
      </c>
      <c r="J319" s="47">
        <f t="shared" si="20"/>
        <v>-0.79583333333333339</v>
      </c>
      <c r="K319" s="47">
        <f t="shared" si="21"/>
        <v>3.2653061224489639E-2</v>
      </c>
      <c r="L319" s="8">
        <v>2.66</v>
      </c>
      <c r="M319" s="8">
        <v>11.7</v>
      </c>
      <c r="N319" s="8">
        <v>12.19</v>
      </c>
      <c r="O319" s="17">
        <f t="shared" si="22"/>
        <v>-0.1470157068062827</v>
      </c>
      <c r="P319" s="17">
        <f t="shared" si="23"/>
        <v>3.7331875000000174</v>
      </c>
      <c r="Q319" s="17">
        <v>11.59</v>
      </c>
      <c r="R319" s="9">
        <v>20220727</v>
      </c>
      <c r="S319" s="9">
        <v>8.75</v>
      </c>
      <c r="T319" s="9">
        <v>15.1</v>
      </c>
      <c r="U319" s="9">
        <v>556</v>
      </c>
      <c r="V319" s="45">
        <f t="shared" si="24"/>
        <v>-0.97284172661870505</v>
      </c>
      <c r="W319" s="12">
        <v>-1.59</v>
      </c>
      <c r="X319" s="12">
        <v>8.0299999999999994</v>
      </c>
      <c r="Y319" s="62"/>
    </row>
    <row r="320" spans="1:25" x14ac:dyDescent="0.2">
      <c r="A320" s="3" t="s">
        <v>2626</v>
      </c>
      <c r="B320" s="3" t="s">
        <v>583</v>
      </c>
      <c r="C320" s="6" t="s">
        <v>354</v>
      </c>
      <c r="D320" s="6" t="s">
        <v>215</v>
      </c>
      <c r="E320" s="6" t="s">
        <v>163</v>
      </c>
      <c r="F320" s="6">
        <v>17185.060000000001</v>
      </c>
      <c r="G320" s="2">
        <v>12</v>
      </c>
      <c r="H320" s="61">
        <v>6.53</v>
      </c>
      <c r="I320" s="61">
        <v>7.41</v>
      </c>
      <c r="J320" s="47">
        <f t="shared" si="20"/>
        <v>-0.45583333333333331</v>
      </c>
      <c r="K320" s="47">
        <f t="shared" si="21"/>
        <v>0.13476263399693719</v>
      </c>
      <c r="L320" s="8">
        <v>7.98</v>
      </c>
      <c r="M320" s="8">
        <v>16.079999999999998</v>
      </c>
      <c r="N320" s="8">
        <v>14.8</v>
      </c>
      <c r="O320" s="17">
        <f t="shared" si="22"/>
        <v>-0.35276051188299817</v>
      </c>
      <c r="P320" s="17">
        <f t="shared" si="23"/>
        <v>1.0982272727272728</v>
      </c>
      <c r="Q320" s="17">
        <v>13.75</v>
      </c>
      <c r="R320" s="9">
        <v>20220726</v>
      </c>
      <c r="S320" s="9">
        <v>6.8</v>
      </c>
      <c r="T320" s="9">
        <v>2.41</v>
      </c>
      <c r="U320" s="9">
        <v>2812.5329499999998</v>
      </c>
      <c r="V320" s="45">
        <f t="shared" si="24"/>
        <v>-0.99914312114992299</v>
      </c>
      <c r="W320" s="12">
        <v>4.5999999999999996</v>
      </c>
      <c r="X320" s="12">
        <v>3.57</v>
      </c>
      <c r="Y320" s="62">
        <v>2.58</v>
      </c>
    </row>
    <row r="321" spans="1:25" x14ac:dyDescent="0.2">
      <c r="A321" s="3" t="s">
        <v>2627</v>
      </c>
      <c r="B321" s="3" t="s">
        <v>2628</v>
      </c>
      <c r="C321" s="6" t="s">
        <v>354</v>
      </c>
      <c r="D321" s="6" t="s">
        <v>152</v>
      </c>
      <c r="E321" s="6" t="s">
        <v>163</v>
      </c>
      <c r="F321" s="6">
        <v>4323.43</v>
      </c>
      <c r="G321" s="2">
        <v>12</v>
      </c>
      <c r="H321" s="61">
        <v>2.42</v>
      </c>
      <c r="I321" s="61">
        <v>2.46</v>
      </c>
      <c r="J321" s="47">
        <f t="shared" si="20"/>
        <v>-0.79833333333333334</v>
      </c>
      <c r="K321" s="47">
        <f t="shared" si="21"/>
        <v>1.6528925619834725E-2</v>
      </c>
      <c r="L321" s="8">
        <v>2.58</v>
      </c>
      <c r="N321" s="8">
        <v>10.38</v>
      </c>
      <c r="O321" s="17">
        <f t="shared" si="22"/>
        <v>0</v>
      </c>
      <c r="P321" s="17">
        <f t="shared" si="23"/>
        <v>6.2798999999999952</v>
      </c>
      <c r="Q321" s="17">
        <v>9.8699999999999992</v>
      </c>
      <c r="R321" s="9">
        <v>20220811</v>
      </c>
      <c r="U321" s="9">
        <v>748.05998999999997</v>
      </c>
      <c r="V321" s="45">
        <f t="shared" si="24"/>
        <v>-1</v>
      </c>
      <c r="W321" s="12">
        <v>-1.61</v>
      </c>
      <c r="X321" s="12">
        <v>8.31</v>
      </c>
      <c r="Y321" s="62"/>
    </row>
    <row r="322" spans="1:25" x14ac:dyDescent="0.2">
      <c r="A322" s="3" t="s">
        <v>2629</v>
      </c>
      <c r="B322" s="3" t="s">
        <v>584</v>
      </c>
      <c r="C322" s="6" t="s">
        <v>354</v>
      </c>
      <c r="D322" s="6" t="s">
        <v>157</v>
      </c>
      <c r="E322" s="6" t="s">
        <v>146</v>
      </c>
      <c r="F322" s="6">
        <v>6522.42</v>
      </c>
      <c r="G322" s="2">
        <v>12</v>
      </c>
      <c r="H322" s="61">
        <v>5.01</v>
      </c>
      <c r="I322" s="61">
        <v>5.47</v>
      </c>
      <c r="J322" s="47">
        <f t="shared" si="20"/>
        <v>-0.58250000000000002</v>
      </c>
      <c r="K322" s="47">
        <f t="shared" si="21"/>
        <v>9.1816367265469059E-2</v>
      </c>
      <c r="L322" s="8">
        <v>5.94</v>
      </c>
      <c r="M322" s="8">
        <v>10.65</v>
      </c>
      <c r="N322" s="8">
        <v>10.89</v>
      </c>
      <c r="O322" s="17">
        <f t="shared" si="22"/>
        <v>-0.18283261802575107</v>
      </c>
      <c r="P322" s="17">
        <f t="shared" si="23"/>
        <v>1.1860630434782611</v>
      </c>
      <c r="Q322" s="17">
        <v>10.02</v>
      </c>
      <c r="R322" s="9">
        <v>20220726</v>
      </c>
      <c r="S322" s="9">
        <v>42.72</v>
      </c>
      <c r="T322" s="9">
        <v>5.56</v>
      </c>
      <c r="U322" s="9">
        <v>3469.4870599999999</v>
      </c>
      <c r="V322" s="45">
        <f t="shared" si="24"/>
        <v>-0.99839745763455878</v>
      </c>
      <c r="W322" s="12">
        <v>12.9</v>
      </c>
      <c r="X322" s="12">
        <v>0.49</v>
      </c>
      <c r="Y322" s="62"/>
    </row>
    <row r="323" spans="1:25" x14ac:dyDescent="0.2">
      <c r="A323" s="3" t="s">
        <v>2630</v>
      </c>
      <c r="B323" s="3" t="s">
        <v>585</v>
      </c>
      <c r="C323" s="6" t="s">
        <v>356</v>
      </c>
      <c r="D323" s="6" t="s">
        <v>46</v>
      </c>
      <c r="E323" s="6" t="s">
        <v>35</v>
      </c>
      <c r="F323" s="6">
        <v>94898.45</v>
      </c>
      <c r="G323" s="2">
        <v>12</v>
      </c>
      <c r="H323" s="61">
        <v>0.46</v>
      </c>
      <c r="I323" s="61">
        <v>0.63</v>
      </c>
      <c r="J323" s="47">
        <f t="shared" ref="J323:J386" si="25">(H323-G323)/ABS(G323)</f>
        <v>-0.96166666666666656</v>
      </c>
      <c r="K323" s="47">
        <f t="shared" ref="K323:K386" si="26">(I323-H323)/ABS(H323)</f>
        <v>0.36956521739130432</v>
      </c>
      <c r="L323" s="8">
        <v>0.94</v>
      </c>
      <c r="N323" s="8">
        <v>109.85</v>
      </c>
      <c r="O323" s="17">
        <f t="shared" ref="O323:O386" si="27">M323/(J323*100)</f>
        <v>0</v>
      </c>
      <c r="P323" s="17">
        <f t="shared" ref="P323:P386" si="28">N323/(K323*100)</f>
        <v>2.9724117647058828</v>
      </c>
      <c r="Q323" s="17">
        <v>73.75</v>
      </c>
      <c r="U323" s="9">
        <v>53858.785150000003</v>
      </c>
      <c r="V323" s="45">
        <f t="shared" ref="V323:V386" si="29">(T323-U323)/U323</f>
        <v>-1</v>
      </c>
      <c r="X323" s="12">
        <v>0.05</v>
      </c>
      <c r="Y323" s="62">
        <v>2.5299999999999998</v>
      </c>
    </row>
    <row r="324" spans="1:25" x14ac:dyDescent="0.2">
      <c r="A324" s="3" t="s">
        <v>2631</v>
      </c>
      <c r="B324" s="3" t="s">
        <v>2632</v>
      </c>
      <c r="C324" s="6" t="s">
        <v>355</v>
      </c>
      <c r="D324" s="6" t="s">
        <v>177</v>
      </c>
      <c r="E324" s="6" t="s">
        <v>119</v>
      </c>
      <c r="F324" s="6">
        <v>6459.46</v>
      </c>
      <c r="G324" s="2">
        <v>12</v>
      </c>
      <c r="H324" s="61">
        <v>0.23</v>
      </c>
      <c r="I324" s="61">
        <v>0.43</v>
      </c>
      <c r="J324" s="47">
        <f t="shared" si="25"/>
        <v>-0.98083333333333333</v>
      </c>
      <c r="K324" s="47">
        <f t="shared" si="26"/>
        <v>0.86956521739130421</v>
      </c>
      <c r="L324" s="8">
        <v>0.81</v>
      </c>
      <c r="N324" s="8">
        <v>41.21</v>
      </c>
      <c r="O324" s="17">
        <f t="shared" si="27"/>
        <v>0</v>
      </c>
      <c r="P324" s="17">
        <f t="shared" si="28"/>
        <v>0.47391500000000009</v>
      </c>
      <c r="Q324" s="17">
        <v>21.88</v>
      </c>
      <c r="R324" s="9">
        <v>20220622</v>
      </c>
      <c r="S324" s="9">
        <v>-15.85</v>
      </c>
      <c r="U324" s="9">
        <v>1038.35998</v>
      </c>
      <c r="V324" s="45">
        <f t="shared" si="29"/>
        <v>-1</v>
      </c>
      <c r="W324" s="12">
        <v>-33.33</v>
      </c>
      <c r="X324" s="12">
        <v>0</v>
      </c>
      <c r="Y324" s="62"/>
    </row>
    <row r="325" spans="1:25" x14ac:dyDescent="0.2">
      <c r="A325" s="3" t="s">
        <v>2633</v>
      </c>
      <c r="B325" s="3" t="s">
        <v>588</v>
      </c>
      <c r="C325" s="6" t="s">
        <v>356</v>
      </c>
      <c r="D325" s="6" t="s">
        <v>590</v>
      </c>
      <c r="E325" s="6" t="s">
        <v>589</v>
      </c>
      <c r="F325" s="6">
        <v>12075.74</v>
      </c>
      <c r="G325" s="2">
        <v>12</v>
      </c>
      <c r="H325" s="61">
        <v>2.0699999999999998</v>
      </c>
      <c r="I325" s="61">
        <v>2.09</v>
      </c>
      <c r="J325" s="47">
        <f t="shared" si="25"/>
        <v>-0.82750000000000001</v>
      </c>
      <c r="K325" s="47">
        <f t="shared" si="26"/>
        <v>9.6618357487922805E-3</v>
      </c>
      <c r="L325" s="8">
        <v>2.12</v>
      </c>
      <c r="N325" s="8">
        <v>17.149999999999999</v>
      </c>
      <c r="O325" s="17">
        <f t="shared" si="27"/>
        <v>0</v>
      </c>
      <c r="P325" s="17">
        <f t="shared" si="28"/>
        <v>17.75024999999998</v>
      </c>
      <c r="Q325" s="17">
        <v>16.86</v>
      </c>
      <c r="U325" s="9">
        <v>14212.04003</v>
      </c>
      <c r="V325" s="45">
        <f t="shared" si="29"/>
        <v>-1</v>
      </c>
      <c r="X325" s="12">
        <v>2.85</v>
      </c>
      <c r="Y325" s="62">
        <v>0.6</v>
      </c>
    </row>
    <row r="326" spans="1:25" x14ac:dyDescent="0.2">
      <c r="A326" s="3" t="s">
        <v>2634</v>
      </c>
      <c r="B326" s="3" t="s">
        <v>591</v>
      </c>
      <c r="C326" s="6" t="s">
        <v>354</v>
      </c>
      <c r="D326" s="6" t="s">
        <v>97</v>
      </c>
      <c r="E326" s="6" t="s">
        <v>163</v>
      </c>
      <c r="F326" s="6">
        <v>107146.59</v>
      </c>
      <c r="G326" s="2">
        <v>12</v>
      </c>
      <c r="H326" s="61">
        <v>10.07</v>
      </c>
      <c r="I326" s="61">
        <v>6.94</v>
      </c>
      <c r="J326" s="47">
        <f t="shared" si="25"/>
        <v>-0.1608333333333333</v>
      </c>
      <c r="K326" s="47">
        <f t="shared" si="26"/>
        <v>-0.31082423038728896</v>
      </c>
      <c r="L326" s="8">
        <v>7.42</v>
      </c>
      <c r="M326" s="8">
        <v>6.39</v>
      </c>
      <c r="N326" s="8">
        <v>7.79</v>
      </c>
      <c r="O326" s="17">
        <f t="shared" si="27"/>
        <v>-0.39730569948186539</v>
      </c>
      <c r="P326" s="17">
        <f t="shared" si="28"/>
        <v>-0.25062396166134188</v>
      </c>
      <c r="Q326" s="17">
        <v>7.29</v>
      </c>
      <c r="R326" s="9">
        <v>20220713</v>
      </c>
      <c r="S326" s="9">
        <v>10.96</v>
      </c>
      <c r="T326" s="9">
        <v>-2.13</v>
      </c>
      <c r="U326" s="9">
        <v>73543.398430000001</v>
      </c>
      <c r="V326" s="45">
        <f t="shared" si="29"/>
        <v>-1.0000289624907943</v>
      </c>
      <c r="W326" s="12">
        <v>16.09</v>
      </c>
      <c r="X326" s="12">
        <v>3.77</v>
      </c>
      <c r="Y326" s="62">
        <v>0.7</v>
      </c>
    </row>
    <row r="327" spans="1:25" x14ac:dyDescent="0.2">
      <c r="A327" s="3" t="s">
        <v>2635</v>
      </c>
      <c r="B327" s="3" t="s">
        <v>592</v>
      </c>
      <c r="C327" s="6" t="s">
        <v>354</v>
      </c>
      <c r="D327" s="6" t="s">
        <v>593</v>
      </c>
      <c r="E327" s="6" t="s">
        <v>146</v>
      </c>
      <c r="F327" s="6">
        <v>7671.13</v>
      </c>
      <c r="G327" s="2">
        <v>12</v>
      </c>
      <c r="H327" s="61">
        <v>48.06</v>
      </c>
      <c r="I327" s="61">
        <v>67.72</v>
      </c>
      <c r="J327" s="47">
        <f t="shared" si="25"/>
        <v>3.0050000000000003</v>
      </c>
      <c r="K327" s="47">
        <f t="shared" si="26"/>
        <v>0.40907199334165617</v>
      </c>
      <c r="L327" s="8">
        <v>61.63</v>
      </c>
      <c r="M327" s="8">
        <v>20.51</v>
      </c>
      <c r="N327" s="8">
        <v>18.899999999999999</v>
      </c>
      <c r="O327" s="17">
        <f t="shared" si="27"/>
        <v>6.8252911813643916E-2</v>
      </c>
      <c r="P327" s="17">
        <f t="shared" si="28"/>
        <v>0.46202136317395731</v>
      </c>
      <c r="Q327" s="17">
        <v>20.77</v>
      </c>
      <c r="R327" s="9">
        <v>20220808</v>
      </c>
      <c r="S327" s="9">
        <v>22.11</v>
      </c>
      <c r="T327" s="9">
        <v>13.06</v>
      </c>
      <c r="U327" s="9">
        <v>1725.2130099999999</v>
      </c>
      <c r="V327" s="45">
        <f t="shared" si="29"/>
        <v>-0.99242992029140797</v>
      </c>
      <c r="W327" s="12">
        <v>123.19</v>
      </c>
      <c r="X327" s="12">
        <v>0.86</v>
      </c>
      <c r="Y327" s="62"/>
    </row>
    <row r="328" spans="1:25" x14ac:dyDescent="0.2">
      <c r="A328" s="3" t="s">
        <v>2636</v>
      </c>
      <c r="B328" s="3" t="s">
        <v>594</v>
      </c>
      <c r="C328" s="6" t="s">
        <v>355</v>
      </c>
      <c r="D328" s="6" t="s">
        <v>148</v>
      </c>
      <c r="E328" s="6" t="s">
        <v>163</v>
      </c>
      <c r="F328" s="6">
        <v>7639.35</v>
      </c>
      <c r="G328" s="2">
        <v>12</v>
      </c>
      <c r="H328" s="61">
        <v>57.13</v>
      </c>
      <c r="I328" s="61">
        <v>48.3</v>
      </c>
      <c r="J328" s="47">
        <f t="shared" si="25"/>
        <v>3.7608333333333337</v>
      </c>
      <c r="K328" s="47">
        <f t="shared" si="26"/>
        <v>-0.15455977594958875</v>
      </c>
      <c r="L328" s="8">
        <v>46.23</v>
      </c>
      <c r="M328" s="8">
        <v>9.3000000000000007</v>
      </c>
      <c r="N328" s="8">
        <v>12.04</v>
      </c>
      <c r="O328" s="17">
        <f t="shared" si="27"/>
        <v>2.4728561932195879E-2</v>
      </c>
      <c r="P328" s="17">
        <f t="shared" si="28"/>
        <v>-0.77898663646659061</v>
      </c>
      <c r="Q328" s="17">
        <v>12.57</v>
      </c>
      <c r="R328" s="9">
        <v>20220804</v>
      </c>
      <c r="S328" s="9">
        <v>44.07</v>
      </c>
      <c r="T328" s="9">
        <v>13.89</v>
      </c>
      <c r="U328" s="9">
        <v>1773.9599599999999</v>
      </c>
      <c r="V328" s="45">
        <f t="shared" si="29"/>
        <v>-0.99217006002773589</v>
      </c>
      <c r="W328" s="12">
        <v>13.79</v>
      </c>
      <c r="X328" s="12">
        <v>0</v>
      </c>
      <c r="Y328" s="62"/>
    </row>
    <row r="329" spans="1:25" x14ac:dyDescent="0.2">
      <c r="A329" s="3" t="s">
        <v>2637</v>
      </c>
      <c r="B329" s="3" t="s">
        <v>595</v>
      </c>
      <c r="C329" s="6" t="s">
        <v>354</v>
      </c>
      <c r="D329" s="6" t="s">
        <v>596</v>
      </c>
      <c r="E329" s="6" t="s">
        <v>119</v>
      </c>
      <c r="F329" s="6">
        <v>6521.83</v>
      </c>
      <c r="G329" s="2">
        <v>6</v>
      </c>
      <c r="H329" s="61">
        <v>18.34</v>
      </c>
      <c r="I329" s="61">
        <v>17.87</v>
      </c>
      <c r="J329" s="47">
        <f t="shared" si="25"/>
        <v>2.0566666666666666</v>
      </c>
      <c r="K329" s="47">
        <f t="shared" si="26"/>
        <v>-2.5627044711014114E-2</v>
      </c>
      <c r="L329" s="8">
        <v>19.57</v>
      </c>
      <c r="M329" s="8">
        <v>14.68</v>
      </c>
      <c r="N329" s="8">
        <v>15.59</v>
      </c>
      <c r="O329" s="17">
        <f t="shared" si="27"/>
        <v>7.1377633711507293E-2</v>
      </c>
      <c r="P329" s="17">
        <f t="shared" si="28"/>
        <v>-6.0834170212766105</v>
      </c>
      <c r="Q329" s="17">
        <v>14.24</v>
      </c>
      <c r="R329" s="9">
        <v>20220810</v>
      </c>
      <c r="S329" s="9">
        <v>16.52</v>
      </c>
      <c r="T329" s="9">
        <v>9.24</v>
      </c>
      <c r="U329" s="9">
        <v>6234.6879799999997</v>
      </c>
      <c r="V329" s="45">
        <f t="shared" si="29"/>
        <v>-0.99851796913820856</v>
      </c>
      <c r="W329" s="12">
        <v>-3.13</v>
      </c>
      <c r="X329" s="12">
        <v>0</v>
      </c>
      <c r="Y329" s="62">
        <v>3.85</v>
      </c>
    </row>
    <row r="330" spans="1:25" x14ac:dyDescent="0.2">
      <c r="A330" s="3" t="s">
        <v>597</v>
      </c>
      <c r="B330" s="3" t="s">
        <v>597</v>
      </c>
      <c r="C330" s="6" t="s">
        <v>354</v>
      </c>
      <c r="D330" s="6" t="s">
        <v>24</v>
      </c>
      <c r="E330" s="6" t="s">
        <v>10</v>
      </c>
      <c r="F330" s="6">
        <v>7532.64</v>
      </c>
      <c r="G330" s="2">
        <v>3</v>
      </c>
      <c r="H330" s="61">
        <v>0.61</v>
      </c>
      <c r="I330" s="61">
        <v>0.91</v>
      </c>
      <c r="J330" s="47">
        <f t="shared" si="25"/>
        <v>-0.79666666666666675</v>
      </c>
      <c r="K330" s="47">
        <f t="shared" si="26"/>
        <v>0.49180327868852469</v>
      </c>
      <c r="L330" s="8">
        <v>1.22</v>
      </c>
      <c r="M330" s="8">
        <v>38.32</v>
      </c>
      <c r="N330" s="8">
        <v>25.98</v>
      </c>
      <c r="O330" s="17">
        <f t="shared" si="27"/>
        <v>-0.4810041841004184</v>
      </c>
      <c r="P330" s="17">
        <f t="shared" si="28"/>
        <v>0.52825999999999984</v>
      </c>
      <c r="Q330" s="17">
        <v>19.54</v>
      </c>
      <c r="R330" s="9">
        <v>20220602</v>
      </c>
      <c r="S330" s="9">
        <v>6.49</v>
      </c>
      <c r="T330" s="9">
        <v>4.41</v>
      </c>
      <c r="U330" s="9">
        <v>3175.3830499999999</v>
      </c>
      <c r="V330" s="45">
        <f t="shared" si="29"/>
        <v>-0.99861119117581743</v>
      </c>
      <c r="W330" s="12">
        <v>0</v>
      </c>
      <c r="X330" s="12">
        <v>0</v>
      </c>
      <c r="Y330" s="62">
        <v>3.25</v>
      </c>
    </row>
    <row r="331" spans="1:25" x14ac:dyDescent="0.2">
      <c r="A331" s="3" t="s">
        <v>2638</v>
      </c>
      <c r="B331" s="3" t="s">
        <v>598</v>
      </c>
      <c r="C331" s="6" t="s">
        <v>354</v>
      </c>
      <c r="D331" s="6" t="s">
        <v>155</v>
      </c>
      <c r="E331" s="6" t="s">
        <v>154</v>
      </c>
      <c r="F331" s="6">
        <v>15826.29</v>
      </c>
      <c r="G331" s="2">
        <v>5</v>
      </c>
      <c r="H331" s="61">
        <v>2.63</v>
      </c>
      <c r="I331" s="61">
        <v>2.35</v>
      </c>
      <c r="J331" s="47">
        <f t="shared" si="25"/>
        <v>-0.47400000000000003</v>
      </c>
      <c r="K331" s="47">
        <f t="shared" si="26"/>
        <v>-0.10646387832699612</v>
      </c>
      <c r="L331" s="8">
        <v>2.57</v>
      </c>
      <c r="M331" s="8">
        <v>14.59</v>
      </c>
      <c r="N331" s="8">
        <v>14.05</v>
      </c>
      <c r="O331" s="17">
        <f t="shared" si="27"/>
        <v>-0.30780590717299572</v>
      </c>
      <c r="P331" s="17">
        <f t="shared" si="28"/>
        <v>-1.3196964285714294</v>
      </c>
      <c r="Q331" s="17">
        <v>12.85</v>
      </c>
      <c r="R331" s="9">
        <v>20220712</v>
      </c>
      <c r="S331" s="9">
        <v>12.46</v>
      </c>
      <c r="T331" s="9">
        <v>10.39</v>
      </c>
      <c r="U331" s="9">
        <v>11542.362300000001</v>
      </c>
      <c r="V331" s="45">
        <f t="shared" si="29"/>
        <v>-0.99909983764761923</v>
      </c>
      <c r="W331" s="12">
        <v>1.75</v>
      </c>
      <c r="X331" s="12">
        <v>3.79</v>
      </c>
      <c r="Y331" s="62">
        <v>2.0099999999999998</v>
      </c>
    </row>
    <row r="332" spans="1:25" x14ac:dyDescent="0.2">
      <c r="A332" s="3" t="s">
        <v>2639</v>
      </c>
      <c r="B332" s="3" t="s">
        <v>599</v>
      </c>
      <c r="C332" s="6" t="s">
        <v>354</v>
      </c>
      <c r="D332" s="6" t="s">
        <v>186</v>
      </c>
      <c r="E332" s="6" t="s">
        <v>208</v>
      </c>
      <c r="F332" s="6">
        <v>15806.24</v>
      </c>
      <c r="G332" s="2">
        <v>6</v>
      </c>
      <c r="H332" s="61">
        <v>5.97</v>
      </c>
      <c r="I332" s="61">
        <v>5.22</v>
      </c>
      <c r="J332" s="47">
        <f t="shared" si="25"/>
        <v>-5.0000000000000417E-3</v>
      </c>
      <c r="K332" s="47">
        <f t="shared" si="26"/>
        <v>-0.1256281407035176</v>
      </c>
      <c r="L332" s="8">
        <v>5.55</v>
      </c>
      <c r="M332" s="8">
        <v>12.14</v>
      </c>
      <c r="N332" s="8">
        <v>11.13</v>
      </c>
      <c r="O332" s="17">
        <f t="shared" si="27"/>
        <v>-24.279999999999795</v>
      </c>
      <c r="P332" s="17">
        <f t="shared" si="28"/>
        <v>-0.88594799999999985</v>
      </c>
      <c r="Q332" s="17">
        <v>10.45</v>
      </c>
      <c r="R332" s="9">
        <v>20220804</v>
      </c>
      <c r="S332" s="9">
        <v>155.24</v>
      </c>
      <c r="T332" s="9">
        <v>6.21</v>
      </c>
      <c r="U332" s="9">
        <v>178010.96875</v>
      </c>
      <c r="V332" s="45">
        <f t="shared" si="29"/>
        <v>-0.99996511450927095</v>
      </c>
      <c r="W332" s="12">
        <v>-5.84</v>
      </c>
      <c r="X332" s="12">
        <v>3.38</v>
      </c>
      <c r="Y332" s="62">
        <v>6.87</v>
      </c>
    </row>
    <row r="333" spans="1:25" x14ac:dyDescent="0.2">
      <c r="A333" s="3" t="s">
        <v>2640</v>
      </c>
      <c r="B333" s="3" t="s">
        <v>1853</v>
      </c>
      <c r="C333" s="6" t="s">
        <v>355</v>
      </c>
      <c r="D333" s="6" t="s">
        <v>124</v>
      </c>
      <c r="E333" s="6" t="s">
        <v>108</v>
      </c>
      <c r="F333" s="6">
        <v>8935.08</v>
      </c>
      <c r="G333" s="2">
        <v>12</v>
      </c>
      <c r="H333" s="61">
        <v>22.24</v>
      </c>
      <c r="I333" s="61">
        <v>35.950000000000003</v>
      </c>
      <c r="J333" s="47">
        <f t="shared" si="25"/>
        <v>0.85333333333333317</v>
      </c>
      <c r="K333" s="47">
        <f t="shared" si="26"/>
        <v>0.61645683453237432</v>
      </c>
      <c r="L333" s="8">
        <v>20.68</v>
      </c>
      <c r="M333" s="8">
        <v>5.49</v>
      </c>
      <c r="N333" s="8">
        <v>5.15</v>
      </c>
      <c r="O333" s="17">
        <f t="shared" si="27"/>
        <v>6.4335937500000023E-2</v>
      </c>
      <c r="P333" s="17">
        <f t="shared" si="28"/>
        <v>8.3541940189642575E-2</v>
      </c>
      <c r="Q333" s="17">
        <v>8.9499999999999993</v>
      </c>
      <c r="R333" s="9">
        <v>20220802</v>
      </c>
      <c r="S333" s="9">
        <v>-635.44000000000005</v>
      </c>
      <c r="T333" s="9">
        <v>-4.55</v>
      </c>
      <c r="U333" s="9">
        <v>11284.38769</v>
      </c>
      <c r="V333" s="45">
        <f t="shared" si="29"/>
        <v>-1.0004032119530979</v>
      </c>
      <c r="W333" s="12">
        <v>182.2</v>
      </c>
      <c r="X333" s="12">
        <v>0</v>
      </c>
      <c r="Y333" s="62">
        <v>0.26</v>
      </c>
    </row>
    <row r="334" spans="1:25" x14ac:dyDescent="0.2">
      <c r="A334" s="3" t="s">
        <v>2641</v>
      </c>
      <c r="B334" s="3" t="s">
        <v>1945</v>
      </c>
      <c r="C334" s="6" t="s">
        <v>356</v>
      </c>
      <c r="D334" s="6" t="s">
        <v>118</v>
      </c>
      <c r="E334" s="6" t="s">
        <v>140</v>
      </c>
      <c r="F334" s="6">
        <v>5216.25</v>
      </c>
      <c r="G334" s="2">
        <v>12</v>
      </c>
      <c r="H334" s="61">
        <v>5.54</v>
      </c>
      <c r="I334" s="61"/>
      <c r="J334" s="47">
        <f t="shared" si="25"/>
        <v>-0.53833333333333333</v>
      </c>
      <c r="K334" s="47">
        <f t="shared" si="26"/>
        <v>-1</v>
      </c>
      <c r="O334" s="17">
        <f t="shared" si="27"/>
        <v>0</v>
      </c>
      <c r="P334" s="17">
        <f t="shared" si="28"/>
        <v>0</v>
      </c>
      <c r="Q334" s="17"/>
      <c r="V334" s="45" t="e">
        <f t="shared" si="29"/>
        <v>#DIV/0!</v>
      </c>
      <c r="X334" s="12">
        <v>3.91</v>
      </c>
      <c r="Y334" s="62"/>
    </row>
    <row r="335" spans="1:25" x14ac:dyDescent="0.2">
      <c r="A335" s="3" t="s">
        <v>2642</v>
      </c>
      <c r="B335" s="3" t="s">
        <v>602</v>
      </c>
      <c r="C335" s="6" t="s">
        <v>354</v>
      </c>
      <c r="D335" s="6" t="s">
        <v>522</v>
      </c>
      <c r="E335" s="6" t="s">
        <v>119</v>
      </c>
      <c r="F335" s="6">
        <v>33361.35</v>
      </c>
      <c r="G335" s="2">
        <v>12</v>
      </c>
      <c r="H335" s="61">
        <v>2.21</v>
      </c>
      <c r="I335" s="61">
        <v>2.29</v>
      </c>
      <c r="J335" s="47">
        <f t="shared" si="25"/>
        <v>-0.8158333333333333</v>
      </c>
      <c r="K335" s="47">
        <f t="shared" si="26"/>
        <v>3.6199095022624465E-2</v>
      </c>
      <c r="L335" s="8">
        <v>2.5299999999999998</v>
      </c>
      <c r="M335" s="8">
        <v>16.88</v>
      </c>
      <c r="N335" s="8">
        <v>17.170000000000002</v>
      </c>
      <c r="O335" s="17">
        <f t="shared" si="27"/>
        <v>-0.20690500510725229</v>
      </c>
      <c r="P335" s="17">
        <f t="shared" si="28"/>
        <v>4.7432124999999967</v>
      </c>
      <c r="Q335" s="17">
        <v>15.55</v>
      </c>
      <c r="R335" s="9">
        <v>20220804</v>
      </c>
      <c r="S335" s="9">
        <v>28.53</v>
      </c>
      <c r="U335" s="9">
        <v>19982.964840000001</v>
      </c>
      <c r="V335" s="45">
        <f t="shared" si="29"/>
        <v>-1</v>
      </c>
      <c r="W335" s="12">
        <v>14.89</v>
      </c>
      <c r="X335" s="12">
        <v>1.53</v>
      </c>
      <c r="Y335" s="62">
        <v>2</v>
      </c>
    </row>
    <row r="336" spans="1:25" x14ac:dyDescent="0.2">
      <c r="A336" s="3" t="s">
        <v>2643</v>
      </c>
      <c r="B336" s="3" t="s">
        <v>603</v>
      </c>
      <c r="C336" s="6" t="s">
        <v>355</v>
      </c>
      <c r="D336" s="6" t="s">
        <v>604</v>
      </c>
      <c r="E336" s="6" t="s">
        <v>231</v>
      </c>
      <c r="F336" s="6">
        <v>7660.18</v>
      </c>
      <c r="G336" s="2">
        <v>4</v>
      </c>
      <c r="H336" s="61">
        <v>8.98</v>
      </c>
      <c r="I336" s="61">
        <v>9.06</v>
      </c>
      <c r="J336" s="47">
        <f t="shared" si="25"/>
        <v>1.2450000000000001</v>
      </c>
      <c r="K336" s="47">
        <f t="shared" si="26"/>
        <v>8.9086859688196074E-3</v>
      </c>
      <c r="L336" s="8">
        <v>9.7899999999999991</v>
      </c>
      <c r="M336" s="8">
        <v>23.97</v>
      </c>
      <c r="N336" s="8">
        <v>22.77</v>
      </c>
      <c r="O336" s="17">
        <f t="shared" si="27"/>
        <v>0.19253012048192769</v>
      </c>
      <c r="P336" s="17">
        <f t="shared" si="28"/>
        <v>25.559324999999976</v>
      </c>
      <c r="Q336" s="17">
        <v>21.08</v>
      </c>
      <c r="R336" s="9">
        <v>20220607</v>
      </c>
      <c r="S336" s="9">
        <v>15.56</v>
      </c>
      <c r="T336" s="9">
        <v>5.4</v>
      </c>
      <c r="U336" s="9">
        <v>14927.47753</v>
      </c>
      <c r="V336" s="45">
        <f t="shared" si="29"/>
        <v>-0.99963825100462234</v>
      </c>
      <c r="W336" s="12">
        <v>17.93</v>
      </c>
      <c r="X336" s="12">
        <v>0.68</v>
      </c>
      <c r="Y336" s="62"/>
    </row>
    <row r="337" spans="1:25" x14ac:dyDescent="0.2">
      <c r="A337" s="3" t="s">
        <v>2644</v>
      </c>
      <c r="B337" s="3" t="s">
        <v>605</v>
      </c>
      <c r="C337" s="6" t="s">
        <v>354</v>
      </c>
      <c r="D337" s="6" t="s">
        <v>606</v>
      </c>
      <c r="E337" s="6" t="s">
        <v>201</v>
      </c>
      <c r="F337" s="6">
        <v>113598.91</v>
      </c>
      <c r="G337" s="2">
        <v>12</v>
      </c>
      <c r="H337" s="61">
        <v>10.35</v>
      </c>
      <c r="I337" s="61">
        <v>12.58</v>
      </c>
      <c r="J337" s="47">
        <f t="shared" si="25"/>
        <v>-0.13750000000000004</v>
      </c>
      <c r="K337" s="47">
        <f t="shared" si="26"/>
        <v>0.21545893719806769</v>
      </c>
      <c r="L337" s="8">
        <v>14.78</v>
      </c>
      <c r="M337" s="8">
        <v>19.670000000000002</v>
      </c>
      <c r="N337" s="8">
        <v>16.93</v>
      </c>
      <c r="O337" s="17">
        <f t="shared" si="27"/>
        <v>-1.4305454545454543</v>
      </c>
      <c r="P337" s="17">
        <f t="shared" si="28"/>
        <v>0.78576457399103117</v>
      </c>
      <c r="Q337" s="17">
        <v>14.41</v>
      </c>
      <c r="R337" s="9">
        <v>20220729</v>
      </c>
      <c r="S337" s="9">
        <v>35.1</v>
      </c>
      <c r="T337" s="9">
        <v>0.56999999999999995</v>
      </c>
      <c r="U337" s="9">
        <v>57359.488279999998</v>
      </c>
      <c r="V337" s="45">
        <f t="shared" si="29"/>
        <v>-0.9999900626728534</v>
      </c>
      <c r="W337" s="12">
        <v>8.27</v>
      </c>
      <c r="X337" s="12">
        <v>2.08</v>
      </c>
      <c r="Y337" s="62">
        <v>1.41</v>
      </c>
    </row>
    <row r="338" spans="1:25" x14ac:dyDescent="0.2">
      <c r="A338" s="3" t="s">
        <v>1854</v>
      </c>
      <c r="B338" s="3" t="s">
        <v>1855</v>
      </c>
      <c r="C338" s="6" t="s">
        <v>355</v>
      </c>
      <c r="D338" s="6" t="s">
        <v>113</v>
      </c>
      <c r="E338" s="6" t="s">
        <v>163</v>
      </c>
      <c r="F338" s="6">
        <v>3003.72</v>
      </c>
      <c r="G338" s="2">
        <v>12</v>
      </c>
      <c r="H338" s="61">
        <v>3.76</v>
      </c>
      <c r="I338" s="61">
        <v>4.41</v>
      </c>
      <c r="J338" s="47">
        <f t="shared" si="25"/>
        <v>-0.68666666666666665</v>
      </c>
      <c r="K338" s="47">
        <f t="shared" si="26"/>
        <v>0.17287234042553201</v>
      </c>
      <c r="L338" s="8">
        <v>5.0599999999999996</v>
      </c>
      <c r="M338" s="8">
        <v>10.33</v>
      </c>
      <c r="N338" s="8">
        <v>9.06</v>
      </c>
      <c r="O338" s="17">
        <f t="shared" si="27"/>
        <v>-0.15043689320388348</v>
      </c>
      <c r="P338" s="17">
        <f t="shared" si="28"/>
        <v>0.52408615384615354</v>
      </c>
      <c r="Q338" s="17">
        <v>7.9</v>
      </c>
      <c r="R338" s="9">
        <v>20220725</v>
      </c>
      <c r="S338" s="9">
        <v>12.26</v>
      </c>
      <c r="T338" s="9">
        <v>4.6100000000000003</v>
      </c>
      <c r="U338" s="9">
        <v>751.13298999999995</v>
      </c>
      <c r="V338" s="45">
        <f t="shared" si="29"/>
        <v>-0.99386260480983535</v>
      </c>
      <c r="W338" s="12">
        <v>6.45</v>
      </c>
      <c r="X338" s="12">
        <v>3.4</v>
      </c>
      <c r="Y338" s="62"/>
    </row>
    <row r="339" spans="1:25" x14ac:dyDescent="0.2">
      <c r="A339" s="3" t="s">
        <v>607</v>
      </c>
      <c r="B339" s="3" t="s">
        <v>608</v>
      </c>
      <c r="C339" s="6" t="s">
        <v>354</v>
      </c>
      <c r="D339" s="6" t="s">
        <v>173</v>
      </c>
      <c r="E339" s="6" t="s">
        <v>163</v>
      </c>
      <c r="F339" s="6">
        <v>88004.85</v>
      </c>
      <c r="G339" s="2">
        <v>12</v>
      </c>
      <c r="H339" s="61">
        <v>12.05</v>
      </c>
      <c r="I339" s="61">
        <v>14.96</v>
      </c>
      <c r="J339" s="47">
        <f t="shared" si="25"/>
        <v>4.1666666666667256E-3</v>
      </c>
      <c r="K339" s="47">
        <f t="shared" si="26"/>
        <v>0.24149377593360996</v>
      </c>
      <c r="L339" s="8">
        <v>16.579999999999998</v>
      </c>
      <c r="M339" s="8">
        <v>14.95</v>
      </c>
      <c r="N339" s="8">
        <v>13.89</v>
      </c>
      <c r="O339" s="17">
        <f t="shared" si="27"/>
        <v>35.879999999999491</v>
      </c>
      <c r="P339" s="17">
        <f t="shared" si="28"/>
        <v>0.57517010309278349</v>
      </c>
      <c r="Q339" s="17">
        <v>12.53</v>
      </c>
      <c r="R339" s="9">
        <v>20220726</v>
      </c>
      <c r="S339" s="9">
        <v>10.3</v>
      </c>
      <c r="T339" s="9">
        <v>5.94</v>
      </c>
      <c r="U339" s="9">
        <v>42849.394529999998</v>
      </c>
      <c r="V339" s="45">
        <f t="shared" si="29"/>
        <v>-0.99986137493737881</v>
      </c>
      <c r="W339" s="12">
        <v>8.52</v>
      </c>
      <c r="X339" s="12">
        <v>1.54</v>
      </c>
      <c r="Y339" s="62">
        <v>1.39</v>
      </c>
    </row>
    <row r="340" spans="1:25" x14ac:dyDescent="0.2">
      <c r="A340" s="3" t="s">
        <v>2645</v>
      </c>
      <c r="B340" s="3" t="s">
        <v>609</v>
      </c>
      <c r="C340" s="6" t="s">
        <v>570</v>
      </c>
      <c r="D340" s="6" t="s">
        <v>610</v>
      </c>
      <c r="E340" s="6" t="s">
        <v>163</v>
      </c>
      <c r="F340" s="6">
        <v>11617.03</v>
      </c>
      <c r="G340" s="2">
        <v>12</v>
      </c>
      <c r="H340" s="61">
        <v>5.89</v>
      </c>
      <c r="I340" s="61">
        <v>6.31</v>
      </c>
      <c r="J340" s="47">
        <f t="shared" si="25"/>
        <v>-0.50916666666666666</v>
      </c>
      <c r="K340" s="47">
        <f t="shared" si="26"/>
        <v>7.1307300509337854E-2</v>
      </c>
      <c r="L340" s="8">
        <v>6.56</v>
      </c>
      <c r="M340" s="8">
        <v>17.48</v>
      </c>
      <c r="N340" s="8">
        <v>17.350000000000001</v>
      </c>
      <c r="O340" s="17">
        <f t="shared" si="27"/>
        <v>-0.3433060556464812</v>
      </c>
      <c r="P340" s="17">
        <f t="shared" si="28"/>
        <v>2.433130952380953</v>
      </c>
      <c r="Q340" s="17">
        <v>16.670000000000002</v>
      </c>
      <c r="R340" s="9">
        <v>20220729</v>
      </c>
      <c r="S340" s="9">
        <v>18.940000000000001</v>
      </c>
      <c r="T340" s="9">
        <v>15.31</v>
      </c>
      <c r="U340" s="9">
        <v>1607.2769699999999</v>
      </c>
      <c r="V340" s="45">
        <f t="shared" si="29"/>
        <v>-0.99047457265563887</v>
      </c>
      <c r="W340" s="12">
        <v>3.59</v>
      </c>
      <c r="X340" s="12">
        <v>1.75</v>
      </c>
      <c r="Y340" s="62"/>
    </row>
    <row r="341" spans="1:25" x14ac:dyDescent="0.2">
      <c r="A341" s="3" t="s">
        <v>2646</v>
      </c>
      <c r="B341" s="3" t="s">
        <v>611</v>
      </c>
      <c r="C341" s="6" t="s">
        <v>354</v>
      </c>
      <c r="D341" s="6" t="s">
        <v>213</v>
      </c>
      <c r="E341" s="6" t="s">
        <v>163</v>
      </c>
      <c r="F341" s="6">
        <v>26779.68</v>
      </c>
      <c r="G341" s="2">
        <v>12</v>
      </c>
      <c r="H341" s="61">
        <v>5.33</v>
      </c>
      <c r="I341" s="61">
        <v>6.2</v>
      </c>
      <c r="J341" s="47">
        <f t="shared" si="25"/>
        <v>-0.55583333333333329</v>
      </c>
      <c r="K341" s="47">
        <f t="shared" si="26"/>
        <v>0.16322701688555349</v>
      </c>
      <c r="L341" s="8">
        <v>6.76</v>
      </c>
      <c r="M341" s="8">
        <v>12.94</v>
      </c>
      <c r="N341" s="8">
        <v>13.21</v>
      </c>
      <c r="O341" s="17">
        <f t="shared" si="27"/>
        <v>-0.23280359820089955</v>
      </c>
      <c r="P341" s="17">
        <f t="shared" si="28"/>
        <v>0.8093022988505747</v>
      </c>
      <c r="Q341" s="17">
        <v>12.13</v>
      </c>
      <c r="R341" s="9">
        <v>20220804</v>
      </c>
      <c r="S341" s="9">
        <v>25</v>
      </c>
      <c r="T341" s="9">
        <v>15.77</v>
      </c>
      <c r="U341" s="9">
        <v>33557.445310000003</v>
      </c>
      <c r="V341" s="45">
        <f t="shared" si="29"/>
        <v>-0.99953005957830476</v>
      </c>
      <c r="W341" s="12">
        <v>26.36</v>
      </c>
      <c r="X341" s="12">
        <v>0</v>
      </c>
      <c r="Y341" s="62">
        <v>1.2</v>
      </c>
    </row>
    <row r="342" spans="1:25" x14ac:dyDescent="0.2">
      <c r="A342" s="3" t="s">
        <v>2647</v>
      </c>
      <c r="B342" s="3" t="s">
        <v>612</v>
      </c>
      <c r="C342" s="6" t="s">
        <v>355</v>
      </c>
      <c r="D342" s="6" t="s">
        <v>103</v>
      </c>
      <c r="E342" s="6" t="s">
        <v>163</v>
      </c>
      <c r="F342" s="6">
        <v>8230.4599999999991</v>
      </c>
      <c r="G342" s="2">
        <v>12</v>
      </c>
      <c r="H342" s="61">
        <v>4.34</v>
      </c>
      <c r="I342" s="61">
        <v>3.83</v>
      </c>
      <c r="J342" s="47">
        <f t="shared" si="25"/>
        <v>-0.63833333333333331</v>
      </c>
      <c r="K342" s="47">
        <f t="shared" si="26"/>
        <v>-0.11751152073732714</v>
      </c>
      <c r="L342" s="8">
        <v>4.1500000000000004</v>
      </c>
      <c r="M342" s="8">
        <v>16.14</v>
      </c>
      <c r="N342" s="8">
        <v>17.79</v>
      </c>
      <c r="O342" s="17">
        <f t="shared" si="27"/>
        <v>-0.25284595300261098</v>
      </c>
      <c r="P342" s="17">
        <f t="shared" si="28"/>
        <v>-1.5138941176470595</v>
      </c>
      <c r="Q342" s="17">
        <v>16.43</v>
      </c>
      <c r="R342" s="9">
        <v>20220728</v>
      </c>
      <c r="S342" s="9">
        <v>15.45</v>
      </c>
      <c r="T342" s="9">
        <v>2.5099999999999998</v>
      </c>
      <c r="U342" s="9">
        <v>1442.46704</v>
      </c>
      <c r="V342" s="45">
        <f t="shared" si="29"/>
        <v>-0.99825992557861154</v>
      </c>
      <c r="W342" s="12">
        <v>8.99</v>
      </c>
      <c r="X342" s="12">
        <v>1.55</v>
      </c>
      <c r="Y342" s="62"/>
    </row>
    <row r="343" spans="1:25" x14ac:dyDescent="0.2">
      <c r="A343" s="3" t="s">
        <v>2648</v>
      </c>
      <c r="B343" s="3" t="s">
        <v>1946</v>
      </c>
      <c r="C343" s="6" t="s">
        <v>354</v>
      </c>
      <c r="D343" s="6" t="s">
        <v>126</v>
      </c>
      <c r="E343" s="6" t="s">
        <v>60</v>
      </c>
      <c r="F343" s="6">
        <v>4085.24</v>
      </c>
      <c r="G343" s="2">
        <v>9</v>
      </c>
      <c r="H343" s="61">
        <v>4.97</v>
      </c>
      <c r="I343" s="61">
        <v>6.1</v>
      </c>
      <c r="J343" s="47">
        <f t="shared" si="25"/>
        <v>-0.44777777777777783</v>
      </c>
      <c r="K343" s="47">
        <f t="shared" si="26"/>
        <v>0.22736418511066397</v>
      </c>
      <c r="L343" s="8">
        <v>6.92</v>
      </c>
      <c r="M343" s="8">
        <v>13.31</v>
      </c>
      <c r="N343" s="8">
        <v>11.87</v>
      </c>
      <c r="O343" s="17">
        <f t="shared" si="27"/>
        <v>-0.29724565756823818</v>
      </c>
      <c r="P343" s="17">
        <f t="shared" si="28"/>
        <v>0.52206991150442483</v>
      </c>
      <c r="Q343" s="17">
        <v>10.47</v>
      </c>
      <c r="R343" s="9">
        <v>20220808</v>
      </c>
      <c r="S343" s="9">
        <v>29.91</v>
      </c>
      <c r="T343" s="9">
        <v>3.05</v>
      </c>
      <c r="U343" s="9">
        <v>4053.5769</v>
      </c>
      <c r="V343" s="45">
        <f t="shared" si="29"/>
        <v>-0.99924757810811482</v>
      </c>
      <c r="W343" s="12">
        <v>20.71</v>
      </c>
      <c r="X343" s="12">
        <v>2.04</v>
      </c>
      <c r="Y343" s="62"/>
    </row>
    <row r="344" spans="1:25" x14ac:dyDescent="0.2">
      <c r="A344" s="3" t="s">
        <v>2649</v>
      </c>
      <c r="B344" s="3" t="s">
        <v>613</v>
      </c>
      <c r="C344" s="6" t="s">
        <v>354</v>
      </c>
      <c r="D344" s="6" t="s">
        <v>104</v>
      </c>
      <c r="E344" s="6" t="s">
        <v>163</v>
      </c>
      <c r="F344" s="6">
        <v>3541.88</v>
      </c>
      <c r="G344" s="2">
        <v>12</v>
      </c>
      <c r="H344" s="61">
        <v>3.48</v>
      </c>
      <c r="I344" s="61">
        <v>3.47</v>
      </c>
      <c r="J344" s="47">
        <f t="shared" si="25"/>
        <v>-0.71</v>
      </c>
      <c r="K344" s="47">
        <f t="shared" si="26"/>
        <v>-2.8735632183907434E-3</v>
      </c>
      <c r="L344" s="8">
        <v>3.66</v>
      </c>
      <c r="M344" s="8">
        <v>19.38</v>
      </c>
      <c r="N344" s="8">
        <v>18.920000000000002</v>
      </c>
      <c r="O344" s="17">
        <f t="shared" si="27"/>
        <v>-0.27295774647887322</v>
      </c>
      <c r="P344" s="17">
        <f t="shared" si="28"/>
        <v>-65.841600000001407</v>
      </c>
      <c r="Q344" s="17">
        <v>17.93</v>
      </c>
      <c r="R344" s="9">
        <v>20220725</v>
      </c>
      <c r="S344" s="9">
        <v>9.14</v>
      </c>
      <c r="T344" s="9">
        <v>4.82</v>
      </c>
      <c r="U344" s="9">
        <v>664.10302000000001</v>
      </c>
      <c r="V344" s="45">
        <f t="shared" si="29"/>
        <v>-0.99274208992454205</v>
      </c>
      <c r="W344" s="12">
        <v>14.47</v>
      </c>
      <c r="X344" s="12">
        <v>2.62</v>
      </c>
      <c r="Y344" s="62"/>
    </row>
    <row r="345" spans="1:25" x14ac:dyDescent="0.2">
      <c r="A345" s="3" t="s">
        <v>2650</v>
      </c>
      <c r="B345" s="3" t="s">
        <v>614</v>
      </c>
      <c r="C345" s="6" t="s">
        <v>354</v>
      </c>
      <c r="D345" s="6" t="s">
        <v>126</v>
      </c>
      <c r="E345" s="6" t="s">
        <v>60</v>
      </c>
      <c r="F345" s="6">
        <v>6711.59</v>
      </c>
      <c r="G345" s="2">
        <v>12</v>
      </c>
      <c r="H345" s="61">
        <v>4.04</v>
      </c>
      <c r="I345" s="61">
        <v>5.22</v>
      </c>
      <c r="J345" s="47">
        <f t="shared" si="25"/>
        <v>-0.66333333333333333</v>
      </c>
      <c r="K345" s="47">
        <f t="shared" si="26"/>
        <v>0.29207920792079201</v>
      </c>
      <c r="L345" s="8">
        <v>5.89</v>
      </c>
      <c r="M345" s="8">
        <v>9.11</v>
      </c>
      <c r="N345" s="8">
        <v>8.2799999999999994</v>
      </c>
      <c r="O345" s="17">
        <f t="shared" si="27"/>
        <v>-0.13733668341708544</v>
      </c>
      <c r="P345" s="17">
        <f t="shared" si="28"/>
        <v>0.28348474576271193</v>
      </c>
      <c r="Q345" s="17">
        <v>7.33</v>
      </c>
      <c r="R345" s="9">
        <v>20220804</v>
      </c>
      <c r="S345" s="9">
        <v>76.47</v>
      </c>
      <c r="T345" s="9">
        <v>-2.17</v>
      </c>
      <c r="U345" s="9">
        <v>7155.9140600000001</v>
      </c>
      <c r="V345" s="45">
        <f t="shared" si="29"/>
        <v>-1.000303245676486</v>
      </c>
      <c r="W345" s="12">
        <v>58.7</v>
      </c>
      <c r="X345" s="12">
        <v>2.3199999999999998</v>
      </c>
      <c r="Y345" s="62">
        <v>0.56999999999999995</v>
      </c>
    </row>
    <row r="346" spans="1:25" x14ac:dyDescent="0.2">
      <c r="A346" s="3" t="s">
        <v>2651</v>
      </c>
      <c r="B346" s="3" t="s">
        <v>2652</v>
      </c>
      <c r="C346" s="6" t="s">
        <v>354</v>
      </c>
      <c r="D346" s="6" t="s">
        <v>173</v>
      </c>
      <c r="E346" s="6" t="s">
        <v>163</v>
      </c>
      <c r="F346" s="6">
        <v>5393</v>
      </c>
      <c r="G346" s="2">
        <v>12</v>
      </c>
      <c r="H346" s="61">
        <v>0.19</v>
      </c>
      <c r="I346" s="61">
        <v>0.28000000000000003</v>
      </c>
      <c r="J346" s="47">
        <f t="shared" si="25"/>
        <v>-0.98416666666666675</v>
      </c>
      <c r="K346" s="47">
        <f t="shared" si="26"/>
        <v>0.47368421052631593</v>
      </c>
      <c r="L346" s="8">
        <v>0.31</v>
      </c>
      <c r="M346" s="8">
        <v>0.51</v>
      </c>
      <c r="N346" s="8">
        <v>31.36</v>
      </c>
      <c r="O346" s="17">
        <f t="shared" si="27"/>
        <v>-5.1820491109229464E-3</v>
      </c>
      <c r="P346" s="17">
        <f t="shared" si="28"/>
        <v>0.66204444444444432</v>
      </c>
      <c r="Q346" s="17">
        <v>28.79</v>
      </c>
      <c r="R346" s="9">
        <v>20220811</v>
      </c>
      <c r="S346" s="9">
        <v>-1.57</v>
      </c>
      <c r="U346" s="9">
        <v>766.96696999999995</v>
      </c>
      <c r="V346" s="45">
        <f t="shared" si="29"/>
        <v>-1</v>
      </c>
      <c r="W346" s="12">
        <v>14.29</v>
      </c>
      <c r="X346" s="12">
        <v>0</v>
      </c>
      <c r="Y346" s="62"/>
    </row>
    <row r="347" spans="1:25" x14ac:dyDescent="0.2">
      <c r="A347" s="3" t="s">
        <v>2653</v>
      </c>
      <c r="B347" s="3" t="s">
        <v>616</v>
      </c>
      <c r="C347" s="6" t="s">
        <v>356</v>
      </c>
      <c r="D347" s="6" t="s">
        <v>615</v>
      </c>
      <c r="E347" s="6" t="s">
        <v>154</v>
      </c>
      <c r="F347" s="6">
        <v>8233.4</v>
      </c>
      <c r="G347" s="2">
        <v>12</v>
      </c>
      <c r="H347" s="61">
        <v>1.71</v>
      </c>
      <c r="I347" s="61">
        <v>1.37</v>
      </c>
      <c r="J347" s="47">
        <f t="shared" si="25"/>
        <v>-0.85749999999999993</v>
      </c>
      <c r="K347" s="47">
        <f t="shared" si="26"/>
        <v>-0.19883040935672508</v>
      </c>
      <c r="L347" s="8">
        <v>1.52</v>
      </c>
      <c r="N347" s="8">
        <v>16.46</v>
      </c>
      <c r="O347" s="17">
        <f t="shared" si="27"/>
        <v>0</v>
      </c>
      <c r="P347" s="17">
        <f t="shared" si="28"/>
        <v>-0.82784117647058852</v>
      </c>
      <c r="Q347" s="17">
        <v>14.73</v>
      </c>
      <c r="U347" s="9">
        <v>8235.6201099999998</v>
      </c>
      <c r="V347" s="45">
        <f t="shared" si="29"/>
        <v>-1</v>
      </c>
      <c r="X347" s="12">
        <v>3.16</v>
      </c>
      <c r="Y347" s="62"/>
    </row>
    <row r="348" spans="1:25" x14ac:dyDescent="0.2">
      <c r="A348" s="3" t="s">
        <v>2654</v>
      </c>
      <c r="B348" s="3" t="s">
        <v>617</v>
      </c>
      <c r="C348" s="6" t="s">
        <v>354</v>
      </c>
      <c r="D348" s="6" t="s">
        <v>215</v>
      </c>
      <c r="E348" s="6" t="s">
        <v>163</v>
      </c>
      <c r="F348" s="6">
        <v>81206.429999999993</v>
      </c>
      <c r="G348" s="2">
        <v>12</v>
      </c>
      <c r="H348" s="61">
        <v>6.89</v>
      </c>
      <c r="I348" s="61">
        <v>7.38</v>
      </c>
      <c r="J348" s="47">
        <f t="shared" si="25"/>
        <v>-0.42583333333333334</v>
      </c>
      <c r="K348" s="47">
        <f t="shared" si="26"/>
        <v>7.1117561683599451E-2</v>
      </c>
      <c r="L348" s="8">
        <v>7.75</v>
      </c>
      <c r="M348" s="8">
        <v>26.34</v>
      </c>
      <c r="N348" s="8">
        <v>25.42</v>
      </c>
      <c r="O348" s="17">
        <f t="shared" si="27"/>
        <v>-0.61855185909980426</v>
      </c>
      <c r="P348" s="17">
        <f t="shared" si="28"/>
        <v>3.574363265306121</v>
      </c>
      <c r="Q348" s="17">
        <v>24.21</v>
      </c>
      <c r="R348" s="9">
        <v>20220720</v>
      </c>
      <c r="S348" s="9">
        <v>17.399999999999999</v>
      </c>
      <c r="T348" s="9">
        <v>9.02</v>
      </c>
      <c r="U348" s="9">
        <v>6948.8720700000003</v>
      </c>
      <c r="V348" s="45">
        <f t="shared" si="29"/>
        <v>-0.99870194760975062</v>
      </c>
      <c r="W348" s="12">
        <v>3.89</v>
      </c>
      <c r="X348" s="12">
        <v>3.14</v>
      </c>
      <c r="Y348" s="62"/>
    </row>
    <row r="349" spans="1:25" x14ac:dyDescent="0.2">
      <c r="A349" s="3" t="s">
        <v>2655</v>
      </c>
      <c r="B349" s="3" t="s">
        <v>618</v>
      </c>
      <c r="C349" s="6" t="s">
        <v>354</v>
      </c>
      <c r="D349" s="6" t="s">
        <v>197</v>
      </c>
      <c r="E349" s="6" t="s">
        <v>60</v>
      </c>
      <c r="F349" s="6">
        <v>9832.59</v>
      </c>
      <c r="G349" s="2">
        <v>12</v>
      </c>
      <c r="H349" s="61">
        <v>-0.3</v>
      </c>
      <c r="I349" s="61">
        <v>0.11</v>
      </c>
      <c r="J349" s="47">
        <f t="shared" si="25"/>
        <v>-1.0250000000000001</v>
      </c>
      <c r="K349" s="47">
        <f t="shared" si="26"/>
        <v>1.3666666666666667</v>
      </c>
      <c r="L349" s="8">
        <v>1.19</v>
      </c>
      <c r="N349" s="8">
        <v>224.36</v>
      </c>
      <c r="O349" s="17">
        <f t="shared" si="27"/>
        <v>0</v>
      </c>
      <c r="P349" s="17">
        <f t="shared" si="28"/>
        <v>1.641658536585366</v>
      </c>
      <c r="Q349" s="17">
        <v>20.74</v>
      </c>
      <c r="R349" s="9">
        <v>20220727</v>
      </c>
      <c r="S349" s="9">
        <v>-1.08</v>
      </c>
      <c r="T349" s="9">
        <v>-7.62</v>
      </c>
      <c r="U349" s="9">
        <v>1448.4599599999999</v>
      </c>
      <c r="V349" s="45">
        <f t="shared" si="29"/>
        <v>-1.0052607598486878</v>
      </c>
      <c r="W349" s="12">
        <v>175</v>
      </c>
      <c r="X349" s="12">
        <v>0.26</v>
      </c>
      <c r="Y349" s="62"/>
    </row>
    <row r="350" spans="1:25" x14ac:dyDescent="0.2">
      <c r="A350" s="3" t="s">
        <v>2656</v>
      </c>
      <c r="B350" s="3" t="s">
        <v>619</v>
      </c>
      <c r="C350" s="6" t="s">
        <v>354</v>
      </c>
      <c r="D350" s="6" t="s">
        <v>538</v>
      </c>
      <c r="E350" s="6" t="s">
        <v>201</v>
      </c>
      <c r="F350" s="6">
        <v>12717.13</v>
      </c>
      <c r="G350" s="2">
        <v>12</v>
      </c>
      <c r="H350" s="61">
        <v>7.54</v>
      </c>
      <c r="I350" s="61">
        <v>8.18</v>
      </c>
      <c r="J350" s="47">
        <f t="shared" si="25"/>
        <v>-0.37166666666666665</v>
      </c>
      <c r="K350" s="47">
        <f t="shared" si="26"/>
        <v>8.488063660477449E-2</v>
      </c>
      <c r="L350" s="8">
        <v>9.3000000000000007</v>
      </c>
      <c r="M350" s="8">
        <v>13.19</v>
      </c>
      <c r="N350" s="8">
        <v>12.65</v>
      </c>
      <c r="O350" s="17">
        <f t="shared" si="27"/>
        <v>-0.35488789237668161</v>
      </c>
      <c r="P350" s="17">
        <f t="shared" si="28"/>
        <v>1.4903281250000009</v>
      </c>
      <c r="Q350" s="17">
        <v>11.12</v>
      </c>
      <c r="R350" s="9">
        <v>20220718</v>
      </c>
      <c r="S350" s="9">
        <v>39.6</v>
      </c>
      <c r="T350" s="9">
        <v>7.5</v>
      </c>
      <c r="U350" s="9">
        <v>13345.226559999999</v>
      </c>
      <c r="V350" s="45">
        <f t="shared" si="29"/>
        <v>-0.99943800129834592</v>
      </c>
      <c r="W350" s="12">
        <v>10.44</v>
      </c>
      <c r="X350" s="12">
        <v>0.85</v>
      </c>
      <c r="Y350" s="62">
        <v>2.5299999999999998</v>
      </c>
    </row>
    <row r="351" spans="1:25" x14ac:dyDescent="0.2">
      <c r="A351" s="3" t="s">
        <v>2657</v>
      </c>
      <c r="B351" s="3" t="s">
        <v>620</v>
      </c>
      <c r="C351" s="6" t="s">
        <v>354</v>
      </c>
      <c r="D351" s="6" t="s">
        <v>621</v>
      </c>
      <c r="E351" s="6" t="s">
        <v>146</v>
      </c>
      <c r="F351" s="6">
        <v>13073.95</v>
      </c>
      <c r="G351" s="2">
        <v>11</v>
      </c>
      <c r="H351" s="61">
        <v>-6.75</v>
      </c>
      <c r="I351" s="61">
        <v>-2.2999999999999998</v>
      </c>
      <c r="J351" s="47">
        <f t="shared" si="25"/>
        <v>-1.6136363636363635</v>
      </c>
      <c r="K351" s="47">
        <f t="shared" si="26"/>
        <v>0.65925925925925932</v>
      </c>
      <c r="L351" s="8">
        <v>1.32</v>
      </c>
      <c r="O351" s="17">
        <f t="shared" si="27"/>
        <v>0</v>
      </c>
      <c r="P351" s="17">
        <f t="shared" si="28"/>
        <v>0</v>
      </c>
      <c r="Q351" s="17">
        <v>9.99</v>
      </c>
      <c r="R351" s="9">
        <v>20220627</v>
      </c>
      <c r="S351" s="9">
        <v>-56.97</v>
      </c>
      <c r="T351" s="9">
        <v>-49.78</v>
      </c>
      <c r="U351" s="9">
        <v>15024.530269999999</v>
      </c>
      <c r="V351" s="45">
        <f t="shared" si="29"/>
        <v>-1.0033132483415736</v>
      </c>
      <c r="W351" s="12">
        <v>-34.15</v>
      </c>
      <c r="X351" s="12">
        <v>0</v>
      </c>
      <c r="Y351" s="62"/>
    </row>
    <row r="352" spans="1:25" x14ac:dyDescent="0.2">
      <c r="A352" s="3" t="s">
        <v>2658</v>
      </c>
      <c r="B352" s="3" t="s">
        <v>622</v>
      </c>
      <c r="C352" s="6" t="s">
        <v>355</v>
      </c>
      <c r="D352" s="6" t="s">
        <v>522</v>
      </c>
      <c r="E352" s="6" t="s">
        <v>119</v>
      </c>
      <c r="F352" s="6">
        <v>4981.46</v>
      </c>
      <c r="G352" s="2">
        <v>9</v>
      </c>
      <c r="H352" s="61">
        <v>7.28</v>
      </c>
      <c r="I352" s="61">
        <v>7.55</v>
      </c>
      <c r="J352" s="47">
        <f t="shared" si="25"/>
        <v>-0.19111111111111109</v>
      </c>
      <c r="K352" s="47">
        <f t="shared" si="26"/>
        <v>3.7087912087912026E-2</v>
      </c>
      <c r="L352" s="8">
        <v>8.27</v>
      </c>
      <c r="M352" s="8">
        <v>23.28</v>
      </c>
      <c r="N352" s="8">
        <v>23.08</v>
      </c>
      <c r="O352" s="17">
        <f t="shared" si="27"/>
        <v>-1.218139534883721</v>
      </c>
      <c r="P352" s="17">
        <f t="shared" si="28"/>
        <v>6.2230518518518618</v>
      </c>
      <c r="Q352" s="17">
        <v>21.07</v>
      </c>
      <c r="R352" s="9">
        <v>20220803</v>
      </c>
      <c r="S352" s="9">
        <v>23.55</v>
      </c>
      <c r="T352" s="9">
        <v>25.05</v>
      </c>
      <c r="V352" s="45" t="e">
        <f t="shared" si="29"/>
        <v>#DIV/0!</v>
      </c>
      <c r="W352" s="12">
        <v>6.01</v>
      </c>
      <c r="X352" s="12">
        <v>1.06</v>
      </c>
      <c r="Y352" s="62"/>
    </row>
    <row r="353" spans="1:25" x14ac:dyDescent="0.2">
      <c r="A353" s="3" t="s">
        <v>2659</v>
      </c>
      <c r="B353" s="3" t="s">
        <v>623</v>
      </c>
      <c r="C353" s="6" t="s">
        <v>356</v>
      </c>
      <c r="D353" s="6" t="s">
        <v>157</v>
      </c>
      <c r="E353" s="6" t="s">
        <v>146</v>
      </c>
      <c r="F353" s="6">
        <v>5896.87</v>
      </c>
      <c r="G353" s="2">
        <v>3</v>
      </c>
      <c r="H353" s="61">
        <v>0.59</v>
      </c>
      <c r="I353" s="61">
        <v>0.65</v>
      </c>
      <c r="J353" s="47">
        <f t="shared" si="25"/>
        <v>-0.80333333333333334</v>
      </c>
      <c r="K353" s="47">
        <f t="shared" si="26"/>
        <v>0.10169491525423738</v>
      </c>
      <c r="L353" s="8">
        <v>0.75</v>
      </c>
      <c r="N353" s="8">
        <v>21.08</v>
      </c>
      <c r="O353" s="17">
        <f t="shared" si="27"/>
        <v>0</v>
      </c>
      <c r="P353" s="17">
        <f t="shared" si="28"/>
        <v>2.0728666666666649</v>
      </c>
      <c r="Q353" s="17">
        <v>18.41</v>
      </c>
      <c r="R353" s="9">
        <v>20220530</v>
      </c>
      <c r="U353" s="9">
        <v>1065.91003</v>
      </c>
      <c r="V353" s="45">
        <f t="shared" si="29"/>
        <v>-1</v>
      </c>
      <c r="X353" s="12">
        <v>0.83</v>
      </c>
      <c r="Y353" s="62"/>
    </row>
    <row r="354" spans="1:25" x14ac:dyDescent="0.2">
      <c r="A354" s="3" t="s">
        <v>2660</v>
      </c>
      <c r="B354" s="3" t="s">
        <v>624</v>
      </c>
      <c r="C354" s="6" t="s">
        <v>354</v>
      </c>
      <c r="D354" s="6" t="s">
        <v>177</v>
      </c>
      <c r="E354" s="6" t="s">
        <v>119</v>
      </c>
      <c r="F354" s="6">
        <v>8670.23</v>
      </c>
      <c r="G354" s="2">
        <v>12</v>
      </c>
      <c r="H354" s="61">
        <v>0.22</v>
      </c>
      <c r="I354" s="61">
        <v>0.45</v>
      </c>
      <c r="J354" s="47">
        <f t="shared" si="25"/>
        <v>-0.98166666666666658</v>
      </c>
      <c r="K354" s="47">
        <f t="shared" si="26"/>
        <v>1.0454545454545454</v>
      </c>
      <c r="L354" s="8">
        <v>0.68</v>
      </c>
      <c r="M354" s="8">
        <v>189.33</v>
      </c>
      <c r="N354" s="8">
        <v>125.76</v>
      </c>
      <c r="O354" s="17">
        <f t="shared" si="27"/>
        <v>-1.9286587436332772</v>
      </c>
      <c r="P354" s="17">
        <f t="shared" si="28"/>
        <v>1.2029217391304348</v>
      </c>
      <c r="Q354" s="17">
        <v>83.53</v>
      </c>
      <c r="R354" s="9">
        <v>20220803</v>
      </c>
      <c r="S354" s="9">
        <v>-3.11</v>
      </c>
      <c r="T354" s="9">
        <v>9.56</v>
      </c>
      <c r="U354" s="9">
        <v>1218.72802</v>
      </c>
      <c r="V354" s="45">
        <f t="shared" si="29"/>
        <v>-0.99215575596596195</v>
      </c>
      <c r="W354" s="12">
        <v>62.5</v>
      </c>
      <c r="X354" s="12">
        <v>0</v>
      </c>
      <c r="Y354" s="62"/>
    </row>
    <row r="355" spans="1:25" x14ac:dyDescent="0.2">
      <c r="A355" s="3" t="s">
        <v>2661</v>
      </c>
      <c r="B355" s="3" t="s">
        <v>625</v>
      </c>
      <c r="C355" s="6" t="s">
        <v>356</v>
      </c>
      <c r="D355" s="6" t="s">
        <v>213</v>
      </c>
      <c r="E355" s="6" t="s">
        <v>163</v>
      </c>
      <c r="F355" s="6">
        <v>5323.51</v>
      </c>
      <c r="G355" s="2">
        <v>12</v>
      </c>
      <c r="H355" s="61"/>
      <c r="I355" s="61">
        <v>0.42</v>
      </c>
      <c r="J355" s="47">
        <f t="shared" si="25"/>
        <v>-1</v>
      </c>
      <c r="K355" s="47" t="e">
        <f t="shared" si="26"/>
        <v>#DIV/0!</v>
      </c>
      <c r="L355" s="8">
        <v>0.51</v>
      </c>
      <c r="N355" s="8">
        <v>13.98</v>
      </c>
      <c r="O355" s="17">
        <f t="shared" si="27"/>
        <v>0</v>
      </c>
      <c r="P355" s="17" t="e">
        <f t="shared" si="28"/>
        <v>#DIV/0!</v>
      </c>
      <c r="Q355" s="17">
        <v>11.51</v>
      </c>
      <c r="U355" s="9">
        <v>2340.4299299999998</v>
      </c>
      <c r="V355" s="45">
        <f t="shared" si="29"/>
        <v>-1</v>
      </c>
      <c r="X355" s="12">
        <v>0.87</v>
      </c>
      <c r="Y355" s="62"/>
    </row>
    <row r="356" spans="1:25" x14ac:dyDescent="0.2">
      <c r="A356" s="3" t="s">
        <v>2662</v>
      </c>
      <c r="B356" s="3" t="s">
        <v>626</v>
      </c>
      <c r="C356" s="6" t="s">
        <v>355</v>
      </c>
      <c r="D356" s="6" t="s">
        <v>134</v>
      </c>
      <c r="E356" s="6" t="s">
        <v>119</v>
      </c>
      <c r="F356" s="6">
        <v>6340.3</v>
      </c>
      <c r="G356" s="2">
        <v>6</v>
      </c>
      <c r="H356" s="61">
        <v>2.58</v>
      </c>
      <c r="I356" s="61">
        <v>2.92</v>
      </c>
      <c r="J356" s="47">
        <f t="shared" si="25"/>
        <v>-0.56999999999999995</v>
      </c>
      <c r="K356" s="47">
        <f t="shared" si="26"/>
        <v>0.13178294573643404</v>
      </c>
      <c r="L356" s="8">
        <v>3.22</v>
      </c>
      <c r="M356" s="8">
        <v>18.420000000000002</v>
      </c>
      <c r="N356" s="8">
        <v>18.63</v>
      </c>
      <c r="O356" s="17">
        <f t="shared" si="27"/>
        <v>-0.3231578947368422</v>
      </c>
      <c r="P356" s="17">
        <f t="shared" si="28"/>
        <v>1.4136882352941182</v>
      </c>
      <c r="Q356" s="17">
        <v>16.89</v>
      </c>
      <c r="R356" s="9">
        <v>20220816</v>
      </c>
      <c r="S356" s="9">
        <v>67.84</v>
      </c>
      <c r="T356" s="9">
        <v>-6.71</v>
      </c>
      <c r="U356" s="9">
        <v>1793.5229400000001</v>
      </c>
      <c r="V356" s="45">
        <f t="shared" si="29"/>
        <v>-1.0037412401315593</v>
      </c>
      <c r="W356" s="12">
        <v>5.41</v>
      </c>
      <c r="X356" s="12">
        <v>1.1000000000000001</v>
      </c>
      <c r="Y356" s="62"/>
    </row>
    <row r="357" spans="1:25" x14ac:dyDescent="0.2">
      <c r="A357" s="3" t="s">
        <v>2663</v>
      </c>
      <c r="B357" s="3" t="s">
        <v>627</v>
      </c>
      <c r="C357" s="6" t="s">
        <v>355</v>
      </c>
      <c r="D357" s="6" t="s">
        <v>132</v>
      </c>
      <c r="E357" s="6" t="s">
        <v>119</v>
      </c>
      <c r="F357" s="6">
        <v>40997.089999999997</v>
      </c>
      <c r="G357" s="2">
        <v>12</v>
      </c>
      <c r="H357" s="61">
        <v>3.25</v>
      </c>
      <c r="I357" s="61">
        <v>3.88</v>
      </c>
      <c r="J357" s="47">
        <f t="shared" si="25"/>
        <v>-0.72916666666666663</v>
      </c>
      <c r="K357" s="47">
        <f t="shared" si="26"/>
        <v>0.19384615384615381</v>
      </c>
      <c r="L357" s="8">
        <v>4.28</v>
      </c>
      <c r="M357" s="8">
        <v>40.729999999999997</v>
      </c>
      <c r="N357" s="8">
        <v>38.270000000000003</v>
      </c>
      <c r="O357" s="17">
        <f t="shared" si="27"/>
        <v>-0.55858285714285716</v>
      </c>
      <c r="P357" s="17">
        <f t="shared" si="28"/>
        <v>1.9742460317460324</v>
      </c>
      <c r="Q357" s="17">
        <v>34.78</v>
      </c>
      <c r="R357" s="9">
        <v>20220725</v>
      </c>
      <c r="S357" s="9">
        <v>31.01</v>
      </c>
      <c r="T357" s="9">
        <v>11.63</v>
      </c>
      <c r="U357" s="9">
        <v>3400.7900300000001</v>
      </c>
      <c r="V357" s="45">
        <f t="shared" si="29"/>
        <v>-0.99658020639398304</v>
      </c>
      <c r="W357" s="12">
        <v>15.84</v>
      </c>
      <c r="X357" s="12">
        <v>0</v>
      </c>
      <c r="Y357" s="62">
        <v>2.25</v>
      </c>
    </row>
    <row r="358" spans="1:25" x14ac:dyDescent="0.2">
      <c r="A358" s="3" t="s">
        <v>628</v>
      </c>
      <c r="B358" s="3" t="s">
        <v>628</v>
      </c>
      <c r="C358" s="6" t="s">
        <v>355</v>
      </c>
      <c r="D358" s="6" t="s">
        <v>134</v>
      </c>
      <c r="E358" s="6" t="s">
        <v>119</v>
      </c>
      <c r="F358" s="6">
        <v>22499.47</v>
      </c>
      <c r="G358" s="2">
        <v>12</v>
      </c>
      <c r="H358" s="61">
        <v>7.85</v>
      </c>
      <c r="I358" s="61">
        <v>9.57</v>
      </c>
      <c r="J358" s="47">
        <f t="shared" si="25"/>
        <v>-0.34583333333333338</v>
      </c>
      <c r="K358" s="47">
        <f t="shared" si="26"/>
        <v>0.21910828025477716</v>
      </c>
      <c r="L358" s="8">
        <v>10.36</v>
      </c>
      <c r="M358" s="8">
        <v>19.75</v>
      </c>
      <c r="N358" s="8">
        <v>17.39</v>
      </c>
      <c r="O358" s="17">
        <f t="shared" si="27"/>
        <v>-0.57108433734939756</v>
      </c>
      <c r="P358" s="17">
        <f t="shared" si="28"/>
        <v>0.79367151162790661</v>
      </c>
      <c r="Q358" s="17">
        <v>16.07</v>
      </c>
      <c r="R358" s="9">
        <v>20220803</v>
      </c>
      <c r="S358" s="9">
        <v>129.1</v>
      </c>
      <c r="T358" s="9">
        <v>8.09</v>
      </c>
      <c r="U358" s="9">
        <v>24611.087889999999</v>
      </c>
      <c r="V358" s="45">
        <f t="shared" si="29"/>
        <v>-0.99967128637156721</v>
      </c>
      <c r="W358" s="12">
        <v>10</v>
      </c>
      <c r="X358" s="12">
        <v>1.2</v>
      </c>
      <c r="Y358" s="62">
        <v>1.33</v>
      </c>
    </row>
    <row r="359" spans="1:25" x14ac:dyDescent="0.2">
      <c r="A359" s="3" t="s">
        <v>2664</v>
      </c>
      <c r="B359" s="3" t="s">
        <v>629</v>
      </c>
      <c r="C359" s="6" t="s">
        <v>354</v>
      </c>
      <c r="D359" s="6" t="s">
        <v>128</v>
      </c>
      <c r="E359" s="6" t="s">
        <v>60</v>
      </c>
      <c r="F359" s="6">
        <v>16869.12</v>
      </c>
      <c r="G359" s="2">
        <v>12</v>
      </c>
      <c r="H359" s="61">
        <v>18.350000000000001</v>
      </c>
      <c r="I359" s="61">
        <v>18.079999999999998</v>
      </c>
      <c r="J359" s="47">
        <f t="shared" si="25"/>
        <v>0.52916666666666679</v>
      </c>
      <c r="K359" s="47">
        <f t="shared" si="26"/>
        <v>-1.4713896457765836E-2</v>
      </c>
      <c r="L359" s="8">
        <v>16.98</v>
      </c>
      <c r="M359" s="8">
        <v>7.68</v>
      </c>
      <c r="N359" s="8">
        <v>8.6199999999999992</v>
      </c>
      <c r="O359" s="17">
        <f t="shared" si="27"/>
        <v>0.14513385826771649</v>
      </c>
      <c r="P359" s="17">
        <f t="shared" si="28"/>
        <v>-5.8584074074073396</v>
      </c>
      <c r="Q359" s="17">
        <v>9.17</v>
      </c>
      <c r="R359" s="9">
        <v>20220728</v>
      </c>
      <c r="S359" s="9">
        <v>50.03</v>
      </c>
      <c r="T359" s="9">
        <v>4.25</v>
      </c>
      <c r="U359" s="9">
        <v>9410.5703099999992</v>
      </c>
      <c r="V359" s="45">
        <f t="shared" si="29"/>
        <v>-0.99954838018738523</v>
      </c>
      <c r="W359" s="12">
        <v>23.39</v>
      </c>
      <c r="X359" s="12">
        <v>1.75</v>
      </c>
      <c r="Y359" s="62"/>
    </row>
    <row r="360" spans="1:25" x14ac:dyDescent="0.2">
      <c r="A360" s="3" t="s">
        <v>2665</v>
      </c>
      <c r="B360" s="3" t="s">
        <v>630</v>
      </c>
      <c r="C360" s="6" t="s">
        <v>354</v>
      </c>
      <c r="D360" s="6" t="s">
        <v>235</v>
      </c>
      <c r="E360" s="6" t="s">
        <v>237</v>
      </c>
      <c r="F360" s="6">
        <v>5768.86</v>
      </c>
      <c r="G360" s="2">
        <v>12</v>
      </c>
      <c r="H360" s="61">
        <v>-5.51</v>
      </c>
      <c r="I360" s="61">
        <v>-3.52</v>
      </c>
      <c r="J360" s="47">
        <f t="shared" si="25"/>
        <v>-1.4591666666666665</v>
      </c>
      <c r="K360" s="47">
        <f t="shared" si="26"/>
        <v>0.36116152450090744</v>
      </c>
      <c r="L360" s="8">
        <v>0.77</v>
      </c>
      <c r="O360" s="17">
        <f t="shared" si="27"/>
        <v>0</v>
      </c>
      <c r="P360" s="17">
        <f t="shared" si="28"/>
        <v>0</v>
      </c>
      <c r="Q360" s="17">
        <v>22.72</v>
      </c>
      <c r="R360" s="9">
        <v>20220830</v>
      </c>
      <c r="S360" s="9">
        <v>-31.51</v>
      </c>
      <c r="T360" s="9">
        <v>-12.9</v>
      </c>
      <c r="U360" s="9">
        <v>14984.16992</v>
      </c>
      <c r="V360" s="45">
        <f t="shared" si="29"/>
        <v>-1.0008609085500813</v>
      </c>
      <c r="X360" s="12">
        <v>0</v>
      </c>
      <c r="Y360" s="62"/>
    </row>
    <row r="361" spans="1:25" x14ac:dyDescent="0.2">
      <c r="A361" s="3" t="s">
        <v>2666</v>
      </c>
      <c r="B361" s="3" t="s">
        <v>2667</v>
      </c>
      <c r="C361" s="6" t="s">
        <v>355</v>
      </c>
      <c r="D361" s="6" t="s">
        <v>306</v>
      </c>
      <c r="E361" s="6" t="s">
        <v>218</v>
      </c>
      <c r="F361" s="6">
        <v>20408.88</v>
      </c>
      <c r="G361" s="2">
        <v>12</v>
      </c>
      <c r="H361" s="61">
        <v>1.89</v>
      </c>
      <c r="I361" s="61">
        <v>3.27</v>
      </c>
      <c r="J361" s="47">
        <f t="shared" si="25"/>
        <v>-0.84249999999999992</v>
      </c>
      <c r="K361" s="47">
        <f t="shared" si="26"/>
        <v>0.73015873015873023</v>
      </c>
      <c r="L361" s="8">
        <v>4.1500000000000004</v>
      </c>
      <c r="N361" s="8">
        <v>19.079999999999998</v>
      </c>
      <c r="O361" s="17">
        <f t="shared" si="27"/>
        <v>0</v>
      </c>
      <c r="P361" s="17">
        <f t="shared" si="28"/>
        <v>0.26131304347826079</v>
      </c>
      <c r="Q361" s="17">
        <v>15.06</v>
      </c>
      <c r="R361" s="9">
        <v>20220811</v>
      </c>
      <c r="U361" s="9">
        <v>19406.800780000001</v>
      </c>
      <c r="V361" s="45">
        <f t="shared" si="29"/>
        <v>-1</v>
      </c>
      <c r="W361" s="12">
        <v>-54.29</v>
      </c>
      <c r="X361" s="12">
        <v>0.9</v>
      </c>
      <c r="Y361" s="62">
        <v>9.5399999999999991</v>
      </c>
    </row>
    <row r="362" spans="1:25" x14ac:dyDescent="0.2">
      <c r="A362" s="3" t="s">
        <v>2668</v>
      </c>
      <c r="B362" s="3" t="s">
        <v>631</v>
      </c>
      <c r="C362" s="6" t="s">
        <v>355</v>
      </c>
      <c r="D362" s="6" t="s">
        <v>155</v>
      </c>
      <c r="E362" s="6" t="s">
        <v>154</v>
      </c>
      <c r="F362" s="6">
        <v>4961.8100000000004</v>
      </c>
      <c r="G362" s="2">
        <v>12</v>
      </c>
      <c r="H362" s="61">
        <v>0.14000000000000001</v>
      </c>
      <c r="I362" s="61">
        <v>0.47</v>
      </c>
      <c r="J362" s="47">
        <f t="shared" si="25"/>
        <v>-0.98833333333333329</v>
      </c>
      <c r="K362" s="47">
        <f t="shared" si="26"/>
        <v>2.3571428571428568</v>
      </c>
      <c r="L362" s="8">
        <v>1.08</v>
      </c>
      <c r="M362" s="8">
        <v>205.75</v>
      </c>
      <c r="N362" s="8">
        <v>141.59</v>
      </c>
      <c r="O362" s="17">
        <f t="shared" si="27"/>
        <v>-2.0817875210792582</v>
      </c>
      <c r="P362" s="17">
        <f t="shared" si="28"/>
        <v>0.6006848484848486</v>
      </c>
      <c r="Q362" s="17">
        <v>60.82</v>
      </c>
      <c r="R362" s="9">
        <v>20220811</v>
      </c>
      <c r="S362" s="9">
        <v>12.21</v>
      </c>
      <c r="T362" s="9">
        <v>66.540000000000006</v>
      </c>
      <c r="U362" s="9">
        <v>579.47198000000003</v>
      </c>
      <c r="V362" s="45">
        <f t="shared" si="29"/>
        <v>-0.8851713244184819</v>
      </c>
      <c r="W362" s="12">
        <v>200</v>
      </c>
      <c r="X362" s="12">
        <v>0</v>
      </c>
      <c r="Y362" s="62"/>
    </row>
    <row r="363" spans="1:25" x14ac:dyDescent="0.2">
      <c r="A363" s="3" t="s">
        <v>2669</v>
      </c>
      <c r="B363" s="3" t="s">
        <v>2670</v>
      </c>
      <c r="C363" s="6" t="s">
        <v>355</v>
      </c>
      <c r="D363" s="6" t="s">
        <v>187</v>
      </c>
      <c r="E363" s="6" t="s">
        <v>208</v>
      </c>
      <c r="F363" s="6">
        <v>3997.88</v>
      </c>
      <c r="G363" s="2">
        <v>12</v>
      </c>
      <c r="H363" s="61">
        <v>-1.67</v>
      </c>
      <c r="I363" s="61">
        <v>-1.94</v>
      </c>
      <c r="J363" s="47">
        <f t="shared" si="25"/>
        <v>-1.1391666666666667</v>
      </c>
      <c r="K363" s="47">
        <f t="shared" si="26"/>
        <v>-0.16167664670658685</v>
      </c>
      <c r="L363" s="8">
        <v>-2.2000000000000002</v>
      </c>
      <c r="O363" s="17">
        <f t="shared" si="27"/>
        <v>0</v>
      </c>
      <c r="P363" s="17">
        <f t="shared" si="28"/>
        <v>0</v>
      </c>
      <c r="Q363" s="17"/>
      <c r="R363" s="9">
        <v>20220810</v>
      </c>
      <c r="S363" s="9">
        <v>-47.97</v>
      </c>
      <c r="V363" s="45" t="e">
        <f t="shared" si="29"/>
        <v>#DIV/0!</v>
      </c>
      <c r="W363" s="12">
        <v>-4.55</v>
      </c>
      <c r="X363" s="12">
        <v>0</v>
      </c>
      <c r="Y363" s="62"/>
    </row>
    <row r="364" spans="1:25" x14ac:dyDescent="0.2">
      <c r="A364" s="3" t="s">
        <v>2671</v>
      </c>
      <c r="B364" s="3" t="s">
        <v>633</v>
      </c>
      <c r="C364" s="6" t="s">
        <v>355</v>
      </c>
      <c r="D364" s="6" t="s">
        <v>194</v>
      </c>
      <c r="E364" s="6" t="s">
        <v>208</v>
      </c>
      <c r="F364" s="6">
        <v>27806.97</v>
      </c>
      <c r="G364" s="2">
        <v>12</v>
      </c>
      <c r="H364" s="61">
        <v>3.3</v>
      </c>
      <c r="I364" s="61">
        <v>3.68</v>
      </c>
      <c r="J364" s="47">
        <f t="shared" si="25"/>
        <v>-0.72499999999999998</v>
      </c>
      <c r="K364" s="47">
        <f t="shared" si="26"/>
        <v>0.11515151515151525</v>
      </c>
      <c r="L364" s="8">
        <v>4.01</v>
      </c>
      <c r="M364" s="8">
        <v>27.17</v>
      </c>
      <c r="N364" s="8">
        <v>25.71</v>
      </c>
      <c r="O364" s="17">
        <f t="shared" si="27"/>
        <v>-0.37475862068965521</v>
      </c>
      <c r="P364" s="17">
        <f t="shared" si="28"/>
        <v>2.2327105263157874</v>
      </c>
      <c r="Q364" s="17">
        <v>23.56</v>
      </c>
      <c r="R364" s="9">
        <v>20220729</v>
      </c>
      <c r="S364" s="9">
        <v>22.86</v>
      </c>
      <c r="T364" s="9">
        <v>2.7</v>
      </c>
      <c r="U364" s="9">
        <v>5992.8198199999997</v>
      </c>
      <c r="V364" s="45">
        <f t="shared" si="29"/>
        <v>-0.99954946084129059</v>
      </c>
      <c r="W364" s="12">
        <v>0</v>
      </c>
      <c r="X364" s="12">
        <v>1.1399999999999999</v>
      </c>
      <c r="Y364" s="62">
        <v>2.0099999999999998</v>
      </c>
    </row>
    <row r="365" spans="1:25" x14ac:dyDescent="0.2">
      <c r="A365" s="3" t="s">
        <v>2672</v>
      </c>
      <c r="B365" s="3" t="s">
        <v>634</v>
      </c>
      <c r="C365" s="6" t="s">
        <v>355</v>
      </c>
      <c r="D365" s="6" t="s">
        <v>185</v>
      </c>
      <c r="E365" s="6" t="s">
        <v>208</v>
      </c>
      <c r="F365" s="6">
        <v>3198.47</v>
      </c>
      <c r="G365" s="2">
        <v>12</v>
      </c>
      <c r="H365" s="61">
        <v>0.25</v>
      </c>
      <c r="I365" s="61">
        <v>0.5</v>
      </c>
      <c r="J365" s="47">
        <f t="shared" si="25"/>
        <v>-0.97916666666666663</v>
      </c>
      <c r="K365" s="47">
        <f t="shared" si="26"/>
        <v>1</v>
      </c>
      <c r="L365" s="8">
        <v>0.63</v>
      </c>
      <c r="M365" s="8">
        <v>90.96</v>
      </c>
      <c r="N365" s="8">
        <v>40.020000000000003</v>
      </c>
      <c r="O365" s="17">
        <f t="shared" si="27"/>
        <v>-0.92895319148936173</v>
      </c>
      <c r="P365" s="17">
        <f t="shared" si="28"/>
        <v>0.40020000000000006</v>
      </c>
      <c r="Q365" s="17">
        <v>31.76</v>
      </c>
      <c r="R365" s="9">
        <v>20220804</v>
      </c>
      <c r="S365" s="9">
        <v>3.56</v>
      </c>
      <c r="U365" s="9">
        <v>356.21701000000002</v>
      </c>
      <c r="V365" s="45">
        <f t="shared" si="29"/>
        <v>-1</v>
      </c>
      <c r="W365" s="12">
        <v>0</v>
      </c>
      <c r="X365" s="12">
        <v>0</v>
      </c>
      <c r="Y365" s="62">
        <v>0.62</v>
      </c>
    </row>
    <row r="366" spans="1:25" x14ac:dyDescent="0.2">
      <c r="A366" s="3" t="s">
        <v>2673</v>
      </c>
      <c r="B366" s="3" t="s">
        <v>635</v>
      </c>
      <c r="C366" s="6" t="s">
        <v>354</v>
      </c>
      <c r="D366" s="6" t="s">
        <v>315</v>
      </c>
      <c r="E366" s="6" t="s">
        <v>60</v>
      </c>
      <c r="F366" s="6">
        <v>20173.87</v>
      </c>
      <c r="G366" s="2">
        <v>12</v>
      </c>
      <c r="H366" s="61">
        <v>4.66</v>
      </c>
      <c r="I366" s="61">
        <v>18.940000000000001</v>
      </c>
      <c r="J366" s="47">
        <f t="shared" si="25"/>
        <v>-0.61166666666666669</v>
      </c>
      <c r="K366" s="47">
        <f t="shared" si="26"/>
        <v>3.0643776824034337</v>
      </c>
      <c r="L366" s="8">
        <v>14.26</v>
      </c>
      <c r="M366" s="8">
        <v>9.65</v>
      </c>
      <c r="N366" s="8">
        <v>5.1100000000000003</v>
      </c>
      <c r="O366" s="17">
        <f t="shared" si="27"/>
        <v>-0.15776566757493188</v>
      </c>
      <c r="P366" s="17">
        <f t="shared" si="28"/>
        <v>1.6675490196078432E-2</v>
      </c>
      <c r="Q366" s="17">
        <v>6.78</v>
      </c>
      <c r="R366" s="9">
        <v>20220808</v>
      </c>
      <c r="S366" s="9">
        <v>35.04</v>
      </c>
      <c r="T366" s="9">
        <v>8.6</v>
      </c>
      <c r="U366" s="9">
        <v>11916.759760000001</v>
      </c>
      <c r="V366" s="45">
        <f t="shared" si="29"/>
        <v>-0.99927832731604882</v>
      </c>
      <c r="W366" s="12">
        <v>0</v>
      </c>
      <c r="X366" s="12">
        <v>1.65</v>
      </c>
      <c r="Y366" s="62">
        <v>0.85</v>
      </c>
    </row>
    <row r="367" spans="1:25" x14ac:dyDescent="0.2">
      <c r="A367" s="3" t="s">
        <v>2674</v>
      </c>
      <c r="B367" s="3" t="s">
        <v>636</v>
      </c>
      <c r="C367" s="6" t="s">
        <v>354</v>
      </c>
      <c r="D367" s="6" t="s">
        <v>637</v>
      </c>
      <c r="E367" s="6" t="s">
        <v>163</v>
      </c>
      <c r="F367" s="6">
        <v>19966.47</v>
      </c>
      <c r="G367" s="2">
        <v>12</v>
      </c>
      <c r="H367" s="61">
        <v>5.23</v>
      </c>
      <c r="I367" s="61">
        <v>4.57</v>
      </c>
      <c r="J367" s="47">
        <f t="shared" si="25"/>
        <v>-0.56416666666666659</v>
      </c>
      <c r="K367" s="47">
        <f t="shared" si="26"/>
        <v>-0.12619502868068835</v>
      </c>
      <c r="L367" s="8">
        <v>5.25</v>
      </c>
      <c r="M367" s="8">
        <v>8.0399999999999991</v>
      </c>
      <c r="N367" s="8">
        <v>8.82</v>
      </c>
      <c r="O367" s="17">
        <f t="shared" si="27"/>
        <v>-0.14251107828655835</v>
      </c>
      <c r="P367" s="17">
        <f t="shared" si="28"/>
        <v>-0.69891818181818177</v>
      </c>
      <c r="Q367" s="17">
        <v>7.67</v>
      </c>
      <c r="R367" s="9">
        <v>20220719</v>
      </c>
      <c r="S367" s="9">
        <v>10.69</v>
      </c>
      <c r="T367" s="9">
        <v>2.74</v>
      </c>
      <c r="U367" s="9">
        <v>7806.0048800000004</v>
      </c>
      <c r="V367" s="45">
        <f t="shared" si="29"/>
        <v>-0.99964898817741965</v>
      </c>
      <c r="W367" s="12">
        <v>13.83</v>
      </c>
      <c r="X367" s="12">
        <v>3.87</v>
      </c>
      <c r="Y367" s="62"/>
    </row>
    <row r="368" spans="1:25" x14ac:dyDescent="0.2">
      <c r="A368" s="3" t="s">
        <v>2675</v>
      </c>
      <c r="B368" s="3" t="s">
        <v>2676</v>
      </c>
      <c r="C368" s="6" t="s">
        <v>355</v>
      </c>
      <c r="D368" s="6" t="s">
        <v>233</v>
      </c>
      <c r="E368" s="6" t="s">
        <v>108</v>
      </c>
      <c r="F368" s="6">
        <v>5494.47</v>
      </c>
      <c r="G368" s="2">
        <v>12</v>
      </c>
      <c r="H368" s="61">
        <v>-0.9</v>
      </c>
      <c r="I368" s="61">
        <v>-0.76</v>
      </c>
      <c r="J368" s="47">
        <f t="shared" si="25"/>
        <v>-1.075</v>
      </c>
      <c r="K368" s="47">
        <f t="shared" si="26"/>
        <v>0.15555555555555556</v>
      </c>
      <c r="L368" s="8">
        <v>-0.56999999999999995</v>
      </c>
      <c r="O368" s="17">
        <f t="shared" si="27"/>
        <v>0</v>
      </c>
      <c r="P368" s="17">
        <f t="shared" si="28"/>
        <v>0</v>
      </c>
      <c r="Q368" s="17"/>
      <c r="R368" s="9">
        <v>20220804</v>
      </c>
      <c r="S368" s="9">
        <v>-42.75</v>
      </c>
      <c r="U368" s="9">
        <v>557.67102</v>
      </c>
      <c r="V368" s="45">
        <f t="shared" si="29"/>
        <v>-1</v>
      </c>
      <c r="W368" s="12">
        <v>9.52</v>
      </c>
      <c r="X368" s="12">
        <v>0</v>
      </c>
      <c r="Y368" s="62"/>
    </row>
    <row r="369" spans="1:25" x14ac:dyDescent="0.2">
      <c r="A369" s="3" t="s">
        <v>2677</v>
      </c>
      <c r="B369" s="3" t="s">
        <v>638</v>
      </c>
      <c r="C369" s="6" t="s">
        <v>354</v>
      </c>
      <c r="D369" s="6" t="s">
        <v>553</v>
      </c>
      <c r="E369" s="6" t="s">
        <v>163</v>
      </c>
      <c r="F369" s="6">
        <v>7966.62</v>
      </c>
      <c r="G369" s="2">
        <v>12</v>
      </c>
      <c r="H369" s="61">
        <v>6.58</v>
      </c>
      <c r="I369" s="61">
        <v>7.64</v>
      </c>
      <c r="J369" s="47">
        <f t="shared" si="25"/>
        <v>-0.45166666666666666</v>
      </c>
      <c r="K369" s="47">
        <f t="shared" si="26"/>
        <v>0.1610942249240121</v>
      </c>
      <c r="L369" s="8">
        <v>9.19</v>
      </c>
      <c r="M369" s="8">
        <v>19.12</v>
      </c>
      <c r="N369" s="8">
        <v>16.27</v>
      </c>
      <c r="O369" s="17">
        <f t="shared" si="27"/>
        <v>-0.42332103321033215</v>
      </c>
      <c r="P369" s="17">
        <f t="shared" si="28"/>
        <v>1.0099679245283024</v>
      </c>
      <c r="Q369" s="17">
        <v>13.52</v>
      </c>
      <c r="R369" s="9">
        <v>20220804</v>
      </c>
      <c r="S369" s="9">
        <v>10.4</v>
      </c>
      <c r="T369" s="9">
        <v>3.38</v>
      </c>
      <c r="U369" s="9">
        <v>1576.40795</v>
      </c>
      <c r="V369" s="45">
        <f t="shared" si="29"/>
        <v>-0.99785588495668265</v>
      </c>
      <c r="W369" s="12">
        <v>1.34</v>
      </c>
      <c r="X369" s="12">
        <v>2.41</v>
      </c>
      <c r="Y369" s="62">
        <v>1.71</v>
      </c>
    </row>
    <row r="370" spans="1:25" x14ac:dyDescent="0.2">
      <c r="A370" s="3" t="s">
        <v>2678</v>
      </c>
      <c r="B370" s="3" t="s">
        <v>2679</v>
      </c>
      <c r="C370" s="6" t="s">
        <v>356</v>
      </c>
      <c r="D370" s="6" t="s">
        <v>658</v>
      </c>
      <c r="E370" s="6" t="s">
        <v>231</v>
      </c>
      <c r="F370" s="6">
        <v>107427.6</v>
      </c>
      <c r="G370" s="2">
        <v>3</v>
      </c>
      <c r="H370" s="61">
        <v>0.51</v>
      </c>
      <c r="I370" s="61">
        <v>0.56000000000000005</v>
      </c>
      <c r="J370" s="47">
        <f t="shared" si="25"/>
        <v>-0.83000000000000007</v>
      </c>
      <c r="K370" s="47">
        <f t="shared" si="26"/>
        <v>9.8039215686274592E-2</v>
      </c>
      <c r="L370" s="8">
        <v>0.65</v>
      </c>
      <c r="N370" s="8">
        <v>18.38</v>
      </c>
      <c r="O370" s="17">
        <f t="shared" si="27"/>
        <v>0</v>
      </c>
      <c r="P370" s="17">
        <f t="shared" si="28"/>
        <v>1.8747599999999984</v>
      </c>
      <c r="Q370" s="17">
        <v>15.91</v>
      </c>
      <c r="R370" s="9">
        <v>20220819</v>
      </c>
      <c r="U370" s="9">
        <v>21931.875</v>
      </c>
      <c r="V370" s="45">
        <f t="shared" si="29"/>
        <v>-1</v>
      </c>
      <c r="X370" s="12">
        <v>1.2</v>
      </c>
      <c r="Y370" s="62">
        <v>1.07</v>
      </c>
    </row>
    <row r="371" spans="1:25" x14ac:dyDescent="0.2">
      <c r="A371" s="3" t="s">
        <v>2680</v>
      </c>
      <c r="B371" s="3" t="s">
        <v>639</v>
      </c>
      <c r="C371" s="6" t="s">
        <v>355</v>
      </c>
      <c r="D371" s="6" t="s">
        <v>519</v>
      </c>
      <c r="E371" s="6" t="s">
        <v>163</v>
      </c>
      <c r="F371" s="6">
        <v>13953.1</v>
      </c>
      <c r="G371" s="2">
        <v>12</v>
      </c>
      <c r="H371" s="61">
        <v>4.1900000000000004</v>
      </c>
      <c r="I371" s="61">
        <v>4.1500000000000004</v>
      </c>
      <c r="J371" s="47">
        <f t="shared" si="25"/>
        <v>-0.65083333333333326</v>
      </c>
      <c r="K371" s="47">
        <f t="shared" si="26"/>
        <v>-9.5465393794749477E-3</v>
      </c>
      <c r="L371" s="8">
        <v>4.58</v>
      </c>
      <c r="M371" s="8">
        <v>7.46</v>
      </c>
      <c r="N371" s="8">
        <v>9.3000000000000007</v>
      </c>
      <c r="O371" s="17">
        <f t="shared" si="27"/>
        <v>-0.11462227912932139</v>
      </c>
      <c r="P371" s="17">
        <f t="shared" si="28"/>
        <v>-9.7417499999999926</v>
      </c>
      <c r="Q371" s="17">
        <v>8.43</v>
      </c>
      <c r="R371" s="9">
        <v>20220804</v>
      </c>
      <c r="S371" s="9">
        <v>41.54</v>
      </c>
      <c r="T371" s="9">
        <v>21.29</v>
      </c>
      <c r="U371" s="9">
        <v>4344.9482399999997</v>
      </c>
      <c r="V371" s="45">
        <f t="shared" si="29"/>
        <v>-0.99510005670401269</v>
      </c>
      <c r="W371" s="12">
        <v>-24.49</v>
      </c>
      <c r="X371" s="12">
        <v>3.37</v>
      </c>
      <c r="Y371" s="62">
        <v>0.39</v>
      </c>
    </row>
    <row r="372" spans="1:25" x14ac:dyDescent="0.2">
      <c r="A372" s="3" t="s">
        <v>2681</v>
      </c>
      <c r="B372" s="3" t="s">
        <v>2090</v>
      </c>
      <c r="C372" s="6" t="s">
        <v>356</v>
      </c>
      <c r="D372" s="6" t="s">
        <v>210</v>
      </c>
      <c r="E372" s="6" t="s">
        <v>108</v>
      </c>
      <c r="F372" s="6">
        <v>34124.9</v>
      </c>
      <c r="G372" s="2">
        <v>12</v>
      </c>
      <c r="H372" s="61">
        <v>1.89</v>
      </c>
      <c r="I372" s="61">
        <v>2.1</v>
      </c>
      <c r="J372" s="47">
        <f t="shared" si="25"/>
        <v>-0.84249999999999992</v>
      </c>
      <c r="K372" s="47">
        <f t="shared" si="26"/>
        <v>0.11111111111111122</v>
      </c>
      <c r="L372" s="8">
        <v>2.33</v>
      </c>
      <c r="N372" s="8">
        <v>18.899999999999999</v>
      </c>
      <c r="O372" s="17">
        <f t="shared" si="27"/>
        <v>0</v>
      </c>
      <c r="P372" s="17">
        <f t="shared" si="28"/>
        <v>1.7009999999999983</v>
      </c>
      <c r="Q372" s="17">
        <v>17.03</v>
      </c>
      <c r="U372" s="9">
        <v>21604.800780000001</v>
      </c>
      <c r="V372" s="45">
        <f t="shared" si="29"/>
        <v>-1</v>
      </c>
      <c r="X372" s="12">
        <v>0.87</v>
      </c>
      <c r="Y372" s="62">
        <v>1.59</v>
      </c>
    </row>
    <row r="373" spans="1:25" x14ac:dyDescent="0.2">
      <c r="A373" s="3" t="s">
        <v>2682</v>
      </c>
      <c r="B373" s="3" t="s">
        <v>640</v>
      </c>
      <c r="C373" s="6" t="s">
        <v>355</v>
      </c>
      <c r="D373" s="6" t="s">
        <v>144</v>
      </c>
      <c r="E373" s="6" t="s">
        <v>119</v>
      </c>
      <c r="F373" s="6">
        <v>8019.75</v>
      </c>
      <c r="G373" s="2">
        <v>12</v>
      </c>
      <c r="H373" s="61">
        <v>1.42</v>
      </c>
      <c r="I373" s="61">
        <v>1.75</v>
      </c>
      <c r="J373" s="47">
        <f t="shared" si="25"/>
        <v>-0.88166666666666671</v>
      </c>
      <c r="K373" s="47">
        <f t="shared" si="26"/>
        <v>0.23239436619718315</v>
      </c>
      <c r="L373" s="8">
        <v>2.04</v>
      </c>
      <c r="M373" s="8">
        <v>29.78</v>
      </c>
      <c r="N373" s="8">
        <v>26.45</v>
      </c>
      <c r="O373" s="17">
        <f t="shared" si="27"/>
        <v>-0.33776937618147446</v>
      </c>
      <c r="P373" s="17">
        <f t="shared" si="28"/>
        <v>1.1381515151515149</v>
      </c>
      <c r="Q373" s="17">
        <v>22.66</v>
      </c>
      <c r="R373" s="9">
        <v>20220804</v>
      </c>
      <c r="S373" s="9">
        <v>19.48</v>
      </c>
      <c r="T373" s="9">
        <v>7.93</v>
      </c>
      <c r="U373" s="9">
        <v>1144.8800000000001</v>
      </c>
      <c r="V373" s="45">
        <f t="shared" si="29"/>
        <v>-0.9930735098874991</v>
      </c>
      <c r="W373" s="12">
        <v>7.69</v>
      </c>
      <c r="X373" s="12">
        <v>0.56000000000000005</v>
      </c>
      <c r="Y373" s="62"/>
    </row>
    <row r="374" spans="1:25" x14ac:dyDescent="0.2">
      <c r="A374" s="3" t="s">
        <v>2683</v>
      </c>
      <c r="B374" s="3" t="s">
        <v>2091</v>
      </c>
      <c r="C374" s="6" t="s">
        <v>356</v>
      </c>
      <c r="D374" s="6" t="s">
        <v>69</v>
      </c>
      <c r="E374" s="6" t="s">
        <v>163</v>
      </c>
      <c r="F374" s="6">
        <v>4550.6099999999997</v>
      </c>
      <c r="G374" s="2">
        <v>3</v>
      </c>
      <c r="H374" s="61"/>
      <c r="I374" s="61"/>
      <c r="J374" s="47">
        <f t="shared" si="25"/>
        <v>-1</v>
      </c>
      <c r="K374" s="47" t="e">
        <f t="shared" si="26"/>
        <v>#DIV/0!</v>
      </c>
      <c r="M374" s="8">
        <v>8.3000000000000007</v>
      </c>
      <c r="O374" s="17">
        <f t="shared" si="27"/>
        <v>-8.3000000000000004E-2</v>
      </c>
      <c r="P374" s="17" t="e">
        <f t="shared" si="28"/>
        <v>#DIV/0!</v>
      </c>
      <c r="Q374" s="17"/>
      <c r="R374" s="9">
        <v>20220530</v>
      </c>
      <c r="S374" s="9">
        <v>5.27</v>
      </c>
      <c r="T374" s="9">
        <v>1.32</v>
      </c>
      <c r="V374" s="45" t="e">
        <f t="shared" si="29"/>
        <v>#DIV/0!</v>
      </c>
      <c r="X374" s="12">
        <v>2.56</v>
      </c>
      <c r="Y374" s="62"/>
    </row>
    <row r="375" spans="1:25" x14ac:dyDescent="0.2">
      <c r="A375" s="3" t="s">
        <v>2684</v>
      </c>
      <c r="B375" s="3" t="s">
        <v>2092</v>
      </c>
      <c r="C375" s="6" t="s">
        <v>356</v>
      </c>
      <c r="D375" s="6" t="s">
        <v>69</v>
      </c>
      <c r="E375" s="6" t="s">
        <v>163</v>
      </c>
      <c r="F375" s="6">
        <v>23642.5</v>
      </c>
      <c r="G375" s="2">
        <v>12</v>
      </c>
      <c r="H375" s="61"/>
      <c r="I375" s="61"/>
      <c r="J375" s="47">
        <f t="shared" si="25"/>
        <v>-1</v>
      </c>
      <c r="K375" s="47" t="e">
        <f t="shared" si="26"/>
        <v>#DIV/0!</v>
      </c>
      <c r="O375" s="17">
        <f t="shared" si="27"/>
        <v>0</v>
      </c>
      <c r="P375" s="17" t="e">
        <f t="shared" si="28"/>
        <v>#DIV/0!</v>
      </c>
      <c r="Q375" s="17"/>
      <c r="V375" s="45" t="e">
        <f t="shared" si="29"/>
        <v>#DIV/0!</v>
      </c>
      <c r="X375" s="12">
        <v>6.8</v>
      </c>
      <c r="Y375" s="62"/>
    </row>
    <row r="376" spans="1:25" x14ac:dyDescent="0.2">
      <c r="A376" s="3" t="s">
        <v>2685</v>
      </c>
      <c r="B376" s="3" t="s">
        <v>642</v>
      </c>
      <c r="C376" s="6" t="s">
        <v>354</v>
      </c>
      <c r="D376" s="6" t="s">
        <v>643</v>
      </c>
      <c r="E376" s="6" t="s">
        <v>154</v>
      </c>
      <c r="F376" s="6">
        <v>21803.27</v>
      </c>
      <c r="G376" s="2">
        <v>12</v>
      </c>
      <c r="H376" s="61">
        <v>2.97</v>
      </c>
      <c r="I376" s="61">
        <v>3.15</v>
      </c>
      <c r="J376" s="47">
        <f t="shared" si="25"/>
        <v>-0.75249999999999995</v>
      </c>
      <c r="K376" s="47">
        <f t="shared" si="26"/>
        <v>6.0606060606060504E-2</v>
      </c>
      <c r="L376" s="8">
        <v>3.41</v>
      </c>
      <c r="M376" s="8">
        <v>29.64</v>
      </c>
      <c r="N376" s="8">
        <v>28.47</v>
      </c>
      <c r="O376" s="17">
        <f t="shared" si="27"/>
        <v>-0.39388704318936879</v>
      </c>
      <c r="P376" s="17">
        <f t="shared" si="28"/>
        <v>4.6975500000000077</v>
      </c>
      <c r="Q376" s="17">
        <v>26.31</v>
      </c>
      <c r="R376" s="9">
        <v>20220729</v>
      </c>
      <c r="S376" s="9">
        <v>22.29</v>
      </c>
      <c r="T376" s="9">
        <v>8.42</v>
      </c>
      <c r="U376" s="9">
        <v>5528.7597599999999</v>
      </c>
      <c r="V376" s="45">
        <f t="shared" si="29"/>
        <v>-0.99847705446329615</v>
      </c>
      <c r="W376" s="12">
        <v>9.2100000000000009</v>
      </c>
      <c r="X376" s="12">
        <v>1.17</v>
      </c>
      <c r="Y376" s="62">
        <v>3.56</v>
      </c>
    </row>
    <row r="377" spans="1:25" x14ac:dyDescent="0.2">
      <c r="A377" s="3" t="s">
        <v>2686</v>
      </c>
      <c r="B377" s="3" t="s">
        <v>644</v>
      </c>
      <c r="C377" s="6" t="s">
        <v>355</v>
      </c>
      <c r="D377" s="6" t="s">
        <v>157</v>
      </c>
      <c r="E377" s="6" t="s">
        <v>146</v>
      </c>
      <c r="F377" s="6">
        <v>7536.27</v>
      </c>
      <c r="G377" s="2">
        <v>12</v>
      </c>
      <c r="H377" s="61">
        <v>6.41</v>
      </c>
      <c r="I377" s="61">
        <v>8.5399999999999991</v>
      </c>
      <c r="J377" s="47">
        <f t="shared" si="25"/>
        <v>-0.46583333333333332</v>
      </c>
      <c r="K377" s="47">
        <f t="shared" si="26"/>
        <v>0.3322932917316691</v>
      </c>
      <c r="L377" s="8">
        <v>12.67</v>
      </c>
      <c r="M377" s="8">
        <v>27.76</v>
      </c>
      <c r="N377" s="8">
        <v>23.21</v>
      </c>
      <c r="O377" s="17">
        <f t="shared" si="27"/>
        <v>-0.59592128801431132</v>
      </c>
      <c r="P377" s="17">
        <f t="shared" si="28"/>
        <v>0.69847934272300505</v>
      </c>
      <c r="Q377" s="17">
        <v>15.65</v>
      </c>
      <c r="R377" s="9">
        <v>20220727</v>
      </c>
      <c r="S377" s="9">
        <v>87.26</v>
      </c>
      <c r="T377" s="9">
        <v>4.79</v>
      </c>
      <c r="U377" s="9">
        <v>1740.10205</v>
      </c>
      <c r="V377" s="45">
        <f t="shared" si="29"/>
        <v>-0.99724728788176531</v>
      </c>
      <c r="W377" s="12">
        <v>4.42</v>
      </c>
      <c r="X377" s="12">
        <v>0.34</v>
      </c>
      <c r="Y377" s="62">
        <v>1.41</v>
      </c>
    </row>
    <row r="378" spans="1:25" x14ac:dyDescent="0.2">
      <c r="A378" s="3" t="s">
        <v>2687</v>
      </c>
      <c r="B378" s="3" t="s">
        <v>645</v>
      </c>
      <c r="C378" s="6" t="s">
        <v>354</v>
      </c>
      <c r="D378" s="6" t="s">
        <v>192</v>
      </c>
      <c r="E378" s="6" t="s">
        <v>208</v>
      </c>
      <c r="F378" s="6">
        <v>7487.7</v>
      </c>
      <c r="G378" s="2">
        <v>12</v>
      </c>
      <c r="H378" s="61">
        <v>19.14</v>
      </c>
      <c r="I378" s="61">
        <v>19.45</v>
      </c>
      <c r="J378" s="47">
        <f t="shared" si="25"/>
        <v>0.59500000000000008</v>
      </c>
      <c r="K378" s="47">
        <f t="shared" si="26"/>
        <v>1.6196447230929924E-2</v>
      </c>
      <c r="L378" s="8">
        <v>21.38</v>
      </c>
      <c r="M378" s="8">
        <v>25.39</v>
      </c>
      <c r="N378" s="8">
        <v>25.71</v>
      </c>
      <c r="O378" s="17">
        <f t="shared" si="27"/>
        <v>0.42672268907563021</v>
      </c>
      <c r="P378" s="17">
        <f t="shared" si="28"/>
        <v>15.873851612903289</v>
      </c>
      <c r="Q378" s="17">
        <v>23.4</v>
      </c>
      <c r="R378" s="9">
        <v>20220726</v>
      </c>
      <c r="S378" s="9">
        <v>41.96</v>
      </c>
      <c r="T378" s="9">
        <v>6.82</v>
      </c>
      <c r="U378" s="9">
        <v>2167.4938900000002</v>
      </c>
      <c r="V378" s="45">
        <f t="shared" si="29"/>
        <v>-0.99685350900804603</v>
      </c>
      <c r="W378" s="12">
        <v>6.68</v>
      </c>
      <c r="X378" s="12">
        <v>0.28999999999999998</v>
      </c>
      <c r="Y378" s="62">
        <v>3.03</v>
      </c>
    </row>
    <row r="379" spans="1:25" x14ac:dyDescent="0.2">
      <c r="A379" s="3" t="s">
        <v>2688</v>
      </c>
      <c r="B379" s="3" t="s">
        <v>646</v>
      </c>
      <c r="C379" s="6" t="s">
        <v>354</v>
      </c>
      <c r="D379" s="6" t="s">
        <v>160</v>
      </c>
      <c r="E379" s="6" t="s">
        <v>146</v>
      </c>
      <c r="F379" s="6">
        <v>7118.52</v>
      </c>
      <c r="G379" s="2">
        <v>12</v>
      </c>
      <c r="H379" s="61">
        <v>4.0999999999999996</v>
      </c>
      <c r="I379" s="61">
        <v>4.95</v>
      </c>
      <c r="J379" s="47">
        <f t="shared" si="25"/>
        <v>-0.65833333333333333</v>
      </c>
      <c r="K379" s="47">
        <f t="shared" si="26"/>
        <v>0.20731707317073186</v>
      </c>
      <c r="L379" s="8">
        <v>5.52</v>
      </c>
      <c r="M379" s="8">
        <v>26.87</v>
      </c>
      <c r="N379" s="8">
        <v>25.76</v>
      </c>
      <c r="O379" s="17">
        <f t="shared" si="27"/>
        <v>-0.40815189873417723</v>
      </c>
      <c r="P379" s="17">
        <f t="shared" si="28"/>
        <v>1.2425411764705874</v>
      </c>
      <c r="Q379" s="17">
        <v>23.13</v>
      </c>
      <c r="R379" s="9">
        <v>20220804</v>
      </c>
      <c r="S379" s="9">
        <v>119.1</v>
      </c>
      <c r="T379" s="9">
        <v>-1.69</v>
      </c>
      <c r="U379" s="9">
        <v>1206.98999</v>
      </c>
      <c r="V379" s="45">
        <f t="shared" si="29"/>
        <v>-1.0014001773121581</v>
      </c>
      <c r="W379" s="12">
        <v>10.75</v>
      </c>
      <c r="X379" s="12">
        <v>0.74</v>
      </c>
      <c r="Y379" s="62">
        <v>2.65</v>
      </c>
    </row>
    <row r="380" spans="1:25" x14ac:dyDescent="0.2">
      <c r="A380" s="3" t="s">
        <v>2689</v>
      </c>
      <c r="B380" s="3" t="s">
        <v>1948</v>
      </c>
      <c r="C380" s="6" t="s">
        <v>355</v>
      </c>
      <c r="D380" s="6" t="s">
        <v>200</v>
      </c>
      <c r="E380" s="6" t="s">
        <v>218</v>
      </c>
      <c r="F380" s="6">
        <v>12751.65</v>
      </c>
      <c r="G380" s="2">
        <v>12</v>
      </c>
      <c r="H380" s="61">
        <v>9.06</v>
      </c>
      <c r="I380" s="61">
        <v>13.7</v>
      </c>
      <c r="J380" s="47">
        <f t="shared" si="25"/>
        <v>-0.24499999999999997</v>
      </c>
      <c r="K380" s="47">
        <f t="shared" si="26"/>
        <v>0.51214128035320072</v>
      </c>
      <c r="L380" s="8">
        <v>15.48</v>
      </c>
      <c r="M380" s="8">
        <v>10.55</v>
      </c>
      <c r="N380" s="8">
        <v>7.31</v>
      </c>
      <c r="O380" s="17">
        <f t="shared" si="27"/>
        <v>-0.4306122448979593</v>
      </c>
      <c r="P380" s="17">
        <f t="shared" si="28"/>
        <v>0.14273405172413797</v>
      </c>
      <c r="Q380" s="17">
        <v>6.47</v>
      </c>
      <c r="R380" s="9">
        <v>20220809</v>
      </c>
      <c r="S380" s="9">
        <v>27.28</v>
      </c>
      <c r="T380" s="9">
        <v>-16.989999999999998</v>
      </c>
      <c r="U380" s="9">
        <v>6197.9648399999996</v>
      </c>
      <c r="V380" s="45">
        <f t="shared" si="29"/>
        <v>-1.0027412223913164</v>
      </c>
      <c r="W380" s="12">
        <v>25.61</v>
      </c>
      <c r="X380" s="12">
        <v>2</v>
      </c>
      <c r="Y380" s="62">
        <v>1.17</v>
      </c>
    </row>
    <row r="381" spans="1:25" x14ac:dyDescent="0.2">
      <c r="A381" s="3" t="s">
        <v>2690</v>
      </c>
      <c r="B381" s="3" t="s">
        <v>647</v>
      </c>
      <c r="C381" s="6" t="s">
        <v>355</v>
      </c>
      <c r="D381" s="6" t="s">
        <v>307</v>
      </c>
      <c r="E381" s="6" t="s">
        <v>119</v>
      </c>
      <c r="F381" s="6">
        <v>16033.83</v>
      </c>
      <c r="G381" s="2">
        <v>12</v>
      </c>
      <c r="H381" s="61">
        <v>6.93</v>
      </c>
      <c r="I381" s="61">
        <v>7.22</v>
      </c>
      <c r="J381" s="47">
        <f t="shared" si="25"/>
        <v>-0.42250000000000004</v>
      </c>
      <c r="K381" s="47">
        <f t="shared" si="26"/>
        <v>4.1847041847041855E-2</v>
      </c>
      <c r="L381" s="8">
        <v>7.94</v>
      </c>
      <c r="M381" s="8">
        <v>17.55</v>
      </c>
      <c r="N381" s="8">
        <v>17.2</v>
      </c>
      <c r="O381" s="17">
        <f t="shared" si="27"/>
        <v>-0.41538461538461535</v>
      </c>
      <c r="P381" s="17">
        <f t="shared" si="28"/>
        <v>4.1102068965517233</v>
      </c>
      <c r="Q381" s="17">
        <v>15.65</v>
      </c>
      <c r="R381" s="9">
        <v>20220725</v>
      </c>
      <c r="S381" s="9">
        <v>25.35</v>
      </c>
      <c r="T381" s="9">
        <v>3.94</v>
      </c>
      <c r="U381" s="9">
        <v>2303.6469699999998</v>
      </c>
      <c r="V381" s="45">
        <f t="shared" si="29"/>
        <v>-0.99828966849030687</v>
      </c>
      <c r="W381" s="12">
        <v>1.95</v>
      </c>
      <c r="X381" s="12">
        <v>0</v>
      </c>
      <c r="Y381" s="62">
        <v>2.35</v>
      </c>
    </row>
    <row r="382" spans="1:25" x14ac:dyDescent="0.2">
      <c r="A382" s="3" t="s">
        <v>2691</v>
      </c>
      <c r="B382" s="3" t="s">
        <v>648</v>
      </c>
      <c r="C382" s="6" t="s">
        <v>355</v>
      </c>
      <c r="D382" s="6" t="s">
        <v>194</v>
      </c>
      <c r="E382" s="6" t="s">
        <v>208</v>
      </c>
      <c r="F382" s="6">
        <v>7262.41</v>
      </c>
      <c r="G382" s="2">
        <v>3</v>
      </c>
      <c r="H382" s="61">
        <v>1.56</v>
      </c>
      <c r="I382" s="61">
        <v>2.02</v>
      </c>
      <c r="J382" s="47">
        <f t="shared" si="25"/>
        <v>-0.48</v>
      </c>
      <c r="K382" s="47">
        <f t="shared" si="26"/>
        <v>0.29487179487179482</v>
      </c>
      <c r="L382" s="8">
        <v>1.93</v>
      </c>
      <c r="M382" s="8">
        <v>15.42</v>
      </c>
      <c r="N382" s="8">
        <v>11.55</v>
      </c>
      <c r="O382" s="17">
        <f t="shared" si="27"/>
        <v>-0.32124999999999998</v>
      </c>
      <c r="P382" s="17">
        <f t="shared" si="28"/>
        <v>0.39169565217391311</v>
      </c>
      <c r="Q382" s="17">
        <v>12.03</v>
      </c>
      <c r="R382" s="9">
        <v>20220803</v>
      </c>
      <c r="S382" s="9">
        <v>12.93</v>
      </c>
      <c r="U382" s="9">
        <v>3723.2670800000001</v>
      </c>
      <c r="V382" s="45">
        <f t="shared" si="29"/>
        <v>-1</v>
      </c>
      <c r="W382" s="12">
        <v>-9.3000000000000007</v>
      </c>
      <c r="X382" s="12">
        <v>0</v>
      </c>
      <c r="Y382" s="62">
        <v>1.44</v>
      </c>
    </row>
    <row r="383" spans="1:25" x14ac:dyDescent="0.2">
      <c r="A383" s="3" t="s">
        <v>2692</v>
      </c>
      <c r="B383" s="3" t="s">
        <v>1949</v>
      </c>
      <c r="C383" s="6" t="s">
        <v>354</v>
      </c>
      <c r="D383" s="6" t="s">
        <v>54</v>
      </c>
      <c r="E383" s="6" t="s">
        <v>35</v>
      </c>
      <c r="F383" s="6">
        <v>3967.45</v>
      </c>
      <c r="G383" s="2">
        <v>1</v>
      </c>
      <c r="H383" s="61">
        <v>-0.6</v>
      </c>
      <c r="I383" s="61">
        <v>-0.71</v>
      </c>
      <c r="J383" s="47">
        <f t="shared" si="25"/>
        <v>-1.6</v>
      </c>
      <c r="K383" s="47">
        <f t="shared" si="26"/>
        <v>-0.18333333333333332</v>
      </c>
      <c r="L383" s="8">
        <v>-0.53</v>
      </c>
      <c r="O383" s="17">
        <f t="shared" si="27"/>
        <v>0</v>
      </c>
      <c r="P383" s="17">
        <f t="shared" si="28"/>
        <v>0</v>
      </c>
      <c r="Q383" s="17"/>
      <c r="R383" s="9">
        <v>20220531</v>
      </c>
      <c r="S383" s="9">
        <v>5.72</v>
      </c>
      <c r="U383" s="9">
        <v>474.83999</v>
      </c>
      <c r="V383" s="45">
        <f t="shared" si="29"/>
        <v>-1</v>
      </c>
      <c r="W383" s="12">
        <v>-31.25</v>
      </c>
      <c r="X383" s="12">
        <v>0</v>
      </c>
      <c r="Y383" s="62"/>
    </row>
    <row r="384" spans="1:25" x14ac:dyDescent="0.2">
      <c r="A384" s="3" t="s">
        <v>2693</v>
      </c>
      <c r="B384" s="3" t="s">
        <v>649</v>
      </c>
      <c r="C384" s="6" t="s">
        <v>355</v>
      </c>
      <c r="D384" s="6" t="s">
        <v>240</v>
      </c>
      <c r="E384" s="6" t="s">
        <v>237</v>
      </c>
      <c r="F384" s="6">
        <v>13695.11</v>
      </c>
      <c r="G384" s="2">
        <v>12</v>
      </c>
      <c r="H384" s="61">
        <v>6.36</v>
      </c>
      <c r="I384" s="61">
        <v>7.29</v>
      </c>
      <c r="J384" s="47">
        <f t="shared" si="25"/>
        <v>-0.47</v>
      </c>
      <c r="K384" s="47">
        <f t="shared" si="26"/>
        <v>0.14622641509433956</v>
      </c>
      <c r="L384" s="8">
        <v>6.16</v>
      </c>
      <c r="M384" s="8">
        <v>15.2</v>
      </c>
      <c r="N384" s="8">
        <v>14.77</v>
      </c>
      <c r="O384" s="17">
        <f t="shared" si="27"/>
        <v>-0.3234042553191489</v>
      </c>
      <c r="P384" s="17">
        <f t="shared" si="28"/>
        <v>1.0100774193548392</v>
      </c>
      <c r="Q384" s="17">
        <v>17.48</v>
      </c>
      <c r="R384" s="9">
        <v>20220726</v>
      </c>
      <c r="S384" s="9">
        <v>47.22</v>
      </c>
      <c r="T384" s="9">
        <v>8.48</v>
      </c>
      <c r="U384" s="9">
        <v>26275.0625</v>
      </c>
      <c r="V384" s="45">
        <f t="shared" si="29"/>
        <v>-0.9996772605203128</v>
      </c>
      <c r="W384" s="12">
        <v>33.119999999999997</v>
      </c>
      <c r="X384" s="12">
        <v>2.04</v>
      </c>
      <c r="Y384" s="62">
        <v>1.64</v>
      </c>
    </row>
    <row r="385" spans="1:25" x14ac:dyDescent="0.2">
      <c r="A385" s="3" t="s">
        <v>2694</v>
      </c>
      <c r="B385" s="3" t="s">
        <v>2695</v>
      </c>
      <c r="C385" s="6" t="s">
        <v>354</v>
      </c>
      <c r="D385" s="6" t="s">
        <v>139</v>
      </c>
      <c r="E385" s="6" t="s">
        <v>250</v>
      </c>
      <c r="F385" s="6">
        <v>33411.32</v>
      </c>
      <c r="G385" s="2">
        <v>12</v>
      </c>
      <c r="H385" s="61"/>
      <c r="I385" s="61">
        <v>0.17</v>
      </c>
      <c r="J385" s="47">
        <f t="shared" si="25"/>
        <v>-1</v>
      </c>
      <c r="K385" s="47" t="e">
        <f t="shared" si="26"/>
        <v>#DIV/0!</v>
      </c>
      <c r="M385" s="8">
        <v>26.1</v>
      </c>
      <c r="N385" s="8">
        <v>261.02999999999997</v>
      </c>
      <c r="O385" s="17">
        <f t="shared" si="27"/>
        <v>-0.26100000000000001</v>
      </c>
      <c r="P385" s="17" t="e">
        <f t="shared" si="28"/>
        <v>#DIV/0!</v>
      </c>
      <c r="Q385" s="17"/>
      <c r="R385" s="9">
        <v>20220729</v>
      </c>
      <c r="S385" s="9">
        <v>9.31</v>
      </c>
      <c r="T385" s="9">
        <v>-0.11</v>
      </c>
      <c r="V385" s="45" t="e">
        <f t="shared" si="29"/>
        <v>#DIV/0!</v>
      </c>
      <c r="X385" s="12">
        <v>2.79</v>
      </c>
      <c r="Y385" s="62"/>
    </row>
    <row r="386" spans="1:25" x14ac:dyDescent="0.2">
      <c r="A386" s="3" t="s">
        <v>2696</v>
      </c>
      <c r="B386" s="3" t="s">
        <v>650</v>
      </c>
      <c r="C386" s="6" t="s">
        <v>355</v>
      </c>
      <c r="D386" s="6" t="s">
        <v>593</v>
      </c>
      <c r="E386" s="6" t="s">
        <v>146</v>
      </c>
      <c r="F386" s="6">
        <v>84405.86</v>
      </c>
      <c r="G386" s="2">
        <v>12</v>
      </c>
      <c r="H386" s="61">
        <v>22.59</v>
      </c>
      <c r="I386" s="61">
        <v>29.72</v>
      </c>
      <c r="J386" s="47">
        <f t="shared" si="25"/>
        <v>0.88249999999999995</v>
      </c>
      <c r="K386" s="47">
        <f t="shared" si="26"/>
        <v>0.315626383355467</v>
      </c>
      <c r="L386" s="8">
        <v>35.42</v>
      </c>
      <c r="M386" s="8">
        <v>18.21</v>
      </c>
      <c r="N386" s="8">
        <v>16.920000000000002</v>
      </c>
      <c r="O386" s="17">
        <f t="shared" si="27"/>
        <v>0.20634560906515581</v>
      </c>
      <c r="P386" s="17">
        <f t="shared" si="28"/>
        <v>0.53607685834502106</v>
      </c>
      <c r="Q386" s="17">
        <v>14.19</v>
      </c>
      <c r="R386" s="9">
        <v>20220729</v>
      </c>
      <c r="S386" s="9">
        <v>25.34</v>
      </c>
      <c r="T386" s="9">
        <v>5.36</v>
      </c>
      <c r="U386" s="9">
        <v>54129.253900000003</v>
      </c>
      <c r="V386" s="45">
        <f t="shared" si="29"/>
        <v>-0.99990097775945885</v>
      </c>
      <c r="W386" s="12">
        <v>6.81</v>
      </c>
      <c r="X386" s="12">
        <v>0</v>
      </c>
      <c r="Y386" s="62">
        <v>0.53</v>
      </c>
    </row>
    <row r="387" spans="1:25" x14ac:dyDescent="0.2">
      <c r="A387" s="3" t="s">
        <v>2697</v>
      </c>
      <c r="B387" s="3" t="s">
        <v>651</v>
      </c>
      <c r="C387" s="6" t="s">
        <v>354</v>
      </c>
      <c r="D387" s="6" t="s">
        <v>136</v>
      </c>
      <c r="E387" s="6" t="s">
        <v>154</v>
      </c>
      <c r="F387" s="6">
        <v>10739.12</v>
      </c>
      <c r="G387" s="2">
        <v>1</v>
      </c>
      <c r="H387" s="61">
        <v>-0.08</v>
      </c>
      <c r="I387" s="61">
        <v>-0.43</v>
      </c>
      <c r="J387" s="47">
        <f t="shared" ref="J387:J450" si="30">(H387-G387)/ABS(G387)</f>
        <v>-1.08</v>
      </c>
      <c r="K387" s="47">
        <f t="shared" ref="K387:K450" si="31">(I387-H387)/ABS(H387)</f>
        <v>-4.375</v>
      </c>
      <c r="L387" s="8">
        <v>-0.16</v>
      </c>
      <c r="O387" s="17">
        <f t="shared" ref="O387:O450" si="32">M387/(J387*100)</f>
        <v>0</v>
      </c>
      <c r="P387" s="17">
        <f t="shared" ref="P387:P450" si="33">N387/(K387*100)</f>
        <v>0</v>
      </c>
      <c r="Q387" s="17"/>
      <c r="R387" s="9">
        <v>20220601</v>
      </c>
      <c r="S387" s="9">
        <v>-131.33000000000001</v>
      </c>
      <c r="T387" s="9">
        <v>37.840000000000003</v>
      </c>
      <c r="U387" s="9">
        <v>10514.931640000001</v>
      </c>
      <c r="V387" s="45">
        <f t="shared" ref="V387:V450" si="34">(T387-U387)/U387</f>
        <v>-0.99640130803551286</v>
      </c>
      <c r="W387" s="12">
        <v>-57.14</v>
      </c>
      <c r="X387" s="12">
        <v>0</v>
      </c>
      <c r="Y387" s="62"/>
    </row>
    <row r="388" spans="1:25" x14ac:dyDescent="0.2">
      <c r="A388" s="3" t="s">
        <v>2698</v>
      </c>
      <c r="B388" s="3" t="s">
        <v>652</v>
      </c>
      <c r="C388" s="6" t="s">
        <v>355</v>
      </c>
      <c r="D388" s="6" t="s">
        <v>145</v>
      </c>
      <c r="E388" s="6" t="s">
        <v>140</v>
      </c>
      <c r="F388" s="6">
        <v>4592.79</v>
      </c>
      <c r="G388" s="2">
        <v>12</v>
      </c>
      <c r="H388" s="61">
        <v>0.56000000000000005</v>
      </c>
      <c r="I388" s="61">
        <v>1.1399999999999999</v>
      </c>
      <c r="J388" s="47">
        <f t="shared" si="30"/>
        <v>-0.95333333333333325</v>
      </c>
      <c r="K388" s="47">
        <f t="shared" si="31"/>
        <v>1.0357142857142854</v>
      </c>
      <c r="L388" s="8">
        <v>1.63</v>
      </c>
      <c r="M388" s="8">
        <v>30.51</v>
      </c>
      <c r="N388" s="8">
        <v>19.760000000000002</v>
      </c>
      <c r="O388" s="17">
        <f t="shared" si="32"/>
        <v>-0.32003496503496509</v>
      </c>
      <c r="P388" s="17">
        <f t="shared" si="33"/>
        <v>0.19078620689655179</v>
      </c>
      <c r="Q388" s="17">
        <v>13.85</v>
      </c>
      <c r="R388" s="9">
        <v>20220727</v>
      </c>
      <c r="S388" s="9">
        <v>8.92</v>
      </c>
      <c r="T388" s="9">
        <v>32.020000000000003</v>
      </c>
      <c r="U388" s="9">
        <v>3581</v>
      </c>
      <c r="V388" s="45">
        <f t="shared" si="34"/>
        <v>-0.99105836358559063</v>
      </c>
      <c r="W388" s="12">
        <v>15.79</v>
      </c>
      <c r="X388" s="12">
        <v>1.33</v>
      </c>
      <c r="Y388" s="62"/>
    </row>
    <row r="389" spans="1:25" x14ac:dyDescent="0.2">
      <c r="A389" s="3" t="s">
        <v>2699</v>
      </c>
      <c r="B389" s="3" t="s">
        <v>653</v>
      </c>
      <c r="C389" s="6" t="s">
        <v>354</v>
      </c>
      <c r="D389" s="6" t="s">
        <v>172</v>
      </c>
      <c r="E389" s="6" t="s">
        <v>163</v>
      </c>
      <c r="F389" s="6">
        <v>85308.479999999996</v>
      </c>
      <c r="G389" s="2">
        <v>12</v>
      </c>
      <c r="H389" s="61">
        <v>20.41</v>
      </c>
      <c r="I389" s="61">
        <v>22.64</v>
      </c>
      <c r="J389" s="47">
        <f t="shared" si="30"/>
        <v>0.70083333333333331</v>
      </c>
      <c r="K389" s="47">
        <f t="shared" si="31"/>
        <v>0.10926016658500737</v>
      </c>
      <c r="L389" s="8">
        <v>25.26</v>
      </c>
      <c r="M389" s="8">
        <v>12.36</v>
      </c>
      <c r="N389" s="8">
        <v>11.88</v>
      </c>
      <c r="O389" s="17">
        <f t="shared" si="32"/>
        <v>0.1763614744351962</v>
      </c>
      <c r="P389" s="17">
        <f t="shared" si="33"/>
        <v>1.0873130044843047</v>
      </c>
      <c r="Q389" s="17">
        <v>10.64</v>
      </c>
      <c r="R389" s="9">
        <v>20220804</v>
      </c>
      <c r="S389" s="9">
        <v>15.31</v>
      </c>
      <c r="T389" s="9">
        <v>48.1</v>
      </c>
      <c r="U389" s="9">
        <v>178423.01561999999</v>
      </c>
      <c r="V389" s="45">
        <f t="shared" si="34"/>
        <v>-0.99973041594531475</v>
      </c>
      <c r="W389" s="12">
        <v>17.149999999999999</v>
      </c>
      <c r="X389" s="12">
        <v>1.67</v>
      </c>
      <c r="Y389" s="62">
        <v>1.07</v>
      </c>
    </row>
    <row r="390" spans="1:25" x14ac:dyDescent="0.2">
      <c r="A390" s="3" t="s">
        <v>2700</v>
      </c>
      <c r="B390" s="3" t="s">
        <v>1856</v>
      </c>
      <c r="C390" s="6" t="s">
        <v>356</v>
      </c>
      <c r="D390" s="6" t="s">
        <v>654</v>
      </c>
      <c r="E390" s="6" t="s">
        <v>154</v>
      </c>
      <c r="F390" s="6">
        <v>19258.03</v>
      </c>
      <c r="G390" s="2">
        <v>12</v>
      </c>
      <c r="H390" s="61">
        <v>1.92</v>
      </c>
      <c r="I390" s="61">
        <v>2.31</v>
      </c>
      <c r="J390" s="47">
        <f t="shared" si="30"/>
        <v>-0.84</v>
      </c>
      <c r="K390" s="47">
        <f t="shared" si="31"/>
        <v>0.20312500000000008</v>
      </c>
      <c r="L390" s="8">
        <v>2.67</v>
      </c>
      <c r="N390" s="8">
        <v>21.08</v>
      </c>
      <c r="O390" s="17">
        <f t="shared" si="32"/>
        <v>0</v>
      </c>
      <c r="P390" s="17">
        <f t="shared" si="33"/>
        <v>1.0377846153846149</v>
      </c>
      <c r="Q390" s="17">
        <v>18.239999999999998</v>
      </c>
      <c r="U390" s="9">
        <v>15466.41015</v>
      </c>
      <c r="V390" s="45">
        <f t="shared" si="34"/>
        <v>-1</v>
      </c>
      <c r="X390" s="12">
        <v>0.76</v>
      </c>
      <c r="Y390" s="62"/>
    </row>
    <row r="391" spans="1:25" x14ac:dyDescent="0.2">
      <c r="A391" s="3" t="s">
        <v>2701</v>
      </c>
      <c r="B391" s="3" t="s">
        <v>2702</v>
      </c>
      <c r="C391" s="6" t="s">
        <v>354</v>
      </c>
      <c r="D391" s="6" t="s">
        <v>69</v>
      </c>
      <c r="E391" s="6" t="s">
        <v>163</v>
      </c>
      <c r="F391" s="6">
        <v>9389.84</v>
      </c>
      <c r="G391" s="2">
        <v>12</v>
      </c>
      <c r="H391" s="61">
        <v>3.78</v>
      </c>
      <c r="I391" s="61">
        <v>5.98</v>
      </c>
      <c r="J391" s="47">
        <f t="shared" si="30"/>
        <v>-0.68500000000000005</v>
      </c>
      <c r="K391" s="47">
        <f t="shared" si="31"/>
        <v>0.5820105820105822</v>
      </c>
      <c r="L391" s="8">
        <v>6.26</v>
      </c>
      <c r="M391" s="8">
        <v>6.82</v>
      </c>
      <c r="N391" s="8">
        <v>6.53</v>
      </c>
      <c r="O391" s="17">
        <f t="shared" si="32"/>
        <v>-9.9562043795620447E-2</v>
      </c>
      <c r="P391" s="17">
        <f t="shared" si="33"/>
        <v>0.1121972727272727</v>
      </c>
      <c r="Q391" s="17">
        <v>6.24</v>
      </c>
      <c r="R391" s="9">
        <v>20220810</v>
      </c>
      <c r="S391" s="9">
        <v>14.28</v>
      </c>
      <c r="T391" s="9">
        <v>-2.62</v>
      </c>
      <c r="U391" s="9">
        <v>5748.6499000000003</v>
      </c>
      <c r="V391" s="45">
        <f t="shared" si="34"/>
        <v>-1.00045575918617</v>
      </c>
      <c r="W391" s="12">
        <v>64.099999999999994</v>
      </c>
      <c r="X391" s="12">
        <v>7.67</v>
      </c>
      <c r="Y391" s="62">
        <v>0.4</v>
      </c>
    </row>
    <row r="392" spans="1:25" x14ac:dyDescent="0.2">
      <c r="A392" s="3" t="s">
        <v>2703</v>
      </c>
      <c r="B392" s="3" t="s">
        <v>2704</v>
      </c>
      <c r="C392" s="6" t="s">
        <v>356</v>
      </c>
      <c r="D392" s="6" t="s">
        <v>242</v>
      </c>
      <c r="E392" s="6" t="s">
        <v>237</v>
      </c>
      <c r="F392" s="6">
        <v>27252.93</v>
      </c>
      <c r="G392" s="2">
        <v>12</v>
      </c>
      <c r="H392" s="61">
        <v>4.84</v>
      </c>
      <c r="I392" s="61">
        <v>5.22</v>
      </c>
      <c r="J392" s="47">
        <f t="shared" si="30"/>
        <v>-0.59666666666666668</v>
      </c>
      <c r="K392" s="47">
        <f t="shared" si="31"/>
        <v>7.851239669421485E-2</v>
      </c>
      <c r="L392" s="8">
        <v>2.2999999999999998</v>
      </c>
      <c r="N392" s="8">
        <v>1.64</v>
      </c>
      <c r="O392" s="17">
        <f t="shared" si="32"/>
        <v>0</v>
      </c>
      <c r="P392" s="17">
        <f t="shared" si="33"/>
        <v>0.20888421052631584</v>
      </c>
      <c r="Q392" s="17">
        <v>3.72</v>
      </c>
      <c r="U392" s="9">
        <v>62303.800779999998</v>
      </c>
      <c r="V392" s="45">
        <f t="shared" si="34"/>
        <v>-1</v>
      </c>
      <c r="X392" s="12">
        <v>0</v>
      </c>
      <c r="Y392" s="62"/>
    </row>
    <row r="393" spans="1:25" x14ac:dyDescent="0.2">
      <c r="A393" s="3" t="s">
        <v>2705</v>
      </c>
      <c r="B393" s="3" t="s">
        <v>655</v>
      </c>
      <c r="C393" s="6" t="s">
        <v>354</v>
      </c>
      <c r="D393" s="6" t="s">
        <v>656</v>
      </c>
      <c r="E393" s="6" t="s">
        <v>119</v>
      </c>
      <c r="F393" s="6">
        <v>7693.04</v>
      </c>
      <c r="G393" s="2">
        <v>10</v>
      </c>
      <c r="H393" s="61">
        <v>2.93</v>
      </c>
      <c r="I393" s="61">
        <v>3.01</v>
      </c>
      <c r="J393" s="47">
        <f t="shared" si="30"/>
        <v>-0.70700000000000007</v>
      </c>
      <c r="K393" s="47">
        <f t="shared" si="31"/>
        <v>2.7303754266211476E-2</v>
      </c>
      <c r="L393" s="8">
        <v>3.78</v>
      </c>
      <c r="M393" s="8">
        <v>17.68</v>
      </c>
      <c r="N393" s="8">
        <v>16.78</v>
      </c>
      <c r="O393" s="17">
        <f t="shared" si="32"/>
        <v>-0.25007072135785008</v>
      </c>
      <c r="P393" s="17">
        <f t="shared" si="33"/>
        <v>6.1456750000000291</v>
      </c>
      <c r="Q393" s="17">
        <v>13.36</v>
      </c>
      <c r="R393" s="9">
        <v>20220602</v>
      </c>
      <c r="S393" s="9">
        <v>13.17</v>
      </c>
      <c r="T393" s="9">
        <v>6.72</v>
      </c>
      <c r="U393" s="9">
        <v>4053.7319299999999</v>
      </c>
      <c r="V393" s="45">
        <f t="shared" si="34"/>
        <v>-0.99834226828116879</v>
      </c>
      <c r="W393" s="12">
        <v>0</v>
      </c>
      <c r="X393" s="12">
        <v>0</v>
      </c>
      <c r="Y393" s="62">
        <v>1.1200000000000001</v>
      </c>
    </row>
    <row r="394" spans="1:25" x14ac:dyDescent="0.2">
      <c r="A394" s="3" t="s">
        <v>2706</v>
      </c>
      <c r="B394" s="3" t="s">
        <v>2093</v>
      </c>
      <c r="C394" s="6" t="s">
        <v>354</v>
      </c>
      <c r="D394" s="6" t="s">
        <v>246</v>
      </c>
      <c r="E394" s="6" t="s">
        <v>250</v>
      </c>
      <c r="F394" s="6">
        <v>5525.44</v>
      </c>
      <c r="G394" s="2">
        <v>12</v>
      </c>
      <c r="H394" s="61">
        <v>0.28000000000000003</v>
      </c>
      <c r="I394" s="61"/>
      <c r="J394" s="47">
        <f t="shared" si="30"/>
        <v>-0.97666666666666668</v>
      </c>
      <c r="K394" s="47">
        <f t="shared" si="31"/>
        <v>-1</v>
      </c>
      <c r="M394" s="8">
        <v>7.88</v>
      </c>
      <c r="O394" s="17">
        <f t="shared" si="32"/>
        <v>-8.0682593856655285E-2</v>
      </c>
      <c r="P394" s="17">
        <f t="shared" si="33"/>
        <v>0</v>
      </c>
      <c r="Q394" s="17"/>
      <c r="R394" s="9">
        <v>20220608</v>
      </c>
      <c r="S394" s="9">
        <v>19.170000000000002</v>
      </c>
      <c r="T394" s="9">
        <v>-3.86</v>
      </c>
      <c r="V394" s="45" t="e">
        <f t="shared" si="34"/>
        <v>#DIV/0!</v>
      </c>
      <c r="X394" s="12">
        <v>3.35</v>
      </c>
      <c r="Y394" s="62"/>
    </row>
    <row r="395" spans="1:25" x14ac:dyDescent="0.2">
      <c r="A395" s="3" t="s">
        <v>2707</v>
      </c>
      <c r="B395" s="3" t="s">
        <v>657</v>
      </c>
      <c r="C395" s="6" t="s">
        <v>355</v>
      </c>
      <c r="D395" s="6" t="s">
        <v>213</v>
      </c>
      <c r="E395" s="6" t="s">
        <v>163</v>
      </c>
      <c r="F395" s="6">
        <v>4797.96</v>
      </c>
      <c r="G395" s="2">
        <v>12</v>
      </c>
      <c r="H395" s="61">
        <v>5.74</v>
      </c>
      <c r="I395" s="61">
        <v>7.28</v>
      </c>
      <c r="J395" s="47">
        <f t="shared" si="30"/>
        <v>-0.52166666666666661</v>
      </c>
      <c r="K395" s="47">
        <f t="shared" si="31"/>
        <v>0.26829268292682928</v>
      </c>
      <c r="L395" s="8">
        <v>7.87</v>
      </c>
      <c r="M395" s="8">
        <v>17.489999999999998</v>
      </c>
      <c r="N395" s="8">
        <v>15.72</v>
      </c>
      <c r="O395" s="17">
        <f t="shared" si="32"/>
        <v>-0.33527156549520765</v>
      </c>
      <c r="P395" s="17">
        <f t="shared" si="33"/>
        <v>0.58592727272727274</v>
      </c>
      <c r="Q395" s="17">
        <v>14.53</v>
      </c>
      <c r="R395" s="9">
        <v>20220803</v>
      </c>
      <c r="S395" s="9">
        <v>-75.86</v>
      </c>
      <c r="T395" s="9">
        <v>12.45</v>
      </c>
      <c r="U395" s="9">
        <v>4561.2997999999998</v>
      </c>
      <c r="V395" s="45">
        <f t="shared" si="34"/>
        <v>-0.997270514865083</v>
      </c>
      <c r="W395" s="12">
        <v>21.01</v>
      </c>
      <c r="X395" s="12">
        <v>0.26</v>
      </c>
      <c r="Y395" s="62"/>
    </row>
    <row r="396" spans="1:25" x14ac:dyDescent="0.2">
      <c r="A396" s="3" t="s">
        <v>2708</v>
      </c>
      <c r="B396" s="3" t="s">
        <v>1950</v>
      </c>
      <c r="C396" s="6" t="s">
        <v>355</v>
      </c>
      <c r="D396" s="6" t="s">
        <v>173</v>
      </c>
      <c r="E396" s="6" t="s">
        <v>163</v>
      </c>
      <c r="F396" s="6">
        <v>20374.740000000002</v>
      </c>
      <c r="G396" s="2">
        <v>12</v>
      </c>
      <c r="H396" s="61">
        <v>5.94</v>
      </c>
      <c r="I396" s="61">
        <v>5.75</v>
      </c>
      <c r="J396" s="47">
        <f t="shared" si="30"/>
        <v>-0.505</v>
      </c>
      <c r="K396" s="47">
        <f t="shared" si="31"/>
        <v>-3.1986531986532049E-2</v>
      </c>
      <c r="L396" s="8">
        <v>5.85</v>
      </c>
      <c r="M396" s="8">
        <v>19.190000000000001</v>
      </c>
      <c r="N396" s="8">
        <v>22.1</v>
      </c>
      <c r="O396" s="17">
        <f t="shared" si="32"/>
        <v>-0.38</v>
      </c>
      <c r="P396" s="17">
        <f t="shared" si="33"/>
        <v>-6.9091578947368291</v>
      </c>
      <c r="Q396" s="17">
        <v>21.72</v>
      </c>
      <c r="R396" s="9">
        <v>20220727</v>
      </c>
      <c r="S396" s="9">
        <v>8.7899999999999991</v>
      </c>
      <c r="T396" s="9">
        <v>14.26</v>
      </c>
      <c r="U396" s="9">
        <v>7220.6000899999999</v>
      </c>
      <c r="V396" s="45">
        <f t="shared" si="34"/>
        <v>-0.99802509489207836</v>
      </c>
      <c r="W396" s="12">
        <v>6.76</v>
      </c>
      <c r="X396" s="12">
        <v>2.17</v>
      </c>
      <c r="Y396" s="62"/>
    </row>
    <row r="397" spans="1:25" x14ac:dyDescent="0.2">
      <c r="A397" s="3" t="s">
        <v>2709</v>
      </c>
      <c r="B397" s="3" t="s">
        <v>2710</v>
      </c>
      <c r="C397" s="6" t="s">
        <v>354</v>
      </c>
      <c r="D397" s="6" t="s">
        <v>200</v>
      </c>
      <c r="E397" s="6" t="s">
        <v>218</v>
      </c>
      <c r="F397" s="6">
        <v>6310.53</v>
      </c>
      <c r="G397" s="2">
        <v>12</v>
      </c>
      <c r="H397" s="61">
        <v>6.22</v>
      </c>
      <c r="I397" s="61">
        <v>14.76</v>
      </c>
      <c r="J397" s="47">
        <f t="shared" si="30"/>
        <v>-0.48166666666666669</v>
      </c>
      <c r="K397" s="47">
        <f t="shared" si="31"/>
        <v>1.372990353697749</v>
      </c>
      <c r="L397" s="8">
        <v>16.21</v>
      </c>
      <c r="M397" s="8">
        <v>13.53</v>
      </c>
      <c r="N397" s="8">
        <v>5.03</v>
      </c>
      <c r="O397" s="17">
        <f t="shared" si="32"/>
        <v>-0.28089965397923872</v>
      </c>
      <c r="P397" s="17">
        <f t="shared" si="33"/>
        <v>3.6635362997658086E-2</v>
      </c>
      <c r="Q397" s="17">
        <v>4.58</v>
      </c>
      <c r="R397" s="9">
        <v>20220808</v>
      </c>
      <c r="S397" s="9">
        <v>7.52</v>
      </c>
      <c r="T397" s="9">
        <v>29.41</v>
      </c>
      <c r="U397" s="9">
        <v>3210.25</v>
      </c>
      <c r="V397" s="45">
        <f t="shared" si="34"/>
        <v>-0.99083871972587811</v>
      </c>
      <c r="W397" s="12">
        <v>-10.68</v>
      </c>
      <c r="X397" s="12">
        <v>2.4900000000000002</v>
      </c>
      <c r="Y397" s="62"/>
    </row>
    <row r="398" spans="1:25" x14ac:dyDescent="0.2">
      <c r="A398" s="3" t="s">
        <v>659</v>
      </c>
      <c r="B398" s="3" t="s">
        <v>660</v>
      </c>
      <c r="C398" s="6" t="s">
        <v>356</v>
      </c>
      <c r="D398" s="6" t="s">
        <v>239</v>
      </c>
      <c r="E398" s="6" t="s">
        <v>237</v>
      </c>
      <c r="F398" s="6">
        <v>27089</v>
      </c>
      <c r="G398" s="2">
        <v>3</v>
      </c>
      <c r="H398" s="61">
        <v>-0.3</v>
      </c>
      <c r="I398" s="61">
        <v>0.99</v>
      </c>
      <c r="J398" s="47">
        <f t="shared" si="30"/>
        <v>-1.0999999999999999</v>
      </c>
      <c r="K398" s="47">
        <f t="shared" si="31"/>
        <v>4.3000000000000007</v>
      </c>
      <c r="L398" s="8">
        <v>1.38</v>
      </c>
      <c r="N398" s="8">
        <v>13.28</v>
      </c>
      <c r="O398" s="17">
        <f t="shared" si="32"/>
        <v>0</v>
      </c>
      <c r="P398" s="17">
        <f t="shared" si="33"/>
        <v>3.0883720930232554E-2</v>
      </c>
      <c r="Q398" s="17">
        <v>9.5299999999999994</v>
      </c>
      <c r="R398" s="9">
        <v>20220729</v>
      </c>
      <c r="S398" s="9">
        <v>-1.44</v>
      </c>
      <c r="T398" s="9">
        <v>-16.88</v>
      </c>
      <c r="U398" s="9">
        <v>12416.610350000001</v>
      </c>
      <c r="V398" s="45">
        <f t="shared" si="34"/>
        <v>-1.0013594692532168</v>
      </c>
      <c r="X398" s="12">
        <v>0.6</v>
      </c>
      <c r="Y398" s="62"/>
    </row>
    <row r="399" spans="1:25" x14ac:dyDescent="0.2">
      <c r="A399" s="3" t="s">
        <v>2711</v>
      </c>
      <c r="B399" s="3" t="s">
        <v>2094</v>
      </c>
      <c r="C399" s="6" t="s">
        <v>356</v>
      </c>
      <c r="D399" s="6" t="s">
        <v>590</v>
      </c>
      <c r="E399" s="6" t="s">
        <v>589</v>
      </c>
      <c r="F399" s="6">
        <v>26956.43</v>
      </c>
      <c r="G399" s="2">
        <v>12</v>
      </c>
      <c r="H399" s="61"/>
      <c r="I399" s="61"/>
      <c r="J399" s="47">
        <f t="shared" si="30"/>
        <v>-1</v>
      </c>
      <c r="K399" s="47" t="e">
        <f t="shared" si="31"/>
        <v>#DIV/0!</v>
      </c>
      <c r="O399" s="17">
        <f t="shared" si="32"/>
        <v>0</v>
      </c>
      <c r="P399" s="17" t="e">
        <f t="shared" si="33"/>
        <v>#DIV/0!</v>
      </c>
      <c r="Q399" s="17"/>
      <c r="V399" s="45" t="e">
        <f t="shared" si="34"/>
        <v>#DIV/0!</v>
      </c>
      <c r="X399" s="12">
        <v>5.41</v>
      </c>
      <c r="Y399" s="62"/>
    </row>
    <row r="400" spans="1:25" x14ac:dyDescent="0.2">
      <c r="A400" s="3" t="s">
        <v>2712</v>
      </c>
      <c r="B400" s="3" t="s">
        <v>661</v>
      </c>
      <c r="C400" s="6" t="s">
        <v>354</v>
      </c>
      <c r="D400" s="6" t="s">
        <v>643</v>
      </c>
      <c r="E400" s="6" t="s">
        <v>154</v>
      </c>
      <c r="F400" s="6">
        <v>65493.54</v>
      </c>
      <c r="G400" s="2">
        <v>12</v>
      </c>
      <c r="H400" s="61">
        <v>3.21</v>
      </c>
      <c r="I400" s="61">
        <v>3.08</v>
      </c>
      <c r="J400" s="47">
        <f t="shared" si="30"/>
        <v>-0.73249999999999993</v>
      </c>
      <c r="K400" s="47">
        <f t="shared" si="31"/>
        <v>-4.0498442367601216E-2</v>
      </c>
      <c r="L400" s="8">
        <v>3.38</v>
      </c>
      <c r="M400" s="8">
        <v>24.89</v>
      </c>
      <c r="N400" s="8">
        <v>25.36</v>
      </c>
      <c r="O400" s="17">
        <f t="shared" si="32"/>
        <v>-0.33979522184300343</v>
      </c>
      <c r="P400" s="17">
        <f t="shared" si="33"/>
        <v>-6.2619692307692345</v>
      </c>
      <c r="Q400" s="17">
        <v>23.1</v>
      </c>
      <c r="R400" s="9">
        <v>20220729</v>
      </c>
      <c r="S400" s="9">
        <v>296.77</v>
      </c>
      <c r="T400" s="9">
        <v>2.87</v>
      </c>
      <c r="U400" s="9">
        <v>18000.539059999999</v>
      </c>
      <c r="V400" s="45">
        <f t="shared" si="34"/>
        <v>-0.99984056033041946</v>
      </c>
      <c r="W400" s="12">
        <v>0</v>
      </c>
      <c r="X400" s="12">
        <v>2.41</v>
      </c>
      <c r="Y400" s="62">
        <v>5.23</v>
      </c>
    </row>
    <row r="401" spans="1:25" x14ac:dyDescent="0.2">
      <c r="A401" s="3" t="s">
        <v>2713</v>
      </c>
      <c r="B401" s="3" t="s">
        <v>662</v>
      </c>
      <c r="C401" s="6" t="s">
        <v>354</v>
      </c>
      <c r="D401" s="6" t="s">
        <v>197</v>
      </c>
      <c r="E401" s="6" t="s">
        <v>60</v>
      </c>
      <c r="F401" s="6">
        <v>12310.33</v>
      </c>
      <c r="G401" s="2">
        <v>12</v>
      </c>
      <c r="H401" s="61">
        <v>5.82</v>
      </c>
      <c r="I401" s="61">
        <v>5.84</v>
      </c>
      <c r="J401" s="47">
        <f t="shared" si="30"/>
        <v>-0.51500000000000001</v>
      </c>
      <c r="K401" s="47">
        <f t="shared" si="31"/>
        <v>3.4364261168384146E-3</v>
      </c>
      <c r="L401" s="8">
        <v>4.95</v>
      </c>
      <c r="M401" s="8">
        <v>3.22</v>
      </c>
      <c r="N401" s="8">
        <v>4.0199999999999996</v>
      </c>
      <c r="O401" s="17">
        <f t="shared" si="32"/>
        <v>-6.2524271844660195E-2</v>
      </c>
      <c r="P401" s="17">
        <f t="shared" si="33"/>
        <v>11.698200000000249</v>
      </c>
      <c r="Q401" s="17">
        <v>4.74</v>
      </c>
      <c r="R401" s="9">
        <v>20220728</v>
      </c>
      <c r="S401" s="9">
        <v>78.739999999999995</v>
      </c>
      <c r="T401" s="9">
        <v>61.09</v>
      </c>
      <c r="U401" s="9">
        <v>23487.009760000001</v>
      </c>
      <c r="V401" s="45">
        <f t="shared" si="34"/>
        <v>-0.997398987754327</v>
      </c>
      <c r="W401" s="12">
        <v>18.75</v>
      </c>
      <c r="X401" s="12">
        <v>0</v>
      </c>
      <c r="Y401" s="62"/>
    </row>
    <row r="402" spans="1:25" x14ac:dyDescent="0.2">
      <c r="A402" s="3" t="s">
        <v>2714</v>
      </c>
      <c r="B402" s="3" t="s">
        <v>663</v>
      </c>
      <c r="C402" s="6" t="s">
        <v>354</v>
      </c>
      <c r="D402" s="6" t="s">
        <v>272</v>
      </c>
      <c r="E402" s="6" t="s">
        <v>108</v>
      </c>
      <c r="F402" s="6">
        <v>4940.58</v>
      </c>
      <c r="G402" s="2">
        <v>12</v>
      </c>
      <c r="H402" s="61">
        <v>3.41</v>
      </c>
      <c r="I402" s="61">
        <v>4.43</v>
      </c>
      <c r="J402" s="47">
        <f t="shared" si="30"/>
        <v>-0.71583333333333332</v>
      </c>
      <c r="K402" s="47">
        <f t="shared" si="31"/>
        <v>0.29912023460410542</v>
      </c>
      <c r="L402" s="8">
        <v>4.8899999999999997</v>
      </c>
      <c r="M402" s="8">
        <v>22.41</v>
      </c>
      <c r="N402" s="8">
        <v>20.47</v>
      </c>
      <c r="O402" s="17">
        <f t="shared" si="32"/>
        <v>-0.3130616996507567</v>
      </c>
      <c r="P402" s="17">
        <f t="shared" si="33"/>
        <v>0.68434019607843166</v>
      </c>
      <c r="Q402" s="17">
        <v>18.54</v>
      </c>
      <c r="R402" s="9">
        <v>20220803</v>
      </c>
      <c r="S402" s="9">
        <v>14.82</v>
      </c>
      <c r="T402" s="9">
        <v>4.7300000000000004</v>
      </c>
      <c r="U402" s="9">
        <v>4743.5751899999996</v>
      </c>
      <c r="V402" s="45">
        <f t="shared" si="34"/>
        <v>-0.99900286180559106</v>
      </c>
      <c r="W402" s="12">
        <v>31.75</v>
      </c>
      <c r="X402" s="12">
        <v>0</v>
      </c>
      <c r="Y402" s="62"/>
    </row>
    <row r="403" spans="1:25" x14ac:dyDescent="0.2">
      <c r="A403" s="3" t="s">
        <v>2715</v>
      </c>
      <c r="B403" s="3" t="s">
        <v>1857</v>
      </c>
      <c r="C403" s="6" t="s">
        <v>356</v>
      </c>
      <c r="D403" s="6" t="s">
        <v>246</v>
      </c>
      <c r="E403" s="6" t="s">
        <v>250</v>
      </c>
      <c r="F403" s="6">
        <v>25289.77</v>
      </c>
      <c r="G403" s="2">
        <v>12</v>
      </c>
      <c r="H403" s="61"/>
      <c r="I403" s="61">
        <v>0.56999999999999995</v>
      </c>
      <c r="J403" s="47">
        <f t="shared" si="30"/>
        <v>-1</v>
      </c>
      <c r="K403" s="47" t="e">
        <f t="shared" si="31"/>
        <v>#DIV/0!</v>
      </c>
      <c r="N403" s="8">
        <v>17.559999999999999</v>
      </c>
      <c r="O403" s="17">
        <f t="shared" si="32"/>
        <v>0</v>
      </c>
      <c r="P403" s="17" t="e">
        <f t="shared" si="33"/>
        <v>#DIV/0!</v>
      </c>
      <c r="Q403" s="17"/>
      <c r="V403" s="45" t="e">
        <f t="shared" si="34"/>
        <v>#DIV/0!</v>
      </c>
      <c r="X403" s="12">
        <v>5.78</v>
      </c>
      <c r="Y403" s="62">
        <v>4.8600000000000003</v>
      </c>
    </row>
    <row r="404" spans="1:25" x14ac:dyDescent="0.2">
      <c r="A404" s="3" t="s">
        <v>2716</v>
      </c>
      <c r="B404" s="3" t="s">
        <v>664</v>
      </c>
      <c r="C404" s="6" t="s">
        <v>354</v>
      </c>
      <c r="D404" s="6" t="s">
        <v>200</v>
      </c>
      <c r="E404" s="6" t="s">
        <v>218</v>
      </c>
      <c r="F404" s="6">
        <v>23981.37</v>
      </c>
      <c r="G404" s="2">
        <v>12</v>
      </c>
      <c r="H404" s="61">
        <v>4.62</v>
      </c>
      <c r="I404" s="61">
        <v>11.68</v>
      </c>
      <c r="J404" s="47">
        <f t="shared" si="30"/>
        <v>-0.61499999999999999</v>
      </c>
      <c r="K404" s="47">
        <f t="shared" si="31"/>
        <v>1.528138528138528</v>
      </c>
      <c r="L404" s="8">
        <v>10.7</v>
      </c>
      <c r="M404" s="8">
        <v>10.09</v>
      </c>
      <c r="N404" s="8">
        <v>5.66</v>
      </c>
      <c r="O404" s="17">
        <f t="shared" si="32"/>
        <v>-0.1640650406504065</v>
      </c>
      <c r="P404" s="17">
        <f t="shared" si="33"/>
        <v>3.7038526912181305E-2</v>
      </c>
      <c r="Q404" s="17">
        <v>6.17</v>
      </c>
      <c r="R404" s="9">
        <v>20220801</v>
      </c>
      <c r="S404" s="9">
        <v>31.43</v>
      </c>
      <c r="T404" s="9">
        <v>7.74</v>
      </c>
      <c r="U404" s="9">
        <v>9829.1416000000008</v>
      </c>
      <c r="V404" s="45">
        <f t="shared" si="34"/>
        <v>-0.99921254568150697</v>
      </c>
      <c r="W404" s="12">
        <v>9.9600000000000009</v>
      </c>
      <c r="X404" s="12">
        <v>1.7</v>
      </c>
      <c r="Y404" s="62">
        <v>0.16</v>
      </c>
    </row>
    <row r="405" spans="1:25" x14ac:dyDescent="0.2">
      <c r="A405" s="3" t="s">
        <v>2717</v>
      </c>
      <c r="B405" s="3" t="s">
        <v>1858</v>
      </c>
      <c r="C405" s="6" t="s">
        <v>354</v>
      </c>
      <c r="D405" s="6" t="s">
        <v>177</v>
      </c>
      <c r="E405" s="6" t="s">
        <v>119</v>
      </c>
      <c r="F405" s="6">
        <v>9415.7000000000007</v>
      </c>
      <c r="G405" s="2">
        <v>12</v>
      </c>
      <c r="H405" s="61">
        <v>0.7</v>
      </c>
      <c r="I405" s="61">
        <v>0.9</v>
      </c>
      <c r="J405" s="47">
        <f t="shared" si="30"/>
        <v>-0.94166666666666676</v>
      </c>
      <c r="K405" s="47">
        <f t="shared" si="31"/>
        <v>0.28571428571428581</v>
      </c>
      <c r="L405" s="8">
        <v>1.03</v>
      </c>
      <c r="M405" s="8">
        <v>18.18</v>
      </c>
      <c r="N405" s="8">
        <v>15.47</v>
      </c>
      <c r="O405" s="17">
        <f t="shared" si="32"/>
        <v>-0.19306194690265485</v>
      </c>
      <c r="P405" s="17">
        <f t="shared" si="33"/>
        <v>0.54144999999999988</v>
      </c>
      <c r="Q405" s="17">
        <v>13.56</v>
      </c>
      <c r="R405" s="9">
        <v>20220804</v>
      </c>
      <c r="S405" s="9">
        <v>4.8899999999999997</v>
      </c>
      <c r="T405" s="9">
        <v>29.33</v>
      </c>
      <c r="U405" s="9">
        <v>2816.2900300000001</v>
      </c>
      <c r="V405" s="45">
        <f t="shared" si="34"/>
        <v>-0.98958558966314991</v>
      </c>
      <c r="W405" s="12">
        <v>10.53</v>
      </c>
      <c r="X405" s="12">
        <v>0</v>
      </c>
      <c r="Y405" s="62"/>
    </row>
    <row r="406" spans="1:25" x14ac:dyDescent="0.2">
      <c r="A406" s="3" t="s">
        <v>2718</v>
      </c>
      <c r="B406" s="3" t="s">
        <v>665</v>
      </c>
      <c r="C406" s="6" t="s">
        <v>354</v>
      </c>
      <c r="D406" s="6" t="s">
        <v>643</v>
      </c>
      <c r="E406" s="6" t="s">
        <v>154</v>
      </c>
      <c r="F406" s="6">
        <v>18018.91</v>
      </c>
      <c r="G406" s="2">
        <v>6</v>
      </c>
      <c r="H406" s="61">
        <v>7.17</v>
      </c>
      <c r="I406" s="61">
        <v>4.16</v>
      </c>
      <c r="J406" s="47">
        <f t="shared" si="30"/>
        <v>0.19499999999999998</v>
      </c>
      <c r="K406" s="47">
        <f t="shared" si="31"/>
        <v>-0.41980474198047418</v>
      </c>
      <c r="L406" s="8">
        <v>5.57</v>
      </c>
      <c r="M406" s="8">
        <v>35.450000000000003</v>
      </c>
      <c r="N406" s="8">
        <v>35.19</v>
      </c>
      <c r="O406" s="17">
        <f t="shared" si="32"/>
        <v>1.8179487179487184</v>
      </c>
      <c r="P406" s="17">
        <f t="shared" si="33"/>
        <v>-0.83824684385382053</v>
      </c>
      <c r="Q406" s="17">
        <v>26.31</v>
      </c>
      <c r="R406" s="9">
        <v>20220802</v>
      </c>
      <c r="S406" s="9">
        <v>92.98</v>
      </c>
      <c r="T406" s="9">
        <v>5.0999999999999996</v>
      </c>
      <c r="U406" s="9">
        <v>7177.1049800000001</v>
      </c>
      <c r="V406" s="45">
        <f t="shared" si="34"/>
        <v>-0.99928940707789393</v>
      </c>
      <c r="W406" s="12">
        <v>35.049999999999997</v>
      </c>
      <c r="X406" s="12">
        <v>3.17</v>
      </c>
      <c r="Y406" s="62">
        <v>5.03</v>
      </c>
    </row>
    <row r="407" spans="1:25" x14ac:dyDescent="0.2">
      <c r="A407" s="3" t="s">
        <v>666</v>
      </c>
      <c r="B407" s="3" t="s">
        <v>667</v>
      </c>
      <c r="C407" s="6" t="s">
        <v>354</v>
      </c>
      <c r="D407" s="6" t="s">
        <v>69</v>
      </c>
      <c r="E407" s="6" t="s">
        <v>163</v>
      </c>
      <c r="F407" s="6">
        <v>48500.67</v>
      </c>
      <c r="G407" s="2">
        <v>10</v>
      </c>
      <c r="H407" s="61">
        <v>5.8</v>
      </c>
      <c r="I407" s="61">
        <v>5.85</v>
      </c>
      <c r="J407" s="47">
        <f t="shared" si="30"/>
        <v>-0.42000000000000004</v>
      </c>
      <c r="K407" s="47">
        <f t="shared" si="31"/>
        <v>8.6206896551723842E-3</v>
      </c>
      <c r="L407" s="8">
        <v>5.93</v>
      </c>
      <c r="M407" s="8">
        <v>9.0299999999999994</v>
      </c>
      <c r="N407" s="8">
        <v>9.18</v>
      </c>
      <c r="O407" s="17">
        <f t="shared" si="32"/>
        <v>-0.21499999999999994</v>
      </c>
      <c r="P407" s="17">
        <f t="shared" si="33"/>
        <v>10.648800000000035</v>
      </c>
      <c r="Q407" s="17">
        <v>9.0500000000000007</v>
      </c>
      <c r="R407" s="9">
        <v>20220825</v>
      </c>
      <c r="S407" s="9">
        <v>16.329999999999998</v>
      </c>
      <c r="T407" s="9">
        <v>3.22</v>
      </c>
      <c r="U407" s="9">
        <v>16949.775389999999</v>
      </c>
      <c r="V407" s="45">
        <f t="shared" si="34"/>
        <v>-0.99981002698113031</v>
      </c>
      <c r="W407" s="12">
        <v>0.72</v>
      </c>
      <c r="X407" s="12">
        <v>4.7300000000000004</v>
      </c>
      <c r="Y407" s="62">
        <v>2.6</v>
      </c>
    </row>
    <row r="408" spans="1:25" x14ac:dyDescent="0.2">
      <c r="A408" s="3" t="s">
        <v>2719</v>
      </c>
      <c r="B408" s="3" t="s">
        <v>668</v>
      </c>
      <c r="C408" s="6" t="s">
        <v>354</v>
      </c>
      <c r="D408" s="6" t="s">
        <v>97</v>
      </c>
      <c r="E408" s="6" t="s">
        <v>163</v>
      </c>
      <c r="F408" s="6">
        <v>10675.27</v>
      </c>
      <c r="G408" s="2">
        <v>12</v>
      </c>
      <c r="H408" s="61">
        <v>8.2799999999999994</v>
      </c>
      <c r="I408" s="61">
        <v>7.38</v>
      </c>
      <c r="J408" s="47">
        <f t="shared" si="30"/>
        <v>-0.31000000000000005</v>
      </c>
      <c r="K408" s="47">
        <f t="shared" si="31"/>
        <v>-0.10869565217391298</v>
      </c>
      <c r="L408" s="8">
        <v>9.4499999999999993</v>
      </c>
      <c r="M408" s="8">
        <v>11.26</v>
      </c>
      <c r="N408" s="8">
        <v>11.07</v>
      </c>
      <c r="O408" s="17">
        <f t="shared" si="32"/>
        <v>-0.36322580645161279</v>
      </c>
      <c r="P408" s="17">
        <f t="shared" si="33"/>
        <v>-1.0184400000000005</v>
      </c>
      <c r="Q408" s="17">
        <v>8.64</v>
      </c>
      <c r="R408" s="9">
        <v>20220720</v>
      </c>
      <c r="S408" s="9">
        <v>13.85</v>
      </c>
      <c r="T408" s="9">
        <v>-2.34</v>
      </c>
      <c r="U408" s="9">
        <v>3248.6899400000002</v>
      </c>
      <c r="V408" s="45">
        <f t="shared" si="34"/>
        <v>-1.000720290345714</v>
      </c>
      <c r="W408" s="12">
        <v>-0.72</v>
      </c>
      <c r="X408" s="12">
        <v>3.33</v>
      </c>
      <c r="Y408" s="62">
        <v>1.79</v>
      </c>
    </row>
    <row r="409" spans="1:25" x14ac:dyDescent="0.2">
      <c r="A409" s="3" t="s">
        <v>2095</v>
      </c>
      <c r="B409" s="3" t="s">
        <v>2096</v>
      </c>
      <c r="C409" s="6" t="s">
        <v>356</v>
      </c>
      <c r="D409" s="6" t="s">
        <v>69</v>
      </c>
      <c r="E409" s="6" t="s">
        <v>163</v>
      </c>
      <c r="F409" s="6">
        <v>16681.099999999999</v>
      </c>
      <c r="G409" s="2">
        <v>12</v>
      </c>
      <c r="H409" s="61"/>
      <c r="I409" s="61"/>
      <c r="J409" s="47">
        <f t="shared" si="30"/>
        <v>-1</v>
      </c>
      <c r="K409" s="47" t="e">
        <f t="shared" si="31"/>
        <v>#DIV/0!</v>
      </c>
      <c r="O409" s="17">
        <f t="shared" si="32"/>
        <v>0</v>
      </c>
      <c r="P409" s="17" t="e">
        <f t="shared" si="33"/>
        <v>#DIV/0!</v>
      </c>
      <c r="Q409" s="17"/>
      <c r="V409" s="45" t="e">
        <f t="shared" si="34"/>
        <v>#DIV/0!</v>
      </c>
      <c r="X409" s="12">
        <v>6.56</v>
      </c>
      <c r="Y409" s="62"/>
    </row>
    <row r="410" spans="1:25" x14ac:dyDescent="0.2">
      <c r="A410" s="3" t="s">
        <v>2720</v>
      </c>
      <c r="B410" s="3" t="s">
        <v>1859</v>
      </c>
      <c r="C410" s="6" t="s">
        <v>354</v>
      </c>
      <c r="D410" s="6" t="s">
        <v>232</v>
      </c>
      <c r="E410" s="6" t="s">
        <v>60</v>
      </c>
      <c r="F410" s="6">
        <v>4916.3500000000004</v>
      </c>
      <c r="G410" s="2">
        <v>8</v>
      </c>
      <c r="H410" s="61">
        <v>3.66</v>
      </c>
      <c r="I410" s="61">
        <v>8.75</v>
      </c>
      <c r="J410" s="47">
        <f t="shared" si="30"/>
        <v>-0.54249999999999998</v>
      </c>
      <c r="K410" s="47">
        <f t="shared" si="31"/>
        <v>1.3907103825136611</v>
      </c>
      <c r="L410" s="8">
        <v>5.38</v>
      </c>
      <c r="M410" s="8">
        <v>7.43</v>
      </c>
      <c r="N410" s="8">
        <v>4.63</v>
      </c>
      <c r="O410" s="17">
        <f t="shared" si="32"/>
        <v>-0.13695852534562211</v>
      </c>
      <c r="P410" s="17">
        <f t="shared" si="33"/>
        <v>3.3292337917485267E-2</v>
      </c>
      <c r="Q410" s="17">
        <v>7.52</v>
      </c>
      <c r="R410" s="9">
        <v>20220616</v>
      </c>
      <c r="S410" s="9">
        <v>27.25</v>
      </c>
      <c r="T410" s="9">
        <v>8.7200000000000006</v>
      </c>
      <c r="U410" s="9">
        <v>8745.6777299999994</v>
      </c>
      <c r="V410" s="45">
        <f t="shared" si="34"/>
        <v>-0.99900293604804491</v>
      </c>
      <c r="W410" s="12">
        <v>19.53</v>
      </c>
      <c r="X410" s="12">
        <v>1.38</v>
      </c>
      <c r="Y410" s="62"/>
    </row>
    <row r="411" spans="1:25" x14ac:dyDescent="0.2">
      <c r="A411" s="3" t="s">
        <v>2721</v>
      </c>
      <c r="B411" s="3" t="s">
        <v>669</v>
      </c>
      <c r="C411" s="6" t="s">
        <v>355</v>
      </c>
      <c r="D411" s="6" t="s">
        <v>593</v>
      </c>
      <c r="E411" s="6" t="s">
        <v>146</v>
      </c>
      <c r="F411" s="6">
        <v>200051.44</v>
      </c>
      <c r="G411" s="2">
        <v>12</v>
      </c>
      <c r="H411" s="61">
        <v>3.21</v>
      </c>
      <c r="I411" s="61">
        <v>3.55</v>
      </c>
      <c r="J411" s="47">
        <f t="shared" si="30"/>
        <v>-0.73249999999999993</v>
      </c>
      <c r="K411" s="47">
        <f t="shared" si="31"/>
        <v>0.10591900311526475</v>
      </c>
      <c r="L411" s="8">
        <v>3.96</v>
      </c>
      <c r="M411" s="8">
        <v>13.21</v>
      </c>
      <c r="N411" s="8">
        <v>12.44</v>
      </c>
      <c r="O411" s="17">
        <f t="shared" si="32"/>
        <v>-0.18034129692832765</v>
      </c>
      <c r="P411" s="17">
        <f t="shared" si="33"/>
        <v>1.174482352941177</v>
      </c>
      <c r="Q411" s="17">
        <v>11.13</v>
      </c>
      <c r="R411" s="9">
        <v>20220804</v>
      </c>
      <c r="S411" s="9">
        <v>15.92</v>
      </c>
      <c r="T411" s="9">
        <v>7.6</v>
      </c>
      <c r="U411" s="9">
        <v>122740.54687000001</v>
      </c>
      <c r="V411" s="45">
        <f t="shared" si="34"/>
        <v>-0.99993808077123814</v>
      </c>
      <c r="W411" s="12">
        <v>7.5</v>
      </c>
      <c r="X411" s="12">
        <v>2.4500000000000002</v>
      </c>
      <c r="Y411" s="62">
        <v>0.94</v>
      </c>
    </row>
    <row r="412" spans="1:25" x14ac:dyDescent="0.2">
      <c r="A412" s="3" t="s">
        <v>2722</v>
      </c>
      <c r="B412" s="3" t="s">
        <v>670</v>
      </c>
      <c r="C412" s="6" t="s">
        <v>355</v>
      </c>
      <c r="D412" s="6" t="s">
        <v>610</v>
      </c>
      <c r="E412" s="6" t="s">
        <v>163</v>
      </c>
      <c r="F412" s="6">
        <v>70773.64</v>
      </c>
      <c r="G412" s="2">
        <v>12</v>
      </c>
      <c r="H412" s="61">
        <v>6.67</v>
      </c>
      <c r="I412" s="61">
        <v>7.87</v>
      </c>
      <c r="J412" s="47">
        <f t="shared" si="30"/>
        <v>-0.44416666666666665</v>
      </c>
      <c r="K412" s="47">
        <f t="shared" si="31"/>
        <v>0.17991004497751129</v>
      </c>
      <c r="L412" s="8">
        <v>8.36</v>
      </c>
      <c r="M412" s="8">
        <v>28.09</v>
      </c>
      <c r="N412" s="8">
        <v>25.03</v>
      </c>
      <c r="O412" s="17">
        <f t="shared" si="32"/>
        <v>-0.63242026266416518</v>
      </c>
      <c r="P412" s="17">
        <f t="shared" si="33"/>
        <v>1.3912508333333331</v>
      </c>
      <c r="Q412" s="17">
        <v>23.56</v>
      </c>
      <c r="R412" s="9">
        <v>20220727</v>
      </c>
      <c r="S412" s="9">
        <v>9.2899999999999991</v>
      </c>
      <c r="T412" s="9">
        <v>6.6</v>
      </c>
      <c r="U412" s="9">
        <v>5012.0131799999999</v>
      </c>
      <c r="V412" s="45">
        <f t="shared" si="34"/>
        <v>-0.99868316387787304</v>
      </c>
      <c r="W412" s="12">
        <v>5.5</v>
      </c>
      <c r="X412" s="12">
        <v>2.0299999999999998</v>
      </c>
      <c r="Y412" s="62">
        <v>4.08</v>
      </c>
    </row>
    <row r="413" spans="1:25" x14ac:dyDescent="0.2">
      <c r="A413" s="3" t="s">
        <v>2723</v>
      </c>
      <c r="B413" s="3" t="s">
        <v>671</v>
      </c>
      <c r="C413" s="6" t="s">
        <v>354</v>
      </c>
      <c r="D413" s="6" t="s">
        <v>223</v>
      </c>
      <c r="E413" s="6" t="s">
        <v>231</v>
      </c>
      <c r="F413" s="6">
        <v>37495.129999999997</v>
      </c>
      <c r="G413" s="2">
        <v>12</v>
      </c>
      <c r="H413" s="61">
        <v>25.02</v>
      </c>
      <c r="I413" s="61">
        <v>31.55</v>
      </c>
      <c r="J413" s="47">
        <f t="shared" si="30"/>
        <v>1.085</v>
      </c>
      <c r="K413" s="47">
        <f t="shared" si="31"/>
        <v>0.26099120703437256</v>
      </c>
      <c r="L413" s="8">
        <v>42.01</v>
      </c>
      <c r="M413" s="8">
        <v>52.05</v>
      </c>
      <c r="N413" s="8">
        <v>42.5</v>
      </c>
      <c r="O413" s="17">
        <f t="shared" si="32"/>
        <v>0.47972350230414745</v>
      </c>
      <c r="P413" s="17">
        <f t="shared" si="33"/>
        <v>1.6284073506891266</v>
      </c>
      <c r="Q413" s="17">
        <v>31.92</v>
      </c>
      <c r="R413" s="9">
        <v>20220719</v>
      </c>
      <c r="S413" s="9">
        <v>32.880000000000003</v>
      </c>
      <c r="T413" s="9">
        <v>12.94</v>
      </c>
      <c r="U413" s="9">
        <v>8789.8037100000001</v>
      </c>
      <c r="V413" s="45">
        <f t="shared" si="34"/>
        <v>-0.99852783970758308</v>
      </c>
      <c r="W413" s="12">
        <v>1.24</v>
      </c>
      <c r="X413" s="12">
        <v>0</v>
      </c>
      <c r="Y413" s="62">
        <v>1.83</v>
      </c>
    </row>
    <row r="414" spans="1:25" x14ac:dyDescent="0.2">
      <c r="A414" s="3" t="s">
        <v>2724</v>
      </c>
      <c r="B414" s="3" t="s">
        <v>2097</v>
      </c>
      <c r="C414" s="6" t="s">
        <v>356</v>
      </c>
      <c r="D414" s="6" t="s">
        <v>590</v>
      </c>
      <c r="E414" s="6" t="s">
        <v>589</v>
      </c>
      <c r="F414" s="6">
        <v>6583.19</v>
      </c>
      <c r="G414" s="2">
        <v>12</v>
      </c>
      <c r="H414" s="61"/>
      <c r="I414" s="61"/>
      <c r="J414" s="47">
        <f t="shared" si="30"/>
        <v>-1</v>
      </c>
      <c r="K414" s="47" t="e">
        <f t="shared" si="31"/>
        <v>#DIV/0!</v>
      </c>
      <c r="O414" s="17">
        <f t="shared" si="32"/>
        <v>0</v>
      </c>
      <c r="P414" s="17" t="e">
        <f t="shared" si="33"/>
        <v>#DIV/0!</v>
      </c>
      <c r="Q414" s="17"/>
      <c r="V414" s="45" t="e">
        <f t="shared" si="34"/>
        <v>#DIV/0!</v>
      </c>
      <c r="X414" s="12">
        <v>0</v>
      </c>
      <c r="Y414" s="62"/>
    </row>
    <row r="415" spans="1:25" x14ac:dyDescent="0.2">
      <c r="A415" s="3" t="s">
        <v>2725</v>
      </c>
      <c r="B415" s="3" t="s">
        <v>672</v>
      </c>
      <c r="C415" s="6" t="s">
        <v>354</v>
      </c>
      <c r="D415" s="6" t="s">
        <v>53</v>
      </c>
      <c r="E415" s="6" t="s">
        <v>35</v>
      </c>
      <c r="F415" s="6">
        <v>28720.46</v>
      </c>
      <c r="G415" s="2">
        <v>12</v>
      </c>
      <c r="H415" s="61">
        <v>15.11</v>
      </c>
      <c r="I415" s="61">
        <v>17.68</v>
      </c>
      <c r="J415" s="47">
        <f t="shared" si="30"/>
        <v>0.2591666666666666</v>
      </c>
      <c r="K415" s="47">
        <f t="shared" si="31"/>
        <v>0.17008603573792194</v>
      </c>
      <c r="L415" s="8">
        <v>20.67</v>
      </c>
      <c r="M415" s="8">
        <v>13.89</v>
      </c>
      <c r="N415" s="8">
        <v>11.52</v>
      </c>
      <c r="O415" s="17">
        <f t="shared" si="32"/>
        <v>0.53594855305466249</v>
      </c>
      <c r="P415" s="17">
        <f t="shared" si="33"/>
        <v>0.67730428015564192</v>
      </c>
      <c r="Q415" s="17">
        <v>9.85</v>
      </c>
      <c r="R415" s="9">
        <v>20220802</v>
      </c>
      <c r="S415" s="9">
        <v>23.19</v>
      </c>
      <c r="T415" s="9">
        <v>2.33</v>
      </c>
      <c r="U415" s="9">
        <v>25975.373039999999</v>
      </c>
      <c r="V415" s="45">
        <f t="shared" si="34"/>
        <v>-0.99991029965204292</v>
      </c>
      <c r="W415" s="12">
        <v>13.8</v>
      </c>
      <c r="X415" s="12">
        <v>2.85</v>
      </c>
      <c r="Y415" s="62">
        <v>1.3</v>
      </c>
    </row>
    <row r="416" spans="1:25" x14ac:dyDescent="0.2">
      <c r="A416" s="3" t="s">
        <v>2726</v>
      </c>
      <c r="B416" s="3" t="s">
        <v>673</v>
      </c>
      <c r="C416" s="6" t="s">
        <v>356</v>
      </c>
      <c r="D416" s="6" t="s">
        <v>223</v>
      </c>
      <c r="E416" s="6" t="s">
        <v>231</v>
      </c>
      <c r="F416" s="6">
        <v>40707.57</v>
      </c>
      <c r="G416" s="2">
        <v>9</v>
      </c>
      <c r="H416" s="61">
        <v>0.37</v>
      </c>
      <c r="I416" s="61">
        <v>0.75</v>
      </c>
      <c r="J416" s="47">
        <f t="shared" si="30"/>
        <v>-0.95888888888888901</v>
      </c>
      <c r="K416" s="47">
        <f t="shared" si="31"/>
        <v>1.027027027027027</v>
      </c>
      <c r="L416" s="8">
        <v>1.01</v>
      </c>
      <c r="N416" s="8">
        <v>30.29</v>
      </c>
      <c r="O416" s="17">
        <f t="shared" si="32"/>
        <v>0</v>
      </c>
      <c r="P416" s="17">
        <f t="shared" si="33"/>
        <v>0.29492894736842107</v>
      </c>
      <c r="Q416" s="17">
        <v>22.59</v>
      </c>
      <c r="U416" s="9">
        <v>31248.974600000001</v>
      </c>
      <c r="V416" s="45">
        <f t="shared" si="34"/>
        <v>-1</v>
      </c>
      <c r="X416" s="12">
        <v>0.73</v>
      </c>
      <c r="Y416" s="62">
        <v>0.7</v>
      </c>
    </row>
    <row r="417" spans="1:25" x14ac:dyDescent="0.2">
      <c r="A417" s="3" t="s">
        <v>2727</v>
      </c>
      <c r="B417" s="3" t="s">
        <v>674</v>
      </c>
      <c r="C417" s="6" t="s">
        <v>354</v>
      </c>
      <c r="D417" s="6" t="s">
        <v>246</v>
      </c>
      <c r="E417" s="6" t="s">
        <v>250</v>
      </c>
      <c r="F417" s="6">
        <v>20544.04</v>
      </c>
      <c r="G417" s="2">
        <v>12</v>
      </c>
      <c r="H417" s="61">
        <v>2.65</v>
      </c>
      <c r="I417" s="61">
        <v>2.88</v>
      </c>
      <c r="J417" s="47">
        <f t="shared" si="30"/>
        <v>-0.77916666666666667</v>
      </c>
      <c r="K417" s="47">
        <f t="shared" si="31"/>
        <v>8.6792452830188674E-2</v>
      </c>
      <c r="L417" s="8">
        <v>3.11</v>
      </c>
      <c r="M417" s="8">
        <v>25.66</v>
      </c>
      <c r="N417" s="8">
        <v>24.59</v>
      </c>
      <c r="O417" s="17">
        <f t="shared" si="32"/>
        <v>-0.32932620320855616</v>
      </c>
      <c r="P417" s="17">
        <f t="shared" si="33"/>
        <v>2.8331956521739134</v>
      </c>
      <c r="Q417" s="17">
        <v>22.77</v>
      </c>
      <c r="R417" s="9">
        <v>20220804</v>
      </c>
      <c r="S417" s="9">
        <v>11.83</v>
      </c>
      <c r="T417" s="9">
        <v>2.08</v>
      </c>
      <c r="U417" s="9">
        <v>7845.8032199999998</v>
      </c>
      <c r="V417" s="45">
        <f t="shared" si="34"/>
        <v>-0.99973489011364725</v>
      </c>
      <c r="W417" s="12">
        <v>6.19</v>
      </c>
      <c r="X417" s="12">
        <v>2.6</v>
      </c>
      <c r="Y417" s="62">
        <v>2.92</v>
      </c>
    </row>
    <row r="418" spans="1:25" x14ac:dyDescent="0.2">
      <c r="A418" s="3" t="s">
        <v>2728</v>
      </c>
      <c r="B418" s="3" t="s">
        <v>675</v>
      </c>
      <c r="C418" s="6" t="s">
        <v>356</v>
      </c>
      <c r="D418" s="6" t="s">
        <v>69</v>
      </c>
      <c r="E418" s="6" t="s">
        <v>163</v>
      </c>
      <c r="F418" s="6">
        <v>128832.56</v>
      </c>
      <c r="G418" s="2">
        <v>6</v>
      </c>
      <c r="H418" s="61">
        <v>3.76</v>
      </c>
      <c r="I418" s="61">
        <v>3.78</v>
      </c>
      <c r="J418" s="47">
        <f t="shared" si="30"/>
        <v>-0.37333333333333335</v>
      </c>
      <c r="K418" s="47">
        <f t="shared" si="31"/>
        <v>5.3191489361702178E-3</v>
      </c>
      <c r="L418" s="8">
        <v>3.91</v>
      </c>
      <c r="N418" s="8">
        <v>20</v>
      </c>
      <c r="O418" s="17">
        <f t="shared" si="32"/>
        <v>0</v>
      </c>
      <c r="P418" s="17">
        <f t="shared" si="33"/>
        <v>37.599999999999959</v>
      </c>
      <c r="Q418" s="17">
        <v>19.28</v>
      </c>
      <c r="U418" s="9">
        <v>17326.429680000001</v>
      </c>
      <c r="V418" s="45">
        <f t="shared" si="34"/>
        <v>-1</v>
      </c>
      <c r="X418" s="12">
        <v>3.43</v>
      </c>
      <c r="Y418" s="62">
        <v>3.05</v>
      </c>
    </row>
    <row r="419" spans="1:25" x14ac:dyDescent="0.2">
      <c r="A419" s="3" t="s">
        <v>2729</v>
      </c>
      <c r="B419" s="3" t="s">
        <v>676</v>
      </c>
      <c r="C419" s="6" t="s">
        <v>354</v>
      </c>
      <c r="D419" s="6" t="s">
        <v>173</v>
      </c>
      <c r="E419" s="6" t="s">
        <v>163</v>
      </c>
      <c r="F419" s="6">
        <v>12425.99</v>
      </c>
      <c r="G419" s="2">
        <v>12</v>
      </c>
      <c r="H419" s="61">
        <v>4.03</v>
      </c>
      <c r="I419" s="61">
        <v>4.05</v>
      </c>
      <c r="J419" s="47">
        <f t="shared" si="30"/>
        <v>-0.66416666666666668</v>
      </c>
      <c r="K419" s="47">
        <f t="shared" si="31"/>
        <v>4.9627791563274376E-3</v>
      </c>
      <c r="L419" s="8">
        <v>4.43</v>
      </c>
      <c r="M419" s="8">
        <v>10.78</v>
      </c>
      <c r="N419" s="8">
        <v>11.31</v>
      </c>
      <c r="O419" s="17">
        <f t="shared" si="32"/>
        <v>-0.16230865746549558</v>
      </c>
      <c r="P419" s="17">
        <f t="shared" si="33"/>
        <v>22.789650000000488</v>
      </c>
      <c r="Q419" s="17">
        <v>10.35</v>
      </c>
      <c r="R419" s="9">
        <v>20220801</v>
      </c>
      <c r="S419" s="9">
        <v>9.4700000000000006</v>
      </c>
      <c r="T419" s="9">
        <v>4.9800000000000004</v>
      </c>
      <c r="U419" s="9">
        <v>10475</v>
      </c>
      <c r="V419" s="45">
        <f t="shared" si="34"/>
        <v>-0.99952458233890218</v>
      </c>
      <c r="W419" s="12">
        <v>-0.85</v>
      </c>
      <c r="X419" s="12">
        <v>3.49</v>
      </c>
      <c r="Y419" s="62">
        <v>2.2599999999999998</v>
      </c>
    </row>
    <row r="420" spans="1:25" x14ac:dyDescent="0.2">
      <c r="A420" s="3" t="s">
        <v>2730</v>
      </c>
      <c r="B420" s="3" t="s">
        <v>677</v>
      </c>
      <c r="C420" s="6" t="s">
        <v>354</v>
      </c>
      <c r="D420" s="6" t="s">
        <v>189</v>
      </c>
      <c r="E420" s="6" t="s">
        <v>208</v>
      </c>
      <c r="F420" s="6">
        <v>47896.39</v>
      </c>
      <c r="G420" s="2">
        <v>12</v>
      </c>
      <c r="H420" s="61">
        <v>5.1100000000000003</v>
      </c>
      <c r="I420" s="61">
        <v>5.49</v>
      </c>
      <c r="J420" s="47">
        <f t="shared" si="30"/>
        <v>-0.5741666666666666</v>
      </c>
      <c r="K420" s="47">
        <f t="shared" si="31"/>
        <v>7.4363992172211318E-2</v>
      </c>
      <c r="L420" s="8">
        <v>6.28</v>
      </c>
      <c r="M420" s="8">
        <v>15.31</v>
      </c>
      <c r="N420" s="8">
        <v>14.91</v>
      </c>
      <c r="O420" s="17">
        <f t="shared" si="32"/>
        <v>-0.2666473149492018</v>
      </c>
      <c r="P420" s="17">
        <f t="shared" si="33"/>
        <v>2.0050026315789484</v>
      </c>
      <c r="Q420" s="17">
        <v>13.03</v>
      </c>
      <c r="R420" s="9">
        <v>20220726</v>
      </c>
      <c r="S420" s="9">
        <v>11.82</v>
      </c>
      <c r="T420" s="9">
        <v>28.13</v>
      </c>
      <c r="U420" s="9">
        <v>141550.60936999999</v>
      </c>
      <c r="V420" s="45">
        <f t="shared" si="34"/>
        <v>-0.9998012724909825</v>
      </c>
      <c r="W420" s="12">
        <v>8.93</v>
      </c>
      <c r="X420" s="12">
        <v>0</v>
      </c>
      <c r="Y420" s="62">
        <v>1.05</v>
      </c>
    </row>
    <row r="421" spans="1:25" x14ac:dyDescent="0.2">
      <c r="A421" s="3" t="s">
        <v>2731</v>
      </c>
      <c r="B421" s="3" t="s">
        <v>678</v>
      </c>
      <c r="C421" s="6" t="s">
        <v>354</v>
      </c>
      <c r="D421" s="6" t="s">
        <v>46</v>
      </c>
      <c r="E421" s="6" t="s">
        <v>35</v>
      </c>
      <c r="F421" s="6">
        <v>19798.72</v>
      </c>
      <c r="G421" s="2">
        <v>12</v>
      </c>
      <c r="H421" s="61">
        <v>1.32</v>
      </c>
      <c r="I421" s="61">
        <v>1.36</v>
      </c>
      <c r="J421" s="47">
        <f t="shared" si="30"/>
        <v>-0.89</v>
      </c>
      <c r="K421" s="47">
        <f t="shared" si="31"/>
        <v>3.0303030303030328E-2</v>
      </c>
      <c r="L421" s="8">
        <v>1.54</v>
      </c>
      <c r="M421" s="8">
        <v>11.15</v>
      </c>
      <c r="N421" s="8">
        <v>10.77</v>
      </c>
      <c r="O421" s="17">
        <f t="shared" si="32"/>
        <v>-0.12528089887640451</v>
      </c>
      <c r="P421" s="17">
        <f t="shared" si="33"/>
        <v>3.5540999999999969</v>
      </c>
      <c r="Q421" s="17">
        <v>9.4700000000000006</v>
      </c>
      <c r="R421" s="9">
        <v>20220729</v>
      </c>
      <c r="S421" s="9">
        <v>28.9</v>
      </c>
      <c r="T421" s="9">
        <v>2.37</v>
      </c>
      <c r="U421" s="9">
        <v>22106.056639999999</v>
      </c>
      <c r="V421" s="45">
        <f t="shared" si="34"/>
        <v>-0.9998927895626708</v>
      </c>
      <c r="W421" s="12">
        <v>12</v>
      </c>
      <c r="X421" s="12">
        <v>0</v>
      </c>
      <c r="Y421" s="62"/>
    </row>
    <row r="422" spans="1:25" x14ac:dyDescent="0.2">
      <c r="A422" s="3" t="s">
        <v>2732</v>
      </c>
      <c r="B422" s="3" t="s">
        <v>679</v>
      </c>
      <c r="C422" s="6" t="s">
        <v>354</v>
      </c>
      <c r="D422" s="6" t="s">
        <v>239</v>
      </c>
      <c r="E422" s="6" t="s">
        <v>237</v>
      </c>
      <c r="F422" s="6">
        <v>77906.23</v>
      </c>
      <c r="G422" s="2">
        <v>12</v>
      </c>
      <c r="H422" s="61">
        <v>4.57</v>
      </c>
      <c r="I422" s="61">
        <v>5.54</v>
      </c>
      <c r="J422" s="47">
        <f t="shared" si="30"/>
        <v>-0.61916666666666664</v>
      </c>
      <c r="K422" s="47">
        <f t="shared" si="31"/>
        <v>0.21225382932166295</v>
      </c>
      <c r="L422" s="8">
        <v>6.23</v>
      </c>
      <c r="M422" s="8">
        <v>23.35</v>
      </c>
      <c r="N422" s="8">
        <v>20.3</v>
      </c>
      <c r="O422" s="17">
        <f t="shared" si="32"/>
        <v>-0.3771197846567968</v>
      </c>
      <c r="P422" s="17">
        <f t="shared" si="33"/>
        <v>0.95640206185567045</v>
      </c>
      <c r="Q422" s="17">
        <v>18.059999999999999</v>
      </c>
      <c r="R422" s="9">
        <v>20220726</v>
      </c>
      <c r="S422" s="9">
        <v>19.71</v>
      </c>
      <c r="T422" s="9">
        <v>2.48</v>
      </c>
      <c r="U422" s="9">
        <v>12392.47558</v>
      </c>
      <c r="V422" s="45">
        <f t="shared" si="34"/>
        <v>-0.99979987856469921</v>
      </c>
      <c r="W422" s="12">
        <v>-3.7</v>
      </c>
      <c r="X422" s="12">
        <v>2.04</v>
      </c>
      <c r="Y422" s="62">
        <v>1.92</v>
      </c>
    </row>
    <row r="423" spans="1:25" x14ac:dyDescent="0.2">
      <c r="A423" s="3" t="s">
        <v>2733</v>
      </c>
      <c r="B423" s="3" t="s">
        <v>2734</v>
      </c>
      <c r="C423" s="6" t="s">
        <v>354</v>
      </c>
      <c r="D423" s="6" t="s">
        <v>272</v>
      </c>
      <c r="E423" s="6" t="s">
        <v>108</v>
      </c>
      <c r="F423" s="6">
        <v>6025.05</v>
      </c>
      <c r="G423" s="2">
        <v>1</v>
      </c>
      <c r="H423" s="61">
        <v>1.0900000000000001</v>
      </c>
      <c r="I423" s="61">
        <v>1.27</v>
      </c>
      <c r="J423" s="47">
        <f t="shared" si="30"/>
        <v>9.000000000000008E-2</v>
      </c>
      <c r="K423" s="47">
        <f t="shared" si="31"/>
        <v>0.16513761467889901</v>
      </c>
      <c r="L423" s="8">
        <v>1.22</v>
      </c>
      <c r="N423" s="8">
        <v>19.34</v>
      </c>
      <c r="O423" s="17">
        <f t="shared" si="32"/>
        <v>0</v>
      </c>
      <c r="P423" s="17">
        <f t="shared" si="33"/>
        <v>1.171144444444445</v>
      </c>
      <c r="Q423" s="17">
        <v>20.170000000000002</v>
      </c>
      <c r="R423" s="9">
        <v>20220629</v>
      </c>
      <c r="U423" s="9">
        <v>5502.9848599999996</v>
      </c>
      <c r="V423" s="45">
        <f t="shared" si="34"/>
        <v>-1</v>
      </c>
      <c r="W423" s="12">
        <v>25</v>
      </c>
      <c r="X423" s="12">
        <v>0</v>
      </c>
      <c r="Y423" s="62">
        <v>2.16</v>
      </c>
    </row>
    <row r="424" spans="1:25" x14ac:dyDescent="0.2">
      <c r="A424" s="3" t="s">
        <v>2735</v>
      </c>
      <c r="B424" s="3" t="s">
        <v>680</v>
      </c>
      <c r="C424" s="6" t="s">
        <v>354</v>
      </c>
      <c r="D424" s="6" t="s">
        <v>186</v>
      </c>
      <c r="E424" s="6" t="s">
        <v>208</v>
      </c>
      <c r="F424" s="6">
        <v>3413.21</v>
      </c>
      <c r="G424" s="2">
        <v>12</v>
      </c>
      <c r="H424" s="61">
        <v>3.19</v>
      </c>
      <c r="I424" s="61">
        <v>3.56</v>
      </c>
      <c r="J424" s="47">
        <f t="shared" si="30"/>
        <v>-0.73416666666666675</v>
      </c>
      <c r="K424" s="47">
        <f t="shared" si="31"/>
        <v>0.11598746081504706</v>
      </c>
      <c r="L424" s="8">
        <v>4.04</v>
      </c>
      <c r="M424" s="8">
        <v>35.24</v>
      </c>
      <c r="N424" s="8">
        <v>32.47</v>
      </c>
      <c r="O424" s="17">
        <f t="shared" si="32"/>
        <v>-0.48</v>
      </c>
      <c r="P424" s="17">
        <f t="shared" si="33"/>
        <v>2.7994405405405396</v>
      </c>
      <c r="Q424" s="17">
        <v>28.61</v>
      </c>
      <c r="R424" s="9">
        <v>20220727</v>
      </c>
      <c r="S424" s="9">
        <v>13.27</v>
      </c>
      <c r="T424" s="9">
        <v>5.12</v>
      </c>
      <c r="U424" s="9">
        <v>1123.1800499999999</v>
      </c>
      <c r="V424" s="45">
        <f t="shared" si="34"/>
        <v>-0.99544151447490548</v>
      </c>
      <c r="W424" s="12">
        <v>12.9</v>
      </c>
      <c r="X424" s="12">
        <v>0.69</v>
      </c>
      <c r="Y424" s="62">
        <v>2.64</v>
      </c>
    </row>
    <row r="425" spans="1:25" x14ac:dyDescent="0.2">
      <c r="A425" s="3" t="s">
        <v>2736</v>
      </c>
      <c r="B425" s="3" t="s">
        <v>681</v>
      </c>
      <c r="C425" s="6" t="s">
        <v>354</v>
      </c>
      <c r="D425" s="6" t="s">
        <v>246</v>
      </c>
      <c r="E425" s="6" t="s">
        <v>250</v>
      </c>
      <c r="F425" s="6">
        <v>20129.77</v>
      </c>
      <c r="G425" s="2">
        <v>12</v>
      </c>
      <c r="H425" s="61">
        <v>1.5</v>
      </c>
      <c r="I425" s="61">
        <v>1.38</v>
      </c>
      <c r="J425" s="47">
        <f t="shared" si="30"/>
        <v>-0.875</v>
      </c>
      <c r="K425" s="47">
        <f t="shared" si="31"/>
        <v>-8.0000000000000071E-2</v>
      </c>
      <c r="L425" s="8">
        <v>1.49</v>
      </c>
      <c r="M425" s="8">
        <v>21.04</v>
      </c>
      <c r="N425" s="8">
        <v>23.21</v>
      </c>
      <c r="O425" s="17">
        <f t="shared" si="32"/>
        <v>-0.24045714285714284</v>
      </c>
      <c r="P425" s="17">
        <f t="shared" si="33"/>
        <v>-2.9012499999999974</v>
      </c>
      <c r="Q425" s="17">
        <v>21.41</v>
      </c>
      <c r="R425" s="9">
        <v>20220804</v>
      </c>
      <c r="S425" s="9">
        <v>12.1</v>
      </c>
      <c r="T425" s="9">
        <v>-4.55</v>
      </c>
      <c r="U425" s="9">
        <v>8427.1035100000008</v>
      </c>
      <c r="V425" s="45">
        <f t="shared" si="34"/>
        <v>-1.0005399245416411</v>
      </c>
      <c r="W425" s="12">
        <v>-2.08</v>
      </c>
      <c r="X425" s="12">
        <v>2.13</v>
      </c>
      <c r="Y425" s="62">
        <v>5.97</v>
      </c>
    </row>
    <row r="426" spans="1:25" x14ac:dyDescent="0.2">
      <c r="A426" s="3" t="s">
        <v>682</v>
      </c>
      <c r="B426" s="3" t="s">
        <v>683</v>
      </c>
      <c r="C426" s="6" t="s">
        <v>354</v>
      </c>
      <c r="D426" s="6" t="s">
        <v>684</v>
      </c>
      <c r="E426" s="6" t="s">
        <v>218</v>
      </c>
      <c r="F426" s="6">
        <v>75973.960000000006</v>
      </c>
      <c r="G426" s="2">
        <v>12</v>
      </c>
      <c r="H426" s="61">
        <v>4.93</v>
      </c>
      <c r="I426" s="61">
        <v>8.3800000000000008</v>
      </c>
      <c r="J426" s="47">
        <f t="shared" si="30"/>
        <v>-0.58916666666666673</v>
      </c>
      <c r="K426" s="47">
        <f t="shared" si="31"/>
        <v>0.69979716024340799</v>
      </c>
      <c r="L426" s="8">
        <v>8.11</v>
      </c>
      <c r="M426" s="8">
        <v>10.210000000000001</v>
      </c>
      <c r="N426" s="8">
        <v>7.85</v>
      </c>
      <c r="O426" s="17">
        <f t="shared" si="32"/>
        <v>-0.1732956152758133</v>
      </c>
      <c r="P426" s="17">
        <f t="shared" si="33"/>
        <v>0.11217536231884052</v>
      </c>
      <c r="Q426" s="17">
        <v>8.11</v>
      </c>
      <c r="R426" s="9">
        <v>20220804</v>
      </c>
      <c r="S426" s="9">
        <v>26.32</v>
      </c>
      <c r="T426" s="9">
        <v>12.9</v>
      </c>
      <c r="U426" s="9">
        <v>32009.25</v>
      </c>
      <c r="V426" s="45">
        <f t="shared" si="34"/>
        <v>-0.99959699149464598</v>
      </c>
      <c r="W426" s="12">
        <v>16.489999999999998</v>
      </c>
      <c r="X426" s="12">
        <v>3.6</v>
      </c>
      <c r="Y426" s="62">
        <v>0.42</v>
      </c>
    </row>
    <row r="427" spans="1:25" x14ac:dyDescent="0.2">
      <c r="A427" s="3" t="s">
        <v>2737</v>
      </c>
      <c r="B427" s="3" t="s">
        <v>2738</v>
      </c>
      <c r="C427" s="6" t="s">
        <v>354</v>
      </c>
      <c r="D427" s="6" t="s">
        <v>118</v>
      </c>
      <c r="E427" s="6" t="s">
        <v>140</v>
      </c>
      <c r="F427" s="6">
        <v>3126.54</v>
      </c>
      <c r="G427" s="2">
        <v>12</v>
      </c>
      <c r="H427" s="61">
        <v>1.96</v>
      </c>
      <c r="I427" s="61">
        <v>2.73</v>
      </c>
      <c r="J427" s="47">
        <f t="shared" si="30"/>
        <v>-0.83666666666666656</v>
      </c>
      <c r="K427" s="47">
        <f t="shared" si="31"/>
        <v>0.39285714285714285</v>
      </c>
      <c r="M427" s="8">
        <v>10.02</v>
      </c>
      <c r="N427" s="8">
        <v>8.99</v>
      </c>
      <c r="O427" s="17">
        <f t="shared" si="32"/>
        <v>-0.11976095617529882</v>
      </c>
      <c r="P427" s="17">
        <f t="shared" si="33"/>
        <v>0.22883636363636364</v>
      </c>
      <c r="Q427" s="17"/>
      <c r="R427" s="9">
        <v>20220802</v>
      </c>
      <c r="S427" s="9">
        <v>30.28</v>
      </c>
      <c r="T427" s="9">
        <v>34.380000000000003</v>
      </c>
      <c r="V427" s="45" t="e">
        <f t="shared" si="34"/>
        <v>#DIV/0!</v>
      </c>
      <c r="W427" s="12">
        <v>21.67</v>
      </c>
      <c r="X427" s="12">
        <v>0</v>
      </c>
      <c r="Y427" s="62"/>
    </row>
    <row r="428" spans="1:25" x14ac:dyDescent="0.2">
      <c r="A428" s="3" t="s">
        <v>2739</v>
      </c>
      <c r="B428" s="3" t="s">
        <v>685</v>
      </c>
      <c r="C428" s="6" t="s">
        <v>354</v>
      </c>
      <c r="D428" s="6" t="s">
        <v>150</v>
      </c>
      <c r="E428" s="6" t="s">
        <v>163</v>
      </c>
      <c r="F428" s="6">
        <v>3651.48</v>
      </c>
      <c r="G428" s="2">
        <v>12</v>
      </c>
      <c r="H428" s="61"/>
      <c r="I428" s="61"/>
      <c r="J428" s="47">
        <f t="shared" si="30"/>
        <v>-1</v>
      </c>
      <c r="K428" s="47" t="e">
        <f t="shared" si="31"/>
        <v>#DIV/0!</v>
      </c>
      <c r="M428" s="8">
        <v>17.52</v>
      </c>
      <c r="O428" s="17">
        <f t="shared" si="32"/>
        <v>-0.17519999999999999</v>
      </c>
      <c r="P428" s="17" t="e">
        <f t="shared" si="33"/>
        <v>#DIV/0!</v>
      </c>
      <c r="Q428" s="17"/>
      <c r="R428" s="9">
        <v>20220720</v>
      </c>
      <c r="S428" s="9">
        <v>84.11</v>
      </c>
      <c r="T428" s="9">
        <v>9.56</v>
      </c>
      <c r="V428" s="45" t="e">
        <f t="shared" si="34"/>
        <v>#DIV/0!</v>
      </c>
      <c r="W428" s="12">
        <v>-2.4700000000000002</v>
      </c>
      <c r="X428" s="12">
        <v>2.93</v>
      </c>
      <c r="Y428" s="62"/>
    </row>
    <row r="429" spans="1:25" x14ac:dyDescent="0.2">
      <c r="A429" s="3" t="s">
        <v>2740</v>
      </c>
      <c r="B429" s="3" t="s">
        <v>2741</v>
      </c>
      <c r="C429" s="6" t="s">
        <v>356</v>
      </c>
      <c r="D429" s="6" t="s">
        <v>177</v>
      </c>
      <c r="E429" s="6" t="s">
        <v>119</v>
      </c>
      <c r="F429" s="6">
        <v>32529</v>
      </c>
      <c r="G429" s="2">
        <v>12</v>
      </c>
      <c r="H429" s="61"/>
      <c r="I429" s="61"/>
      <c r="J429" s="47">
        <f t="shared" si="30"/>
        <v>-1</v>
      </c>
      <c r="K429" s="47" t="e">
        <f t="shared" si="31"/>
        <v>#DIV/0!</v>
      </c>
      <c r="M429" s="8">
        <v>52.39</v>
      </c>
      <c r="O429" s="17">
        <f t="shared" si="32"/>
        <v>-0.52390000000000003</v>
      </c>
      <c r="P429" s="17" t="e">
        <f t="shared" si="33"/>
        <v>#DIV/0!</v>
      </c>
      <c r="Q429" s="17"/>
      <c r="R429" s="9">
        <v>20220804</v>
      </c>
      <c r="S429" s="9">
        <v>43.87</v>
      </c>
      <c r="T429" s="9">
        <v>18.170000000000002</v>
      </c>
      <c r="V429" s="45" t="e">
        <f t="shared" si="34"/>
        <v>#DIV/0!</v>
      </c>
      <c r="X429" s="12">
        <v>0.26</v>
      </c>
      <c r="Y429" s="62"/>
    </row>
    <row r="430" spans="1:25" x14ac:dyDescent="0.2">
      <c r="A430" s="3" t="s">
        <v>2742</v>
      </c>
      <c r="B430" s="3" t="s">
        <v>686</v>
      </c>
      <c r="C430" s="6" t="s">
        <v>354</v>
      </c>
      <c r="D430" s="6" t="s">
        <v>200</v>
      </c>
      <c r="E430" s="6" t="s">
        <v>218</v>
      </c>
      <c r="F430" s="6">
        <v>4367.26</v>
      </c>
      <c r="G430" s="2">
        <v>12</v>
      </c>
      <c r="H430" s="61">
        <v>1.81</v>
      </c>
      <c r="I430" s="61">
        <v>2.98</v>
      </c>
      <c r="J430" s="47">
        <f t="shared" si="30"/>
        <v>-0.84916666666666663</v>
      </c>
      <c r="K430" s="47">
        <f t="shared" si="31"/>
        <v>0.64640883977900543</v>
      </c>
      <c r="L430" s="8">
        <v>3.04</v>
      </c>
      <c r="M430" s="8">
        <v>11.08</v>
      </c>
      <c r="N430" s="8">
        <v>7.5</v>
      </c>
      <c r="O430" s="17">
        <f t="shared" si="32"/>
        <v>-0.13048086359175665</v>
      </c>
      <c r="P430" s="17">
        <f t="shared" si="33"/>
        <v>0.11602564102564104</v>
      </c>
      <c r="Q430" s="17">
        <v>7.37</v>
      </c>
      <c r="R430" s="9">
        <v>20220804</v>
      </c>
      <c r="S430" s="9">
        <v>12.51</v>
      </c>
      <c r="U430" s="9">
        <v>2472.7429099999999</v>
      </c>
      <c r="V430" s="45">
        <f t="shared" si="34"/>
        <v>-1</v>
      </c>
      <c r="W430" s="12">
        <v>31.67</v>
      </c>
      <c r="X430" s="12">
        <v>0</v>
      </c>
      <c r="Y430" s="62">
        <v>0.38</v>
      </c>
    </row>
    <row r="431" spans="1:25" x14ac:dyDescent="0.2">
      <c r="A431" s="3" t="s">
        <v>2743</v>
      </c>
      <c r="B431" s="3" t="s">
        <v>687</v>
      </c>
      <c r="C431" s="6" t="s">
        <v>355</v>
      </c>
      <c r="D431" s="6" t="s">
        <v>124</v>
      </c>
      <c r="E431" s="6" t="s">
        <v>108</v>
      </c>
      <c r="F431" s="6">
        <v>7920.21</v>
      </c>
      <c r="G431" s="2">
        <v>11</v>
      </c>
      <c r="H431" s="61">
        <v>9.84</v>
      </c>
      <c r="I431" s="61">
        <v>12.2</v>
      </c>
      <c r="J431" s="47">
        <f t="shared" si="30"/>
        <v>-0.10545454545454547</v>
      </c>
      <c r="K431" s="47">
        <f t="shared" si="31"/>
        <v>0.23983739837398368</v>
      </c>
      <c r="L431" s="8">
        <v>13.53</v>
      </c>
      <c r="M431" s="8">
        <v>14.11</v>
      </c>
      <c r="N431" s="8">
        <v>12.37</v>
      </c>
      <c r="O431" s="17">
        <f t="shared" si="32"/>
        <v>-1.3380172413793101</v>
      </c>
      <c r="P431" s="17">
        <f t="shared" si="33"/>
        <v>0.51576610169491532</v>
      </c>
      <c r="Q431" s="17">
        <v>11.15</v>
      </c>
      <c r="R431" s="9">
        <v>20220622</v>
      </c>
      <c r="S431" s="9">
        <v>20.51</v>
      </c>
      <c r="U431" s="9">
        <v>6530.3598599999996</v>
      </c>
      <c r="V431" s="45">
        <f t="shared" si="34"/>
        <v>-1</v>
      </c>
      <c r="W431" s="12">
        <v>5.56</v>
      </c>
      <c r="X431" s="12">
        <v>0.66</v>
      </c>
      <c r="Y431" s="62">
        <v>0.79</v>
      </c>
    </row>
    <row r="432" spans="1:25" x14ac:dyDescent="0.2">
      <c r="A432" s="3" t="s">
        <v>2744</v>
      </c>
      <c r="B432" s="3" t="s">
        <v>688</v>
      </c>
      <c r="C432" s="6" t="s">
        <v>354</v>
      </c>
      <c r="D432" s="6" t="s">
        <v>148</v>
      </c>
      <c r="E432" s="6" t="s">
        <v>163</v>
      </c>
      <c r="F432" s="6">
        <v>48899.43</v>
      </c>
      <c r="G432" s="2">
        <v>12</v>
      </c>
      <c r="H432" s="61">
        <v>26.64</v>
      </c>
      <c r="I432" s="61">
        <v>20.14</v>
      </c>
      <c r="J432" s="47">
        <f t="shared" si="30"/>
        <v>1.22</v>
      </c>
      <c r="K432" s="47">
        <f t="shared" si="31"/>
        <v>-0.24399399399399399</v>
      </c>
      <c r="L432" s="8">
        <v>19.420000000000002</v>
      </c>
      <c r="M432" s="8">
        <v>4.8600000000000003</v>
      </c>
      <c r="N432" s="8">
        <v>6.18</v>
      </c>
      <c r="O432" s="17">
        <f t="shared" si="32"/>
        <v>3.9836065573770493E-2</v>
      </c>
      <c r="P432" s="17">
        <f t="shared" si="33"/>
        <v>-0.25328492307692307</v>
      </c>
      <c r="Q432" s="17">
        <v>6.41</v>
      </c>
      <c r="R432" s="9">
        <v>20220728</v>
      </c>
      <c r="S432" s="9">
        <v>18.66</v>
      </c>
      <c r="T432" s="9">
        <v>2.2400000000000002</v>
      </c>
      <c r="U432" s="9">
        <v>33334.261709999999</v>
      </c>
      <c r="V432" s="45">
        <f t="shared" si="34"/>
        <v>-0.99993280187155531</v>
      </c>
      <c r="W432" s="12">
        <v>4.2699999999999996</v>
      </c>
      <c r="X432" s="12">
        <v>1.93</v>
      </c>
      <c r="Y432" s="62">
        <v>0.36</v>
      </c>
    </row>
    <row r="433" spans="1:25" x14ac:dyDescent="0.2">
      <c r="A433" s="3" t="s">
        <v>2745</v>
      </c>
      <c r="B433" s="3" t="s">
        <v>689</v>
      </c>
      <c r="C433" s="6" t="s">
        <v>355</v>
      </c>
      <c r="D433" s="6" t="s">
        <v>690</v>
      </c>
      <c r="E433" s="6" t="s">
        <v>119</v>
      </c>
      <c r="F433" s="6">
        <v>6553.46</v>
      </c>
      <c r="G433" s="2">
        <v>9</v>
      </c>
      <c r="H433" s="61">
        <v>6.2</v>
      </c>
      <c r="I433" s="61">
        <v>8.15</v>
      </c>
      <c r="J433" s="47">
        <f t="shared" si="30"/>
        <v>-0.31111111111111112</v>
      </c>
      <c r="K433" s="47">
        <f t="shared" si="31"/>
        <v>0.31451612903225806</v>
      </c>
      <c r="L433" s="8">
        <v>9.5500000000000007</v>
      </c>
      <c r="M433" s="8">
        <v>34.75</v>
      </c>
      <c r="N433" s="8">
        <v>32.409999999999997</v>
      </c>
      <c r="O433" s="17">
        <f t="shared" si="32"/>
        <v>-1.1169642857142856</v>
      </c>
      <c r="P433" s="17">
        <f t="shared" si="33"/>
        <v>1.0304717948717947</v>
      </c>
      <c r="Q433" s="17">
        <v>27.66</v>
      </c>
      <c r="R433" s="9">
        <v>20220810</v>
      </c>
      <c r="S433" s="9">
        <v>15.7</v>
      </c>
      <c r="T433" s="9">
        <v>-6.21</v>
      </c>
      <c r="U433" s="9">
        <v>1533</v>
      </c>
      <c r="V433" s="45">
        <f t="shared" si="34"/>
        <v>-1.0040508806262232</v>
      </c>
      <c r="W433" s="12">
        <v>-18.27</v>
      </c>
      <c r="X433" s="12">
        <v>0</v>
      </c>
      <c r="Y433" s="62"/>
    </row>
    <row r="434" spans="1:25" x14ac:dyDescent="0.2">
      <c r="A434" s="3" t="s">
        <v>2746</v>
      </c>
      <c r="B434" s="3" t="s">
        <v>691</v>
      </c>
      <c r="C434" s="6" t="s">
        <v>356</v>
      </c>
      <c r="D434" s="6" t="s">
        <v>128</v>
      </c>
      <c r="E434" s="6" t="s">
        <v>60</v>
      </c>
      <c r="F434" s="6">
        <v>11909.32</v>
      </c>
      <c r="G434" s="2">
        <v>12</v>
      </c>
      <c r="H434" s="61">
        <v>1.64</v>
      </c>
      <c r="I434" s="61">
        <v>1.58</v>
      </c>
      <c r="J434" s="47">
        <f t="shared" si="30"/>
        <v>-0.86333333333333329</v>
      </c>
      <c r="K434" s="47">
        <f t="shared" si="31"/>
        <v>-3.6585365853658437E-2</v>
      </c>
      <c r="L434" s="8">
        <v>1.58</v>
      </c>
      <c r="N434" s="8">
        <v>27.1</v>
      </c>
      <c r="O434" s="17">
        <f t="shared" si="32"/>
        <v>0</v>
      </c>
      <c r="P434" s="17">
        <f t="shared" si="33"/>
        <v>-7.4073333333333542</v>
      </c>
      <c r="Q434" s="17">
        <v>27.01</v>
      </c>
      <c r="U434" s="9">
        <v>2547.2648899999999</v>
      </c>
      <c r="V434" s="45">
        <f t="shared" si="34"/>
        <v>-1</v>
      </c>
      <c r="X434" s="12">
        <v>1.53</v>
      </c>
      <c r="Y434" s="62"/>
    </row>
    <row r="435" spans="1:25" x14ac:dyDescent="0.2">
      <c r="A435" s="3" t="s">
        <v>2747</v>
      </c>
      <c r="B435" s="3" t="s">
        <v>2748</v>
      </c>
      <c r="C435" s="6" t="s">
        <v>355</v>
      </c>
      <c r="D435" s="6" t="s">
        <v>610</v>
      </c>
      <c r="E435" s="6" t="s">
        <v>163</v>
      </c>
      <c r="F435" s="6">
        <v>15335.04</v>
      </c>
      <c r="G435" s="2">
        <v>12</v>
      </c>
      <c r="H435" s="61">
        <v>13.24</v>
      </c>
      <c r="I435" s="61">
        <v>-7.6</v>
      </c>
      <c r="J435" s="47">
        <f t="shared" si="30"/>
        <v>0.10333333333333335</v>
      </c>
      <c r="K435" s="47">
        <f t="shared" si="31"/>
        <v>-1.5740181268882174</v>
      </c>
      <c r="L435" s="8">
        <v>-1.96</v>
      </c>
      <c r="M435" s="8">
        <v>7.45</v>
      </c>
      <c r="O435" s="17">
        <f t="shared" si="32"/>
        <v>0.72096774193548385</v>
      </c>
      <c r="P435" s="17">
        <f t="shared" si="33"/>
        <v>0</v>
      </c>
      <c r="Q435" s="17"/>
      <c r="R435" s="9">
        <v>20220809</v>
      </c>
      <c r="S435" s="9">
        <v>42.39</v>
      </c>
      <c r="U435" s="9">
        <v>4796.36816</v>
      </c>
      <c r="V435" s="45">
        <f t="shared" si="34"/>
        <v>-1</v>
      </c>
      <c r="W435" s="12">
        <v>-665.71</v>
      </c>
      <c r="X435" s="12">
        <v>0</v>
      </c>
      <c r="Y435" s="62"/>
    </row>
    <row r="436" spans="1:25" x14ac:dyDescent="0.2">
      <c r="A436" s="3" t="s">
        <v>2098</v>
      </c>
      <c r="B436" s="3" t="s">
        <v>2099</v>
      </c>
      <c r="C436" s="6" t="s">
        <v>355</v>
      </c>
      <c r="D436" s="6" t="s">
        <v>615</v>
      </c>
      <c r="E436" s="6" t="s">
        <v>154</v>
      </c>
      <c r="F436" s="6">
        <v>5226.1099999999997</v>
      </c>
      <c r="G436" s="2">
        <v>12</v>
      </c>
      <c r="H436" s="61"/>
      <c r="I436" s="61"/>
      <c r="J436" s="47">
        <f t="shared" si="30"/>
        <v>-1</v>
      </c>
      <c r="K436" s="47" t="e">
        <f t="shared" si="31"/>
        <v>#DIV/0!</v>
      </c>
      <c r="M436" s="8">
        <v>16.39</v>
      </c>
      <c r="O436" s="17">
        <f t="shared" si="32"/>
        <v>-0.16390000000000002</v>
      </c>
      <c r="P436" s="17" t="e">
        <f t="shared" si="33"/>
        <v>#DIV/0!</v>
      </c>
      <c r="Q436" s="17"/>
      <c r="R436" s="9">
        <v>20220809</v>
      </c>
      <c r="S436" s="9">
        <v>45.51</v>
      </c>
      <c r="T436" s="9">
        <v>6.7</v>
      </c>
      <c r="V436" s="45" t="e">
        <f t="shared" si="34"/>
        <v>#DIV/0!</v>
      </c>
      <c r="X436" s="12">
        <v>0.18</v>
      </c>
      <c r="Y436" s="62"/>
    </row>
    <row r="437" spans="1:25" x14ac:dyDescent="0.2">
      <c r="A437" s="3" t="s">
        <v>2749</v>
      </c>
      <c r="B437" s="3" t="s">
        <v>692</v>
      </c>
      <c r="C437" s="6" t="s">
        <v>354</v>
      </c>
      <c r="D437" s="6" t="s">
        <v>215</v>
      </c>
      <c r="E437" s="6" t="s">
        <v>163</v>
      </c>
      <c r="F437" s="6">
        <v>7278.53</v>
      </c>
      <c r="G437" s="2">
        <v>12</v>
      </c>
      <c r="H437" s="61">
        <v>1.1399999999999999</v>
      </c>
      <c r="I437" s="61">
        <v>1.05</v>
      </c>
      <c r="J437" s="47">
        <f t="shared" si="30"/>
        <v>-0.90499999999999992</v>
      </c>
      <c r="K437" s="47">
        <f t="shared" si="31"/>
        <v>-7.8947368421052516E-2</v>
      </c>
      <c r="L437" s="8">
        <v>1.26</v>
      </c>
      <c r="M437" s="8">
        <v>24.13</v>
      </c>
      <c r="N437" s="8">
        <v>25.8</v>
      </c>
      <c r="O437" s="17">
        <f t="shared" si="32"/>
        <v>-0.26662983425414366</v>
      </c>
      <c r="P437" s="17">
        <f t="shared" si="33"/>
        <v>-3.2680000000000051</v>
      </c>
      <c r="Q437" s="17">
        <v>21.45</v>
      </c>
      <c r="R437" s="9">
        <v>20220804</v>
      </c>
      <c r="S437" s="9">
        <v>-0.84</v>
      </c>
      <c r="T437" s="9">
        <v>15</v>
      </c>
      <c r="U437" s="9">
        <v>2898.3229900000001</v>
      </c>
      <c r="V437" s="45">
        <f t="shared" si="34"/>
        <v>-0.99482459337632345</v>
      </c>
      <c r="W437" s="12">
        <v>8.33</v>
      </c>
      <c r="X437" s="12">
        <v>3.26</v>
      </c>
      <c r="Y437" s="62">
        <v>10.4</v>
      </c>
    </row>
    <row r="438" spans="1:25" x14ac:dyDescent="0.2">
      <c r="A438" s="3" t="s">
        <v>2750</v>
      </c>
      <c r="B438" s="3" t="s">
        <v>693</v>
      </c>
      <c r="C438" s="6" t="s">
        <v>355</v>
      </c>
      <c r="D438" s="6" t="s">
        <v>694</v>
      </c>
      <c r="E438" s="6" t="s">
        <v>146</v>
      </c>
      <c r="F438" s="6">
        <v>4760.43</v>
      </c>
      <c r="G438" s="2">
        <v>12</v>
      </c>
      <c r="H438" s="61">
        <v>4.7300000000000004</v>
      </c>
      <c r="I438" s="61">
        <v>5.88</v>
      </c>
      <c r="J438" s="47">
        <f t="shared" si="30"/>
        <v>-0.60583333333333333</v>
      </c>
      <c r="K438" s="47">
        <f t="shared" si="31"/>
        <v>0.24312896405919648</v>
      </c>
      <c r="L438" s="8">
        <v>6.44</v>
      </c>
      <c r="M438" s="8">
        <v>13.64</v>
      </c>
      <c r="N438" s="8">
        <v>12.87</v>
      </c>
      <c r="O438" s="17">
        <f t="shared" si="32"/>
        <v>-0.22514442916093536</v>
      </c>
      <c r="P438" s="17">
        <f t="shared" si="33"/>
        <v>0.52934869565217413</v>
      </c>
      <c r="Q438" s="17">
        <v>11.75</v>
      </c>
      <c r="R438" s="9">
        <v>20220801</v>
      </c>
      <c r="S438" s="9">
        <v>19.34</v>
      </c>
      <c r="T438" s="9">
        <v>3.83</v>
      </c>
      <c r="U438" s="9">
        <v>3667.6000899999999</v>
      </c>
      <c r="V438" s="45">
        <f t="shared" si="34"/>
        <v>-0.99895572038771552</v>
      </c>
      <c r="W438" s="12">
        <v>19.77</v>
      </c>
      <c r="X438" s="12">
        <v>1.58</v>
      </c>
      <c r="Y438" s="62">
        <v>1.53</v>
      </c>
    </row>
    <row r="439" spans="1:25" x14ac:dyDescent="0.2">
      <c r="A439" s="3" t="s">
        <v>2751</v>
      </c>
      <c r="B439" s="3" t="s">
        <v>695</v>
      </c>
      <c r="C439" s="6" t="s">
        <v>354</v>
      </c>
      <c r="D439" s="6" t="s">
        <v>186</v>
      </c>
      <c r="E439" s="6" t="s">
        <v>208</v>
      </c>
      <c r="F439" s="6">
        <v>16945.439999999999</v>
      </c>
      <c r="G439" s="2">
        <v>10</v>
      </c>
      <c r="H439" s="61">
        <v>13.33</v>
      </c>
      <c r="I439" s="61">
        <v>13.99</v>
      </c>
      <c r="J439" s="47">
        <f t="shared" si="30"/>
        <v>0.33300000000000002</v>
      </c>
      <c r="K439" s="47">
        <f t="shared" si="31"/>
        <v>4.9512378094523642E-2</v>
      </c>
      <c r="L439" s="8">
        <v>15.74</v>
      </c>
      <c r="M439" s="8">
        <v>25.82</v>
      </c>
      <c r="N439" s="8">
        <v>24.57</v>
      </c>
      <c r="O439" s="17">
        <f t="shared" si="32"/>
        <v>0.77537537537537526</v>
      </c>
      <c r="P439" s="17">
        <f t="shared" si="33"/>
        <v>4.9623954545454527</v>
      </c>
      <c r="Q439" s="17">
        <v>21.84</v>
      </c>
      <c r="R439" s="9">
        <v>20220602</v>
      </c>
      <c r="S439" s="9">
        <v>9.89</v>
      </c>
      <c r="T439" s="9">
        <v>6.17</v>
      </c>
      <c r="U439" s="9">
        <v>3305.7758699999999</v>
      </c>
      <c r="V439" s="45">
        <f t="shared" si="34"/>
        <v>-0.99813356977525514</v>
      </c>
      <c r="W439" s="12">
        <v>5.19</v>
      </c>
      <c r="X439" s="12">
        <v>0.02</v>
      </c>
      <c r="Y439" s="62">
        <v>2.23</v>
      </c>
    </row>
    <row r="440" spans="1:25" x14ac:dyDescent="0.2">
      <c r="A440" s="3" t="s">
        <v>2752</v>
      </c>
      <c r="B440" s="3" t="s">
        <v>2753</v>
      </c>
      <c r="C440" s="6" t="s">
        <v>355</v>
      </c>
      <c r="D440" s="6" t="s">
        <v>148</v>
      </c>
      <c r="E440" s="6" t="s">
        <v>163</v>
      </c>
      <c r="F440" s="6">
        <v>3231.18</v>
      </c>
      <c r="G440" s="2">
        <v>12</v>
      </c>
      <c r="H440" s="61">
        <v>8.5299999999999994</v>
      </c>
      <c r="I440" s="61">
        <v>3.52</v>
      </c>
      <c r="J440" s="47">
        <f t="shared" si="30"/>
        <v>-0.28916666666666674</v>
      </c>
      <c r="K440" s="47">
        <f t="shared" si="31"/>
        <v>-0.58733880422039864</v>
      </c>
      <c r="L440" s="8">
        <v>6.39</v>
      </c>
      <c r="M440" s="8">
        <v>6.41</v>
      </c>
      <c r="N440" s="8">
        <v>12.42</v>
      </c>
      <c r="O440" s="17">
        <f t="shared" si="32"/>
        <v>-0.22167146974063395</v>
      </c>
      <c r="P440" s="17">
        <f t="shared" si="33"/>
        <v>-0.21146227544910179</v>
      </c>
      <c r="Q440" s="17">
        <v>6.84</v>
      </c>
      <c r="R440" s="9">
        <v>20220804</v>
      </c>
      <c r="S440" s="9">
        <v>16.11</v>
      </c>
      <c r="T440" s="9">
        <v>333.02</v>
      </c>
      <c r="U440" s="9">
        <v>2412.3998999999999</v>
      </c>
      <c r="V440" s="45">
        <f t="shared" si="34"/>
        <v>-0.86195489396264691</v>
      </c>
      <c r="W440" s="12">
        <v>25</v>
      </c>
      <c r="X440" s="12">
        <v>0</v>
      </c>
      <c r="Y440" s="62"/>
    </row>
    <row r="441" spans="1:25" x14ac:dyDescent="0.2">
      <c r="A441" s="3" t="s">
        <v>696</v>
      </c>
      <c r="B441" s="3" t="s">
        <v>697</v>
      </c>
      <c r="C441" s="6" t="s">
        <v>354</v>
      </c>
      <c r="D441" s="6" t="s">
        <v>205</v>
      </c>
      <c r="E441" s="6" t="s">
        <v>218</v>
      </c>
      <c r="F441" s="6">
        <v>146353.82999999999</v>
      </c>
      <c r="G441" s="2">
        <v>12</v>
      </c>
      <c r="H441" s="61">
        <v>5.94</v>
      </c>
      <c r="I441" s="61">
        <v>14.78</v>
      </c>
      <c r="J441" s="47">
        <f t="shared" si="30"/>
        <v>-0.505</v>
      </c>
      <c r="K441" s="47">
        <f t="shared" si="31"/>
        <v>1.4882154882154881</v>
      </c>
      <c r="L441" s="8">
        <v>13.01</v>
      </c>
      <c r="M441" s="8">
        <v>13.19</v>
      </c>
      <c r="N441" s="8">
        <v>7.65</v>
      </c>
      <c r="O441" s="17">
        <f t="shared" si="32"/>
        <v>-0.2611881188118812</v>
      </c>
      <c r="P441" s="17">
        <f t="shared" si="33"/>
        <v>5.1403846153846161E-2</v>
      </c>
      <c r="Q441" s="17">
        <v>8.6999999999999993</v>
      </c>
      <c r="R441" s="9">
        <v>20220802</v>
      </c>
      <c r="S441" s="9">
        <v>24.89</v>
      </c>
      <c r="T441" s="9">
        <v>1.45</v>
      </c>
      <c r="U441" s="9">
        <v>70212.789059999996</v>
      </c>
      <c r="V441" s="45">
        <f t="shared" si="34"/>
        <v>-0.9999793484916436</v>
      </c>
      <c r="W441" s="12">
        <v>0.93</v>
      </c>
      <c r="X441" s="12">
        <v>1.63</v>
      </c>
      <c r="Y441" s="62">
        <v>0.4</v>
      </c>
    </row>
    <row r="442" spans="1:25" x14ac:dyDescent="0.2">
      <c r="A442" s="3" t="s">
        <v>2754</v>
      </c>
      <c r="B442" s="3" t="s">
        <v>698</v>
      </c>
      <c r="C442" s="6" t="s">
        <v>355</v>
      </c>
      <c r="D442" s="6" t="s">
        <v>577</v>
      </c>
      <c r="E442" s="6" t="s">
        <v>231</v>
      </c>
      <c r="F442" s="6">
        <v>206094.84</v>
      </c>
      <c r="G442" s="2">
        <v>8</v>
      </c>
      <c r="H442" s="61">
        <v>10.66</v>
      </c>
      <c r="I442" s="61">
        <v>12.94</v>
      </c>
      <c r="J442" s="47">
        <f t="shared" si="30"/>
        <v>0.33250000000000002</v>
      </c>
      <c r="K442" s="47">
        <f t="shared" si="31"/>
        <v>0.21388367729831137</v>
      </c>
      <c r="L442" s="8">
        <v>14.18</v>
      </c>
      <c r="M442" s="8">
        <v>37.08</v>
      </c>
      <c r="N442" s="8">
        <v>35.94</v>
      </c>
      <c r="O442" s="17">
        <f t="shared" si="32"/>
        <v>1.115187969924812</v>
      </c>
      <c r="P442" s="17">
        <f t="shared" si="33"/>
        <v>1.6803526315789477</v>
      </c>
      <c r="Q442" s="17">
        <v>32.79</v>
      </c>
      <c r="R442" s="9">
        <v>20220526</v>
      </c>
      <c r="S442" s="9">
        <v>30.1</v>
      </c>
      <c r="T442" s="9">
        <v>10.75</v>
      </c>
      <c r="U442" s="9">
        <v>223388.32811999999</v>
      </c>
      <c r="V442" s="45">
        <f t="shared" si="34"/>
        <v>-0.99995187752157655</v>
      </c>
      <c r="W442" s="12">
        <v>8.5500000000000007</v>
      </c>
      <c r="X442" s="12">
        <v>0.77</v>
      </c>
      <c r="Y442" s="62">
        <v>3.96</v>
      </c>
    </row>
    <row r="443" spans="1:25" x14ac:dyDescent="0.2">
      <c r="A443" s="3" t="s">
        <v>2755</v>
      </c>
      <c r="B443" s="3" t="s">
        <v>699</v>
      </c>
      <c r="C443" s="6" t="s">
        <v>354</v>
      </c>
      <c r="D443" s="6" t="s">
        <v>700</v>
      </c>
      <c r="E443" s="6" t="s">
        <v>154</v>
      </c>
      <c r="F443" s="6">
        <v>5605.8</v>
      </c>
      <c r="G443" s="2">
        <v>6</v>
      </c>
      <c r="H443" s="61">
        <v>0.06</v>
      </c>
      <c r="I443" s="61">
        <v>0.27</v>
      </c>
      <c r="J443" s="47">
        <f t="shared" si="30"/>
        <v>-0.9900000000000001</v>
      </c>
      <c r="K443" s="47">
        <f t="shared" si="31"/>
        <v>3.5000000000000004</v>
      </c>
      <c r="L443" s="8">
        <v>0.35</v>
      </c>
      <c r="M443" s="8">
        <v>35.159999999999997</v>
      </c>
      <c r="N443" s="8">
        <v>24.74</v>
      </c>
      <c r="O443" s="17">
        <f t="shared" si="32"/>
        <v>-0.35515151515151505</v>
      </c>
      <c r="P443" s="17">
        <f t="shared" si="33"/>
        <v>7.0685714285714268E-2</v>
      </c>
      <c r="Q443" s="17">
        <v>18.91</v>
      </c>
      <c r="R443" s="9">
        <v>20220825</v>
      </c>
      <c r="S443" s="9">
        <v>6.85</v>
      </c>
      <c r="T443" s="9">
        <v>-15.49</v>
      </c>
      <c r="U443" s="9">
        <v>5291.1328100000001</v>
      </c>
      <c r="V443" s="45">
        <f t="shared" si="34"/>
        <v>-1.0029275394431083</v>
      </c>
      <c r="W443" s="12">
        <v>50</v>
      </c>
      <c r="X443" s="12">
        <v>0</v>
      </c>
      <c r="Y443" s="62"/>
    </row>
    <row r="444" spans="1:25" x14ac:dyDescent="0.2">
      <c r="A444" s="3" t="s">
        <v>2756</v>
      </c>
      <c r="B444" s="3" t="s">
        <v>701</v>
      </c>
      <c r="C444" s="6" t="s">
        <v>355</v>
      </c>
      <c r="D444" s="6" t="s">
        <v>177</v>
      </c>
      <c r="E444" s="6" t="s">
        <v>119</v>
      </c>
      <c r="F444" s="6">
        <v>5210.42</v>
      </c>
      <c r="G444" s="2">
        <v>1</v>
      </c>
      <c r="H444" s="61">
        <v>0.68</v>
      </c>
      <c r="I444" s="61">
        <v>0.18</v>
      </c>
      <c r="J444" s="47">
        <f t="shared" si="30"/>
        <v>-0.31999999999999995</v>
      </c>
      <c r="K444" s="47">
        <f t="shared" si="31"/>
        <v>-0.73529411764705876</v>
      </c>
      <c r="L444" s="8">
        <v>0.62</v>
      </c>
      <c r="M444" s="8">
        <v>83.63</v>
      </c>
      <c r="N444" s="8">
        <v>383.48</v>
      </c>
      <c r="O444" s="17">
        <f t="shared" si="32"/>
        <v>-2.6134375000000003</v>
      </c>
      <c r="P444" s="17">
        <f t="shared" si="33"/>
        <v>-5.2153280000000013</v>
      </c>
      <c r="Q444" s="17">
        <v>112.5</v>
      </c>
      <c r="R444" s="9">
        <v>20220606</v>
      </c>
      <c r="S444" s="9">
        <v>-14.13</v>
      </c>
      <c r="T444" s="9">
        <v>42.44</v>
      </c>
      <c r="U444" s="9">
        <v>838.46600000000001</v>
      </c>
      <c r="V444" s="45">
        <f t="shared" si="34"/>
        <v>-0.94938375557267685</v>
      </c>
      <c r="W444" s="12">
        <v>280</v>
      </c>
      <c r="X444" s="12">
        <v>0</v>
      </c>
      <c r="Y444" s="62">
        <v>17.18</v>
      </c>
    </row>
    <row r="445" spans="1:25" x14ac:dyDescent="0.2">
      <c r="A445" s="3" t="s">
        <v>2757</v>
      </c>
      <c r="B445" s="3" t="s">
        <v>702</v>
      </c>
      <c r="C445" s="6" t="s">
        <v>356</v>
      </c>
      <c r="D445" s="6" t="s">
        <v>127</v>
      </c>
      <c r="E445" s="6" t="s">
        <v>60</v>
      </c>
      <c r="F445" s="6">
        <v>8678.5400000000009</v>
      </c>
      <c r="G445" s="2">
        <v>12</v>
      </c>
      <c r="H445" s="61">
        <v>4.8099999999999996</v>
      </c>
      <c r="I445" s="61">
        <v>2.88</v>
      </c>
      <c r="J445" s="47">
        <f t="shared" si="30"/>
        <v>-0.59916666666666674</v>
      </c>
      <c r="K445" s="47">
        <f t="shared" si="31"/>
        <v>-0.40124740124740121</v>
      </c>
      <c r="L445" s="8">
        <v>3.02</v>
      </c>
      <c r="M445" s="8">
        <v>5.79</v>
      </c>
      <c r="N445" s="8">
        <v>7.79</v>
      </c>
      <c r="O445" s="17">
        <f t="shared" si="32"/>
        <v>-9.6634214186369957E-2</v>
      </c>
      <c r="P445" s="17">
        <f t="shared" si="33"/>
        <v>-0.19414455958549223</v>
      </c>
      <c r="Q445" s="17">
        <v>7.43</v>
      </c>
      <c r="R445" s="9">
        <v>20220601</v>
      </c>
      <c r="S445" s="9">
        <v>19.36</v>
      </c>
      <c r="U445" s="9">
        <v>18674.560539999999</v>
      </c>
      <c r="V445" s="45">
        <f t="shared" si="34"/>
        <v>-1</v>
      </c>
      <c r="W445" s="12">
        <v>6.06</v>
      </c>
      <c r="X445" s="12">
        <v>5.86</v>
      </c>
      <c r="Y445" s="62">
        <v>0.23</v>
      </c>
    </row>
    <row r="446" spans="1:25" x14ac:dyDescent="0.2">
      <c r="A446" s="3" t="s">
        <v>703</v>
      </c>
      <c r="B446" s="3" t="s">
        <v>704</v>
      </c>
      <c r="C446" s="6" t="s">
        <v>354</v>
      </c>
      <c r="D446" s="6" t="s">
        <v>239</v>
      </c>
      <c r="E446" s="6" t="s">
        <v>237</v>
      </c>
      <c r="F446" s="6">
        <v>65081.84</v>
      </c>
      <c r="G446" s="2">
        <v>12</v>
      </c>
      <c r="H446" s="61">
        <v>2.97</v>
      </c>
      <c r="I446" s="61">
        <v>2.86</v>
      </c>
      <c r="J446" s="47">
        <f t="shared" si="30"/>
        <v>-0.75249999999999995</v>
      </c>
      <c r="K446" s="47">
        <f t="shared" si="31"/>
        <v>-3.7037037037037139E-2</v>
      </c>
      <c r="L446" s="8">
        <v>3.51</v>
      </c>
      <c r="M446" s="8">
        <v>25.09</v>
      </c>
      <c r="N446" s="8">
        <v>24.45</v>
      </c>
      <c r="O446" s="17">
        <f t="shared" si="32"/>
        <v>-0.33342192691029898</v>
      </c>
      <c r="P446" s="17">
        <f t="shared" si="33"/>
        <v>-6.6014999999999819</v>
      </c>
      <c r="Q446" s="17">
        <v>19.96</v>
      </c>
      <c r="R446" s="9">
        <v>20220727</v>
      </c>
      <c r="S446" s="9">
        <v>11.88</v>
      </c>
      <c r="T446" s="9">
        <v>5.2</v>
      </c>
      <c r="U446" s="9">
        <v>6735.9370099999996</v>
      </c>
      <c r="V446" s="45">
        <f t="shared" si="34"/>
        <v>-0.99922802128459931</v>
      </c>
      <c r="W446" s="12">
        <v>-12.28</v>
      </c>
      <c r="X446" s="12">
        <v>0.87</v>
      </c>
      <c r="Y446" s="62">
        <v>2.56</v>
      </c>
    </row>
    <row r="447" spans="1:25" x14ac:dyDescent="0.2">
      <c r="A447" s="3" t="s">
        <v>2758</v>
      </c>
      <c r="B447" s="3" t="s">
        <v>705</v>
      </c>
      <c r="C447" s="6" t="s">
        <v>354</v>
      </c>
      <c r="D447" s="6" t="s">
        <v>155</v>
      </c>
      <c r="E447" s="6" t="s">
        <v>154</v>
      </c>
      <c r="F447" s="6">
        <v>14451.6</v>
      </c>
      <c r="G447" s="2">
        <v>7</v>
      </c>
      <c r="H447" s="61">
        <v>2.91</v>
      </c>
      <c r="I447" s="61">
        <v>2.78</v>
      </c>
      <c r="J447" s="47">
        <f t="shared" si="30"/>
        <v>-0.5842857142857143</v>
      </c>
      <c r="K447" s="47">
        <f t="shared" si="31"/>
        <v>-4.4673539518900456E-2</v>
      </c>
      <c r="L447" s="8">
        <v>2.86</v>
      </c>
      <c r="M447" s="8">
        <v>17.739999999999998</v>
      </c>
      <c r="N447" s="8">
        <v>17.23</v>
      </c>
      <c r="O447" s="17">
        <f t="shared" si="32"/>
        <v>-0.3036185819070904</v>
      </c>
      <c r="P447" s="17">
        <f t="shared" si="33"/>
        <v>-3.8568692307692216</v>
      </c>
      <c r="Q447" s="17">
        <v>16.72</v>
      </c>
      <c r="R447" s="9">
        <v>20220608</v>
      </c>
      <c r="S447" s="9">
        <v>25.72</v>
      </c>
      <c r="T447" s="9">
        <v>1.19</v>
      </c>
      <c r="U447" s="9">
        <v>8397.4853500000008</v>
      </c>
      <c r="V447" s="45">
        <f t="shared" si="34"/>
        <v>-0.99985829091086176</v>
      </c>
      <c r="W447" s="12">
        <v>1.47</v>
      </c>
      <c r="X447" s="12">
        <v>3.09</v>
      </c>
      <c r="Y447" s="62">
        <v>10.7</v>
      </c>
    </row>
    <row r="448" spans="1:25" x14ac:dyDescent="0.2">
      <c r="A448" s="3" t="s">
        <v>2759</v>
      </c>
      <c r="B448" s="3" t="s">
        <v>706</v>
      </c>
      <c r="C448" s="6" t="s">
        <v>356</v>
      </c>
      <c r="D448" s="6" t="s">
        <v>235</v>
      </c>
      <c r="E448" s="6" t="s">
        <v>237</v>
      </c>
      <c r="F448" s="6">
        <v>3981.05</v>
      </c>
      <c r="G448" s="2">
        <v>12</v>
      </c>
      <c r="H448" s="61">
        <v>-0.57999999999999996</v>
      </c>
      <c r="I448" s="61">
        <v>-0.45</v>
      </c>
      <c r="J448" s="47">
        <f t="shared" si="30"/>
        <v>-1.0483333333333333</v>
      </c>
      <c r="K448" s="47">
        <f t="shared" si="31"/>
        <v>0.22413793103448268</v>
      </c>
      <c r="L448" s="8">
        <v>0.28999999999999998</v>
      </c>
      <c r="O448" s="17">
        <f t="shared" si="32"/>
        <v>0</v>
      </c>
      <c r="P448" s="17">
        <f t="shared" si="33"/>
        <v>0</v>
      </c>
      <c r="Q448" s="17">
        <v>17.45</v>
      </c>
      <c r="U448" s="9">
        <v>7594.3051699999996</v>
      </c>
      <c r="V448" s="45">
        <f t="shared" si="34"/>
        <v>-1</v>
      </c>
      <c r="X448" s="12">
        <v>0</v>
      </c>
      <c r="Y448" s="62"/>
    </row>
    <row r="449" spans="1:25" x14ac:dyDescent="0.2">
      <c r="A449" s="3" t="s">
        <v>2760</v>
      </c>
      <c r="B449" s="3" t="s">
        <v>2761</v>
      </c>
      <c r="C449" s="6" t="s">
        <v>354</v>
      </c>
      <c r="D449" s="6" t="s">
        <v>200</v>
      </c>
      <c r="E449" s="6" t="s">
        <v>218</v>
      </c>
      <c r="F449" s="6">
        <v>3333.1</v>
      </c>
      <c r="G449" s="2">
        <v>12</v>
      </c>
      <c r="H449" s="61">
        <v>8.8800000000000008</v>
      </c>
      <c r="I449" s="61">
        <v>16.03</v>
      </c>
      <c r="J449" s="47">
        <f t="shared" si="30"/>
        <v>-0.25999999999999995</v>
      </c>
      <c r="K449" s="47">
        <f t="shared" si="31"/>
        <v>0.80518018018018012</v>
      </c>
      <c r="L449" s="8">
        <v>18.850000000000001</v>
      </c>
      <c r="M449" s="8">
        <v>5.14</v>
      </c>
      <c r="N449" s="8">
        <v>3.37</v>
      </c>
      <c r="O449" s="17">
        <f t="shared" si="32"/>
        <v>-0.19769230769230769</v>
      </c>
      <c r="P449" s="17">
        <f t="shared" si="33"/>
        <v>4.1853986013986016E-2</v>
      </c>
      <c r="Q449" s="17">
        <v>2.87</v>
      </c>
      <c r="R449" s="9">
        <v>20220803</v>
      </c>
      <c r="S449" s="9">
        <v>42.41</v>
      </c>
      <c r="T449" s="9">
        <v>48.39</v>
      </c>
      <c r="U449" s="9">
        <v>2556.0959400000002</v>
      </c>
      <c r="V449" s="45">
        <f t="shared" si="34"/>
        <v>-0.98106878570449907</v>
      </c>
      <c r="W449" s="12">
        <v>4.57</v>
      </c>
      <c r="X449" s="12">
        <v>0</v>
      </c>
      <c r="Y449" s="62"/>
    </row>
    <row r="450" spans="1:25" x14ac:dyDescent="0.2">
      <c r="A450" s="3" t="s">
        <v>2762</v>
      </c>
      <c r="B450" s="3" t="s">
        <v>2763</v>
      </c>
      <c r="C450" s="6" t="s">
        <v>354</v>
      </c>
      <c r="D450" s="6" t="s">
        <v>684</v>
      </c>
      <c r="E450" s="6" t="s">
        <v>218</v>
      </c>
      <c r="F450" s="6">
        <v>4898.26</v>
      </c>
      <c r="G450" s="2">
        <v>12</v>
      </c>
      <c r="H450" s="61"/>
      <c r="I450" s="61">
        <v>2.96</v>
      </c>
      <c r="J450" s="47">
        <f t="shared" si="30"/>
        <v>-1</v>
      </c>
      <c r="K450" s="47" t="e">
        <f t="shared" si="31"/>
        <v>#DIV/0!</v>
      </c>
      <c r="L450" s="8">
        <v>1.75</v>
      </c>
      <c r="M450" s="8">
        <v>9.74</v>
      </c>
      <c r="N450" s="8">
        <v>2.9</v>
      </c>
      <c r="O450" s="17">
        <f t="shared" si="32"/>
        <v>-9.74E-2</v>
      </c>
      <c r="P450" s="17" t="e">
        <f t="shared" si="33"/>
        <v>#DIV/0!</v>
      </c>
      <c r="Q450" s="17">
        <v>4.9000000000000004</v>
      </c>
      <c r="R450" s="9">
        <v>20220727</v>
      </c>
      <c r="S450" s="9">
        <v>11.72</v>
      </c>
      <c r="T450" s="9">
        <v>-6.6</v>
      </c>
      <c r="U450" s="9">
        <v>3404.9799800000001</v>
      </c>
      <c r="V450" s="45">
        <f t="shared" si="34"/>
        <v>-1.0019383373878163</v>
      </c>
      <c r="W450" s="12">
        <v>-22.22</v>
      </c>
      <c r="X450" s="12">
        <v>1.66</v>
      </c>
      <c r="Y450" s="62"/>
    </row>
    <row r="451" spans="1:25" x14ac:dyDescent="0.2">
      <c r="A451" s="3" t="s">
        <v>2764</v>
      </c>
      <c r="B451" s="3" t="s">
        <v>1951</v>
      </c>
      <c r="C451" s="6" t="s">
        <v>354</v>
      </c>
      <c r="D451" s="6" t="s">
        <v>174</v>
      </c>
      <c r="E451" s="6" t="s">
        <v>231</v>
      </c>
      <c r="F451" s="6">
        <v>23528.44</v>
      </c>
      <c r="G451" s="2">
        <v>12</v>
      </c>
      <c r="H451" s="61">
        <v>-0.81</v>
      </c>
      <c r="I451" s="61">
        <v>-0.43</v>
      </c>
      <c r="J451" s="47">
        <f t="shared" ref="J451:J514" si="35">(H451-G451)/ABS(G451)</f>
        <v>-1.0675000000000001</v>
      </c>
      <c r="K451" s="47">
        <f t="shared" ref="K451:K514" si="36">(I451-H451)/ABS(H451)</f>
        <v>0.46913580246913583</v>
      </c>
      <c r="L451" s="8">
        <v>-0.13</v>
      </c>
      <c r="O451" s="17">
        <f t="shared" ref="O451:O514" si="37">M451/(J451*100)</f>
        <v>0</v>
      </c>
      <c r="P451" s="17">
        <f t="shared" ref="P451:P514" si="38">N451/(K451*100)</f>
        <v>0</v>
      </c>
      <c r="Q451" s="17"/>
      <c r="R451" s="9">
        <v>20220810</v>
      </c>
      <c r="S451" s="9">
        <v>-48.47</v>
      </c>
      <c r="U451" s="9">
        <v>21369.599600000001</v>
      </c>
      <c r="V451" s="45">
        <f t="shared" ref="V451:V514" si="39">(T451-U451)/U451</f>
        <v>-1</v>
      </c>
      <c r="W451" s="12">
        <v>79.66</v>
      </c>
      <c r="X451" s="12">
        <v>0</v>
      </c>
      <c r="Y451" s="62"/>
    </row>
    <row r="452" spans="1:25" x14ac:dyDescent="0.2">
      <c r="A452" s="3" t="s">
        <v>2765</v>
      </c>
      <c r="B452" s="3" t="s">
        <v>707</v>
      </c>
      <c r="C452" s="6" t="s">
        <v>354</v>
      </c>
      <c r="D452" s="6" t="s">
        <v>219</v>
      </c>
      <c r="E452" s="6" t="s">
        <v>231</v>
      </c>
      <c r="F452" s="6">
        <v>6772.59</v>
      </c>
      <c r="G452" s="2">
        <v>3</v>
      </c>
      <c r="H452" s="61">
        <v>6</v>
      </c>
      <c r="I452" s="61">
        <v>6.63</v>
      </c>
      <c r="J452" s="47">
        <f t="shared" si="35"/>
        <v>1</v>
      </c>
      <c r="K452" s="47">
        <f t="shared" si="36"/>
        <v>0.10499999999999998</v>
      </c>
      <c r="L452" s="8">
        <v>7.24</v>
      </c>
      <c r="M452" s="8">
        <v>8.27</v>
      </c>
      <c r="N452" s="8">
        <v>6.92</v>
      </c>
      <c r="O452" s="17">
        <f t="shared" si="37"/>
        <v>8.2699999999999996E-2</v>
      </c>
      <c r="P452" s="17">
        <f t="shared" si="38"/>
        <v>0.6590476190476191</v>
      </c>
      <c r="Q452" s="17">
        <v>6.34</v>
      </c>
      <c r="R452" s="9">
        <v>20220601</v>
      </c>
      <c r="S452" s="9">
        <v>34.22</v>
      </c>
      <c r="T452" s="9">
        <v>0.69</v>
      </c>
      <c r="U452" s="9">
        <v>6090.0331999999999</v>
      </c>
      <c r="V452" s="45">
        <f t="shared" si="39"/>
        <v>-0.99988670012505032</v>
      </c>
      <c r="W452" s="12">
        <v>32.14</v>
      </c>
      <c r="X452" s="12">
        <v>0</v>
      </c>
      <c r="Y452" s="62">
        <v>0.13</v>
      </c>
    </row>
    <row r="453" spans="1:25" x14ac:dyDescent="0.2">
      <c r="A453" s="3" t="s">
        <v>2766</v>
      </c>
      <c r="B453" s="3" t="s">
        <v>708</v>
      </c>
      <c r="C453" s="6" t="s">
        <v>355</v>
      </c>
      <c r="D453" s="6" t="s">
        <v>586</v>
      </c>
      <c r="E453" s="6" t="s">
        <v>108</v>
      </c>
      <c r="F453" s="6">
        <v>27192.12</v>
      </c>
      <c r="G453" s="2">
        <v>7</v>
      </c>
      <c r="H453" s="61">
        <v>3.57</v>
      </c>
      <c r="I453" s="61">
        <v>4.42</v>
      </c>
      <c r="J453" s="47">
        <f t="shared" si="35"/>
        <v>-0.49000000000000005</v>
      </c>
      <c r="K453" s="47">
        <f t="shared" si="36"/>
        <v>0.23809523809523814</v>
      </c>
      <c r="L453" s="8">
        <v>4.6900000000000004</v>
      </c>
      <c r="M453" s="8">
        <v>26.18</v>
      </c>
      <c r="N453" s="8">
        <v>25.87</v>
      </c>
      <c r="O453" s="17">
        <f t="shared" si="37"/>
        <v>-0.53428571428571425</v>
      </c>
      <c r="P453" s="17">
        <f t="shared" si="38"/>
        <v>1.0865399999999998</v>
      </c>
      <c r="Q453" s="17">
        <v>24.41</v>
      </c>
      <c r="R453" s="9">
        <v>20220914</v>
      </c>
      <c r="S453" s="9">
        <v>26.69</v>
      </c>
      <c r="T453" s="9">
        <v>16.36</v>
      </c>
      <c r="U453" s="9">
        <v>3490.7871</v>
      </c>
      <c r="V453" s="45">
        <f t="shared" si="39"/>
        <v>-0.99531337789119245</v>
      </c>
      <c r="W453" s="12">
        <v>1.74</v>
      </c>
      <c r="X453" s="12">
        <v>0</v>
      </c>
      <c r="Y453" s="62"/>
    </row>
    <row r="454" spans="1:25" x14ac:dyDescent="0.2">
      <c r="A454" s="3" t="s">
        <v>709</v>
      </c>
      <c r="B454" s="3" t="s">
        <v>710</v>
      </c>
      <c r="C454" s="6" t="s">
        <v>354</v>
      </c>
      <c r="D454" s="6" t="s">
        <v>216</v>
      </c>
      <c r="E454" s="6" t="s">
        <v>163</v>
      </c>
      <c r="F454" s="6">
        <v>15115.31</v>
      </c>
      <c r="G454" s="2">
        <v>12</v>
      </c>
      <c r="H454" s="61">
        <v>5.37</v>
      </c>
      <c r="I454" s="61">
        <v>6.5</v>
      </c>
      <c r="J454" s="47">
        <f t="shared" si="35"/>
        <v>-0.55249999999999999</v>
      </c>
      <c r="K454" s="47">
        <f t="shared" si="36"/>
        <v>0.21042830540037241</v>
      </c>
      <c r="L454" s="8">
        <v>7.12</v>
      </c>
      <c r="M454" s="8">
        <v>25.11</v>
      </c>
      <c r="N454" s="8">
        <v>21.83</v>
      </c>
      <c r="O454" s="17">
        <f t="shared" si="37"/>
        <v>-0.45447963800904978</v>
      </c>
      <c r="P454" s="17">
        <f t="shared" si="38"/>
        <v>1.03740796460177</v>
      </c>
      <c r="Q454" s="17">
        <v>19.940000000000001</v>
      </c>
      <c r="R454" s="9">
        <v>20220804</v>
      </c>
      <c r="S454" s="9">
        <v>8.67</v>
      </c>
      <c r="T454" s="9">
        <v>5.73</v>
      </c>
      <c r="U454" s="9">
        <v>1334.2659900000001</v>
      </c>
      <c r="V454" s="45">
        <f t="shared" si="39"/>
        <v>-0.9957055039677658</v>
      </c>
      <c r="W454" s="12">
        <v>0.67</v>
      </c>
      <c r="X454" s="12">
        <v>2.65</v>
      </c>
      <c r="Y454" s="62">
        <v>3.99</v>
      </c>
    </row>
    <row r="455" spans="1:25" x14ac:dyDescent="0.2">
      <c r="A455" s="3" t="s">
        <v>2767</v>
      </c>
      <c r="B455" s="3" t="s">
        <v>711</v>
      </c>
      <c r="C455" s="6" t="s">
        <v>356</v>
      </c>
      <c r="D455" s="6" t="s">
        <v>264</v>
      </c>
      <c r="E455" s="6" t="s">
        <v>250</v>
      </c>
      <c r="F455" s="6">
        <v>5848.38</v>
      </c>
      <c r="G455" s="2">
        <v>12</v>
      </c>
      <c r="H455" s="61">
        <v>0.18</v>
      </c>
      <c r="I455" s="61">
        <v>0.41</v>
      </c>
      <c r="J455" s="47">
        <f t="shared" si="35"/>
        <v>-0.98499999999999999</v>
      </c>
      <c r="K455" s="47">
        <f t="shared" si="36"/>
        <v>1.2777777777777777</v>
      </c>
      <c r="L455" s="8">
        <v>0.56000000000000005</v>
      </c>
      <c r="N455" s="8">
        <v>9.66</v>
      </c>
      <c r="O455" s="17">
        <f t="shared" si="37"/>
        <v>0</v>
      </c>
      <c r="P455" s="17">
        <f t="shared" si="38"/>
        <v>7.5600000000000001E-2</v>
      </c>
      <c r="Q455" s="17">
        <v>7.07</v>
      </c>
      <c r="U455" s="9">
        <v>27082.755850000001</v>
      </c>
      <c r="V455" s="45">
        <f t="shared" si="39"/>
        <v>-1</v>
      </c>
      <c r="X455" s="12">
        <v>0</v>
      </c>
      <c r="Y455" s="62"/>
    </row>
    <row r="456" spans="1:25" x14ac:dyDescent="0.2">
      <c r="A456" s="3" t="s">
        <v>2768</v>
      </c>
      <c r="B456" s="3" t="s">
        <v>712</v>
      </c>
      <c r="C456" s="6" t="s">
        <v>570</v>
      </c>
      <c r="D456" s="6" t="s">
        <v>206</v>
      </c>
      <c r="E456" s="6" t="s">
        <v>218</v>
      </c>
      <c r="F456" s="6">
        <v>26137.46</v>
      </c>
      <c r="G456" s="2">
        <v>12</v>
      </c>
      <c r="H456" s="61">
        <v>2.94</v>
      </c>
      <c r="I456" s="61">
        <v>3.74</v>
      </c>
      <c r="J456" s="47">
        <f t="shared" si="35"/>
        <v>-0.755</v>
      </c>
      <c r="K456" s="47">
        <f t="shared" si="36"/>
        <v>0.27210884353741505</v>
      </c>
      <c r="L456" s="8">
        <v>3.61</v>
      </c>
      <c r="M456" s="8">
        <v>17.53</v>
      </c>
      <c r="N456" s="8">
        <v>14.42</v>
      </c>
      <c r="O456" s="17">
        <f t="shared" si="37"/>
        <v>-0.23218543046357618</v>
      </c>
      <c r="P456" s="17">
        <f t="shared" si="38"/>
        <v>0.52993499999999982</v>
      </c>
      <c r="Q456" s="17">
        <v>14.97</v>
      </c>
      <c r="R456" s="9">
        <v>20220804</v>
      </c>
      <c r="S456" s="9">
        <v>-2100.73</v>
      </c>
      <c r="T456" s="9">
        <v>19.350000000000001</v>
      </c>
      <c r="U456" s="9">
        <v>15208.83007</v>
      </c>
      <c r="V456" s="45">
        <f t="shared" si="39"/>
        <v>-0.99872771278849592</v>
      </c>
      <c r="W456" s="12">
        <v>1.39</v>
      </c>
      <c r="X456" s="12">
        <v>5.74</v>
      </c>
      <c r="Y456" s="62"/>
    </row>
    <row r="457" spans="1:25" x14ac:dyDescent="0.2">
      <c r="A457" s="3" t="s">
        <v>2769</v>
      </c>
      <c r="B457" s="3" t="s">
        <v>713</v>
      </c>
      <c r="C457" s="6" t="s">
        <v>354</v>
      </c>
      <c r="D457" s="6" t="s">
        <v>817</v>
      </c>
      <c r="E457" s="6" t="s">
        <v>201</v>
      </c>
      <c r="F457" s="6">
        <v>5289.92</v>
      </c>
      <c r="G457" s="2">
        <v>12</v>
      </c>
      <c r="H457" s="61">
        <v>6.42</v>
      </c>
      <c r="I457" s="61">
        <v>7.28</v>
      </c>
      <c r="J457" s="47">
        <f t="shared" si="35"/>
        <v>-0.46500000000000002</v>
      </c>
      <c r="K457" s="47">
        <f t="shared" si="36"/>
        <v>0.13395638629283493</v>
      </c>
      <c r="L457" s="8">
        <v>8.1300000000000008</v>
      </c>
      <c r="M457" s="8">
        <v>13.92</v>
      </c>
      <c r="N457" s="8">
        <v>12.95</v>
      </c>
      <c r="O457" s="17">
        <f t="shared" si="37"/>
        <v>-0.29935483870967744</v>
      </c>
      <c r="P457" s="17">
        <f t="shared" si="38"/>
        <v>0.96673255813953451</v>
      </c>
      <c r="Q457" s="17">
        <v>11.61</v>
      </c>
      <c r="R457" s="9">
        <v>20220725</v>
      </c>
      <c r="S457" s="9">
        <v>22.54</v>
      </c>
      <c r="T457" s="9">
        <v>1.84</v>
      </c>
      <c r="U457" s="9">
        <v>3187.6469699999998</v>
      </c>
      <c r="V457" s="45">
        <f t="shared" si="39"/>
        <v>-0.99942277171301686</v>
      </c>
      <c r="W457" s="12">
        <v>7.74</v>
      </c>
      <c r="X457" s="12">
        <v>1.99</v>
      </c>
      <c r="Y457" s="62">
        <v>1.25</v>
      </c>
    </row>
    <row r="458" spans="1:25" x14ac:dyDescent="0.2">
      <c r="A458" s="3" t="s">
        <v>2770</v>
      </c>
      <c r="B458" s="3" t="s">
        <v>714</v>
      </c>
      <c r="C458" s="6" t="s">
        <v>356</v>
      </c>
      <c r="D458" s="6" t="s">
        <v>69</v>
      </c>
      <c r="E458" s="6" t="s">
        <v>163</v>
      </c>
      <c r="F458" s="6">
        <v>34313.730000000003</v>
      </c>
      <c r="G458" s="2">
        <v>12</v>
      </c>
      <c r="H458" s="61">
        <v>0.96</v>
      </c>
      <c r="I458" s="61">
        <v>0.5</v>
      </c>
      <c r="J458" s="47">
        <f t="shared" si="35"/>
        <v>-0.91999999999999993</v>
      </c>
      <c r="K458" s="47">
        <f t="shared" si="36"/>
        <v>-0.47916666666666663</v>
      </c>
      <c r="L458" s="8">
        <v>0.69</v>
      </c>
      <c r="M458" s="8">
        <v>6.16</v>
      </c>
      <c r="N458" s="8">
        <v>11.34</v>
      </c>
      <c r="O458" s="17">
        <f t="shared" si="37"/>
        <v>-6.6956521739130442E-2</v>
      </c>
      <c r="P458" s="17">
        <f t="shared" si="38"/>
        <v>-0.2366608695652174</v>
      </c>
      <c r="Q458" s="17">
        <v>8.2200000000000006</v>
      </c>
      <c r="R458" s="9">
        <v>20220804</v>
      </c>
      <c r="S458" s="9">
        <v>6.71</v>
      </c>
      <c r="T458" s="9">
        <v>5.18</v>
      </c>
      <c r="U458" s="9">
        <v>24012.75</v>
      </c>
      <c r="V458" s="45">
        <f t="shared" si="39"/>
        <v>-0.99978428126724339</v>
      </c>
      <c r="W458" s="12">
        <v>33.33</v>
      </c>
      <c r="X458" s="12">
        <v>7.28</v>
      </c>
      <c r="Y458" s="62"/>
    </row>
    <row r="459" spans="1:25" x14ac:dyDescent="0.2">
      <c r="A459" s="3" t="s">
        <v>2771</v>
      </c>
      <c r="B459" s="3" t="s">
        <v>2772</v>
      </c>
      <c r="C459" s="6" t="s">
        <v>354</v>
      </c>
      <c r="D459" s="6" t="s">
        <v>200</v>
      </c>
      <c r="E459" s="6" t="s">
        <v>218</v>
      </c>
      <c r="F459" s="6">
        <v>3453.79</v>
      </c>
      <c r="G459" s="2">
        <v>12</v>
      </c>
      <c r="H459" s="61">
        <v>5.94</v>
      </c>
      <c r="I459" s="61">
        <v>6.09</v>
      </c>
      <c r="J459" s="47">
        <f t="shared" si="35"/>
        <v>-0.505</v>
      </c>
      <c r="K459" s="47">
        <f t="shared" si="36"/>
        <v>2.5252525252525162E-2</v>
      </c>
      <c r="L459" s="8">
        <v>7.76</v>
      </c>
      <c r="M459" s="8">
        <v>7.38</v>
      </c>
      <c r="N459" s="8">
        <v>7.31</v>
      </c>
      <c r="O459" s="17">
        <f t="shared" si="37"/>
        <v>-0.14613861386138613</v>
      </c>
      <c r="P459" s="17">
        <f t="shared" si="38"/>
        <v>2.8947600000000104</v>
      </c>
      <c r="Q459" s="17">
        <v>5.73</v>
      </c>
      <c r="R459" s="9">
        <v>20220804</v>
      </c>
      <c r="S459" s="9">
        <v>38.92</v>
      </c>
      <c r="U459" s="9">
        <v>1945.09997</v>
      </c>
      <c r="V459" s="45">
        <f t="shared" si="39"/>
        <v>-1</v>
      </c>
      <c r="W459" s="12">
        <v>-0.88</v>
      </c>
      <c r="X459" s="12">
        <v>1.53</v>
      </c>
      <c r="Y459" s="62"/>
    </row>
    <row r="460" spans="1:25" x14ac:dyDescent="0.2">
      <c r="A460" s="3" t="s">
        <v>715</v>
      </c>
      <c r="B460" s="3" t="s">
        <v>715</v>
      </c>
      <c r="C460" s="6" t="s">
        <v>354</v>
      </c>
      <c r="D460" s="6" t="s">
        <v>121</v>
      </c>
      <c r="E460" s="6" t="s">
        <v>140</v>
      </c>
      <c r="F460" s="6">
        <v>31641.13</v>
      </c>
      <c r="G460" s="2">
        <v>12</v>
      </c>
      <c r="H460" s="61">
        <v>3.19</v>
      </c>
      <c r="I460" s="61">
        <v>3.99</v>
      </c>
      <c r="J460" s="47">
        <f t="shared" si="35"/>
        <v>-0.73416666666666675</v>
      </c>
      <c r="K460" s="47">
        <f t="shared" si="36"/>
        <v>0.25078369905956122</v>
      </c>
      <c r="L460" s="8">
        <v>3.62</v>
      </c>
      <c r="N460" s="8">
        <v>10.34</v>
      </c>
      <c r="O460" s="17">
        <f t="shared" si="37"/>
        <v>0</v>
      </c>
      <c r="P460" s="17">
        <f t="shared" si="38"/>
        <v>0.41230749999999983</v>
      </c>
      <c r="Q460" s="17">
        <v>11.41</v>
      </c>
      <c r="U460" s="9">
        <v>31940.070309999999</v>
      </c>
      <c r="V460" s="45">
        <f t="shared" si="39"/>
        <v>-1</v>
      </c>
      <c r="X460" s="12">
        <v>4.63</v>
      </c>
      <c r="Y460" s="62"/>
    </row>
    <row r="461" spans="1:25" x14ac:dyDescent="0.2">
      <c r="A461" s="3" t="s">
        <v>2773</v>
      </c>
      <c r="B461" s="3" t="s">
        <v>716</v>
      </c>
      <c r="C461" s="6" t="s">
        <v>354</v>
      </c>
      <c r="D461" s="6" t="s">
        <v>230</v>
      </c>
      <c r="E461" s="6" t="s">
        <v>146</v>
      </c>
      <c r="F461" s="6">
        <v>3170.9</v>
      </c>
      <c r="G461" s="2">
        <v>12</v>
      </c>
      <c r="H461" s="61">
        <v>7.61</v>
      </c>
      <c r="I461" s="61">
        <v>8.81</v>
      </c>
      <c r="J461" s="47">
        <f t="shared" si="35"/>
        <v>-0.36583333333333329</v>
      </c>
      <c r="K461" s="47">
        <f t="shared" si="36"/>
        <v>0.15768725361366626</v>
      </c>
      <c r="L461" s="8">
        <v>9.5</v>
      </c>
      <c r="M461" s="8">
        <v>10.3</v>
      </c>
      <c r="N461" s="8">
        <v>8.85</v>
      </c>
      <c r="O461" s="17">
        <f t="shared" si="37"/>
        <v>-0.28154897494305242</v>
      </c>
      <c r="P461" s="17">
        <f t="shared" si="38"/>
        <v>0.56123749999999983</v>
      </c>
      <c r="Q461" s="17">
        <v>8.2100000000000009</v>
      </c>
      <c r="R461" s="9">
        <v>20220729</v>
      </c>
      <c r="S461" s="9">
        <v>32.19</v>
      </c>
      <c r="T461" s="9">
        <v>-0.3</v>
      </c>
      <c r="U461" s="9">
        <v>3579.8669399999999</v>
      </c>
      <c r="V461" s="45">
        <f t="shared" si="39"/>
        <v>-1.0000838019974005</v>
      </c>
      <c r="W461" s="12">
        <v>23.88</v>
      </c>
      <c r="X461" s="12">
        <v>3.85</v>
      </c>
      <c r="Y461" s="62">
        <v>1.37</v>
      </c>
    </row>
    <row r="462" spans="1:25" x14ac:dyDescent="0.2">
      <c r="A462" s="3" t="s">
        <v>2774</v>
      </c>
      <c r="B462" s="3" t="s">
        <v>2775</v>
      </c>
      <c r="C462" s="6" t="s">
        <v>354</v>
      </c>
      <c r="D462" s="6" t="s">
        <v>200</v>
      </c>
      <c r="E462" s="6" t="s">
        <v>218</v>
      </c>
      <c r="F462" s="6">
        <v>4588.25</v>
      </c>
      <c r="G462" s="2">
        <v>12</v>
      </c>
      <c r="H462" s="61">
        <v>1.23</v>
      </c>
      <c r="I462" s="61">
        <v>3.36</v>
      </c>
      <c r="J462" s="47">
        <f t="shared" si="35"/>
        <v>-0.89749999999999996</v>
      </c>
      <c r="K462" s="47">
        <f t="shared" si="36"/>
        <v>1.7317073170731707</v>
      </c>
      <c r="L462" s="8">
        <v>4.47</v>
      </c>
      <c r="M462" s="8">
        <v>13.68</v>
      </c>
      <c r="N462" s="8">
        <v>5.86</v>
      </c>
      <c r="O462" s="17">
        <f t="shared" si="37"/>
        <v>-0.15242339832869081</v>
      </c>
      <c r="P462" s="17">
        <f t="shared" si="38"/>
        <v>3.3839436619718312E-2</v>
      </c>
      <c r="Q462" s="17">
        <v>4.41</v>
      </c>
      <c r="R462" s="9">
        <v>20220802</v>
      </c>
      <c r="S462" s="9">
        <v>45.27</v>
      </c>
      <c r="T462" s="9">
        <v>60.39</v>
      </c>
      <c r="U462" s="9">
        <v>2261.6999500000002</v>
      </c>
      <c r="V462" s="45">
        <f t="shared" si="39"/>
        <v>-0.97329884541050649</v>
      </c>
      <c r="W462" s="12">
        <v>0</v>
      </c>
      <c r="X462" s="12">
        <v>0</v>
      </c>
      <c r="Y462" s="62"/>
    </row>
    <row r="463" spans="1:25" x14ac:dyDescent="0.2">
      <c r="A463" s="3" t="s">
        <v>2776</v>
      </c>
      <c r="B463" s="3" t="s">
        <v>717</v>
      </c>
      <c r="C463" s="6" t="s">
        <v>354</v>
      </c>
      <c r="D463" s="6" t="s">
        <v>195</v>
      </c>
      <c r="E463" s="6" t="s">
        <v>208</v>
      </c>
      <c r="F463" s="6">
        <v>11695.79</v>
      </c>
      <c r="G463" s="2">
        <v>12</v>
      </c>
      <c r="H463" s="61">
        <v>10.25</v>
      </c>
      <c r="I463" s="61">
        <v>11.63</v>
      </c>
      <c r="J463" s="47">
        <f t="shared" si="35"/>
        <v>-0.14583333333333334</v>
      </c>
      <c r="K463" s="47">
        <f t="shared" si="36"/>
        <v>0.13463414634146348</v>
      </c>
      <c r="L463" s="8">
        <v>13.39</v>
      </c>
      <c r="M463" s="8">
        <v>21.82</v>
      </c>
      <c r="N463" s="8">
        <v>19.79</v>
      </c>
      <c r="O463" s="17">
        <f t="shared" si="37"/>
        <v>-1.4962285714285715</v>
      </c>
      <c r="P463" s="17">
        <f t="shared" si="38"/>
        <v>1.4699094202898544</v>
      </c>
      <c r="Q463" s="17">
        <v>17.190000000000001</v>
      </c>
      <c r="R463" s="9">
        <v>20220803</v>
      </c>
      <c r="S463" s="9">
        <v>21.9</v>
      </c>
      <c r="T463" s="9">
        <v>16.38</v>
      </c>
      <c r="U463" s="9">
        <v>4049.6679600000002</v>
      </c>
      <c r="V463" s="45">
        <f t="shared" si="39"/>
        <v>-0.99595522394384151</v>
      </c>
      <c r="W463" s="12">
        <v>1.48</v>
      </c>
      <c r="X463" s="12">
        <v>0</v>
      </c>
      <c r="Y463" s="62">
        <v>1.41</v>
      </c>
    </row>
    <row r="464" spans="1:25" x14ac:dyDescent="0.2">
      <c r="A464" s="3" t="s">
        <v>2777</v>
      </c>
      <c r="B464" s="3" t="s">
        <v>718</v>
      </c>
      <c r="C464" s="6" t="s">
        <v>354</v>
      </c>
      <c r="D464" s="6" t="s">
        <v>132</v>
      </c>
      <c r="E464" s="6" t="s">
        <v>119</v>
      </c>
      <c r="F464" s="6">
        <v>160894.70000000001</v>
      </c>
      <c r="G464" s="2">
        <v>1</v>
      </c>
      <c r="H464" s="61">
        <v>4.68</v>
      </c>
      <c r="I464" s="61">
        <v>4.63</v>
      </c>
      <c r="J464" s="47">
        <f t="shared" si="35"/>
        <v>3.6799999999999997</v>
      </c>
      <c r="K464" s="47">
        <f t="shared" si="36"/>
        <v>-1.0683760683760646E-2</v>
      </c>
      <c r="L464" s="8">
        <v>5.71</v>
      </c>
      <c r="M464" s="8">
        <v>33.85</v>
      </c>
      <c r="N464" s="8">
        <v>35.06</v>
      </c>
      <c r="O464" s="17">
        <f t="shared" si="37"/>
        <v>9.1983695652173916E-2</v>
      </c>
      <c r="P464" s="17">
        <f t="shared" si="38"/>
        <v>-32.816160000000117</v>
      </c>
      <c r="Q464" s="17">
        <v>28.48</v>
      </c>
      <c r="R464" s="9">
        <v>20220531</v>
      </c>
      <c r="S464" s="9">
        <v>4.76</v>
      </c>
      <c r="T464" s="9">
        <v>26.27</v>
      </c>
      <c r="U464" s="9">
        <v>31574.16992</v>
      </c>
      <c r="V464" s="45">
        <f t="shared" si="39"/>
        <v>-0.99916799079543306</v>
      </c>
      <c r="W464" s="12">
        <v>15.07</v>
      </c>
      <c r="X464" s="12">
        <v>0</v>
      </c>
      <c r="Y464" s="62">
        <v>2.09</v>
      </c>
    </row>
    <row r="465" spans="1:25" x14ac:dyDescent="0.2">
      <c r="A465" s="3" t="s">
        <v>2778</v>
      </c>
      <c r="B465" s="3" t="s">
        <v>719</v>
      </c>
      <c r="C465" s="6" t="s">
        <v>355</v>
      </c>
      <c r="D465" s="6" t="s">
        <v>694</v>
      </c>
      <c r="E465" s="6" t="s">
        <v>146</v>
      </c>
      <c r="F465" s="6">
        <v>3280.73</v>
      </c>
      <c r="G465" s="2">
        <v>12</v>
      </c>
      <c r="H465" s="61">
        <v>8.18</v>
      </c>
      <c r="I465" s="61">
        <v>10.53</v>
      </c>
      <c r="J465" s="47">
        <f t="shared" si="35"/>
        <v>-0.31833333333333336</v>
      </c>
      <c r="K465" s="47">
        <f t="shared" si="36"/>
        <v>0.28728606356968212</v>
      </c>
      <c r="L465" s="8">
        <v>12.1</v>
      </c>
      <c r="M465" s="8">
        <v>5.99</v>
      </c>
      <c r="N465" s="8">
        <v>5.0599999999999996</v>
      </c>
      <c r="O465" s="17">
        <f t="shared" si="37"/>
        <v>-0.18816753926701571</v>
      </c>
      <c r="P465" s="17">
        <f t="shared" si="38"/>
        <v>0.17613106382978724</v>
      </c>
      <c r="Q465" s="17">
        <v>4.4000000000000004</v>
      </c>
      <c r="R465" s="9">
        <v>20220728</v>
      </c>
      <c r="S465" s="9">
        <v>206.72</v>
      </c>
      <c r="T465" s="9">
        <v>19.14</v>
      </c>
      <c r="U465" s="9">
        <v>3508.9399400000002</v>
      </c>
      <c r="V465" s="45">
        <f t="shared" si="39"/>
        <v>-0.994545361183925</v>
      </c>
      <c r="W465" s="12">
        <v>31.41</v>
      </c>
      <c r="X465" s="12">
        <v>0</v>
      </c>
      <c r="Y465" s="62">
        <v>0.34</v>
      </c>
    </row>
    <row r="466" spans="1:25" x14ac:dyDescent="0.2">
      <c r="A466" s="3" t="s">
        <v>2779</v>
      </c>
      <c r="B466" s="3" t="s">
        <v>720</v>
      </c>
      <c r="C466" s="6" t="s">
        <v>356</v>
      </c>
      <c r="D466" s="6" t="s">
        <v>246</v>
      </c>
      <c r="E466" s="6" t="s">
        <v>250</v>
      </c>
      <c r="F466" s="6">
        <v>8819.15</v>
      </c>
      <c r="G466" s="2">
        <v>12</v>
      </c>
      <c r="H466" s="61">
        <v>0.91</v>
      </c>
      <c r="I466" s="61">
        <v>4.32</v>
      </c>
      <c r="J466" s="47">
        <f t="shared" si="35"/>
        <v>-0.92416666666666669</v>
      </c>
      <c r="K466" s="47">
        <f t="shared" si="36"/>
        <v>3.7472527472527473</v>
      </c>
      <c r="L466" s="8">
        <v>5.21</v>
      </c>
      <c r="N466" s="8">
        <v>6.37</v>
      </c>
      <c r="O466" s="17">
        <f t="shared" si="37"/>
        <v>0</v>
      </c>
      <c r="P466" s="17">
        <f t="shared" si="38"/>
        <v>1.6999120234604106E-2</v>
      </c>
      <c r="Q466" s="17">
        <v>5.28</v>
      </c>
      <c r="U466" s="9">
        <v>12721.969719999999</v>
      </c>
      <c r="V466" s="45">
        <f t="shared" si="39"/>
        <v>-1</v>
      </c>
      <c r="X466" s="12">
        <v>4.24</v>
      </c>
      <c r="Y466" s="62"/>
    </row>
    <row r="467" spans="1:25" x14ac:dyDescent="0.2">
      <c r="A467" s="3" t="s">
        <v>2780</v>
      </c>
      <c r="B467" s="3" t="s">
        <v>721</v>
      </c>
      <c r="C467" s="6" t="s">
        <v>356</v>
      </c>
      <c r="D467" s="6" t="s">
        <v>224</v>
      </c>
      <c r="E467" s="6" t="s">
        <v>231</v>
      </c>
      <c r="F467" s="6">
        <v>15621.54</v>
      </c>
      <c r="G467" s="2">
        <v>12</v>
      </c>
      <c r="H467" s="61">
        <v>0.33</v>
      </c>
      <c r="I467" s="61">
        <v>0.4</v>
      </c>
      <c r="J467" s="47">
        <f t="shared" si="35"/>
        <v>-0.97250000000000003</v>
      </c>
      <c r="K467" s="47">
        <f t="shared" si="36"/>
        <v>0.21212121212121213</v>
      </c>
      <c r="L467" s="8">
        <v>0.49</v>
      </c>
      <c r="N467" s="8">
        <v>10.35</v>
      </c>
      <c r="O467" s="17">
        <f t="shared" si="37"/>
        <v>0</v>
      </c>
      <c r="P467" s="17">
        <f t="shared" si="38"/>
        <v>0.48792857142857143</v>
      </c>
      <c r="Q467" s="17">
        <v>8.51</v>
      </c>
      <c r="U467" s="9">
        <v>90327.8125</v>
      </c>
      <c r="V467" s="45">
        <f t="shared" si="39"/>
        <v>-1</v>
      </c>
      <c r="X467" s="12">
        <v>1.94</v>
      </c>
      <c r="Y467" s="62">
        <v>0.53</v>
      </c>
    </row>
    <row r="468" spans="1:25" x14ac:dyDescent="0.2">
      <c r="A468" s="3" t="s">
        <v>2781</v>
      </c>
      <c r="B468" s="3" t="s">
        <v>722</v>
      </c>
      <c r="C468" s="6" t="s">
        <v>355</v>
      </c>
      <c r="D468" s="6" t="s">
        <v>185</v>
      </c>
      <c r="E468" s="6" t="s">
        <v>208</v>
      </c>
      <c r="F468" s="6">
        <v>4277.95</v>
      </c>
      <c r="G468" s="2">
        <v>12</v>
      </c>
      <c r="H468" s="61">
        <v>4.9800000000000004</v>
      </c>
      <c r="I468" s="61">
        <v>-8.9700000000000006</v>
      </c>
      <c r="J468" s="47">
        <f t="shared" si="35"/>
        <v>-0.58499999999999996</v>
      </c>
      <c r="K468" s="47">
        <f t="shared" si="36"/>
        <v>-2.8012048192771086</v>
      </c>
      <c r="L468" s="8">
        <v>-7.62</v>
      </c>
      <c r="M468" s="8">
        <v>15.3</v>
      </c>
      <c r="O468" s="17">
        <f t="shared" si="37"/>
        <v>-0.26153846153846155</v>
      </c>
      <c r="P468" s="17">
        <f t="shared" si="38"/>
        <v>0</v>
      </c>
      <c r="Q468" s="17"/>
      <c r="R468" s="9">
        <v>20220804</v>
      </c>
      <c r="S468" s="9">
        <v>12.77</v>
      </c>
      <c r="T468" s="9">
        <v>104.22</v>
      </c>
      <c r="U468" s="9">
        <v>187.02600000000001</v>
      </c>
      <c r="V468" s="45">
        <f t="shared" si="39"/>
        <v>-0.44275127522376573</v>
      </c>
      <c r="W468" s="12">
        <v>-21.47</v>
      </c>
      <c r="X468" s="12">
        <v>0</v>
      </c>
      <c r="Y468" s="62"/>
    </row>
    <row r="469" spans="1:25" x14ac:dyDescent="0.2">
      <c r="A469" s="3" t="s">
        <v>2782</v>
      </c>
      <c r="B469" s="3" t="s">
        <v>723</v>
      </c>
      <c r="C469" s="6" t="s">
        <v>355</v>
      </c>
      <c r="D469" s="6" t="s">
        <v>143</v>
      </c>
      <c r="E469" s="6" t="s">
        <v>119</v>
      </c>
      <c r="F469" s="6">
        <v>4461.2</v>
      </c>
      <c r="G469" s="2">
        <v>3</v>
      </c>
      <c r="H469" s="61">
        <v>6.31</v>
      </c>
      <c r="I469" s="61">
        <v>5.49</v>
      </c>
      <c r="J469" s="47">
        <f t="shared" si="35"/>
        <v>1.1033333333333333</v>
      </c>
      <c r="K469" s="47">
        <f t="shared" si="36"/>
        <v>-0.12995245641838343</v>
      </c>
      <c r="L469" s="8">
        <v>6.3</v>
      </c>
      <c r="M469" s="8">
        <v>11.51</v>
      </c>
      <c r="N469" s="8">
        <v>14.48</v>
      </c>
      <c r="O469" s="17">
        <f t="shared" si="37"/>
        <v>0.1043202416918429</v>
      </c>
      <c r="P469" s="17">
        <f t="shared" si="38"/>
        <v>-1.1142536585365861</v>
      </c>
      <c r="Q469" s="17">
        <v>12.62</v>
      </c>
      <c r="R469" s="9">
        <v>20220727</v>
      </c>
      <c r="S469" s="9">
        <v>23.52</v>
      </c>
      <c r="T469" s="9">
        <v>0.01</v>
      </c>
      <c r="U469" s="9">
        <v>1814.0939900000001</v>
      </c>
      <c r="V469" s="45">
        <f t="shared" si="39"/>
        <v>-0.99999448760645526</v>
      </c>
      <c r="W469" s="12">
        <v>42.55</v>
      </c>
      <c r="X469" s="12">
        <v>0</v>
      </c>
      <c r="Y469" s="62">
        <v>4.5</v>
      </c>
    </row>
    <row r="470" spans="1:25" x14ac:dyDescent="0.2">
      <c r="A470" s="3" t="s">
        <v>2783</v>
      </c>
      <c r="B470" s="3" t="s">
        <v>724</v>
      </c>
      <c r="C470" s="6" t="s">
        <v>355</v>
      </c>
      <c r="D470" s="6" t="s">
        <v>177</v>
      </c>
      <c r="E470" s="6" t="s">
        <v>119</v>
      </c>
      <c r="F470" s="6">
        <v>35962.86</v>
      </c>
      <c r="G470" s="2">
        <v>1</v>
      </c>
      <c r="H470" s="61">
        <v>0.57999999999999996</v>
      </c>
      <c r="I470" s="61">
        <v>1.0900000000000001</v>
      </c>
      <c r="J470" s="47">
        <f t="shared" si="35"/>
        <v>-0.42000000000000004</v>
      </c>
      <c r="K470" s="47">
        <f t="shared" si="36"/>
        <v>0.87931034482758652</v>
      </c>
      <c r="L470" s="8">
        <v>1.65</v>
      </c>
      <c r="M470" s="8">
        <v>229.18</v>
      </c>
      <c r="N470" s="8">
        <v>143.1</v>
      </c>
      <c r="O470" s="17">
        <f t="shared" si="37"/>
        <v>-5.4566666666666661</v>
      </c>
      <c r="P470" s="17">
        <f t="shared" si="38"/>
        <v>1.6274117647058819</v>
      </c>
      <c r="Q470" s="17">
        <v>94.45</v>
      </c>
      <c r="R470" s="9">
        <v>20220602</v>
      </c>
      <c r="S470" s="9">
        <v>-15.87</v>
      </c>
      <c r="T470" s="9">
        <v>79.95</v>
      </c>
      <c r="U470" s="9">
        <v>2156.95703</v>
      </c>
      <c r="V470" s="45">
        <f t="shared" si="39"/>
        <v>-0.96293389303170318</v>
      </c>
      <c r="W470" s="12">
        <v>50</v>
      </c>
      <c r="X470" s="12">
        <v>0</v>
      </c>
      <c r="Y470" s="62">
        <v>3.78</v>
      </c>
    </row>
    <row r="471" spans="1:25" x14ac:dyDescent="0.2">
      <c r="A471" s="3" t="s">
        <v>2784</v>
      </c>
      <c r="B471" s="3" t="s">
        <v>725</v>
      </c>
      <c r="C471" s="6" t="s">
        <v>356</v>
      </c>
      <c r="D471" s="6" t="s">
        <v>69</v>
      </c>
      <c r="E471" s="6" t="s">
        <v>163</v>
      </c>
      <c r="F471" s="6">
        <v>10745.23</v>
      </c>
      <c r="G471" s="2">
        <v>12</v>
      </c>
      <c r="H471" s="61">
        <v>0.84</v>
      </c>
      <c r="I471" s="61">
        <v>1.01</v>
      </c>
      <c r="J471" s="47">
        <f t="shared" si="35"/>
        <v>-0.93</v>
      </c>
      <c r="K471" s="47">
        <f t="shared" si="36"/>
        <v>0.20238095238095244</v>
      </c>
      <c r="L471" s="8">
        <v>1.08</v>
      </c>
      <c r="N471" s="8">
        <v>8.49</v>
      </c>
      <c r="O471" s="17">
        <f t="shared" si="37"/>
        <v>0</v>
      </c>
      <c r="P471" s="17">
        <f t="shared" si="38"/>
        <v>0.41950588235294106</v>
      </c>
      <c r="Q471" s="17">
        <v>7.94</v>
      </c>
      <c r="R471" s="9">
        <v>20220803</v>
      </c>
      <c r="S471" s="9">
        <v>-9.06</v>
      </c>
      <c r="U471" s="9">
        <v>10046.650390000001</v>
      </c>
      <c r="V471" s="45">
        <f t="shared" si="39"/>
        <v>-1</v>
      </c>
      <c r="W471" s="12">
        <v>80</v>
      </c>
      <c r="X471" s="12">
        <v>0</v>
      </c>
      <c r="Y471" s="62"/>
    </row>
    <row r="472" spans="1:25" x14ac:dyDescent="0.2">
      <c r="A472" s="3" t="s">
        <v>726</v>
      </c>
      <c r="B472" s="3" t="s">
        <v>727</v>
      </c>
      <c r="C472" s="6" t="s">
        <v>354</v>
      </c>
      <c r="D472" s="6" t="s">
        <v>69</v>
      </c>
      <c r="E472" s="6" t="s">
        <v>163</v>
      </c>
      <c r="F472" s="6">
        <v>19138.400000000001</v>
      </c>
      <c r="G472" s="2">
        <v>12</v>
      </c>
      <c r="H472" s="61">
        <v>0.56000000000000005</v>
      </c>
      <c r="I472" s="61">
        <v>0.36</v>
      </c>
      <c r="J472" s="47">
        <f t="shared" si="35"/>
        <v>-0.95333333333333325</v>
      </c>
      <c r="K472" s="47">
        <f t="shared" si="36"/>
        <v>-0.35714285714285721</v>
      </c>
      <c r="L472" s="8">
        <v>0.95</v>
      </c>
      <c r="N472" s="8">
        <v>20.239999999999998</v>
      </c>
      <c r="O472" s="17">
        <f t="shared" si="37"/>
        <v>0</v>
      </c>
      <c r="P472" s="17">
        <f t="shared" si="38"/>
        <v>-0.56671999999999978</v>
      </c>
      <c r="Q472" s="17">
        <v>7.63</v>
      </c>
      <c r="R472" s="9">
        <v>20220804</v>
      </c>
      <c r="S472" s="9">
        <v>-0.63</v>
      </c>
      <c r="T472" s="9">
        <v>-1.59</v>
      </c>
      <c r="U472" s="9">
        <v>19434.074209999999</v>
      </c>
      <c r="V472" s="45">
        <f t="shared" si="39"/>
        <v>-1.0000818150626996</v>
      </c>
      <c r="W472" s="12">
        <v>-161.11000000000001</v>
      </c>
      <c r="X472" s="12">
        <v>0.39</v>
      </c>
      <c r="Y472" s="62"/>
    </row>
    <row r="473" spans="1:25" x14ac:dyDescent="0.2">
      <c r="A473" s="3" t="s">
        <v>2785</v>
      </c>
      <c r="B473" s="3" t="s">
        <v>2786</v>
      </c>
      <c r="C473" s="6" t="s">
        <v>354</v>
      </c>
      <c r="D473" s="6" t="s">
        <v>306</v>
      </c>
      <c r="E473" s="6" t="s">
        <v>218</v>
      </c>
      <c r="F473" s="6">
        <v>6834.58</v>
      </c>
      <c r="G473" s="2">
        <v>12</v>
      </c>
      <c r="H473" s="61">
        <v>1.1100000000000001</v>
      </c>
      <c r="I473" s="61">
        <v>2.15</v>
      </c>
      <c r="J473" s="47">
        <f t="shared" si="35"/>
        <v>-0.90750000000000008</v>
      </c>
      <c r="K473" s="47">
        <f t="shared" si="36"/>
        <v>0.93693693693693669</v>
      </c>
      <c r="N473" s="8">
        <v>8.31</v>
      </c>
      <c r="O473" s="17">
        <f t="shared" si="37"/>
        <v>0</v>
      </c>
      <c r="P473" s="17">
        <f t="shared" si="38"/>
        <v>8.8693269230769256E-2</v>
      </c>
      <c r="Q473" s="17"/>
      <c r="R473" s="9">
        <v>20220527</v>
      </c>
      <c r="U473" s="9">
        <v>23422.089840000001</v>
      </c>
      <c r="V473" s="45">
        <f t="shared" si="39"/>
        <v>-1</v>
      </c>
      <c r="W473" s="12">
        <v>400</v>
      </c>
      <c r="X473" s="12">
        <v>3.42</v>
      </c>
      <c r="Y473" s="62">
        <v>0.46</v>
      </c>
    </row>
    <row r="474" spans="1:25" x14ac:dyDescent="0.2">
      <c r="A474" s="3" t="s">
        <v>2787</v>
      </c>
      <c r="B474" s="3" t="s">
        <v>728</v>
      </c>
      <c r="C474" s="6" t="s">
        <v>355</v>
      </c>
      <c r="D474" s="6" t="s">
        <v>729</v>
      </c>
      <c r="E474" s="6" t="s">
        <v>119</v>
      </c>
      <c r="F474" s="6">
        <v>186301.97</v>
      </c>
      <c r="G474" s="2">
        <v>7</v>
      </c>
      <c r="H474" s="61">
        <v>3.2</v>
      </c>
      <c r="I474" s="61">
        <v>3.35</v>
      </c>
      <c r="J474" s="47">
        <f t="shared" si="35"/>
        <v>-0.54285714285714282</v>
      </c>
      <c r="K474" s="47">
        <f t="shared" si="36"/>
        <v>4.6874999999999972E-2</v>
      </c>
      <c r="L474" s="8">
        <v>3.56</v>
      </c>
      <c r="M474" s="8">
        <v>13.35</v>
      </c>
      <c r="N474" s="8">
        <v>13.42</v>
      </c>
      <c r="O474" s="17">
        <f t="shared" si="37"/>
        <v>-0.24592105263157896</v>
      </c>
      <c r="P474" s="17">
        <f t="shared" si="38"/>
        <v>2.8629333333333351</v>
      </c>
      <c r="Q474" s="17">
        <v>12.65</v>
      </c>
      <c r="R474" s="9">
        <v>20220817</v>
      </c>
      <c r="S474" s="9">
        <v>31.22</v>
      </c>
      <c r="T474" s="9">
        <v>0.78</v>
      </c>
      <c r="U474" s="9">
        <v>51220.277340000001</v>
      </c>
      <c r="V474" s="45">
        <f t="shared" si="39"/>
        <v>-0.9999847716560607</v>
      </c>
      <c r="W474" s="12">
        <v>1.1599999999999999</v>
      </c>
      <c r="X474" s="12">
        <v>3.38</v>
      </c>
      <c r="Y474" s="62">
        <v>2.06</v>
      </c>
    </row>
    <row r="475" spans="1:25" x14ac:dyDescent="0.2">
      <c r="A475" s="3" t="s">
        <v>2788</v>
      </c>
      <c r="B475" s="3" t="s">
        <v>730</v>
      </c>
      <c r="C475" s="6" t="s">
        <v>355</v>
      </c>
      <c r="D475" s="6" t="s">
        <v>134</v>
      </c>
      <c r="E475" s="6" t="s">
        <v>119</v>
      </c>
      <c r="F475" s="6">
        <v>23523.89</v>
      </c>
      <c r="G475" s="2">
        <v>12</v>
      </c>
      <c r="H475" s="61">
        <v>1.08</v>
      </c>
      <c r="I475" s="61">
        <v>1.01</v>
      </c>
      <c r="J475" s="47">
        <f t="shared" si="35"/>
        <v>-0.91</v>
      </c>
      <c r="K475" s="47">
        <f t="shared" si="36"/>
        <v>-6.4814814814814867E-2</v>
      </c>
      <c r="L475" s="8">
        <v>1.24</v>
      </c>
      <c r="M475" s="8">
        <v>50.74</v>
      </c>
      <c r="N475" s="8">
        <v>58.55</v>
      </c>
      <c r="O475" s="17">
        <f t="shared" si="37"/>
        <v>-0.55758241758241756</v>
      </c>
      <c r="P475" s="17">
        <f t="shared" si="38"/>
        <v>-9.0334285714285638</v>
      </c>
      <c r="Q475" s="17">
        <v>47.8</v>
      </c>
      <c r="R475" s="9">
        <v>20220726</v>
      </c>
      <c r="S475" s="9">
        <v>7.25</v>
      </c>
      <c r="T475" s="9">
        <v>18.88</v>
      </c>
      <c r="U475" s="9">
        <v>2162.8081000000002</v>
      </c>
      <c r="V475" s="45">
        <f t="shared" si="39"/>
        <v>-0.99127060787316257</v>
      </c>
      <c r="W475" s="12">
        <v>10.71</v>
      </c>
      <c r="X475" s="12">
        <v>0</v>
      </c>
      <c r="Y475" s="62"/>
    </row>
    <row r="476" spans="1:25" x14ac:dyDescent="0.2">
      <c r="A476" s="3" t="s">
        <v>2789</v>
      </c>
      <c r="B476" s="3" t="s">
        <v>731</v>
      </c>
      <c r="C476" s="6" t="s">
        <v>354</v>
      </c>
      <c r="D476" s="6" t="s">
        <v>590</v>
      </c>
      <c r="E476" s="6" t="s">
        <v>589</v>
      </c>
      <c r="F476" s="6">
        <v>12976.31</v>
      </c>
      <c r="G476" s="2">
        <v>12</v>
      </c>
      <c r="H476" s="61">
        <v>9.1999999999999993</v>
      </c>
      <c r="I476" s="61">
        <v>17.64</v>
      </c>
      <c r="J476" s="47">
        <f t="shared" si="35"/>
        <v>-0.23333333333333339</v>
      </c>
      <c r="K476" s="47">
        <f t="shared" si="36"/>
        <v>0.91739130434782634</v>
      </c>
      <c r="L476" s="8">
        <v>19.5</v>
      </c>
      <c r="M476" s="8">
        <v>20.36</v>
      </c>
      <c r="N476" s="8">
        <v>14.23</v>
      </c>
      <c r="O476" s="17">
        <f t="shared" si="37"/>
        <v>-0.87257142857142833</v>
      </c>
      <c r="P476" s="17">
        <f t="shared" si="38"/>
        <v>0.15511374407582934</v>
      </c>
      <c r="Q476" s="17">
        <v>12.87</v>
      </c>
      <c r="R476" s="9">
        <v>20220728</v>
      </c>
      <c r="S476" s="9">
        <v>25.49</v>
      </c>
      <c r="T476" s="9">
        <v>3.52</v>
      </c>
      <c r="U476" s="9">
        <v>6423</v>
      </c>
      <c r="V476" s="45">
        <f t="shared" si="39"/>
        <v>-0.99945196948466442</v>
      </c>
      <c r="W476" s="12">
        <v>67.72</v>
      </c>
      <c r="X476" s="12">
        <v>0.86</v>
      </c>
      <c r="Y476" s="62">
        <v>0.84</v>
      </c>
    </row>
    <row r="477" spans="1:25" x14ac:dyDescent="0.2">
      <c r="A477" s="3" t="s">
        <v>2790</v>
      </c>
      <c r="B477" s="3" t="s">
        <v>732</v>
      </c>
      <c r="C477" s="6" t="s">
        <v>356</v>
      </c>
      <c r="D477" s="6" t="s">
        <v>185</v>
      </c>
      <c r="E477" s="6" t="s">
        <v>208</v>
      </c>
      <c r="F477" s="6">
        <v>92921.13</v>
      </c>
      <c r="G477" s="2">
        <v>6</v>
      </c>
      <c r="H477" s="61">
        <v>2.54</v>
      </c>
      <c r="I477" s="61">
        <v>2.5</v>
      </c>
      <c r="J477" s="47">
        <f t="shared" si="35"/>
        <v>-0.57666666666666666</v>
      </c>
      <c r="K477" s="47">
        <f t="shared" si="36"/>
        <v>-1.5748031496063006E-2</v>
      </c>
      <c r="L477" s="8">
        <v>2.99</v>
      </c>
      <c r="N477" s="8">
        <v>38.58</v>
      </c>
      <c r="O477" s="17">
        <f t="shared" si="37"/>
        <v>0</v>
      </c>
      <c r="P477" s="17">
        <f t="shared" si="38"/>
        <v>-24.498299999999976</v>
      </c>
      <c r="Q477" s="17">
        <v>32.200000000000003</v>
      </c>
      <c r="U477" s="9">
        <v>10756.230460000001</v>
      </c>
      <c r="V477" s="45">
        <f t="shared" si="39"/>
        <v>-1</v>
      </c>
      <c r="X477" s="12">
        <v>0.97</v>
      </c>
      <c r="Y477" s="62"/>
    </row>
    <row r="478" spans="1:25" x14ac:dyDescent="0.2">
      <c r="A478" s="3" t="s">
        <v>2100</v>
      </c>
      <c r="B478" s="3" t="s">
        <v>2101</v>
      </c>
      <c r="C478" s="6" t="s">
        <v>356</v>
      </c>
      <c r="D478" s="6" t="s">
        <v>1947</v>
      </c>
      <c r="E478" s="6" t="s">
        <v>218</v>
      </c>
      <c r="F478" s="6">
        <v>66033.539999999994</v>
      </c>
      <c r="G478" s="2">
        <v>12</v>
      </c>
      <c r="H478" s="61">
        <v>1.84</v>
      </c>
      <c r="I478" s="61">
        <v>2.38</v>
      </c>
      <c r="J478" s="47">
        <f t="shared" si="35"/>
        <v>-0.84666666666666668</v>
      </c>
      <c r="K478" s="47">
        <f t="shared" si="36"/>
        <v>0.29347826086956508</v>
      </c>
      <c r="L478" s="8">
        <v>2.1</v>
      </c>
      <c r="M478" s="8">
        <v>8.25</v>
      </c>
      <c r="N478" s="8">
        <v>5.58</v>
      </c>
      <c r="O478" s="17">
        <f t="shared" si="37"/>
        <v>-9.7440944881889757E-2</v>
      </c>
      <c r="P478" s="17">
        <f t="shared" si="38"/>
        <v>0.1901333333333334</v>
      </c>
      <c r="Q478" s="17">
        <v>6.32</v>
      </c>
      <c r="R478" s="9">
        <v>20220527</v>
      </c>
      <c r="S478" s="9">
        <v>11.76</v>
      </c>
      <c r="T478" s="9">
        <v>3.96</v>
      </c>
      <c r="U478" s="9">
        <v>49109.351560000003</v>
      </c>
      <c r="V478" s="45">
        <f t="shared" si="39"/>
        <v>-0.99991936362680012</v>
      </c>
      <c r="X478" s="12">
        <v>7.14</v>
      </c>
      <c r="Y478" s="62"/>
    </row>
    <row r="479" spans="1:25" x14ac:dyDescent="0.2">
      <c r="A479" s="3" t="s">
        <v>733</v>
      </c>
      <c r="B479" s="3" t="s">
        <v>733</v>
      </c>
      <c r="C479" s="6" t="s">
        <v>355</v>
      </c>
      <c r="D479" s="6" t="s">
        <v>239</v>
      </c>
      <c r="E479" s="6" t="s">
        <v>237</v>
      </c>
      <c r="F479" s="6">
        <v>68663.13</v>
      </c>
      <c r="G479" s="2">
        <v>12</v>
      </c>
      <c r="H479" s="61">
        <v>1.55</v>
      </c>
      <c r="I479" s="61">
        <v>1.82</v>
      </c>
      <c r="J479" s="47">
        <f t="shared" si="35"/>
        <v>-0.87083333333333324</v>
      </c>
      <c r="K479" s="47">
        <f t="shared" si="36"/>
        <v>0.17419354838709677</v>
      </c>
      <c r="L479" s="8">
        <v>1.96</v>
      </c>
      <c r="M479" s="8">
        <v>19.260000000000002</v>
      </c>
      <c r="N479" s="8">
        <v>17.34</v>
      </c>
      <c r="O479" s="17">
        <f t="shared" si="37"/>
        <v>-0.22116746411483257</v>
      </c>
      <c r="P479" s="17">
        <f t="shared" si="38"/>
        <v>0.99544444444444447</v>
      </c>
      <c r="Q479" s="17">
        <v>16.12</v>
      </c>
      <c r="R479" s="9">
        <v>20220720</v>
      </c>
      <c r="S479" s="9">
        <v>27.47</v>
      </c>
      <c r="T479" s="9">
        <v>0.11</v>
      </c>
      <c r="U479" s="9">
        <v>14320.124019999999</v>
      </c>
      <c r="V479" s="45">
        <f t="shared" si="39"/>
        <v>-0.99999231850228065</v>
      </c>
      <c r="W479" s="12">
        <v>2.63</v>
      </c>
      <c r="X479" s="12">
        <v>1.27</v>
      </c>
      <c r="Y479" s="62">
        <v>1.71</v>
      </c>
    </row>
    <row r="480" spans="1:25" x14ac:dyDescent="0.2">
      <c r="A480" s="3" t="s">
        <v>2791</v>
      </c>
      <c r="B480" s="3" t="s">
        <v>734</v>
      </c>
      <c r="C480" s="6" t="s">
        <v>355</v>
      </c>
      <c r="D480" s="6" t="s">
        <v>735</v>
      </c>
      <c r="E480" s="6" t="s">
        <v>201</v>
      </c>
      <c r="F480" s="6">
        <v>39234.44</v>
      </c>
      <c r="G480" s="2">
        <v>5</v>
      </c>
      <c r="H480" s="61">
        <v>10.08</v>
      </c>
      <c r="I480" s="61">
        <v>11.24</v>
      </c>
      <c r="J480" s="47">
        <f t="shared" si="35"/>
        <v>1.016</v>
      </c>
      <c r="K480" s="47">
        <f t="shared" si="36"/>
        <v>0.11507936507936509</v>
      </c>
      <c r="L480" s="8">
        <v>12.29</v>
      </c>
      <c r="M480" s="8">
        <v>34.76</v>
      </c>
      <c r="N480" s="8">
        <v>34.11</v>
      </c>
      <c r="O480" s="17">
        <f t="shared" si="37"/>
        <v>0.3421259842519685</v>
      </c>
      <c r="P480" s="17">
        <f t="shared" si="38"/>
        <v>2.9640413793103448</v>
      </c>
      <c r="Q480" s="17">
        <v>31.19</v>
      </c>
      <c r="R480" s="9">
        <v>20220721</v>
      </c>
      <c r="S480" s="9">
        <v>34.049999999999997</v>
      </c>
      <c r="T480" s="9">
        <v>5.32</v>
      </c>
      <c r="U480" s="9">
        <v>7782.02099</v>
      </c>
      <c r="V480" s="45">
        <f t="shared" si="39"/>
        <v>-0.99931637295673759</v>
      </c>
      <c r="W480" s="12">
        <v>8.91</v>
      </c>
      <c r="X480" s="12">
        <v>0.99</v>
      </c>
      <c r="Y480" s="62">
        <v>3.17</v>
      </c>
    </row>
    <row r="481" spans="1:25" x14ac:dyDescent="0.2">
      <c r="A481" s="3" t="s">
        <v>2792</v>
      </c>
      <c r="B481" s="3" t="s">
        <v>736</v>
      </c>
      <c r="C481" s="6" t="s">
        <v>354</v>
      </c>
      <c r="D481" s="6" t="s">
        <v>187</v>
      </c>
      <c r="E481" s="6" t="s">
        <v>208</v>
      </c>
      <c r="F481" s="6">
        <v>18095.16</v>
      </c>
      <c r="G481" s="2">
        <v>6</v>
      </c>
      <c r="H481" s="61">
        <v>2.94</v>
      </c>
      <c r="I481" s="61">
        <v>3.79</v>
      </c>
      <c r="J481" s="47">
        <f t="shared" si="35"/>
        <v>-0.51</v>
      </c>
      <c r="K481" s="47">
        <f t="shared" si="36"/>
        <v>0.28911564625850344</v>
      </c>
      <c r="L481" s="8">
        <v>4.2300000000000004</v>
      </c>
      <c r="M481" s="8">
        <v>26.5</v>
      </c>
      <c r="N481" s="8">
        <v>26.67</v>
      </c>
      <c r="O481" s="17">
        <f t="shared" si="37"/>
        <v>-0.51960784313725494</v>
      </c>
      <c r="P481" s="17">
        <f t="shared" si="38"/>
        <v>0.92246823529411748</v>
      </c>
      <c r="Q481" s="17">
        <v>23.85</v>
      </c>
      <c r="R481" s="9">
        <v>20220829</v>
      </c>
      <c r="S481" s="9">
        <v>15.07</v>
      </c>
      <c r="T481" s="9">
        <v>17.84</v>
      </c>
      <c r="U481" s="9">
        <v>4846.52783</v>
      </c>
      <c r="V481" s="45">
        <f t="shared" si="39"/>
        <v>-0.99631901422507663</v>
      </c>
      <c r="W481" s="12">
        <v>10.64</v>
      </c>
      <c r="X481" s="12">
        <v>0</v>
      </c>
      <c r="Y481" s="62">
        <v>1.55</v>
      </c>
    </row>
    <row r="482" spans="1:25" x14ac:dyDescent="0.2">
      <c r="A482" s="3" t="s">
        <v>2793</v>
      </c>
      <c r="B482" s="3" t="s">
        <v>2102</v>
      </c>
      <c r="C482" s="6" t="s">
        <v>356</v>
      </c>
      <c r="D482" s="6" t="s">
        <v>590</v>
      </c>
      <c r="E482" s="6" t="s">
        <v>589</v>
      </c>
      <c r="F482" s="6">
        <v>31708.39</v>
      </c>
      <c r="G482" s="2">
        <v>12</v>
      </c>
      <c r="H482" s="61"/>
      <c r="I482" s="61"/>
      <c r="J482" s="47">
        <f t="shared" si="35"/>
        <v>-1</v>
      </c>
      <c r="K482" s="47" t="e">
        <f t="shared" si="36"/>
        <v>#DIV/0!</v>
      </c>
      <c r="O482" s="17">
        <f t="shared" si="37"/>
        <v>0</v>
      </c>
      <c r="P482" s="17" t="e">
        <f t="shared" si="38"/>
        <v>#DIV/0!</v>
      </c>
      <c r="Q482" s="17"/>
      <c r="V482" s="45" t="e">
        <f t="shared" si="39"/>
        <v>#DIV/0!</v>
      </c>
      <c r="X482" s="12">
        <v>5.76</v>
      </c>
      <c r="Y482" s="62"/>
    </row>
    <row r="483" spans="1:25" x14ac:dyDescent="0.2">
      <c r="A483" s="3" t="s">
        <v>2794</v>
      </c>
      <c r="B483" s="3" t="s">
        <v>2795</v>
      </c>
      <c r="C483" s="6" t="s">
        <v>354</v>
      </c>
      <c r="D483" s="6" t="s">
        <v>200</v>
      </c>
      <c r="E483" s="6" t="s">
        <v>218</v>
      </c>
      <c r="F483" s="6">
        <v>27921.15</v>
      </c>
      <c r="G483" s="2">
        <v>12</v>
      </c>
      <c r="H483" s="61">
        <v>4.8</v>
      </c>
      <c r="I483" s="61">
        <v>4.09</v>
      </c>
      <c r="J483" s="47">
        <f t="shared" si="35"/>
        <v>-0.6</v>
      </c>
      <c r="K483" s="47">
        <f t="shared" si="36"/>
        <v>-0.14791666666666667</v>
      </c>
      <c r="L483" s="8">
        <v>3.36</v>
      </c>
      <c r="M483" s="8">
        <v>13.23</v>
      </c>
      <c r="N483" s="8">
        <v>8.4700000000000006</v>
      </c>
      <c r="O483" s="17">
        <f t="shared" si="37"/>
        <v>-0.2205</v>
      </c>
      <c r="P483" s="17">
        <f t="shared" si="38"/>
        <v>-0.57261971830985925</v>
      </c>
      <c r="Q483" s="17">
        <v>10.31</v>
      </c>
      <c r="R483" s="9">
        <v>20220729</v>
      </c>
      <c r="S483" s="9">
        <v>24.79</v>
      </c>
      <c r="T483" s="9">
        <v>6.59</v>
      </c>
      <c r="U483" s="9">
        <v>8117.6450100000002</v>
      </c>
      <c r="V483" s="45">
        <f t="shared" si="39"/>
        <v>-0.99918818820090283</v>
      </c>
      <c r="W483" s="12">
        <v>24.69</v>
      </c>
      <c r="X483" s="12">
        <v>1.73</v>
      </c>
      <c r="Y483" s="62">
        <v>0.15</v>
      </c>
    </row>
    <row r="484" spans="1:25" x14ac:dyDescent="0.2">
      <c r="A484" s="3" t="s">
        <v>2796</v>
      </c>
      <c r="B484" s="3" t="s">
        <v>737</v>
      </c>
      <c r="C484" s="6" t="s">
        <v>356</v>
      </c>
      <c r="D484" s="6" t="s">
        <v>357</v>
      </c>
      <c r="E484" s="6" t="s">
        <v>163</v>
      </c>
      <c r="F484" s="6">
        <v>14592.75</v>
      </c>
      <c r="G484" s="2">
        <v>12</v>
      </c>
      <c r="H484" s="61">
        <v>4.82</v>
      </c>
      <c r="I484" s="61">
        <v>4.6399999999999997</v>
      </c>
      <c r="J484" s="47">
        <f t="shared" si="35"/>
        <v>-0.59833333333333327</v>
      </c>
      <c r="K484" s="47">
        <f t="shared" si="36"/>
        <v>-3.7344398340249087E-2</v>
      </c>
      <c r="L484" s="8">
        <v>4.68</v>
      </c>
      <c r="N484" s="8">
        <v>3.4</v>
      </c>
      <c r="O484" s="17">
        <f t="shared" si="37"/>
        <v>0</v>
      </c>
      <c r="P484" s="17">
        <f t="shared" si="38"/>
        <v>-0.91044444444444139</v>
      </c>
      <c r="Q484" s="17">
        <v>3.37</v>
      </c>
      <c r="U484" s="9">
        <v>86018.867180000001</v>
      </c>
      <c r="V484" s="45">
        <f t="shared" si="39"/>
        <v>-1</v>
      </c>
      <c r="X484" s="12">
        <v>10.7</v>
      </c>
      <c r="Y484" s="62"/>
    </row>
    <row r="485" spans="1:25" x14ac:dyDescent="0.2">
      <c r="A485" s="3" t="s">
        <v>2797</v>
      </c>
      <c r="B485" s="3" t="s">
        <v>738</v>
      </c>
      <c r="C485" s="6" t="s">
        <v>355</v>
      </c>
      <c r="D485" s="6" t="s">
        <v>125</v>
      </c>
      <c r="E485" s="6" t="s">
        <v>119</v>
      </c>
      <c r="F485" s="6">
        <v>37910.18</v>
      </c>
      <c r="G485" s="2">
        <v>12</v>
      </c>
      <c r="H485" s="61">
        <v>4.0599999999999996</v>
      </c>
      <c r="I485" s="61">
        <v>4.51</v>
      </c>
      <c r="J485" s="47">
        <f t="shared" si="35"/>
        <v>-0.66166666666666674</v>
      </c>
      <c r="K485" s="47">
        <f t="shared" si="36"/>
        <v>0.11083743842364538</v>
      </c>
      <c r="L485" s="8">
        <v>5.01</v>
      </c>
      <c r="M485" s="8">
        <v>17.2</v>
      </c>
      <c r="N485" s="8">
        <v>16.14</v>
      </c>
      <c r="O485" s="17">
        <f t="shared" si="37"/>
        <v>-0.25994962216624684</v>
      </c>
      <c r="P485" s="17">
        <f t="shared" si="38"/>
        <v>1.4561866666666661</v>
      </c>
      <c r="Q485" s="17">
        <v>14.53</v>
      </c>
      <c r="R485" s="9">
        <v>20220727</v>
      </c>
      <c r="S485" s="9">
        <v>19.07</v>
      </c>
      <c r="T485" s="9">
        <v>5.01</v>
      </c>
      <c r="U485" s="9">
        <v>19994.783200000002</v>
      </c>
      <c r="V485" s="45">
        <f t="shared" si="39"/>
        <v>-0.99974943464253219</v>
      </c>
      <c r="W485" s="12">
        <v>3.85</v>
      </c>
      <c r="X485" s="12">
        <v>1.48</v>
      </c>
      <c r="Y485" s="62">
        <v>1.34</v>
      </c>
    </row>
    <row r="486" spans="1:25" x14ac:dyDescent="0.2">
      <c r="A486" s="3" t="s">
        <v>2798</v>
      </c>
      <c r="B486" s="3" t="s">
        <v>739</v>
      </c>
      <c r="C486" s="6" t="s">
        <v>356</v>
      </c>
      <c r="D486" s="6" t="s">
        <v>54</v>
      </c>
      <c r="E486" s="6" t="s">
        <v>35</v>
      </c>
      <c r="F486" s="6">
        <v>15020.45</v>
      </c>
      <c r="G486" s="2">
        <v>12</v>
      </c>
      <c r="H486" s="61">
        <v>0.68</v>
      </c>
      <c r="I486" s="61">
        <v>0.61</v>
      </c>
      <c r="J486" s="47">
        <f t="shared" si="35"/>
        <v>-0.94333333333333336</v>
      </c>
      <c r="K486" s="47">
        <f t="shared" si="36"/>
        <v>-0.10294117647058831</v>
      </c>
      <c r="L486" s="8">
        <v>1.01</v>
      </c>
      <c r="M486" s="8">
        <v>9.27</v>
      </c>
      <c r="N486" s="8">
        <v>12.24</v>
      </c>
      <c r="O486" s="17">
        <f t="shared" si="37"/>
        <v>-9.8268551236749102E-2</v>
      </c>
      <c r="P486" s="17">
        <f t="shared" si="38"/>
        <v>-1.1890285714285704</v>
      </c>
      <c r="Q486" s="17">
        <v>7.4</v>
      </c>
      <c r="R486" s="9">
        <v>20220804</v>
      </c>
      <c r="S486" s="9">
        <v>8.74</v>
      </c>
      <c r="T486" s="9">
        <v>-4.82</v>
      </c>
      <c r="U486" s="9">
        <v>40141.734369999998</v>
      </c>
      <c r="V486" s="45">
        <f t="shared" si="39"/>
        <v>-1.0001200745327936</v>
      </c>
      <c r="W486" s="12">
        <v>25</v>
      </c>
      <c r="X486" s="12">
        <v>3.09</v>
      </c>
      <c r="Y486" s="62">
        <v>0.28000000000000003</v>
      </c>
    </row>
    <row r="487" spans="1:25" x14ac:dyDescent="0.2">
      <c r="A487" s="3" t="s">
        <v>2799</v>
      </c>
      <c r="B487" s="3" t="s">
        <v>740</v>
      </c>
      <c r="C487" s="6" t="s">
        <v>354</v>
      </c>
      <c r="D487" s="6" t="s">
        <v>290</v>
      </c>
      <c r="E487" s="6" t="s">
        <v>154</v>
      </c>
      <c r="F487" s="6">
        <v>45716.13</v>
      </c>
      <c r="G487" s="2">
        <v>12</v>
      </c>
      <c r="H487" s="61">
        <v>2.14</v>
      </c>
      <c r="I487" s="61">
        <v>2.54</v>
      </c>
      <c r="J487" s="47">
        <f t="shared" si="35"/>
        <v>-0.82166666666666666</v>
      </c>
      <c r="K487" s="47">
        <f t="shared" si="36"/>
        <v>0.18691588785046723</v>
      </c>
      <c r="L487" s="8">
        <v>2.99</v>
      </c>
      <c r="M487" s="8">
        <v>27.35</v>
      </c>
      <c r="N487" s="8">
        <v>24.92</v>
      </c>
      <c r="O487" s="17">
        <f t="shared" si="37"/>
        <v>-0.33286004056795132</v>
      </c>
      <c r="P487" s="17">
        <f t="shared" si="38"/>
        <v>1.3332200000000005</v>
      </c>
      <c r="Q487" s="17">
        <v>21.11</v>
      </c>
      <c r="R487" s="9">
        <v>20220804</v>
      </c>
      <c r="S487" s="9">
        <v>6.7</v>
      </c>
      <c r="U487" s="9">
        <v>17049.462889999999</v>
      </c>
      <c r="V487" s="45">
        <f t="shared" si="39"/>
        <v>-1</v>
      </c>
      <c r="W487" s="12">
        <v>19.75</v>
      </c>
      <c r="X487" s="12">
        <v>0.89</v>
      </c>
      <c r="Y487" s="62">
        <v>1.86</v>
      </c>
    </row>
    <row r="488" spans="1:25" x14ac:dyDescent="0.2">
      <c r="A488" s="3" t="s">
        <v>2800</v>
      </c>
      <c r="B488" s="3" t="s">
        <v>741</v>
      </c>
      <c r="C488" s="6" t="s">
        <v>355</v>
      </c>
      <c r="D488" s="6" t="s">
        <v>132</v>
      </c>
      <c r="E488" s="6" t="s">
        <v>119</v>
      </c>
      <c r="F488" s="6">
        <v>12712.42</v>
      </c>
      <c r="G488" s="2">
        <v>12</v>
      </c>
      <c r="H488" s="61">
        <v>4.9000000000000004</v>
      </c>
      <c r="I488" s="61">
        <v>5.0599999999999996</v>
      </c>
      <c r="J488" s="47">
        <f t="shared" si="35"/>
        <v>-0.59166666666666667</v>
      </c>
      <c r="K488" s="47">
        <f t="shared" si="36"/>
        <v>3.2653061224489639E-2</v>
      </c>
      <c r="L488" s="8">
        <v>5.41</v>
      </c>
      <c r="M488" s="8">
        <v>21.28</v>
      </c>
      <c r="N488" s="8">
        <v>19.850000000000001</v>
      </c>
      <c r="O488" s="17">
        <f t="shared" si="37"/>
        <v>-0.35966197183098597</v>
      </c>
      <c r="P488" s="17">
        <f t="shared" si="38"/>
        <v>6.0790625000000293</v>
      </c>
      <c r="Q488" s="17">
        <v>18.559999999999999</v>
      </c>
      <c r="R488" s="9">
        <v>20220804</v>
      </c>
      <c r="S488" s="9">
        <v>81.680000000000007</v>
      </c>
      <c r="T488" s="9">
        <v>2.52</v>
      </c>
      <c r="U488" s="9">
        <v>3270</v>
      </c>
      <c r="V488" s="45">
        <f t="shared" si="39"/>
        <v>-0.99922935779816513</v>
      </c>
      <c r="W488" s="12">
        <v>-27.68</v>
      </c>
      <c r="X488" s="12">
        <v>1.1100000000000001</v>
      </c>
      <c r="Y488" s="62"/>
    </row>
    <row r="489" spans="1:25" x14ac:dyDescent="0.2">
      <c r="A489" s="3" t="s">
        <v>742</v>
      </c>
      <c r="B489" s="3" t="s">
        <v>743</v>
      </c>
      <c r="C489" s="6" t="s">
        <v>354</v>
      </c>
      <c r="D489" s="6" t="s">
        <v>215</v>
      </c>
      <c r="E489" s="6" t="s">
        <v>163</v>
      </c>
      <c r="F489" s="6">
        <v>9837.11</v>
      </c>
      <c r="G489" s="2">
        <v>12</v>
      </c>
      <c r="H489" s="61">
        <v>2.1</v>
      </c>
      <c r="I489" s="61">
        <v>2.4500000000000002</v>
      </c>
      <c r="J489" s="47">
        <f t="shared" si="35"/>
        <v>-0.82500000000000007</v>
      </c>
      <c r="K489" s="47">
        <f t="shared" si="36"/>
        <v>0.16666666666666671</v>
      </c>
      <c r="L489" s="8">
        <v>2.63</v>
      </c>
      <c r="M489" s="8">
        <v>19.739999999999998</v>
      </c>
      <c r="N489" s="8">
        <v>17.88</v>
      </c>
      <c r="O489" s="17">
        <f t="shared" si="37"/>
        <v>-0.23927272727272725</v>
      </c>
      <c r="P489" s="17">
        <f t="shared" si="38"/>
        <v>1.0727999999999995</v>
      </c>
      <c r="Q489" s="17">
        <v>16.670000000000002</v>
      </c>
      <c r="R489" s="9">
        <v>20220804</v>
      </c>
      <c r="S489" s="9">
        <v>10.78</v>
      </c>
      <c r="T489" s="9">
        <v>8.73</v>
      </c>
      <c r="U489" s="9">
        <v>983.60198000000003</v>
      </c>
      <c r="V489" s="45">
        <f t="shared" si="39"/>
        <v>-0.99112445869618926</v>
      </c>
      <c r="W489" s="12">
        <v>1.75</v>
      </c>
      <c r="X489" s="12">
        <v>3.92</v>
      </c>
      <c r="Y489" s="62">
        <v>2.41</v>
      </c>
    </row>
    <row r="490" spans="1:25" x14ac:dyDescent="0.2">
      <c r="A490" s="3" t="s">
        <v>2801</v>
      </c>
      <c r="B490" s="3" t="s">
        <v>2103</v>
      </c>
      <c r="C490" s="6" t="s">
        <v>356</v>
      </c>
      <c r="D490" s="6" t="s">
        <v>544</v>
      </c>
      <c r="E490" s="6" t="s">
        <v>146</v>
      </c>
      <c r="F490" s="6">
        <v>4192.38</v>
      </c>
      <c r="G490" s="2">
        <v>3</v>
      </c>
      <c r="H490" s="61">
        <v>0.63</v>
      </c>
      <c r="I490" s="61"/>
      <c r="J490" s="47">
        <f t="shared" si="35"/>
        <v>-0.79</v>
      </c>
      <c r="K490" s="47">
        <f t="shared" si="36"/>
        <v>-1</v>
      </c>
      <c r="O490" s="17">
        <f t="shared" si="37"/>
        <v>0</v>
      </c>
      <c r="P490" s="17">
        <f t="shared" si="38"/>
        <v>0</v>
      </c>
      <c r="Q490" s="17"/>
      <c r="R490" s="9">
        <v>20220706</v>
      </c>
      <c r="U490" s="9">
        <v>11213.320309999999</v>
      </c>
      <c r="V490" s="45">
        <f t="shared" si="39"/>
        <v>-1</v>
      </c>
      <c r="X490" s="12">
        <v>3.34</v>
      </c>
      <c r="Y490" s="62"/>
    </row>
    <row r="491" spans="1:25" x14ac:dyDescent="0.2">
      <c r="A491" s="3" t="s">
        <v>2802</v>
      </c>
      <c r="B491" s="3" t="s">
        <v>744</v>
      </c>
      <c r="C491" s="6" t="s">
        <v>354</v>
      </c>
      <c r="D491" s="6" t="s">
        <v>215</v>
      </c>
      <c r="E491" s="6" t="s">
        <v>163</v>
      </c>
      <c r="F491" s="6">
        <v>5071.3500000000004</v>
      </c>
      <c r="G491" s="2">
        <v>12</v>
      </c>
      <c r="H491" s="61">
        <v>2.75</v>
      </c>
      <c r="I491" s="61">
        <v>2.73</v>
      </c>
      <c r="J491" s="47">
        <f t="shared" si="35"/>
        <v>-0.77083333333333337</v>
      </c>
      <c r="K491" s="47">
        <f t="shared" si="36"/>
        <v>-7.2727272727272788E-3</v>
      </c>
      <c r="L491" s="8">
        <v>2.88</v>
      </c>
      <c r="M491" s="8">
        <v>12.44</v>
      </c>
      <c r="N491" s="8">
        <v>12.49</v>
      </c>
      <c r="O491" s="17">
        <f t="shared" si="37"/>
        <v>-0.16138378378378376</v>
      </c>
      <c r="P491" s="17">
        <f t="shared" si="38"/>
        <v>-17.173749999999988</v>
      </c>
      <c r="Q491" s="17">
        <v>11.82</v>
      </c>
      <c r="R491" s="9">
        <v>20220804</v>
      </c>
      <c r="S491" s="9">
        <v>6.12</v>
      </c>
      <c r="T491" s="9">
        <v>15.51</v>
      </c>
      <c r="U491" s="9">
        <v>761.48797000000002</v>
      </c>
      <c r="V491" s="45">
        <f t="shared" si="39"/>
        <v>-0.97963198289265163</v>
      </c>
      <c r="W491" s="12">
        <v>0</v>
      </c>
      <c r="X491" s="12">
        <v>3.75</v>
      </c>
      <c r="Y491" s="62">
        <v>3.41</v>
      </c>
    </row>
    <row r="492" spans="1:25" x14ac:dyDescent="0.2">
      <c r="A492" s="3" t="s">
        <v>2803</v>
      </c>
      <c r="B492" s="3" t="s">
        <v>745</v>
      </c>
      <c r="C492" s="6" t="s">
        <v>355</v>
      </c>
      <c r="D492" s="6" t="s">
        <v>185</v>
      </c>
      <c r="E492" s="6" t="s">
        <v>208</v>
      </c>
      <c r="F492" s="6">
        <v>3527.23</v>
      </c>
      <c r="G492" s="2">
        <v>12</v>
      </c>
      <c r="H492" s="61">
        <v>-3.35</v>
      </c>
      <c r="I492" s="61">
        <v>-2.61</v>
      </c>
      <c r="J492" s="47">
        <f t="shared" si="35"/>
        <v>-1.2791666666666666</v>
      </c>
      <c r="K492" s="47">
        <f t="shared" si="36"/>
        <v>0.22089552238805976</v>
      </c>
      <c r="L492" s="8">
        <v>-2.25</v>
      </c>
      <c r="O492" s="17">
        <f t="shared" si="37"/>
        <v>0</v>
      </c>
      <c r="P492" s="17">
        <f t="shared" si="38"/>
        <v>0</v>
      </c>
      <c r="Q492" s="17"/>
      <c r="R492" s="9">
        <v>20220728</v>
      </c>
      <c r="U492" s="9">
        <v>43.2</v>
      </c>
      <c r="V492" s="45">
        <f t="shared" si="39"/>
        <v>-1</v>
      </c>
      <c r="X492" s="12">
        <v>0</v>
      </c>
      <c r="Y492" s="62"/>
    </row>
    <row r="493" spans="1:25" x14ac:dyDescent="0.2">
      <c r="A493" s="3" t="s">
        <v>2804</v>
      </c>
      <c r="B493" s="3" t="s">
        <v>1860</v>
      </c>
      <c r="C493" s="6" t="s">
        <v>355</v>
      </c>
      <c r="D493" s="6" t="s">
        <v>113</v>
      </c>
      <c r="E493" s="6" t="s">
        <v>163</v>
      </c>
      <c r="F493" s="6">
        <v>3475.65</v>
      </c>
      <c r="G493" s="2">
        <v>12</v>
      </c>
      <c r="H493" s="61">
        <v>1.55</v>
      </c>
      <c r="I493" s="61">
        <v>1.53</v>
      </c>
      <c r="J493" s="47">
        <f t="shared" si="35"/>
        <v>-0.87083333333333324</v>
      </c>
      <c r="K493" s="47">
        <f t="shared" si="36"/>
        <v>-1.2903225806451623E-2</v>
      </c>
      <c r="L493" s="8">
        <v>1.79</v>
      </c>
      <c r="M493" s="8">
        <v>17.48</v>
      </c>
      <c r="N493" s="8">
        <v>16.13</v>
      </c>
      <c r="O493" s="17">
        <f t="shared" si="37"/>
        <v>-0.20072727272727275</v>
      </c>
      <c r="P493" s="17">
        <f t="shared" si="38"/>
        <v>-12.500749999999989</v>
      </c>
      <c r="Q493" s="17">
        <v>13.75</v>
      </c>
      <c r="R493" s="9">
        <v>20220720</v>
      </c>
      <c r="S493" s="9">
        <v>9.39</v>
      </c>
      <c r="T493" s="9">
        <v>10.27</v>
      </c>
      <c r="U493" s="9">
        <v>527.33299999999997</v>
      </c>
      <c r="V493" s="45">
        <f t="shared" si="39"/>
        <v>-0.98052464002821749</v>
      </c>
      <c r="W493" s="12">
        <v>3.33</v>
      </c>
      <c r="X493" s="12">
        <v>2.92</v>
      </c>
      <c r="Y493" s="62"/>
    </row>
    <row r="494" spans="1:25" x14ac:dyDescent="0.2">
      <c r="A494" s="3" t="s">
        <v>2805</v>
      </c>
      <c r="B494" s="3" t="s">
        <v>746</v>
      </c>
      <c r="C494" s="6" t="s">
        <v>354</v>
      </c>
      <c r="D494" s="6" t="s">
        <v>747</v>
      </c>
      <c r="E494" s="6" t="s">
        <v>218</v>
      </c>
      <c r="F494" s="6">
        <v>43353.36</v>
      </c>
      <c r="G494" s="2">
        <v>12</v>
      </c>
      <c r="H494" s="61">
        <v>0.79</v>
      </c>
      <c r="I494" s="61">
        <v>2.68</v>
      </c>
      <c r="J494" s="47">
        <f t="shared" si="35"/>
        <v>-0.9341666666666667</v>
      </c>
      <c r="K494" s="47">
        <f t="shared" si="36"/>
        <v>2.3924050632911391</v>
      </c>
      <c r="L494" s="8">
        <v>2.71</v>
      </c>
      <c r="M494" s="8">
        <v>16.329999999999998</v>
      </c>
      <c r="N494" s="8">
        <v>8.23</v>
      </c>
      <c r="O494" s="17">
        <f t="shared" si="37"/>
        <v>-0.17480820695807311</v>
      </c>
      <c r="P494" s="17">
        <f t="shared" si="38"/>
        <v>3.4400529100529105E-2</v>
      </c>
      <c r="Q494" s="17">
        <v>8.14</v>
      </c>
      <c r="R494" s="9">
        <v>20220804</v>
      </c>
      <c r="S494" s="9">
        <v>14.73</v>
      </c>
      <c r="T494" s="9">
        <v>17</v>
      </c>
      <c r="U494" s="9">
        <v>43232.898430000001</v>
      </c>
      <c r="V494" s="45">
        <f t="shared" si="39"/>
        <v>-0.99960678093263799</v>
      </c>
      <c r="W494" s="12">
        <v>-3.12</v>
      </c>
      <c r="X494" s="12">
        <v>0.5</v>
      </c>
      <c r="Y494" s="62"/>
    </row>
    <row r="495" spans="1:25" x14ac:dyDescent="0.2">
      <c r="A495" s="3" t="s">
        <v>2806</v>
      </c>
      <c r="B495" s="3" t="s">
        <v>2807</v>
      </c>
      <c r="C495" s="6" t="s">
        <v>354</v>
      </c>
      <c r="D495" s="6" t="s">
        <v>207</v>
      </c>
      <c r="E495" s="6" t="s">
        <v>218</v>
      </c>
      <c r="F495" s="6">
        <v>3376.8</v>
      </c>
      <c r="G495" s="2">
        <v>12</v>
      </c>
      <c r="H495" s="61">
        <v>-2.1</v>
      </c>
      <c r="I495" s="61">
        <v>3.08</v>
      </c>
      <c r="J495" s="47">
        <f t="shared" si="35"/>
        <v>-1.175</v>
      </c>
      <c r="K495" s="47">
        <f t="shared" si="36"/>
        <v>2.4666666666666663</v>
      </c>
      <c r="L495" s="8">
        <v>2.2200000000000002</v>
      </c>
      <c r="N495" s="8">
        <v>10.92</v>
      </c>
      <c r="O495" s="17">
        <f t="shared" si="37"/>
        <v>0</v>
      </c>
      <c r="P495" s="17">
        <f t="shared" si="38"/>
        <v>4.4270270270270279E-2</v>
      </c>
      <c r="Q495" s="17">
        <v>15.1</v>
      </c>
      <c r="R495" s="9">
        <v>20220801</v>
      </c>
      <c r="S495" s="9">
        <v>-9.5</v>
      </c>
      <c r="T495" s="9">
        <v>-1.47</v>
      </c>
      <c r="U495" s="9">
        <v>9351.0449200000003</v>
      </c>
      <c r="V495" s="45">
        <f t="shared" si="39"/>
        <v>-1.000157201683082</v>
      </c>
      <c r="W495" s="12">
        <v>120</v>
      </c>
      <c r="X495" s="12">
        <v>4.76</v>
      </c>
      <c r="Y495" s="62"/>
    </row>
    <row r="496" spans="1:25" x14ac:dyDescent="0.2">
      <c r="A496" s="3" t="s">
        <v>2808</v>
      </c>
      <c r="B496" s="3" t="s">
        <v>748</v>
      </c>
      <c r="C496" s="6" t="s">
        <v>354</v>
      </c>
      <c r="D496" s="6" t="s">
        <v>174</v>
      </c>
      <c r="E496" s="6" t="s">
        <v>231</v>
      </c>
      <c r="F496" s="6">
        <v>5378.61</v>
      </c>
      <c r="G496" s="2">
        <v>12</v>
      </c>
      <c r="H496" s="61">
        <v>-1.45</v>
      </c>
      <c r="I496" s="61">
        <v>-6.75</v>
      </c>
      <c r="J496" s="47">
        <f t="shared" si="35"/>
        <v>-1.1208333333333333</v>
      </c>
      <c r="K496" s="47">
        <f t="shared" si="36"/>
        <v>-3.6551724137931036</v>
      </c>
      <c r="L496" s="8">
        <v>-3.34</v>
      </c>
      <c r="O496" s="17">
        <f t="shared" si="37"/>
        <v>0</v>
      </c>
      <c r="P496" s="17">
        <f t="shared" si="38"/>
        <v>0</v>
      </c>
      <c r="Q496" s="17"/>
      <c r="R496" s="9">
        <v>20220804</v>
      </c>
      <c r="S496" s="9">
        <v>-69.88</v>
      </c>
      <c r="T496" s="9">
        <v>91.38</v>
      </c>
      <c r="U496" s="9">
        <v>16156.684569999999</v>
      </c>
      <c r="V496" s="45">
        <f t="shared" si="39"/>
        <v>-0.99434413665723997</v>
      </c>
      <c r="W496" s="12">
        <v>-68.02</v>
      </c>
      <c r="X496" s="12">
        <v>0</v>
      </c>
      <c r="Y496" s="62"/>
    </row>
    <row r="497" spans="1:25" x14ac:dyDescent="0.2">
      <c r="A497" s="3" t="s">
        <v>2809</v>
      </c>
      <c r="B497" s="3" t="s">
        <v>749</v>
      </c>
      <c r="C497" s="6" t="s">
        <v>354</v>
      </c>
      <c r="D497" s="6" t="s">
        <v>222</v>
      </c>
      <c r="E497" s="6" t="s">
        <v>231</v>
      </c>
      <c r="F497" s="6">
        <v>128246.03</v>
      </c>
      <c r="G497" s="2">
        <v>12</v>
      </c>
      <c r="H497" s="61">
        <v>8.3699999999999992</v>
      </c>
      <c r="I497" s="61">
        <v>8.33</v>
      </c>
      <c r="J497" s="47">
        <f t="shared" si="35"/>
        <v>-0.30250000000000005</v>
      </c>
      <c r="K497" s="47">
        <f t="shared" si="36"/>
        <v>-4.778972520907903E-3</v>
      </c>
      <c r="L497" s="8">
        <v>9.07</v>
      </c>
      <c r="M497" s="8">
        <v>11.39</v>
      </c>
      <c r="N497" s="8">
        <v>11.74</v>
      </c>
      <c r="O497" s="17">
        <f t="shared" si="37"/>
        <v>-0.3765289256198347</v>
      </c>
      <c r="P497" s="17">
        <f t="shared" si="38"/>
        <v>-24.565950000000523</v>
      </c>
      <c r="Q497" s="17">
        <v>10.78</v>
      </c>
      <c r="R497" s="9">
        <v>20220803</v>
      </c>
      <c r="S497" s="9">
        <v>15.33</v>
      </c>
      <c r="T497" s="9">
        <v>12.95</v>
      </c>
      <c r="U497" s="9">
        <v>308340.6875</v>
      </c>
      <c r="V497" s="45">
        <f t="shared" si="39"/>
        <v>-0.99995800100173282</v>
      </c>
      <c r="W497" s="12">
        <v>3.74</v>
      </c>
      <c r="X497" s="12">
        <v>2.25</v>
      </c>
      <c r="Y497" s="62">
        <v>1.54</v>
      </c>
    </row>
    <row r="498" spans="1:25" x14ac:dyDescent="0.2">
      <c r="A498" s="3" t="s">
        <v>2810</v>
      </c>
      <c r="B498" s="3" t="s">
        <v>750</v>
      </c>
      <c r="C498" s="6" t="s">
        <v>354</v>
      </c>
      <c r="D498" s="6" t="s">
        <v>204</v>
      </c>
      <c r="E498" s="6" t="s">
        <v>218</v>
      </c>
      <c r="F498" s="6">
        <v>346966.41</v>
      </c>
      <c r="G498" s="2">
        <v>12</v>
      </c>
      <c r="H498" s="61">
        <v>8.51</v>
      </c>
      <c r="I498" s="61">
        <v>16.95</v>
      </c>
      <c r="J498" s="47">
        <f t="shared" si="35"/>
        <v>-0.29083333333333333</v>
      </c>
      <c r="K498" s="47">
        <f t="shared" si="36"/>
        <v>0.99177438307873089</v>
      </c>
      <c r="L498" s="8">
        <v>15</v>
      </c>
      <c r="M498" s="8">
        <v>16.670000000000002</v>
      </c>
      <c r="N498" s="8">
        <v>10.42</v>
      </c>
      <c r="O498" s="17">
        <f t="shared" si="37"/>
        <v>-0.57318051575931239</v>
      </c>
      <c r="P498" s="17">
        <f t="shared" si="38"/>
        <v>0.10506421800947867</v>
      </c>
      <c r="Q498" s="17">
        <v>11.77</v>
      </c>
      <c r="R498" s="9">
        <v>20220729</v>
      </c>
      <c r="S498" s="9">
        <v>14.66</v>
      </c>
      <c r="T498" s="9">
        <v>-2.48</v>
      </c>
      <c r="U498" s="9">
        <v>218783.15625</v>
      </c>
      <c r="V498" s="45">
        <f t="shared" si="39"/>
        <v>-1.0000113354247306</v>
      </c>
      <c r="W498" s="12">
        <v>-2.33</v>
      </c>
      <c r="X498" s="12">
        <v>3.22</v>
      </c>
      <c r="Y498" s="62">
        <v>0.9</v>
      </c>
    </row>
    <row r="499" spans="1:25" x14ac:dyDescent="0.2">
      <c r="A499" s="3" t="s">
        <v>2811</v>
      </c>
      <c r="B499" s="3" t="s">
        <v>751</v>
      </c>
      <c r="C499" s="6" t="s">
        <v>354</v>
      </c>
      <c r="D499" s="6" t="s">
        <v>24</v>
      </c>
      <c r="E499" s="6" t="s">
        <v>10</v>
      </c>
      <c r="F499" s="6">
        <v>5514.23</v>
      </c>
      <c r="G499" s="2">
        <v>12</v>
      </c>
      <c r="H499" s="61">
        <v>7.3</v>
      </c>
      <c r="I499" s="61">
        <v>8.19</v>
      </c>
      <c r="J499" s="47">
        <f t="shared" si="35"/>
        <v>-0.39166666666666666</v>
      </c>
      <c r="K499" s="47">
        <f t="shared" si="36"/>
        <v>0.12191780821917804</v>
      </c>
      <c r="L499" s="8">
        <v>8.73</v>
      </c>
      <c r="M499" s="8">
        <v>20.059999999999999</v>
      </c>
      <c r="N499" s="8">
        <v>17.5</v>
      </c>
      <c r="O499" s="17">
        <f t="shared" si="37"/>
        <v>-0.51217021276595742</v>
      </c>
      <c r="P499" s="17">
        <f t="shared" si="38"/>
        <v>1.4353932584269666</v>
      </c>
      <c r="Q499" s="17">
        <v>16.43</v>
      </c>
      <c r="R499" s="9">
        <v>20220802</v>
      </c>
      <c r="S499" s="9">
        <v>15.35</v>
      </c>
      <c r="T499" s="9">
        <v>2.15</v>
      </c>
      <c r="U499" s="9">
        <v>2553.4919399999999</v>
      </c>
      <c r="V499" s="45">
        <f t="shared" si="39"/>
        <v>-0.99915801574842644</v>
      </c>
      <c r="W499" s="12">
        <v>10.08</v>
      </c>
      <c r="X499" s="12">
        <v>0.5</v>
      </c>
      <c r="Y499" s="62"/>
    </row>
    <row r="500" spans="1:25" x14ac:dyDescent="0.2">
      <c r="A500" s="3" t="s">
        <v>2812</v>
      </c>
      <c r="B500" s="3" t="s">
        <v>2813</v>
      </c>
      <c r="C500" s="6" t="s">
        <v>354</v>
      </c>
      <c r="D500" s="6" t="s">
        <v>177</v>
      </c>
      <c r="E500" s="6" t="s">
        <v>119</v>
      </c>
      <c r="F500" s="6">
        <v>3566.75</v>
      </c>
      <c r="G500" s="2">
        <v>12</v>
      </c>
      <c r="H500" s="61">
        <v>0.17</v>
      </c>
      <c r="I500" s="61">
        <v>0.23</v>
      </c>
      <c r="J500" s="47">
        <f t="shared" si="35"/>
        <v>-0.98583333333333334</v>
      </c>
      <c r="K500" s="47">
        <f t="shared" si="36"/>
        <v>0.3529411764705882</v>
      </c>
      <c r="L500" s="8">
        <v>0.3</v>
      </c>
      <c r="N500" s="8">
        <v>64.739999999999995</v>
      </c>
      <c r="O500" s="17">
        <f t="shared" si="37"/>
        <v>0</v>
      </c>
      <c r="P500" s="17">
        <f t="shared" si="38"/>
        <v>1.8343</v>
      </c>
      <c r="Q500" s="17">
        <v>49.41</v>
      </c>
      <c r="R500" s="9">
        <v>20220803</v>
      </c>
      <c r="U500" s="9">
        <v>303.846</v>
      </c>
      <c r="V500" s="45">
        <f t="shared" si="39"/>
        <v>-1</v>
      </c>
      <c r="W500" s="12">
        <v>0</v>
      </c>
      <c r="X500" s="12">
        <v>0</v>
      </c>
      <c r="Y500" s="62">
        <v>3.24</v>
      </c>
    </row>
    <row r="501" spans="1:25" x14ac:dyDescent="0.2">
      <c r="A501" s="3" t="s">
        <v>2814</v>
      </c>
      <c r="B501" s="3" t="s">
        <v>752</v>
      </c>
      <c r="C501" s="6" t="s">
        <v>354</v>
      </c>
      <c r="D501" s="6" t="s">
        <v>306</v>
      </c>
      <c r="E501" s="6" t="s">
        <v>218</v>
      </c>
      <c r="F501" s="6">
        <v>7099.03</v>
      </c>
      <c r="G501" s="2">
        <v>12</v>
      </c>
      <c r="H501" s="61">
        <v>0.68</v>
      </c>
      <c r="I501" s="61">
        <v>0.56999999999999995</v>
      </c>
      <c r="J501" s="47">
        <f t="shared" si="35"/>
        <v>-0.94333333333333336</v>
      </c>
      <c r="K501" s="47">
        <f t="shared" si="36"/>
        <v>-0.16176470588235306</v>
      </c>
      <c r="L501" s="8">
        <v>0.82</v>
      </c>
      <c r="M501" s="8">
        <v>270.31</v>
      </c>
      <c r="N501" s="8">
        <v>61.29</v>
      </c>
      <c r="O501" s="17">
        <f t="shared" si="37"/>
        <v>-2.8654770318021199</v>
      </c>
      <c r="P501" s="17">
        <f t="shared" si="38"/>
        <v>-3.7888363636363604</v>
      </c>
      <c r="Q501" s="17">
        <v>43.03</v>
      </c>
      <c r="R501" s="9">
        <v>20220802</v>
      </c>
      <c r="S501" s="9">
        <v>0.52</v>
      </c>
      <c r="T501" s="9">
        <v>5.51</v>
      </c>
      <c r="U501" s="9">
        <v>1188.31494</v>
      </c>
      <c r="V501" s="45">
        <f t="shared" si="39"/>
        <v>-0.9953631820870652</v>
      </c>
      <c r="W501" s="12">
        <v>-133.33000000000001</v>
      </c>
      <c r="X501" s="12">
        <v>3.95</v>
      </c>
      <c r="Y501" s="62">
        <v>6.13</v>
      </c>
    </row>
    <row r="502" spans="1:25" x14ac:dyDescent="0.2">
      <c r="A502" s="3" t="s">
        <v>2814</v>
      </c>
      <c r="B502" s="3" t="s">
        <v>2815</v>
      </c>
      <c r="C502" s="6" t="s">
        <v>354</v>
      </c>
      <c r="D502" s="6" t="s">
        <v>306</v>
      </c>
      <c r="E502" s="6" t="s">
        <v>218</v>
      </c>
      <c r="F502" s="6">
        <v>6547.51</v>
      </c>
      <c r="G502" s="2">
        <v>12</v>
      </c>
      <c r="H502" s="61"/>
      <c r="I502" s="61">
        <v>1.1000000000000001</v>
      </c>
      <c r="J502" s="47">
        <f t="shared" si="35"/>
        <v>-1</v>
      </c>
      <c r="K502" s="47" t="e">
        <f t="shared" si="36"/>
        <v>#DIV/0!</v>
      </c>
      <c r="L502" s="8">
        <v>1.29</v>
      </c>
      <c r="M502" s="8">
        <v>249.31</v>
      </c>
      <c r="N502" s="8">
        <v>29.46</v>
      </c>
      <c r="O502" s="17">
        <f t="shared" si="37"/>
        <v>-2.4931000000000001</v>
      </c>
      <c r="P502" s="17" t="e">
        <f t="shared" si="38"/>
        <v>#DIV/0!</v>
      </c>
      <c r="Q502" s="17">
        <v>25.12</v>
      </c>
      <c r="R502" s="9">
        <v>20220802</v>
      </c>
      <c r="S502" s="9">
        <v>0.52</v>
      </c>
      <c r="T502" s="9">
        <v>5.51</v>
      </c>
      <c r="V502" s="45" t="e">
        <f t="shared" si="39"/>
        <v>#DIV/0!</v>
      </c>
      <c r="W502" s="12">
        <v>-40</v>
      </c>
      <c r="X502" s="12">
        <v>4.28</v>
      </c>
      <c r="Y502" s="62">
        <v>9.07</v>
      </c>
    </row>
    <row r="503" spans="1:25" x14ac:dyDescent="0.2">
      <c r="A503" s="3" t="s">
        <v>2816</v>
      </c>
      <c r="B503" s="3" t="s">
        <v>753</v>
      </c>
      <c r="C503" s="6" t="s">
        <v>354</v>
      </c>
      <c r="D503" s="6" t="s">
        <v>213</v>
      </c>
      <c r="E503" s="6" t="s">
        <v>163</v>
      </c>
      <c r="F503" s="6">
        <v>4161.04</v>
      </c>
      <c r="G503" s="2">
        <v>12</v>
      </c>
      <c r="H503" s="61">
        <v>1.72</v>
      </c>
      <c r="I503" s="61">
        <v>2.48</v>
      </c>
      <c r="J503" s="47">
        <f t="shared" si="35"/>
        <v>-0.85666666666666658</v>
      </c>
      <c r="K503" s="47">
        <f t="shared" si="36"/>
        <v>0.44186046511627908</v>
      </c>
      <c r="L503" s="8">
        <v>2.71</v>
      </c>
      <c r="M503" s="8">
        <v>7.69</v>
      </c>
      <c r="N503" s="8">
        <v>7.42</v>
      </c>
      <c r="O503" s="17">
        <f t="shared" si="37"/>
        <v>-8.9766536964980562E-2</v>
      </c>
      <c r="P503" s="17">
        <f t="shared" si="38"/>
        <v>0.16792631578947367</v>
      </c>
      <c r="Q503" s="17">
        <v>6.81</v>
      </c>
      <c r="R503" s="9">
        <v>20220804</v>
      </c>
      <c r="S503" s="9">
        <v>27.9</v>
      </c>
      <c r="T503" s="9">
        <v>2.52</v>
      </c>
      <c r="U503" s="9">
        <v>10302.679679999999</v>
      </c>
      <c r="V503" s="45">
        <f t="shared" si="39"/>
        <v>-0.99975540344082592</v>
      </c>
      <c r="W503" s="12">
        <v>140</v>
      </c>
      <c r="X503" s="12">
        <v>0</v>
      </c>
      <c r="Y503" s="62">
        <v>0.74</v>
      </c>
    </row>
    <row r="504" spans="1:25" x14ac:dyDescent="0.2">
      <c r="A504" s="3" t="s">
        <v>2817</v>
      </c>
      <c r="B504" s="3" t="s">
        <v>1861</v>
      </c>
      <c r="C504" s="6" t="s">
        <v>355</v>
      </c>
      <c r="D504" s="6" t="s">
        <v>769</v>
      </c>
      <c r="E504" s="6" t="s">
        <v>201</v>
      </c>
      <c r="F504" s="6">
        <v>3626.56</v>
      </c>
      <c r="G504" s="2">
        <v>12</v>
      </c>
      <c r="H504" s="61">
        <v>0.88</v>
      </c>
      <c r="I504" s="61">
        <v>1.03</v>
      </c>
      <c r="J504" s="47">
        <f t="shared" si="35"/>
        <v>-0.92666666666666664</v>
      </c>
      <c r="K504" s="47">
        <f t="shared" si="36"/>
        <v>0.17045454545454547</v>
      </c>
      <c r="L504" s="8">
        <v>1.22</v>
      </c>
      <c r="M504" s="8">
        <v>77.52</v>
      </c>
      <c r="N504" s="8">
        <v>68.150000000000006</v>
      </c>
      <c r="O504" s="17">
        <f t="shared" si="37"/>
        <v>-0.83654676258992811</v>
      </c>
      <c r="P504" s="17">
        <f t="shared" si="38"/>
        <v>3.9981333333333335</v>
      </c>
      <c r="Q504" s="17">
        <v>57.82</v>
      </c>
      <c r="R504" s="9">
        <v>20220804</v>
      </c>
      <c r="S504" s="9">
        <v>11.43</v>
      </c>
      <c r="T504" s="9">
        <v>9.7200000000000006</v>
      </c>
      <c r="U504" s="9">
        <v>1018.72497</v>
      </c>
      <c r="V504" s="45">
        <f t="shared" si="39"/>
        <v>-0.99045866128126803</v>
      </c>
      <c r="W504" s="12">
        <v>22.22</v>
      </c>
      <c r="X504" s="12">
        <v>0</v>
      </c>
      <c r="Y504" s="62">
        <v>4.8099999999999996</v>
      </c>
    </row>
    <row r="505" spans="1:25" x14ac:dyDescent="0.2">
      <c r="A505" s="3" t="s">
        <v>2104</v>
      </c>
      <c r="B505" s="3" t="s">
        <v>2105</v>
      </c>
      <c r="C505" s="6" t="s">
        <v>356</v>
      </c>
      <c r="D505" s="6" t="s">
        <v>217</v>
      </c>
      <c r="E505" s="6" t="s">
        <v>163</v>
      </c>
      <c r="F505" s="6">
        <v>4048.02</v>
      </c>
      <c r="G505" s="2">
        <v>12</v>
      </c>
      <c r="H505" s="61"/>
      <c r="I505" s="61"/>
      <c r="J505" s="47">
        <f t="shared" si="35"/>
        <v>-1</v>
      </c>
      <c r="K505" s="47" t="e">
        <f t="shared" si="36"/>
        <v>#DIV/0!</v>
      </c>
      <c r="M505" s="8">
        <v>12.77</v>
      </c>
      <c r="O505" s="17">
        <f t="shared" si="37"/>
        <v>-0.12770000000000001</v>
      </c>
      <c r="P505" s="17" t="e">
        <f t="shared" si="38"/>
        <v>#DIV/0!</v>
      </c>
      <c r="Q505" s="17"/>
      <c r="R505" s="9">
        <v>20220601</v>
      </c>
      <c r="V505" s="45" t="e">
        <f t="shared" si="39"/>
        <v>#DIV/0!</v>
      </c>
      <c r="X505" s="12">
        <v>6.51</v>
      </c>
      <c r="Y505" s="62"/>
    </row>
    <row r="506" spans="1:25" x14ac:dyDescent="0.2">
      <c r="A506" s="3" t="s">
        <v>2818</v>
      </c>
      <c r="B506" s="3" t="s">
        <v>754</v>
      </c>
      <c r="C506" s="6" t="s">
        <v>354</v>
      </c>
      <c r="D506" s="6" t="s">
        <v>118</v>
      </c>
      <c r="E506" s="6" t="s">
        <v>140</v>
      </c>
      <c r="F506" s="6">
        <v>6486.42</v>
      </c>
      <c r="G506" s="2">
        <v>12</v>
      </c>
      <c r="H506" s="61">
        <v>0.63</v>
      </c>
      <c r="I506" s="61">
        <v>0.59</v>
      </c>
      <c r="J506" s="47">
        <f t="shared" si="35"/>
        <v>-0.9474999999999999</v>
      </c>
      <c r="K506" s="47">
        <f t="shared" si="36"/>
        <v>-6.3492063492063544E-2</v>
      </c>
      <c r="L506" s="8">
        <v>0.76</v>
      </c>
      <c r="M506" s="8">
        <v>20.05</v>
      </c>
      <c r="N506" s="8">
        <v>7.43</v>
      </c>
      <c r="O506" s="17">
        <f t="shared" si="37"/>
        <v>-0.21160949868073883</v>
      </c>
      <c r="P506" s="17">
        <f t="shared" si="38"/>
        <v>-1.170224999999999</v>
      </c>
      <c r="Q506" s="17">
        <v>5.78</v>
      </c>
      <c r="R506" s="9">
        <v>20220804</v>
      </c>
      <c r="S506" s="9">
        <v>3.38</v>
      </c>
      <c r="T506" s="9">
        <v>0.47</v>
      </c>
      <c r="U506" s="9">
        <v>15606.009760000001</v>
      </c>
      <c r="V506" s="45">
        <f t="shared" si="39"/>
        <v>-0.99996988339702286</v>
      </c>
      <c r="X506" s="12">
        <v>0</v>
      </c>
      <c r="Y506" s="62">
        <v>0.61</v>
      </c>
    </row>
    <row r="507" spans="1:25" x14ac:dyDescent="0.2">
      <c r="A507" s="3" t="s">
        <v>2819</v>
      </c>
      <c r="B507" s="3" t="s">
        <v>2820</v>
      </c>
      <c r="C507" s="6" t="s">
        <v>354</v>
      </c>
      <c r="D507" s="6" t="s">
        <v>233</v>
      </c>
      <c r="E507" s="6" t="s">
        <v>108</v>
      </c>
      <c r="F507" s="6">
        <v>3083.72</v>
      </c>
      <c r="G507" s="2">
        <v>1</v>
      </c>
      <c r="H507" s="61">
        <v>-0.31</v>
      </c>
      <c r="I507" s="61">
        <v>-0.21</v>
      </c>
      <c r="J507" s="47">
        <f t="shared" si="35"/>
        <v>-1.31</v>
      </c>
      <c r="K507" s="47">
        <f t="shared" si="36"/>
        <v>0.32258064516129037</v>
      </c>
      <c r="L507" s="8">
        <v>-0.15</v>
      </c>
      <c r="O507" s="17">
        <f t="shared" si="37"/>
        <v>0</v>
      </c>
      <c r="P507" s="17">
        <f t="shared" si="38"/>
        <v>0</v>
      </c>
      <c r="Q507" s="17"/>
      <c r="R507" s="9">
        <v>20220614</v>
      </c>
      <c r="S507" s="9">
        <v>-30.66</v>
      </c>
      <c r="U507" s="9">
        <v>606.34802000000002</v>
      </c>
      <c r="V507" s="45">
        <f t="shared" si="39"/>
        <v>-1</v>
      </c>
      <c r="W507" s="12">
        <v>44.44</v>
      </c>
      <c r="X507" s="12">
        <v>0</v>
      </c>
      <c r="Y507" s="62"/>
    </row>
    <row r="508" spans="1:25" x14ac:dyDescent="0.2">
      <c r="A508" s="3" t="s">
        <v>2821</v>
      </c>
      <c r="B508" s="3" t="s">
        <v>2106</v>
      </c>
      <c r="C508" s="6" t="s">
        <v>356</v>
      </c>
      <c r="D508" s="6" t="s">
        <v>176</v>
      </c>
      <c r="E508" s="6" t="s">
        <v>119</v>
      </c>
      <c r="F508" s="6">
        <v>5340.3</v>
      </c>
      <c r="G508" s="2">
        <v>9</v>
      </c>
      <c r="H508" s="61"/>
      <c r="I508" s="61"/>
      <c r="J508" s="47">
        <f t="shared" si="35"/>
        <v>-1</v>
      </c>
      <c r="K508" s="47" t="e">
        <f t="shared" si="36"/>
        <v>#DIV/0!</v>
      </c>
      <c r="O508" s="17">
        <f t="shared" si="37"/>
        <v>0</v>
      </c>
      <c r="P508" s="17" t="e">
        <f t="shared" si="38"/>
        <v>#DIV/0!</v>
      </c>
      <c r="Q508" s="17"/>
      <c r="R508" s="9">
        <v>20220601</v>
      </c>
      <c r="V508" s="45" t="e">
        <f t="shared" si="39"/>
        <v>#DIV/0!</v>
      </c>
      <c r="X508" s="12">
        <v>0</v>
      </c>
      <c r="Y508" s="62"/>
    </row>
    <row r="509" spans="1:25" x14ac:dyDescent="0.2">
      <c r="A509" s="3" t="s">
        <v>2822</v>
      </c>
      <c r="B509" s="3" t="s">
        <v>755</v>
      </c>
      <c r="C509" s="6" t="s">
        <v>355</v>
      </c>
      <c r="D509" s="6" t="s">
        <v>134</v>
      </c>
      <c r="E509" s="6" t="s">
        <v>119</v>
      </c>
      <c r="F509" s="6">
        <v>5600.53</v>
      </c>
      <c r="G509" s="2">
        <v>12</v>
      </c>
      <c r="H509" s="61">
        <v>0.21</v>
      </c>
      <c r="I509" s="61">
        <v>-0.73</v>
      </c>
      <c r="J509" s="47">
        <f t="shared" si="35"/>
        <v>-0.98249999999999993</v>
      </c>
      <c r="K509" s="47">
        <f t="shared" si="36"/>
        <v>-4.4761904761904763</v>
      </c>
      <c r="L509" s="8">
        <v>-0.05</v>
      </c>
      <c r="O509" s="17">
        <f t="shared" si="37"/>
        <v>0</v>
      </c>
      <c r="P509" s="17">
        <f t="shared" si="38"/>
        <v>0</v>
      </c>
      <c r="Q509" s="17"/>
      <c r="R509" s="9">
        <v>20220811</v>
      </c>
      <c r="S509" s="9">
        <v>-12.64</v>
      </c>
      <c r="T509" s="9">
        <v>18.350000000000001</v>
      </c>
      <c r="U509" s="9">
        <v>592.50097000000005</v>
      </c>
      <c r="V509" s="45">
        <f t="shared" si="39"/>
        <v>-0.96902958656759663</v>
      </c>
      <c r="W509" s="12">
        <v>0</v>
      </c>
      <c r="X509" s="12">
        <v>0</v>
      </c>
      <c r="Y509" s="62"/>
    </row>
    <row r="510" spans="1:25" x14ac:dyDescent="0.2">
      <c r="A510" s="3" t="s">
        <v>2821</v>
      </c>
      <c r="B510" s="3" t="s">
        <v>756</v>
      </c>
      <c r="C510" s="6" t="s">
        <v>356</v>
      </c>
      <c r="D510" s="6" t="s">
        <v>176</v>
      </c>
      <c r="E510" s="6" t="s">
        <v>119</v>
      </c>
      <c r="F510" s="6">
        <v>5269.46</v>
      </c>
      <c r="G510" s="2">
        <v>9</v>
      </c>
      <c r="H510" s="61">
        <v>0.37</v>
      </c>
      <c r="I510" s="61">
        <v>0.26</v>
      </c>
      <c r="J510" s="47">
        <f t="shared" si="35"/>
        <v>-0.95888888888888901</v>
      </c>
      <c r="K510" s="47">
        <f t="shared" si="36"/>
        <v>-0.29729729729729726</v>
      </c>
      <c r="L510" s="8">
        <v>0.25</v>
      </c>
      <c r="N510" s="8">
        <v>19.66</v>
      </c>
      <c r="O510" s="17">
        <f t="shared" si="37"/>
        <v>0</v>
      </c>
      <c r="P510" s="17">
        <f t="shared" si="38"/>
        <v>-0.66129090909090915</v>
      </c>
      <c r="Q510" s="17">
        <v>20.43</v>
      </c>
      <c r="U510" s="9">
        <v>6443.2997999999998</v>
      </c>
      <c r="V510" s="45">
        <f t="shared" si="39"/>
        <v>-1</v>
      </c>
      <c r="X510" s="12">
        <v>1.31</v>
      </c>
      <c r="Y510" s="62"/>
    </row>
    <row r="511" spans="1:25" x14ac:dyDescent="0.2">
      <c r="A511" s="3" t="s">
        <v>2823</v>
      </c>
      <c r="B511" s="3" t="s">
        <v>2824</v>
      </c>
      <c r="C511" s="6" t="s">
        <v>355</v>
      </c>
      <c r="D511" s="6" t="s">
        <v>185</v>
      </c>
      <c r="E511" s="6" t="s">
        <v>208</v>
      </c>
      <c r="F511" s="6">
        <v>3339.58</v>
      </c>
      <c r="G511" s="2">
        <v>12</v>
      </c>
      <c r="H511" s="61">
        <v>-3.27</v>
      </c>
      <c r="I511" s="61">
        <v>-4.41</v>
      </c>
      <c r="J511" s="47">
        <f t="shared" si="35"/>
        <v>-1.2725</v>
      </c>
      <c r="K511" s="47">
        <f t="shared" si="36"/>
        <v>-0.34862385321100919</v>
      </c>
      <c r="L511" s="8">
        <v>-3.86</v>
      </c>
      <c r="O511" s="17">
        <f t="shared" si="37"/>
        <v>0</v>
      </c>
      <c r="P511" s="17">
        <f t="shared" si="38"/>
        <v>0</v>
      </c>
      <c r="Q511" s="17"/>
      <c r="R511" s="9">
        <v>20220804</v>
      </c>
      <c r="S511" s="9">
        <v>-163.01</v>
      </c>
      <c r="T511" s="9">
        <v>-0.13</v>
      </c>
      <c r="U511" s="9">
        <v>16.204989999999999</v>
      </c>
      <c r="V511" s="45">
        <f t="shared" si="39"/>
        <v>-1.0080222203160878</v>
      </c>
      <c r="W511" s="12">
        <v>-9.68</v>
      </c>
      <c r="X511" s="12">
        <v>0</v>
      </c>
      <c r="Y511" s="62"/>
    </row>
    <row r="512" spans="1:25" x14ac:dyDescent="0.2">
      <c r="A512" s="3" t="s">
        <v>2825</v>
      </c>
      <c r="B512" s="3" t="s">
        <v>757</v>
      </c>
      <c r="C512" s="6" t="s">
        <v>355</v>
      </c>
      <c r="D512" s="6" t="s">
        <v>621</v>
      </c>
      <c r="E512" s="6" t="s">
        <v>146</v>
      </c>
      <c r="F512" s="6">
        <v>10936.96</v>
      </c>
      <c r="G512" s="2">
        <v>12</v>
      </c>
      <c r="H512" s="61">
        <v>-3.58</v>
      </c>
      <c r="I512" s="61">
        <v>-1.42</v>
      </c>
      <c r="J512" s="47">
        <f t="shared" si="35"/>
        <v>-1.2983333333333333</v>
      </c>
      <c r="K512" s="47">
        <f t="shared" si="36"/>
        <v>0.6033519553072626</v>
      </c>
      <c r="L512" s="8">
        <v>2.46</v>
      </c>
      <c r="O512" s="17">
        <f t="shared" si="37"/>
        <v>0</v>
      </c>
      <c r="P512" s="17">
        <f t="shared" si="38"/>
        <v>0</v>
      </c>
      <c r="Q512" s="17">
        <v>20.7</v>
      </c>
      <c r="R512" s="9">
        <v>20220802</v>
      </c>
      <c r="S512" s="9">
        <v>-17.77</v>
      </c>
      <c r="T512" s="9">
        <v>52.6</v>
      </c>
      <c r="U512" s="9">
        <v>10828.11132</v>
      </c>
      <c r="V512" s="45">
        <f t="shared" si="39"/>
        <v>-0.9951422738051422</v>
      </c>
      <c r="W512" s="12">
        <v>1.86</v>
      </c>
      <c r="X512" s="12">
        <v>0</v>
      </c>
      <c r="Y512" s="62"/>
    </row>
    <row r="513" spans="1:25" x14ac:dyDescent="0.2">
      <c r="A513" s="3" t="s">
        <v>2826</v>
      </c>
      <c r="B513" s="3" t="s">
        <v>758</v>
      </c>
      <c r="C513" s="6" t="s">
        <v>354</v>
      </c>
      <c r="D513" s="6" t="s">
        <v>246</v>
      </c>
      <c r="E513" s="6" t="s">
        <v>250</v>
      </c>
      <c r="F513" s="6">
        <v>68617.240000000005</v>
      </c>
      <c r="G513" s="2">
        <v>12</v>
      </c>
      <c r="H513" s="61">
        <v>3.86</v>
      </c>
      <c r="I513" s="61">
        <v>4.1100000000000003</v>
      </c>
      <c r="J513" s="47">
        <f t="shared" si="35"/>
        <v>-0.67833333333333334</v>
      </c>
      <c r="K513" s="47">
        <f t="shared" si="36"/>
        <v>6.4766839378238461E-2</v>
      </c>
      <c r="L513" s="8">
        <v>4.42</v>
      </c>
      <c r="M513" s="8">
        <v>21.41</v>
      </c>
      <c r="N513" s="8">
        <v>20.55</v>
      </c>
      <c r="O513" s="17">
        <f t="shared" si="37"/>
        <v>-0.31562653562653564</v>
      </c>
      <c r="P513" s="17">
        <f t="shared" si="38"/>
        <v>3.1729199999999942</v>
      </c>
      <c r="Q513" s="17">
        <v>19.14</v>
      </c>
      <c r="R513" s="9">
        <v>20220805</v>
      </c>
      <c r="S513" s="9">
        <v>12.99</v>
      </c>
      <c r="T513" s="9">
        <v>3.89</v>
      </c>
      <c r="U513" s="9">
        <v>15699.905269999999</v>
      </c>
      <c r="V513" s="45">
        <f t="shared" si="39"/>
        <v>-0.99975222780436568</v>
      </c>
      <c r="W513" s="12">
        <v>-0.84</v>
      </c>
      <c r="X513" s="12">
        <v>3.16</v>
      </c>
      <c r="Y513" s="62">
        <v>3.26</v>
      </c>
    </row>
    <row r="514" spans="1:25" x14ac:dyDescent="0.2">
      <c r="A514" s="3" t="s">
        <v>2827</v>
      </c>
      <c r="B514" s="3" t="s">
        <v>759</v>
      </c>
      <c r="C514" s="6" t="s">
        <v>354</v>
      </c>
      <c r="D514" s="6" t="s">
        <v>235</v>
      </c>
      <c r="E514" s="6" t="s">
        <v>237</v>
      </c>
      <c r="F514" s="6">
        <v>26175.15</v>
      </c>
      <c r="G514" s="2">
        <v>12</v>
      </c>
      <c r="H514" s="61">
        <v>-4.2</v>
      </c>
      <c r="I514" s="61">
        <v>2.64</v>
      </c>
      <c r="J514" s="47">
        <f t="shared" si="35"/>
        <v>-1.3499999999999999</v>
      </c>
      <c r="K514" s="47">
        <f t="shared" si="36"/>
        <v>1.6285714285714286</v>
      </c>
      <c r="L514" s="8">
        <v>5.74</v>
      </c>
      <c r="N514" s="8">
        <v>15.47</v>
      </c>
      <c r="O514" s="17">
        <f t="shared" si="37"/>
        <v>0</v>
      </c>
      <c r="P514" s="17">
        <f t="shared" si="38"/>
        <v>9.4991228070175446E-2</v>
      </c>
      <c r="Q514" s="17">
        <v>7.12</v>
      </c>
      <c r="R514" s="9">
        <v>20220713</v>
      </c>
      <c r="S514" s="9">
        <v>-41.8</v>
      </c>
      <c r="T514" s="9">
        <v>-14.93</v>
      </c>
      <c r="U514" s="9">
        <v>46223.851560000003</v>
      </c>
      <c r="V514" s="45">
        <f t="shared" si="39"/>
        <v>-1.0003229934221431</v>
      </c>
      <c r="W514" s="12">
        <v>3.91</v>
      </c>
      <c r="X514" s="12">
        <v>0</v>
      </c>
      <c r="Y514" s="62"/>
    </row>
    <row r="515" spans="1:25" x14ac:dyDescent="0.2">
      <c r="A515" s="3" t="s">
        <v>760</v>
      </c>
      <c r="B515" s="3" t="s">
        <v>761</v>
      </c>
      <c r="C515" s="6" t="s">
        <v>356</v>
      </c>
      <c r="D515" s="6" t="s">
        <v>155</v>
      </c>
      <c r="E515" s="6" t="s">
        <v>154</v>
      </c>
      <c r="F515" s="6">
        <v>39375.35</v>
      </c>
      <c r="G515" s="2">
        <v>12</v>
      </c>
      <c r="H515" s="61">
        <v>0.73</v>
      </c>
      <c r="I515" s="61">
        <v>0.68</v>
      </c>
      <c r="J515" s="47">
        <f t="shared" ref="J515:J578" si="40">(H515-G515)/ABS(G515)</f>
        <v>-0.93916666666666659</v>
      </c>
      <c r="K515" s="47">
        <f t="shared" ref="K515:K578" si="41">(I515-H515)/ABS(H515)</f>
        <v>-6.849315068493142E-2</v>
      </c>
      <c r="L515" s="8">
        <v>0.74</v>
      </c>
      <c r="N515" s="8">
        <v>17.11</v>
      </c>
      <c r="O515" s="17">
        <f t="shared" ref="O515:O578" si="42">M515/(J515*100)</f>
        <v>0</v>
      </c>
      <c r="P515" s="17">
        <f t="shared" ref="P515:P578" si="43">N515/(K515*100)</f>
        <v>-2.4980600000000033</v>
      </c>
      <c r="Q515" s="17">
        <v>15.88</v>
      </c>
      <c r="U515" s="9">
        <v>28656.869139999999</v>
      </c>
      <c r="V515" s="45">
        <f t="shared" ref="V515:V578" si="44">(T515-U515)/U515</f>
        <v>-1</v>
      </c>
      <c r="X515" s="12">
        <v>2.73</v>
      </c>
      <c r="Y515" s="62">
        <v>4.9000000000000004</v>
      </c>
    </row>
    <row r="516" spans="1:25" x14ac:dyDescent="0.2">
      <c r="A516" s="3" t="s">
        <v>2828</v>
      </c>
      <c r="B516" s="3" t="s">
        <v>762</v>
      </c>
      <c r="C516" s="6" t="s">
        <v>354</v>
      </c>
      <c r="D516" s="6" t="s">
        <v>155</v>
      </c>
      <c r="E516" s="6" t="s">
        <v>154</v>
      </c>
      <c r="F516" s="6">
        <v>12875.9</v>
      </c>
      <c r="G516" s="2">
        <v>12</v>
      </c>
      <c r="H516" s="61">
        <v>3.84</v>
      </c>
      <c r="I516" s="61">
        <v>5.39</v>
      </c>
      <c r="J516" s="47">
        <f t="shared" si="40"/>
        <v>-0.68</v>
      </c>
      <c r="K516" s="47">
        <f t="shared" si="41"/>
        <v>0.40364583333333331</v>
      </c>
      <c r="L516" s="8">
        <v>6.55</v>
      </c>
      <c r="M516" s="8">
        <v>19.21</v>
      </c>
      <c r="N516" s="8">
        <v>14.8</v>
      </c>
      <c r="O516" s="17">
        <f t="shared" si="42"/>
        <v>-0.28250000000000003</v>
      </c>
      <c r="P516" s="17">
        <f t="shared" si="43"/>
        <v>0.36665806451612909</v>
      </c>
      <c r="Q516" s="17">
        <v>12.16</v>
      </c>
      <c r="R516" s="9">
        <v>20220809</v>
      </c>
      <c r="S516" s="9">
        <v>20.76</v>
      </c>
      <c r="T516" s="9">
        <v>5.2</v>
      </c>
      <c r="U516" s="9">
        <v>6011.58007</v>
      </c>
      <c r="V516" s="45">
        <f t="shared" si="44"/>
        <v>-0.99913500278804412</v>
      </c>
      <c r="W516" s="12">
        <v>1.75</v>
      </c>
      <c r="X516" s="12">
        <v>0</v>
      </c>
      <c r="Y516" s="62"/>
    </row>
    <row r="517" spans="1:25" x14ac:dyDescent="0.2">
      <c r="A517" s="3" t="s">
        <v>2829</v>
      </c>
      <c r="B517" s="3" t="s">
        <v>763</v>
      </c>
      <c r="C517" s="6" t="s">
        <v>354</v>
      </c>
      <c r="D517" s="6" t="s">
        <v>176</v>
      </c>
      <c r="E517" s="6" t="s">
        <v>119</v>
      </c>
      <c r="F517" s="6">
        <v>25883.599999999999</v>
      </c>
      <c r="G517" s="2">
        <v>12</v>
      </c>
      <c r="H517" s="61">
        <v>-1.18</v>
      </c>
      <c r="I517" s="61">
        <v>-1.52</v>
      </c>
      <c r="J517" s="47">
        <f t="shared" si="40"/>
        <v>-1.0983333333333334</v>
      </c>
      <c r="K517" s="47">
        <f t="shared" si="41"/>
        <v>-0.28813559322033905</v>
      </c>
      <c r="L517" s="8">
        <v>-0.7</v>
      </c>
      <c r="O517" s="17">
        <f t="shared" si="42"/>
        <v>0</v>
      </c>
      <c r="P517" s="17">
        <f t="shared" si="43"/>
        <v>0</v>
      </c>
      <c r="Q517" s="17"/>
      <c r="R517" s="9">
        <v>20220811</v>
      </c>
      <c r="U517" s="9">
        <v>6000.4501899999996</v>
      </c>
      <c r="V517" s="45">
        <f t="shared" si="44"/>
        <v>-1</v>
      </c>
      <c r="W517" s="12">
        <v>-26.32</v>
      </c>
      <c r="X517" s="12">
        <v>0</v>
      </c>
      <c r="Y517" s="62"/>
    </row>
    <row r="518" spans="1:25" x14ac:dyDescent="0.2">
      <c r="A518" s="3" t="s">
        <v>2830</v>
      </c>
      <c r="B518" s="3" t="s">
        <v>764</v>
      </c>
      <c r="C518" s="6" t="s">
        <v>356</v>
      </c>
      <c r="D518" s="6" t="s">
        <v>132</v>
      </c>
      <c r="E518" s="6" t="s">
        <v>119</v>
      </c>
      <c r="F518" s="6">
        <v>54778.64</v>
      </c>
      <c r="G518" s="2">
        <v>12</v>
      </c>
      <c r="H518" s="61">
        <v>1.1000000000000001</v>
      </c>
      <c r="I518" s="61">
        <v>1.1299999999999999</v>
      </c>
      <c r="J518" s="47">
        <f t="shared" si="40"/>
        <v>-0.90833333333333333</v>
      </c>
      <c r="K518" s="47">
        <f t="shared" si="41"/>
        <v>2.7272727272727094E-2</v>
      </c>
      <c r="L518" s="8">
        <v>1.25</v>
      </c>
      <c r="M518" s="8">
        <v>35.01</v>
      </c>
      <c r="N518" s="8">
        <v>36.25</v>
      </c>
      <c r="O518" s="17">
        <f t="shared" si="42"/>
        <v>-0.38543119266055048</v>
      </c>
      <c r="P518" s="17">
        <f t="shared" si="43"/>
        <v>13.291666666666755</v>
      </c>
      <c r="Q518" s="17">
        <v>32.869999999999997</v>
      </c>
      <c r="R518" s="9">
        <v>20220726</v>
      </c>
      <c r="S518" s="9">
        <v>18.82</v>
      </c>
      <c r="T518" s="9">
        <v>11.93</v>
      </c>
      <c r="U518" s="9">
        <v>5824.3950100000002</v>
      </c>
      <c r="V518" s="45">
        <f t="shared" si="44"/>
        <v>-0.9979517185940312</v>
      </c>
      <c r="W518" s="12">
        <v>11.11</v>
      </c>
      <c r="X518" s="12">
        <v>0.36</v>
      </c>
      <c r="Y518" s="62">
        <v>3.18</v>
      </c>
    </row>
    <row r="519" spans="1:25" x14ac:dyDescent="0.2">
      <c r="A519" s="3" t="s">
        <v>2831</v>
      </c>
      <c r="B519" s="3" t="s">
        <v>765</v>
      </c>
      <c r="C519" s="6" t="s">
        <v>354</v>
      </c>
      <c r="D519" s="6" t="s">
        <v>134</v>
      </c>
      <c r="E519" s="6" t="s">
        <v>119</v>
      </c>
      <c r="F519" s="6">
        <v>5120.53</v>
      </c>
      <c r="G519" s="2">
        <v>6</v>
      </c>
      <c r="H519" s="61">
        <v>1.75</v>
      </c>
      <c r="I519" s="61">
        <v>2.39</v>
      </c>
      <c r="J519" s="47">
        <f t="shared" si="40"/>
        <v>-0.70833333333333337</v>
      </c>
      <c r="K519" s="47">
        <f t="shared" si="41"/>
        <v>0.36571428571428577</v>
      </c>
      <c r="L519" s="8">
        <v>2.86</v>
      </c>
      <c r="M519" s="8">
        <v>36.61</v>
      </c>
      <c r="N519" s="8">
        <v>38.520000000000003</v>
      </c>
      <c r="O519" s="17">
        <f t="shared" si="42"/>
        <v>-0.51684705882352933</v>
      </c>
      <c r="P519" s="17">
        <f t="shared" si="43"/>
        <v>1.0532812499999999</v>
      </c>
      <c r="Q519" s="17">
        <v>32.18</v>
      </c>
      <c r="R519" s="9">
        <v>20220927</v>
      </c>
      <c r="S519" s="9">
        <v>20.94</v>
      </c>
      <c r="T519" s="9">
        <v>36.200000000000003</v>
      </c>
      <c r="U519" s="9">
        <v>810.42700000000002</v>
      </c>
      <c r="V519" s="45">
        <f t="shared" si="44"/>
        <v>-0.95533218908057105</v>
      </c>
      <c r="W519" s="12">
        <v>14.29</v>
      </c>
      <c r="X519" s="12">
        <v>0</v>
      </c>
      <c r="Y519" s="62"/>
    </row>
    <row r="520" spans="1:25" x14ac:dyDescent="0.2">
      <c r="B520" s="3" t="s">
        <v>2832</v>
      </c>
      <c r="C520" s="6" t="s">
        <v>354</v>
      </c>
      <c r="D520" s="6" t="s">
        <v>519</v>
      </c>
      <c r="E520" s="6" t="s">
        <v>163</v>
      </c>
      <c r="F520" s="6">
        <v>4685.91</v>
      </c>
      <c r="G520" s="2">
        <v>12</v>
      </c>
      <c r="H520" s="61"/>
      <c r="I520" s="61"/>
      <c r="J520" s="47">
        <f t="shared" si="40"/>
        <v>-1</v>
      </c>
      <c r="K520" s="47" t="e">
        <f t="shared" si="41"/>
        <v>#DIV/0!</v>
      </c>
      <c r="O520" s="17">
        <f t="shared" si="42"/>
        <v>0</v>
      </c>
      <c r="P520" s="17" t="e">
        <f t="shared" si="43"/>
        <v>#DIV/0!</v>
      </c>
      <c r="Q520" s="17"/>
      <c r="V520" s="45" t="e">
        <f t="shared" si="44"/>
        <v>#DIV/0!</v>
      </c>
      <c r="X520" s="12">
        <v>0</v>
      </c>
      <c r="Y520" s="62"/>
    </row>
    <row r="521" spans="1:25" x14ac:dyDescent="0.2">
      <c r="A521" s="3" t="s">
        <v>2833</v>
      </c>
      <c r="B521" s="3" t="s">
        <v>1952</v>
      </c>
      <c r="C521" s="6" t="s">
        <v>356</v>
      </c>
      <c r="D521" s="6" t="s">
        <v>610</v>
      </c>
      <c r="E521" s="6" t="s">
        <v>163</v>
      </c>
      <c r="F521" s="6">
        <v>33297.5</v>
      </c>
      <c r="G521" s="2">
        <v>12</v>
      </c>
      <c r="H521" s="61">
        <v>0.79</v>
      </c>
      <c r="I521" s="61">
        <v>0.82</v>
      </c>
      <c r="J521" s="47">
        <f t="shared" si="40"/>
        <v>-0.9341666666666667</v>
      </c>
      <c r="K521" s="47">
        <f t="shared" si="41"/>
        <v>3.7974683544303688E-2</v>
      </c>
      <c r="L521" s="8">
        <v>0.92</v>
      </c>
      <c r="M521" s="8">
        <v>19.690000000000001</v>
      </c>
      <c r="N521" s="8">
        <v>21.37</v>
      </c>
      <c r="O521" s="17">
        <f t="shared" si="42"/>
        <v>-0.21077609277430864</v>
      </c>
      <c r="P521" s="17">
        <f t="shared" si="43"/>
        <v>5.6274333333333493</v>
      </c>
      <c r="Q521" s="17">
        <v>19.05</v>
      </c>
      <c r="R521" s="9">
        <v>20220726</v>
      </c>
      <c r="S521" s="9">
        <v>18.47</v>
      </c>
      <c r="T521" s="9">
        <v>12.54</v>
      </c>
      <c r="U521" s="9">
        <v>4266.6499000000003</v>
      </c>
      <c r="V521" s="45">
        <f t="shared" si="44"/>
        <v>-0.99706092595035745</v>
      </c>
      <c r="W521" s="12">
        <v>12.5</v>
      </c>
      <c r="X521" s="12">
        <v>1.26</v>
      </c>
      <c r="Y521" s="62">
        <v>1.86</v>
      </c>
    </row>
    <row r="522" spans="1:25" x14ac:dyDescent="0.2">
      <c r="A522" s="3" t="s">
        <v>2834</v>
      </c>
      <c r="B522" s="3" t="s">
        <v>2835</v>
      </c>
      <c r="C522" s="6" t="s">
        <v>354</v>
      </c>
      <c r="D522" s="6" t="s">
        <v>214</v>
      </c>
      <c r="E522" s="6" t="s">
        <v>163</v>
      </c>
      <c r="F522" s="6">
        <v>3468.82</v>
      </c>
      <c r="G522" s="2">
        <v>12</v>
      </c>
      <c r="H522" s="61">
        <v>0.04</v>
      </c>
      <c r="I522" s="61">
        <v>-0.05</v>
      </c>
      <c r="J522" s="47">
        <f t="shared" si="40"/>
        <v>-0.9966666666666667</v>
      </c>
      <c r="K522" s="47">
        <f t="shared" si="41"/>
        <v>-2.25</v>
      </c>
      <c r="L522" s="8">
        <v>0.13</v>
      </c>
      <c r="O522" s="17">
        <f t="shared" si="42"/>
        <v>0</v>
      </c>
      <c r="P522" s="17">
        <f t="shared" si="43"/>
        <v>0</v>
      </c>
      <c r="Q522" s="17">
        <v>45.96</v>
      </c>
      <c r="R522" s="9">
        <v>20220804</v>
      </c>
      <c r="S522" s="9">
        <v>-3.79</v>
      </c>
      <c r="T522" s="9">
        <v>-17.07</v>
      </c>
      <c r="U522" s="9">
        <v>1132.59301</v>
      </c>
      <c r="V522" s="45">
        <f t="shared" si="44"/>
        <v>-1.0150716098804105</v>
      </c>
      <c r="W522" s="12">
        <v>-100</v>
      </c>
      <c r="X522" s="12">
        <v>0</v>
      </c>
      <c r="Y522" s="62"/>
    </row>
    <row r="523" spans="1:25" x14ac:dyDescent="0.2">
      <c r="A523" s="3" t="s">
        <v>2836</v>
      </c>
      <c r="B523" s="3" t="s">
        <v>766</v>
      </c>
      <c r="C523" s="6" t="s">
        <v>356</v>
      </c>
      <c r="D523" s="6" t="s">
        <v>69</v>
      </c>
      <c r="E523" s="6" t="s">
        <v>163</v>
      </c>
      <c r="F523" s="6">
        <v>58744.13</v>
      </c>
      <c r="G523" s="2">
        <v>12</v>
      </c>
      <c r="H523" s="61">
        <v>7.74</v>
      </c>
      <c r="I523" s="61">
        <v>8.09</v>
      </c>
      <c r="J523" s="47">
        <f t="shared" si="40"/>
        <v>-0.35499999999999998</v>
      </c>
      <c r="K523" s="47">
        <f t="shared" si="41"/>
        <v>4.521963824289401E-2</v>
      </c>
      <c r="L523" s="8">
        <v>9.76</v>
      </c>
      <c r="N523" s="8">
        <v>11.29</v>
      </c>
      <c r="O523" s="17">
        <f t="shared" si="42"/>
        <v>0</v>
      </c>
      <c r="P523" s="17">
        <f t="shared" si="43"/>
        <v>2.4967028571428598</v>
      </c>
      <c r="Q523" s="17">
        <v>9.35</v>
      </c>
      <c r="U523" s="9">
        <v>11093.66015</v>
      </c>
      <c r="V523" s="45">
        <f t="shared" si="44"/>
        <v>-1</v>
      </c>
      <c r="X523" s="12">
        <v>4.37</v>
      </c>
      <c r="Y523" s="62">
        <v>0.83</v>
      </c>
    </row>
    <row r="524" spans="1:25" x14ac:dyDescent="0.2">
      <c r="A524" s="3" t="s">
        <v>2837</v>
      </c>
      <c r="B524" s="3" t="s">
        <v>767</v>
      </c>
      <c r="C524" s="6" t="s">
        <v>355</v>
      </c>
      <c r="D524" s="6" t="s">
        <v>176</v>
      </c>
      <c r="E524" s="6" t="s">
        <v>119</v>
      </c>
      <c r="F524" s="6">
        <v>7846.37</v>
      </c>
      <c r="G524" s="2">
        <v>12</v>
      </c>
      <c r="H524" s="61">
        <v>1.49</v>
      </c>
      <c r="I524" s="61">
        <v>1.55</v>
      </c>
      <c r="J524" s="47">
        <f t="shared" si="40"/>
        <v>-0.87583333333333335</v>
      </c>
      <c r="K524" s="47">
        <f t="shared" si="41"/>
        <v>4.0268456375838965E-2</v>
      </c>
      <c r="L524" s="8">
        <v>1.77</v>
      </c>
      <c r="M524" s="8">
        <v>13.39</v>
      </c>
      <c r="N524" s="8">
        <v>13.51</v>
      </c>
      <c r="O524" s="17">
        <f t="shared" si="42"/>
        <v>-0.15288296860133208</v>
      </c>
      <c r="P524" s="17">
        <f t="shared" si="43"/>
        <v>3.3549833333333301</v>
      </c>
      <c r="Q524" s="17">
        <v>11.82</v>
      </c>
      <c r="R524" s="9">
        <v>20220804</v>
      </c>
      <c r="S524" s="9">
        <v>-146.35</v>
      </c>
      <c r="T524" s="9">
        <v>17.350000000000001</v>
      </c>
      <c r="U524" s="9">
        <v>2323.98999</v>
      </c>
      <c r="V524" s="45">
        <f t="shared" si="44"/>
        <v>-0.99253439125183152</v>
      </c>
      <c r="W524" s="12">
        <v>0</v>
      </c>
      <c r="X524" s="12">
        <v>0</v>
      </c>
      <c r="Y524" s="62"/>
    </row>
    <row r="525" spans="1:25" x14ac:dyDescent="0.2">
      <c r="A525" s="3" t="s">
        <v>2838</v>
      </c>
      <c r="B525" s="3" t="s">
        <v>768</v>
      </c>
      <c r="C525" s="6" t="s">
        <v>354</v>
      </c>
      <c r="D525" s="6" t="s">
        <v>769</v>
      </c>
      <c r="E525" s="6" t="s">
        <v>201</v>
      </c>
      <c r="F525" s="6">
        <v>6397.83</v>
      </c>
      <c r="G525" s="2">
        <v>7</v>
      </c>
      <c r="H525" s="61">
        <v>2.3199999999999998</v>
      </c>
      <c r="I525" s="61">
        <v>2.7</v>
      </c>
      <c r="J525" s="47">
        <f t="shared" si="40"/>
        <v>-0.66857142857142848</v>
      </c>
      <c r="K525" s="47">
        <f t="shared" si="41"/>
        <v>0.16379310344827602</v>
      </c>
      <c r="L525" s="8">
        <v>3.03</v>
      </c>
      <c r="M525" s="8">
        <v>20.71</v>
      </c>
      <c r="N525" s="8">
        <v>19.170000000000002</v>
      </c>
      <c r="O525" s="17">
        <f t="shared" si="42"/>
        <v>-0.30976495726495734</v>
      </c>
      <c r="P525" s="17">
        <f t="shared" si="43"/>
        <v>1.1703789473684201</v>
      </c>
      <c r="Q525" s="17">
        <v>17.100000000000001</v>
      </c>
      <c r="R525" s="9">
        <v>20220601</v>
      </c>
      <c r="S525" s="9">
        <v>28.09</v>
      </c>
      <c r="T525" s="9">
        <v>3.16</v>
      </c>
      <c r="U525" s="9">
        <v>3237.5419900000002</v>
      </c>
      <c r="V525" s="45">
        <f t="shared" si="44"/>
        <v>-0.9990239508831823</v>
      </c>
      <c r="W525" s="12">
        <v>-8.06</v>
      </c>
      <c r="X525" s="12">
        <v>1.7</v>
      </c>
      <c r="Y525" s="62">
        <v>1.83</v>
      </c>
    </row>
    <row r="526" spans="1:25" x14ac:dyDescent="0.2">
      <c r="A526" s="3" t="s">
        <v>2839</v>
      </c>
      <c r="B526" s="3" t="s">
        <v>1953</v>
      </c>
      <c r="C526" s="6" t="s">
        <v>354</v>
      </c>
      <c r="D526" s="6" t="s">
        <v>206</v>
      </c>
      <c r="E526" s="6" t="s">
        <v>218</v>
      </c>
      <c r="F526" s="6">
        <v>7226.74</v>
      </c>
      <c r="G526" s="2">
        <v>12</v>
      </c>
      <c r="H526" s="61">
        <v>0.88</v>
      </c>
      <c r="I526" s="61">
        <v>3.4</v>
      </c>
      <c r="J526" s="47">
        <f t="shared" si="40"/>
        <v>-0.92666666666666664</v>
      </c>
      <c r="K526" s="47">
        <f t="shared" si="41"/>
        <v>2.8636363636363638</v>
      </c>
      <c r="L526" s="8">
        <v>4.68</v>
      </c>
      <c r="M526" s="8">
        <v>18.75</v>
      </c>
      <c r="N526" s="8">
        <v>10.19</v>
      </c>
      <c r="O526" s="17">
        <f t="shared" si="42"/>
        <v>-0.2023381294964029</v>
      </c>
      <c r="P526" s="17">
        <f t="shared" si="43"/>
        <v>3.5584126984126982E-2</v>
      </c>
      <c r="Q526" s="17">
        <v>7.41</v>
      </c>
      <c r="R526" s="9">
        <v>20220803</v>
      </c>
      <c r="S526" s="9">
        <v>8.8800000000000008</v>
      </c>
      <c r="T526" s="9">
        <v>3.93</v>
      </c>
      <c r="U526" s="9">
        <v>16535.769530000001</v>
      </c>
      <c r="V526" s="45">
        <f t="shared" si="44"/>
        <v>-0.99976233340741294</v>
      </c>
      <c r="W526" s="12">
        <v>-1.03</v>
      </c>
      <c r="X526" s="12">
        <v>4.5</v>
      </c>
      <c r="Y526" s="62"/>
    </row>
    <row r="527" spans="1:25" x14ac:dyDescent="0.2">
      <c r="A527" s="3" t="s">
        <v>2840</v>
      </c>
      <c r="B527" s="3" t="s">
        <v>770</v>
      </c>
      <c r="C527" s="6" t="s">
        <v>354</v>
      </c>
      <c r="D527" s="6" t="s">
        <v>126</v>
      </c>
      <c r="E527" s="6" t="s">
        <v>60</v>
      </c>
      <c r="F527" s="6">
        <v>34259.43</v>
      </c>
      <c r="G527" s="2">
        <v>12</v>
      </c>
      <c r="H527" s="61">
        <v>4.22</v>
      </c>
      <c r="I527" s="61">
        <v>3.4</v>
      </c>
      <c r="J527" s="47">
        <f t="shared" si="40"/>
        <v>-0.64833333333333332</v>
      </c>
      <c r="K527" s="47">
        <f t="shared" si="41"/>
        <v>-0.19431279620853079</v>
      </c>
      <c r="L527" s="8">
        <v>4.0599999999999996</v>
      </c>
      <c r="M527" s="8">
        <v>16.39</v>
      </c>
      <c r="N527" s="8">
        <v>19.82</v>
      </c>
      <c r="O527" s="17">
        <f t="shared" si="42"/>
        <v>-0.25280205655526994</v>
      </c>
      <c r="P527" s="17">
        <f t="shared" si="43"/>
        <v>-1.0200048780487805</v>
      </c>
      <c r="Q527" s="17">
        <v>16.59</v>
      </c>
      <c r="R527" s="9">
        <v>20220802</v>
      </c>
      <c r="S527" s="9">
        <v>7.88</v>
      </c>
      <c r="T527" s="9">
        <v>-32.200000000000003</v>
      </c>
      <c r="U527" s="9">
        <v>13520.992179999999</v>
      </c>
      <c r="V527" s="45">
        <f t="shared" si="44"/>
        <v>-1.0023814820370676</v>
      </c>
      <c r="W527" s="12">
        <v>22.39</v>
      </c>
      <c r="X527" s="12">
        <v>1.96</v>
      </c>
      <c r="Y527" s="62">
        <v>2.14</v>
      </c>
    </row>
    <row r="528" spans="1:25" x14ac:dyDescent="0.2">
      <c r="A528" s="3" t="s">
        <v>2841</v>
      </c>
      <c r="B528" s="3" t="s">
        <v>771</v>
      </c>
      <c r="C528" s="6" t="s">
        <v>355</v>
      </c>
      <c r="D528" s="6" t="s">
        <v>177</v>
      </c>
      <c r="E528" s="6" t="s">
        <v>119</v>
      </c>
      <c r="F528" s="6">
        <v>28235.01</v>
      </c>
      <c r="G528" s="2">
        <v>12</v>
      </c>
      <c r="H528" s="61">
        <v>0.4</v>
      </c>
      <c r="I528" s="61">
        <v>0.7</v>
      </c>
      <c r="J528" s="47">
        <f t="shared" si="40"/>
        <v>-0.96666666666666667</v>
      </c>
      <c r="K528" s="47">
        <f t="shared" si="41"/>
        <v>0.74999999999999978</v>
      </c>
      <c r="L528" s="8">
        <v>0.92</v>
      </c>
      <c r="M528" s="8">
        <v>135.80000000000001</v>
      </c>
      <c r="N528" s="8">
        <v>128.86000000000001</v>
      </c>
      <c r="O528" s="17">
        <f t="shared" si="42"/>
        <v>-1.4048275862068966</v>
      </c>
      <c r="P528" s="17">
        <f t="shared" si="43"/>
        <v>1.7181333333333342</v>
      </c>
      <c r="Q528" s="17">
        <v>97.9</v>
      </c>
      <c r="R528" s="9">
        <v>20220804</v>
      </c>
      <c r="S528" s="9">
        <v>1.53</v>
      </c>
      <c r="U528" s="9">
        <v>1592.13</v>
      </c>
      <c r="V528" s="45">
        <f t="shared" si="44"/>
        <v>-1</v>
      </c>
      <c r="W528" s="12">
        <v>118.18</v>
      </c>
      <c r="X528" s="12">
        <v>0</v>
      </c>
      <c r="Y528" s="62"/>
    </row>
    <row r="529" spans="1:25" x14ac:dyDescent="0.2">
      <c r="A529" s="3" t="s">
        <v>2842</v>
      </c>
      <c r="B529" s="3" t="s">
        <v>1954</v>
      </c>
      <c r="C529" s="6" t="s">
        <v>354</v>
      </c>
      <c r="D529" s="6" t="s">
        <v>1171</v>
      </c>
      <c r="E529" s="6" t="s">
        <v>231</v>
      </c>
      <c r="F529" s="6">
        <v>5242.5600000000004</v>
      </c>
      <c r="G529" s="2">
        <v>1</v>
      </c>
      <c r="H529" s="61">
        <v>33.57</v>
      </c>
      <c r="I529" s="61">
        <v>26.46</v>
      </c>
      <c r="J529" s="47">
        <f t="shared" si="40"/>
        <v>32.57</v>
      </c>
      <c r="K529" s="47">
        <f t="shared" si="41"/>
        <v>-0.21179624664879354</v>
      </c>
      <c r="L529" s="8">
        <v>19.579999999999998</v>
      </c>
      <c r="M529" s="8">
        <v>5.99</v>
      </c>
      <c r="N529" s="8">
        <v>10.79</v>
      </c>
      <c r="O529" s="17">
        <f t="shared" si="42"/>
        <v>1.8391157506908199E-3</v>
      </c>
      <c r="P529" s="17">
        <f t="shared" si="43"/>
        <v>-0.50945189873417718</v>
      </c>
      <c r="Q529" s="17">
        <v>14.58</v>
      </c>
      <c r="R529" s="9">
        <v>20220811</v>
      </c>
      <c r="S529" s="9">
        <v>60.73</v>
      </c>
      <c r="T529" s="9">
        <v>-3.61</v>
      </c>
      <c r="U529" s="9">
        <v>6891</v>
      </c>
      <c r="V529" s="45">
        <f t="shared" si="44"/>
        <v>-1.000523871716732</v>
      </c>
      <c r="W529" s="12">
        <v>149.44</v>
      </c>
      <c r="X529" s="12">
        <v>0.28000000000000003</v>
      </c>
      <c r="Y529" s="62">
        <v>0.74</v>
      </c>
    </row>
    <row r="530" spans="1:25" x14ac:dyDescent="0.2">
      <c r="A530" s="3" t="s">
        <v>772</v>
      </c>
      <c r="B530" s="3" t="s">
        <v>773</v>
      </c>
      <c r="C530" s="6" t="s">
        <v>354</v>
      </c>
      <c r="D530" s="6" t="s">
        <v>182</v>
      </c>
      <c r="E530" s="6" t="s">
        <v>201</v>
      </c>
      <c r="F530" s="6">
        <v>106610.63</v>
      </c>
      <c r="G530" s="2">
        <v>10</v>
      </c>
      <c r="H530" s="61">
        <v>18.760000000000002</v>
      </c>
      <c r="I530" s="61">
        <v>23.07</v>
      </c>
      <c r="J530" s="47">
        <f t="shared" si="40"/>
        <v>0.87600000000000011</v>
      </c>
      <c r="K530" s="47">
        <f t="shared" si="41"/>
        <v>0.22974413646055428</v>
      </c>
      <c r="L530" s="8">
        <v>26.91</v>
      </c>
      <c r="M530" s="8">
        <v>18.13</v>
      </c>
      <c r="N530" s="8">
        <v>15.06</v>
      </c>
      <c r="O530" s="17">
        <f t="shared" si="42"/>
        <v>0.20696347031963466</v>
      </c>
      <c r="P530" s="17">
        <f t="shared" si="43"/>
        <v>0.65551183294663606</v>
      </c>
      <c r="Q530" s="17">
        <v>12.91</v>
      </c>
      <c r="R530" s="9">
        <v>20220819</v>
      </c>
      <c r="S530" s="9">
        <v>33.58</v>
      </c>
      <c r="T530" s="9">
        <v>7.57</v>
      </c>
      <c r="U530" s="9">
        <v>47850.398430000001</v>
      </c>
      <c r="V530" s="45">
        <f t="shared" si="44"/>
        <v>-0.99984179860046363</v>
      </c>
      <c r="W530" s="12">
        <v>2.41</v>
      </c>
      <c r="X530" s="12">
        <v>1.21</v>
      </c>
      <c r="Y530" s="62">
        <v>1.1499999999999999</v>
      </c>
    </row>
    <row r="531" spans="1:25" x14ac:dyDescent="0.2">
      <c r="A531" s="3" t="s">
        <v>2843</v>
      </c>
      <c r="B531" s="3" t="s">
        <v>774</v>
      </c>
      <c r="C531" s="6" t="s">
        <v>354</v>
      </c>
      <c r="D531" s="6" t="s">
        <v>230</v>
      </c>
      <c r="E531" s="6" t="s">
        <v>146</v>
      </c>
      <c r="F531" s="6">
        <v>7141.58</v>
      </c>
      <c r="G531" s="2">
        <v>3</v>
      </c>
      <c r="H531" s="61">
        <v>15.09</v>
      </c>
      <c r="I531" s="61">
        <v>18.13</v>
      </c>
      <c r="J531" s="47">
        <f t="shared" si="40"/>
        <v>4.03</v>
      </c>
      <c r="K531" s="47">
        <f t="shared" si="41"/>
        <v>0.20145791915175607</v>
      </c>
      <c r="L531" s="8">
        <v>21.25</v>
      </c>
      <c r="M531" s="8">
        <v>16.079999999999998</v>
      </c>
      <c r="N531" s="8">
        <v>14.46</v>
      </c>
      <c r="O531" s="17">
        <f t="shared" si="42"/>
        <v>3.9900744416873447E-2</v>
      </c>
      <c r="P531" s="17">
        <f t="shared" si="43"/>
        <v>0.71776776315789503</v>
      </c>
      <c r="Q531" s="17">
        <v>12.34</v>
      </c>
      <c r="R531" s="9">
        <v>20220804</v>
      </c>
      <c r="S531" s="9">
        <v>30.2</v>
      </c>
      <c r="T531" s="9">
        <v>11.32</v>
      </c>
      <c r="U531" s="9">
        <v>3498.8559500000001</v>
      </c>
      <c r="V531" s="45">
        <f t="shared" si="44"/>
        <v>-0.99676465674444237</v>
      </c>
      <c r="W531" s="12">
        <v>85.93</v>
      </c>
      <c r="X531" s="12">
        <v>0</v>
      </c>
      <c r="Y531" s="62"/>
    </row>
    <row r="532" spans="1:25" x14ac:dyDescent="0.2">
      <c r="A532" s="3" t="s">
        <v>2844</v>
      </c>
      <c r="B532" s="3" t="s">
        <v>775</v>
      </c>
      <c r="C532" s="6" t="s">
        <v>354</v>
      </c>
      <c r="D532" s="6" t="s">
        <v>215</v>
      </c>
      <c r="E532" s="6" t="s">
        <v>163</v>
      </c>
      <c r="F532" s="6">
        <v>4916.68</v>
      </c>
      <c r="G532" s="2">
        <v>12</v>
      </c>
      <c r="H532" s="61">
        <v>1.86</v>
      </c>
      <c r="I532" s="61">
        <v>2.04</v>
      </c>
      <c r="J532" s="47">
        <f t="shared" si="40"/>
        <v>-0.84500000000000008</v>
      </c>
      <c r="K532" s="47">
        <f t="shared" si="41"/>
        <v>9.6774193548387052E-2</v>
      </c>
      <c r="L532" s="8">
        <v>2.21</v>
      </c>
      <c r="M532" s="8">
        <v>14.49</v>
      </c>
      <c r="N532" s="8">
        <v>13.71</v>
      </c>
      <c r="O532" s="17">
        <f t="shared" si="42"/>
        <v>-0.17147928994082837</v>
      </c>
      <c r="P532" s="17">
        <f t="shared" si="43"/>
        <v>1.4167000000000007</v>
      </c>
      <c r="Q532" s="17">
        <v>12.67</v>
      </c>
      <c r="R532" s="9">
        <v>20220802</v>
      </c>
      <c r="S532" s="9">
        <v>1.97</v>
      </c>
      <c r="T532" s="9">
        <v>2.99</v>
      </c>
      <c r="U532" s="9">
        <v>934.46696999999995</v>
      </c>
      <c r="V532" s="45">
        <f t="shared" si="44"/>
        <v>-0.99680031494318089</v>
      </c>
      <c r="W532" s="12">
        <v>0</v>
      </c>
      <c r="X532" s="12">
        <v>4</v>
      </c>
      <c r="Y532" s="62">
        <v>2.62</v>
      </c>
    </row>
    <row r="533" spans="1:25" x14ac:dyDescent="0.2">
      <c r="A533" s="3" t="s">
        <v>2845</v>
      </c>
      <c r="B533" s="3" t="s">
        <v>776</v>
      </c>
      <c r="C533" s="6" t="s">
        <v>354</v>
      </c>
      <c r="D533" s="6" t="s">
        <v>134</v>
      </c>
      <c r="E533" s="6" t="s">
        <v>119</v>
      </c>
      <c r="F533" s="6">
        <v>33404.300000000003</v>
      </c>
      <c r="G533" s="2">
        <v>1</v>
      </c>
      <c r="H533" s="61">
        <v>7.91</v>
      </c>
      <c r="I533" s="61">
        <v>6.52</v>
      </c>
      <c r="J533" s="47">
        <f t="shared" si="40"/>
        <v>6.91</v>
      </c>
      <c r="K533" s="47">
        <f t="shared" si="41"/>
        <v>-0.17572692793931738</v>
      </c>
      <c r="L533" s="8">
        <v>7.16</v>
      </c>
      <c r="M533" s="8">
        <v>5.38</v>
      </c>
      <c r="N533" s="8">
        <v>6.74</v>
      </c>
      <c r="O533" s="17">
        <f t="shared" si="42"/>
        <v>7.7858176555716347E-3</v>
      </c>
      <c r="P533" s="17">
        <f t="shared" si="43"/>
        <v>-0.38354964028776972</v>
      </c>
      <c r="Q533" s="17">
        <v>6.13</v>
      </c>
      <c r="R533" s="9">
        <v>20220825</v>
      </c>
      <c r="S533" s="9">
        <v>85.27</v>
      </c>
      <c r="T533" s="9">
        <v>7.52</v>
      </c>
      <c r="U533" s="9">
        <v>104383.73437000001</v>
      </c>
      <c r="V533" s="45">
        <f t="shared" si="44"/>
        <v>-0.99992795812445889</v>
      </c>
      <c r="W533" s="12">
        <v>33.33</v>
      </c>
      <c r="X533" s="12">
        <v>3</v>
      </c>
      <c r="Y533" s="62">
        <v>0.56000000000000005</v>
      </c>
    </row>
    <row r="534" spans="1:25" x14ac:dyDescent="0.2">
      <c r="A534" s="3" t="s">
        <v>2846</v>
      </c>
      <c r="B534" s="3" t="s">
        <v>777</v>
      </c>
      <c r="C534" s="6" t="s">
        <v>354</v>
      </c>
      <c r="D534" s="6" t="s">
        <v>200</v>
      </c>
      <c r="E534" s="6" t="s">
        <v>218</v>
      </c>
      <c r="F534" s="6">
        <v>3684.49</v>
      </c>
      <c r="G534" s="2">
        <v>12</v>
      </c>
      <c r="H534" s="61">
        <v>2.54</v>
      </c>
      <c r="I534" s="61">
        <v>7.34</v>
      </c>
      <c r="J534" s="47">
        <f t="shared" si="40"/>
        <v>-0.78833333333333344</v>
      </c>
      <c r="K534" s="47">
        <f t="shared" si="41"/>
        <v>1.889763779527559</v>
      </c>
      <c r="L534" s="8">
        <v>9.7799999999999994</v>
      </c>
      <c r="M534" s="8">
        <v>19.25</v>
      </c>
      <c r="N534" s="8">
        <v>9.9700000000000006</v>
      </c>
      <c r="O534" s="17">
        <f t="shared" si="42"/>
        <v>-0.24418604651162787</v>
      </c>
      <c r="P534" s="17">
        <f t="shared" si="43"/>
        <v>5.2757916666666668E-2</v>
      </c>
      <c r="Q534" s="17">
        <v>7.48</v>
      </c>
      <c r="R534" s="9">
        <v>20220804</v>
      </c>
      <c r="S534" s="9">
        <v>19.79</v>
      </c>
      <c r="T534" s="9">
        <v>-4.04</v>
      </c>
      <c r="U534" s="9">
        <v>1457.4499499999999</v>
      </c>
      <c r="V534" s="45">
        <f t="shared" si="44"/>
        <v>-1.0027719648280202</v>
      </c>
      <c r="W534" s="12">
        <v>13.42</v>
      </c>
      <c r="X534" s="12">
        <v>0</v>
      </c>
      <c r="Y534" s="62"/>
    </row>
    <row r="535" spans="1:25" x14ac:dyDescent="0.2">
      <c r="A535" s="3" t="s">
        <v>2847</v>
      </c>
      <c r="B535" s="3" t="s">
        <v>778</v>
      </c>
      <c r="C535" s="6" t="s">
        <v>354</v>
      </c>
      <c r="D535" s="6" t="s">
        <v>116</v>
      </c>
      <c r="E535" s="6" t="s">
        <v>154</v>
      </c>
      <c r="F535" s="6">
        <v>106913.47</v>
      </c>
      <c r="G535" s="2">
        <v>6</v>
      </c>
      <c r="H535" s="61">
        <v>6.45</v>
      </c>
      <c r="I535" s="61">
        <v>7.42</v>
      </c>
      <c r="J535" s="47">
        <f t="shared" si="40"/>
        <v>7.5000000000000025E-2</v>
      </c>
      <c r="K535" s="47">
        <f t="shared" si="41"/>
        <v>0.15038759689922476</v>
      </c>
      <c r="L535" s="8">
        <v>8.2100000000000009</v>
      </c>
      <c r="N535" s="8">
        <v>24.84</v>
      </c>
      <c r="O535" s="17">
        <f t="shared" si="42"/>
        <v>0</v>
      </c>
      <c r="P535" s="17">
        <f t="shared" si="43"/>
        <v>1.6517319587628871</v>
      </c>
      <c r="Q535" s="17">
        <v>22.43</v>
      </c>
      <c r="U535" s="9">
        <v>19145.853510000001</v>
      </c>
      <c r="V535" s="45">
        <f t="shared" si="44"/>
        <v>-1</v>
      </c>
      <c r="X535" s="12">
        <v>1.65</v>
      </c>
      <c r="Y535" s="62">
        <v>2.56</v>
      </c>
    </row>
    <row r="536" spans="1:25" x14ac:dyDescent="0.2">
      <c r="A536" s="3" t="s">
        <v>2848</v>
      </c>
      <c r="B536" s="3" t="s">
        <v>2107</v>
      </c>
      <c r="C536" s="6" t="s">
        <v>356</v>
      </c>
      <c r="D536" s="6" t="s">
        <v>654</v>
      </c>
      <c r="E536" s="6" t="s">
        <v>154</v>
      </c>
      <c r="F536" s="6">
        <v>3653.86</v>
      </c>
      <c r="G536" s="2">
        <v>12</v>
      </c>
      <c r="H536" s="61"/>
      <c r="I536" s="61"/>
      <c r="J536" s="47">
        <f t="shared" si="40"/>
        <v>-1</v>
      </c>
      <c r="K536" s="47" t="e">
        <f t="shared" si="41"/>
        <v>#DIV/0!</v>
      </c>
      <c r="O536" s="17">
        <f t="shared" si="42"/>
        <v>0</v>
      </c>
      <c r="P536" s="17" t="e">
        <f t="shared" si="43"/>
        <v>#DIV/0!</v>
      </c>
      <c r="Q536" s="17"/>
      <c r="V536" s="45" t="e">
        <f t="shared" si="44"/>
        <v>#DIV/0!</v>
      </c>
      <c r="X536" s="12">
        <v>4.24</v>
      </c>
      <c r="Y536" s="62"/>
    </row>
    <row r="537" spans="1:25" x14ac:dyDescent="0.2">
      <c r="A537" s="3" t="s">
        <v>779</v>
      </c>
      <c r="B537" s="3" t="s">
        <v>780</v>
      </c>
      <c r="C537" s="6" t="s">
        <v>354</v>
      </c>
      <c r="D537" s="6" t="s">
        <v>148</v>
      </c>
      <c r="E537" s="6" t="s">
        <v>163</v>
      </c>
      <c r="F537" s="6">
        <v>31125.31</v>
      </c>
      <c r="G537" s="2">
        <v>12</v>
      </c>
      <c r="H537" s="61">
        <v>17.68</v>
      </c>
      <c r="I537" s="61">
        <v>14.86</v>
      </c>
      <c r="J537" s="47">
        <f t="shared" si="40"/>
        <v>0.47333333333333333</v>
      </c>
      <c r="K537" s="47">
        <f t="shared" si="41"/>
        <v>-0.15950226244343893</v>
      </c>
      <c r="L537" s="8">
        <v>14.75</v>
      </c>
      <c r="M537" s="8">
        <v>6.54</v>
      </c>
      <c r="N537" s="8">
        <v>7.46</v>
      </c>
      <c r="O537" s="17">
        <f t="shared" si="42"/>
        <v>0.13816901408450705</v>
      </c>
      <c r="P537" s="17">
        <f t="shared" si="43"/>
        <v>-0.46770496453900701</v>
      </c>
      <c r="Q537" s="17">
        <v>7.51</v>
      </c>
      <c r="R537" s="9">
        <v>20220720</v>
      </c>
      <c r="S537" s="9">
        <v>41.57</v>
      </c>
      <c r="T537" s="9">
        <v>3.46</v>
      </c>
      <c r="U537" s="9">
        <v>12590.54199</v>
      </c>
      <c r="V537" s="45">
        <f t="shared" si="44"/>
        <v>-0.99972519054360431</v>
      </c>
      <c r="W537" s="12">
        <v>17.88</v>
      </c>
      <c r="X537" s="12">
        <v>2.17</v>
      </c>
      <c r="Y537" s="62">
        <v>0.25</v>
      </c>
    </row>
    <row r="538" spans="1:25" x14ac:dyDescent="0.2">
      <c r="A538" s="3" t="s">
        <v>2849</v>
      </c>
      <c r="B538" s="3" t="s">
        <v>781</v>
      </c>
      <c r="C538" s="6" t="s">
        <v>354</v>
      </c>
      <c r="D538" s="6" t="s">
        <v>577</v>
      </c>
      <c r="E538" s="6" t="s">
        <v>231</v>
      </c>
      <c r="F538" s="6">
        <v>50819.98</v>
      </c>
      <c r="G538" s="2">
        <v>1</v>
      </c>
      <c r="H538" s="61">
        <v>10.17</v>
      </c>
      <c r="I538" s="61">
        <v>11.4</v>
      </c>
      <c r="J538" s="47">
        <f t="shared" si="40"/>
        <v>9.17</v>
      </c>
      <c r="K538" s="47">
        <f t="shared" si="41"/>
        <v>0.12094395280235992</v>
      </c>
      <c r="L538" s="8">
        <v>12.42</v>
      </c>
      <c r="M538" s="8">
        <v>22.78</v>
      </c>
      <c r="N538" s="8">
        <v>19.489999999999998</v>
      </c>
      <c r="O538" s="17">
        <f t="shared" si="42"/>
        <v>2.4841875681570338E-2</v>
      </c>
      <c r="P538" s="17">
        <f t="shared" si="43"/>
        <v>1.6114902439024383</v>
      </c>
      <c r="Q538" s="17">
        <v>17.88</v>
      </c>
      <c r="R538" s="9">
        <v>20220825</v>
      </c>
      <c r="S538" s="9">
        <v>37.049999999999997</v>
      </c>
      <c r="T538" s="9">
        <v>10.71</v>
      </c>
      <c r="U538" s="9">
        <v>37402.035150000003</v>
      </c>
      <c r="V538" s="45">
        <f t="shared" si="44"/>
        <v>-0.99971365194548778</v>
      </c>
      <c r="W538" s="12">
        <v>3.88</v>
      </c>
      <c r="X538" s="12">
        <v>0.99</v>
      </c>
      <c r="Y538" s="62">
        <v>1.7</v>
      </c>
    </row>
    <row r="539" spans="1:25" x14ac:dyDescent="0.2">
      <c r="A539" s="3" t="s">
        <v>2850</v>
      </c>
      <c r="B539" s="3" t="s">
        <v>782</v>
      </c>
      <c r="C539" s="6" t="s">
        <v>354</v>
      </c>
      <c r="D539" s="6" t="s">
        <v>192</v>
      </c>
      <c r="E539" s="6" t="s">
        <v>208</v>
      </c>
      <c r="F539" s="6">
        <v>16624.759999999998</v>
      </c>
      <c r="G539" s="2">
        <v>12</v>
      </c>
      <c r="H539" s="61">
        <v>14.27</v>
      </c>
      <c r="I539" s="61">
        <v>9.31</v>
      </c>
      <c r="J539" s="47">
        <f t="shared" si="40"/>
        <v>0.18916666666666662</v>
      </c>
      <c r="K539" s="47">
        <f t="shared" si="41"/>
        <v>-0.34758234057463205</v>
      </c>
      <c r="L539" s="8">
        <v>8.2799999999999994</v>
      </c>
      <c r="M539" s="8">
        <v>10.35</v>
      </c>
      <c r="N539" s="8">
        <v>15.21</v>
      </c>
      <c r="O539" s="17">
        <f t="shared" si="42"/>
        <v>0.5471365638766521</v>
      </c>
      <c r="P539" s="17">
        <f t="shared" si="43"/>
        <v>-0.43759415322580653</v>
      </c>
      <c r="Q539" s="17">
        <v>17.11</v>
      </c>
      <c r="R539" s="9">
        <v>20220728</v>
      </c>
      <c r="S539" s="9">
        <v>27.08</v>
      </c>
      <c r="T539" s="9">
        <v>8.93</v>
      </c>
      <c r="U539" s="9">
        <v>9295.9697199999991</v>
      </c>
      <c r="V539" s="45">
        <f t="shared" si="44"/>
        <v>-0.99903936864372656</v>
      </c>
      <c r="W539" s="12">
        <v>10.65</v>
      </c>
      <c r="X539" s="12">
        <v>1.86</v>
      </c>
      <c r="Y539" s="62"/>
    </row>
    <row r="540" spans="1:25" x14ac:dyDescent="0.2">
      <c r="A540" s="3" t="s">
        <v>2851</v>
      </c>
      <c r="B540" s="3" t="s">
        <v>783</v>
      </c>
      <c r="C540" s="6" t="s">
        <v>354</v>
      </c>
      <c r="D540" s="6" t="s">
        <v>784</v>
      </c>
      <c r="E540" s="6" t="s">
        <v>140</v>
      </c>
      <c r="F540" s="6">
        <v>25648.92</v>
      </c>
      <c r="G540" s="2">
        <v>9</v>
      </c>
      <c r="H540" s="61">
        <v>11.13</v>
      </c>
      <c r="I540" s="61">
        <v>17.37</v>
      </c>
      <c r="J540" s="47">
        <f t="shared" si="40"/>
        <v>0.23666666666666675</v>
      </c>
      <c r="K540" s="47">
        <f t="shared" si="41"/>
        <v>0.56064690026954178</v>
      </c>
      <c r="L540" s="8">
        <v>17.43</v>
      </c>
      <c r="M540" s="8">
        <v>5.22</v>
      </c>
      <c r="N540" s="8">
        <v>4.1900000000000004</v>
      </c>
      <c r="O540" s="17">
        <f t="shared" si="42"/>
        <v>0.22056338028169006</v>
      </c>
      <c r="P540" s="17">
        <f t="shared" si="43"/>
        <v>7.4735096153846159E-2</v>
      </c>
      <c r="Q540" s="17">
        <v>4.18</v>
      </c>
      <c r="R540" s="9">
        <v>20220728</v>
      </c>
      <c r="S540" s="9">
        <v>32.22</v>
      </c>
      <c r="T540" s="9">
        <v>17.78</v>
      </c>
      <c r="U540" s="9">
        <v>35405.09375</v>
      </c>
      <c r="V540" s="45">
        <f t="shared" si="44"/>
        <v>-0.99949781237339619</v>
      </c>
      <c r="W540" s="12">
        <v>19.579999999999998</v>
      </c>
      <c r="X540" s="12">
        <v>1.24</v>
      </c>
      <c r="Y540" s="62">
        <v>0.5</v>
      </c>
    </row>
    <row r="541" spans="1:25" x14ac:dyDescent="0.2">
      <c r="A541" s="3" t="s">
        <v>2852</v>
      </c>
      <c r="B541" s="3" t="s">
        <v>785</v>
      </c>
      <c r="C541" s="6" t="s">
        <v>354</v>
      </c>
      <c r="D541" s="6" t="s">
        <v>590</v>
      </c>
      <c r="E541" s="6" t="s">
        <v>589</v>
      </c>
      <c r="F541" s="6">
        <v>183012.48000000001</v>
      </c>
      <c r="G541" s="2">
        <v>12</v>
      </c>
      <c r="H541" s="61">
        <v>9.86</v>
      </c>
      <c r="I541" s="61">
        <v>10.31</v>
      </c>
      <c r="J541" s="47">
        <f t="shared" si="40"/>
        <v>-0.17833333333333337</v>
      </c>
      <c r="K541" s="47">
        <f t="shared" si="41"/>
        <v>4.563894523326583E-2</v>
      </c>
      <c r="L541" s="8">
        <v>10.8</v>
      </c>
      <c r="M541" s="8">
        <v>24.44</v>
      </c>
      <c r="N541" s="8">
        <v>24.42</v>
      </c>
      <c r="O541" s="17">
        <f t="shared" si="42"/>
        <v>-1.3704672897196259</v>
      </c>
      <c r="P541" s="17">
        <f t="shared" si="43"/>
        <v>5.3506933333333206</v>
      </c>
      <c r="Q541" s="17">
        <v>23.31</v>
      </c>
      <c r="R541" s="9">
        <v>20220728</v>
      </c>
      <c r="S541" s="9">
        <v>18.64</v>
      </c>
      <c r="T541" s="9">
        <v>10.69</v>
      </c>
      <c r="U541" s="9">
        <v>30376.716789999999</v>
      </c>
      <c r="V541" s="45">
        <f t="shared" si="44"/>
        <v>-0.99964808573375785</v>
      </c>
      <c r="W541" s="12">
        <v>4.1500000000000004</v>
      </c>
      <c r="X541" s="12">
        <v>0.4</v>
      </c>
      <c r="Y541" s="62">
        <v>2.8</v>
      </c>
    </row>
    <row r="542" spans="1:25" x14ac:dyDescent="0.2">
      <c r="B542" s="3" t="s">
        <v>2108</v>
      </c>
      <c r="C542" s="6" t="s">
        <v>354</v>
      </c>
      <c r="D542" s="6" t="s">
        <v>519</v>
      </c>
      <c r="E542" s="6" t="s">
        <v>163</v>
      </c>
      <c r="F542" s="6">
        <v>28332.6</v>
      </c>
      <c r="G542" s="2">
        <v>12</v>
      </c>
      <c r="H542" s="61"/>
      <c r="I542" s="61"/>
      <c r="J542" s="47">
        <f t="shared" si="40"/>
        <v>-1</v>
      </c>
      <c r="K542" s="47" t="e">
        <f t="shared" si="41"/>
        <v>#DIV/0!</v>
      </c>
      <c r="O542" s="17">
        <f t="shared" si="42"/>
        <v>0</v>
      </c>
      <c r="P542" s="17" t="e">
        <f t="shared" si="43"/>
        <v>#DIV/0!</v>
      </c>
      <c r="Q542" s="17"/>
      <c r="V542" s="45" t="e">
        <f t="shared" si="44"/>
        <v>#DIV/0!</v>
      </c>
      <c r="X542" s="12">
        <v>1.82</v>
      </c>
      <c r="Y542" s="62"/>
    </row>
    <row r="543" spans="1:25" x14ac:dyDescent="0.2">
      <c r="A543" s="3" t="s">
        <v>2853</v>
      </c>
      <c r="B543" s="3" t="s">
        <v>2854</v>
      </c>
      <c r="C543" s="6" t="s">
        <v>354</v>
      </c>
      <c r="D543" s="6" t="s">
        <v>195</v>
      </c>
      <c r="E543" s="6" t="s">
        <v>208</v>
      </c>
      <c r="F543" s="6">
        <v>8923</v>
      </c>
      <c r="G543" s="2">
        <v>12</v>
      </c>
      <c r="H543" s="61"/>
      <c r="I543" s="61"/>
      <c r="J543" s="47">
        <f t="shared" si="40"/>
        <v>-1</v>
      </c>
      <c r="K543" s="47" t="e">
        <f t="shared" si="41"/>
        <v>#DIV/0!</v>
      </c>
      <c r="O543" s="17">
        <f t="shared" si="42"/>
        <v>0</v>
      </c>
      <c r="P543" s="17" t="e">
        <f t="shared" si="43"/>
        <v>#DIV/0!</v>
      </c>
      <c r="Q543" s="17"/>
      <c r="S543" s="9">
        <v>-94.91</v>
      </c>
      <c r="V543" s="45" t="e">
        <f t="shared" si="44"/>
        <v>#DIV/0!</v>
      </c>
      <c r="X543" s="12">
        <v>0</v>
      </c>
      <c r="Y543" s="62"/>
    </row>
    <row r="544" spans="1:25" x14ac:dyDescent="0.2">
      <c r="A544" s="3" t="s">
        <v>2855</v>
      </c>
      <c r="B544" s="3" t="s">
        <v>2109</v>
      </c>
      <c r="C544" s="6" t="s">
        <v>356</v>
      </c>
      <c r="D544" s="6" t="s">
        <v>213</v>
      </c>
      <c r="E544" s="6" t="s">
        <v>163</v>
      </c>
      <c r="F544" s="6">
        <v>6020.76</v>
      </c>
      <c r="G544" s="2">
        <v>3</v>
      </c>
      <c r="H544" s="61"/>
      <c r="I544" s="61"/>
      <c r="J544" s="47">
        <f t="shared" si="40"/>
        <v>-1</v>
      </c>
      <c r="K544" s="47" t="e">
        <f t="shared" si="41"/>
        <v>#DIV/0!</v>
      </c>
      <c r="O544" s="17">
        <f t="shared" si="42"/>
        <v>0</v>
      </c>
      <c r="P544" s="17" t="e">
        <f t="shared" si="43"/>
        <v>#DIV/0!</v>
      </c>
      <c r="Q544" s="17"/>
      <c r="V544" s="45" t="e">
        <f t="shared" si="44"/>
        <v>#DIV/0!</v>
      </c>
      <c r="X544" s="12">
        <v>3.81</v>
      </c>
      <c r="Y544" s="62"/>
    </row>
    <row r="545" spans="1:25" x14ac:dyDescent="0.2">
      <c r="A545" s="3" t="s">
        <v>2856</v>
      </c>
      <c r="B545" s="3" t="s">
        <v>2857</v>
      </c>
      <c r="C545" s="6" t="s">
        <v>354</v>
      </c>
      <c r="D545" s="6" t="s">
        <v>306</v>
      </c>
      <c r="E545" s="6" t="s">
        <v>218</v>
      </c>
      <c r="F545" s="6">
        <v>10900.31</v>
      </c>
      <c r="G545" s="2">
        <v>12</v>
      </c>
      <c r="H545" s="61">
        <v>1.67</v>
      </c>
      <c r="I545" s="61">
        <v>7.61</v>
      </c>
      <c r="J545" s="47">
        <f t="shared" si="40"/>
        <v>-0.86083333333333334</v>
      </c>
      <c r="K545" s="47">
        <f t="shared" si="41"/>
        <v>3.5568862275449105</v>
      </c>
      <c r="L545" s="8">
        <v>5.89</v>
      </c>
      <c r="M545" s="8">
        <v>16.12</v>
      </c>
      <c r="N545" s="8">
        <v>6.42</v>
      </c>
      <c r="O545" s="17">
        <f t="shared" si="42"/>
        <v>-0.18726040658276866</v>
      </c>
      <c r="P545" s="17">
        <f t="shared" si="43"/>
        <v>1.8049494949494947E-2</v>
      </c>
      <c r="Q545" s="17">
        <v>8.3000000000000007</v>
      </c>
      <c r="R545" s="9">
        <v>20220802</v>
      </c>
      <c r="S545" s="9">
        <v>7.42</v>
      </c>
      <c r="T545" s="9">
        <v>1.66</v>
      </c>
      <c r="U545" s="9">
        <v>31096.103510000001</v>
      </c>
      <c r="V545" s="45">
        <f t="shared" si="44"/>
        <v>-0.99994661710591926</v>
      </c>
      <c r="W545" s="12">
        <v>3200</v>
      </c>
      <c r="X545" s="12">
        <v>3.28</v>
      </c>
      <c r="Y545" s="62"/>
    </row>
    <row r="546" spans="1:25" x14ac:dyDescent="0.2">
      <c r="A546" s="3" t="s">
        <v>2858</v>
      </c>
      <c r="B546" s="3" t="s">
        <v>2859</v>
      </c>
      <c r="C546" s="6" t="s">
        <v>356</v>
      </c>
      <c r="D546" s="6" t="s">
        <v>1093</v>
      </c>
      <c r="E546" s="6" t="s">
        <v>119</v>
      </c>
      <c r="F546" s="6">
        <v>4230.6400000000003</v>
      </c>
      <c r="G546" s="2">
        <v>3</v>
      </c>
      <c r="H546" s="61">
        <v>6.55</v>
      </c>
      <c r="I546" s="61">
        <v>8.31</v>
      </c>
      <c r="J546" s="47">
        <f t="shared" si="40"/>
        <v>1.1833333333333333</v>
      </c>
      <c r="K546" s="47">
        <f t="shared" si="41"/>
        <v>0.268702290076336</v>
      </c>
      <c r="L546" s="8">
        <v>7.76</v>
      </c>
      <c r="M546" s="8">
        <v>21.58</v>
      </c>
      <c r="N546" s="8">
        <v>10.93</v>
      </c>
      <c r="O546" s="17">
        <f t="shared" si="42"/>
        <v>0.18236619718309857</v>
      </c>
      <c r="P546" s="17">
        <f t="shared" si="43"/>
        <v>0.40676988636363615</v>
      </c>
      <c r="Q546" s="17">
        <v>11.7</v>
      </c>
      <c r="R546" s="9">
        <v>20220531</v>
      </c>
      <c r="U546" s="9">
        <v>4012.4260199999999</v>
      </c>
      <c r="V546" s="45">
        <f t="shared" si="44"/>
        <v>-1</v>
      </c>
      <c r="W546" s="12">
        <v>1.65</v>
      </c>
      <c r="X546" s="12">
        <v>0</v>
      </c>
      <c r="Y546" s="62"/>
    </row>
    <row r="547" spans="1:25" x14ac:dyDescent="0.2">
      <c r="A547" s="3" t="s">
        <v>2860</v>
      </c>
      <c r="B547" s="3" t="s">
        <v>786</v>
      </c>
      <c r="C547" s="6" t="s">
        <v>355</v>
      </c>
      <c r="D547" s="6" t="s">
        <v>143</v>
      </c>
      <c r="E547" s="6" t="s">
        <v>119</v>
      </c>
      <c r="F547" s="6">
        <v>3344.23</v>
      </c>
      <c r="G547" s="2">
        <v>12</v>
      </c>
      <c r="H547" s="61">
        <v>5.0599999999999996</v>
      </c>
      <c r="I547" s="61">
        <v>6.93</v>
      </c>
      <c r="J547" s="47">
        <f t="shared" si="40"/>
        <v>-0.57833333333333337</v>
      </c>
      <c r="K547" s="47">
        <f t="shared" si="41"/>
        <v>0.36956521739130438</v>
      </c>
      <c r="L547" s="8">
        <v>7.11</v>
      </c>
      <c r="M547" s="8">
        <v>12.28</v>
      </c>
      <c r="N547" s="8">
        <v>10.67</v>
      </c>
      <c r="O547" s="17">
        <f t="shared" si="42"/>
        <v>-0.21233429394812678</v>
      </c>
      <c r="P547" s="17">
        <f t="shared" si="43"/>
        <v>0.28871764705882352</v>
      </c>
      <c r="Q547" s="17">
        <v>10.4</v>
      </c>
      <c r="R547" s="9">
        <v>20220804</v>
      </c>
      <c r="S547" s="9">
        <v>21.94</v>
      </c>
      <c r="T547" s="9">
        <v>11.16</v>
      </c>
      <c r="U547" s="9">
        <v>1965.5</v>
      </c>
      <c r="V547" s="45">
        <f t="shared" si="44"/>
        <v>-0.99432205545662677</v>
      </c>
      <c r="W547" s="12">
        <v>12.9</v>
      </c>
      <c r="X547" s="12">
        <v>0</v>
      </c>
      <c r="Y547" s="62"/>
    </row>
    <row r="548" spans="1:25" x14ac:dyDescent="0.2">
      <c r="A548" s="3" t="s">
        <v>2861</v>
      </c>
      <c r="B548" s="3" t="s">
        <v>787</v>
      </c>
      <c r="C548" s="6" t="s">
        <v>354</v>
      </c>
      <c r="D548" s="6" t="s">
        <v>788</v>
      </c>
      <c r="E548" s="6" t="s">
        <v>146</v>
      </c>
      <c r="F548" s="6">
        <v>192277.09</v>
      </c>
      <c r="G548" s="2">
        <v>9</v>
      </c>
      <c r="H548" s="61">
        <v>2.4700000000000002</v>
      </c>
      <c r="I548" s="61">
        <v>4.22</v>
      </c>
      <c r="J548" s="47">
        <f t="shared" si="40"/>
        <v>-0.72555555555555551</v>
      </c>
      <c r="K548" s="47">
        <f t="shared" si="41"/>
        <v>0.70850202429149778</v>
      </c>
      <c r="L548" s="8">
        <v>5.66</v>
      </c>
      <c r="M548" s="8">
        <v>31.91</v>
      </c>
      <c r="N548" s="8">
        <v>25</v>
      </c>
      <c r="O548" s="17">
        <f t="shared" si="42"/>
        <v>-0.43980091883614086</v>
      </c>
      <c r="P548" s="17">
        <f t="shared" si="43"/>
        <v>0.35285714285714298</v>
      </c>
      <c r="Q548" s="17">
        <v>18.649999999999999</v>
      </c>
      <c r="R548" s="9">
        <v>20220811</v>
      </c>
      <c r="S548" s="9">
        <v>6.87</v>
      </c>
      <c r="T548" s="9">
        <v>5.42</v>
      </c>
      <c r="U548" s="9">
        <v>84898.945309999996</v>
      </c>
      <c r="V548" s="45">
        <f t="shared" si="44"/>
        <v>-0.99993615939538227</v>
      </c>
      <c r="W548" s="12">
        <v>-10</v>
      </c>
      <c r="X548" s="12">
        <v>0</v>
      </c>
      <c r="Y548" s="62">
        <v>1.18</v>
      </c>
    </row>
    <row r="549" spans="1:25" x14ac:dyDescent="0.2">
      <c r="A549" s="3" t="s">
        <v>2862</v>
      </c>
      <c r="B549" s="3" t="s">
        <v>790</v>
      </c>
      <c r="C549" s="6" t="s">
        <v>355</v>
      </c>
      <c r="D549" s="6" t="s">
        <v>593</v>
      </c>
      <c r="E549" s="6" t="s">
        <v>146</v>
      </c>
      <c r="F549" s="6">
        <v>11659.89</v>
      </c>
      <c r="G549" s="2">
        <v>12</v>
      </c>
      <c r="H549" s="61">
        <v>3.78</v>
      </c>
      <c r="I549" s="61">
        <v>2.5499999999999998</v>
      </c>
      <c r="J549" s="47">
        <f t="shared" si="40"/>
        <v>-0.68500000000000005</v>
      </c>
      <c r="K549" s="47">
        <f t="shared" si="41"/>
        <v>-0.32539682539682541</v>
      </c>
      <c r="L549" s="8">
        <v>1.5</v>
      </c>
      <c r="M549" s="8">
        <v>6.3</v>
      </c>
      <c r="N549" s="8">
        <v>8.6199999999999992</v>
      </c>
      <c r="O549" s="17">
        <f t="shared" si="42"/>
        <v>-9.1970802919708022E-2</v>
      </c>
      <c r="P549" s="17">
        <f t="shared" si="43"/>
        <v>-0.26490731707317072</v>
      </c>
      <c r="Q549" s="17">
        <v>14.65</v>
      </c>
      <c r="R549" s="9">
        <v>20220808</v>
      </c>
      <c r="S549" s="9">
        <v>14.56</v>
      </c>
      <c r="T549" s="9">
        <v>5.0599999999999996</v>
      </c>
      <c r="U549" s="9">
        <v>17143.679680000001</v>
      </c>
      <c r="V549" s="45">
        <f t="shared" si="44"/>
        <v>-0.99970484749514399</v>
      </c>
      <c r="W549" s="12">
        <v>-1.45</v>
      </c>
      <c r="X549" s="12">
        <v>0</v>
      </c>
      <c r="Y549" s="62">
        <v>1.45</v>
      </c>
    </row>
    <row r="550" spans="1:25" x14ac:dyDescent="0.2">
      <c r="A550" s="3" t="s">
        <v>2863</v>
      </c>
      <c r="B550" s="3" t="s">
        <v>791</v>
      </c>
      <c r="C550" s="6" t="s">
        <v>356</v>
      </c>
      <c r="D550" s="6" t="s">
        <v>522</v>
      </c>
      <c r="E550" s="6" t="s">
        <v>119</v>
      </c>
      <c r="F550" s="6">
        <v>45227.49</v>
      </c>
      <c r="G550" s="2">
        <v>3</v>
      </c>
      <c r="H550" s="61">
        <v>0.69</v>
      </c>
      <c r="I550" s="61">
        <v>0.76</v>
      </c>
      <c r="J550" s="47">
        <f t="shared" si="40"/>
        <v>-0.77</v>
      </c>
      <c r="K550" s="47">
        <f t="shared" si="41"/>
        <v>0.10144927536231894</v>
      </c>
      <c r="L550" s="8">
        <v>0.86</v>
      </c>
      <c r="M550" s="8">
        <v>23.03</v>
      </c>
      <c r="N550" s="8">
        <v>20.170000000000002</v>
      </c>
      <c r="O550" s="17">
        <f t="shared" si="42"/>
        <v>-0.29909090909090913</v>
      </c>
      <c r="P550" s="17">
        <f t="shared" si="43"/>
        <v>1.9881857142857127</v>
      </c>
      <c r="Q550" s="17">
        <v>18.05</v>
      </c>
      <c r="R550" s="9">
        <v>20220531</v>
      </c>
      <c r="S550" s="9">
        <v>12.28</v>
      </c>
      <c r="U550" s="9">
        <v>29568.179680000001</v>
      </c>
      <c r="V550" s="45">
        <f t="shared" si="44"/>
        <v>-1</v>
      </c>
      <c r="W550" s="12">
        <v>5.56</v>
      </c>
      <c r="X550" s="12">
        <v>0.7</v>
      </c>
      <c r="Y550" s="62"/>
    </row>
    <row r="551" spans="1:25" x14ac:dyDescent="0.2">
      <c r="A551" s="3" t="s">
        <v>2864</v>
      </c>
      <c r="B551" s="3" t="s">
        <v>792</v>
      </c>
      <c r="C551" s="6" t="s">
        <v>355</v>
      </c>
      <c r="D551" s="6" t="s">
        <v>157</v>
      </c>
      <c r="E551" s="6" t="s">
        <v>146</v>
      </c>
      <c r="F551" s="6">
        <v>11415.98</v>
      </c>
      <c r="G551" s="2">
        <v>12</v>
      </c>
      <c r="H551" s="61">
        <v>-3.61</v>
      </c>
      <c r="I551" s="61">
        <v>-3.6</v>
      </c>
      <c r="J551" s="47">
        <f t="shared" si="40"/>
        <v>-1.3008333333333333</v>
      </c>
      <c r="K551" s="47">
        <f t="shared" si="41"/>
        <v>2.7700831024930158E-3</v>
      </c>
      <c r="L551" s="8">
        <v>-2.35</v>
      </c>
      <c r="O551" s="17">
        <f t="shared" si="42"/>
        <v>0</v>
      </c>
      <c r="P551" s="17">
        <f t="shared" si="43"/>
        <v>0</v>
      </c>
      <c r="Q551" s="17"/>
      <c r="R551" s="9">
        <v>20220805</v>
      </c>
      <c r="S551" s="9">
        <v>-86.4</v>
      </c>
      <c r="U551" s="9">
        <v>2105.83007</v>
      </c>
      <c r="V551" s="45">
        <f t="shared" si="44"/>
        <v>-1</v>
      </c>
      <c r="W551" s="12">
        <v>6.56</v>
      </c>
      <c r="X551" s="12">
        <v>0</v>
      </c>
      <c r="Y551" s="62"/>
    </row>
    <row r="552" spans="1:25" x14ac:dyDescent="0.2">
      <c r="A552" s="3" t="s">
        <v>2865</v>
      </c>
      <c r="B552" s="3" t="s">
        <v>793</v>
      </c>
      <c r="C552" s="6" t="s">
        <v>354</v>
      </c>
      <c r="D552" s="6" t="s">
        <v>221</v>
      </c>
      <c r="E552" s="6" t="s">
        <v>231</v>
      </c>
      <c r="F552" s="6">
        <v>6753.69</v>
      </c>
      <c r="G552" s="2">
        <v>1</v>
      </c>
      <c r="H552" s="61">
        <v>15.6</v>
      </c>
      <c r="I552" s="61">
        <v>12.23</v>
      </c>
      <c r="J552" s="47">
        <f t="shared" si="40"/>
        <v>14.6</v>
      </c>
      <c r="K552" s="47">
        <f t="shared" si="41"/>
        <v>-0.21602564102564098</v>
      </c>
      <c r="L552" s="8">
        <v>12.58</v>
      </c>
      <c r="M552" s="8">
        <v>5.73</v>
      </c>
      <c r="N552" s="8">
        <v>6.91</v>
      </c>
      <c r="O552" s="17">
        <f t="shared" si="42"/>
        <v>3.9246575342465756E-3</v>
      </c>
      <c r="P552" s="17">
        <f t="shared" si="43"/>
        <v>-0.31986943620178049</v>
      </c>
      <c r="Q552" s="17">
        <v>6.72</v>
      </c>
      <c r="R552" s="9">
        <v>20220824</v>
      </c>
      <c r="S552" s="9">
        <v>58.42</v>
      </c>
      <c r="T552" s="9">
        <v>7.55</v>
      </c>
      <c r="U552" s="9">
        <v>11937.75585</v>
      </c>
      <c r="V552" s="45">
        <f t="shared" si="44"/>
        <v>-0.99936755282191503</v>
      </c>
      <c r="W552" s="12">
        <v>17.28</v>
      </c>
      <c r="X552" s="12">
        <v>2.31</v>
      </c>
      <c r="Y552" s="62">
        <v>1.38</v>
      </c>
    </row>
    <row r="553" spans="1:25" x14ac:dyDescent="0.2">
      <c r="A553" s="3" t="s">
        <v>2866</v>
      </c>
      <c r="B553" s="3" t="s">
        <v>794</v>
      </c>
      <c r="C553" s="6" t="s">
        <v>356</v>
      </c>
      <c r="D553" s="6" t="s">
        <v>235</v>
      </c>
      <c r="E553" s="6" t="s">
        <v>237</v>
      </c>
      <c r="F553" s="6">
        <v>4372.18</v>
      </c>
      <c r="G553" s="2">
        <v>12</v>
      </c>
      <c r="H553" s="61">
        <v>-3.18</v>
      </c>
      <c r="I553" s="61">
        <v>0.39</v>
      </c>
      <c r="J553" s="47">
        <f t="shared" si="40"/>
        <v>-1.2649999999999999</v>
      </c>
      <c r="K553" s="47">
        <f t="shared" si="41"/>
        <v>1.1226415094339623</v>
      </c>
      <c r="L553" s="8">
        <v>0.63</v>
      </c>
      <c r="N553" s="8">
        <v>18.760000000000002</v>
      </c>
      <c r="O553" s="17">
        <f t="shared" si="42"/>
        <v>0</v>
      </c>
      <c r="P553" s="17">
        <f t="shared" si="43"/>
        <v>0.16710588235294119</v>
      </c>
      <c r="Q553" s="17">
        <v>11.61</v>
      </c>
      <c r="R553" s="9">
        <v>20220802</v>
      </c>
      <c r="S553" s="9">
        <v>-43.59</v>
      </c>
      <c r="T553" s="9">
        <v>-21.16</v>
      </c>
      <c r="V553" s="45" t="e">
        <f t="shared" si="44"/>
        <v>#DIV/0!</v>
      </c>
      <c r="W553" s="12">
        <v>6.78</v>
      </c>
      <c r="X553" s="12">
        <v>0</v>
      </c>
      <c r="Y553" s="62"/>
    </row>
    <row r="554" spans="1:25" x14ac:dyDescent="0.2">
      <c r="A554" s="3" t="s">
        <v>795</v>
      </c>
      <c r="B554" s="3" t="s">
        <v>796</v>
      </c>
      <c r="C554" s="6" t="s">
        <v>354</v>
      </c>
      <c r="D554" s="6" t="s">
        <v>797</v>
      </c>
      <c r="E554" s="6" t="s">
        <v>146</v>
      </c>
      <c r="F554" s="6">
        <v>7685.14</v>
      </c>
      <c r="G554" s="2">
        <v>9</v>
      </c>
      <c r="H554" s="61">
        <v>3.66</v>
      </c>
      <c r="I554" s="61">
        <v>3.41</v>
      </c>
      <c r="J554" s="47">
        <f t="shared" si="40"/>
        <v>-0.59333333333333327</v>
      </c>
      <c r="K554" s="47">
        <f t="shared" si="41"/>
        <v>-6.8306010928961741E-2</v>
      </c>
      <c r="L554" s="8">
        <v>4.01</v>
      </c>
      <c r="M554" s="8">
        <v>23.66</v>
      </c>
      <c r="N554" s="8">
        <v>22.31</v>
      </c>
      <c r="O554" s="17">
        <f t="shared" si="42"/>
        <v>-0.39876404494382028</v>
      </c>
      <c r="P554" s="17">
        <f t="shared" si="43"/>
        <v>-3.2661840000000004</v>
      </c>
      <c r="Q554" s="17">
        <v>18.97</v>
      </c>
      <c r="R554" s="9">
        <v>20220804</v>
      </c>
      <c r="S554" s="9">
        <v>9.7200000000000006</v>
      </c>
      <c r="T554" s="9">
        <v>3.13</v>
      </c>
      <c r="U554" s="9">
        <v>1310.62194</v>
      </c>
      <c r="V554" s="45">
        <f t="shared" si="44"/>
        <v>-0.99761182084285871</v>
      </c>
      <c r="W554" s="12">
        <v>12.2</v>
      </c>
      <c r="X554" s="12">
        <v>1.31</v>
      </c>
      <c r="Y554" s="62">
        <v>1.39</v>
      </c>
    </row>
    <row r="555" spans="1:25" x14ac:dyDescent="0.2">
      <c r="A555" s="3" t="s">
        <v>2867</v>
      </c>
      <c r="B555" s="3" t="s">
        <v>2868</v>
      </c>
      <c r="C555" s="6" t="s">
        <v>355</v>
      </c>
      <c r="D555" s="6" t="s">
        <v>153</v>
      </c>
      <c r="E555" s="6" t="s">
        <v>108</v>
      </c>
      <c r="F555" s="6">
        <v>8573.5300000000007</v>
      </c>
      <c r="G555" s="2">
        <v>12</v>
      </c>
      <c r="H555" s="61">
        <v>0.25</v>
      </c>
      <c r="I555" s="61">
        <v>0.41</v>
      </c>
      <c r="J555" s="47">
        <f t="shared" si="40"/>
        <v>-0.97916666666666663</v>
      </c>
      <c r="K555" s="47">
        <f t="shared" si="41"/>
        <v>0.6399999999999999</v>
      </c>
      <c r="L555" s="8">
        <v>0.67</v>
      </c>
      <c r="M555" s="8">
        <v>103.79</v>
      </c>
      <c r="N555" s="8">
        <v>70.45</v>
      </c>
      <c r="O555" s="17">
        <f t="shared" si="42"/>
        <v>-1.0599829787234045</v>
      </c>
      <c r="P555" s="17">
        <f t="shared" si="43"/>
        <v>1.1007812500000003</v>
      </c>
      <c r="Q555" s="17">
        <v>43.7</v>
      </c>
      <c r="R555" s="9">
        <v>20220817</v>
      </c>
      <c r="S555" s="9">
        <v>32.369999999999997</v>
      </c>
      <c r="U555" s="9">
        <v>427.91298999999998</v>
      </c>
      <c r="V555" s="45">
        <f t="shared" si="44"/>
        <v>-1</v>
      </c>
      <c r="W555" s="12">
        <v>-11.11</v>
      </c>
      <c r="X555" s="12">
        <v>0</v>
      </c>
      <c r="Y555" s="62">
        <v>1.37</v>
      </c>
    </row>
    <row r="556" spans="1:25" x14ac:dyDescent="0.2">
      <c r="A556" s="3" t="s">
        <v>2869</v>
      </c>
      <c r="B556" s="3" t="s">
        <v>798</v>
      </c>
      <c r="C556" s="6" t="s">
        <v>354</v>
      </c>
      <c r="D556" s="6" t="s">
        <v>215</v>
      </c>
      <c r="E556" s="6" t="s">
        <v>163</v>
      </c>
      <c r="F556" s="6">
        <v>38940.33</v>
      </c>
      <c r="G556" s="2">
        <v>12</v>
      </c>
      <c r="H556" s="61">
        <v>6.53</v>
      </c>
      <c r="I556" s="61">
        <v>6.87</v>
      </c>
      <c r="J556" s="47">
        <f t="shared" si="40"/>
        <v>-0.45583333333333331</v>
      </c>
      <c r="K556" s="47">
        <f t="shared" si="41"/>
        <v>5.2067381316998444E-2</v>
      </c>
      <c r="L556" s="8">
        <v>7.4</v>
      </c>
      <c r="M556" s="8">
        <v>20.95</v>
      </c>
      <c r="N556" s="8">
        <v>19.920000000000002</v>
      </c>
      <c r="O556" s="17">
        <f t="shared" si="42"/>
        <v>-0.45959780621572216</v>
      </c>
      <c r="P556" s="17">
        <f t="shared" si="43"/>
        <v>3.8258117647058842</v>
      </c>
      <c r="Q556" s="17">
        <v>18.48</v>
      </c>
      <c r="R556" s="9">
        <v>20220804</v>
      </c>
      <c r="S556" s="9">
        <v>8.1300000000000008</v>
      </c>
      <c r="T556" s="9">
        <v>15.32</v>
      </c>
      <c r="U556" s="9">
        <v>4764.8208000000004</v>
      </c>
      <c r="V556" s="45">
        <f t="shared" si="44"/>
        <v>-0.99678476890463552</v>
      </c>
      <c r="W556" s="12">
        <v>0</v>
      </c>
      <c r="X556" s="12">
        <v>3.57</v>
      </c>
      <c r="Y556" s="62">
        <v>2.93</v>
      </c>
    </row>
    <row r="557" spans="1:25" x14ac:dyDescent="0.2">
      <c r="A557" s="3" t="s">
        <v>2870</v>
      </c>
      <c r="B557" s="3" t="s">
        <v>799</v>
      </c>
      <c r="C557" s="6" t="s">
        <v>355</v>
      </c>
      <c r="D557" s="6" t="s">
        <v>577</v>
      </c>
      <c r="E557" s="6" t="s">
        <v>231</v>
      </c>
      <c r="F557" s="6">
        <v>36722.54</v>
      </c>
      <c r="G557" s="2">
        <v>1</v>
      </c>
      <c r="H557" s="61">
        <v>5.58</v>
      </c>
      <c r="I557" s="61">
        <v>7.86</v>
      </c>
      <c r="J557" s="47">
        <f t="shared" si="40"/>
        <v>4.58</v>
      </c>
      <c r="K557" s="47">
        <f t="shared" si="41"/>
        <v>0.40860215053763443</v>
      </c>
      <c r="L557" s="8">
        <v>8.86</v>
      </c>
      <c r="M557" s="8">
        <v>24.78</v>
      </c>
      <c r="N557" s="8">
        <v>20.72</v>
      </c>
      <c r="O557" s="17">
        <f t="shared" si="42"/>
        <v>5.4104803493449781E-2</v>
      </c>
      <c r="P557" s="17">
        <f t="shared" si="43"/>
        <v>0.50709473684210526</v>
      </c>
      <c r="Q557" s="17">
        <v>18.38</v>
      </c>
      <c r="R557" s="9">
        <v>20220825</v>
      </c>
      <c r="S557" s="9">
        <v>19.71</v>
      </c>
      <c r="T557" s="9">
        <v>4.7699999999999996</v>
      </c>
      <c r="U557" s="9">
        <v>27817.6914</v>
      </c>
      <c r="V557" s="45">
        <f t="shared" si="44"/>
        <v>-0.99982852638878583</v>
      </c>
      <c r="W557" s="12">
        <v>19.7</v>
      </c>
      <c r="X557" s="12">
        <v>0</v>
      </c>
      <c r="Y557" s="62">
        <v>1.33</v>
      </c>
    </row>
    <row r="558" spans="1:25" x14ac:dyDescent="0.2">
      <c r="A558" s="3" t="s">
        <v>2871</v>
      </c>
      <c r="B558" s="3" t="s">
        <v>2872</v>
      </c>
      <c r="C558" s="6" t="s">
        <v>354</v>
      </c>
      <c r="D558" s="6" t="s">
        <v>185</v>
      </c>
      <c r="E558" s="6" t="s">
        <v>208</v>
      </c>
      <c r="F558" s="6">
        <v>5208.43</v>
      </c>
      <c r="G558" s="2">
        <v>12</v>
      </c>
      <c r="H558" s="61">
        <v>-0.23</v>
      </c>
      <c r="I558" s="61">
        <v>-0.13</v>
      </c>
      <c r="J558" s="47">
        <f t="shared" si="40"/>
        <v>-1.0191666666666668</v>
      </c>
      <c r="K558" s="47">
        <f t="shared" si="41"/>
        <v>0.43478260869565216</v>
      </c>
      <c r="L558" s="8">
        <v>-0.13</v>
      </c>
      <c r="O558" s="17">
        <f t="shared" si="42"/>
        <v>0</v>
      </c>
      <c r="P558" s="17">
        <f t="shared" si="43"/>
        <v>0</v>
      </c>
      <c r="Q558" s="17"/>
      <c r="R558" s="9">
        <v>20220815</v>
      </c>
      <c r="S558" s="9">
        <v>-15.64</v>
      </c>
      <c r="U558" s="9">
        <v>337.03298000000001</v>
      </c>
      <c r="V558" s="45">
        <f t="shared" si="44"/>
        <v>-1</v>
      </c>
      <c r="W558" s="12">
        <v>-25</v>
      </c>
      <c r="X558" s="12">
        <v>0</v>
      </c>
      <c r="Y558" s="62"/>
    </row>
    <row r="559" spans="1:25" x14ac:dyDescent="0.2">
      <c r="A559" s="3" t="s">
        <v>2873</v>
      </c>
      <c r="B559" s="3" t="s">
        <v>800</v>
      </c>
      <c r="C559" s="6" t="s">
        <v>354</v>
      </c>
      <c r="D559" s="6" t="s">
        <v>123</v>
      </c>
      <c r="E559" s="6" t="s">
        <v>108</v>
      </c>
      <c r="F559" s="6">
        <v>7453.18</v>
      </c>
      <c r="G559" s="2">
        <v>12</v>
      </c>
      <c r="H559" s="61">
        <v>1.07</v>
      </c>
      <c r="I559" s="61">
        <v>1.1599999999999999</v>
      </c>
      <c r="J559" s="47">
        <f t="shared" si="40"/>
        <v>-0.91083333333333327</v>
      </c>
      <c r="K559" s="47">
        <f t="shared" si="41"/>
        <v>8.4112149532710137E-2</v>
      </c>
      <c r="L559" s="8">
        <v>1.24</v>
      </c>
      <c r="M559" s="8">
        <v>15.47</v>
      </c>
      <c r="N559" s="8">
        <v>14.78</v>
      </c>
      <c r="O559" s="17">
        <f t="shared" si="42"/>
        <v>-0.1698444647758463</v>
      </c>
      <c r="P559" s="17">
        <f t="shared" si="43"/>
        <v>1.7571777777777808</v>
      </c>
      <c r="Q559" s="17">
        <v>13.82</v>
      </c>
      <c r="R559" s="9">
        <v>20220802</v>
      </c>
      <c r="S559" s="9">
        <v>12.28</v>
      </c>
      <c r="U559" s="9">
        <v>2284.8000400000001</v>
      </c>
      <c r="V559" s="45">
        <f t="shared" si="44"/>
        <v>-1</v>
      </c>
      <c r="W559" s="12">
        <v>4.3499999999999996</v>
      </c>
      <c r="X559" s="12">
        <v>0</v>
      </c>
      <c r="Y559" s="62">
        <v>2.08</v>
      </c>
    </row>
    <row r="560" spans="1:25" x14ac:dyDescent="0.2">
      <c r="A560" s="3" t="s">
        <v>2874</v>
      </c>
      <c r="B560" s="3" t="s">
        <v>2875</v>
      </c>
      <c r="C560" s="6" t="s">
        <v>356</v>
      </c>
      <c r="D560" s="6" t="s">
        <v>69</v>
      </c>
      <c r="E560" s="6" t="s">
        <v>163</v>
      </c>
      <c r="F560" s="6">
        <v>31224.35</v>
      </c>
      <c r="G560" s="2">
        <v>12</v>
      </c>
      <c r="H560" s="61">
        <v>1.71</v>
      </c>
      <c r="I560" s="61">
        <v>1.77</v>
      </c>
      <c r="J560" s="47">
        <f t="shared" si="40"/>
        <v>-0.85749999999999993</v>
      </c>
      <c r="K560" s="47">
        <f t="shared" si="41"/>
        <v>3.5087719298245647E-2</v>
      </c>
      <c r="L560" s="8">
        <v>1.96</v>
      </c>
      <c r="M560" s="8">
        <v>11.07</v>
      </c>
      <c r="N560" s="8">
        <v>11.35</v>
      </c>
      <c r="O560" s="17">
        <f t="shared" si="42"/>
        <v>-0.12909620991253645</v>
      </c>
      <c r="P560" s="17">
        <f t="shared" si="43"/>
        <v>3.2347499999999969</v>
      </c>
      <c r="Q560" s="17">
        <v>10.3</v>
      </c>
      <c r="R560" s="9">
        <v>20220602</v>
      </c>
      <c r="S560" s="9">
        <v>10.1</v>
      </c>
      <c r="T560" s="9">
        <v>-3.08</v>
      </c>
      <c r="U560" s="9">
        <v>6136.9501899999996</v>
      </c>
      <c r="V560" s="45">
        <f t="shared" si="44"/>
        <v>-1.0005018779531596</v>
      </c>
      <c r="W560" s="12">
        <v>5</v>
      </c>
      <c r="X560" s="12">
        <v>8.07</v>
      </c>
      <c r="Y560" s="62">
        <v>1.1499999999999999</v>
      </c>
    </row>
    <row r="561" spans="1:25" x14ac:dyDescent="0.2">
      <c r="A561" s="3" t="s">
        <v>2876</v>
      </c>
      <c r="B561" s="3" t="s">
        <v>801</v>
      </c>
      <c r="C561" s="6" t="s">
        <v>356</v>
      </c>
      <c r="D561" s="6" t="s">
        <v>46</v>
      </c>
      <c r="E561" s="6" t="s">
        <v>35</v>
      </c>
      <c r="F561" s="6">
        <v>5645.28</v>
      </c>
      <c r="G561" s="2">
        <v>12</v>
      </c>
      <c r="H561" s="61"/>
      <c r="I561" s="61">
        <v>10.73</v>
      </c>
      <c r="J561" s="47">
        <f t="shared" si="40"/>
        <v>-1</v>
      </c>
      <c r="K561" s="47" t="e">
        <f t="shared" si="41"/>
        <v>#DIV/0!</v>
      </c>
      <c r="L561" s="8">
        <v>12.47</v>
      </c>
      <c r="N561" s="8">
        <v>3.05</v>
      </c>
      <c r="O561" s="17">
        <f t="shared" si="42"/>
        <v>0</v>
      </c>
      <c r="P561" s="17" t="e">
        <f t="shared" si="43"/>
        <v>#DIV/0!</v>
      </c>
      <c r="Q561" s="17">
        <v>2.63</v>
      </c>
      <c r="U561" s="9">
        <v>16808.980459999999</v>
      </c>
      <c r="V561" s="45">
        <f t="shared" si="44"/>
        <v>-1</v>
      </c>
      <c r="X561" s="12">
        <v>0</v>
      </c>
      <c r="Y561" s="62"/>
    </row>
    <row r="562" spans="1:25" x14ac:dyDescent="0.2">
      <c r="A562" s="3" t="s">
        <v>2877</v>
      </c>
      <c r="B562" s="3" t="s">
        <v>2110</v>
      </c>
      <c r="C562" s="6" t="s">
        <v>356</v>
      </c>
      <c r="D562" s="6" t="s">
        <v>69</v>
      </c>
      <c r="E562" s="6" t="s">
        <v>163</v>
      </c>
      <c r="F562" s="6">
        <v>13981.19</v>
      </c>
      <c r="G562" s="2">
        <v>12</v>
      </c>
      <c r="H562" s="61"/>
      <c r="I562" s="61"/>
      <c r="J562" s="47">
        <f t="shared" si="40"/>
        <v>-1</v>
      </c>
      <c r="K562" s="47" t="e">
        <f t="shared" si="41"/>
        <v>#DIV/0!</v>
      </c>
      <c r="M562" s="8">
        <v>7.3</v>
      </c>
      <c r="O562" s="17">
        <f t="shared" si="42"/>
        <v>-7.2999999999999995E-2</v>
      </c>
      <c r="P562" s="17" t="e">
        <f t="shared" si="43"/>
        <v>#DIV/0!</v>
      </c>
      <c r="Q562" s="17"/>
      <c r="R562" s="9">
        <v>20220722</v>
      </c>
      <c r="S562" s="9">
        <v>7.17</v>
      </c>
      <c r="T562" s="9">
        <v>-2.25</v>
      </c>
      <c r="V562" s="45" t="e">
        <f t="shared" si="44"/>
        <v>#DIV/0!</v>
      </c>
      <c r="X562" s="12">
        <v>1.21</v>
      </c>
      <c r="Y562" s="62"/>
    </row>
    <row r="563" spans="1:25" x14ac:dyDescent="0.2">
      <c r="B563" s="3" t="s">
        <v>2111</v>
      </c>
      <c r="C563" s="6" t="s">
        <v>354</v>
      </c>
      <c r="D563" s="6" t="s">
        <v>519</v>
      </c>
      <c r="E563" s="6" t="s">
        <v>163</v>
      </c>
      <c r="F563" s="6">
        <v>3883.72</v>
      </c>
      <c r="G563" s="2">
        <v>12</v>
      </c>
      <c r="H563" s="61"/>
      <c r="I563" s="61"/>
      <c r="J563" s="47">
        <f t="shared" si="40"/>
        <v>-1</v>
      </c>
      <c r="K563" s="47" t="e">
        <f t="shared" si="41"/>
        <v>#DIV/0!</v>
      </c>
      <c r="O563" s="17">
        <f t="shared" si="42"/>
        <v>0</v>
      </c>
      <c r="P563" s="17" t="e">
        <f t="shared" si="43"/>
        <v>#DIV/0!</v>
      </c>
      <c r="Q563" s="17"/>
      <c r="V563" s="45" t="e">
        <f t="shared" si="44"/>
        <v>#DIV/0!</v>
      </c>
      <c r="X563" s="12">
        <v>6.85</v>
      </c>
      <c r="Y563" s="62"/>
    </row>
    <row r="564" spans="1:25" x14ac:dyDescent="0.2">
      <c r="A564" s="3" t="s">
        <v>2112</v>
      </c>
      <c r="B564" s="3" t="s">
        <v>2113</v>
      </c>
      <c r="C564" s="6" t="s">
        <v>356</v>
      </c>
      <c r="D564" s="6" t="s">
        <v>526</v>
      </c>
      <c r="E564" s="6" t="s">
        <v>201</v>
      </c>
      <c r="F564" s="6">
        <v>7271.15</v>
      </c>
      <c r="G564" s="2">
        <v>3</v>
      </c>
      <c r="H564" s="61"/>
      <c r="I564" s="61"/>
      <c r="J564" s="47">
        <f t="shared" si="40"/>
        <v>-1</v>
      </c>
      <c r="K564" s="47" t="e">
        <f t="shared" si="41"/>
        <v>#DIV/0!</v>
      </c>
      <c r="M564" s="8">
        <v>15.08</v>
      </c>
      <c r="O564" s="17">
        <f t="shared" si="42"/>
        <v>-0.15079999999999999</v>
      </c>
      <c r="P564" s="17" t="e">
        <f t="shared" si="43"/>
        <v>#DIV/0!</v>
      </c>
      <c r="Q564" s="17"/>
      <c r="R564" s="9">
        <v>20220602</v>
      </c>
      <c r="S564" s="9">
        <v>4.1500000000000004</v>
      </c>
      <c r="T564" s="9">
        <v>-0.79</v>
      </c>
      <c r="V564" s="45" t="e">
        <f t="shared" si="44"/>
        <v>#DIV/0!</v>
      </c>
      <c r="X564" s="12">
        <v>1.79</v>
      </c>
      <c r="Y564" s="62"/>
    </row>
    <row r="565" spans="1:25" x14ac:dyDescent="0.2">
      <c r="A565" s="3" t="s">
        <v>803</v>
      </c>
      <c r="B565" s="3" t="s">
        <v>804</v>
      </c>
      <c r="C565" s="6" t="s">
        <v>354</v>
      </c>
      <c r="D565" s="6" t="s">
        <v>215</v>
      </c>
      <c r="E565" s="6" t="s">
        <v>163</v>
      </c>
      <c r="F565" s="6">
        <v>4165.7299999999996</v>
      </c>
      <c r="G565" s="2">
        <v>12</v>
      </c>
      <c r="H565" s="61">
        <v>1.05</v>
      </c>
      <c r="I565" s="61">
        <v>1.1000000000000001</v>
      </c>
      <c r="J565" s="47">
        <f t="shared" si="40"/>
        <v>-0.91249999999999998</v>
      </c>
      <c r="K565" s="47">
        <f t="shared" si="41"/>
        <v>4.7619047619047658E-2</v>
      </c>
      <c r="L565" s="8">
        <v>1.1200000000000001</v>
      </c>
      <c r="M565" s="8">
        <v>17.61</v>
      </c>
      <c r="N565" s="8">
        <v>16.850000000000001</v>
      </c>
      <c r="O565" s="17">
        <f t="shared" si="42"/>
        <v>-0.192986301369863</v>
      </c>
      <c r="P565" s="17">
        <f t="shared" si="43"/>
        <v>3.5384999999999978</v>
      </c>
      <c r="Q565" s="17">
        <v>16.489999999999998</v>
      </c>
      <c r="R565" s="9">
        <v>20220803</v>
      </c>
      <c r="S565" s="9">
        <v>2.78</v>
      </c>
      <c r="T565" s="9">
        <v>7.3</v>
      </c>
      <c r="U565" s="9">
        <v>525.17199000000005</v>
      </c>
      <c r="V565" s="45">
        <f t="shared" si="44"/>
        <v>-0.98609979180344343</v>
      </c>
      <c r="W565" s="12">
        <v>-3.57</v>
      </c>
      <c r="X565" s="12">
        <v>4.9800000000000004</v>
      </c>
      <c r="Y565" s="62">
        <v>2.89</v>
      </c>
    </row>
    <row r="566" spans="1:25" x14ac:dyDescent="0.2">
      <c r="A566" s="3" t="s">
        <v>2878</v>
      </c>
      <c r="B566" s="3" t="s">
        <v>1955</v>
      </c>
      <c r="C566" s="6" t="s">
        <v>354</v>
      </c>
      <c r="D566" s="6" t="s">
        <v>177</v>
      </c>
      <c r="E566" s="6" t="s">
        <v>119</v>
      </c>
      <c r="F566" s="6">
        <v>4870.3</v>
      </c>
      <c r="G566" s="2">
        <v>12</v>
      </c>
      <c r="H566" s="61">
        <v>0.33</v>
      </c>
      <c r="I566" s="61">
        <v>0.68</v>
      </c>
      <c r="J566" s="47">
        <f t="shared" si="40"/>
        <v>-0.97250000000000003</v>
      </c>
      <c r="K566" s="47">
        <f t="shared" si="41"/>
        <v>1.0606060606060606</v>
      </c>
      <c r="L566" s="8">
        <v>1.1100000000000001</v>
      </c>
      <c r="M566" s="8">
        <v>127.56</v>
      </c>
      <c r="N566" s="8">
        <v>67.959999999999994</v>
      </c>
      <c r="O566" s="17">
        <f t="shared" si="42"/>
        <v>-1.3116709511568123</v>
      </c>
      <c r="P566" s="17">
        <f t="shared" si="43"/>
        <v>0.64076571428571427</v>
      </c>
      <c r="Q566" s="17">
        <v>41.37</v>
      </c>
      <c r="R566" s="9">
        <v>20220804</v>
      </c>
      <c r="S566" s="9">
        <v>-5</v>
      </c>
      <c r="U566" s="9">
        <v>567.52197000000001</v>
      </c>
      <c r="V566" s="45">
        <f t="shared" si="44"/>
        <v>-1</v>
      </c>
      <c r="W566" s="12">
        <v>-41.67</v>
      </c>
      <c r="X566" s="12">
        <v>0</v>
      </c>
      <c r="Y566" s="62"/>
    </row>
    <row r="567" spans="1:25" x14ac:dyDescent="0.2">
      <c r="A567" s="3" t="s">
        <v>2879</v>
      </c>
      <c r="B567" s="3" t="s">
        <v>2880</v>
      </c>
      <c r="C567" s="6" t="s">
        <v>354</v>
      </c>
      <c r="D567" s="6" t="s">
        <v>195</v>
      </c>
      <c r="E567" s="6" t="s">
        <v>208</v>
      </c>
      <c r="F567" s="6">
        <v>6489.37</v>
      </c>
      <c r="G567" s="2">
        <v>3</v>
      </c>
      <c r="H567" s="61">
        <v>0.78</v>
      </c>
      <c r="I567" s="61">
        <v>0.75</v>
      </c>
      <c r="J567" s="47">
        <f t="shared" si="40"/>
        <v>-0.73999999999999988</v>
      </c>
      <c r="K567" s="47">
        <f t="shared" si="41"/>
        <v>-3.8461538461538491E-2</v>
      </c>
      <c r="L567" s="8">
        <v>0.96</v>
      </c>
      <c r="M567" s="8">
        <v>42.4</v>
      </c>
      <c r="N567" s="8">
        <v>45.23</v>
      </c>
      <c r="O567" s="17">
        <f t="shared" si="42"/>
        <v>-0.57297297297297312</v>
      </c>
      <c r="P567" s="17">
        <f t="shared" si="43"/>
        <v>-11.75979999999999</v>
      </c>
      <c r="Q567" s="17">
        <v>35.18</v>
      </c>
      <c r="R567" s="9">
        <v>20220809</v>
      </c>
      <c r="S567" s="9">
        <v>17.73</v>
      </c>
      <c r="U567" s="9">
        <v>455.47698000000003</v>
      </c>
      <c r="V567" s="45">
        <f t="shared" si="44"/>
        <v>-1</v>
      </c>
      <c r="W567" s="12">
        <v>50</v>
      </c>
      <c r="X567" s="12">
        <v>0</v>
      </c>
      <c r="Y567" s="62">
        <v>7.35</v>
      </c>
    </row>
    <row r="568" spans="1:25" x14ac:dyDescent="0.2">
      <c r="A568" s="3" t="s">
        <v>2881</v>
      </c>
      <c r="B568" s="3" t="s">
        <v>805</v>
      </c>
      <c r="C568" s="6" t="s">
        <v>355</v>
      </c>
      <c r="D568" s="6" t="s">
        <v>233</v>
      </c>
      <c r="E568" s="6" t="s">
        <v>108</v>
      </c>
      <c r="F568" s="6">
        <v>16154.19</v>
      </c>
      <c r="G568" s="2">
        <v>1</v>
      </c>
      <c r="H568" s="61">
        <v>1.97</v>
      </c>
      <c r="I568" s="61">
        <v>1.99</v>
      </c>
      <c r="J568" s="47">
        <f t="shared" si="40"/>
        <v>0.97</v>
      </c>
      <c r="K568" s="47">
        <f t="shared" si="41"/>
        <v>1.01522842639594E-2</v>
      </c>
      <c r="L568" s="8">
        <v>2.46</v>
      </c>
      <c r="M568" s="8">
        <v>41.02</v>
      </c>
      <c r="N568" s="8">
        <v>40.61</v>
      </c>
      <c r="O568" s="17">
        <f t="shared" si="42"/>
        <v>0.42288659793814437</v>
      </c>
      <c r="P568" s="17">
        <f t="shared" si="43"/>
        <v>40.000849999999957</v>
      </c>
      <c r="Q568" s="17">
        <v>32.81</v>
      </c>
      <c r="R568" s="9">
        <v>20220609</v>
      </c>
      <c r="S568" s="9">
        <v>-12.39</v>
      </c>
      <c r="T568" s="9">
        <v>42.97</v>
      </c>
      <c r="U568" s="9">
        <v>2476.3459400000002</v>
      </c>
      <c r="V568" s="45">
        <f t="shared" si="44"/>
        <v>-0.98264782019914398</v>
      </c>
      <c r="W568" s="12">
        <v>0</v>
      </c>
      <c r="X568" s="12">
        <v>0</v>
      </c>
      <c r="Y568" s="62">
        <v>2.46</v>
      </c>
    </row>
    <row r="569" spans="1:25" x14ac:dyDescent="0.2">
      <c r="A569" s="3" t="s">
        <v>2882</v>
      </c>
      <c r="B569" s="3" t="s">
        <v>806</v>
      </c>
      <c r="C569" s="6" t="s">
        <v>355</v>
      </c>
      <c r="D569" s="6" t="s">
        <v>54</v>
      </c>
      <c r="E569" s="6" t="s">
        <v>35</v>
      </c>
      <c r="F569" s="6">
        <v>6092.25</v>
      </c>
      <c r="G569" s="2">
        <v>1</v>
      </c>
      <c r="H569" s="61">
        <v>7.41</v>
      </c>
      <c r="I569" s="61">
        <v>8.59</v>
      </c>
      <c r="J569" s="47">
        <f t="shared" si="40"/>
        <v>6.41</v>
      </c>
      <c r="K569" s="47">
        <f t="shared" si="41"/>
        <v>0.15924426450742235</v>
      </c>
      <c r="L569" s="8">
        <v>9.4700000000000006</v>
      </c>
      <c r="M569" s="8">
        <v>9.5299999999999994</v>
      </c>
      <c r="N569" s="8">
        <v>8.75</v>
      </c>
      <c r="O569" s="17">
        <f t="shared" si="42"/>
        <v>1.4867394695787831E-2</v>
      </c>
      <c r="P569" s="17">
        <f t="shared" si="43"/>
        <v>0.54947033898305098</v>
      </c>
      <c r="Q569" s="17">
        <v>7.94</v>
      </c>
      <c r="R569" s="9">
        <v>20220603</v>
      </c>
      <c r="S569" s="9">
        <v>-326.52</v>
      </c>
      <c r="T569" s="9">
        <v>11.96</v>
      </c>
      <c r="U569" s="9">
        <v>7620.6030199999996</v>
      </c>
      <c r="V569" s="45">
        <f t="shared" si="44"/>
        <v>-0.99843057039336502</v>
      </c>
      <c r="W569" s="12">
        <v>19.8</v>
      </c>
      <c r="X569" s="12">
        <v>0.68</v>
      </c>
      <c r="Y569" s="62"/>
    </row>
    <row r="570" spans="1:25" x14ac:dyDescent="0.2">
      <c r="A570" s="3" t="s">
        <v>2883</v>
      </c>
      <c r="B570" s="3" t="s">
        <v>807</v>
      </c>
      <c r="C570" s="6" t="s">
        <v>355</v>
      </c>
      <c r="D570" s="6" t="s">
        <v>601</v>
      </c>
      <c r="E570" s="6" t="s">
        <v>35</v>
      </c>
      <c r="F570" s="6">
        <v>3143.25</v>
      </c>
      <c r="G570" s="2">
        <v>12</v>
      </c>
      <c r="H570" s="61">
        <v>4.68</v>
      </c>
      <c r="I570" s="61">
        <v>5.52</v>
      </c>
      <c r="J570" s="47">
        <f t="shared" si="40"/>
        <v>-0.61</v>
      </c>
      <c r="K570" s="47">
        <f t="shared" si="41"/>
        <v>0.17948717948717946</v>
      </c>
      <c r="L570" s="8">
        <v>6.03</v>
      </c>
      <c r="M570" s="8">
        <v>20.399999999999999</v>
      </c>
      <c r="N570" s="8">
        <v>18.11</v>
      </c>
      <c r="O570" s="17">
        <f t="shared" si="42"/>
        <v>-0.33442622950819667</v>
      </c>
      <c r="P570" s="17">
        <f t="shared" si="43"/>
        <v>1.0089857142857144</v>
      </c>
      <c r="Q570" s="17">
        <v>16.57</v>
      </c>
      <c r="R570" s="9">
        <v>20220725</v>
      </c>
      <c r="S570" s="9">
        <v>16.88</v>
      </c>
      <c r="T570" s="9">
        <v>8.94</v>
      </c>
      <c r="U570" s="9">
        <v>1639.21398</v>
      </c>
      <c r="V570" s="45">
        <f t="shared" si="44"/>
        <v>-0.99454616657185901</v>
      </c>
      <c r="W570" s="12">
        <v>4.88</v>
      </c>
      <c r="X570" s="12">
        <v>0</v>
      </c>
      <c r="Y570" s="62"/>
    </row>
    <row r="571" spans="1:25" x14ac:dyDescent="0.2">
      <c r="A571" s="3" t="s">
        <v>2884</v>
      </c>
      <c r="B571" s="3" t="s">
        <v>138</v>
      </c>
      <c r="C571" s="6" t="s">
        <v>354</v>
      </c>
      <c r="D571" s="6" t="s">
        <v>183</v>
      </c>
      <c r="E571" s="6" t="s">
        <v>201</v>
      </c>
      <c r="F571" s="6">
        <v>19182.38</v>
      </c>
      <c r="G571" s="2">
        <v>12</v>
      </c>
      <c r="H571" s="61">
        <v>7.51</v>
      </c>
      <c r="I571" s="61">
        <v>8.57</v>
      </c>
      <c r="J571" s="47">
        <f t="shared" si="40"/>
        <v>-0.3741666666666667</v>
      </c>
      <c r="K571" s="47">
        <f t="shared" si="41"/>
        <v>0.14114513981358195</v>
      </c>
      <c r="L571" s="8">
        <v>9.27</v>
      </c>
      <c r="M571" s="8">
        <v>17.239999999999998</v>
      </c>
      <c r="N571" s="8">
        <v>15.53</v>
      </c>
      <c r="O571" s="17">
        <f t="shared" si="42"/>
        <v>-0.46075723830734955</v>
      </c>
      <c r="P571" s="17">
        <f t="shared" si="43"/>
        <v>1.1002858490566032</v>
      </c>
      <c r="Q571" s="17">
        <v>14.36</v>
      </c>
      <c r="R571" s="9">
        <v>20220719</v>
      </c>
      <c r="S571" s="9">
        <v>27.82</v>
      </c>
      <c r="T571" s="9">
        <v>-0.48</v>
      </c>
      <c r="U571" s="9">
        <v>8666.5654200000008</v>
      </c>
      <c r="V571" s="45">
        <f t="shared" si="44"/>
        <v>-1.0000553852624123</v>
      </c>
      <c r="W571" s="12">
        <v>3.26</v>
      </c>
      <c r="X571" s="12">
        <v>1.5</v>
      </c>
      <c r="Y571" s="62">
        <v>1.1100000000000001</v>
      </c>
    </row>
    <row r="572" spans="1:25" x14ac:dyDescent="0.2">
      <c r="A572" s="3" t="s">
        <v>2885</v>
      </c>
      <c r="B572" s="3" t="s">
        <v>808</v>
      </c>
      <c r="C572" s="6" t="s">
        <v>354</v>
      </c>
      <c r="D572" s="6" t="s">
        <v>126</v>
      </c>
      <c r="E572" s="6" t="s">
        <v>60</v>
      </c>
      <c r="F572" s="6">
        <v>49394.43</v>
      </c>
      <c r="G572" s="2">
        <v>12</v>
      </c>
      <c r="H572" s="61">
        <v>8.86</v>
      </c>
      <c r="I572" s="61">
        <v>8.09</v>
      </c>
      <c r="J572" s="47">
        <f t="shared" si="40"/>
        <v>-0.26166666666666671</v>
      </c>
      <c r="K572" s="47">
        <f t="shared" si="41"/>
        <v>-8.6907449209932236E-2</v>
      </c>
      <c r="L572" s="8">
        <v>7.47</v>
      </c>
      <c r="M572" s="8">
        <v>6.81</v>
      </c>
      <c r="N572" s="8">
        <v>8.3800000000000008</v>
      </c>
      <c r="O572" s="17">
        <f t="shared" si="42"/>
        <v>-0.26025477707006361</v>
      </c>
      <c r="P572" s="17">
        <f t="shared" si="43"/>
        <v>-0.96424415584415646</v>
      </c>
      <c r="Q572" s="17">
        <v>9.08</v>
      </c>
      <c r="R572" s="9">
        <v>20220721</v>
      </c>
      <c r="S572" s="9">
        <v>41.97</v>
      </c>
      <c r="U572" s="9">
        <v>59332.730459999999</v>
      </c>
      <c r="V572" s="45">
        <f t="shared" si="44"/>
        <v>-1</v>
      </c>
      <c r="W572" s="12">
        <v>15.84</v>
      </c>
      <c r="X572" s="12">
        <v>4.13</v>
      </c>
      <c r="Y572" s="62">
        <v>0.28000000000000003</v>
      </c>
    </row>
    <row r="573" spans="1:25" x14ac:dyDescent="0.2">
      <c r="A573" s="3" t="s">
        <v>2886</v>
      </c>
      <c r="B573" s="3" t="s">
        <v>809</v>
      </c>
      <c r="C573" s="6" t="s">
        <v>355</v>
      </c>
      <c r="D573" s="6" t="s">
        <v>134</v>
      </c>
      <c r="E573" s="6" t="s">
        <v>119</v>
      </c>
      <c r="F573" s="6">
        <v>11141.74</v>
      </c>
      <c r="G573" s="2">
        <v>9</v>
      </c>
      <c r="H573" s="61">
        <v>4.82</v>
      </c>
      <c r="I573" s="61">
        <v>5.21</v>
      </c>
      <c r="J573" s="47">
        <f t="shared" si="40"/>
        <v>-0.46444444444444444</v>
      </c>
      <c r="K573" s="47">
        <f t="shared" si="41"/>
        <v>8.0912863070539354E-2</v>
      </c>
      <c r="L573" s="8">
        <v>5.79</v>
      </c>
      <c r="M573" s="8">
        <v>16.190000000000001</v>
      </c>
      <c r="N573" s="8">
        <v>16.3</v>
      </c>
      <c r="O573" s="17">
        <f t="shared" si="42"/>
        <v>-0.3485885167464115</v>
      </c>
      <c r="P573" s="17">
        <f t="shared" si="43"/>
        <v>2.0145128205128224</v>
      </c>
      <c r="Q573" s="17">
        <v>14.69</v>
      </c>
      <c r="R573" s="9">
        <v>20220803</v>
      </c>
      <c r="S573" s="9">
        <v>16.78</v>
      </c>
      <c r="T573" s="9">
        <v>2.66</v>
      </c>
      <c r="U573" s="9">
        <v>4558.6747999999998</v>
      </c>
      <c r="V573" s="45">
        <f t="shared" si="44"/>
        <v>-0.99941649709253222</v>
      </c>
      <c r="W573" s="12">
        <v>24.19</v>
      </c>
      <c r="X573" s="12">
        <v>1.86</v>
      </c>
      <c r="Y573" s="62">
        <v>1.63</v>
      </c>
    </row>
    <row r="574" spans="1:25" x14ac:dyDescent="0.2">
      <c r="A574" s="3" t="s">
        <v>2887</v>
      </c>
      <c r="B574" s="3" t="s">
        <v>810</v>
      </c>
      <c r="C574" s="6" t="s">
        <v>356</v>
      </c>
      <c r="D574" s="6" t="s">
        <v>240</v>
      </c>
      <c r="E574" s="6" t="s">
        <v>237</v>
      </c>
      <c r="F574" s="6">
        <v>50528.84</v>
      </c>
      <c r="G574" s="2">
        <v>12</v>
      </c>
      <c r="H574" s="61">
        <v>4.63</v>
      </c>
      <c r="I574" s="61">
        <v>4.1500000000000004</v>
      </c>
      <c r="J574" s="47">
        <f t="shared" si="40"/>
        <v>-0.61416666666666664</v>
      </c>
      <c r="K574" s="47">
        <f t="shared" si="41"/>
        <v>-0.10367170626349882</v>
      </c>
      <c r="L574" s="8">
        <v>3.67</v>
      </c>
      <c r="M574" s="8">
        <v>8.4600000000000009</v>
      </c>
      <c r="N574" s="8">
        <v>9.83</v>
      </c>
      <c r="O574" s="17">
        <f t="shared" si="42"/>
        <v>-0.13774762550881955</v>
      </c>
      <c r="P574" s="17">
        <f t="shared" si="43"/>
        <v>-0.94818541666666756</v>
      </c>
      <c r="Q574" s="17">
        <v>11.11</v>
      </c>
      <c r="R574" s="9">
        <v>20220804</v>
      </c>
      <c r="S574" s="9">
        <v>27.44</v>
      </c>
      <c r="T574" s="9">
        <v>7.38</v>
      </c>
      <c r="V574" s="45" t="e">
        <f t="shared" si="44"/>
        <v>#DIV/0!</v>
      </c>
      <c r="W574" s="12">
        <v>22.22</v>
      </c>
      <c r="X574" s="12">
        <v>3.33</v>
      </c>
      <c r="Y574" s="62">
        <v>6.68</v>
      </c>
    </row>
    <row r="575" spans="1:25" x14ac:dyDescent="0.2">
      <c r="A575" s="3" t="s">
        <v>2888</v>
      </c>
      <c r="B575" s="3" t="s">
        <v>811</v>
      </c>
      <c r="C575" s="6" t="s">
        <v>354</v>
      </c>
      <c r="D575" s="6" t="s">
        <v>223</v>
      </c>
      <c r="E575" s="6" t="s">
        <v>231</v>
      </c>
      <c r="F575" s="6">
        <v>12817.99</v>
      </c>
      <c r="G575" s="2">
        <v>12</v>
      </c>
      <c r="H575" s="61">
        <v>13.63</v>
      </c>
      <c r="I575" s="61">
        <v>12.75</v>
      </c>
      <c r="J575" s="47">
        <f t="shared" si="40"/>
        <v>0.13583333333333339</v>
      </c>
      <c r="K575" s="47">
        <f t="shared" si="41"/>
        <v>-6.4563462949376427E-2</v>
      </c>
      <c r="L575" s="8">
        <v>15.04</v>
      </c>
      <c r="M575" s="8">
        <v>27.13</v>
      </c>
      <c r="N575" s="8">
        <v>27.89</v>
      </c>
      <c r="O575" s="17">
        <f t="shared" si="42"/>
        <v>1.9973006134969316</v>
      </c>
      <c r="P575" s="17">
        <f t="shared" si="43"/>
        <v>-4.3197806818181785</v>
      </c>
      <c r="Q575" s="17">
        <v>23.65</v>
      </c>
      <c r="R575" s="9">
        <v>20220728</v>
      </c>
      <c r="S575" s="9">
        <v>-11.66</v>
      </c>
      <c r="T575" s="9">
        <v>11.59</v>
      </c>
      <c r="U575" s="9">
        <v>4582.1308499999996</v>
      </c>
      <c r="V575" s="45">
        <f t="shared" si="44"/>
        <v>-0.99747060911628049</v>
      </c>
      <c r="W575" s="12">
        <v>-18.57</v>
      </c>
      <c r="X575" s="12">
        <v>1.24</v>
      </c>
      <c r="Y575" s="62">
        <v>2.39</v>
      </c>
    </row>
    <row r="576" spans="1:25" x14ac:dyDescent="0.2">
      <c r="A576" s="3" t="s">
        <v>2889</v>
      </c>
      <c r="B576" s="3" t="s">
        <v>812</v>
      </c>
      <c r="C576" s="6" t="s">
        <v>354</v>
      </c>
      <c r="D576" s="6" t="s">
        <v>128</v>
      </c>
      <c r="E576" s="6" t="s">
        <v>60</v>
      </c>
      <c r="F576" s="6">
        <v>3621.78</v>
      </c>
      <c r="G576" s="2">
        <v>12</v>
      </c>
      <c r="H576" s="61">
        <v>11.77</v>
      </c>
      <c r="I576" s="61">
        <v>20.57</v>
      </c>
      <c r="J576" s="47">
        <f t="shared" si="40"/>
        <v>-1.9166666666666703E-2</v>
      </c>
      <c r="K576" s="47">
        <f t="shared" si="41"/>
        <v>0.74766355140186924</v>
      </c>
      <c r="L576" s="8">
        <v>13.65</v>
      </c>
      <c r="M576" s="8">
        <v>3.08</v>
      </c>
      <c r="N576" s="8">
        <v>2.36</v>
      </c>
      <c r="O576" s="17">
        <f t="shared" si="42"/>
        <v>-1.6069565217391275</v>
      </c>
      <c r="P576" s="17">
        <f t="shared" si="43"/>
        <v>3.1564999999999989E-2</v>
      </c>
      <c r="Q576" s="17">
        <v>3.56</v>
      </c>
      <c r="R576" s="9">
        <v>20220817</v>
      </c>
      <c r="S576" s="9">
        <v>50.4</v>
      </c>
      <c r="T576" s="9">
        <v>48.78</v>
      </c>
      <c r="U576" s="9">
        <v>3481.9599600000001</v>
      </c>
      <c r="V576" s="45">
        <f t="shared" si="44"/>
        <v>-0.98599064878391074</v>
      </c>
      <c r="W576" s="12">
        <v>11.13</v>
      </c>
      <c r="X576" s="12">
        <v>0</v>
      </c>
      <c r="Y576" s="62"/>
    </row>
    <row r="577" spans="1:25" x14ac:dyDescent="0.2">
      <c r="A577" s="3" t="s">
        <v>2890</v>
      </c>
      <c r="B577" s="3" t="s">
        <v>813</v>
      </c>
      <c r="C577" s="6" t="s">
        <v>354</v>
      </c>
      <c r="D577" s="6" t="s">
        <v>215</v>
      </c>
      <c r="E577" s="6" t="s">
        <v>163</v>
      </c>
      <c r="F577" s="6">
        <v>19834.04</v>
      </c>
      <c r="G577" s="2">
        <v>12</v>
      </c>
      <c r="H577" s="61">
        <v>1.74</v>
      </c>
      <c r="I577" s="61">
        <v>1.91</v>
      </c>
      <c r="J577" s="47">
        <f t="shared" si="40"/>
        <v>-0.85499999999999998</v>
      </c>
      <c r="K577" s="47">
        <f t="shared" si="41"/>
        <v>9.770114942528732E-2</v>
      </c>
      <c r="L577" s="8">
        <v>2.11</v>
      </c>
      <c r="M577" s="8">
        <v>28.98</v>
      </c>
      <c r="N577" s="8">
        <v>26.98</v>
      </c>
      <c r="O577" s="17">
        <f t="shared" si="42"/>
        <v>-0.33894736842105266</v>
      </c>
      <c r="P577" s="17">
        <f t="shared" si="43"/>
        <v>2.7614823529411776</v>
      </c>
      <c r="Q577" s="17">
        <v>24.4</v>
      </c>
      <c r="R577" s="9">
        <v>20220727</v>
      </c>
      <c r="S577" s="9">
        <v>17.47</v>
      </c>
      <c r="T577" s="9">
        <v>6.17</v>
      </c>
      <c r="U577" s="9">
        <v>1142.6910399999999</v>
      </c>
      <c r="V577" s="45">
        <f t="shared" si="44"/>
        <v>-0.99460046523161671</v>
      </c>
      <c r="W577" s="12">
        <v>0</v>
      </c>
      <c r="X577" s="12">
        <v>2.17</v>
      </c>
      <c r="Y577" s="62">
        <v>3.49</v>
      </c>
    </row>
    <row r="578" spans="1:25" x14ac:dyDescent="0.2">
      <c r="A578" s="3" t="s">
        <v>2891</v>
      </c>
      <c r="B578" s="3" t="s">
        <v>814</v>
      </c>
      <c r="C578" s="6" t="s">
        <v>354</v>
      </c>
      <c r="D578" s="6" t="s">
        <v>223</v>
      </c>
      <c r="E578" s="6" t="s">
        <v>231</v>
      </c>
      <c r="F578" s="6">
        <v>15603.02</v>
      </c>
      <c r="G578" s="2">
        <v>5</v>
      </c>
      <c r="H578" s="61">
        <v>4.09</v>
      </c>
      <c r="I578" s="61">
        <v>7.38</v>
      </c>
      <c r="J578" s="47">
        <f t="shared" si="40"/>
        <v>-0.18200000000000002</v>
      </c>
      <c r="K578" s="47">
        <f t="shared" si="41"/>
        <v>0.80440097799511001</v>
      </c>
      <c r="L578" s="8">
        <v>8.31</v>
      </c>
      <c r="M578" s="8">
        <v>17.37</v>
      </c>
      <c r="N578" s="8">
        <v>16.940000000000001</v>
      </c>
      <c r="O578" s="17">
        <f t="shared" si="42"/>
        <v>-0.95439560439560434</v>
      </c>
      <c r="P578" s="17">
        <f t="shared" si="43"/>
        <v>0.21059148936170216</v>
      </c>
      <c r="Q578" s="17">
        <v>15.05</v>
      </c>
      <c r="R578" s="9">
        <v>20220623</v>
      </c>
      <c r="S578" s="9">
        <v>36.26</v>
      </c>
      <c r="T578" s="9">
        <v>0.33</v>
      </c>
      <c r="U578" s="9">
        <v>9569.9736300000004</v>
      </c>
      <c r="V578" s="45">
        <f t="shared" si="44"/>
        <v>-0.99996551714636228</v>
      </c>
      <c r="W578" s="12">
        <v>-7.66</v>
      </c>
      <c r="X578" s="12">
        <v>3.52</v>
      </c>
      <c r="Y578" s="62">
        <v>1.69</v>
      </c>
    </row>
    <row r="579" spans="1:25" x14ac:dyDescent="0.2">
      <c r="A579" s="3" t="s">
        <v>2892</v>
      </c>
      <c r="B579" s="3" t="s">
        <v>2893</v>
      </c>
      <c r="C579" s="6" t="s">
        <v>355</v>
      </c>
      <c r="D579" s="6" t="s">
        <v>54</v>
      </c>
      <c r="E579" s="6" t="s">
        <v>35</v>
      </c>
      <c r="F579" s="6">
        <v>4794.0600000000004</v>
      </c>
      <c r="G579" s="2">
        <v>12</v>
      </c>
      <c r="H579" s="61">
        <v>0.85</v>
      </c>
      <c r="I579" s="61">
        <v>1.1100000000000001</v>
      </c>
      <c r="J579" s="47">
        <f t="shared" ref="J579:J642" si="45">(H579-G579)/ABS(G579)</f>
        <v>-0.9291666666666667</v>
      </c>
      <c r="K579" s="47">
        <f t="shared" ref="K579:K642" si="46">(I579-H579)/ABS(H579)</f>
        <v>0.30588235294117661</v>
      </c>
      <c r="L579" s="8">
        <v>1.28</v>
      </c>
      <c r="M579" s="8">
        <v>29.5</v>
      </c>
      <c r="N579" s="8">
        <v>25.82</v>
      </c>
      <c r="O579" s="17">
        <f t="shared" ref="O579:O642" si="47">M579/(J579*100)</f>
        <v>-0.31748878923766816</v>
      </c>
      <c r="P579" s="17">
        <f t="shared" ref="P579:P642" si="48">N579/(K579*100)</f>
        <v>0.84411538461538427</v>
      </c>
      <c r="Q579" s="17">
        <v>22.36</v>
      </c>
      <c r="R579" s="9">
        <v>20220727</v>
      </c>
      <c r="S579" s="9">
        <v>9.59</v>
      </c>
      <c r="U579" s="9">
        <v>1946.5500400000001</v>
      </c>
      <c r="V579" s="45">
        <f t="shared" ref="V579:V642" si="49">(T579-U579)/U579</f>
        <v>-1</v>
      </c>
      <c r="W579" s="12">
        <v>33.33</v>
      </c>
      <c r="X579" s="12">
        <v>0</v>
      </c>
      <c r="Y579" s="62">
        <v>1.8</v>
      </c>
    </row>
    <row r="580" spans="1:25" x14ac:dyDescent="0.2">
      <c r="A580" s="3" t="s">
        <v>815</v>
      </c>
      <c r="B580" s="3" t="s">
        <v>816</v>
      </c>
      <c r="C580" s="6" t="s">
        <v>356</v>
      </c>
      <c r="D580" s="6" t="s">
        <v>817</v>
      </c>
      <c r="E580" s="6" t="s">
        <v>201</v>
      </c>
      <c r="F580" s="6">
        <v>9615.94</v>
      </c>
      <c r="G580" s="2">
        <v>3</v>
      </c>
      <c r="H580" s="61">
        <v>2.86</v>
      </c>
      <c r="I580" s="61">
        <v>3.26</v>
      </c>
      <c r="J580" s="47">
        <f t="shared" si="45"/>
        <v>-4.666666666666671E-2</v>
      </c>
      <c r="K580" s="47">
        <f t="shared" si="46"/>
        <v>0.13986013986013984</v>
      </c>
      <c r="L580" s="8">
        <v>3.16</v>
      </c>
      <c r="M580" s="8">
        <v>18.18</v>
      </c>
      <c r="N580" s="8">
        <v>16.37</v>
      </c>
      <c r="O580" s="17">
        <f t="shared" si="47"/>
        <v>-3.8957142857142819</v>
      </c>
      <c r="P580" s="17">
        <f t="shared" si="48"/>
        <v>1.1704550000000002</v>
      </c>
      <c r="Q580" s="17">
        <v>16.86</v>
      </c>
      <c r="R580" s="9">
        <v>20220602</v>
      </c>
      <c r="S580" s="9">
        <v>22.73</v>
      </c>
      <c r="T580" s="9">
        <v>6.7</v>
      </c>
      <c r="U580" s="9">
        <v>2402.2748999999999</v>
      </c>
      <c r="V580" s="45">
        <f t="shared" si="49"/>
        <v>-0.99721097697852989</v>
      </c>
      <c r="X580" s="12">
        <v>0.96</v>
      </c>
      <c r="Y580" s="62"/>
    </row>
    <row r="581" spans="1:25" x14ac:dyDescent="0.2">
      <c r="A581" s="3" t="s">
        <v>2894</v>
      </c>
      <c r="B581" s="3" t="s">
        <v>818</v>
      </c>
      <c r="C581" s="6" t="s">
        <v>356</v>
      </c>
      <c r="D581" s="6" t="s">
        <v>240</v>
      </c>
      <c r="E581" s="6" t="s">
        <v>237</v>
      </c>
      <c r="F581" s="6">
        <v>37510.199999999997</v>
      </c>
      <c r="G581" s="2">
        <v>12</v>
      </c>
      <c r="H581" s="61"/>
      <c r="I581" s="61">
        <v>4.83</v>
      </c>
      <c r="J581" s="47">
        <f t="shared" si="45"/>
        <v>-1</v>
      </c>
      <c r="K581" s="47" t="e">
        <f t="shared" si="46"/>
        <v>#DIV/0!</v>
      </c>
      <c r="L581" s="8">
        <v>4.57</v>
      </c>
      <c r="M581" s="8">
        <v>20.14</v>
      </c>
      <c r="N581" s="8">
        <v>16.59</v>
      </c>
      <c r="O581" s="17">
        <f t="shared" si="47"/>
        <v>-0.2014</v>
      </c>
      <c r="P581" s="17" t="e">
        <f t="shared" si="48"/>
        <v>#DIV/0!</v>
      </c>
      <c r="Q581" s="17">
        <v>17.54</v>
      </c>
      <c r="R581" s="9">
        <v>20220531</v>
      </c>
      <c r="S581" s="9">
        <v>19.649999999999999</v>
      </c>
      <c r="T581" s="9">
        <v>23.07</v>
      </c>
      <c r="V581" s="45" t="e">
        <f t="shared" si="49"/>
        <v>#DIV/0!</v>
      </c>
      <c r="X581" s="12">
        <v>0.33</v>
      </c>
      <c r="Y581" s="62">
        <v>2.06</v>
      </c>
    </row>
    <row r="582" spans="1:25" x14ac:dyDescent="0.2">
      <c r="A582" s="3" t="s">
        <v>2895</v>
      </c>
      <c r="B582" s="3" t="s">
        <v>2114</v>
      </c>
      <c r="C582" s="6" t="s">
        <v>356</v>
      </c>
      <c r="D582" s="6" t="s">
        <v>151</v>
      </c>
      <c r="E582" s="6" t="s">
        <v>163</v>
      </c>
      <c r="F582" s="6">
        <v>7551.85</v>
      </c>
      <c r="G582" s="2">
        <v>3</v>
      </c>
      <c r="H582" s="61"/>
      <c r="I582" s="61"/>
      <c r="J582" s="47">
        <f t="shared" si="45"/>
        <v>-1</v>
      </c>
      <c r="K582" s="47" t="e">
        <f t="shared" si="46"/>
        <v>#DIV/0!</v>
      </c>
      <c r="M582" s="8">
        <v>8.91</v>
      </c>
      <c r="O582" s="17">
        <f t="shared" si="47"/>
        <v>-8.9099999999999999E-2</v>
      </c>
      <c r="P582" s="17" t="e">
        <f t="shared" si="48"/>
        <v>#DIV/0!</v>
      </c>
      <c r="Q582" s="17"/>
      <c r="R582" s="9">
        <v>20220804</v>
      </c>
      <c r="S582" s="9">
        <v>5.57</v>
      </c>
      <c r="T582" s="9">
        <v>-2.79</v>
      </c>
      <c r="V582" s="45" t="e">
        <f t="shared" si="49"/>
        <v>#DIV/0!</v>
      </c>
      <c r="X582" s="12">
        <v>4.5199999999999996</v>
      </c>
      <c r="Y582" s="62"/>
    </row>
    <row r="583" spans="1:25" x14ac:dyDescent="0.2">
      <c r="A583" s="3" t="s">
        <v>2896</v>
      </c>
      <c r="B583" s="3" t="s">
        <v>1956</v>
      </c>
      <c r="C583" s="6" t="s">
        <v>355</v>
      </c>
      <c r="D583" s="6" t="s">
        <v>128</v>
      </c>
      <c r="E583" s="6" t="s">
        <v>60</v>
      </c>
      <c r="F583" s="6">
        <v>3167.34</v>
      </c>
      <c r="G583" s="2">
        <v>12</v>
      </c>
      <c r="H583" s="61">
        <v>0.5</v>
      </c>
      <c r="I583" s="61">
        <v>0.47</v>
      </c>
      <c r="J583" s="47">
        <f t="shared" si="45"/>
        <v>-0.95833333333333337</v>
      </c>
      <c r="K583" s="47">
        <f t="shared" si="46"/>
        <v>-6.0000000000000053E-2</v>
      </c>
      <c r="L583" s="8">
        <v>0.64</v>
      </c>
      <c r="M583" s="8">
        <v>22.72</v>
      </c>
      <c r="N583" s="8">
        <v>20.94</v>
      </c>
      <c r="O583" s="17">
        <f t="shared" si="47"/>
        <v>-0.23707826086956518</v>
      </c>
      <c r="P583" s="17">
        <f t="shared" si="48"/>
        <v>-3.4899999999999971</v>
      </c>
      <c r="Q583" s="17">
        <v>15.27</v>
      </c>
      <c r="R583" s="9">
        <v>20220812</v>
      </c>
      <c r="S583" s="9">
        <v>19.16</v>
      </c>
      <c r="U583" s="9">
        <v>2869.6931100000002</v>
      </c>
      <c r="V583" s="45">
        <f t="shared" si="49"/>
        <v>-1</v>
      </c>
      <c r="W583" s="12">
        <v>-80</v>
      </c>
      <c r="X583" s="12">
        <v>0</v>
      </c>
      <c r="Y583" s="62"/>
    </row>
    <row r="584" spans="1:25" x14ac:dyDescent="0.2">
      <c r="A584" s="3" t="s">
        <v>2897</v>
      </c>
      <c r="B584" s="3" t="s">
        <v>819</v>
      </c>
      <c r="C584" s="6" t="s">
        <v>355</v>
      </c>
      <c r="D584" s="6" t="s">
        <v>132</v>
      </c>
      <c r="E584" s="6" t="s">
        <v>119</v>
      </c>
      <c r="F584" s="6">
        <v>5093.79</v>
      </c>
      <c r="G584" s="2">
        <v>1</v>
      </c>
      <c r="H584" s="61">
        <v>1.01</v>
      </c>
      <c r="I584" s="61">
        <v>1.1200000000000001</v>
      </c>
      <c r="J584" s="47">
        <f t="shared" si="45"/>
        <v>1.0000000000000009E-2</v>
      </c>
      <c r="K584" s="47">
        <f t="shared" si="46"/>
        <v>0.10891089108910901</v>
      </c>
      <c r="L584" s="8">
        <v>1.71</v>
      </c>
      <c r="M584" s="8">
        <v>60.09</v>
      </c>
      <c r="N584" s="8">
        <v>53.65</v>
      </c>
      <c r="O584" s="17">
        <f t="shared" si="47"/>
        <v>60.089999999999947</v>
      </c>
      <c r="P584" s="17">
        <f t="shared" si="48"/>
        <v>4.9260454545454504</v>
      </c>
      <c r="Q584" s="17">
        <v>35.07</v>
      </c>
      <c r="R584" s="9">
        <v>20220601</v>
      </c>
      <c r="S584" s="9">
        <v>8.86</v>
      </c>
      <c r="T584" s="9">
        <v>15.05</v>
      </c>
      <c r="U584" s="9">
        <v>475.14999</v>
      </c>
      <c r="V584" s="45">
        <f t="shared" si="49"/>
        <v>-0.96832579118858864</v>
      </c>
      <c r="W584" s="12">
        <v>0</v>
      </c>
      <c r="X584" s="12">
        <v>0</v>
      </c>
      <c r="Y584" s="62"/>
    </row>
    <row r="585" spans="1:25" x14ac:dyDescent="0.2">
      <c r="A585" s="3" t="s">
        <v>2898</v>
      </c>
      <c r="B585" s="3" t="s">
        <v>1957</v>
      </c>
      <c r="C585" s="6" t="s">
        <v>356</v>
      </c>
      <c r="D585" s="6" t="s">
        <v>193</v>
      </c>
      <c r="E585" s="6" t="s">
        <v>208</v>
      </c>
      <c r="F585" s="6">
        <v>6715.38</v>
      </c>
      <c r="G585" s="2">
        <v>12</v>
      </c>
      <c r="H585" s="61">
        <v>7.07</v>
      </c>
      <c r="I585" s="61">
        <v>5.34</v>
      </c>
      <c r="J585" s="47">
        <f t="shared" si="45"/>
        <v>-0.41083333333333333</v>
      </c>
      <c r="K585" s="47">
        <f t="shared" si="46"/>
        <v>-0.24469589816124473</v>
      </c>
      <c r="L585" s="8">
        <v>5.23</v>
      </c>
      <c r="N585" s="8">
        <v>22.99</v>
      </c>
      <c r="O585" s="17">
        <f t="shared" si="47"/>
        <v>0</v>
      </c>
      <c r="P585" s="17">
        <f t="shared" si="48"/>
        <v>-0.93953352601156048</v>
      </c>
      <c r="Q585" s="17">
        <v>23.47</v>
      </c>
      <c r="U585" s="9">
        <v>1387.26</v>
      </c>
      <c r="V585" s="45">
        <f t="shared" si="49"/>
        <v>-1</v>
      </c>
      <c r="X585" s="12">
        <v>0</v>
      </c>
      <c r="Y585" s="62"/>
    </row>
    <row r="586" spans="1:25" x14ac:dyDescent="0.2">
      <c r="A586" s="3" t="s">
        <v>2899</v>
      </c>
      <c r="B586" s="3" t="s">
        <v>820</v>
      </c>
      <c r="C586" s="6" t="s">
        <v>354</v>
      </c>
      <c r="D586" s="6" t="s">
        <v>134</v>
      </c>
      <c r="E586" s="6" t="s">
        <v>119</v>
      </c>
      <c r="F586" s="6">
        <v>10744</v>
      </c>
      <c r="G586" s="2">
        <v>3</v>
      </c>
      <c r="H586" s="61">
        <v>0.67</v>
      </c>
      <c r="I586" s="61">
        <v>0.76</v>
      </c>
      <c r="J586" s="47">
        <f t="shared" si="45"/>
        <v>-0.77666666666666673</v>
      </c>
      <c r="K586" s="47">
        <f t="shared" si="46"/>
        <v>0.13432835820895517</v>
      </c>
      <c r="L586" s="8">
        <v>0.94</v>
      </c>
      <c r="M586" s="8">
        <v>54.49</v>
      </c>
      <c r="N586" s="8">
        <v>49.57</v>
      </c>
      <c r="O586" s="17">
        <f t="shared" si="47"/>
        <v>-0.70158798283261803</v>
      </c>
      <c r="P586" s="17">
        <f t="shared" si="48"/>
        <v>3.6902111111111129</v>
      </c>
      <c r="Q586" s="17">
        <v>40</v>
      </c>
      <c r="R586" s="9">
        <v>20220727</v>
      </c>
      <c r="S586" s="9">
        <v>8.59</v>
      </c>
      <c r="T586" s="9">
        <v>29.55</v>
      </c>
      <c r="U586" s="9">
        <v>1152.8120100000001</v>
      </c>
      <c r="V586" s="45">
        <f t="shared" si="49"/>
        <v>-0.97436702624220584</v>
      </c>
      <c r="W586" s="12">
        <v>6.25</v>
      </c>
      <c r="X586" s="12">
        <v>0</v>
      </c>
      <c r="Y586" s="62">
        <v>3.8</v>
      </c>
    </row>
    <row r="587" spans="1:25" x14ac:dyDescent="0.2">
      <c r="A587" s="3" t="s">
        <v>2900</v>
      </c>
      <c r="B587" s="3" t="s">
        <v>1958</v>
      </c>
      <c r="C587" s="6" t="s">
        <v>354</v>
      </c>
      <c r="D587" s="6" t="s">
        <v>246</v>
      </c>
      <c r="E587" s="6" t="s">
        <v>250</v>
      </c>
      <c r="F587" s="6">
        <v>25804.12</v>
      </c>
      <c r="G587" s="2">
        <v>12</v>
      </c>
      <c r="H587" s="61">
        <v>5.9</v>
      </c>
      <c r="I587" s="61">
        <v>6.03</v>
      </c>
      <c r="J587" s="47">
        <f t="shared" si="45"/>
        <v>-0.5083333333333333</v>
      </c>
      <c r="K587" s="47">
        <f t="shared" si="46"/>
        <v>2.2033898305084728E-2</v>
      </c>
      <c r="L587" s="8">
        <v>6.3</v>
      </c>
      <c r="M587" s="8">
        <v>19.649999999999999</v>
      </c>
      <c r="N587" s="8">
        <v>22.07</v>
      </c>
      <c r="O587" s="17">
        <f t="shared" si="47"/>
        <v>-0.38655737704918036</v>
      </c>
      <c r="P587" s="17">
        <f t="shared" si="48"/>
        <v>10.016384615384624</v>
      </c>
      <c r="Q587" s="17">
        <v>21.13</v>
      </c>
      <c r="R587" s="9">
        <v>20220726</v>
      </c>
      <c r="S587" s="9">
        <v>13.58</v>
      </c>
      <c r="T587" s="9">
        <v>2.4</v>
      </c>
      <c r="U587" s="9">
        <v>13785.34375</v>
      </c>
      <c r="V587" s="45">
        <f t="shared" si="49"/>
        <v>-0.99982590205630528</v>
      </c>
      <c r="W587" s="12">
        <v>12.14</v>
      </c>
      <c r="X587" s="12">
        <v>2.66</v>
      </c>
      <c r="Y587" s="62">
        <v>3.68</v>
      </c>
    </row>
    <row r="588" spans="1:25" x14ac:dyDescent="0.2">
      <c r="A588" s="3" t="s">
        <v>2901</v>
      </c>
      <c r="B588" s="3" t="s">
        <v>821</v>
      </c>
      <c r="C588" s="6" t="s">
        <v>356</v>
      </c>
      <c r="D588" s="6" t="s">
        <v>139</v>
      </c>
      <c r="E588" s="6" t="s">
        <v>250</v>
      </c>
      <c r="F588" s="6">
        <v>96752.84</v>
      </c>
      <c r="G588" s="2">
        <v>12</v>
      </c>
      <c r="H588" s="61">
        <v>1.36</v>
      </c>
      <c r="I588" s="61">
        <v>1.4</v>
      </c>
      <c r="J588" s="47">
        <f t="shared" si="45"/>
        <v>-0.88666666666666671</v>
      </c>
      <c r="K588" s="47">
        <f t="shared" si="46"/>
        <v>2.9411764705882214E-2</v>
      </c>
      <c r="L588" s="8">
        <v>1.53</v>
      </c>
      <c r="M588" s="8">
        <v>12.31</v>
      </c>
      <c r="N588" s="8">
        <v>14.51</v>
      </c>
      <c r="O588" s="17">
        <f t="shared" si="47"/>
        <v>-0.13883458646616542</v>
      </c>
      <c r="P588" s="17">
        <f t="shared" si="48"/>
        <v>4.9334000000000238</v>
      </c>
      <c r="Q588" s="17">
        <v>13.28</v>
      </c>
      <c r="R588" s="9">
        <v>20220811</v>
      </c>
      <c r="S588" s="9">
        <v>8.5299999999999994</v>
      </c>
      <c r="T588" s="9">
        <v>11.47</v>
      </c>
      <c r="U588" s="9">
        <v>122026</v>
      </c>
      <c r="V588" s="45">
        <f t="shared" si="49"/>
        <v>-0.99990600363856885</v>
      </c>
      <c r="X588" s="12">
        <v>3.27</v>
      </c>
      <c r="Y588" s="62">
        <v>1.4</v>
      </c>
    </row>
    <row r="589" spans="1:25" x14ac:dyDescent="0.2">
      <c r="A589" s="3" t="s">
        <v>2902</v>
      </c>
      <c r="B589" s="3" t="s">
        <v>2903</v>
      </c>
      <c r="C589" s="6" t="s">
        <v>354</v>
      </c>
      <c r="D589" s="6" t="s">
        <v>205</v>
      </c>
      <c r="E589" s="6" t="s">
        <v>218</v>
      </c>
      <c r="F589" s="6">
        <v>5508.04</v>
      </c>
      <c r="G589" s="2">
        <v>12</v>
      </c>
      <c r="H589" s="61">
        <v>3.03</v>
      </c>
      <c r="I589" s="61">
        <v>3.56</v>
      </c>
      <c r="J589" s="47">
        <f t="shared" si="45"/>
        <v>-0.74750000000000005</v>
      </c>
      <c r="K589" s="47">
        <f t="shared" si="46"/>
        <v>0.17491749174917501</v>
      </c>
      <c r="L589" s="8">
        <v>3.9</v>
      </c>
      <c r="M589" s="8">
        <v>16.649999999999999</v>
      </c>
      <c r="N589" s="8">
        <v>15.98</v>
      </c>
      <c r="O589" s="17">
        <f t="shared" si="47"/>
        <v>-0.22274247491638793</v>
      </c>
      <c r="P589" s="17">
        <f t="shared" si="48"/>
        <v>0.91357358490565987</v>
      </c>
      <c r="Q589" s="17">
        <v>14.59</v>
      </c>
      <c r="R589" s="9">
        <v>20220805</v>
      </c>
      <c r="S589" s="9">
        <v>8.2799999999999994</v>
      </c>
      <c r="U589" s="9">
        <v>859.84001999999998</v>
      </c>
      <c r="V589" s="45">
        <f t="shared" si="49"/>
        <v>-1</v>
      </c>
      <c r="W589" s="12">
        <v>-4.55</v>
      </c>
      <c r="X589" s="12">
        <v>4.5</v>
      </c>
      <c r="Y589" s="62"/>
    </row>
    <row r="590" spans="1:25" x14ac:dyDescent="0.2">
      <c r="A590" s="3" t="s">
        <v>2904</v>
      </c>
      <c r="B590" s="3" t="s">
        <v>2115</v>
      </c>
      <c r="C590" s="6" t="s">
        <v>356</v>
      </c>
      <c r="D590" s="6" t="s">
        <v>544</v>
      </c>
      <c r="E590" s="6" t="s">
        <v>146</v>
      </c>
      <c r="F590" s="6">
        <v>3495.69</v>
      </c>
      <c r="G590" s="2">
        <v>12</v>
      </c>
      <c r="H590" s="61"/>
      <c r="I590" s="61"/>
      <c r="J590" s="47">
        <f t="shared" si="45"/>
        <v>-1</v>
      </c>
      <c r="K590" s="47" t="e">
        <f t="shared" si="46"/>
        <v>#DIV/0!</v>
      </c>
      <c r="O590" s="17">
        <f t="shared" si="47"/>
        <v>0</v>
      </c>
      <c r="P590" s="17" t="e">
        <f t="shared" si="48"/>
        <v>#DIV/0!</v>
      </c>
      <c r="Q590" s="17"/>
      <c r="V590" s="45" t="e">
        <f t="shared" si="49"/>
        <v>#DIV/0!</v>
      </c>
      <c r="X590" s="12">
        <v>0</v>
      </c>
      <c r="Y590" s="62"/>
    </row>
    <row r="591" spans="1:25" x14ac:dyDescent="0.2">
      <c r="A591" s="3" t="s">
        <v>2905</v>
      </c>
      <c r="B591" s="3" t="s">
        <v>822</v>
      </c>
      <c r="C591" s="6" t="s">
        <v>354</v>
      </c>
      <c r="D591" s="6" t="s">
        <v>246</v>
      </c>
      <c r="E591" s="6" t="s">
        <v>250</v>
      </c>
      <c r="F591" s="6">
        <v>87175.83</v>
      </c>
      <c r="G591" s="2">
        <v>12</v>
      </c>
      <c r="H591" s="61">
        <v>5.23</v>
      </c>
      <c r="I591" s="61">
        <v>5.47</v>
      </c>
      <c r="J591" s="47">
        <f t="shared" si="45"/>
        <v>-0.56416666666666659</v>
      </c>
      <c r="K591" s="47">
        <f t="shared" si="46"/>
        <v>4.5889101338431992E-2</v>
      </c>
      <c r="L591" s="8">
        <v>5.79</v>
      </c>
      <c r="M591" s="8">
        <v>21.49</v>
      </c>
      <c r="N591" s="8">
        <v>20.71</v>
      </c>
      <c r="O591" s="17">
        <f t="shared" si="47"/>
        <v>-0.38091580502215661</v>
      </c>
      <c r="P591" s="17">
        <f t="shared" si="48"/>
        <v>4.5130541666666799</v>
      </c>
      <c r="Q591" s="17">
        <v>19.559999999999999</v>
      </c>
      <c r="R591" s="9">
        <v>20220804</v>
      </c>
      <c r="S591" s="9">
        <v>8.52</v>
      </c>
      <c r="T591" s="9">
        <v>1.07</v>
      </c>
      <c r="U591" s="9">
        <v>26471.335930000001</v>
      </c>
      <c r="V591" s="45">
        <f t="shared" si="49"/>
        <v>-0.99995957891952147</v>
      </c>
      <c r="W591" s="12">
        <v>-2.99</v>
      </c>
      <c r="X591" s="12">
        <v>3.48</v>
      </c>
      <c r="Y591" s="62">
        <v>3.39</v>
      </c>
    </row>
    <row r="592" spans="1:25" x14ac:dyDescent="0.2">
      <c r="A592" s="3" t="s">
        <v>2906</v>
      </c>
      <c r="B592" s="3" t="s">
        <v>2907</v>
      </c>
      <c r="C592" s="6" t="s">
        <v>355</v>
      </c>
      <c r="D592" s="6" t="s">
        <v>233</v>
      </c>
      <c r="E592" s="6" t="s">
        <v>108</v>
      </c>
      <c r="F592" s="6">
        <v>3301.69</v>
      </c>
      <c r="G592" s="2">
        <v>12</v>
      </c>
      <c r="H592" s="61">
        <v>-2.4900000000000002</v>
      </c>
      <c r="I592" s="61">
        <v>-1.73</v>
      </c>
      <c r="J592" s="47">
        <f t="shared" si="45"/>
        <v>-1.2075</v>
      </c>
      <c r="K592" s="47">
        <f t="shared" si="46"/>
        <v>0.30522088353413662</v>
      </c>
      <c r="L592" s="8">
        <v>-1.46</v>
      </c>
      <c r="O592" s="17">
        <f t="shared" si="47"/>
        <v>0</v>
      </c>
      <c r="P592" s="17">
        <f t="shared" si="48"/>
        <v>0</v>
      </c>
      <c r="Q592" s="17"/>
      <c r="R592" s="9">
        <v>20220810</v>
      </c>
      <c r="S592" s="9">
        <v>-16.22</v>
      </c>
      <c r="U592" s="9">
        <v>355.42498000000001</v>
      </c>
      <c r="V592" s="45">
        <f t="shared" si="49"/>
        <v>-1</v>
      </c>
      <c r="W592" s="12">
        <v>47.46</v>
      </c>
      <c r="X592" s="12">
        <v>0</v>
      </c>
      <c r="Y592" s="62"/>
    </row>
    <row r="593" spans="1:25" x14ac:dyDescent="0.2">
      <c r="A593" s="3" t="s">
        <v>2908</v>
      </c>
      <c r="B593" s="3" t="s">
        <v>1959</v>
      </c>
      <c r="C593" s="6" t="s">
        <v>354</v>
      </c>
      <c r="D593" s="6" t="s">
        <v>177</v>
      </c>
      <c r="E593" s="6" t="s">
        <v>119</v>
      </c>
      <c r="F593" s="6">
        <v>3718.06</v>
      </c>
      <c r="G593" s="2">
        <v>12</v>
      </c>
      <c r="H593" s="61">
        <v>0.14000000000000001</v>
      </c>
      <c r="I593" s="61">
        <v>0.28000000000000003</v>
      </c>
      <c r="J593" s="47">
        <f t="shared" si="45"/>
        <v>-0.98833333333333329</v>
      </c>
      <c r="K593" s="47">
        <f t="shared" si="46"/>
        <v>1</v>
      </c>
      <c r="L593" s="8">
        <v>0.37</v>
      </c>
      <c r="M593" s="8">
        <v>84.22</v>
      </c>
      <c r="N593" s="8">
        <v>82.69</v>
      </c>
      <c r="O593" s="17">
        <f t="shared" si="47"/>
        <v>-0.85214165261382802</v>
      </c>
      <c r="P593" s="17">
        <f t="shared" si="48"/>
        <v>0.82689999999999997</v>
      </c>
      <c r="Q593" s="17">
        <v>61.88</v>
      </c>
      <c r="R593" s="9">
        <v>20220804</v>
      </c>
      <c r="S593" s="9">
        <v>5.63</v>
      </c>
      <c r="U593" s="9">
        <v>442.64999</v>
      </c>
      <c r="V593" s="45">
        <f t="shared" si="49"/>
        <v>-1</v>
      </c>
      <c r="W593" s="12">
        <v>50</v>
      </c>
      <c r="X593" s="12">
        <v>0</v>
      </c>
      <c r="Y593" s="62"/>
    </row>
    <row r="594" spans="1:25" x14ac:dyDescent="0.2">
      <c r="A594" s="3" t="s">
        <v>2909</v>
      </c>
      <c r="B594" s="3" t="s">
        <v>823</v>
      </c>
      <c r="C594" s="6" t="s">
        <v>354</v>
      </c>
      <c r="D594" s="6" t="s">
        <v>192</v>
      </c>
      <c r="E594" s="6" t="s">
        <v>208</v>
      </c>
      <c r="F594" s="6">
        <v>9217.82</v>
      </c>
      <c r="G594" s="2">
        <v>12</v>
      </c>
      <c r="H594" s="61">
        <v>8.89</v>
      </c>
      <c r="I594" s="61">
        <v>7.79</v>
      </c>
      <c r="J594" s="47">
        <f t="shared" si="45"/>
        <v>-0.2591666666666666</v>
      </c>
      <c r="K594" s="47">
        <f t="shared" si="46"/>
        <v>-0.12373453318335213</v>
      </c>
      <c r="L594" s="8">
        <v>10.38</v>
      </c>
      <c r="M594" s="8">
        <v>11.29</v>
      </c>
      <c r="N594" s="8">
        <v>12.51</v>
      </c>
      <c r="O594" s="17">
        <f t="shared" si="47"/>
        <v>-0.4356270096463023</v>
      </c>
      <c r="P594" s="17">
        <f t="shared" si="48"/>
        <v>-1.0110354545454541</v>
      </c>
      <c r="Q594" s="17">
        <v>9.39</v>
      </c>
      <c r="R594" s="9">
        <v>20220802</v>
      </c>
      <c r="S594" s="9">
        <v>78.239999999999995</v>
      </c>
      <c r="T594" s="9">
        <v>-4.41</v>
      </c>
      <c r="U594" s="9">
        <v>11823.48632</v>
      </c>
      <c r="V594" s="45">
        <f t="shared" si="49"/>
        <v>-1.0003729864340047</v>
      </c>
      <c r="W594" s="12">
        <v>-12.97</v>
      </c>
      <c r="X594" s="12">
        <v>0</v>
      </c>
      <c r="Y594" s="62">
        <v>1.18</v>
      </c>
    </row>
    <row r="595" spans="1:25" x14ac:dyDescent="0.2">
      <c r="A595" s="3" t="s">
        <v>2910</v>
      </c>
      <c r="B595" s="3" t="s">
        <v>824</v>
      </c>
      <c r="C595" s="6" t="s">
        <v>354</v>
      </c>
      <c r="D595" s="6" t="s">
        <v>200</v>
      </c>
      <c r="E595" s="6" t="s">
        <v>218</v>
      </c>
      <c r="F595" s="6">
        <v>48714.6</v>
      </c>
      <c r="G595" s="2">
        <v>12</v>
      </c>
      <c r="H595" s="61">
        <v>3.36</v>
      </c>
      <c r="I595" s="61">
        <v>8.77</v>
      </c>
      <c r="J595" s="47">
        <f t="shared" si="45"/>
        <v>-0.72000000000000008</v>
      </c>
      <c r="K595" s="47">
        <f t="shared" si="46"/>
        <v>1.6101190476190477</v>
      </c>
      <c r="L595" s="8">
        <v>9.26</v>
      </c>
      <c r="M595" s="8">
        <v>14.91</v>
      </c>
      <c r="N595" s="8">
        <v>8.42</v>
      </c>
      <c r="O595" s="17">
        <f t="shared" si="47"/>
        <v>-0.20708333333333329</v>
      </c>
      <c r="P595" s="17">
        <f t="shared" si="48"/>
        <v>5.2294269870609984E-2</v>
      </c>
      <c r="Q595" s="17">
        <v>7.97</v>
      </c>
      <c r="R595" s="9">
        <v>20220802</v>
      </c>
      <c r="S595" s="9">
        <v>36.57</v>
      </c>
      <c r="T595" s="9">
        <v>-13.87</v>
      </c>
      <c r="U595" s="9">
        <v>17878.771479999999</v>
      </c>
      <c r="V595" s="45">
        <f t="shared" si="49"/>
        <v>-1.0007757803725785</v>
      </c>
      <c r="W595" s="12">
        <v>8.0500000000000007</v>
      </c>
      <c r="X595" s="12">
        <v>5.42</v>
      </c>
      <c r="Y595" s="62"/>
    </row>
    <row r="596" spans="1:25" x14ac:dyDescent="0.2">
      <c r="B596" s="3" t="s">
        <v>2116</v>
      </c>
      <c r="C596" s="6" t="s">
        <v>355</v>
      </c>
      <c r="D596" s="6" t="s">
        <v>519</v>
      </c>
      <c r="E596" s="6" t="s">
        <v>163</v>
      </c>
      <c r="F596" s="6">
        <v>23069.759999999998</v>
      </c>
      <c r="G596" s="2">
        <v>12</v>
      </c>
      <c r="H596" s="61"/>
      <c r="I596" s="61"/>
      <c r="J596" s="47">
        <f t="shared" si="45"/>
        <v>-1</v>
      </c>
      <c r="K596" s="47" t="e">
        <f t="shared" si="46"/>
        <v>#DIV/0!</v>
      </c>
      <c r="O596" s="17">
        <f t="shared" si="47"/>
        <v>0</v>
      </c>
      <c r="P596" s="17" t="e">
        <f t="shared" si="48"/>
        <v>#DIV/0!</v>
      </c>
      <c r="Q596" s="17"/>
      <c r="V596" s="45" t="e">
        <f t="shared" si="49"/>
        <v>#DIV/0!</v>
      </c>
      <c r="X596" s="12">
        <v>2.9</v>
      </c>
      <c r="Y596" s="62"/>
    </row>
    <row r="597" spans="1:25" x14ac:dyDescent="0.2">
      <c r="A597" s="3" t="s">
        <v>2911</v>
      </c>
      <c r="B597" s="3" t="s">
        <v>825</v>
      </c>
      <c r="C597" s="6" t="s">
        <v>354</v>
      </c>
      <c r="D597" s="6" t="s">
        <v>134</v>
      </c>
      <c r="E597" s="6" t="s">
        <v>119</v>
      </c>
      <c r="F597" s="6">
        <v>8351.36</v>
      </c>
      <c r="G597" s="2">
        <v>3</v>
      </c>
      <c r="H597" s="61">
        <v>3.66</v>
      </c>
      <c r="I597" s="61">
        <v>4.18</v>
      </c>
      <c r="J597" s="47">
        <f t="shared" si="45"/>
        <v>0.22000000000000006</v>
      </c>
      <c r="K597" s="47">
        <f t="shared" si="46"/>
        <v>0.14207650273224032</v>
      </c>
      <c r="L597" s="8">
        <v>4.9000000000000004</v>
      </c>
      <c r="M597" s="8">
        <v>9.76</v>
      </c>
      <c r="N597" s="8">
        <v>8.18</v>
      </c>
      <c r="O597" s="17">
        <f t="shared" si="47"/>
        <v>0.4436363636363635</v>
      </c>
      <c r="P597" s="17">
        <f t="shared" si="48"/>
        <v>0.57574615384615435</v>
      </c>
      <c r="Q597" s="17">
        <v>6.97</v>
      </c>
      <c r="R597" s="9">
        <v>20220803</v>
      </c>
      <c r="S597" s="9">
        <v>17.079999999999998</v>
      </c>
      <c r="T597" s="9">
        <v>4.18</v>
      </c>
      <c r="U597" s="9">
        <v>16140.30761</v>
      </c>
      <c r="V597" s="45">
        <f t="shared" si="49"/>
        <v>-0.99974102104488949</v>
      </c>
      <c r="W597" s="12">
        <v>-16</v>
      </c>
      <c r="X597" s="12">
        <v>0</v>
      </c>
      <c r="Y597" s="62">
        <v>0.3</v>
      </c>
    </row>
    <row r="598" spans="1:25" x14ac:dyDescent="0.2">
      <c r="A598" s="3" t="s">
        <v>2912</v>
      </c>
      <c r="B598" s="3" t="s">
        <v>826</v>
      </c>
      <c r="C598" s="6" t="s">
        <v>355</v>
      </c>
      <c r="D598" s="6" t="s">
        <v>191</v>
      </c>
      <c r="E598" s="6" t="s">
        <v>208</v>
      </c>
      <c r="F598" s="6">
        <v>27537.08</v>
      </c>
      <c r="G598" s="2">
        <v>12</v>
      </c>
      <c r="H598" s="61">
        <v>2.81</v>
      </c>
      <c r="I598" s="61">
        <v>3.28</v>
      </c>
      <c r="J598" s="47">
        <f t="shared" si="45"/>
        <v>-0.76583333333333325</v>
      </c>
      <c r="K598" s="47">
        <f t="shared" si="46"/>
        <v>0.16725978647686823</v>
      </c>
      <c r="L598" s="8">
        <v>4.6100000000000003</v>
      </c>
      <c r="M598" s="8">
        <v>105.9</v>
      </c>
      <c r="N598" s="8">
        <v>85.66</v>
      </c>
      <c r="O598" s="17">
        <f t="shared" si="47"/>
        <v>-1.3828073993471166</v>
      </c>
      <c r="P598" s="17">
        <f t="shared" si="48"/>
        <v>5.1213744680851088</v>
      </c>
      <c r="Q598" s="17">
        <v>60.86</v>
      </c>
      <c r="R598" s="9">
        <v>20220804</v>
      </c>
      <c r="S598" s="9">
        <v>12.42</v>
      </c>
      <c r="T598" s="9">
        <v>36.47</v>
      </c>
      <c r="U598" s="9">
        <v>2908.6498999999999</v>
      </c>
      <c r="V598" s="45">
        <f t="shared" si="49"/>
        <v>-0.98746153670814774</v>
      </c>
      <c r="W598" s="12">
        <v>-36</v>
      </c>
      <c r="X598" s="12">
        <v>0</v>
      </c>
      <c r="Y598" s="62">
        <v>4.93</v>
      </c>
    </row>
    <row r="599" spans="1:25" x14ac:dyDescent="0.2">
      <c r="A599" s="3" t="s">
        <v>2913</v>
      </c>
      <c r="B599" s="3" t="s">
        <v>2914</v>
      </c>
      <c r="C599" s="6" t="s">
        <v>354</v>
      </c>
      <c r="D599" s="6" t="s">
        <v>204</v>
      </c>
      <c r="E599" s="6" t="s">
        <v>218</v>
      </c>
      <c r="F599" s="6">
        <v>55490.11</v>
      </c>
      <c r="G599" s="2">
        <v>12</v>
      </c>
      <c r="H599" s="61">
        <v>2.97</v>
      </c>
      <c r="I599" s="61">
        <v>6.72</v>
      </c>
      <c r="J599" s="47">
        <f t="shared" si="45"/>
        <v>-0.75249999999999995</v>
      </c>
      <c r="K599" s="47">
        <f t="shared" si="46"/>
        <v>1.2626262626262623</v>
      </c>
      <c r="L599" s="8">
        <v>5.39</v>
      </c>
      <c r="M599" s="8">
        <v>6.31</v>
      </c>
      <c r="N599" s="8">
        <v>4.58</v>
      </c>
      <c r="O599" s="17">
        <f t="shared" si="47"/>
        <v>-8.385382059800664E-2</v>
      </c>
      <c r="P599" s="17">
        <f t="shared" si="48"/>
        <v>3.627360000000001E-2</v>
      </c>
      <c r="Q599" s="17">
        <v>5.71</v>
      </c>
      <c r="R599" s="9">
        <v>20220729</v>
      </c>
      <c r="S599" s="9">
        <v>17.57</v>
      </c>
      <c r="T599" s="9">
        <v>-2.63</v>
      </c>
      <c r="U599" s="9">
        <v>239689.29686999999</v>
      </c>
      <c r="V599" s="45">
        <f t="shared" si="49"/>
        <v>-1.0000109725383417</v>
      </c>
      <c r="W599" s="12">
        <v>30.77</v>
      </c>
      <c r="X599" s="12">
        <v>4.24</v>
      </c>
      <c r="Y599" s="62">
        <v>0.44</v>
      </c>
    </row>
    <row r="600" spans="1:25" x14ac:dyDescent="0.2">
      <c r="A600" s="3" t="s">
        <v>2915</v>
      </c>
      <c r="B600" s="3" t="s">
        <v>827</v>
      </c>
      <c r="C600" s="6" t="s">
        <v>355</v>
      </c>
      <c r="D600" s="6" t="s">
        <v>234</v>
      </c>
      <c r="E600" s="6" t="s">
        <v>146</v>
      </c>
      <c r="F600" s="6">
        <v>38815.64</v>
      </c>
      <c r="G600" s="2">
        <v>3</v>
      </c>
      <c r="H600" s="61">
        <v>6.99</v>
      </c>
      <c r="I600" s="61">
        <v>7.28</v>
      </c>
      <c r="J600" s="47">
        <f t="shared" si="45"/>
        <v>1.33</v>
      </c>
      <c r="K600" s="47">
        <f t="shared" si="46"/>
        <v>4.1487839771101577E-2</v>
      </c>
      <c r="L600" s="8">
        <v>8.15</v>
      </c>
      <c r="M600" s="8">
        <v>20.85</v>
      </c>
      <c r="N600" s="8">
        <v>19.059999999999999</v>
      </c>
      <c r="O600" s="17">
        <f t="shared" si="47"/>
        <v>0.15676691729323308</v>
      </c>
      <c r="P600" s="17">
        <f t="shared" si="48"/>
        <v>4.5941172413793092</v>
      </c>
      <c r="Q600" s="17">
        <v>17.010000000000002</v>
      </c>
      <c r="R600" s="9">
        <v>20220803</v>
      </c>
      <c r="S600" s="9">
        <v>18.989999999999998</v>
      </c>
      <c r="T600" s="9">
        <v>5.97</v>
      </c>
      <c r="U600" s="9">
        <v>7995.1660099999999</v>
      </c>
      <c r="V600" s="45">
        <f t="shared" si="49"/>
        <v>-0.9992532988067373</v>
      </c>
      <c r="W600" s="12">
        <v>-18.62</v>
      </c>
      <c r="X600" s="12">
        <v>0.49</v>
      </c>
      <c r="Y600" s="62">
        <v>1.7</v>
      </c>
    </row>
    <row r="601" spans="1:25" x14ac:dyDescent="0.2">
      <c r="A601" s="3" t="s">
        <v>828</v>
      </c>
      <c r="B601" s="3" t="s">
        <v>829</v>
      </c>
      <c r="C601" s="6" t="s">
        <v>356</v>
      </c>
      <c r="D601" s="6" t="s">
        <v>16</v>
      </c>
      <c r="E601" s="6" t="s">
        <v>10</v>
      </c>
      <c r="F601" s="6">
        <v>92085.83</v>
      </c>
      <c r="G601" s="2">
        <v>12</v>
      </c>
      <c r="H601" s="61">
        <v>1.21</v>
      </c>
      <c r="I601" s="61">
        <v>1.42</v>
      </c>
      <c r="J601" s="47">
        <f t="shared" si="45"/>
        <v>-0.89916666666666656</v>
      </c>
      <c r="K601" s="47">
        <f t="shared" si="46"/>
        <v>0.17355371900826444</v>
      </c>
      <c r="L601" s="8">
        <v>1.95</v>
      </c>
      <c r="M601" s="8">
        <v>15.62</v>
      </c>
      <c r="N601" s="8">
        <v>20.57</v>
      </c>
      <c r="O601" s="17">
        <f t="shared" si="47"/>
        <v>-0.17371640407784988</v>
      </c>
      <c r="P601" s="17">
        <f t="shared" si="48"/>
        <v>1.1852238095238097</v>
      </c>
      <c r="Q601" s="17">
        <v>15.01</v>
      </c>
      <c r="R601" s="9">
        <v>20220804</v>
      </c>
      <c r="S601" s="9">
        <v>52.44</v>
      </c>
      <c r="T601" s="9">
        <v>-5.05</v>
      </c>
      <c r="U601" s="9">
        <v>65824.375</v>
      </c>
      <c r="V601" s="45">
        <f t="shared" si="49"/>
        <v>-1.0000767193004112</v>
      </c>
      <c r="W601" s="12">
        <v>168.75</v>
      </c>
      <c r="X601" s="12">
        <v>1.04</v>
      </c>
      <c r="Y601" s="62">
        <v>1.66</v>
      </c>
    </row>
    <row r="602" spans="1:25" x14ac:dyDescent="0.2">
      <c r="A602" s="3" t="s">
        <v>2916</v>
      </c>
      <c r="B602" s="3" t="s">
        <v>830</v>
      </c>
      <c r="C602" s="6" t="s">
        <v>355</v>
      </c>
      <c r="D602" s="6" t="s">
        <v>174</v>
      </c>
      <c r="E602" s="6" t="s">
        <v>231</v>
      </c>
      <c r="F602" s="6">
        <v>26015.86</v>
      </c>
      <c r="G602" s="2">
        <v>12</v>
      </c>
      <c r="H602" s="61">
        <v>3.96</v>
      </c>
      <c r="I602" s="61">
        <v>4.07</v>
      </c>
      <c r="J602" s="47">
        <f t="shared" si="45"/>
        <v>-0.66999999999999993</v>
      </c>
      <c r="K602" s="47">
        <f t="shared" si="46"/>
        <v>2.777777777777786E-2</v>
      </c>
      <c r="L602" s="8">
        <v>4.55</v>
      </c>
      <c r="M602" s="8">
        <v>11.65</v>
      </c>
      <c r="N602" s="8">
        <v>11.41</v>
      </c>
      <c r="O602" s="17">
        <f t="shared" si="47"/>
        <v>-0.17388059701492539</v>
      </c>
      <c r="P602" s="17">
        <f t="shared" si="48"/>
        <v>4.1075999999999881</v>
      </c>
      <c r="Q602" s="17">
        <v>10.210000000000001</v>
      </c>
      <c r="R602" s="9">
        <v>20220810</v>
      </c>
      <c r="S602" s="9">
        <v>20.91</v>
      </c>
      <c r="T602" s="9">
        <v>2.89</v>
      </c>
      <c r="U602" s="9">
        <v>9735.8085900000005</v>
      </c>
      <c r="V602" s="45">
        <f t="shared" si="49"/>
        <v>-0.99970315768091744</v>
      </c>
      <c r="W602" s="12">
        <v>1.94</v>
      </c>
      <c r="X602" s="12">
        <v>1.89</v>
      </c>
      <c r="Y602" s="62">
        <v>1.21</v>
      </c>
    </row>
    <row r="603" spans="1:25" x14ac:dyDescent="0.2">
      <c r="A603" s="3" t="s">
        <v>2917</v>
      </c>
      <c r="B603" s="3" t="s">
        <v>831</v>
      </c>
      <c r="C603" s="6" t="s">
        <v>355</v>
      </c>
      <c r="D603" s="6" t="s">
        <v>104</v>
      </c>
      <c r="E603" s="6" t="s">
        <v>163</v>
      </c>
      <c r="F603" s="6">
        <v>3533.29</v>
      </c>
      <c r="G603" s="2">
        <v>12</v>
      </c>
      <c r="H603" s="61">
        <v>0.94</v>
      </c>
      <c r="I603" s="61">
        <v>1.23</v>
      </c>
      <c r="J603" s="47">
        <f t="shared" si="45"/>
        <v>-0.92166666666666675</v>
      </c>
      <c r="K603" s="47">
        <f t="shared" si="46"/>
        <v>0.3085106382978724</v>
      </c>
      <c r="L603" s="8">
        <v>1.57</v>
      </c>
      <c r="M603" s="8">
        <v>18.829999999999998</v>
      </c>
      <c r="N603" s="8">
        <v>15.57</v>
      </c>
      <c r="O603" s="17">
        <f t="shared" si="47"/>
        <v>-0.20430379746835439</v>
      </c>
      <c r="P603" s="17">
        <f t="shared" si="48"/>
        <v>0.50468275862068956</v>
      </c>
      <c r="Q603" s="17">
        <v>12.27</v>
      </c>
      <c r="R603" s="9">
        <v>20220804</v>
      </c>
      <c r="S603" s="9">
        <v>5.26</v>
      </c>
      <c r="U603" s="9">
        <v>723.95799999999997</v>
      </c>
      <c r="V603" s="45">
        <f t="shared" si="49"/>
        <v>-1</v>
      </c>
      <c r="W603" s="12">
        <v>18.52</v>
      </c>
      <c r="X603" s="12">
        <v>2.08</v>
      </c>
      <c r="Y603" s="62"/>
    </row>
    <row r="604" spans="1:25" x14ac:dyDescent="0.2">
      <c r="A604" s="3" t="s">
        <v>2918</v>
      </c>
      <c r="B604" s="3" t="s">
        <v>832</v>
      </c>
      <c r="C604" s="6" t="s">
        <v>356</v>
      </c>
      <c r="D604" s="6" t="s">
        <v>69</v>
      </c>
      <c r="E604" s="6" t="s">
        <v>163</v>
      </c>
      <c r="F604" s="6">
        <v>13487.12</v>
      </c>
      <c r="G604" s="2">
        <v>12</v>
      </c>
      <c r="H604" s="61"/>
      <c r="I604" s="61">
        <v>2.12</v>
      </c>
      <c r="J604" s="47">
        <f t="shared" si="45"/>
        <v>-1</v>
      </c>
      <c r="K604" s="47" t="e">
        <f t="shared" si="46"/>
        <v>#DIV/0!</v>
      </c>
      <c r="L604" s="8">
        <v>2.2200000000000002</v>
      </c>
      <c r="M604" s="8">
        <v>6.15</v>
      </c>
      <c r="N604" s="8">
        <v>7.4</v>
      </c>
      <c r="O604" s="17">
        <f t="shared" si="47"/>
        <v>-6.1500000000000006E-2</v>
      </c>
      <c r="P604" s="17" t="e">
        <f t="shared" si="48"/>
        <v>#DIV/0!</v>
      </c>
      <c r="Q604" s="17">
        <v>7.07</v>
      </c>
      <c r="R604" s="9">
        <v>20220729</v>
      </c>
      <c r="S604" s="9">
        <v>11.16</v>
      </c>
      <c r="T604" s="9">
        <v>4.4400000000000004</v>
      </c>
      <c r="V604" s="45" t="e">
        <f t="shared" si="49"/>
        <v>#DIV/0!</v>
      </c>
      <c r="W604" s="12">
        <v>7.27</v>
      </c>
      <c r="X604" s="12">
        <v>3.62</v>
      </c>
      <c r="Y604" s="62"/>
    </row>
    <row r="605" spans="1:25" x14ac:dyDescent="0.2">
      <c r="A605" s="3" t="s">
        <v>2919</v>
      </c>
      <c r="B605" s="3" t="s">
        <v>2117</v>
      </c>
      <c r="C605" s="6" t="s">
        <v>354</v>
      </c>
      <c r="D605" s="6" t="s">
        <v>246</v>
      </c>
      <c r="E605" s="6" t="s">
        <v>250</v>
      </c>
      <c r="F605" s="6">
        <v>14481.23</v>
      </c>
      <c r="G605" s="2">
        <v>12</v>
      </c>
      <c r="H605" s="61">
        <v>0.8</v>
      </c>
      <c r="I605" s="61">
        <v>0.48</v>
      </c>
      <c r="J605" s="47">
        <f t="shared" si="45"/>
        <v>-0.93333333333333324</v>
      </c>
      <c r="K605" s="47">
        <f t="shared" si="46"/>
        <v>-0.40000000000000008</v>
      </c>
      <c r="N605" s="8">
        <v>19.23</v>
      </c>
      <c r="O605" s="17">
        <f t="shared" si="47"/>
        <v>0</v>
      </c>
      <c r="P605" s="17">
        <f t="shared" si="48"/>
        <v>-0.4807499999999999</v>
      </c>
      <c r="Q605" s="17"/>
      <c r="R605" s="9">
        <v>20220601</v>
      </c>
      <c r="S605" s="9">
        <v>7.7</v>
      </c>
      <c r="T605" s="9">
        <v>-15.44</v>
      </c>
      <c r="V605" s="45" t="e">
        <f t="shared" si="49"/>
        <v>#DIV/0!</v>
      </c>
      <c r="W605" s="12">
        <v>10</v>
      </c>
      <c r="X605" s="12">
        <v>1.42</v>
      </c>
      <c r="Y605" s="62">
        <v>6.28</v>
      </c>
    </row>
    <row r="606" spans="1:25" x14ac:dyDescent="0.2">
      <c r="A606" s="3" t="s">
        <v>2920</v>
      </c>
      <c r="B606" s="3" t="s">
        <v>2921</v>
      </c>
      <c r="C606" s="6" t="s">
        <v>354</v>
      </c>
      <c r="D606" s="6" t="s">
        <v>246</v>
      </c>
      <c r="E606" s="6" t="s">
        <v>250</v>
      </c>
      <c r="F606" s="6">
        <v>13822.28</v>
      </c>
      <c r="G606" s="2">
        <v>12</v>
      </c>
      <c r="H606" s="61"/>
      <c r="I606" s="61"/>
      <c r="J606" s="47">
        <f t="shared" si="45"/>
        <v>-1</v>
      </c>
      <c r="K606" s="47" t="e">
        <f t="shared" si="46"/>
        <v>#DIV/0!</v>
      </c>
      <c r="O606" s="17">
        <f t="shared" si="47"/>
        <v>0</v>
      </c>
      <c r="P606" s="17" t="e">
        <f t="shared" si="48"/>
        <v>#DIV/0!</v>
      </c>
      <c r="Q606" s="17"/>
      <c r="R606" s="9">
        <v>20220601</v>
      </c>
      <c r="S606" s="9">
        <v>7.7</v>
      </c>
      <c r="T606" s="9">
        <v>-15.44</v>
      </c>
      <c r="V606" s="45" t="e">
        <f t="shared" si="49"/>
        <v>#DIV/0!</v>
      </c>
      <c r="X606" s="12">
        <v>3.34</v>
      </c>
      <c r="Y606" s="62"/>
    </row>
    <row r="607" spans="1:25" x14ac:dyDescent="0.2">
      <c r="A607" s="3" t="s">
        <v>2922</v>
      </c>
      <c r="B607" s="3" t="s">
        <v>833</v>
      </c>
      <c r="C607" s="6" t="s">
        <v>354</v>
      </c>
      <c r="D607" s="6" t="s">
        <v>632</v>
      </c>
      <c r="E607" s="6" t="s">
        <v>218</v>
      </c>
      <c r="F607" s="6">
        <v>31022.48</v>
      </c>
      <c r="G607" s="2">
        <v>12</v>
      </c>
      <c r="H607" s="61">
        <v>1.83</v>
      </c>
      <c r="I607" s="61">
        <v>3.54</v>
      </c>
      <c r="J607" s="47">
        <f t="shared" si="45"/>
        <v>-0.84750000000000003</v>
      </c>
      <c r="K607" s="47">
        <f t="shared" si="46"/>
        <v>0.93442622950819665</v>
      </c>
      <c r="L607" s="8">
        <v>3.27</v>
      </c>
      <c r="M607" s="8">
        <v>10.86</v>
      </c>
      <c r="N607" s="8">
        <v>4.2699999999999996</v>
      </c>
      <c r="O607" s="17">
        <f t="shared" si="47"/>
        <v>-0.12814159292035399</v>
      </c>
      <c r="P607" s="17">
        <f t="shared" si="48"/>
        <v>4.5696491228070173E-2</v>
      </c>
      <c r="Q607" s="17">
        <v>4.62</v>
      </c>
      <c r="R607" s="9">
        <v>20220510</v>
      </c>
      <c r="S607" s="9">
        <v>49.32</v>
      </c>
      <c r="T607" s="9">
        <v>18.260000000000002</v>
      </c>
      <c r="U607" s="9">
        <v>34930.40625</v>
      </c>
      <c r="V607" s="45">
        <f t="shared" si="49"/>
        <v>-0.99947724627451184</v>
      </c>
      <c r="W607" s="12">
        <v>-18.64</v>
      </c>
      <c r="X607" s="12">
        <v>9.67</v>
      </c>
      <c r="Y607" s="62">
        <v>0.08</v>
      </c>
    </row>
    <row r="608" spans="1:25" x14ac:dyDescent="0.2">
      <c r="A608" s="3" t="s">
        <v>2923</v>
      </c>
      <c r="B608" s="3" t="s">
        <v>1960</v>
      </c>
      <c r="C608" s="6" t="s">
        <v>356</v>
      </c>
      <c r="D608" s="6" t="s">
        <v>246</v>
      </c>
      <c r="E608" s="6" t="s">
        <v>250</v>
      </c>
      <c r="F608" s="6">
        <v>28565.13</v>
      </c>
      <c r="G608" s="2">
        <v>12</v>
      </c>
      <c r="H608" s="61">
        <v>0.31</v>
      </c>
      <c r="I608" s="61"/>
      <c r="J608" s="47">
        <f t="shared" si="45"/>
        <v>-0.97416666666666663</v>
      </c>
      <c r="K608" s="47">
        <f t="shared" si="46"/>
        <v>-1</v>
      </c>
      <c r="O608" s="17">
        <f t="shared" si="47"/>
        <v>0</v>
      </c>
      <c r="P608" s="17">
        <f t="shared" si="48"/>
        <v>0</v>
      </c>
      <c r="Q608" s="17"/>
      <c r="U608" s="9">
        <v>88827.203120000006</v>
      </c>
      <c r="V608" s="45">
        <f t="shared" si="49"/>
        <v>-1</v>
      </c>
      <c r="X608" s="12">
        <v>4.5199999999999996</v>
      </c>
      <c r="Y608" s="62"/>
    </row>
    <row r="609" spans="1:25" x14ac:dyDescent="0.2">
      <c r="A609" s="3" t="s">
        <v>2924</v>
      </c>
      <c r="B609" s="3" t="s">
        <v>834</v>
      </c>
      <c r="C609" s="6" t="s">
        <v>354</v>
      </c>
      <c r="D609" s="6" t="s">
        <v>128</v>
      </c>
      <c r="E609" s="6" t="s">
        <v>60</v>
      </c>
      <c r="F609" s="6">
        <v>46904.58</v>
      </c>
      <c r="G609" s="2">
        <v>12</v>
      </c>
      <c r="H609" s="61">
        <v>4.6900000000000004</v>
      </c>
      <c r="I609" s="61">
        <v>5.19</v>
      </c>
      <c r="J609" s="47">
        <f t="shared" si="45"/>
        <v>-0.60916666666666663</v>
      </c>
      <c r="K609" s="47">
        <f t="shared" si="46"/>
        <v>0.10660980810234541</v>
      </c>
      <c r="L609" s="8">
        <v>6.08</v>
      </c>
      <c r="M609" s="8">
        <v>34.94</v>
      </c>
      <c r="N609" s="8">
        <v>31.65</v>
      </c>
      <c r="O609" s="17">
        <f t="shared" si="47"/>
        <v>-0.57357045143638852</v>
      </c>
      <c r="P609" s="17">
        <f t="shared" si="48"/>
        <v>2.9687700000000001</v>
      </c>
      <c r="Q609" s="17">
        <v>27.01</v>
      </c>
      <c r="R609" s="9">
        <v>20220726</v>
      </c>
      <c r="S609" s="9">
        <v>19.350000000000001</v>
      </c>
      <c r="T609" s="9">
        <v>-2.91</v>
      </c>
      <c r="U609" s="9">
        <v>14249.21875</v>
      </c>
      <c r="V609" s="45">
        <f t="shared" si="49"/>
        <v>-1.0002042217226821</v>
      </c>
      <c r="W609" s="12">
        <v>0</v>
      </c>
      <c r="X609" s="12">
        <v>1.24</v>
      </c>
      <c r="Y609" s="62">
        <v>2.5</v>
      </c>
    </row>
    <row r="610" spans="1:25" x14ac:dyDescent="0.2">
      <c r="A610" s="3" t="s">
        <v>2925</v>
      </c>
      <c r="B610" s="3" t="s">
        <v>835</v>
      </c>
      <c r="C610" s="6" t="s">
        <v>354</v>
      </c>
      <c r="D610" s="6" t="s">
        <v>246</v>
      </c>
      <c r="E610" s="6" t="s">
        <v>250</v>
      </c>
      <c r="F610" s="6">
        <v>35383.440000000002</v>
      </c>
      <c r="G610" s="2">
        <v>12</v>
      </c>
      <c r="H610" s="61">
        <v>4.24</v>
      </c>
      <c r="I610" s="61">
        <v>4.49</v>
      </c>
      <c r="J610" s="47">
        <f t="shared" si="45"/>
        <v>-0.64666666666666661</v>
      </c>
      <c r="K610" s="47">
        <f t="shared" si="46"/>
        <v>5.896226415094339E-2</v>
      </c>
      <c r="L610" s="8">
        <v>4.82</v>
      </c>
      <c r="M610" s="8">
        <v>22.65</v>
      </c>
      <c r="N610" s="8">
        <v>22.27</v>
      </c>
      <c r="O610" s="17">
        <f t="shared" si="47"/>
        <v>-0.35025773195876292</v>
      </c>
      <c r="P610" s="17">
        <f t="shared" si="48"/>
        <v>3.7769920000000003</v>
      </c>
      <c r="Q610" s="17">
        <v>20.7</v>
      </c>
      <c r="R610" s="9">
        <v>20220804</v>
      </c>
      <c r="S610" s="9">
        <v>7.66</v>
      </c>
      <c r="T610" s="9">
        <v>2.41</v>
      </c>
      <c r="U610" s="9">
        <v>14300.833000000001</v>
      </c>
      <c r="V610" s="45">
        <f t="shared" si="49"/>
        <v>-0.99983147834814934</v>
      </c>
      <c r="W610" s="12">
        <v>-2.65</v>
      </c>
      <c r="X610" s="12">
        <v>3.16</v>
      </c>
      <c r="Y610" s="62">
        <v>11.13</v>
      </c>
    </row>
    <row r="611" spans="1:25" x14ac:dyDescent="0.2">
      <c r="A611" s="3" t="s">
        <v>2118</v>
      </c>
      <c r="B611" s="3" t="s">
        <v>2119</v>
      </c>
      <c r="C611" s="6" t="s">
        <v>356</v>
      </c>
      <c r="D611" s="6" t="s">
        <v>233</v>
      </c>
      <c r="E611" s="6" t="s">
        <v>108</v>
      </c>
      <c r="F611" s="6">
        <v>12279.73</v>
      </c>
      <c r="G611" s="2">
        <v>12</v>
      </c>
      <c r="H611" s="61"/>
      <c r="I611" s="61"/>
      <c r="J611" s="47">
        <f t="shared" si="45"/>
        <v>-1</v>
      </c>
      <c r="K611" s="47" t="e">
        <f t="shared" si="46"/>
        <v>#DIV/0!</v>
      </c>
      <c r="O611" s="17">
        <f t="shared" si="47"/>
        <v>0</v>
      </c>
      <c r="P611" s="17" t="e">
        <f t="shared" si="48"/>
        <v>#DIV/0!</v>
      </c>
      <c r="Q611" s="17"/>
      <c r="V611" s="45" t="e">
        <f t="shared" si="49"/>
        <v>#DIV/0!</v>
      </c>
      <c r="X611" s="12">
        <v>1.34</v>
      </c>
      <c r="Y611" s="62"/>
    </row>
    <row r="612" spans="1:25" x14ac:dyDescent="0.2">
      <c r="A612" s="3" t="s">
        <v>836</v>
      </c>
      <c r="B612" s="3" t="s">
        <v>837</v>
      </c>
      <c r="C612" s="6" t="s">
        <v>356</v>
      </c>
      <c r="D612" s="6" t="s">
        <v>246</v>
      </c>
      <c r="E612" s="6" t="s">
        <v>250</v>
      </c>
      <c r="F612" s="6">
        <v>20228.66</v>
      </c>
      <c r="G612" s="2">
        <v>12</v>
      </c>
      <c r="H612" s="61">
        <v>2.44</v>
      </c>
      <c r="I612" s="61">
        <v>2.04</v>
      </c>
      <c r="J612" s="47">
        <f t="shared" si="45"/>
        <v>-0.79666666666666675</v>
      </c>
      <c r="K612" s="47">
        <f t="shared" si="46"/>
        <v>-0.16393442622950816</v>
      </c>
      <c r="L612" s="8">
        <v>3.2</v>
      </c>
      <c r="N612" s="8">
        <v>25.14</v>
      </c>
      <c r="O612" s="17">
        <f t="shared" si="47"/>
        <v>0</v>
      </c>
      <c r="P612" s="17">
        <f t="shared" si="48"/>
        <v>-1.5335400000000006</v>
      </c>
      <c r="Q612" s="17">
        <v>16.02</v>
      </c>
      <c r="R612" s="9">
        <v>20220602</v>
      </c>
      <c r="V612" s="45" t="e">
        <f t="shared" si="49"/>
        <v>#DIV/0!</v>
      </c>
      <c r="X612" s="12">
        <v>2.87</v>
      </c>
      <c r="Y612" s="62">
        <v>2.0699999999999998</v>
      </c>
    </row>
    <row r="613" spans="1:25" x14ac:dyDescent="0.2">
      <c r="A613" s="3" t="s">
        <v>2926</v>
      </c>
      <c r="B613" s="3" t="s">
        <v>2927</v>
      </c>
      <c r="C613" s="6" t="s">
        <v>354</v>
      </c>
      <c r="D613" s="6" t="s">
        <v>788</v>
      </c>
      <c r="E613" s="6" t="s">
        <v>146</v>
      </c>
      <c r="F613" s="6">
        <v>15885.13</v>
      </c>
      <c r="G613" s="2">
        <v>12</v>
      </c>
      <c r="H613" s="61">
        <v>0.78</v>
      </c>
      <c r="I613" s="61">
        <v>1.33</v>
      </c>
      <c r="J613" s="47">
        <f t="shared" si="45"/>
        <v>-0.93500000000000005</v>
      </c>
      <c r="K613" s="47">
        <f t="shared" si="46"/>
        <v>0.70512820512820518</v>
      </c>
      <c r="L613" s="8">
        <v>1.87</v>
      </c>
      <c r="M613" s="8">
        <v>15.76</v>
      </c>
      <c r="N613" s="8">
        <v>16.95</v>
      </c>
      <c r="O613" s="17">
        <f t="shared" si="47"/>
        <v>-0.16855614973262031</v>
      </c>
      <c r="P613" s="17">
        <f t="shared" si="48"/>
        <v>0.24038181818181817</v>
      </c>
      <c r="Q613" s="17">
        <v>12.09</v>
      </c>
      <c r="R613" s="9">
        <v>20220815</v>
      </c>
      <c r="S613" s="9">
        <v>11.32</v>
      </c>
      <c r="U613" s="9">
        <v>5354.3398399999996</v>
      </c>
      <c r="V613" s="45">
        <f t="shared" si="49"/>
        <v>-1</v>
      </c>
      <c r="W613" s="12">
        <v>135.47999999999999</v>
      </c>
      <c r="X613" s="12">
        <v>0</v>
      </c>
      <c r="Y613" s="62"/>
    </row>
    <row r="614" spans="1:25" x14ac:dyDescent="0.2">
      <c r="A614" s="3" t="s">
        <v>2928</v>
      </c>
      <c r="B614" s="3" t="s">
        <v>2120</v>
      </c>
      <c r="C614" s="6" t="s">
        <v>355</v>
      </c>
      <c r="D614" s="6" t="s">
        <v>151</v>
      </c>
      <c r="E614" s="6" t="s">
        <v>163</v>
      </c>
      <c r="F614" s="6">
        <v>6011.46</v>
      </c>
      <c r="G614" s="2">
        <v>12</v>
      </c>
      <c r="H614" s="61">
        <v>3.86</v>
      </c>
      <c r="I614" s="61">
        <v>7.06</v>
      </c>
      <c r="J614" s="47">
        <f t="shared" si="45"/>
        <v>-0.67833333333333334</v>
      </c>
      <c r="K614" s="47">
        <f t="shared" si="46"/>
        <v>0.82901554404145072</v>
      </c>
      <c r="L614" s="8">
        <v>9.31</v>
      </c>
      <c r="M614" s="8">
        <v>28.73</v>
      </c>
      <c r="N614" s="8">
        <v>16.84</v>
      </c>
      <c r="O614" s="17">
        <f t="shared" si="47"/>
        <v>-0.42353808353808359</v>
      </c>
      <c r="P614" s="17">
        <f t="shared" si="48"/>
        <v>0.20313250000000002</v>
      </c>
      <c r="Q614" s="17">
        <v>12.78</v>
      </c>
      <c r="R614" s="9">
        <v>20220726</v>
      </c>
      <c r="S614" s="9">
        <v>14.04</v>
      </c>
      <c r="T614" s="9">
        <v>6.05</v>
      </c>
      <c r="U614" s="9">
        <v>3419.4069800000002</v>
      </c>
      <c r="V614" s="45">
        <f t="shared" si="49"/>
        <v>-0.99823068735737319</v>
      </c>
      <c r="W614" s="12">
        <v>-2.82</v>
      </c>
      <c r="X614" s="12">
        <v>0</v>
      </c>
      <c r="Y614" s="62"/>
    </row>
    <row r="615" spans="1:25" x14ac:dyDescent="0.2">
      <c r="B615" s="3" t="s">
        <v>2121</v>
      </c>
      <c r="C615" s="6" t="s">
        <v>354</v>
      </c>
      <c r="D615" s="6" t="s">
        <v>519</v>
      </c>
      <c r="E615" s="6" t="s">
        <v>163</v>
      </c>
      <c r="F615" s="6">
        <v>27161.84</v>
      </c>
      <c r="G615" s="2">
        <v>12</v>
      </c>
      <c r="H615" s="61"/>
      <c r="I615" s="61"/>
      <c r="J615" s="47">
        <f t="shared" si="45"/>
        <v>-1</v>
      </c>
      <c r="K615" s="47" t="e">
        <f t="shared" si="46"/>
        <v>#DIV/0!</v>
      </c>
      <c r="O615" s="17">
        <f t="shared" si="47"/>
        <v>0</v>
      </c>
      <c r="P615" s="17" t="e">
        <f t="shared" si="48"/>
        <v>#DIV/0!</v>
      </c>
      <c r="Q615" s="17"/>
      <c r="V615" s="45" t="e">
        <f t="shared" si="49"/>
        <v>#DIV/0!</v>
      </c>
      <c r="X615" s="12">
        <v>2.34</v>
      </c>
      <c r="Y615" s="62"/>
    </row>
    <row r="616" spans="1:25" x14ac:dyDescent="0.2">
      <c r="B616" s="3" t="s">
        <v>2122</v>
      </c>
      <c r="C616" s="6" t="s">
        <v>354</v>
      </c>
      <c r="D616" s="6" t="s">
        <v>519</v>
      </c>
      <c r="E616" s="6" t="s">
        <v>163</v>
      </c>
      <c r="F616" s="6">
        <v>50146.55</v>
      </c>
      <c r="G616" s="2">
        <v>12</v>
      </c>
      <c r="H616" s="61"/>
      <c r="I616" s="61"/>
      <c r="J616" s="47">
        <f t="shared" si="45"/>
        <v>-1</v>
      </c>
      <c r="K616" s="47" t="e">
        <f t="shared" si="46"/>
        <v>#DIV/0!</v>
      </c>
      <c r="O616" s="17">
        <f t="shared" si="47"/>
        <v>0</v>
      </c>
      <c r="P616" s="17" t="e">
        <f t="shared" si="48"/>
        <v>#DIV/0!</v>
      </c>
      <c r="Q616" s="17"/>
      <c r="V616" s="45" t="e">
        <f t="shared" si="49"/>
        <v>#DIV/0!</v>
      </c>
      <c r="X616" s="12">
        <v>3.76</v>
      </c>
      <c r="Y616" s="62"/>
    </row>
    <row r="617" spans="1:25" x14ac:dyDescent="0.2">
      <c r="A617" s="3" t="s">
        <v>2929</v>
      </c>
      <c r="B617" s="3" t="s">
        <v>838</v>
      </c>
      <c r="C617" s="6" t="s">
        <v>354</v>
      </c>
      <c r="D617" s="6" t="s">
        <v>153</v>
      </c>
      <c r="E617" s="6" t="s">
        <v>108</v>
      </c>
      <c r="F617" s="6">
        <v>24739.83</v>
      </c>
      <c r="G617" s="2">
        <v>12</v>
      </c>
      <c r="H617" s="61">
        <v>7.61</v>
      </c>
      <c r="I617" s="61">
        <v>8.15</v>
      </c>
      <c r="J617" s="47">
        <f t="shared" si="45"/>
        <v>-0.36583333333333329</v>
      </c>
      <c r="K617" s="47">
        <f t="shared" si="46"/>
        <v>7.0959264126149807E-2</v>
      </c>
      <c r="L617" s="8">
        <v>9.41</v>
      </c>
      <c r="M617" s="8">
        <v>25.63</v>
      </c>
      <c r="N617" s="8">
        <v>24.81</v>
      </c>
      <c r="O617" s="17">
        <f t="shared" si="47"/>
        <v>-0.70059225512528478</v>
      </c>
      <c r="P617" s="17">
        <f t="shared" si="48"/>
        <v>3.496372222222222</v>
      </c>
      <c r="Q617" s="17">
        <v>21.49</v>
      </c>
      <c r="R617" s="9">
        <v>20220720</v>
      </c>
      <c r="S617" s="9">
        <v>26.93</v>
      </c>
      <c r="T617" s="9">
        <v>9.5500000000000007</v>
      </c>
      <c r="U617" s="9">
        <v>5248.2587800000001</v>
      </c>
      <c r="V617" s="45">
        <f t="shared" si="49"/>
        <v>-0.99818034887372675</v>
      </c>
      <c r="W617" s="12">
        <v>3.26</v>
      </c>
      <c r="X617" s="12">
        <v>0.77</v>
      </c>
      <c r="Y617" s="62">
        <v>1.73</v>
      </c>
    </row>
    <row r="618" spans="1:25" x14ac:dyDescent="0.2">
      <c r="A618" s="3" t="s">
        <v>2930</v>
      </c>
      <c r="B618" s="3" t="s">
        <v>2931</v>
      </c>
      <c r="C618" s="6" t="s">
        <v>356</v>
      </c>
      <c r="D618" s="6" t="s">
        <v>246</v>
      </c>
      <c r="E618" s="6" t="s">
        <v>250</v>
      </c>
      <c r="F618" s="6">
        <v>7531.01</v>
      </c>
      <c r="G618" s="2">
        <v>12</v>
      </c>
      <c r="H618" s="61"/>
      <c r="I618" s="61"/>
      <c r="J618" s="47">
        <f t="shared" si="45"/>
        <v>-1</v>
      </c>
      <c r="K618" s="47" t="e">
        <f t="shared" si="46"/>
        <v>#DIV/0!</v>
      </c>
      <c r="M618" s="8">
        <v>16.48</v>
      </c>
      <c r="O618" s="17">
        <f t="shared" si="47"/>
        <v>-0.1648</v>
      </c>
      <c r="P618" s="17" t="e">
        <f t="shared" si="48"/>
        <v>#DIV/0!</v>
      </c>
      <c r="Q618" s="17"/>
      <c r="R618" s="9">
        <v>20220531</v>
      </c>
      <c r="V618" s="45" t="e">
        <f t="shared" si="49"/>
        <v>#DIV/0!</v>
      </c>
      <c r="X618" s="12">
        <v>4.53</v>
      </c>
      <c r="Y618" s="62"/>
    </row>
    <row r="619" spans="1:25" x14ac:dyDescent="0.2">
      <c r="A619" s="3" t="s">
        <v>2932</v>
      </c>
      <c r="B619" s="3" t="s">
        <v>839</v>
      </c>
      <c r="C619" s="6" t="s">
        <v>354</v>
      </c>
      <c r="D619" s="6" t="s">
        <v>215</v>
      </c>
      <c r="E619" s="6" t="s">
        <v>163</v>
      </c>
      <c r="F619" s="6">
        <v>6590.92</v>
      </c>
      <c r="G619" s="2">
        <v>12</v>
      </c>
      <c r="H619" s="61">
        <v>6.05</v>
      </c>
      <c r="I619" s="61">
        <v>6.72</v>
      </c>
      <c r="J619" s="47">
        <f t="shared" si="45"/>
        <v>-0.49583333333333335</v>
      </c>
      <c r="K619" s="47">
        <f t="shared" si="46"/>
        <v>0.11074380165289255</v>
      </c>
      <c r="L619" s="8">
        <v>7.3</v>
      </c>
      <c r="M619" s="8">
        <v>25.02</v>
      </c>
      <c r="N619" s="8">
        <v>23.52</v>
      </c>
      <c r="O619" s="17">
        <f t="shared" si="47"/>
        <v>-0.50460504201680667</v>
      </c>
      <c r="P619" s="17">
        <f t="shared" si="48"/>
        <v>2.1238208955223881</v>
      </c>
      <c r="Q619" s="17">
        <v>21.65</v>
      </c>
      <c r="R619" s="9">
        <v>20220726</v>
      </c>
      <c r="S619" s="9">
        <v>12.84</v>
      </c>
      <c r="T619" s="9">
        <v>10.29</v>
      </c>
      <c r="U619" s="9">
        <v>462.69299000000001</v>
      </c>
      <c r="V619" s="45">
        <f t="shared" si="49"/>
        <v>-0.97776063129895263</v>
      </c>
      <c r="W619" s="12">
        <v>3.7</v>
      </c>
      <c r="X619" s="12">
        <v>2.78</v>
      </c>
      <c r="Y619" s="62">
        <v>3.1</v>
      </c>
    </row>
    <row r="620" spans="1:25" x14ac:dyDescent="0.2">
      <c r="A620" s="3" t="s">
        <v>2933</v>
      </c>
      <c r="B620" s="3" t="s">
        <v>840</v>
      </c>
      <c r="C620" s="6" t="s">
        <v>354</v>
      </c>
      <c r="D620" s="6" t="s">
        <v>192</v>
      </c>
      <c r="E620" s="6" t="s">
        <v>208</v>
      </c>
      <c r="F620" s="6">
        <v>6387.37</v>
      </c>
      <c r="G620" s="2">
        <v>12</v>
      </c>
      <c r="H620" s="61">
        <v>4.3099999999999996</v>
      </c>
      <c r="I620" s="61">
        <v>4.1100000000000003</v>
      </c>
      <c r="J620" s="47">
        <f t="shared" si="45"/>
        <v>-0.64083333333333337</v>
      </c>
      <c r="K620" s="47">
        <f t="shared" si="46"/>
        <v>-4.6403712296983597E-2</v>
      </c>
      <c r="L620" s="8">
        <v>4.53</v>
      </c>
      <c r="M620" s="8">
        <v>15.46</v>
      </c>
      <c r="N620" s="8">
        <v>15.56</v>
      </c>
      <c r="O620" s="17">
        <f t="shared" si="47"/>
        <v>-0.24124837451235367</v>
      </c>
      <c r="P620" s="17">
        <f t="shared" si="48"/>
        <v>-3.3531800000000116</v>
      </c>
      <c r="Q620" s="17">
        <v>14.13</v>
      </c>
      <c r="R620" s="9">
        <v>20220726</v>
      </c>
      <c r="S620" s="9">
        <v>17.989999999999998</v>
      </c>
      <c r="T620" s="9">
        <v>6.15</v>
      </c>
      <c r="U620" s="9">
        <v>5456.0781200000001</v>
      </c>
      <c r="V620" s="45">
        <f t="shared" si="49"/>
        <v>-0.99887281672572537</v>
      </c>
      <c r="W620" s="12">
        <v>4.3</v>
      </c>
      <c r="X620" s="12">
        <v>1.75</v>
      </c>
      <c r="Y620" s="62">
        <v>2.12</v>
      </c>
    </row>
    <row r="621" spans="1:25" x14ac:dyDescent="0.2">
      <c r="A621" s="3" t="s">
        <v>841</v>
      </c>
      <c r="B621" s="3" t="s">
        <v>842</v>
      </c>
      <c r="C621" s="6" t="s">
        <v>354</v>
      </c>
      <c r="D621" s="6" t="s">
        <v>246</v>
      </c>
      <c r="E621" s="6" t="s">
        <v>250</v>
      </c>
      <c r="F621" s="6">
        <v>26286.36</v>
      </c>
      <c r="G621" s="2">
        <v>12</v>
      </c>
      <c r="H621" s="61">
        <v>4.4800000000000004</v>
      </c>
      <c r="I621" s="61">
        <v>4.45</v>
      </c>
      <c r="J621" s="47">
        <f t="shared" si="45"/>
        <v>-0.62666666666666659</v>
      </c>
      <c r="K621" s="47">
        <f t="shared" si="46"/>
        <v>-6.6964285714286266E-3</v>
      </c>
      <c r="L621" s="8">
        <v>4.75</v>
      </c>
      <c r="M621" s="8">
        <v>14.2</v>
      </c>
      <c r="N621" s="8">
        <v>15.51</v>
      </c>
      <c r="O621" s="17">
        <f t="shared" si="47"/>
        <v>-0.22659574468085109</v>
      </c>
      <c r="P621" s="17">
        <f t="shared" si="48"/>
        <v>-23.161599999999808</v>
      </c>
      <c r="Q621" s="17">
        <v>14.54</v>
      </c>
      <c r="R621" s="9">
        <v>20220804</v>
      </c>
      <c r="S621" s="9">
        <v>12.27</v>
      </c>
      <c r="T621" s="9">
        <v>4.6399999999999997</v>
      </c>
      <c r="U621" s="9">
        <v>15246.29687</v>
      </c>
      <c r="V621" s="45">
        <f t="shared" si="49"/>
        <v>-0.99969566380350827</v>
      </c>
      <c r="W621" s="12">
        <v>44.59</v>
      </c>
      <c r="X621" s="12">
        <v>4.0599999999999996</v>
      </c>
      <c r="Y621" s="62">
        <v>3.98</v>
      </c>
    </row>
    <row r="622" spans="1:25" x14ac:dyDescent="0.2">
      <c r="A622" s="3" t="s">
        <v>2934</v>
      </c>
      <c r="B622" s="3" t="s">
        <v>843</v>
      </c>
      <c r="C622" s="6" t="s">
        <v>354</v>
      </c>
      <c r="D622" s="6" t="s">
        <v>700</v>
      </c>
      <c r="E622" s="6" t="s">
        <v>154</v>
      </c>
      <c r="F622" s="6">
        <v>85906.27</v>
      </c>
      <c r="G622" s="2">
        <v>6</v>
      </c>
      <c r="H622" s="61">
        <v>6.19</v>
      </c>
      <c r="I622" s="61">
        <v>7.15</v>
      </c>
      <c r="J622" s="47">
        <f t="shared" si="45"/>
        <v>3.1666666666666732E-2</v>
      </c>
      <c r="K622" s="47">
        <f t="shared" si="46"/>
        <v>0.15508885298869143</v>
      </c>
      <c r="L622" s="8">
        <v>8.02</v>
      </c>
      <c r="M622" s="8">
        <v>31.72</v>
      </c>
      <c r="N622" s="8">
        <v>33.630000000000003</v>
      </c>
      <c r="O622" s="17">
        <f t="shared" si="47"/>
        <v>10.016842105263137</v>
      </c>
      <c r="P622" s="17">
        <f t="shared" si="48"/>
        <v>2.1684343750000004</v>
      </c>
      <c r="Q622" s="17">
        <v>29.97</v>
      </c>
      <c r="R622" s="9">
        <v>20220818</v>
      </c>
      <c r="S622" s="9">
        <v>45.06</v>
      </c>
      <c r="T622" s="9">
        <v>6.92</v>
      </c>
      <c r="U622" s="9">
        <v>17657.140619999998</v>
      </c>
      <c r="V622" s="45">
        <f t="shared" si="49"/>
        <v>-0.99960809056523225</v>
      </c>
      <c r="W622" s="12">
        <v>14.46</v>
      </c>
      <c r="X622" s="12">
        <v>1</v>
      </c>
      <c r="Y622" s="62">
        <v>3.11</v>
      </c>
    </row>
    <row r="623" spans="1:25" x14ac:dyDescent="0.2">
      <c r="A623" s="3" t="s">
        <v>2935</v>
      </c>
      <c r="B623" s="3" t="s">
        <v>844</v>
      </c>
      <c r="C623" s="6" t="s">
        <v>354</v>
      </c>
      <c r="D623" s="6" t="s">
        <v>192</v>
      </c>
      <c r="E623" s="6" t="s">
        <v>208</v>
      </c>
      <c r="F623" s="6">
        <v>11245.56</v>
      </c>
      <c r="G623" s="2">
        <v>12</v>
      </c>
      <c r="H623" s="61">
        <v>1.01</v>
      </c>
      <c r="I623" s="61">
        <v>1.17</v>
      </c>
      <c r="J623" s="47">
        <f t="shared" si="45"/>
        <v>-0.91583333333333339</v>
      </c>
      <c r="K623" s="47">
        <f t="shared" si="46"/>
        <v>0.15841584158415833</v>
      </c>
      <c r="L623" s="8">
        <v>1.47</v>
      </c>
      <c r="M623" s="8">
        <v>22.81</v>
      </c>
      <c r="N623" s="8">
        <v>20.3</v>
      </c>
      <c r="O623" s="17">
        <f t="shared" si="47"/>
        <v>-0.24906278434940851</v>
      </c>
      <c r="P623" s="17">
        <f t="shared" si="48"/>
        <v>1.2814375000000007</v>
      </c>
      <c r="Q623" s="17">
        <v>16.100000000000001</v>
      </c>
      <c r="R623" s="9">
        <v>20220808</v>
      </c>
      <c r="S623" s="9">
        <v>6.61</v>
      </c>
      <c r="T623" s="9">
        <v>17.88</v>
      </c>
      <c r="U623" s="9">
        <v>4713.1581999999999</v>
      </c>
      <c r="V623" s="45">
        <f t="shared" si="49"/>
        <v>-0.9962063654048362</v>
      </c>
      <c r="W623" s="12">
        <v>2.86</v>
      </c>
      <c r="X623" s="12">
        <v>0</v>
      </c>
      <c r="Y623" s="62">
        <v>1.1599999999999999</v>
      </c>
    </row>
    <row r="624" spans="1:25" x14ac:dyDescent="0.2">
      <c r="A624" s="3" t="s">
        <v>2936</v>
      </c>
      <c r="B624" s="3" t="s">
        <v>2937</v>
      </c>
      <c r="C624" s="6" t="s">
        <v>354</v>
      </c>
      <c r="D624" s="6" t="s">
        <v>246</v>
      </c>
      <c r="E624" s="6" t="s">
        <v>250</v>
      </c>
      <c r="F624" s="6">
        <v>4285.4399999999996</v>
      </c>
      <c r="G624" s="2">
        <v>12</v>
      </c>
      <c r="H624" s="61">
        <v>1.56</v>
      </c>
      <c r="I624" s="61">
        <v>0.65</v>
      </c>
      <c r="J624" s="47">
        <f t="shared" si="45"/>
        <v>-0.87</v>
      </c>
      <c r="K624" s="47">
        <f t="shared" si="46"/>
        <v>-0.58333333333333337</v>
      </c>
      <c r="M624" s="8">
        <v>32.630000000000003</v>
      </c>
      <c r="N624" s="8">
        <v>12.05</v>
      </c>
      <c r="O624" s="17">
        <f t="shared" si="47"/>
        <v>-0.37505747126436784</v>
      </c>
      <c r="P624" s="17">
        <f t="shared" si="48"/>
        <v>-0.20657142857142857</v>
      </c>
      <c r="Q624" s="17"/>
      <c r="R624" s="9">
        <v>20220810</v>
      </c>
      <c r="S624" s="9">
        <v>16.850000000000001</v>
      </c>
      <c r="T624" s="9">
        <v>1.65</v>
      </c>
      <c r="V624" s="45" t="e">
        <f t="shared" si="49"/>
        <v>#DIV/0!</v>
      </c>
      <c r="X624" s="12">
        <v>12.71</v>
      </c>
      <c r="Y624" s="62"/>
    </row>
    <row r="625" spans="1:25" x14ac:dyDescent="0.2">
      <c r="A625" s="3" t="s">
        <v>2938</v>
      </c>
      <c r="B625" s="3" t="s">
        <v>845</v>
      </c>
      <c r="C625" s="6" t="s">
        <v>354</v>
      </c>
      <c r="D625" s="6" t="s">
        <v>216</v>
      </c>
      <c r="E625" s="6" t="s">
        <v>163</v>
      </c>
      <c r="F625" s="6">
        <v>14053.17</v>
      </c>
      <c r="G625" s="2">
        <v>12</v>
      </c>
      <c r="H625" s="61">
        <v>2.5099999999999998</v>
      </c>
      <c r="I625" s="61">
        <v>2.76</v>
      </c>
      <c r="J625" s="47">
        <f t="shared" si="45"/>
        <v>-0.79083333333333339</v>
      </c>
      <c r="K625" s="47">
        <f t="shared" si="46"/>
        <v>9.9601593625498017E-2</v>
      </c>
      <c r="L625" s="8">
        <v>2.98</v>
      </c>
      <c r="M625" s="8">
        <v>28.84</v>
      </c>
      <c r="N625" s="8">
        <v>27.37</v>
      </c>
      <c r="O625" s="17">
        <f t="shared" si="47"/>
        <v>-0.36467860906217064</v>
      </c>
      <c r="P625" s="17">
        <f t="shared" si="48"/>
        <v>2.7479480000000001</v>
      </c>
      <c r="Q625" s="17">
        <v>25.35</v>
      </c>
      <c r="R625" s="9">
        <v>20220718</v>
      </c>
      <c r="S625" s="9">
        <v>19.91</v>
      </c>
      <c r="T625" s="9">
        <v>7.5</v>
      </c>
      <c r="U625" s="9">
        <v>1427.06005</v>
      </c>
      <c r="V625" s="45">
        <f t="shared" si="49"/>
        <v>-0.99474443980125438</v>
      </c>
      <c r="W625" s="12">
        <v>2.86</v>
      </c>
      <c r="X625" s="12">
        <v>2.17</v>
      </c>
      <c r="Y625" s="62">
        <v>5.43</v>
      </c>
    </row>
    <row r="626" spans="1:25" x14ac:dyDescent="0.2">
      <c r="A626" s="3" t="s">
        <v>2939</v>
      </c>
      <c r="B626" s="3" t="s">
        <v>846</v>
      </c>
      <c r="C626" s="6" t="s">
        <v>356</v>
      </c>
      <c r="D626" s="6" t="s">
        <v>161</v>
      </c>
      <c r="E626" s="6" t="s">
        <v>146</v>
      </c>
      <c r="F626" s="6">
        <v>4609.71</v>
      </c>
      <c r="G626" s="2">
        <v>12</v>
      </c>
      <c r="H626" s="61">
        <v>3.84</v>
      </c>
      <c r="I626" s="61">
        <v>2.2599999999999998</v>
      </c>
      <c r="J626" s="47">
        <f t="shared" si="45"/>
        <v>-0.68</v>
      </c>
      <c r="K626" s="47">
        <f t="shared" si="46"/>
        <v>-0.41145833333333337</v>
      </c>
      <c r="L626" s="8">
        <v>3.13</v>
      </c>
      <c r="M626" s="8">
        <v>9.2100000000000009</v>
      </c>
      <c r="N626" s="8">
        <v>13.23</v>
      </c>
      <c r="O626" s="17">
        <f t="shared" si="47"/>
        <v>-0.13544117647058826</v>
      </c>
      <c r="P626" s="17">
        <f t="shared" si="48"/>
        <v>-0.32153924050632909</v>
      </c>
      <c r="Q626" s="17">
        <v>9.5299999999999994</v>
      </c>
      <c r="R626" s="9">
        <v>20220719</v>
      </c>
      <c r="S626" s="9">
        <v>21.5</v>
      </c>
      <c r="T626" s="9">
        <v>-0.75</v>
      </c>
      <c r="U626" s="9">
        <v>13934.839840000001</v>
      </c>
      <c r="V626" s="45">
        <f t="shared" si="49"/>
        <v>-1.0000538219318349</v>
      </c>
      <c r="W626" s="12">
        <v>80</v>
      </c>
      <c r="X626" s="12">
        <v>5.36</v>
      </c>
      <c r="Y626" s="62">
        <v>7.69</v>
      </c>
    </row>
    <row r="627" spans="1:25" x14ac:dyDescent="0.2">
      <c r="A627" s="3" t="s">
        <v>2940</v>
      </c>
      <c r="B627" s="3" t="s">
        <v>1961</v>
      </c>
      <c r="C627" s="6" t="s">
        <v>354</v>
      </c>
      <c r="D627" s="6" t="s">
        <v>180</v>
      </c>
      <c r="E627" s="6" t="s">
        <v>146</v>
      </c>
      <c r="F627" s="6">
        <v>3869.37</v>
      </c>
      <c r="G627" s="2">
        <v>12</v>
      </c>
      <c r="H627" s="61">
        <v>0.69</v>
      </c>
      <c r="I627" s="61">
        <v>0.77</v>
      </c>
      <c r="J627" s="47">
        <f t="shared" si="45"/>
        <v>-0.9425</v>
      </c>
      <c r="K627" s="47">
        <f t="shared" si="46"/>
        <v>0.11594202898550736</v>
      </c>
      <c r="L627" s="8">
        <v>0.92</v>
      </c>
      <c r="M627" s="8">
        <v>31.27</v>
      </c>
      <c r="N627" s="8">
        <v>27.21</v>
      </c>
      <c r="O627" s="17">
        <f t="shared" si="47"/>
        <v>-0.33177718832891245</v>
      </c>
      <c r="P627" s="17">
        <f t="shared" si="48"/>
        <v>2.3468624999999981</v>
      </c>
      <c r="Q627" s="17">
        <v>22.85</v>
      </c>
      <c r="R627" s="9">
        <v>20220808</v>
      </c>
      <c r="S627" s="9">
        <v>3.56</v>
      </c>
      <c r="T627" s="9">
        <v>25.97</v>
      </c>
      <c r="U627" s="9">
        <v>3951.29711</v>
      </c>
      <c r="V627" s="45">
        <f t="shared" si="49"/>
        <v>-0.99342747475651105</v>
      </c>
      <c r="W627" s="12">
        <v>50</v>
      </c>
      <c r="X627" s="12">
        <v>0</v>
      </c>
      <c r="Y627" s="62">
        <v>1.37</v>
      </c>
    </row>
    <row r="628" spans="1:25" x14ac:dyDescent="0.2">
      <c r="B628" s="3" t="s">
        <v>2123</v>
      </c>
      <c r="C628" s="6" t="s">
        <v>355</v>
      </c>
      <c r="D628" s="6" t="s">
        <v>519</v>
      </c>
      <c r="E628" s="6" t="s">
        <v>163</v>
      </c>
      <c r="F628" s="6">
        <v>15118.21</v>
      </c>
      <c r="G628" s="2">
        <v>12</v>
      </c>
      <c r="H628" s="61"/>
      <c r="I628" s="61"/>
      <c r="J628" s="47">
        <f t="shared" si="45"/>
        <v>-1</v>
      </c>
      <c r="K628" s="47" t="e">
        <f t="shared" si="46"/>
        <v>#DIV/0!</v>
      </c>
      <c r="O628" s="17">
        <f t="shared" si="47"/>
        <v>0</v>
      </c>
      <c r="P628" s="17" t="e">
        <f t="shared" si="48"/>
        <v>#DIV/0!</v>
      </c>
      <c r="Q628" s="17"/>
      <c r="V628" s="45" t="e">
        <f t="shared" si="49"/>
        <v>#DIV/0!</v>
      </c>
      <c r="X628" s="12">
        <v>4.71</v>
      </c>
      <c r="Y628" s="62"/>
    </row>
    <row r="629" spans="1:25" x14ac:dyDescent="0.2">
      <c r="A629" s="3" t="s">
        <v>2941</v>
      </c>
      <c r="B629" s="3" t="s">
        <v>847</v>
      </c>
      <c r="C629" s="6" t="s">
        <v>354</v>
      </c>
      <c r="D629" s="6" t="s">
        <v>525</v>
      </c>
      <c r="E629" s="6" t="s">
        <v>140</v>
      </c>
      <c r="F629" s="6">
        <v>5417.47</v>
      </c>
      <c r="G629" s="2">
        <v>12</v>
      </c>
      <c r="H629" s="61">
        <v>7.08</v>
      </c>
      <c r="I629" s="61">
        <v>7.59</v>
      </c>
      <c r="J629" s="47">
        <f t="shared" si="45"/>
        <v>-0.41</v>
      </c>
      <c r="K629" s="47">
        <f t="shared" si="46"/>
        <v>7.203389830508472E-2</v>
      </c>
      <c r="L629" s="8">
        <v>8.65</v>
      </c>
      <c r="M629" s="8">
        <v>15.33</v>
      </c>
      <c r="N629" s="8">
        <v>13.97</v>
      </c>
      <c r="O629" s="17">
        <f t="shared" si="47"/>
        <v>-0.37390243902439024</v>
      </c>
      <c r="P629" s="17">
        <f t="shared" si="48"/>
        <v>1.9393647058823535</v>
      </c>
      <c r="Q629" s="17">
        <v>12.24</v>
      </c>
      <c r="R629" s="9">
        <v>20220804</v>
      </c>
      <c r="S629" s="9">
        <v>17.260000000000002</v>
      </c>
      <c r="T629" s="9">
        <v>5.89</v>
      </c>
      <c r="U629" s="9">
        <v>10717.8496</v>
      </c>
      <c r="V629" s="45">
        <f t="shared" si="49"/>
        <v>-0.99945044946329542</v>
      </c>
      <c r="W629" s="12">
        <v>-14.2</v>
      </c>
      <c r="X629" s="12">
        <v>0.49</v>
      </c>
      <c r="Y629" s="62"/>
    </row>
    <row r="630" spans="1:25" x14ac:dyDescent="0.2">
      <c r="A630" s="3" t="s">
        <v>2942</v>
      </c>
      <c r="B630" s="3" t="s">
        <v>848</v>
      </c>
      <c r="C630" s="6" t="s">
        <v>354</v>
      </c>
      <c r="D630" s="6" t="s">
        <v>126</v>
      </c>
      <c r="E630" s="6" t="s">
        <v>60</v>
      </c>
      <c r="F630" s="6">
        <v>13915.43</v>
      </c>
      <c r="G630" s="2">
        <v>12</v>
      </c>
      <c r="H630" s="61">
        <v>8.9600000000000009</v>
      </c>
      <c r="I630" s="61">
        <v>9.8000000000000007</v>
      </c>
      <c r="J630" s="47">
        <f t="shared" si="45"/>
        <v>-0.25333333333333324</v>
      </c>
      <c r="K630" s="47">
        <f t="shared" si="46"/>
        <v>9.3749999999999972E-2</v>
      </c>
      <c r="L630" s="8">
        <v>10.71</v>
      </c>
      <c r="M630" s="8">
        <v>12.28</v>
      </c>
      <c r="N630" s="8">
        <v>11.02</v>
      </c>
      <c r="O630" s="17">
        <f t="shared" si="47"/>
        <v>-0.4847368421052633</v>
      </c>
      <c r="P630" s="17">
        <f t="shared" si="48"/>
        <v>1.1754666666666671</v>
      </c>
      <c r="Q630" s="17">
        <v>10.08</v>
      </c>
      <c r="R630" s="9">
        <v>20220801</v>
      </c>
      <c r="S630" s="9">
        <v>19.82</v>
      </c>
      <c r="T630" s="9">
        <v>-0.14000000000000001</v>
      </c>
      <c r="U630" s="9">
        <v>10794.228510000001</v>
      </c>
      <c r="V630" s="45">
        <f t="shared" si="49"/>
        <v>-1.0000129698940383</v>
      </c>
      <c r="W630" s="12">
        <v>-0.48</v>
      </c>
      <c r="X630" s="12">
        <v>2.82</v>
      </c>
      <c r="Y630" s="62">
        <v>1.17</v>
      </c>
    </row>
    <row r="631" spans="1:25" x14ac:dyDescent="0.2">
      <c r="A631" s="3" t="s">
        <v>849</v>
      </c>
      <c r="B631" s="3" t="s">
        <v>850</v>
      </c>
      <c r="C631" s="6" t="s">
        <v>354</v>
      </c>
      <c r="D631" s="6" t="s">
        <v>181</v>
      </c>
      <c r="E631" s="6" t="s">
        <v>201</v>
      </c>
      <c r="F631" s="6">
        <v>51440.4</v>
      </c>
      <c r="G631" s="2">
        <v>9</v>
      </c>
      <c r="H631" s="61">
        <v>4.08</v>
      </c>
      <c r="I631" s="61">
        <v>5.0599999999999996</v>
      </c>
      <c r="J631" s="47">
        <f t="shared" si="45"/>
        <v>-0.54666666666666663</v>
      </c>
      <c r="K631" s="47">
        <f t="shared" si="46"/>
        <v>0.24019607843137245</v>
      </c>
      <c r="L631" s="8">
        <v>5.42</v>
      </c>
      <c r="M631" s="8">
        <v>18.66</v>
      </c>
      <c r="N631" s="8">
        <v>17.13</v>
      </c>
      <c r="O631" s="17">
        <f t="shared" si="47"/>
        <v>-0.34134146341463417</v>
      </c>
      <c r="P631" s="17">
        <f t="shared" si="48"/>
        <v>0.71316734693877581</v>
      </c>
      <c r="Q631" s="17">
        <v>15.97</v>
      </c>
      <c r="R631" s="9">
        <v>20220803</v>
      </c>
      <c r="S631" s="9">
        <v>27.72</v>
      </c>
      <c r="T631" s="9">
        <v>2.5099999999999998</v>
      </c>
      <c r="U631" s="9">
        <v>19776.828119999998</v>
      </c>
      <c r="V631" s="45">
        <f t="shared" si="49"/>
        <v>-0.99987308379358064</v>
      </c>
      <c r="W631" s="12">
        <v>9.32</v>
      </c>
      <c r="X631" s="12">
        <v>2.38</v>
      </c>
      <c r="Y631" s="62">
        <v>1.95</v>
      </c>
    </row>
    <row r="632" spans="1:25" x14ac:dyDescent="0.2">
      <c r="A632" s="3" t="s">
        <v>2943</v>
      </c>
      <c r="B632" s="3" t="s">
        <v>851</v>
      </c>
      <c r="C632" s="6" t="s">
        <v>354</v>
      </c>
      <c r="D632" s="6" t="s">
        <v>206</v>
      </c>
      <c r="E632" s="6" t="s">
        <v>218</v>
      </c>
      <c r="F632" s="6">
        <v>92909.63</v>
      </c>
      <c r="G632" s="2">
        <v>12</v>
      </c>
      <c r="H632" s="61">
        <v>2.2200000000000002</v>
      </c>
      <c r="I632" s="61">
        <v>2.38</v>
      </c>
      <c r="J632" s="47">
        <f t="shared" si="45"/>
        <v>-0.81499999999999995</v>
      </c>
      <c r="K632" s="47">
        <f t="shared" si="46"/>
        <v>7.2072072072071933E-2</v>
      </c>
      <c r="L632" s="8">
        <v>2.5099999999999998</v>
      </c>
      <c r="M632" s="8">
        <v>20.65</v>
      </c>
      <c r="N632" s="8">
        <v>19.28</v>
      </c>
      <c r="O632" s="17">
        <f t="shared" si="47"/>
        <v>-0.25337423312883434</v>
      </c>
      <c r="P632" s="17">
        <f t="shared" si="48"/>
        <v>2.6751000000000054</v>
      </c>
      <c r="Q632" s="17">
        <v>18.28</v>
      </c>
      <c r="R632" s="9">
        <v>20220729</v>
      </c>
      <c r="S632" s="9">
        <v>10.4</v>
      </c>
      <c r="T632" s="9">
        <v>-1.1499999999999999</v>
      </c>
      <c r="U632" s="9">
        <v>69097.023430000001</v>
      </c>
      <c r="V632" s="45">
        <f t="shared" si="49"/>
        <v>-1.0000166432639628</v>
      </c>
      <c r="W632" s="12">
        <v>-1.49</v>
      </c>
      <c r="X632" s="12">
        <v>5.79</v>
      </c>
      <c r="Y632" s="62">
        <v>3.21</v>
      </c>
    </row>
    <row r="633" spans="1:25" x14ac:dyDescent="0.2">
      <c r="A633" s="3" t="s">
        <v>2944</v>
      </c>
      <c r="B633" s="3" t="s">
        <v>2124</v>
      </c>
      <c r="C633" s="6" t="s">
        <v>356</v>
      </c>
      <c r="D633" s="6" t="s">
        <v>264</v>
      </c>
      <c r="E633" s="6" t="s">
        <v>250</v>
      </c>
      <c r="F633" s="6">
        <v>6177.73</v>
      </c>
      <c r="G633" s="2">
        <v>12</v>
      </c>
      <c r="H633" s="61"/>
      <c r="I633" s="61"/>
      <c r="J633" s="47">
        <f t="shared" si="45"/>
        <v>-1</v>
      </c>
      <c r="K633" s="47" t="e">
        <f t="shared" si="46"/>
        <v>#DIV/0!</v>
      </c>
      <c r="O633" s="17">
        <f t="shared" si="47"/>
        <v>0</v>
      </c>
      <c r="P633" s="17" t="e">
        <f t="shared" si="48"/>
        <v>#DIV/0!</v>
      </c>
      <c r="Q633" s="17"/>
      <c r="V633" s="45" t="e">
        <f t="shared" si="49"/>
        <v>#DIV/0!</v>
      </c>
      <c r="X633" s="12">
        <v>4.63</v>
      </c>
      <c r="Y633" s="62"/>
    </row>
    <row r="634" spans="1:25" x14ac:dyDescent="0.2">
      <c r="A634" s="3" t="s">
        <v>2945</v>
      </c>
      <c r="B634" s="3" t="s">
        <v>2125</v>
      </c>
      <c r="C634" s="6" t="s">
        <v>356</v>
      </c>
      <c r="D634" s="6" t="s">
        <v>246</v>
      </c>
      <c r="E634" s="6" t="s">
        <v>250</v>
      </c>
      <c r="F634" s="6">
        <v>33290.339999999997</v>
      </c>
      <c r="G634" s="2">
        <v>12</v>
      </c>
      <c r="H634" s="61"/>
      <c r="I634" s="61">
        <v>1.99</v>
      </c>
      <c r="J634" s="47">
        <f t="shared" si="45"/>
        <v>-1</v>
      </c>
      <c r="K634" s="47" t="e">
        <f t="shared" si="46"/>
        <v>#DIV/0!</v>
      </c>
      <c r="L634" s="8">
        <v>1.83</v>
      </c>
      <c r="N634" s="8">
        <v>6.87</v>
      </c>
      <c r="O634" s="17">
        <f t="shared" si="47"/>
        <v>0</v>
      </c>
      <c r="P634" s="17" t="e">
        <f t="shared" si="48"/>
        <v>#DIV/0!</v>
      </c>
      <c r="Q634" s="17">
        <v>7.47</v>
      </c>
      <c r="V634" s="45" t="e">
        <f t="shared" si="49"/>
        <v>#DIV/0!</v>
      </c>
      <c r="X634" s="12">
        <v>5.15</v>
      </c>
      <c r="Y634" s="62">
        <v>1.04</v>
      </c>
    </row>
    <row r="635" spans="1:25" x14ac:dyDescent="0.2">
      <c r="A635" s="3" t="s">
        <v>2946</v>
      </c>
      <c r="B635" s="3" t="s">
        <v>2126</v>
      </c>
      <c r="C635" s="6" t="s">
        <v>354</v>
      </c>
      <c r="D635" s="6" t="s">
        <v>306</v>
      </c>
      <c r="E635" s="6" t="s">
        <v>218</v>
      </c>
      <c r="F635" s="6">
        <v>8841.23</v>
      </c>
      <c r="G635" s="2">
        <v>12</v>
      </c>
      <c r="H635" s="61"/>
      <c r="I635" s="61"/>
      <c r="J635" s="47">
        <f t="shared" si="45"/>
        <v>-1</v>
      </c>
      <c r="K635" s="47" t="e">
        <f t="shared" si="46"/>
        <v>#DIV/0!</v>
      </c>
      <c r="M635" s="8">
        <v>13.51</v>
      </c>
      <c r="O635" s="17">
        <f t="shared" si="47"/>
        <v>-0.1351</v>
      </c>
      <c r="P635" s="17" t="e">
        <f t="shared" si="48"/>
        <v>#DIV/0!</v>
      </c>
      <c r="Q635" s="17"/>
      <c r="R635" s="9">
        <v>20220804</v>
      </c>
      <c r="S635" s="9">
        <v>6.15</v>
      </c>
      <c r="T635" s="9">
        <v>6.29</v>
      </c>
      <c r="V635" s="45" t="e">
        <f t="shared" si="49"/>
        <v>#DIV/0!</v>
      </c>
      <c r="X635" s="12">
        <v>1.72</v>
      </c>
      <c r="Y635" s="62"/>
    </row>
    <row r="636" spans="1:25" x14ac:dyDescent="0.2">
      <c r="A636" s="3" t="s">
        <v>2947</v>
      </c>
      <c r="B636" s="3" t="s">
        <v>2127</v>
      </c>
      <c r="C636" s="6" t="s">
        <v>356</v>
      </c>
      <c r="D636" s="6" t="s">
        <v>246</v>
      </c>
      <c r="E636" s="6" t="s">
        <v>250</v>
      </c>
      <c r="F636" s="6">
        <v>67049.25</v>
      </c>
      <c r="G636" s="2">
        <v>12</v>
      </c>
      <c r="H636" s="61"/>
      <c r="I636" s="61">
        <v>0.62</v>
      </c>
      <c r="J636" s="47">
        <f t="shared" si="45"/>
        <v>-1</v>
      </c>
      <c r="K636" s="47" t="e">
        <f t="shared" si="46"/>
        <v>#DIV/0!</v>
      </c>
      <c r="L636" s="8">
        <v>0.64</v>
      </c>
      <c r="M636" s="8">
        <v>23.55</v>
      </c>
      <c r="N636" s="8">
        <v>10.64</v>
      </c>
      <c r="O636" s="17">
        <f t="shared" si="47"/>
        <v>-0.23550000000000001</v>
      </c>
      <c r="P636" s="17" t="e">
        <f t="shared" si="48"/>
        <v>#DIV/0!</v>
      </c>
      <c r="Q636" s="17">
        <v>10.31</v>
      </c>
      <c r="R636" s="9">
        <v>20220602</v>
      </c>
      <c r="U636" s="9">
        <v>94274.25</v>
      </c>
      <c r="V636" s="45">
        <f t="shared" si="49"/>
        <v>-1</v>
      </c>
      <c r="X636" s="12">
        <v>3.59</v>
      </c>
      <c r="Y636" s="62">
        <v>1.62</v>
      </c>
    </row>
    <row r="637" spans="1:25" x14ac:dyDescent="0.2">
      <c r="A637" s="3" t="s">
        <v>2948</v>
      </c>
      <c r="B637" s="3" t="s">
        <v>2949</v>
      </c>
      <c r="C637" s="6" t="s">
        <v>354</v>
      </c>
      <c r="D637" s="6" t="s">
        <v>207</v>
      </c>
      <c r="E637" s="6" t="s">
        <v>218</v>
      </c>
      <c r="F637" s="6">
        <v>5309.52</v>
      </c>
      <c r="G637" s="2">
        <v>12</v>
      </c>
      <c r="H637" s="61">
        <v>-0.01</v>
      </c>
      <c r="I637" s="61">
        <v>0.28999999999999998</v>
      </c>
      <c r="J637" s="47">
        <f t="shared" si="45"/>
        <v>-1.0008333333333332</v>
      </c>
      <c r="K637" s="47">
        <f t="shared" si="46"/>
        <v>30</v>
      </c>
      <c r="L637" s="8">
        <v>0.49</v>
      </c>
      <c r="M637" s="8">
        <v>78.36</v>
      </c>
      <c r="N637" s="8">
        <v>38.159999999999997</v>
      </c>
      <c r="O637" s="17">
        <f t="shared" si="47"/>
        <v>-0.782947543713572</v>
      </c>
      <c r="P637" s="17">
        <f t="shared" si="48"/>
        <v>1.2719999999999999E-2</v>
      </c>
      <c r="Q637" s="17">
        <v>22.39</v>
      </c>
      <c r="R637" s="9">
        <v>20220802</v>
      </c>
      <c r="S637" s="9">
        <v>2.33</v>
      </c>
      <c r="T637" s="9">
        <v>-3.43</v>
      </c>
      <c r="U637" s="9">
        <v>7739.6152300000003</v>
      </c>
      <c r="V637" s="45">
        <f t="shared" si="49"/>
        <v>-1.00044317448582</v>
      </c>
      <c r="W637" s="12">
        <v>40</v>
      </c>
      <c r="X637" s="12">
        <v>4.0999999999999996</v>
      </c>
      <c r="Y637" s="62"/>
    </row>
    <row r="638" spans="1:25" x14ac:dyDescent="0.2">
      <c r="A638" s="3" t="s">
        <v>2950</v>
      </c>
      <c r="B638" s="3" t="s">
        <v>2951</v>
      </c>
      <c r="C638" s="6" t="s">
        <v>354</v>
      </c>
      <c r="D638" s="6" t="s">
        <v>194</v>
      </c>
      <c r="E638" s="6" t="s">
        <v>208</v>
      </c>
      <c r="F638" s="6">
        <v>3503.9</v>
      </c>
      <c r="G638" s="2">
        <v>12</v>
      </c>
      <c r="H638" s="61">
        <v>6.34</v>
      </c>
      <c r="I638" s="61">
        <v>4.78</v>
      </c>
      <c r="J638" s="47">
        <f t="shared" si="45"/>
        <v>-0.47166666666666668</v>
      </c>
      <c r="K638" s="47">
        <f t="shared" si="46"/>
        <v>-0.2460567823343848</v>
      </c>
      <c r="L638" s="8">
        <v>5.65</v>
      </c>
      <c r="M638" s="8">
        <v>11.91</v>
      </c>
      <c r="N638" s="8">
        <v>13.57</v>
      </c>
      <c r="O638" s="17">
        <f t="shared" si="47"/>
        <v>-0.25250883392226148</v>
      </c>
      <c r="P638" s="17">
        <f t="shared" si="48"/>
        <v>-0.55149871794871808</v>
      </c>
      <c r="Q638" s="17">
        <v>11.48</v>
      </c>
      <c r="R638" s="9">
        <v>20220727</v>
      </c>
      <c r="S638" s="9">
        <v>6.35</v>
      </c>
      <c r="T638" s="9">
        <v>-0.46</v>
      </c>
      <c r="U638" s="9">
        <v>1595.3000400000001</v>
      </c>
      <c r="V638" s="45">
        <f t="shared" si="49"/>
        <v>-1.0002883470121395</v>
      </c>
      <c r="W638" s="12">
        <v>8.82</v>
      </c>
      <c r="X638" s="12">
        <v>0</v>
      </c>
      <c r="Y638" s="62">
        <v>0.64</v>
      </c>
    </row>
    <row r="639" spans="1:25" x14ac:dyDescent="0.2">
      <c r="A639" s="3" t="s">
        <v>2952</v>
      </c>
      <c r="B639" s="3" t="s">
        <v>852</v>
      </c>
      <c r="C639" s="6" t="s">
        <v>355</v>
      </c>
      <c r="D639" s="6" t="s">
        <v>294</v>
      </c>
      <c r="E639" s="6" t="s">
        <v>218</v>
      </c>
      <c r="F639" s="6">
        <v>24140.35</v>
      </c>
      <c r="G639" s="2">
        <v>12</v>
      </c>
      <c r="H639" s="61">
        <v>2.27</v>
      </c>
      <c r="I639" s="61">
        <v>3.42</v>
      </c>
      <c r="J639" s="47">
        <f t="shared" si="45"/>
        <v>-0.81083333333333341</v>
      </c>
      <c r="K639" s="47">
        <f t="shared" si="46"/>
        <v>0.50660792951541844</v>
      </c>
      <c r="L639" s="8">
        <v>4.45</v>
      </c>
      <c r="M639" s="8">
        <v>67.98</v>
      </c>
      <c r="N639" s="8">
        <v>52.29</v>
      </c>
      <c r="O639" s="17">
        <f t="shared" si="47"/>
        <v>-0.8383967112024665</v>
      </c>
      <c r="P639" s="17">
        <f t="shared" si="48"/>
        <v>1.0321591304347828</v>
      </c>
      <c r="Q639" s="17">
        <v>40.15</v>
      </c>
      <c r="R639" s="9">
        <v>20220726</v>
      </c>
      <c r="S639" s="9">
        <v>45.3</v>
      </c>
      <c r="T639" s="9">
        <v>46.16</v>
      </c>
      <c r="U639" s="9">
        <v>2072.8168900000001</v>
      </c>
      <c r="V639" s="45">
        <f t="shared" si="49"/>
        <v>-0.9777307874020652</v>
      </c>
      <c r="W639" s="12">
        <v>13.24</v>
      </c>
      <c r="X639" s="12">
        <v>0</v>
      </c>
      <c r="Y639" s="62"/>
    </row>
    <row r="640" spans="1:25" x14ac:dyDescent="0.2">
      <c r="A640" s="3" t="s">
        <v>2953</v>
      </c>
      <c r="B640" s="3" t="s">
        <v>853</v>
      </c>
      <c r="C640" s="6" t="s">
        <v>355</v>
      </c>
      <c r="D640" s="6" t="s">
        <v>854</v>
      </c>
      <c r="E640" s="6" t="s">
        <v>208</v>
      </c>
      <c r="F640" s="6">
        <v>4471.45</v>
      </c>
      <c r="G640" s="2">
        <v>12</v>
      </c>
      <c r="H640" s="61">
        <v>3.63</v>
      </c>
      <c r="I640" s="61">
        <v>4.09</v>
      </c>
      <c r="J640" s="47">
        <f t="shared" si="45"/>
        <v>-0.69750000000000012</v>
      </c>
      <c r="K640" s="47">
        <f t="shared" si="46"/>
        <v>0.12672176308539945</v>
      </c>
      <c r="L640" s="8">
        <v>4.49</v>
      </c>
      <c r="M640" s="8">
        <v>21.44</v>
      </c>
      <c r="N640" s="8">
        <v>19.71</v>
      </c>
      <c r="O640" s="17">
        <f t="shared" si="47"/>
        <v>-0.30738351254480284</v>
      </c>
      <c r="P640" s="17">
        <f t="shared" si="48"/>
        <v>1.5553760869565216</v>
      </c>
      <c r="Q640" s="17">
        <v>17.96</v>
      </c>
      <c r="R640" s="9">
        <v>20220727</v>
      </c>
      <c r="S640" s="9">
        <v>19.850000000000001</v>
      </c>
      <c r="T640" s="9">
        <v>9.1</v>
      </c>
      <c r="U640" s="9">
        <v>2964.9360299999998</v>
      </c>
      <c r="V640" s="45">
        <f t="shared" si="49"/>
        <v>-0.996930793815474</v>
      </c>
      <c r="W640" s="12">
        <v>3.13</v>
      </c>
      <c r="X640" s="12">
        <v>0.27</v>
      </c>
      <c r="Y640" s="62">
        <v>1.31</v>
      </c>
    </row>
    <row r="641" spans="1:25" x14ac:dyDescent="0.2">
      <c r="A641" s="3" t="s">
        <v>2954</v>
      </c>
      <c r="B641" s="3" t="s">
        <v>855</v>
      </c>
      <c r="C641" s="6" t="s">
        <v>355</v>
      </c>
      <c r="D641" s="6" t="s">
        <v>527</v>
      </c>
      <c r="E641" s="6" t="s">
        <v>119</v>
      </c>
      <c r="F641" s="6">
        <v>14686.24</v>
      </c>
      <c r="G641" s="2">
        <v>12</v>
      </c>
      <c r="H641" s="61">
        <v>3.37</v>
      </c>
      <c r="I641" s="61">
        <v>4.32</v>
      </c>
      <c r="J641" s="47">
        <f t="shared" si="45"/>
        <v>-0.71916666666666662</v>
      </c>
      <c r="K641" s="47">
        <f t="shared" si="46"/>
        <v>0.28189910979228489</v>
      </c>
      <c r="L641" s="8">
        <v>4.8</v>
      </c>
      <c r="M641" s="8">
        <v>28.52</v>
      </c>
      <c r="N641" s="8">
        <v>25.04</v>
      </c>
      <c r="O641" s="17">
        <f t="shared" si="47"/>
        <v>-0.39657010428736966</v>
      </c>
      <c r="P641" s="17">
        <f t="shared" si="48"/>
        <v>0.88826105263157884</v>
      </c>
      <c r="Q641" s="17">
        <v>22.51</v>
      </c>
      <c r="R641" s="9">
        <v>20220726</v>
      </c>
      <c r="S641" s="9">
        <v>31.17</v>
      </c>
      <c r="T641" s="9">
        <v>13.29</v>
      </c>
      <c r="U641" s="9">
        <v>2712.2719699999998</v>
      </c>
      <c r="V641" s="45">
        <f t="shared" si="49"/>
        <v>-0.99510004890844339</v>
      </c>
      <c r="W641" s="12">
        <v>7.07</v>
      </c>
      <c r="X641" s="12">
        <v>0.37</v>
      </c>
      <c r="Y641" s="62"/>
    </row>
    <row r="642" spans="1:25" x14ac:dyDescent="0.2">
      <c r="A642" s="3" t="s">
        <v>2955</v>
      </c>
      <c r="B642" s="3" t="s">
        <v>856</v>
      </c>
      <c r="C642" s="6" t="s">
        <v>354</v>
      </c>
      <c r="D642" s="6" t="s">
        <v>153</v>
      </c>
      <c r="E642" s="6" t="s">
        <v>108</v>
      </c>
      <c r="F642" s="6">
        <v>3615.32</v>
      </c>
      <c r="G642" s="2">
        <v>12</v>
      </c>
      <c r="H642" s="61">
        <v>2.42</v>
      </c>
      <c r="I642" s="61">
        <v>2.19</v>
      </c>
      <c r="J642" s="47">
        <f t="shared" si="45"/>
        <v>-0.79833333333333334</v>
      </c>
      <c r="K642" s="47">
        <f t="shared" si="46"/>
        <v>-9.5041322314049576E-2</v>
      </c>
      <c r="L642" s="8">
        <v>2.79</v>
      </c>
      <c r="M642" s="8">
        <v>29.12</v>
      </c>
      <c r="N642" s="8">
        <v>29.91</v>
      </c>
      <c r="O642" s="17">
        <f t="shared" si="47"/>
        <v>-0.36475991649269313</v>
      </c>
      <c r="P642" s="17">
        <f t="shared" si="48"/>
        <v>-3.1470521739130439</v>
      </c>
      <c r="Q642" s="17">
        <v>23.45</v>
      </c>
      <c r="R642" s="9">
        <v>20220804</v>
      </c>
      <c r="S642" s="9">
        <v>8.83</v>
      </c>
      <c r="T642" s="9">
        <v>14</v>
      </c>
      <c r="U642" s="9">
        <v>1331.1639399999999</v>
      </c>
      <c r="V642" s="45">
        <f t="shared" si="49"/>
        <v>-0.98948288818580832</v>
      </c>
      <c r="W642" s="12">
        <v>4.4400000000000004</v>
      </c>
      <c r="X642" s="12">
        <v>0</v>
      </c>
      <c r="Y642" s="62"/>
    </row>
    <row r="643" spans="1:25" x14ac:dyDescent="0.2">
      <c r="A643" s="3" t="s">
        <v>2956</v>
      </c>
      <c r="B643" s="3" t="s">
        <v>857</v>
      </c>
      <c r="C643" s="6" t="s">
        <v>354</v>
      </c>
      <c r="D643" s="6" t="s">
        <v>200</v>
      </c>
      <c r="E643" s="6" t="s">
        <v>218</v>
      </c>
      <c r="F643" s="6">
        <v>78321.61</v>
      </c>
      <c r="G643" s="2">
        <v>12</v>
      </c>
      <c r="H643" s="61">
        <v>8.7200000000000006</v>
      </c>
      <c r="I643" s="61">
        <v>16.82</v>
      </c>
      <c r="J643" s="47">
        <f t="shared" ref="J643:J706" si="50">(H643-G643)/ABS(G643)</f>
        <v>-0.27333333333333326</v>
      </c>
      <c r="K643" s="47">
        <f t="shared" ref="K643:K706" si="51">(I643-H643)/ABS(H643)</f>
        <v>0.92889908256880727</v>
      </c>
      <c r="L643" s="8">
        <v>14.95</v>
      </c>
      <c r="M643" s="8">
        <v>12.18</v>
      </c>
      <c r="N643" s="8">
        <v>7.95</v>
      </c>
      <c r="O643" s="17">
        <f t="shared" ref="O643:O706" si="52">M643/(J643*100)</f>
        <v>-0.44560975609756109</v>
      </c>
      <c r="P643" s="17">
        <f t="shared" ref="P643:P706" si="53">N643/(K643*100)</f>
        <v>8.5585185185185195E-2</v>
      </c>
      <c r="Q643" s="17">
        <v>8.9499999999999993</v>
      </c>
      <c r="R643" s="9">
        <v>20220803</v>
      </c>
      <c r="S643" s="9">
        <v>29.77</v>
      </c>
      <c r="T643" s="9">
        <v>5.6</v>
      </c>
      <c r="U643" s="9">
        <v>25880.751950000002</v>
      </c>
      <c r="V643" s="45">
        <f t="shared" ref="V643:V706" si="54">(T643-U643)/U643</f>
        <v>-0.99978362297931611</v>
      </c>
      <c r="W643" s="12">
        <v>8.4</v>
      </c>
      <c r="X643" s="12">
        <v>2.2400000000000002</v>
      </c>
      <c r="Y643" s="62">
        <v>0.27</v>
      </c>
    </row>
    <row r="644" spans="1:25" x14ac:dyDescent="0.2">
      <c r="A644" s="3" t="s">
        <v>2957</v>
      </c>
      <c r="B644" s="3" t="s">
        <v>858</v>
      </c>
      <c r="C644" s="6" t="s">
        <v>356</v>
      </c>
      <c r="D644" s="6" t="s">
        <v>246</v>
      </c>
      <c r="E644" s="6" t="s">
        <v>250</v>
      </c>
      <c r="F644" s="6">
        <v>27587.7</v>
      </c>
      <c r="G644" s="2">
        <v>12</v>
      </c>
      <c r="H644" s="61">
        <v>1.04</v>
      </c>
      <c r="I644" s="61">
        <v>1</v>
      </c>
      <c r="J644" s="47">
        <f t="shared" si="50"/>
        <v>-0.91333333333333344</v>
      </c>
      <c r="K644" s="47">
        <f t="shared" si="51"/>
        <v>-3.8461538461538491E-2</v>
      </c>
      <c r="L644" s="8">
        <v>0.95</v>
      </c>
      <c r="M644" s="8">
        <v>10.16</v>
      </c>
      <c r="N644" s="8">
        <v>10.62</v>
      </c>
      <c r="O644" s="17">
        <f t="shared" si="52"/>
        <v>-0.11124087591240875</v>
      </c>
      <c r="P644" s="17">
        <f t="shared" si="53"/>
        <v>-2.7611999999999974</v>
      </c>
      <c r="Q644" s="17">
        <v>11.13</v>
      </c>
      <c r="R644" s="9">
        <v>20220810</v>
      </c>
      <c r="S644" s="9">
        <v>14.54</v>
      </c>
      <c r="T644" s="9">
        <v>27.32</v>
      </c>
      <c r="U644" s="9">
        <v>81826.898430000001</v>
      </c>
      <c r="V644" s="45">
        <f t="shared" si="54"/>
        <v>-0.9996661244587759</v>
      </c>
      <c r="X644" s="12">
        <v>3.59</v>
      </c>
      <c r="Y644" s="62">
        <v>1.28</v>
      </c>
    </row>
    <row r="645" spans="1:25" x14ac:dyDescent="0.2">
      <c r="A645" s="3" t="s">
        <v>2958</v>
      </c>
      <c r="B645" s="3" t="s">
        <v>859</v>
      </c>
      <c r="C645" s="6" t="s">
        <v>354</v>
      </c>
      <c r="D645" s="6" t="s">
        <v>134</v>
      </c>
      <c r="E645" s="6" t="s">
        <v>119</v>
      </c>
      <c r="F645" s="6">
        <v>18451.810000000001</v>
      </c>
      <c r="G645" s="2">
        <v>12</v>
      </c>
      <c r="H645" s="61">
        <v>8.7799999999999994</v>
      </c>
      <c r="I645" s="61">
        <v>8.65</v>
      </c>
      <c r="J645" s="47">
        <f t="shared" si="50"/>
        <v>-0.26833333333333337</v>
      </c>
      <c r="K645" s="47">
        <f t="shared" si="51"/>
        <v>-1.4806378132118339E-2</v>
      </c>
      <c r="L645" s="8">
        <v>12.48</v>
      </c>
      <c r="M645" s="8">
        <v>33.22</v>
      </c>
      <c r="N645" s="8">
        <v>37.31</v>
      </c>
      <c r="O645" s="17">
        <f t="shared" si="52"/>
        <v>-1.2380124223602482</v>
      </c>
      <c r="P645" s="17">
        <f t="shared" si="53"/>
        <v>-25.198600000000194</v>
      </c>
      <c r="Q645" s="17">
        <v>25.87</v>
      </c>
      <c r="R645" s="9">
        <v>20220804</v>
      </c>
      <c r="S645" s="9">
        <v>21.92</v>
      </c>
      <c r="T645" s="9">
        <v>25.19</v>
      </c>
      <c r="U645" s="9">
        <v>4802.8159100000003</v>
      </c>
      <c r="V645" s="45">
        <f t="shared" si="54"/>
        <v>-0.99475516020767085</v>
      </c>
      <c r="W645" s="12">
        <v>33.869999999999997</v>
      </c>
      <c r="X645" s="12">
        <v>0</v>
      </c>
      <c r="Y645" s="62">
        <v>2.17</v>
      </c>
    </row>
    <row r="646" spans="1:25" x14ac:dyDescent="0.2">
      <c r="A646" s="3" t="s">
        <v>2959</v>
      </c>
      <c r="B646" s="3" t="s">
        <v>860</v>
      </c>
      <c r="C646" s="6" t="s">
        <v>354</v>
      </c>
      <c r="D646" s="6" t="s">
        <v>861</v>
      </c>
      <c r="E646" s="6" t="s">
        <v>218</v>
      </c>
      <c r="F646" s="6">
        <v>59700.800000000003</v>
      </c>
      <c r="G646" s="2">
        <v>12</v>
      </c>
      <c r="H646" s="61">
        <v>2.17</v>
      </c>
      <c r="I646" s="61">
        <v>2.38</v>
      </c>
      <c r="J646" s="47">
        <f t="shared" si="50"/>
        <v>-0.81916666666666671</v>
      </c>
      <c r="K646" s="47">
        <f t="shared" si="51"/>
        <v>9.677419354838708E-2</v>
      </c>
      <c r="L646" s="8">
        <v>2.5</v>
      </c>
      <c r="M646" s="8">
        <v>12.73</v>
      </c>
      <c r="N646" s="8">
        <v>11.5</v>
      </c>
      <c r="O646" s="17">
        <f t="shared" si="52"/>
        <v>-0.15540183112919634</v>
      </c>
      <c r="P646" s="17">
        <f t="shared" si="53"/>
        <v>1.1883333333333335</v>
      </c>
      <c r="Q646" s="17">
        <v>10.95</v>
      </c>
      <c r="R646" s="9">
        <v>20220727</v>
      </c>
      <c r="S646" s="9">
        <v>18.079999999999998</v>
      </c>
      <c r="T646" s="9">
        <v>4.16</v>
      </c>
      <c r="U646" s="9">
        <v>48920.144529999998</v>
      </c>
      <c r="V646" s="45">
        <f t="shared" si="54"/>
        <v>-0.99991496345646624</v>
      </c>
      <c r="W646" s="12">
        <v>15.38</v>
      </c>
      <c r="X646" s="12">
        <v>6.79</v>
      </c>
      <c r="Y646" s="62"/>
    </row>
    <row r="647" spans="1:25" x14ac:dyDescent="0.2">
      <c r="A647" s="3" t="s">
        <v>1862</v>
      </c>
      <c r="B647" s="3" t="s">
        <v>1863</v>
      </c>
      <c r="C647" s="6" t="s">
        <v>354</v>
      </c>
      <c r="D647" s="6" t="s">
        <v>217</v>
      </c>
      <c r="E647" s="6" t="s">
        <v>163</v>
      </c>
      <c r="F647" s="6">
        <v>3755.23</v>
      </c>
      <c r="G647" s="2">
        <v>12</v>
      </c>
      <c r="H647" s="61">
        <v>3.14</v>
      </c>
      <c r="I647" s="61">
        <v>4.53</v>
      </c>
      <c r="J647" s="47">
        <f t="shared" si="50"/>
        <v>-0.73833333333333329</v>
      </c>
      <c r="K647" s="47">
        <f t="shared" si="51"/>
        <v>0.4426751592356688</v>
      </c>
      <c r="L647" s="8">
        <v>4.78</v>
      </c>
      <c r="M647" s="8">
        <v>12.84</v>
      </c>
      <c r="N647" s="8">
        <v>11.07</v>
      </c>
      <c r="O647" s="17">
        <f t="shared" si="52"/>
        <v>-0.17390519187358919</v>
      </c>
      <c r="P647" s="17">
        <f t="shared" si="53"/>
        <v>0.2500705035971223</v>
      </c>
      <c r="Q647" s="17">
        <v>10.47</v>
      </c>
      <c r="R647" s="9">
        <v>20220726</v>
      </c>
      <c r="S647" s="9">
        <v>5.23</v>
      </c>
      <c r="T647" s="9">
        <v>-6.28</v>
      </c>
      <c r="U647" s="9">
        <v>553.33299999999997</v>
      </c>
      <c r="V647" s="45">
        <f t="shared" si="54"/>
        <v>-1.0113494044273521</v>
      </c>
      <c r="W647" s="12">
        <v>8.41</v>
      </c>
      <c r="X647" s="12">
        <v>6.59</v>
      </c>
      <c r="Y647" s="62">
        <v>0.88</v>
      </c>
    </row>
    <row r="648" spans="1:25" x14ac:dyDescent="0.2">
      <c r="A648" s="3" t="s">
        <v>862</v>
      </c>
      <c r="B648" s="3" t="s">
        <v>863</v>
      </c>
      <c r="C648" s="6" t="s">
        <v>354</v>
      </c>
      <c r="D648" s="6" t="s">
        <v>215</v>
      </c>
      <c r="E648" s="6" t="s">
        <v>163</v>
      </c>
      <c r="F648" s="6">
        <v>3026.32</v>
      </c>
      <c r="G648" s="2">
        <v>12</v>
      </c>
      <c r="H648" s="61">
        <v>-7.0000000000000007E-2</v>
      </c>
      <c r="I648" s="61">
        <v>-0.02</v>
      </c>
      <c r="J648" s="47">
        <f t="shared" si="50"/>
        <v>-1.0058333333333334</v>
      </c>
      <c r="K648" s="47">
        <f t="shared" si="51"/>
        <v>0.7142857142857143</v>
      </c>
      <c r="L648" s="8">
        <v>-0.04</v>
      </c>
      <c r="M648" s="8">
        <v>1343</v>
      </c>
      <c r="O648" s="17">
        <f t="shared" si="52"/>
        <v>-13.352112676056336</v>
      </c>
      <c r="P648" s="17">
        <f t="shared" si="53"/>
        <v>0</v>
      </c>
      <c r="Q648" s="17"/>
      <c r="R648" s="9">
        <v>20220727</v>
      </c>
      <c r="S648" s="9">
        <v>-0.17</v>
      </c>
      <c r="T648" s="9">
        <v>-36.979999999999997</v>
      </c>
      <c r="V648" s="45" t="e">
        <f t="shared" si="54"/>
        <v>#DIV/0!</v>
      </c>
      <c r="W648" s="12">
        <v>-200</v>
      </c>
      <c r="X648" s="12">
        <v>0</v>
      </c>
      <c r="Y648" s="62"/>
    </row>
    <row r="649" spans="1:25" x14ac:dyDescent="0.2">
      <c r="A649" s="3" t="s">
        <v>2960</v>
      </c>
      <c r="B649" s="3" t="s">
        <v>864</v>
      </c>
      <c r="C649" s="6" t="s">
        <v>354</v>
      </c>
      <c r="D649" s="6" t="s">
        <v>151</v>
      </c>
      <c r="E649" s="6" t="s">
        <v>163</v>
      </c>
      <c r="F649" s="6">
        <v>11525.42</v>
      </c>
      <c r="G649" s="2">
        <v>12</v>
      </c>
      <c r="H649" s="61">
        <v>6.45</v>
      </c>
      <c r="I649" s="61">
        <v>6.28</v>
      </c>
      <c r="J649" s="47">
        <f t="shared" si="50"/>
        <v>-0.46249999999999997</v>
      </c>
      <c r="K649" s="47">
        <f t="shared" si="51"/>
        <v>-2.6356589147286811E-2</v>
      </c>
      <c r="L649" s="8">
        <v>7.28</v>
      </c>
      <c r="M649" s="8">
        <v>4.5</v>
      </c>
      <c r="N649" s="8">
        <v>4.82</v>
      </c>
      <c r="O649" s="17">
        <f t="shared" si="52"/>
        <v>-9.7297297297297303E-2</v>
      </c>
      <c r="P649" s="17">
        <f t="shared" si="53"/>
        <v>-1.8287647058823537</v>
      </c>
      <c r="Q649" s="17">
        <v>4.16</v>
      </c>
      <c r="R649" s="9">
        <v>20220803</v>
      </c>
      <c r="U649" s="9">
        <v>14393.94335</v>
      </c>
      <c r="V649" s="45">
        <f t="shared" si="54"/>
        <v>-1</v>
      </c>
      <c r="W649" s="12">
        <v>0</v>
      </c>
      <c r="X649" s="12">
        <v>2.64</v>
      </c>
      <c r="Y649" s="62"/>
    </row>
    <row r="650" spans="1:25" x14ac:dyDescent="0.2">
      <c r="A650" s="3" t="s">
        <v>2961</v>
      </c>
      <c r="B650" s="3" t="s">
        <v>865</v>
      </c>
      <c r="C650" s="6" t="s">
        <v>355</v>
      </c>
      <c r="D650" s="6" t="s">
        <v>217</v>
      </c>
      <c r="E650" s="6" t="s">
        <v>163</v>
      </c>
      <c r="F650" s="6">
        <v>60979.26</v>
      </c>
      <c r="G650" s="2">
        <v>12</v>
      </c>
      <c r="H650" s="61">
        <v>27.2</v>
      </c>
      <c r="I650" s="61">
        <v>29.17</v>
      </c>
      <c r="J650" s="47">
        <f t="shared" si="50"/>
        <v>1.2666666666666666</v>
      </c>
      <c r="K650" s="47">
        <f t="shared" si="51"/>
        <v>7.2426470588235384E-2</v>
      </c>
      <c r="L650" s="8">
        <v>31.78</v>
      </c>
      <c r="M650" s="8">
        <v>24.51</v>
      </c>
      <c r="N650" s="8">
        <v>22.97</v>
      </c>
      <c r="O650" s="17">
        <f t="shared" si="52"/>
        <v>0.19350000000000003</v>
      </c>
      <c r="P650" s="17">
        <f t="shared" si="53"/>
        <v>3.1714923857867978</v>
      </c>
      <c r="Q650" s="17">
        <v>21.08</v>
      </c>
      <c r="R650" s="9">
        <v>20220727</v>
      </c>
      <c r="S650" s="9">
        <v>4.57</v>
      </c>
      <c r="T650" s="9">
        <v>11.01</v>
      </c>
      <c r="U650" s="9">
        <v>7312.6298800000004</v>
      </c>
      <c r="V650" s="45">
        <f t="shared" si="54"/>
        <v>-0.99849438571612759</v>
      </c>
      <c r="W650" s="12">
        <v>-0.42</v>
      </c>
      <c r="X650" s="12">
        <v>1.85</v>
      </c>
      <c r="Y650" s="62">
        <v>2.8</v>
      </c>
    </row>
    <row r="651" spans="1:25" x14ac:dyDescent="0.2">
      <c r="A651" s="3" t="s">
        <v>2962</v>
      </c>
      <c r="B651" s="3" t="s">
        <v>2963</v>
      </c>
      <c r="C651" s="6" t="s">
        <v>354</v>
      </c>
      <c r="D651" s="6" t="s">
        <v>207</v>
      </c>
      <c r="E651" s="6" t="s">
        <v>218</v>
      </c>
      <c r="F651" s="6">
        <v>121344.65</v>
      </c>
      <c r="G651" s="2">
        <v>12</v>
      </c>
      <c r="H651" s="61">
        <v>3.28</v>
      </c>
      <c r="I651" s="61">
        <v>5.56</v>
      </c>
      <c r="J651" s="47">
        <f t="shared" si="50"/>
        <v>-0.72666666666666668</v>
      </c>
      <c r="K651" s="47">
        <f t="shared" si="51"/>
        <v>0.69512195121951215</v>
      </c>
      <c r="L651" s="8">
        <v>4.0599999999999996</v>
      </c>
      <c r="M651" s="8">
        <v>8.69</v>
      </c>
      <c r="N651" s="8">
        <v>6.72</v>
      </c>
      <c r="O651" s="17">
        <f t="shared" si="52"/>
        <v>-0.11958715596330274</v>
      </c>
      <c r="P651" s="17">
        <f t="shared" si="53"/>
        <v>9.6673684210526328E-2</v>
      </c>
      <c r="Q651" s="17">
        <v>9.2100000000000009</v>
      </c>
      <c r="R651" s="9">
        <v>20220727</v>
      </c>
      <c r="S651" s="9">
        <v>35.64</v>
      </c>
      <c r="T651" s="9">
        <v>1.86</v>
      </c>
      <c r="U651" s="9">
        <v>201079.40625</v>
      </c>
      <c r="V651" s="45">
        <f t="shared" si="54"/>
        <v>-0.999990749922955</v>
      </c>
      <c r="W651" s="12">
        <v>1.91</v>
      </c>
      <c r="X651" s="12">
        <v>1.55</v>
      </c>
      <c r="Y651" s="62">
        <v>0.14000000000000001</v>
      </c>
    </row>
    <row r="652" spans="1:25" x14ac:dyDescent="0.2">
      <c r="A652" s="3" t="s">
        <v>866</v>
      </c>
      <c r="B652" s="3" t="s">
        <v>867</v>
      </c>
      <c r="C652" s="6" t="s">
        <v>354</v>
      </c>
      <c r="D652" s="6" t="s">
        <v>216</v>
      </c>
      <c r="E652" s="6" t="s">
        <v>163</v>
      </c>
      <c r="F652" s="6">
        <v>28709.38</v>
      </c>
      <c r="G652" s="2">
        <v>12</v>
      </c>
      <c r="H652" s="61">
        <v>2.96</v>
      </c>
      <c r="I652" s="61">
        <v>3.45</v>
      </c>
      <c r="J652" s="47">
        <f t="shared" si="50"/>
        <v>-0.7533333333333333</v>
      </c>
      <c r="K652" s="47">
        <f t="shared" si="51"/>
        <v>0.16554054054054063</v>
      </c>
      <c r="L652" s="8">
        <v>3.79</v>
      </c>
      <c r="M652" s="8">
        <v>24.32</v>
      </c>
      <c r="N652" s="8">
        <v>22.12</v>
      </c>
      <c r="O652" s="17">
        <f t="shared" si="52"/>
        <v>-0.32283185840707967</v>
      </c>
      <c r="P652" s="17">
        <f t="shared" si="53"/>
        <v>1.3362285714285707</v>
      </c>
      <c r="Q652" s="17">
        <v>20.149999999999999</v>
      </c>
      <c r="R652" s="9">
        <v>20220726</v>
      </c>
      <c r="S652" s="9">
        <v>12.35</v>
      </c>
      <c r="T652" s="9">
        <v>0.17</v>
      </c>
      <c r="U652" s="9">
        <v>2723.6039999999998</v>
      </c>
      <c r="V652" s="45">
        <f t="shared" si="54"/>
        <v>-0.99993758270291866</v>
      </c>
      <c r="W652" s="12">
        <v>-3.75</v>
      </c>
      <c r="X652" s="12">
        <v>3.27</v>
      </c>
      <c r="Y652" s="62">
        <v>3.36</v>
      </c>
    </row>
    <row r="653" spans="1:25" x14ac:dyDescent="0.2">
      <c r="A653" s="3" t="s">
        <v>868</v>
      </c>
      <c r="B653" s="3" t="s">
        <v>868</v>
      </c>
      <c r="C653" s="6" t="s">
        <v>354</v>
      </c>
      <c r="D653" s="6" t="s">
        <v>200</v>
      </c>
      <c r="E653" s="6" t="s">
        <v>218</v>
      </c>
      <c r="F653" s="6">
        <v>17515.990000000002</v>
      </c>
      <c r="G653" s="2">
        <v>12</v>
      </c>
      <c r="H653" s="61">
        <v>1.04</v>
      </c>
      <c r="I653" s="61">
        <v>2.9</v>
      </c>
      <c r="J653" s="47">
        <f t="shared" si="50"/>
        <v>-0.91333333333333344</v>
      </c>
      <c r="K653" s="47">
        <f t="shared" si="51"/>
        <v>1.7884615384615383</v>
      </c>
      <c r="L653" s="8">
        <v>5.74</v>
      </c>
      <c r="M653" s="8">
        <v>33.619999999999997</v>
      </c>
      <c r="N653" s="8">
        <v>16.34</v>
      </c>
      <c r="O653" s="17">
        <f t="shared" si="52"/>
        <v>-0.36810218978102183</v>
      </c>
      <c r="P653" s="17">
        <f t="shared" si="53"/>
        <v>9.1363440860215056E-2</v>
      </c>
      <c r="Q653" s="17">
        <v>8.26</v>
      </c>
      <c r="R653" s="9">
        <v>20220727</v>
      </c>
      <c r="S653" s="9">
        <v>6.34</v>
      </c>
      <c r="U653" s="9">
        <v>5760.5742099999998</v>
      </c>
      <c r="V653" s="45">
        <f t="shared" si="54"/>
        <v>-1</v>
      </c>
      <c r="W653" s="12">
        <v>-22.12</v>
      </c>
      <c r="X653" s="12">
        <v>1.05</v>
      </c>
      <c r="Y653" s="62">
        <v>0.52</v>
      </c>
    </row>
    <row r="654" spans="1:25" x14ac:dyDescent="0.2">
      <c r="A654" s="3" t="s">
        <v>2964</v>
      </c>
      <c r="B654" s="3" t="s">
        <v>2965</v>
      </c>
      <c r="C654" s="6" t="s">
        <v>354</v>
      </c>
      <c r="D654" s="6" t="s">
        <v>684</v>
      </c>
      <c r="E654" s="6" t="s">
        <v>218</v>
      </c>
      <c r="F654" s="6">
        <v>3531.94</v>
      </c>
      <c r="G654" s="2">
        <v>12</v>
      </c>
      <c r="H654" s="61">
        <v>0.74</v>
      </c>
      <c r="I654" s="61">
        <v>3.35</v>
      </c>
      <c r="J654" s="47">
        <f t="shared" si="50"/>
        <v>-0.93833333333333335</v>
      </c>
      <c r="K654" s="47">
        <f t="shared" si="51"/>
        <v>3.5270270270270276</v>
      </c>
      <c r="L654" s="8">
        <v>3.92</v>
      </c>
      <c r="M654" s="8">
        <v>9.6</v>
      </c>
      <c r="N654" s="8">
        <v>4.3600000000000003</v>
      </c>
      <c r="O654" s="17">
        <f t="shared" si="52"/>
        <v>-0.10230905861456484</v>
      </c>
      <c r="P654" s="17">
        <f t="shared" si="53"/>
        <v>1.2361685823754787E-2</v>
      </c>
      <c r="Q654" s="17">
        <v>3.72</v>
      </c>
      <c r="R654" s="9">
        <v>20220804</v>
      </c>
      <c r="S654" s="9">
        <v>69.73</v>
      </c>
      <c r="T654" s="9">
        <v>7.36</v>
      </c>
      <c r="V654" s="45" t="e">
        <f t="shared" si="54"/>
        <v>#DIV/0!</v>
      </c>
      <c r="W654" s="12">
        <v>5.45</v>
      </c>
      <c r="X654" s="12">
        <v>1.17</v>
      </c>
      <c r="Y654" s="62"/>
    </row>
    <row r="655" spans="1:25" x14ac:dyDescent="0.2">
      <c r="A655" s="3" t="s">
        <v>2966</v>
      </c>
      <c r="B655" s="3" t="s">
        <v>870</v>
      </c>
      <c r="C655" s="6" t="s">
        <v>355</v>
      </c>
      <c r="D655" s="6" t="s">
        <v>169</v>
      </c>
      <c r="E655" s="6" t="s">
        <v>163</v>
      </c>
      <c r="F655" s="6">
        <v>7570.81</v>
      </c>
      <c r="G655" s="2">
        <v>12</v>
      </c>
      <c r="H655" s="61">
        <v>5.77</v>
      </c>
      <c r="I655" s="61">
        <v>5.99</v>
      </c>
      <c r="J655" s="47">
        <f t="shared" si="50"/>
        <v>-0.51916666666666667</v>
      </c>
      <c r="K655" s="47">
        <f t="shared" si="51"/>
        <v>3.8128249566724552E-2</v>
      </c>
      <c r="L655" s="8">
        <v>6.65</v>
      </c>
      <c r="M655" s="8">
        <v>29.32</v>
      </c>
      <c r="N655" s="8">
        <v>27.36</v>
      </c>
      <c r="O655" s="17">
        <f t="shared" si="52"/>
        <v>-0.56475120385232747</v>
      </c>
      <c r="P655" s="17">
        <f t="shared" si="53"/>
        <v>7.1757818181817967</v>
      </c>
      <c r="Q655" s="17">
        <v>24.65</v>
      </c>
      <c r="R655" s="9">
        <v>20220804</v>
      </c>
      <c r="S655" s="9">
        <v>22.49</v>
      </c>
      <c r="T655" s="9">
        <v>10.130000000000001</v>
      </c>
      <c r="U655" s="9">
        <v>2759.76</v>
      </c>
      <c r="V655" s="45">
        <f t="shared" si="54"/>
        <v>-0.99632939096153283</v>
      </c>
      <c r="W655" s="12">
        <v>-9.66</v>
      </c>
      <c r="X655" s="12">
        <v>2.71</v>
      </c>
      <c r="Y655" s="62"/>
    </row>
    <row r="656" spans="1:25" x14ac:dyDescent="0.2">
      <c r="A656" s="3" t="s">
        <v>871</v>
      </c>
      <c r="B656" s="3" t="s">
        <v>872</v>
      </c>
      <c r="C656" s="6" t="s">
        <v>354</v>
      </c>
      <c r="D656" s="6" t="s">
        <v>246</v>
      </c>
      <c r="E656" s="6" t="s">
        <v>250</v>
      </c>
      <c r="F656" s="6">
        <v>31794.32</v>
      </c>
      <c r="G656" s="2">
        <v>12</v>
      </c>
      <c r="H656" s="61">
        <v>3.84</v>
      </c>
      <c r="I656" s="61">
        <v>4.1100000000000003</v>
      </c>
      <c r="J656" s="47">
        <f t="shared" si="50"/>
        <v>-0.68</v>
      </c>
      <c r="K656" s="47">
        <f t="shared" si="51"/>
        <v>7.0312500000000125E-2</v>
      </c>
      <c r="L656" s="8">
        <v>4.37</v>
      </c>
      <c r="M656" s="8">
        <v>22.93</v>
      </c>
      <c r="N656" s="8">
        <v>22.41</v>
      </c>
      <c r="O656" s="17">
        <f t="shared" si="52"/>
        <v>-0.33720588235294119</v>
      </c>
      <c r="P656" s="17">
        <f t="shared" si="53"/>
        <v>3.1871999999999945</v>
      </c>
      <c r="Q656" s="17">
        <v>21.1</v>
      </c>
      <c r="R656" s="9">
        <v>20220804</v>
      </c>
      <c r="S656" s="9">
        <v>9.52</v>
      </c>
      <c r="T656" s="9">
        <v>5.73</v>
      </c>
      <c r="U656" s="9">
        <v>10880.08007</v>
      </c>
      <c r="V656" s="45">
        <f t="shared" si="54"/>
        <v>-0.99947334946405408</v>
      </c>
      <c r="W656" s="12">
        <v>6.56</v>
      </c>
      <c r="X656" s="12">
        <v>2.77</v>
      </c>
      <c r="Y656" s="62">
        <v>3.61</v>
      </c>
    </row>
    <row r="657" spans="1:25" x14ac:dyDescent="0.2">
      <c r="A657" s="3" t="s">
        <v>2128</v>
      </c>
      <c r="B657" s="3" t="s">
        <v>2129</v>
      </c>
      <c r="C657" s="6" t="s">
        <v>355</v>
      </c>
      <c r="D657" s="6" t="s">
        <v>172</v>
      </c>
      <c r="E657" s="6" t="s">
        <v>163</v>
      </c>
      <c r="F657" s="6">
        <v>4169.8599999999997</v>
      </c>
      <c r="G657" s="2">
        <v>12</v>
      </c>
      <c r="H657" s="61"/>
      <c r="I657" s="61"/>
      <c r="J657" s="47">
        <f t="shared" si="50"/>
        <v>-1</v>
      </c>
      <c r="K657" s="47" t="e">
        <f t="shared" si="51"/>
        <v>#DIV/0!</v>
      </c>
      <c r="M657" s="8">
        <v>62.8</v>
      </c>
      <c r="O657" s="17">
        <f t="shared" si="52"/>
        <v>-0.628</v>
      </c>
      <c r="P657" s="17" t="e">
        <f t="shared" si="53"/>
        <v>#DIV/0!</v>
      </c>
      <c r="Q657" s="17"/>
      <c r="R657" s="9">
        <v>20220804</v>
      </c>
      <c r="S657" s="9">
        <v>2.5499999999999998</v>
      </c>
      <c r="V657" s="45" t="e">
        <f t="shared" si="54"/>
        <v>#DIV/0!</v>
      </c>
      <c r="X657" s="12">
        <v>0</v>
      </c>
      <c r="Y657" s="62"/>
    </row>
    <row r="658" spans="1:25" x14ac:dyDescent="0.2">
      <c r="A658" s="3" t="s">
        <v>2967</v>
      </c>
      <c r="B658" s="3" t="s">
        <v>873</v>
      </c>
      <c r="C658" s="6" t="s">
        <v>354</v>
      </c>
      <c r="D658" s="6" t="s">
        <v>128</v>
      </c>
      <c r="E658" s="6" t="s">
        <v>60</v>
      </c>
      <c r="F658" s="6">
        <v>5184.66</v>
      </c>
      <c r="G658" s="2">
        <v>12</v>
      </c>
      <c r="H658" s="61">
        <v>1.36</v>
      </c>
      <c r="I658" s="61">
        <v>1.58</v>
      </c>
      <c r="J658" s="47">
        <f t="shared" si="50"/>
        <v>-0.88666666666666671</v>
      </c>
      <c r="K658" s="47">
        <f t="shared" si="51"/>
        <v>0.16176470588235292</v>
      </c>
      <c r="L658" s="8">
        <v>1.81</v>
      </c>
      <c r="M658" s="8">
        <v>15.06</v>
      </c>
      <c r="N658" s="8">
        <v>13.27</v>
      </c>
      <c r="O658" s="17">
        <f t="shared" si="52"/>
        <v>-0.16984962406015036</v>
      </c>
      <c r="P658" s="17">
        <f t="shared" si="53"/>
        <v>0.82032727272727268</v>
      </c>
      <c r="Q658" s="17">
        <v>11.54</v>
      </c>
      <c r="R658" s="9">
        <v>20220727</v>
      </c>
      <c r="S658" s="9">
        <v>13.72</v>
      </c>
      <c r="T658" s="9">
        <v>-13.5</v>
      </c>
      <c r="U658" s="9">
        <v>2738.3600999999999</v>
      </c>
      <c r="V658" s="45">
        <f t="shared" si="54"/>
        <v>-1.0049299578970641</v>
      </c>
      <c r="W658" s="12">
        <v>8.57</v>
      </c>
      <c r="X658" s="12">
        <v>1.53</v>
      </c>
      <c r="Y658" s="62">
        <v>0.86</v>
      </c>
    </row>
    <row r="659" spans="1:25" x14ac:dyDescent="0.2">
      <c r="A659" s="3" t="s">
        <v>2968</v>
      </c>
      <c r="B659" s="3" t="s">
        <v>874</v>
      </c>
      <c r="C659" s="6" t="s">
        <v>356</v>
      </c>
      <c r="D659" s="6" t="s">
        <v>193</v>
      </c>
      <c r="E659" s="6" t="s">
        <v>208</v>
      </c>
      <c r="F659" s="6">
        <v>70173.710000000006</v>
      </c>
      <c r="G659" s="2">
        <v>12</v>
      </c>
      <c r="H659" s="61">
        <v>2.98</v>
      </c>
      <c r="I659" s="61">
        <v>3.39</v>
      </c>
      <c r="J659" s="47">
        <f t="shared" si="50"/>
        <v>-0.75166666666666659</v>
      </c>
      <c r="K659" s="47">
        <f t="shared" si="51"/>
        <v>0.13758389261744972</v>
      </c>
      <c r="L659" s="8">
        <v>3.65</v>
      </c>
      <c r="N659" s="8">
        <v>23.36</v>
      </c>
      <c r="O659" s="17">
        <f t="shared" si="52"/>
        <v>0</v>
      </c>
      <c r="P659" s="17">
        <f t="shared" si="53"/>
        <v>1.6978731707317067</v>
      </c>
      <c r="Q659" s="17">
        <v>21.7</v>
      </c>
      <c r="R659" s="9">
        <v>20220610</v>
      </c>
      <c r="U659" s="9">
        <v>25646.5</v>
      </c>
      <c r="V659" s="45">
        <f t="shared" si="54"/>
        <v>-1</v>
      </c>
      <c r="X659" s="12">
        <v>0.62</v>
      </c>
      <c r="Y659" s="62">
        <v>1.1100000000000001</v>
      </c>
    </row>
    <row r="660" spans="1:25" x14ac:dyDescent="0.2">
      <c r="A660" s="3" t="s">
        <v>2969</v>
      </c>
      <c r="B660" s="3" t="s">
        <v>2970</v>
      </c>
      <c r="C660" s="6" t="s">
        <v>354</v>
      </c>
      <c r="D660" s="6" t="s">
        <v>177</v>
      </c>
      <c r="E660" s="6" t="s">
        <v>119</v>
      </c>
      <c r="F660" s="6">
        <v>3424.65</v>
      </c>
      <c r="G660" s="2">
        <v>12</v>
      </c>
      <c r="H660" s="61">
        <v>0.1</v>
      </c>
      <c r="I660" s="61">
        <v>0.15</v>
      </c>
      <c r="J660" s="47">
        <f t="shared" si="50"/>
        <v>-0.9916666666666667</v>
      </c>
      <c r="K660" s="47">
        <f t="shared" si="51"/>
        <v>0.49999999999999989</v>
      </c>
      <c r="L660" s="8">
        <v>0.18</v>
      </c>
      <c r="N660" s="8">
        <v>140.4</v>
      </c>
      <c r="O660" s="17">
        <f t="shared" si="52"/>
        <v>0</v>
      </c>
      <c r="P660" s="17">
        <f t="shared" si="53"/>
        <v>2.8080000000000007</v>
      </c>
      <c r="Q660" s="17">
        <v>118.32</v>
      </c>
      <c r="R660" s="9">
        <v>20220804</v>
      </c>
      <c r="U660" s="9">
        <v>290.81799000000001</v>
      </c>
      <c r="V660" s="45">
        <f t="shared" si="54"/>
        <v>-1</v>
      </c>
      <c r="W660" s="12">
        <v>50</v>
      </c>
      <c r="X660" s="12">
        <v>0</v>
      </c>
      <c r="Y660" s="62"/>
    </row>
    <row r="661" spans="1:25" x14ac:dyDescent="0.2">
      <c r="A661" s="3" t="s">
        <v>2971</v>
      </c>
      <c r="B661" s="3" t="s">
        <v>875</v>
      </c>
      <c r="C661" s="6" t="s">
        <v>354</v>
      </c>
      <c r="D661" s="6" t="s">
        <v>876</v>
      </c>
      <c r="E661" s="6" t="s">
        <v>163</v>
      </c>
      <c r="F661" s="6">
        <v>4549.3599999999997</v>
      </c>
      <c r="G661" s="2">
        <v>12</v>
      </c>
      <c r="H661" s="61">
        <v>5.91</v>
      </c>
      <c r="I661" s="61">
        <v>7.49</v>
      </c>
      <c r="J661" s="47">
        <f t="shared" si="50"/>
        <v>-0.50749999999999995</v>
      </c>
      <c r="K661" s="47">
        <f t="shared" si="51"/>
        <v>0.2673434856175973</v>
      </c>
      <c r="L661" s="8">
        <v>6.53</v>
      </c>
      <c r="M661" s="8">
        <v>5.7</v>
      </c>
      <c r="N661" s="8">
        <v>5.65</v>
      </c>
      <c r="O661" s="17">
        <f t="shared" si="52"/>
        <v>-0.11231527093596061</v>
      </c>
      <c r="P661" s="17">
        <f t="shared" si="53"/>
        <v>0.21133860759493672</v>
      </c>
      <c r="Q661" s="17">
        <v>6.48</v>
      </c>
      <c r="R661" s="9">
        <v>20220805</v>
      </c>
      <c r="S661" s="9">
        <v>19.64</v>
      </c>
      <c r="T661" s="9">
        <v>16.100000000000001</v>
      </c>
      <c r="V661" s="45" t="e">
        <f t="shared" si="54"/>
        <v>#DIV/0!</v>
      </c>
      <c r="W661" s="12">
        <v>55.56</v>
      </c>
      <c r="X661" s="12">
        <v>1.89</v>
      </c>
      <c r="Y661" s="62">
        <v>0.56000000000000005</v>
      </c>
    </row>
    <row r="662" spans="1:25" x14ac:dyDescent="0.2">
      <c r="A662" s="3" t="s">
        <v>2972</v>
      </c>
      <c r="B662" s="3" t="s">
        <v>877</v>
      </c>
      <c r="C662" s="6" t="s">
        <v>354</v>
      </c>
      <c r="D662" s="6" t="s">
        <v>216</v>
      </c>
      <c r="E662" s="6" t="s">
        <v>163</v>
      </c>
      <c r="F662" s="6">
        <v>18497.740000000002</v>
      </c>
      <c r="G662" s="2">
        <v>12</v>
      </c>
      <c r="H662" s="61">
        <v>12.47</v>
      </c>
      <c r="I662" s="61">
        <v>14.05</v>
      </c>
      <c r="J662" s="47">
        <f t="shared" si="50"/>
        <v>3.9166666666666718E-2</v>
      </c>
      <c r="K662" s="47">
        <f t="shared" si="51"/>
        <v>0.12670408981555734</v>
      </c>
      <c r="L662" s="8">
        <v>15.23</v>
      </c>
      <c r="M662" s="8">
        <v>22.15</v>
      </c>
      <c r="N662" s="8">
        <v>20.149999999999999</v>
      </c>
      <c r="O662" s="17">
        <f t="shared" si="52"/>
        <v>5.6553191489361625</v>
      </c>
      <c r="P662" s="17">
        <f t="shared" si="53"/>
        <v>1.5903196202531646</v>
      </c>
      <c r="Q662" s="17">
        <v>18.600000000000001</v>
      </c>
      <c r="R662" s="9">
        <v>20220804</v>
      </c>
      <c r="S662" s="9">
        <v>5.25</v>
      </c>
      <c r="T662" s="9">
        <v>1.97</v>
      </c>
      <c r="U662" s="9">
        <v>1578.0500400000001</v>
      </c>
      <c r="V662" s="45">
        <f t="shared" si="54"/>
        <v>-0.99875162387119232</v>
      </c>
      <c r="W662" s="12">
        <v>0.9</v>
      </c>
      <c r="X662" s="12">
        <v>3.11</v>
      </c>
      <c r="Y662" s="62">
        <v>3.3</v>
      </c>
    </row>
    <row r="663" spans="1:25" x14ac:dyDescent="0.2">
      <c r="A663" s="3" t="s">
        <v>2973</v>
      </c>
      <c r="B663" s="3" t="s">
        <v>878</v>
      </c>
      <c r="C663" s="6" t="s">
        <v>354</v>
      </c>
      <c r="D663" s="6" t="s">
        <v>233</v>
      </c>
      <c r="E663" s="6" t="s">
        <v>108</v>
      </c>
      <c r="F663" s="6">
        <v>5609.07</v>
      </c>
      <c r="G663" s="2">
        <v>4</v>
      </c>
      <c r="H663" s="61">
        <v>-0.4</v>
      </c>
      <c r="I663" s="61">
        <v>-0.31</v>
      </c>
      <c r="J663" s="47">
        <f t="shared" si="50"/>
        <v>-1.1000000000000001</v>
      </c>
      <c r="K663" s="47">
        <f t="shared" si="51"/>
        <v>0.22500000000000006</v>
      </c>
      <c r="L663" s="8">
        <v>0.18</v>
      </c>
      <c r="O663" s="17">
        <f t="shared" si="52"/>
        <v>0</v>
      </c>
      <c r="P663" s="17">
        <f t="shared" si="53"/>
        <v>0</v>
      </c>
      <c r="Q663" s="17">
        <v>333.39</v>
      </c>
      <c r="R663" s="9">
        <v>20220601</v>
      </c>
      <c r="S663" s="9">
        <v>-34.200000000000003</v>
      </c>
      <c r="T663" s="9">
        <v>47.3</v>
      </c>
      <c r="U663" s="9">
        <v>1067.3189600000001</v>
      </c>
      <c r="V663" s="45">
        <f t="shared" si="54"/>
        <v>-0.9556833507389394</v>
      </c>
      <c r="W663" s="12">
        <v>45.45</v>
      </c>
      <c r="X663" s="12">
        <v>0</v>
      </c>
      <c r="Y663" s="62"/>
    </row>
    <row r="664" spans="1:25" x14ac:dyDescent="0.2">
      <c r="A664" s="3" t="s">
        <v>2974</v>
      </c>
      <c r="B664" s="3" t="s">
        <v>879</v>
      </c>
      <c r="C664" s="6" t="s">
        <v>354</v>
      </c>
      <c r="D664" s="6" t="s">
        <v>861</v>
      </c>
      <c r="E664" s="6" t="s">
        <v>218</v>
      </c>
      <c r="F664" s="6">
        <v>35699.629999999997</v>
      </c>
      <c r="G664" s="2">
        <v>12</v>
      </c>
      <c r="H664" s="61">
        <v>1.87</v>
      </c>
      <c r="I664" s="61">
        <v>1.3</v>
      </c>
      <c r="J664" s="47">
        <f t="shared" si="50"/>
        <v>-0.84416666666666662</v>
      </c>
      <c r="K664" s="47">
        <f t="shared" si="51"/>
        <v>-0.30481283422459893</v>
      </c>
      <c r="L664" s="8">
        <v>1.36</v>
      </c>
      <c r="M664" s="8">
        <v>10.91</v>
      </c>
      <c r="N664" s="8">
        <v>8.9</v>
      </c>
      <c r="O664" s="17">
        <f t="shared" si="52"/>
        <v>-0.12923988153998028</v>
      </c>
      <c r="P664" s="17">
        <f t="shared" si="53"/>
        <v>-0.2919824561403509</v>
      </c>
      <c r="Q664" s="17">
        <v>8.51</v>
      </c>
      <c r="R664" s="9">
        <v>20220802</v>
      </c>
      <c r="S664" s="9">
        <v>10.25</v>
      </c>
      <c r="T664" s="9">
        <v>6.7</v>
      </c>
      <c r="U664" s="9">
        <v>87740.273430000001</v>
      </c>
      <c r="V664" s="45">
        <f t="shared" si="54"/>
        <v>-0.99992363825939812</v>
      </c>
      <c r="W664" s="12">
        <v>19.350000000000001</v>
      </c>
      <c r="X664" s="12">
        <v>6.91</v>
      </c>
      <c r="Y664" s="62"/>
    </row>
    <row r="665" spans="1:25" x14ac:dyDescent="0.2">
      <c r="A665" s="3" t="s">
        <v>2975</v>
      </c>
      <c r="B665" s="3" t="s">
        <v>880</v>
      </c>
      <c r="C665" s="6" t="s">
        <v>354</v>
      </c>
      <c r="D665" s="6" t="s">
        <v>181</v>
      </c>
      <c r="E665" s="6" t="s">
        <v>201</v>
      </c>
      <c r="F665" s="6">
        <v>54375.72</v>
      </c>
      <c r="G665" s="2">
        <v>12</v>
      </c>
      <c r="H665" s="61">
        <v>6.61</v>
      </c>
      <c r="I665" s="61">
        <v>7.52</v>
      </c>
      <c r="J665" s="47">
        <f t="shared" si="50"/>
        <v>-0.44916666666666666</v>
      </c>
      <c r="K665" s="47">
        <f t="shared" si="51"/>
        <v>0.13767019667170941</v>
      </c>
      <c r="L665" s="8">
        <v>8.36</v>
      </c>
      <c r="M665" s="8">
        <v>20.010000000000002</v>
      </c>
      <c r="N665" s="8">
        <v>18.13</v>
      </c>
      <c r="O665" s="17">
        <f t="shared" si="52"/>
        <v>-0.44549165120593698</v>
      </c>
      <c r="P665" s="17">
        <f t="shared" si="53"/>
        <v>1.3169153846153858</v>
      </c>
      <c r="Q665" s="17">
        <v>16.3</v>
      </c>
      <c r="R665" s="9">
        <v>20220802</v>
      </c>
      <c r="S665" s="9">
        <v>16.920000000000002</v>
      </c>
      <c r="T665" s="9">
        <v>-2.25</v>
      </c>
      <c r="U665" s="9">
        <v>20639.76367</v>
      </c>
      <c r="V665" s="45">
        <f t="shared" si="54"/>
        <v>-1.000109012876115</v>
      </c>
      <c r="W665" s="12">
        <v>1.25</v>
      </c>
      <c r="X665" s="12">
        <v>2.38</v>
      </c>
      <c r="Y665" s="62">
        <v>1.65</v>
      </c>
    </row>
    <row r="666" spans="1:25" x14ac:dyDescent="0.2">
      <c r="A666" s="3" t="s">
        <v>2976</v>
      </c>
      <c r="B666" s="3" t="s">
        <v>881</v>
      </c>
      <c r="C666" s="6" t="s">
        <v>354</v>
      </c>
      <c r="D666" s="6" t="s">
        <v>246</v>
      </c>
      <c r="E666" s="6" t="s">
        <v>250</v>
      </c>
      <c r="F666" s="6">
        <v>24380.51</v>
      </c>
      <c r="G666" s="2">
        <v>12</v>
      </c>
      <c r="H666" s="61">
        <v>5.98</v>
      </c>
      <c r="I666" s="61">
        <v>6.34</v>
      </c>
      <c r="J666" s="47">
        <f t="shared" si="50"/>
        <v>-0.50166666666666659</v>
      </c>
      <c r="K666" s="47">
        <f t="shared" si="51"/>
        <v>6.0200668896320968E-2</v>
      </c>
      <c r="L666" s="8">
        <v>6.75</v>
      </c>
      <c r="M666" s="8">
        <v>20.420000000000002</v>
      </c>
      <c r="N666" s="8">
        <v>18.920000000000002</v>
      </c>
      <c r="O666" s="17">
        <f t="shared" si="52"/>
        <v>-0.40704318936877087</v>
      </c>
      <c r="P666" s="17">
        <f t="shared" si="53"/>
        <v>3.142822222222228</v>
      </c>
      <c r="Q666" s="17">
        <v>17.75</v>
      </c>
      <c r="R666" s="9">
        <v>20220803</v>
      </c>
      <c r="S666" s="9">
        <v>10.44</v>
      </c>
      <c r="T666" s="9">
        <v>0</v>
      </c>
      <c r="U666" s="9">
        <v>11666.150390000001</v>
      </c>
      <c r="V666" s="45">
        <f t="shared" si="54"/>
        <v>-1</v>
      </c>
      <c r="W666" s="12">
        <v>-4.3499999999999996</v>
      </c>
      <c r="X666" s="12">
        <v>3.37</v>
      </c>
      <c r="Y666" s="62">
        <v>3.12</v>
      </c>
    </row>
    <row r="667" spans="1:25" x14ac:dyDescent="0.2">
      <c r="A667" s="3" t="s">
        <v>2977</v>
      </c>
      <c r="B667" s="3" t="s">
        <v>882</v>
      </c>
      <c r="C667" s="6" t="s">
        <v>354</v>
      </c>
      <c r="D667" s="6" t="s">
        <v>205</v>
      </c>
      <c r="E667" s="6" t="s">
        <v>218</v>
      </c>
      <c r="F667" s="6">
        <v>3401.52</v>
      </c>
      <c r="G667" s="2">
        <v>12</v>
      </c>
      <c r="H667" s="61">
        <v>0.65</v>
      </c>
      <c r="I667" s="61">
        <v>0.51</v>
      </c>
      <c r="J667" s="47">
        <f t="shared" si="50"/>
        <v>-0.9458333333333333</v>
      </c>
      <c r="K667" s="47">
        <f t="shared" si="51"/>
        <v>-0.2153846153846154</v>
      </c>
      <c r="L667" s="8">
        <v>0.53</v>
      </c>
      <c r="M667" s="8">
        <v>23.82</v>
      </c>
      <c r="N667" s="8">
        <v>15.31</v>
      </c>
      <c r="O667" s="17">
        <f t="shared" si="52"/>
        <v>-0.25184140969162999</v>
      </c>
      <c r="P667" s="17">
        <f t="shared" si="53"/>
        <v>-0.71082142857142849</v>
      </c>
      <c r="Q667" s="17">
        <v>14.9</v>
      </c>
      <c r="R667" s="9">
        <v>20220802</v>
      </c>
      <c r="S667" s="9">
        <v>6.52</v>
      </c>
      <c r="T667" s="9">
        <v>-5.04</v>
      </c>
      <c r="U667" s="9">
        <v>1478.75</v>
      </c>
      <c r="V667" s="45">
        <f t="shared" si="54"/>
        <v>-1.0034082840236687</v>
      </c>
      <c r="W667" s="12">
        <v>-6.67</v>
      </c>
      <c r="X667" s="12">
        <v>7.63</v>
      </c>
      <c r="Y667" s="62"/>
    </row>
    <row r="668" spans="1:25" x14ac:dyDescent="0.2">
      <c r="A668" s="3" t="s">
        <v>2978</v>
      </c>
      <c r="B668" s="3" t="s">
        <v>883</v>
      </c>
      <c r="C668" s="6" t="s">
        <v>355</v>
      </c>
      <c r="D668" s="6" t="s">
        <v>176</v>
      </c>
      <c r="E668" s="6" t="s">
        <v>119</v>
      </c>
      <c r="F668" s="6">
        <v>9947.06</v>
      </c>
      <c r="G668" s="2">
        <v>12</v>
      </c>
      <c r="H668" s="61">
        <v>3.03</v>
      </c>
      <c r="I668" s="61">
        <v>2.1800000000000002</v>
      </c>
      <c r="J668" s="47">
        <f t="shared" si="50"/>
        <v>-0.74750000000000005</v>
      </c>
      <c r="K668" s="47">
        <f t="shared" si="51"/>
        <v>-0.28052805280528043</v>
      </c>
      <c r="L668" s="8">
        <v>3.89</v>
      </c>
      <c r="M668" s="8">
        <v>26</v>
      </c>
      <c r="N668" s="8">
        <v>35.81</v>
      </c>
      <c r="O668" s="17">
        <f t="shared" si="52"/>
        <v>-0.34782608695652173</v>
      </c>
      <c r="P668" s="17">
        <f t="shared" si="53"/>
        <v>-1.2765211764705888</v>
      </c>
      <c r="Q668" s="17">
        <v>20.12</v>
      </c>
      <c r="R668" s="9">
        <v>20220803</v>
      </c>
      <c r="S668" s="9">
        <v>73.569999999999993</v>
      </c>
      <c r="T668" s="9">
        <v>53.6</v>
      </c>
      <c r="U668" s="9">
        <v>2565.4308999999998</v>
      </c>
      <c r="V668" s="45">
        <f t="shared" si="54"/>
        <v>-0.97910682373085944</v>
      </c>
      <c r="W668" s="12">
        <v>1.69</v>
      </c>
      <c r="X668" s="12">
        <v>0</v>
      </c>
      <c r="Y668" s="62">
        <v>1.42</v>
      </c>
    </row>
    <row r="669" spans="1:25" x14ac:dyDescent="0.2">
      <c r="A669" s="3" t="s">
        <v>2979</v>
      </c>
      <c r="B669" s="3" t="s">
        <v>2980</v>
      </c>
      <c r="C669" s="6" t="s">
        <v>354</v>
      </c>
      <c r="D669" s="6" t="s">
        <v>122</v>
      </c>
      <c r="E669" s="6" t="s">
        <v>140</v>
      </c>
      <c r="F669" s="6">
        <v>5067.99</v>
      </c>
      <c r="G669" s="2">
        <v>12</v>
      </c>
      <c r="H669" s="61">
        <v>0.9</v>
      </c>
      <c r="I669" s="61">
        <v>0.79</v>
      </c>
      <c r="J669" s="47">
        <f t="shared" si="50"/>
        <v>-0.92499999999999993</v>
      </c>
      <c r="K669" s="47">
        <f t="shared" si="51"/>
        <v>-0.1222222222222222</v>
      </c>
      <c r="L669" s="8">
        <v>1.46</v>
      </c>
      <c r="M669" s="8">
        <v>131.28</v>
      </c>
      <c r="N669" s="8">
        <v>96.99</v>
      </c>
      <c r="O669" s="17">
        <f t="shared" si="52"/>
        <v>-1.4192432432432434</v>
      </c>
      <c r="P669" s="17">
        <f t="shared" si="53"/>
        <v>-7.9355454545454558</v>
      </c>
      <c r="Q669" s="17">
        <v>52.15</v>
      </c>
      <c r="R669" s="9">
        <v>20220727</v>
      </c>
      <c r="S669" s="9">
        <v>-24.48</v>
      </c>
      <c r="T669" s="9">
        <v>19.02</v>
      </c>
      <c r="U669" s="9">
        <v>1275.44299</v>
      </c>
      <c r="V669" s="45">
        <f t="shared" si="54"/>
        <v>-0.98508753417508688</v>
      </c>
      <c r="W669" s="12">
        <v>-283.33</v>
      </c>
      <c r="X669" s="12">
        <v>4.75</v>
      </c>
      <c r="Y669" s="62"/>
    </row>
    <row r="670" spans="1:25" x14ac:dyDescent="0.2">
      <c r="A670" s="3" t="s">
        <v>2981</v>
      </c>
      <c r="B670" s="3" t="s">
        <v>2130</v>
      </c>
      <c r="C670" s="6" t="s">
        <v>356</v>
      </c>
      <c r="D670" s="6" t="s">
        <v>246</v>
      </c>
      <c r="E670" s="6" t="s">
        <v>250</v>
      </c>
      <c r="F670" s="6">
        <v>4393.53</v>
      </c>
      <c r="G670" s="2">
        <v>9</v>
      </c>
      <c r="H670" s="61"/>
      <c r="I670" s="61"/>
      <c r="J670" s="47">
        <f t="shared" si="50"/>
        <v>-1</v>
      </c>
      <c r="K670" s="47" t="e">
        <f t="shared" si="51"/>
        <v>#DIV/0!</v>
      </c>
      <c r="M670" s="8">
        <v>16.84</v>
      </c>
      <c r="O670" s="17">
        <f t="shared" si="52"/>
        <v>-0.16839999999999999</v>
      </c>
      <c r="P670" s="17" t="e">
        <f t="shared" si="53"/>
        <v>#DIV/0!</v>
      </c>
      <c r="Q670" s="17"/>
      <c r="R670" s="9">
        <v>20220527</v>
      </c>
      <c r="V670" s="45" t="e">
        <f t="shared" si="54"/>
        <v>#DIV/0!</v>
      </c>
      <c r="X670" s="12">
        <v>1.55</v>
      </c>
      <c r="Y670" s="62"/>
    </row>
    <row r="671" spans="1:25" x14ac:dyDescent="0.2">
      <c r="A671" s="3" t="s">
        <v>2982</v>
      </c>
      <c r="B671" s="3" t="s">
        <v>2983</v>
      </c>
      <c r="C671" s="6" t="s">
        <v>355</v>
      </c>
      <c r="D671" s="6" t="s">
        <v>187</v>
      </c>
      <c r="E671" s="6" t="s">
        <v>208</v>
      </c>
      <c r="F671" s="6">
        <v>4795.42</v>
      </c>
      <c r="G671" s="2">
        <v>12</v>
      </c>
      <c r="H671" s="61">
        <v>1.1200000000000001</v>
      </c>
      <c r="I671" s="61">
        <v>-7.0000000000000007E-2</v>
      </c>
      <c r="J671" s="47">
        <f t="shared" si="50"/>
        <v>-0.90666666666666662</v>
      </c>
      <c r="K671" s="47">
        <f t="shared" si="51"/>
        <v>-1.0625</v>
      </c>
      <c r="L671" s="8">
        <v>0.22</v>
      </c>
      <c r="M671" s="8">
        <v>33.049999999999997</v>
      </c>
      <c r="O671" s="17">
        <f t="shared" si="52"/>
        <v>-0.36452205882352939</v>
      </c>
      <c r="P671" s="17">
        <f t="shared" si="53"/>
        <v>0</v>
      </c>
      <c r="Q671" s="17">
        <v>62.54</v>
      </c>
      <c r="R671" s="9">
        <v>20220511</v>
      </c>
      <c r="S671" s="9">
        <v>21.32</v>
      </c>
      <c r="T671" s="9">
        <v>27.5</v>
      </c>
      <c r="U671" s="9">
        <v>739.71001999999999</v>
      </c>
      <c r="V671" s="45">
        <f t="shared" si="54"/>
        <v>-0.96282326958339703</v>
      </c>
      <c r="X671" s="12">
        <v>0</v>
      </c>
      <c r="Y671" s="62"/>
    </row>
    <row r="672" spans="1:25" x14ac:dyDescent="0.2">
      <c r="A672" s="3" t="s">
        <v>2984</v>
      </c>
      <c r="B672" s="3" t="s">
        <v>884</v>
      </c>
      <c r="C672" s="6" t="s">
        <v>354</v>
      </c>
      <c r="D672" s="6" t="s">
        <v>885</v>
      </c>
      <c r="E672" s="6" t="s">
        <v>163</v>
      </c>
      <c r="F672" s="6">
        <v>4295.1000000000004</v>
      </c>
      <c r="G672" s="2">
        <v>12</v>
      </c>
      <c r="H672" s="61">
        <v>14.89</v>
      </c>
      <c r="I672" s="61">
        <v>12.78</v>
      </c>
      <c r="J672" s="47">
        <f t="shared" si="50"/>
        <v>0.24083333333333337</v>
      </c>
      <c r="K672" s="47">
        <f t="shared" si="51"/>
        <v>-0.14170584284754878</v>
      </c>
      <c r="L672" s="8">
        <v>13.36</v>
      </c>
      <c r="M672" s="8">
        <v>6.19</v>
      </c>
      <c r="N672" s="8">
        <v>8.75</v>
      </c>
      <c r="O672" s="17">
        <f t="shared" si="52"/>
        <v>0.25702422145328718</v>
      </c>
      <c r="P672" s="17">
        <f t="shared" si="53"/>
        <v>-0.61747630331753522</v>
      </c>
      <c r="Q672" s="17">
        <v>8.3699999999999992</v>
      </c>
      <c r="R672" s="9">
        <v>20220727</v>
      </c>
      <c r="S672" s="9">
        <v>55.45</v>
      </c>
      <c r="T672" s="9">
        <v>14.38</v>
      </c>
      <c r="U672" s="9">
        <v>2746.1899400000002</v>
      </c>
      <c r="V672" s="45">
        <f t="shared" si="54"/>
        <v>-0.99476365425765123</v>
      </c>
      <c r="W672" s="12">
        <v>22.58</v>
      </c>
      <c r="X672" s="12">
        <v>2.58</v>
      </c>
      <c r="Y672" s="62"/>
    </row>
    <row r="673" spans="1:25" x14ac:dyDescent="0.2">
      <c r="A673" s="3" t="s">
        <v>2985</v>
      </c>
      <c r="B673" s="3" t="s">
        <v>886</v>
      </c>
      <c r="C673" s="6" t="s">
        <v>354</v>
      </c>
      <c r="D673" s="6" t="s">
        <v>206</v>
      </c>
      <c r="E673" s="6" t="s">
        <v>218</v>
      </c>
      <c r="F673" s="6">
        <v>15962.51</v>
      </c>
      <c r="G673" s="2">
        <v>12</v>
      </c>
      <c r="H673" s="61">
        <v>3.52</v>
      </c>
      <c r="I673" s="61">
        <v>3.53</v>
      </c>
      <c r="J673" s="47">
        <f t="shared" si="50"/>
        <v>-0.70666666666666667</v>
      </c>
      <c r="K673" s="47">
        <f t="shared" si="51"/>
        <v>2.8409090909090303E-3</v>
      </c>
      <c r="L673" s="8">
        <v>3.76</v>
      </c>
      <c r="M673" s="8">
        <v>19.489999999999998</v>
      </c>
      <c r="N673" s="8">
        <v>19.7</v>
      </c>
      <c r="O673" s="17">
        <f t="shared" si="52"/>
        <v>-0.27580188679245277</v>
      </c>
      <c r="P673" s="17">
        <f t="shared" si="53"/>
        <v>69.344000000001486</v>
      </c>
      <c r="Q673" s="17">
        <v>18.48</v>
      </c>
      <c r="R673" s="9">
        <v>20220804</v>
      </c>
      <c r="S673" s="9">
        <v>8.93</v>
      </c>
      <c r="T673" s="9">
        <v>19.21</v>
      </c>
      <c r="U673" s="9">
        <v>5077</v>
      </c>
      <c r="V673" s="45">
        <f t="shared" si="54"/>
        <v>-0.99621626945046282</v>
      </c>
      <c r="W673" s="12">
        <v>5.45</v>
      </c>
      <c r="X673" s="12">
        <v>3.29</v>
      </c>
      <c r="Y673" s="62">
        <v>3.24</v>
      </c>
    </row>
    <row r="674" spans="1:25" x14ac:dyDescent="0.2">
      <c r="A674" s="3" t="s">
        <v>2986</v>
      </c>
      <c r="B674" s="3" t="s">
        <v>887</v>
      </c>
      <c r="C674" s="6" t="s">
        <v>354</v>
      </c>
      <c r="D674" s="6" t="s">
        <v>191</v>
      </c>
      <c r="E674" s="6" t="s">
        <v>208</v>
      </c>
      <c r="F674" s="6">
        <v>61286.07</v>
      </c>
      <c r="G674" s="2">
        <v>12</v>
      </c>
      <c r="H674" s="61">
        <v>2.2599999999999998</v>
      </c>
      <c r="I674" s="61">
        <v>2.56</v>
      </c>
      <c r="J674" s="47">
        <f t="shared" si="50"/>
        <v>-0.81166666666666665</v>
      </c>
      <c r="K674" s="47">
        <f t="shared" si="51"/>
        <v>0.13274336283185853</v>
      </c>
      <c r="L674" s="8">
        <v>2.83</v>
      </c>
      <c r="M674" s="8">
        <v>43.04</v>
      </c>
      <c r="N674" s="8">
        <v>38.46</v>
      </c>
      <c r="O674" s="17">
        <f t="shared" si="52"/>
        <v>-0.53026694045174538</v>
      </c>
      <c r="P674" s="17">
        <f t="shared" si="53"/>
        <v>2.8973199999999975</v>
      </c>
      <c r="Q674" s="17">
        <v>34.880000000000003</v>
      </c>
      <c r="R674" s="9">
        <v>20220804</v>
      </c>
      <c r="S674" s="9">
        <v>25.8</v>
      </c>
      <c r="T674" s="9">
        <v>10.87</v>
      </c>
      <c r="U674" s="9">
        <v>5715.8471600000003</v>
      </c>
      <c r="V674" s="45">
        <f t="shared" si="54"/>
        <v>-0.99809826965352233</v>
      </c>
      <c r="W674" s="12">
        <v>3.45</v>
      </c>
      <c r="X674" s="12">
        <v>0</v>
      </c>
      <c r="Y674" s="62">
        <v>2.98</v>
      </c>
    </row>
    <row r="675" spans="1:25" x14ac:dyDescent="0.2">
      <c r="A675" s="3" t="s">
        <v>2987</v>
      </c>
      <c r="B675" s="3" t="s">
        <v>888</v>
      </c>
      <c r="C675" s="6" t="s">
        <v>355</v>
      </c>
      <c r="D675" s="6" t="s">
        <v>113</v>
      </c>
      <c r="E675" s="6" t="s">
        <v>163</v>
      </c>
      <c r="F675" s="6">
        <v>10306.49</v>
      </c>
      <c r="G675" s="2">
        <v>12</v>
      </c>
      <c r="H675" s="61">
        <v>6.13</v>
      </c>
      <c r="I675" s="61">
        <v>7.01</v>
      </c>
      <c r="J675" s="47">
        <f t="shared" si="50"/>
        <v>-0.48916666666666669</v>
      </c>
      <c r="K675" s="47">
        <f t="shared" si="51"/>
        <v>0.14355628058727568</v>
      </c>
      <c r="L675" s="8">
        <v>8.3000000000000007</v>
      </c>
      <c r="M675" s="8">
        <v>11.46</v>
      </c>
      <c r="N675" s="8">
        <v>10.34</v>
      </c>
      <c r="O675" s="17">
        <f t="shared" si="52"/>
        <v>-0.23427597955706983</v>
      </c>
      <c r="P675" s="17">
        <f t="shared" si="53"/>
        <v>0.72027500000000011</v>
      </c>
      <c r="Q675" s="17">
        <v>8.73</v>
      </c>
      <c r="R675" s="9">
        <v>20220728</v>
      </c>
      <c r="S675" s="9">
        <v>15.9</v>
      </c>
      <c r="T675" s="9">
        <v>4.43</v>
      </c>
      <c r="U675" s="9">
        <v>2116.9599600000001</v>
      </c>
      <c r="V675" s="45">
        <f t="shared" si="54"/>
        <v>-0.99790737657598405</v>
      </c>
      <c r="W675" s="12">
        <v>8.5</v>
      </c>
      <c r="X675" s="12">
        <v>2.21</v>
      </c>
      <c r="Y675" s="62">
        <v>1.03</v>
      </c>
    </row>
    <row r="676" spans="1:25" x14ac:dyDescent="0.2">
      <c r="B676" s="3" t="s">
        <v>2131</v>
      </c>
      <c r="C676" s="6" t="s">
        <v>354</v>
      </c>
      <c r="D676" s="6" t="s">
        <v>519</v>
      </c>
      <c r="E676" s="6" t="s">
        <v>163</v>
      </c>
      <c r="F676" s="6">
        <v>9881.5</v>
      </c>
      <c r="G676" s="2">
        <v>12</v>
      </c>
      <c r="H676" s="61"/>
      <c r="I676" s="61"/>
      <c r="J676" s="47">
        <f t="shared" si="50"/>
        <v>-1</v>
      </c>
      <c r="K676" s="47" t="e">
        <f t="shared" si="51"/>
        <v>#DIV/0!</v>
      </c>
      <c r="O676" s="17">
        <f t="shared" si="52"/>
        <v>0</v>
      </c>
      <c r="P676" s="17" t="e">
        <f t="shared" si="53"/>
        <v>#DIV/0!</v>
      </c>
      <c r="Q676" s="17"/>
      <c r="V676" s="45" t="e">
        <f t="shared" si="54"/>
        <v>#DIV/0!</v>
      </c>
      <c r="X676" s="12">
        <v>2.4</v>
      </c>
      <c r="Y676" s="62"/>
    </row>
    <row r="677" spans="1:25" x14ac:dyDescent="0.2">
      <c r="B677" s="3" t="s">
        <v>2132</v>
      </c>
      <c r="C677" s="6" t="s">
        <v>354</v>
      </c>
      <c r="D677" s="6" t="s">
        <v>519</v>
      </c>
      <c r="E677" s="6" t="s">
        <v>163</v>
      </c>
      <c r="F677" s="6">
        <v>3863.54</v>
      </c>
      <c r="G677" s="2">
        <v>12</v>
      </c>
      <c r="H677" s="61"/>
      <c r="I677" s="61"/>
      <c r="J677" s="47">
        <f t="shared" si="50"/>
        <v>-1</v>
      </c>
      <c r="K677" s="47" t="e">
        <f t="shared" si="51"/>
        <v>#DIV/0!</v>
      </c>
      <c r="O677" s="17">
        <f t="shared" si="52"/>
        <v>0</v>
      </c>
      <c r="P677" s="17" t="e">
        <f t="shared" si="53"/>
        <v>#DIV/0!</v>
      </c>
      <c r="Q677" s="17"/>
      <c r="V677" s="45" t="e">
        <f t="shared" si="54"/>
        <v>#DIV/0!</v>
      </c>
      <c r="X677" s="12">
        <v>4.3600000000000003</v>
      </c>
      <c r="Y677" s="62"/>
    </row>
    <row r="678" spans="1:25" x14ac:dyDescent="0.2">
      <c r="B678" s="3" t="s">
        <v>2133</v>
      </c>
      <c r="C678" s="6" t="s">
        <v>354</v>
      </c>
      <c r="D678" s="6" t="s">
        <v>519</v>
      </c>
      <c r="E678" s="6" t="s">
        <v>163</v>
      </c>
      <c r="F678" s="6">
        <v>3730.69</v>
      </c>
      <c r="G678" s="2">
        <v>12</v>
      </c>
      <c r="H678" s="61"/>
      <c r="I678" s="61"/>
      <c r="J678" s="47">
        <f t="shared" si="50"/>
        <v>-1</v>
      </c>
      <c r="K678" s="47" t="e">
        <f t="shared" si="51"/>
        <v>#DIV/0!</v>
      </c>
      <c r="O678" s="17">
        <f t="shared" si="52"/>
        <v>0</v>
      </c>
      <c r="P678" s="17" t="e">
        <f t="shared" si="53"/>
        <v>#DIV/0!</v>
      </c>
      <c r="Q678" s="17"/>
      <c r="V678" s="45" t="e">
        <f t="shared" si="54"/>
        <v>#DIV/0!</v>
      </c>
      <c r="X678" s="12">
        <v>2.52</v>
      </c>
      <c r="Y678" s="62"/>
    </row>
    <row r="679" spans="1:25" x14ac:dyDescent="0.2">
      <c r="B679" s="3" t="s">
        <v>2134</v>
      </c>
      <c r="C679" s="6" t="s">
        <v>354</v>
      </c>
      <c r="D679" s="6" t="s">
        <v>519</v>
      </c>
      <c r="E679" s="6" t="s">
        <v>163</v>
      </c>
      <c r="F679" s="6">
        <v>6182.33</v>
      </c>
      <c r="G679" s="2">
        <v>12</v>
      </c>
      <c r="H679" s="61"/>
      <c r="I679" s="61"/>
      <c r="J679" s="47">
        <f t="shared" si="50"/>
        <v>-1</v>
      </c>
      <c r="K679" s="47" t="e">
        <f t="shared" si="51"/>
        <v>#DIV/0!</v>
      </c>
      <c r="O679" s="17">
        <f t="shared" si="52"/>
        <v>0</v>
      </c>
      <c r="P679" s="17" t="e">
        <f t="shared" si="53"/>
        <v>#DIV/0!</v>
      </c>
      <c r="Q679" s="17"/>
      <c r="V679" s="45" t="e">
        <f t="shared" si="54"/>
        <v>#DIV/0!</v>
      </c>
      <c r="X679" s="12">
        <v>7.8</v>
      </c>
      <c r="Y679" s="62"/>
    </row>
    <row r="680" spans="1:25" x14ac:dyDescent="0.2">
      <c r="A680" s="3" t="s">
        <v>2988</v>
      </c>
      <c r="B680" s="3" t="s">
        <v>889</v>
      </c>
      <c r="C680" s="6" t="s">
        <v>355</v>
      </c>
      <c r="D680" s="6" t="s">
        <v>185</v>
      </c>
      <c r="E680" s="6" t="s">
        <v>208</v>
      </c>
      <c r="F680" s="6">
        <v>8772.6200000000008</v>
      </c>
      <c r="G680" s="2">
        <v>12</v>
      </c>
      <c r="H680" s="61">
        <v>-3.14</v>
      </c>
      <c r="I680" s="61">
        <v>-4.26</v>
      </c>
      <c r="J680" s="47">
        <f t="shared" si="50"/>
        <v>-1.2616666666666667</v>
      </c>
      <c r="K680" s="47">
        <f t="shared" si="51"/>
        <v>-0.35668789808917184</v>
      </c>
      <c r="L680" s="8">
        <v>-3.25</v>
      </c>
      <c r="O680" s="17">
        <f t="shared" si="52"/>
        <v>0</v>
      </c>
      <c r="P680" s="17">
        <f t="shared" si="53"/>
        <v>0</v>
      </c>
      <c r="Q680" s="17"/>
      <c r="R680" s="9">
        <v>20220727</v>
      </c>
      <c r="S680" s="9">
        <v>-21.82</v>
      </c>
      <c r="T680" s="9">
        <v>68.34</v>
      </c>
      <c r="U680" s="9">
        <v>2018.71594</v>
      </c>
      <c r="V680" s="45">
        <f t="shared" si="54"/>
        <v>-0.96614679725568531</v>
      </c>
      <c r="W680" s="12">
        <v>7.14</v>
      </c>
      <c r="X680" s="12">
        <v>0</v>
      </c>
      <c r="Y680" s="62"/>
    </row>
    <row r="681" spans="1:25" x14ac:dyDescent="0.2">
      <c r="A681" s="3" t="s">
        <v>2989</v>
      </c>
      <c r="B681" s="3" t="s">
        <v>890</v>
      </c>
      <c r="C681" s="6" t="s">
        <v>355</v>
      </c>
      <c r="D681" s="6" t="s">
        <v>246</v>
      </c>
      <c r="E681" s="6" t="s">
        <v>250</v>
      </c>
      <c r="F681" s="6">
        <v>48183.53</v>
      </c>
      <c r="G681" s="2">
        <v>12</v>
      </c>
      <c r="H681" s="61">
        <v>2.4300000000000002</v>
      </c>
      <c r="I681" s="61">
        <v>2.2799999999999998</v>
      </c>
      <c r="J681" s="47">
        <f t="shared" si="50"/>
        <v>-0.79749999999999999</v>
      </c>
      <c r="K681" s="47">
        <f t="shared" si="51"/>
        <v>-6.1728395061728537E-2</v>
      </c>
      <c r="L681" s="8">
        <v>2.42</v>
      </c>
      <c r="M681" s="8">
        <v>13.97</v>
      </c>
      <c r="N681" s="8">
        <v>21.58</v>
      </c>
      <c r="O681" s="17">
        <f t="shared" si="52"/>
        <v>-0.17517241379310344</v>
      </c>
      <c r="P681" s="17">
        <f t="shared" si="53"/>
        <v>-3.4959599999999917</v>
      </c>
      <c r="Q681" s="17">
        <v>20.329999999999998</v>
      </c>
      <c r="R681" s="9">
        <v>20220803</v>
      </c>
      <c r="S681" s="9">
        <v>10.87</v>
      </c>
      <c r="T681" s="9">
        <v>-0.15</v>
      </c>
      <c r="U681" s="9">
        <v>18747.89257</v>
      </c>
      <c r="V681" s="45">
        <f t="shared" si="54"/>
        <v>-1.0000080008992713</v>
      </c>
      <c r="W681" s="12">
        <v>-3.03</v>
      </c>
      <c r="X681" s="12">
        <v>2.75</v>
      </c>
      <c r="Y681" s="62">
        <v>3.48</v>
      </c>
    </row>
    <row r="682" spans="1:25" x14ac:dyDescent="0.2">
      <c r="A682" s="3" t="s">
        <v>2990</v>
      </c>
      <c r="B682" s="3" t="s">
        <v>891</v>
      </c>
      <c r="C682" s="6" t="s">
        <v>355</v>
      </c>
      <c r="D682" s="6" t="s">
        <v>185</v>
      </c>
      <c r="E682" s="6" t="s">
        <v>208</v>
      </c>
      <c r="F682" s="6">
        <v>5834.27</v>
      </c>
      <c r="G682" s="2">
        <v>12</v>
      </c>
      <c r="H682" s="61">
        <v>0.49</v>
      </c>
      <c r="I682" s="61">
        <v>0.89</v>
      </c>
      <c r="J682" s="47">
        <f t="shared" si="50"/>
        <v>-0.95916666666666661</v>
      </c>
      <c r="K682" s="47">
        <f t="shared" si="51"/>
        <v>0.81632653061224492</v>
      </c>
      <c r="L682" s="8">
        <v>1.19</v>
      </c>
      <c r="M682" s="8">
        <v>19.77</v>
      </c>
      <c r="N682" s="8">
        <v>20.440000000000001</v>
      </c>
      <c r="O682" s="17">
        <f t="shared" si="52"/>
        <v>-0.20611642050390966</v>
      </c>
      <c r="P682" s="17">
        <f t="shared" si="53"/>
        <v>0.25039</v>
      </c>
      <c r="Q682" s="17">
        <v>15.33</v>
      </c>
      <c r="R682" s="9">
        <v>20220804</v>
      </c>
      <c r="S682" s="9">
        <v>13.77</v>
      </c>
      <c r="T682" s="9">
        <v>28.82</v>
      </c>
      <c r="U682" s="9">
        <v>1607.5510200000001</v>
      </c>
      <c r="V682" s="45">
        <f t="shared" si="54"/>
        <v>-0.98207210866626182</v>
      </c>
      <c r="W682" s="12">
        <v>50</v>
      </c>
      <c r="X682" s="12">
        <v>0</v>
      </c>
      <c r="Y682" s="62">
        <v>0.55000000000000004</v>
      </c>
    </row>
    <row r="683" spans="1:25" x14ac:dyDescent="0.2">
      <c r="A683" s="3" t="s">
        <v>2991</v>
      </c>
      <c r="B683" s="3" t="s">
        <v>1962</v>
      </c>
      <c r="C683" s="6" t="s">
        <v>355</v>
      </c>
      <c r="D683" s="6" t="s">
        <v>210</v>
      </c>
      <c r="E683" s="6" t="s">
        <v>108</v>
      </c>
      <c r="F683" s="6">
        <v>4620.12</v>
      </c>
      <c r="G683" s="2">
        <v>12</v>
      </c>
      <c r="H683" s="61">
        <v>4.8</v>
      </c>
      <c r="I683" s="61">
        <v>5.57</v>
      </c>
      <c r="J683" s="47">
        <f t="shared" si="50"/>
        <v>-0.6</v>
      </c>
      <c r="K683" s="47">
        <f t="shared" si="51"/>
        <v>0.16041666666666676</v>
      </c>
      <c r="L683" s="8">
        <v>6.25</v>
      </c>
      <c r="M683" s="8">
        <v>27.38</v>
      </c>
      <c r="N683" s="8">
        <v>24.92</v>
      </c>
      <c r="O683" s="17">
        <f t="shared" si="52"/>
        <v>-0.45633333333333331</v>
      </c>
      <c r="P683" s="17">
        <f t="shared" si="53"/>
        <v>1.5534545454545448</v>
      </c>
      <c r="Q683" s="17">
        <v>22.2</v>
      </c>
      <c r="R683" s="9">
        <v>20220804</v>
      </c>
      <c r="S683" s="9">
        <v>20.12</v>
      </c>
      <c r="T683" s="9">
        <v>9.2799999999999994</v>
      </c>
      <c r="U683" s="9">
        <v>1334.2299800000001</v>
      </c>
      <c r="V683" s="45">
        <f t="shared" si="54"/>
        <v>-0.99304467735015223</v>
      </c>
      <c r="W683" s="12">
        <v>8.4</v>
      </c>
      <c r="X683" s="12">
        <v>0</v>
      </c>
      <c r="Y683" s="62">
        <v>1.91</v>
      </c>
    </row>
    <row r="684" spans="1:25" x14ac:dyDescent="0.2">
      <c r="A684" s="3" t="s">
        <v>2992</v>
      </c>
      <c r="B684" s="3" t="s">
        <v>892</v>
      </c>
      <c r="C684" s="6" t="s">
        <v>354</v>
      </c>
      <c r="D684" s="6" t="s">
        <v>118</v>
      </c>
      <c r="E684" s="6" t="s">
        <v>140</v>
      </c>
      <c r="F684" s="6">
        <v>4978.1499999999996</v>
      </c>
      <c r="G684" s="2">
        <v>3</v>
      </c>
      <c r="H684" s="61">
        <v>9.31</v>
      </c>
      <c r="I684" s="61">
        <v>11.16</v>
      </c>
      <c r="J684" s="47">
        <f t="shared" si="50"/>
        <v>2.1033333333333335</v>
      </c>
      <c r="K684" s="47">
        <f t="shared" si="51"/>
        <v>0.19871106337271746</v>
      </c>
      <c r="L684" s="8">
        <v>13.11</v>
      </c>
      <c r="M684" s="8">
        <v>13.85</v>
      </c>
      <c r="N684" s="8">
        <v>11.68</v>
      </c>
      <c r="O684" s="17">
        <f t="shared" si="52"/>
        <v>6.5847860538827255E-2</v>
      </c>
      <c r="P684" s="17">
        <f t="shared" si="53"/>
        <v>0.58778810810810822</v>
      </c>
      <c r="Q684" s="17">
        <v>9.94</v>
      </c>
      <c r="R684" s="9">
        <v>20220727</v>
      </c>
      <c r="S684" s="9">
        <v>30.51</v>
      </c>
      <c r="T684" s="9">
        <v>6.83</v>
      </c>
      <c r="U684" s="9">
        <v>2089.25488</v>
      </c>
      <c r="V684" s="45">
        <f t="shared" si="54"/>
        <v>-0.99673089192449327</v>
      </c>
      <c r="W684" s="12">
        <v>9.1999999999999993</v>
      </c>
      <c r="X684" s="12">
        <v>0.77</v>
      </c>
      <c r="Y684" s="62"/>
    </row>
    <row r="685" spans="1:25" x14ac:dyDescent="0.2">
      <c r="A685" s="3" t="s">
        <v>2993</v>
      </c>
      <c r="B685" s="3" t="s">
        <v>893</v>
      </c>
      <c r="C685" s="6" t="s">
        <v>355</v>
      </c>
      <c r="D685" s="6" t="s">
        <v>240</v>
      </c>
      <c r="E685" s="6" t="s">
        <v>237</v>
      </c>
      <c r="F685" s="6">
        <v>18236.53</v>
      </c>
      <c r="G685" s="2">
        <v>12</v>
      </c>
      <c r="H685" s="61">
        <v>7.59</v>
      </c>
      <c r="I685" s="61">
        <v>7.63</v>
      </c>
      <c r="J685" s="47">
        <f t="shared" si="50"/>
        <v>-0.36749999999999999</v>
      </c>
      <c r="K685" s="47">
        <f t="shared" si="51"/>
        <v>5.2700922266139703E-3</v>
      </c>
      <c r="L685" s="8">
        <v>5.72</v>
      </c>
      <c r="M685" s="8">
        <v>12.58</v>
      </c>
      <c r="N685" s="8">
        <v>14.25</v>
      </c>
      <c r="O685" s="17">
        <f t="shared" si="52"/>
        <v>-0.34231292517006801</v>
      </c>
      <c r="P685" s="17">
        <f t="shared" si="53"/>
        <v>27.039374999999975</v>
      </c>
      <c r="Q685" s="17">
        <v>18.989999999999998</v>
      </c>
      <c r="R685" s="9">
        <v>20220802</v>
      </c>
      <c r="S685" s="9">
        <v>42.58</v>
      </c>
      <c r="T685" s="9">
        <v>20.23</v>
      </c>
      <c r="U685" s="9">
        <v>17519.460930000001</v>
      </c>
      <c r="V685" s="45">
        <f t="shared" si="54"/>
        <v>-0.99884528410543971</v>
      </c>
      <c r="W685" s="12">
        <v>15.82</v>
      </c>
      <c r="X685" s="12">
        <v>1.07</v>
      </c>
      <c r="Y685" s="62"/>
    </row>
    <row r="686" spans="1:25" x14ac:dyDescent="0.2">
      <c r="A686" s="3" t="s">
        <v>2994</v>
      </c>
      <c r="B686" s="3" t="s">
        <v>894</v>
      </c>
      <c r="C686" s="6" t="s">
        <v>355</v>
      </c>
      <c r="D686" s="6" t="s">
        <v>174</v>
      </c>
      <c r="E686" s="6" t="s">
        <v>231</v>
      </c>
      <c r="F686" s="6">
        <v>20468.28</v>
      </c>
      <c r="G686" s="2">
        <v>12</v>
      </c>
      <c r="H686" s="61">
        <v>1.41</v>
      </c>
      <c r="I686" s="61">
        <v>6.65</v>
      </c>
      <c r="J686" s="47">
        <f t="shared" si="50"/>
        <v>-0.88249999999999995</v>
      </c>
      <c r="K686" s="47">
        <f t="shared" si="51"/>
        <v>3.7163120567375891</v>
      </c>
      <c r="L686" s="8">
        <v>9.7100000000000009</v>
      </c>
      <c r="M686" s="8">
        <v>43.72</v>
      </c>
      <c r="N686" s="8">
        <v>19.600000000000001</v>
      </c>
      <c r="O686" s="17">
        <f t="shared" si="52"/>
        <v>-0.49541076487252123</v>
      </c>
      <c r="P686" s="17">
        <f t="shared" si="53"/>
        <v>5.2740458015267173E-2</v>
      </c>
      <c r="Q686" s="17">
        <v>13.42</v>
      </c>
      <c r="R686" s="9">
        <v>20220804</v>
      </c>
      <c r="S686" s="9">
        <v>11.93</v>
      </c>
      <c r="T686" s="9">
        <v>-10.199999999999999</v>
      </c>
      <c r="U686" s="9">
        <v>11760.278319999999</v>
      </c>
      <c r="V686" s="45">
        <f t="shared" si="54"/>
        <v>-1.0008673264120505</v>
      </c>
      <c r="W686" s="12">
        <v>-77.78</v>
      </c>
      <c r="X686" s="12">
        <v>0</v>
      </c>
      <c r="Y686" s="62">
        <v>1.25</v>
      </c>
    </row>
    <row r="687" spans="1:25" x14ac:dyDescent="0.2">
      <c r="A687" s="3" t="s">
        <v>2995</v>
      </c>
      <c r="B687" s="3" t="s">
        <v>895</v>
      </c>
      <c r="C687" s="6" t="s">
        <v>356</v>
      </c>
      <c r="D687" s="6" t="s">
        <v>123</v>
      </c>
      <c r="E687" s="6" t="s">
        <v>108</v>
      </c>
      <c r="F687" s="6">
        <v>30225.16</v>
      </c>
      <c r="G687" s="2">
        <v>3</v>
      </c>
      <c r="H687" s="61">
        <v>1.25</v>
      </c>
      <c r="I687" s="61">
        <v>1.38</v>
      </c>
      <c r="J687" s="47">
        <f t="shared" si="50"/>
        <v>-0.58333333333333337</v>
      </c>
      <c r="K687" s="47">
        <f t="shared" si="51"/>
        <v>0.10399999999999991</v>
      </c>
      <c r="L687" s="8">
        <v>1.54</v>
      </c>
      <c r="N687" s="8">
        <v>23.73</v>
      </c>
      <c r="O687" s="17">
        <f t="shared" si="52"/>
        <v>0</v>
      </c>
      <c r="P687" s="17">
        <f t="shared" si="53"/>
        <v>2.2817307692307711</v>
      </c>
      <c r="Q687" s="17">
        <v>21.29</v>
      </c>
      <c r="U687" s="9">
        <v>6809.21191</v>
      </c>
      <c r="V687" s="45">
        <f t="shared" si="54"/>
        <v>-1</v>
      </c>
      <c r="X687" s="12">
        <v>0.9</v>
      </c>
      <c r="Y687" s="62">
        <v>1.98</v>
      </c>
    </row>
    <row r="688" spans="1:25" x14ac:dyDescent="0.2">
      <c r="A688" s="3" t="s">
        <v>2996</v>
      </c>
      <c r="B688" s="3" t="s">
        <v>896</v>
      </c>
      <c r="C688" s="6" t="s">
        <v>355</v>
      </c>
      <c r="D688" s="6" t="s">
        <v>135</v>
      </c>
      <c r="E688" s="6" t="s">
        <v>108</v>
      </c>
      <c r="F688" s="6">
        <v>4648.3999999999996</v>
      </c>
      <c r="G688" s="2">
        <v>12</v>
      </c>
      <c r="H688" s="61">
        <v>1.88</v>
      </c>
      <c r="I688" s="61">
        <v>1.82</v>
      </c>
      <c r="J688" s="47">
        <f t="shared" si="50"/>
        <v>-0.84333333333333338</v>
      </c>
      <c r="K688" s="47">
        <f t="shared" si="51"/>
        <v>-3.1914893617021191E-2</v>
      </c>
      <c r="L688" s="8">
        <v>2.0299999999999998</v>
      </c>
      <c r="M688" s="8">
        <v>47.71</v>
      </c>
      <c r="N688" s="8">
        <v>49.42</v>
      </c>
      <c r="O688" s="17">
        <f t="shared" si="52"/>
        <v>-0.5657312252964426</v>
      </c>
      <c r="P688" s="17">
        <f t="shared" si="53"/>
        <v>-15.484933333333375</v>
      </c>
      <c r="Q688" s="17">
        <v>44.3</v>
      </c>
      <c r="R688" s="9">
        <v>20220804</v>
      </c>
      <c r="S688" s="9">
        <v>25.02</v>
      </c>
      <c r="T688" s="9">
        <v>6.93</v>
      </c>
      <c r="U688" s="9">
        <v>465.45001000000002</v>
      </c>
      <c r="V688" s="45">
        <f t="shared" si="54"/>
        <v>-0.98511118304627387</v>
      </c>
      <c r="W688" s="12">
        <v>7.69</v>
      </c>
      <c r="X688" s="12">
        <v>1.07</v>
      </c>
      <c r="Y688" s="62"/>
    </row>
    <row r="689" spans="1:25" x14ac:dyDescent="0.2">
      <c r="A689" s="3" t="s">
        <v>2997</v>
      </c>
      <c r="B689" s="3" t="s">
        <v>897</v>
      </c>
      <c r="C689" s="6" t="s">
        <v>354</v>
      </c>
      <c r="D689" s="6" t="s">
        <v>215</v>
      </c>
      <c r="E689" s="6" t="s">
        <v>163</v>
      </c>
      <c r="F689" s="6">
        <v>23454.66</v>
      </c>
      <c r="G689" s="2">
        <v>12</v>
      </c>
      <c r="H689" s="61">
        <v>6.86</v>
      </c>
      <c r="I689" s="61">
        <v>8.11</v>
      </c>
      <c r="J689" s="47">
        <f t="shared" si="50"/>
        <v>-0.42833333333333329</v>
      </c>
      <c r="K689" s="47">
        <f t="shared" si="51"/>
        <v>0.18221574344023309</v>
      </c>
      <c r="L689" s="8">
        <v>8.58</v>
      </c>
      <c r="M689" s="8">
        <v>23.57</v>
      </c>
      <c r="N689" s="8">
        <v>21.54</v>
      </c>
      <c r="O689" s="17">
        <f t="shared" si="52"/>
        <v>-0.55027237354085612</v>
      </c>
      <c r="P689" s="17">
        <f t="shared" si="53"/>
        <v>1.1821152000000008</v>
      </c>
      <c r="Q689" s="17">
        <v>20.350000000000001</v>
      </c>
      <c r="R689" s="9">
        <v>20220726</v>
      </c>
      <c r="S689" s="9">
        <v>23.42</v>
      </c>
      <c r="T689" s="9">
        <v>8.6199999999999992</v>
      </c>
      <c r="U689" s="9">
        <v>1824.04504</v>
      </c>
      <c r="V689" s="45">
        <f t="shared" si="54"/>
        <v>-0.99527423950013871</v>
      </c>
      <c r="W689" s="12">
        <v>8.06</v>
      </c>
      <c r="X689" s="12">
        <v>3.43</v>
      </c>
      <c r="Y689" s="62">
        <v>2.81</v>
      </c>
    </row>
    <row r="690" spans="1:25" x14ac:dyDescent="0.2">
      <c r="B690" s="3" t="s">
        <v>2135</v>
      </c>
      <c r="C690" s="6" t="s">
        <v>570</v>
      </c>
      <c r="D690" s="6" t="s">
        <v>519</v>
      </c>
      <c r="E690" s="6" t="s">
        <v>163</v>
      </c>
      <c r="F690" s="6">
        <v>5660.75</v>
      </c>
      <c r="G690" s="2">
        <v>12</v>
      </c>
      <c r="H690" s="61"/>
      <c r="I690" s="61"/>
      <c r="J690" s="47">
        <f t="shared" si="50"/>
        <v>-1</v>
      </c>
      <c r="K690" s="47" t="e">
        <f t="shared" si="51"/>
        <v>#DIV/0!</v>
      </c>
      <c r="O690" s="17">
        <f t="shared" si="52"/>
        <v>0</v>
      </c>
      <c r="P690" s="17" t="e">
        <f t="shared" si="53"/>
        <v>#DIV/0!</v>
      </c>
      <c r="Q690" s="17"/>
      <c r="V690" s="45" t="e">
        <f t="shared" si="54"/>
        <v>#DIV/0!</v>
      </c>
      <c r="X690" s="12">
        <v>2.91</v>
      </c>
      <c r="Y690" s="62"/>
    </row>
    <row r="691" spans="1:25" x14ac:dyDescent="0.2">
      <c r="A691" s="3" t="s">
        <v>2998</v>
      </c>
      <c r="B691" s="3" t="s">
        <v>898</v>
      </c>
      <c r="C691" s="6" t="s">
        <v>354</v>
      </c>
      <c r="D691" s="6" t="s">
        <v>44</v>
      </c>
      <c r="E691" s="6" t="s">
        <v>35</v>
      </c>
      <c r="F691" s="6">
        <v>52739.32</v>
      </c>
      <c r="G691" s="2">
        <v>12</v>
      </c>
      <c r="H691" s="61">
        <v>1.82</v>
      </c>
      <c r="I691" s="61">
        <v>1.92</v>
      </c>
      <c r="J691" s="47">
        <f t="shared" si="50"/>
        <v>-0.84833333333333327</v>
      </c>
      <c r="K691" s="47">
        <f t="shared" si="51"/>
        <v>5.4945054945054868E-2</v>
      </c>
      <c r="L691" s="8">
        <v>2.08</v>
      </c>
      <c r="M691" s="8">
        <v>10.25</v>
      </c>
      <c r="N691" s="8">
        <v>6.84</v>
      </c>
      <c r="O691" s="17">
        <f t="shared" si="52"/>
        <v>-0.12082514734774068</v>
      </c>
      <c r="P691" s="17">
        <f t="shared" si="53"/>
        <v>1.2448800000000018</v>
      </c>
      <c r="Q691" s="17">
        <v>6.32</v>
      </c>
      <c r="R691" s="9">
        <v>20220727</v>
      </c>
      <c r="S691" s="9">
        <v>12.46</v>
      </c>
      <c r="T691" s="9">
        <v>-4.46</v>
      </c>
      <c r="U691" s="9">
        <v>143898.67186999999</v>
      </c>
      <c r="V691" s="45">
        <f t="shared" si="54"/>
        <v>-1.0000309940317171</v>
      </c>
      <c r="W691" s="12">
        <v>-2.56</v>
      </c>
      <c r="X691" s="12">
        <v>3.05</v>
      </c>
      <c r="Y691" s="62">
        <v>2.2799999999999998</v>
      </c>
    </row>
    <row r="692" spans="1:25" x14ac:dyDescent="0.2">
      <c r="A692" s="3" t="s">
        <v>2999</v>
      </c>
      <c r="B692" s="3" t="s">
        <v>899</v>
      </c>
      <c r="C692" s="6" t="s">
        <v>354</v>
      </c>
      <c r="D692" s="6" t="s">
        <v>173</v>
      </c>
      <c r="E692" s="6" t="s">
        <v>163</v>
      </c>
      <c r="F692" s="6">
        <v>6498.02</v>
      </c>
      <c r="G692" s="2">
        <v>12</v>
      </c>
      <c r="H692" s="61">
        <v>7.61</v>
      </c>
      <c r="I692" s="61">
        <v>6.67</v>
      </c>
      <c r="J692" s="47">
        <f t="shared" si="50"/>
        <v>-0.36583333333333329</v>
      </c>
      <c r="K692" s="47">
        <f t="shared" si="51"/>
        <v>-0.12352168199737193</v>
      </c>
      <c r="L692" s="8">
        <v>7.05</v>
      </c>
      <c r="M692" s="8">
        <v>7.83</v>
      </c>
      <c r="N692" s="8">
        <v>9.07</v>
      </c>
      <c r="O692" s="17">
        <f t="shared" si="52"/>
        <v>-0.21403189066059228</v>
      </c>
      <c r="P692" s="17">
        <f t="shared" si="53"/>
        <v>-0.73428404255319124</v>
      </c>
      <c r="Q692" s="17">
        <v>8.59</v>
      </c>
      <c r="R692" s="9">
        <v>20220728</v>
      </c>
      <c r="S692" s="9">
        <v>15.61</v>
      </c>
      <c r="T692" s="9">
        <v>11.14</v>
      </c>
      <c r="U692" s="9">
        <v>8639</v>
      </c>
      <c r="V692" s="45">
        <f t="shared" si="54"/>
        <v>-0.99871049890033581</v>
      </c>
      <c r="W692" s="12">
        <v>-3.31</v>
      </c>
      <c r="X692" s="12">
        <v>3.37</v>
      </c>
      <c r="Y692" s="62"/>
    </row>
    <row r="693" spans="1:25" x14ac:dyDescent="0.2">
      <c r="A693" s="3" t="s">
        <v>3000</v>
      </c>
      <c r="B693" s="3" t="s">
        <v>900</v>
      </c>
      <c r="C693" s="6" t="s">
        <v>355</v>
      </c>
      <c r="D693" s="6" t="s">
        <v>200</v>
      </c>
      <c r="E693" s="6" t="s">
        <v>218</v>
      </c>
      <c r="F693" s="6">
        <v>25990.240000000002</v>
      </c>
      <c r="G693" s="2">
        <v>12</v>
      </c>
      <c r="H693" s="61">
        <v>11.12</v>
      </c>
      <c r="I693" s="61">
        <v>25.51</v>
      </c>
      <c r="J693" s="47">
        <f t="shared" si="50"/>
        <v>-7.3333333333333403E-2</v>
      </c>
      <c r="K693" s="47">
        <f t="shared" si="51"/>
        <v>1.2940647482014391</v>
      </c>
      <c r="L693" s="8">
        <v>24.13</v>
      </c>
      <c r="M693" s="8">
        <v>10.33</v>
      </c>
      <c r="N693" s="8">
        <v>5.74</v>
      </c>
      <c r="O693" s="17">
        <f t="shared" si="52"/>
        <v>-1.4086363636363624</v>
      </c>
      <c r="P693" s="17">
        <f t="shared" si="53"/>
        <v>4.4356358582348848E-2</v>
      </c>
      <c r="Q693" s="17">
        <v>6.07</v>
      </c>
      <c r="R693" s="9">
        <v>20220801</v>
      </c>
      <c r="S693" s="9">
        <v>19.91</v>
      </c>
      <c r="T693" s="9">
        <v>46.87</v>
      </c>
      <c r="U693" s="9">
        <v>9465.3759699999991</v>
      </c>
      <c r="V693" s="45">
        <f t="shared" si="54"/>
        <v>-0.99504826853697592</v>
      </c>
      <c r="W693" s="12">
        <v>9.6999999999999993</v>
      </c>
      <c r="X693" s="12">
        <v>1.91</v>
      </c>
      <c r="Y693" s="62">
        <v>0.26</v>
      </c>
    </row>
    <row r="694" spans="1:25" x14ac:dyDescent="0.2">
      <c r="A694" s="3" t="s">
        <v>3001</v>
      </c>
      <c r="B694" s="3" t="s">
        <v>901</v>
      </c>
      <c r="C694" s="6" t="s">
        <v>356</v>
      </c>
      <c r="D694" s="6" t="s">
        <v>902</v>
      </c>
      <c r="E694" s="6" t="s">
        <v>201</v>
      </c>
      <c r="F694" s="6">
        <v>32792.15</v>
      </c>
      <c r="G694" s="2">
        <v>3</v>
      </c>
      <c r="H694" s="61">
        <v>0.75</v>
      </c>
      <c r="I694" s="61">
        <v>0.72</v>
      </c>
      <c r="J694" s="47">
        <f t="shared" si="50"/>
        <v>-0.75</v>
      </c>
      <c r="K694" s="47">
        <f t="shared" si="51"/>
        <v>-4.0000000000000036E-2</v>
      </c>
      <c r="L694" s="8">
        <v>0.68</v>
      </c>
      <c r="M694" s="8">
        <v>22.87</v>
      </c>
      <c r="N694" s="8">
        <v>22.45</v>
      </c>
      <c r="O694" s="17">
        <f t="shared" si="52"/>
        <v>-0.30493333333333333</v>
      </c>
      <c r="P694" s="17">
        <f t="shared" si="53"/>
        <v>-5.6124999999999945</v>
      </c>
      <c r="Q694" s="17">
        <v>23.88</v>
      </c>
      <c r="R694" s="9">
        <v>20220804</v>
      </c>
      <c r="S694" s="9">
        <v>10.46</v>
      </c>
      <c r="T694" s="9">
        <v>-1.35</v>
      </c>
      <c r="U694" s="9">
        <v>6952.7700100000002</v>
      </c>
      <c r="V694" s="45">
        <f t="shared" si="54"/>
        <v>-1.000194167216528</v>
      </c>
      <c r="W694" s="12">
        <v>-15.79</v>
      </c>
      <c r="X694" s="12">
        <v>1.9</v>
      </c>
      <c r="Y694" s="62"/>
    </row>
    <row r="695" spans="1:25" x14ac:dyDescent="0.2">
      <c r="A695" s="3" t="s">
        <v>3002</v>
      </c>
      <c r="B695" s="3" t="s">
        <v>903</v>
      </c>
      <c r="C695" s="6" t="s">
        <v>355</v>
      </c>
      <c r="D695" s="6" t="s">
        <v>534</v>
      </c>
      <c r="E695" s="6" t="s">
        <v>231</v>
      </c>
      <c r="F695" s="6">
        <v>30230.83</v>
      </c>
      <c r="G695" s="2">
        <v>12</v>
      </c>
      <c r="H695" s="61">
        <v>1.58</v>
      </c>
      <c r="I695" s="61">
        <v>1.88</v>
      </c>
      <c r="J695" s="47">
        <f t="shared" si="50"/>
        <v>-0.86833333333333329</v>
      </c>
      <c r="K695" s="47">
        <f t="shared" si="51"/>
        <v>0.18987341772151886</v>
      </c>
      <c r="L695" s="8">
        <v>2.0299999999999998</v>
      </c>
      <c r="M695" s="8">
        <v>30.71</v>
      </c>
      <c r="N695" s="8">
        <v>27.99</v>
      </c>
      <c r="O695" s="17">
        <f t="shared" si="52"/>
        <v>-0.3536660268714012</v>
      </c>
      <c r="P695" s="17">
        <f t="shared" si="53"/>
        <v>1.4741400000000009</v>
      </c>
      <c r="Q695" s="17">
        <v>25.94</v>
      </c>
      <c r="R695" s="9">
        <v>20220713</v>
      </c>
      <c r="S695" s="9">
        <v>32.72</v>
      </c>
      <c r="T695" s="9">
        <v>8.17</v>
      </c>
      <c r="U695" s="9">
        <v>6934.0888599999998</v>
      </c>
      <c r="V695" s="45">
        <f t="shared" si="54"/>
        <v>-0.99882176300809622</v>
      </c>
      <c r="W695" s="12">
        <v>6.82</v>
      </c>
      <c r="X695" s="12">
        <v>2.36</v>
      </c>
      <c r="Y695" s="62">
        <v>3.11</v>
      </c>
    </row>
    <row r="696" spans="1:25" x14ac:dyDescent="0.2">
      <c r="A696" s="3" t="s">
        <v>3003</v>
      </c>
      <c r="B696" s="3" t="s">
        <v>904</v>
      </c>
      <c r="C696" s="6" t="s">
        <v>355</v>
      </c>
      <c r="D696" s="6" t="s">
        <v>177</v>
      </c>
      <c r="E696" s="6" t="s">
        <v>119</v>
      </c>
      <c r="F696" s="6">
        <v>518612.78</v>
      </c>
      <c r="G696" s="2">
        <v>12</v>
      </c>
      <c r="H696" s="61">
        <v>13.91</v>
      </c>
      <c r="I696" s="61">
        <v>11.6</v>
      </c>
      <c r="J696" s="47">
        <f t="shared" si="50"/>
        <v>0.15916666666666668</v>
      </c>
      <c r="K696" s="47">
        <f t="shared" si="51"/>
        <v>-0.16606757728253058</v>
      </c>
      <c r="L696" s="8">
        <v>13.68</v>
      </c>
      <c r="M696" s="8">
        <v>14.49</v>
      </c>
      <c r="N696" s="8">
        <v>16.52</v>
      </c>
      <c r="O696" s="17">
        <f t="shared" si="52"/>
        <v>0.91036649214659682</v>
      </c>
      <c r="P696" s="17">
        <f t="shared" si="53"/>
        <v>-0.99477575757575742</v>
      </c>
      <c r="Q696" s="17">
        <v>14.01</v>
      </c>
      <c r="R696" s="9">
        <v>20220727</v>
      </c>
      <c r="S696" s="9">
        <v>28.74</v>
      </c>
      <c r="T696" s="9">
        <v>29.8</v>
      </c>
      <c r="U696" s="9">
        <v>125116.44531</v>
      </c>
      <c r="V696" s="45">
        <f t="shared" si="54"/>
        <v>-0.99976182187780216</v>
      </c>
      <c r="W696" s="12">
        <v>7.09</v>
      </c>
      <c r="X696" s="12">
        <v>0</v>
      </c>
      <c r="Y696" s="62">
        <v>1.22</v>
      </c>
    </row>
    <row r="697" spans="1:25" x14ac:dyDescent="0.2">
      <c r="A697" s="3" t="s">
        <v>3004</v>
      </c>
      <c r="B697" s="3" t="s">
        <v>905</v>
      </c>
      <c r="C697" s="6" t="s">
        <v>354</v>
      </c>
      <c r="D697" s="6" t="s">
        <v>408</v>
      </c>
      <c r="E697" s="6" t="s">
        <v>231</v>
      </c>
      <c r="F697" s="6">
        <v>9148.67</v>
      </c>
      <c r="G697" s="2">
        <v>12</v>
      </c>
      <c r="H697" s="61">
        <v>5.71</v>
      </c>
      <c r="I697" s="61">
        <v>6.38</v>
      </c>
      <c r="J697" s="47">
        <f t="shared" si="50"/>
        <v>-0.52416666666666667</v>
      </c>
      <c r="K697" s="47">
        <f t="shared" si="51"/>
        <v>0.11733800350262696</v>
      </c>
      <c r="L697" s="8">
        <v>6.63</v>
      </c>
      <c r="M697" s="8">
        <v>12.31</v>
      </c>
      <c r="N697" s="8">
        <v>10.96</v>
      </c>
      <c r="O697" s="17">
        <f t="shared" si="52"/>
        <v>-0.23484896661367252</v>
      </c>
      <c r="P697" s="17">
        <f t="shared" si="53"/>
        <v>0.93405373134328373</v>
      </c>
      <c r="Q697" s="17">
        <v>10.54</v>
      </c>
      <c r="R697" s="9">
        <v>20220727</v>
      </c>
      <c r="S697" s="9">
        <v>26</v>
      </c>
      <c r="T697" s="9">
        <v>8.3699999999999992</v>
      </c>
      <c r="U697" s="9">
        <v>8141.4418900000001</v>
      </c>
      <c r="V697" s="45">
        <f t="shared" si="54"/>
        <v>-0.99897192658093148</v>
      </c>
      <c r="W697" s="12">
        <v>5.65</v>
      </c>
      <c r="X697" s="12">
        <v>1.6</v>
      </c>
      <c r="Y697" s="62">
        <v>1.43</v>
      </c>
    </row>
    <row r="698" spans="1:25" x14ac:dyDescent="0.2">
      <c r="A698" s="3" t="s">
        <v>3005</v>
      </c>
      <c r="B698" s="3" t="s">
        <v>1963</v>
      </c>
      <c r="C698" s="6" t="s">
        <v>355</v>
      </c>
      <c r="D698" s="6" t="s">
        <v>153</v>
      </c>
      <c r="E698" s="6" t="s">
        <v>108</v>
      </c>
      <c r="F698" s="6">
        <v>3392.28</v>
      </c>
      <c r="G698" s="2">
        <v>12</v>
      </c>
      <c r="H698" s="61">
        <v>3.54</v>
      </c>
      <c r="I698" s="61">
        <v>4.9800000000000004</v>
      </c>
      <c r="J698" s="47">
        <f t="shared" si="50"/>
        <v>-0.70500000000000007</v>
      </c>
      <c r="K698" s="47">
        <f t="shared" si="51"/>
        <v>0.40677966101694923</v>
      </c>
      <c r="L698" s="8">
        <v>6.15</v>
      </c>
      <c r="M698" s="8">
        <v>16.82</v>
      </c>
      <c r="N698" s="8">
        <v>14.36</v>
      </c>
      <c r="O698" s="17">
        <f t="shared" si="52"/>
        <v>-0.23858156028368796</v>
      </c>
      <c r="P698" s="17">
        <f t="shared" si="53"/>
        <v>0.35301666666666659</v>
      </c>
      <c r="Q698" s="17">
        <v>11.63</v>
      </c>
      <c r="R698" s="9">
        <v>20220720</v>
      </c>
      <c r="S698" s="9">
        <v>11.92</v>
      </c>
      <c r="T698" s="9">
        <v>-0.72</v>
      </c>
      <c r="U698" s="9">
        <v>2702.72705</v>
      </c>
      <c r="V698" s="45">
        <f t="shared" si="54"/>
        <v>-1.0002663976001571</v>
      </c>
      <c r="W698" s="12">
        <v>7.27</v>
      </c>
      <c r="X698" s="12">
        <v>1.68</v>
      </c>
      <c r="Y698" s="62"/>
    </row>
    <row r="699" spans="1:25" x14ac:dyDescent="0.2">
      <c r="A699" s="3" t="s">
        <v>3006</v>
      </c>
      <c r="B699" s="3" t="s">
        <v>906</v>
      </c>
      <c r="C699" s="6" t="s">
        <v>354</v>
      </c>
      <c r="D699" s="6" t="s">
        <v>135</v>
      </c>
      <c r="E699" s="6" t="s">
        <v>108</v>
      </c>
      <c r="F699" s="6">
        <v>5687.56</v>
      </c>
      <c r="G699" s="2">
        <v>12</v>
      </c>
      <c r="H699" s="61">
        <v>6.66</v>
      </c>
      <c r="I699" s="61">
        <v>6.87</v>
      </c>
      <c r="J699" s="47">
        <f t="shared" si="50"/>
        <v>-0.44500000000000001</v>
      </c>
      <c r="K699" s="47">
        <f t="shared" si="51"/>
        <v>3.1531531531531529E-2</v>
      </c>
      <c r="L699" s="8">
        <v>8.39</v>
      </c>
      <c r="M699" s="8">
        <v>25.19</v>
      </c>
      <c r="N699" s="8">
        <v>24.02</v>
      </c>
      <c r="O699" s="17">
        <f t="shared" si="52"/>
        <v>-0.56606741573033714</v>
      </c>
      <c r="P699" s="17">
        <f t="shared" si="53"/>
        <v>7.6177714285714293</v>
      </c>
      <c r="Q699" s="17">
        <v>19.670000000000002</v>
      </c>
      <c r="R699" s="9">
        <v>20220804</v>
      </c>
      <c r="S699" s="9">
        <v>14.88</v>
      </c>
      <c r="T699" s="9">
        <v>10.9</v>
      </c>
      <c r="U699" s="9">
        <v>2947.8049299999998</v>
      </c>
      <c r="V699" s="45">
        <f t="shared" si="54"/>
        <v>-0.99630233334333962</v>
      </c>
      <c r="W699" s="12">
        <v>24.81</v>
      </c>
      <c r="X699" s="12">
        <v>0</v>
      </c>
      <c r="Y699" s="62"/>
    </row>
    <row r="700" spans="1:25" x14ac:dyDescent="0.2">
      <c r="A700" s="3" t="s">
        <v>3007</v>
      </c>
      <c r="B700" s="3" t="s">
        <v>1964</v>
      </c>
      <c r="C700" s="6" t="s">
        <v>355</v>
      </c>
      <c r="D700" s="6" t="s">
        <v>106</v>
      </c>
      <c r="E700" s="6" t="s">
        <v>163</v>
      </c>
      <c r="F700" s="6">
        <v>10900.63</v>
      </c>
      <c r="G700" s="2">
        <v>12</v>
      </c>
      <c r="H700" s="61">
        <v>38.25</v>
      </c>
      <c r="I700" s="61">
        <v>63.22</v>
      </c>
      <c r="J700" s="47">
        <f t="shared" si="50"/>
        <v>2.1875</v>
      </c>
      <c r="K700" s="47">
        <f t="shared" si="51"/>
        <v>0.65281045751633981</v>
      </c>
      <c r="L700" s="8">
        <v>85.84</v>
      </c>
      <c r="M700" s="8">
        <v>12.17</v>
      </c>
      <c r="N700" s="8">
        <v>10.79</v>
      </c>
      <c r="O700" s="17">
        <f t="shared" si="52"/>
        <v>5.5634285714285713E-2</v>
      </c>
      <c r="P700" s="17">
        <f t="shared" si="53"/>
        <v>0.16528534241089307</v>
      </c>
      <c r="Q700" s="17">
        <v>7.95</v>
      </c>
      <c r="R700" s="9">
        <v>20220802</v>
      </c>
      <c r="S700" s="9">
        <v>11.95</v>
      </c>
      <c r="T700" s="9">
        <v>8.5399999999999991</v>
      </c>
      <c r="U700" s="9">
        <v>4392.3652300000003</v>
      </c>
      <c r="V700" s="45">
        <f t="shared" si="54"/>
        <v>-0.99805571723824982</v>
      </c>
      <c r="W700" s="12">
        <v>23.89</v>
      </c>
      <c r="X700" s="12">
        <v>0.28000000000000003</v>
      </c>
      <c r="Y700" s="62"/>
    </row>
    <row r="701" spans="1:25" x14ac:dyDescent="0.2">
      <c r="A701" s="3" t="s">
        <v>3008</v>
      </c>
      <c r="B701" s="3" t="s">
        <v>907</v>
      </c>
      <c r="C701" s="6" t="s">
        <v>354</v>
      </c>
      <c r="D701" s="6" t="s">
        <v>198</v>
      </c>
      <c r="E701" s="6" t="s">
        <v>60</v>
      </c>
      <c r="F701" s="6">
        <v>55782.11</v>
      </c>
      <c r="G701" s="2">
        <v>12</v>
      </c>
      <c r="H701" s="61">
        <v>3.14</v>
      </c>
      <c r="I701" s="61">
        <v>3.79</v>
      </c>
      <c r="J701" s="47">
        <f t="shared" si="50"/>
        <v>-0.73833333333333329</v>
      </c>
      <c r="K701" s="47">
        <f t="shared" si="51"/>
        <v>0.20700636942675155</v>
      </c>
      <c r="L701" s="8">
        <v>3.05</v>
      </c>
      <c r="M701" s="8">
        <v>10.43</v>
      </c>
      <c r="N701" s="8">
        <v>10.16</v>
      </c>
      <c r="O701" s="17">
        <f t="shared" si="52"/>
        <v>-0.14126410835214448</v>
      </c>
      <c r="P701" s="17">
        <f t="shared" si="53"/>
        <v>0.490806153846154</v>
      </c>
      <c r="Q701" s="17">
        <v>12.62</v>
      </c>
      <c r="R701" s="9">
        <v>20220728</v>
      </c>
      <c r="S701" s="9">
        <v>24.06</v>
      </c>
      <c r="T701" s="9">
        <v>3.28</v>
      </c>
      <c r="U701" s="9">
        <v>26585.591789999999</v>
      </c>
      <c r="V701" s="45">
        <f t="shared" si="54"/>
        <v>-0.99987662490171714</v>
      </c>
      <c r="W701" s="12">
        <v>21.59</v>
      </c>
      <c r="X701" s="12">
        <v>0.78</v>
      </c>
      <c r="Y701" s="62">
        <v>0.35</v>
      </c>
    </row>
    <row r="702" spans="1:25" x14ac:dyDescent="0.2">
      <c r="B702" s="3" t="s">
        <v>2136</v>
      </c>
      <c r="C702" s="6" t="s">
        <v>354</v>
      </c>
      <c r="D702" s="6" t="s">
        <v>519</v>
      </c>
      <c r="E702" s="6" t="s">
        <v>163</v>
      </c>
      <c r="F702" s="6">
        <v>4240.1899999999996</v>
      </c>
      <c r="G702" s="2">
        <v>12</v>
      </c>
      <c r="H702" s="61"/>
      <c r="I702" s="61"/>
      <c r="J702" s="47">
        <f t="shared" si="50"/>
        <v>-1</v>
      </c>
      <c r="K702" s="47" t="e">
        <f t="shared" si="51"/>
        <v>#DIV/0!</v>
      </c>
      <c r="O702" s="17">
        <f t="shared" si="52"/>
        <v>0</v>
      </c>
      <c r="P702" s="17" t="e">
        <f t="shared" si="53"/>
        <v>#DIV/0!</v>
      </c>
      <c r="Q702" s="17"/>
      <c r="V702" s="45" t="e">
        <f t="shared" si="54"/>
        <v>#DIV/0!</v>
      </c>
      <c r="X702" s="12">
        <v>0</v>
      </c>
      <c r="Y702" s="62"/>
    </row>
    <row r="703" spans="1:25" x14ac:dyDescent="0.2">
      <c r="A703" s="3" t="s">
        <v>3009</v>
      </c>
      <c r="B703" s="3" t="s">
        <v>908</v>
      </c>
      <c r="C703" s="6" t="s">
        <v>354</v>
      </c>
      <c r="D703" s="6" t="s">
        <v>123</v>
      </c>
      <c r="E703" s="6" t="s">
        <v>108</v>
      </c>
      <c r="F703" s="6">
        <v>14357.12</v>
      </c>
      <c r="G703" s="2">
        <v>8</v>
      </c>
      <c r="H703" s="61">
        <v>11.03</v>
      </c>
      <c r="I703" s="61">
        <v>13</v>
      </c>
      <c r="J703" s="47">
        <f t="shared" si="50"/>
        <v>0.37874999999999992</v>
      </c>
      <c r="K703" s="47">
        <f t="shared" si="51"/>
        <v>0.17860380779691756</v>
      </c>
      <c r="L703" s="8">
        <v>14.33</v>
      </c>
      <c r="M703" s="8">
        <v>31.26</v>
      </c>
      <c r="N703" s="8">
        <v>29.15</v>
      </c>
      <c r="O703" s="17">
        <f t="shared" si="52"/>
        <v>0.82534653465346552</v>
      </c>
      <c r="P703" s="17">
        <f t="shared" si="53"/>
        <v>1.632104060913705</v>
      </c>
      <c r="Q703" s="17">
        <v>26.43</v>
      </c>
      <c r="R703" s="9">
        <v>20220623</v>
      </c>
      <c r="S703" s="9">
        <v>42.88</v>
      </c>
      <c r="T703" s="9">
        <v>6.48</v>
      </c>
      <c r="U703" s="9">
        <v>1817.8940399999999</v>
      </c>
      <c r="V703" s="45">
        <f t="shared" si="54"/>
        <v>-0.99643543580790883</v>
      </c>
      <c r="W703" s="12">
        <v>10.47</v>
      </c>
      <c r="X703" s="12">
        <v>0.87</v>
      </c>
      <c r="Y703" s="62">
        <v>2.91</v>
      </c>
    </row>
    <row r="704" spans="1:25" x14ac:dyDescent="0.2">
      <c r="A704" s="3" t="s">
        <v>3010</v>
      </c>
      <c r="B704" s="3" t="s">
        <v>909</v>
      </c>
      <c r="C704" s="6" t="s">
        <v>354</v>
      </c>
      <c r="D704" s="6" t="s">
        <v>910</v>
      </c>
      <c r="E704" s="6" t="s">
        <v>237</v>
      </c>
      <c r="F704" s="6">
        <v>55020.94</v>
      </c>
      <c r="G704" s="2">
        <v>5</v>
      </c>
      <c r="H704" s="61">
        <v>18.13</v>
      </c>
      <c r="I704" s="61">
        <v>20.56</v>
      </c>
      <c r="J704" s="47">
        <f t="shared" si="50"/>
        <v>2.6259999999999999</v>
      </c>
      <c r="K704" s="47">
        <f t="shared" si="51"/>
        <v>0.13403199117484832</v>
      </c>
      <c r="L704" s="8">
        <v>22.6</v>
      </c>
      <c r="M704" s="8">
        <v>11.29</v>
      </c>
      <c r="N704" s="8">
        <v>10.33</v>
      </c>
      <c r="O704" s="17">
        <f t="shared" si="52"/>
        <v>4.2993145468392995E-2</v>
      </c>
      <c r="P704" s="17">
        <f t="shared" si="53"/>
        <v>0.77071152263374487</v>
      </c>
      <c r="Q704" s="17">
        <v>9.39</v>
      </c>
      <c r="R704" s="9">
        <v>20220623</v>
      </c>
      <c r="S704" s="9">
        <v>20.67</v>
      </c>
      <c r="T704" s="9">
        <v>8.2100000000000009</v>
      </c>
      <c r="U704" s="9">
        <v>93398.078120000006</v>
      </c>
      <c r="V704" s="45">
        <f t="shared" si="54"/>
        <v>-0.9999120966922953</v>
      </c>
      <c r="W704" s="12">
        <v>-2.13</v>
      </c>
      <c r="X704" s="12">
        <v>1.41</v>
      </c>
      <c r="Y704" s="62">
        <v>0.86</v>
      </c>
    </row>
    <row r="705" spans="1:25" x14ac:dyDescent="0.2">
      <c r="A705" s="3" t="s">
        <v>3011</v>
      </c>
      <c r="B705" s="3" t="s">
        <v>911</v>
      </c>
      <c r="C705" s="6" t="s">
        <v>354</v>
      </c>
      <c r="D705" s="6" t="s">
        <v>246</v>
      </c>
      <c r="E705" s="6" t="s">
        <v>250</v>
      </c>
      <c r="F705" s="6">
        <v>24732.79</v>
      </c>
      <c r="G705" s="2">
        <v>12</v>
      </c>
      <c r="H705" s="61">
        <v>2.61</v>
      </c>
      <c r="I705" s="61">
        <v>2.41</v>
      </c>
      <c r="J705" s="47">
        <f t="shared" si="50"/>
        <v>-0.78250000000000008</v>
      </c>
      <c r="K705" s="47">
        <f t="shared" si="51"/>
        <v>-7.6628352490421353E-2</v>
      </c>
      <c r="L705" s="8">
        <v>2.56</v>
      </c>
      <c r="M705" s="8">
        <v>17.190000000000001</v>
      </c>
      <c r="N705" s="8">
        <v>17.940000000000001</v>
      </c>
      <c r="O705" s="17">
        <f t="shared" si="52"/>
        <v>-0.2196805111821086</v>
      </c>
      <c r="P705" s="17">
        <f t="shared" si="53"/>
        <v>-2.3411700000000031</v>
      </c>
      <c r="Q705" s="17">
        <v>16.95</v>
      </c>
      <c r="R705" s="9">
        <v>20220728</v>
      </c>
      <c r="S705" s="9">
        <v>17.170000000000002</v>
      </c>
      <c r="T705" s="9">
        <v>-5.25</v>
      </c>
      <c r="U705" s="9">
        <v>11766.8164</v>
      </c>
      <c r="V705" s="45">
        <f t="shared" si="54"/>
        <v>-1.0004461699597862</v>
      </c>
      <c r="W705" s="12">
        <v>-3.23</v>
      </c>
      <c r="X705" s="12">
        <v>3.6</v>
      </c>
      <c r="Y705" s="62">
        <v>2.82</v>
      </c>
    </row>
    <row r="706" spans="1:25" x14ac:dyDescent="0.2">
      <c r="A706" s="3" t="s">
        <v>3012</v>
      </c>
      <c r="B706" s="3" t="s">
        <v>912</v>
      </c>
      <c r="C706" s="6" t="s">
        <v>355</v>
      </c>
      <c r="D706" s="6" t="s">
        <v>181</v>
      </c>
      <c r="E706" s="6" t="s">
        <v>201</v>
      </c>
      <c r="F706" s="6">
        <v>3365.13</v>
      </c>
      <c r="G706" s="2">
        <v>12</v>
      </c>
      <c r="H706" s="61">
        <v>3.04</v>
      </c>
      <c r="I706" s="61">
        <v>3.64</v>
      </c>
      <c r="J706" s="47">
        <f t="shared" si="50"/>
        <v>-0.7466666666666667</v>
      </c>
      <c r="K706" s="47">
        <f t="shared" si="51"/>
        <v>0.19736842105263161</v>
      </c>
      <c r="L706" s="8">
        <v>3.99</v>
      </c>
      <c r="M706" s="8">
        <v>22.92</v>
      </c>
      <c r="N706" s="8">
        <v>19.96</v>
      </c>
      <c r="O706" s="17">
        <f t="shared" si="52"/>
        <v>-0.30696428571428575</v>
      </c>
      <c r="P706" s="17">
        <f t="shared" si="53"/>
        <v>1.0113066666666666</v>
      </c>
      <c r="Q706" s="17">
        <v>18.190000000000001</v>
      </c>
      <c r="R706" s="9">
        <v>20220726</v>
      </c>
      <c r="S706" s="9">
        <v>16.079999999999998</v>
      </c>
      <c r="T706" s="9">
        <v>7.95</v>
      </c>
      <c r="U706" s="9">
        <v>1999</v>
      </c>
      <c r="V706" s="45">
        <f t="shared" si="54"/>
        <v>-0.9960230115057529</v>
      </c>
      <c r="W706" s="12">
        <v>1.59</v>
      </c>
      <c r="X706" s="12">
        <v>1.07</v>
      </c>
      <c r="Y706" s="62"/>
    </row>
    <row r="707" spans="1:25" x14ac:dyDescent="0.2">
      <c r="A707" s="3" t="s">
        <v>3013</v>
      </c>
      <c r="B707" s="3" t="s">
        <v>1965</v>
      </c>
      <c r="C707" s="6" t="s">
        <v>354</v>
      </c>
      <c r="D707" s="6" t="s">
        <v>183</v>
      </c>
      <c r="E707" s="6" t="s">
        <v>201</v>
      </c>
      <c r="F707" s="6">
        <v>26845.57</v>
      </c>
      <c r="G707" s="2">
        <v>7</v>
      </c>
      <c r="H707" s="61">
        <v>6.58</v>
      </c>
      <c r="I707" s="61">
        <v>8.8699999999999992</v>
      </c>
      <c r="J707" s="47">
        <f t="shared" ref="J707:J770" si="55">(H707-G707)/ABS(G707)</f>
        <v>-5.9999999999999991E-2</v>
      </c>
      <c r="K707" s="47">
        <f t="shared" ref="K707:K770" si="56">(I707-H707)/ABS(H707)</f>
        <v>0.34802431610942236</v>
      </c>
      <c r="L707" s="8">
        <v>9.34</v>
      </c>
      <c r="N707" s="8">
        <v>13.45</v>
      </c>
      <c r="O707" s="17">
        <f t="shared" ref="O707:O770" si="57">M707/(J707*100)</f>
        <v>0</v>
      </c>
      <c r="P707" s="17">
        <f t="shared" ref="P707:P770" si="58">N707/(K707*100)</f>
        <v>0.38646724890829709</v>
      </c>
      <c r="Q707" s="17">
        <v>12.77</v>
      </c>
      <c r="U707" s="9">
        <v>27346.65625</v>
      </c>
      <c r="V707" s="45">
        <f t="shared" ref="V707:V770" si="59">(T707-U707)/U707</f>
        <v>-1</v>
      </c>
      <c r="W707" s="12">
        <v>11.56</v>
      </c>
      <c r="X707" s="12">
        <v>1.41</v>
      </c>
      <c r="Y707" s="62">
        <v>0.98</v>
      </c>
    </row>
    <row r="708" spans="1:25" x14ac:dyDescent="0.2">
      <c r="A708" s="3" t="s">
        <v>3014</v>
      </c>
      <c r="B708" s="3" t="s">
        <v>913</v>
      </c>
      <c r="C708" s="6" t="s">
        <v>355</v>
      </c>
      <c r="D708" s="6" t="s">
        <v>553</v>
      </c>
      <c r="E708" s="6" t="s">
        <v>163</v>
      </c>
      <c r="F708" s="6">
        <v>5881.46</v>
      </c>
      <c r="G708" s="2">
        <v>12</v>
      </c>
      <c r="H708" s="61">
        <v>1.58</v>
      </c>
      <c r="I708" s="61">
        <v>1.57</v>
      </c>
      <c r="J708" s="47">
        <f t="shared" si="55"/>
        <v>-0.86833333333333329</v>
      </c>
      <c r="K708" s="47">
        <f t="shared" si="56"/>
        <v>-6.329113924050638E-3</v>
      </c>
      <c r="L708" s="8">
        <v>1.66</v>
      </c>
      <c r="M708" s="8">
        <v>26.08</v>
      </c>
      <c r="N708" s="8">
        <v>26.29</v>
      </c>
      <c r="O708" s="17">
        <f t="shared" si="57"/>
        <v>-0.30034548944337813</v>
      </c>
      <c r="P708" s="17">
        <f t="shared" si="58"/>
        <v>-41.538199999999968</v>
      </c>
      <c r="Q708" s="17">
        <v>24.86</v>
      </c>
      <c r="R708" s="9">
        <v>20220728</v>
      </c>
      <c r="S708" s="9">
        <v>13.52</v>
      </c>
      <c r="T708" s="9">
        <v>11.73</v>
      </c>
      <c r="U708" s="9">
        <v>541.79998000000001</v>
      </c>
      <c r="V708" s="45">
        <f t="shared" si="59"/>
        <v>-0.97834994382982443</v>
      </c>
      <c r="W708" s="12">
        <v>8.33</v>
      </c>
      <c r="X708" s="12">
        <v>1.46</v>
      </c>
      <c r="Y708" s="62"/>
    </row>
    <row r="709" spans="1:25" x14ac:dyDescent="0.2">
      <c r="A709" s="3" t="s">
        <v>3015</v>
      </c>
      <c r="B709" s="3" t="s">
        <v>914</v>
      </c>
      <c r="C709" s="6" t="s">
        <v>355</v>
      </c>
      <c r="D709" s="6" t="s">
        <v>177</v>
      </c>
      <c r="E709" s="6" t="s">
        <v>119</v>
      </c>
      <c r="F709" s="6">
        <v>9816.42</v>
      </c>
      <c r="G709" s="2">
        <v>9</v>
      </c>
      <c r="H709" s="61">
        <v>10.6</v>
      </c>
      <c r="I709" s="61">
        <v>9.5299999999999994</v>
      </c>
      <c r="J709" s="47">
        <f t="shared" si="55"/>
        <v>0.17777777777777773</v>
      </c>
      <c r="K709" s="47">
        <f t="shared" si="56"/>
        <v>-0.10094339622641513</v>
      </c>
      <c r="L709" s="8">
        <v>11.3</v>
      </c>
      <c r="M709" s="8">
        <v>15.04</v>
      </c>
      <c r="N709" s="8">
        <v>17.03</v>
      </c>
      <c r="O709" s="17">
        <f t="shared" si="57"/>
        <v>0.84600000000000031</v>
      </c>
      <c r="P709" s="17">
        <f t="shared" si="58"/>
        <v>-1.6870841121495321</v>
      </c>
      <c r="Q709" s="17">
        <v>14.37</v>
      </c>
      <c r="R709" s="9">
        <v>20220725</v>
      </c>
      <c r="S709" s="9">
        <v>19.98</v>
      </c>
      <c r="T709" s="9">
        <v>5.54</v>
      </c>
      <c r="U709" s="9">
        <v>2680.8539999999998</v>
      </c>
      <c r="V709" s="45">
        <f t="shared" si="59"/>
        <v>-0.99793349432680778</v>
      </c>
      <c r="W709" s="12">
        <v>5.97</v>
      </c>
      <c r="X709" s="12">
        <v>0</v>
      </c>
      <c r="Y709" s="62">
        <v>3.08</v>
      </c>
    </row>
    <row r="710" spans="1:25" x14ac:dyDescent="0.2">
      <c r="A710" s="3" t="s">
        <v>3016</v>
      </c>
      <c r="B710" s="3" t="s">
        <v>1966</v>
      </c>
      <c r="C710" s="6" t="s">
        <v>355</v>
      </c>
      <c r="D710" s="6" t="s">
        <v>113</v>
      </c>
      <c r="E710" s="6" t="s">
        <v>163</v>
      </c>
      <c r="F710" s="6">
        <v>3248.94</v>
      </c>
      <c r="G710" s="2">
        <v>12</v>
      </c>
      <c r="H710" s="61">
        <v>2.1</v>
      </c>
      <c r="I710" s="61">
        <v>1.85</v>
      </c>
      <c r="J710" s="47">
        <f t="shared" si="55"/>
        <v>-0.82500000000000007</v>
      </c>
      <c r="K710" s="47">
        <f t="shared" si="56"/>
        <v>-0.11904761904761904</v>
      </c>
      <c r="L710" s="8">
        <v>2.11</v>
      </c>
      <c r="M710" s="8">
        <v>11.69</v>
      </c>
      <c r="N710" s="8">
        <v>13.73</v>
      </c>
      <c r="O710" s="17">
        <f t="shared" si="57"/>
        <v>-0.14169696969696968</v>
      </c>
      <c r="P710" s="17">
        <f t="shared" si="58"/>
        <v>-1.1533200000000001</v>
      </c>
      <c r="Q710" s="17">
        <v>12.02</v>
      </c>
      <c r="R710" s="9">
        <v>20220722</v>
      </c>
      <c r="S710" s="9">
        <v>10.76</v>
      </c>
      <c r="T710" s="9">
        <v>-1.06</v>
      </c>
      <c r="U710" s="9">
        <v>755.23999000000003</v>
      </c>
      <c r="V710" s="45">
        <f t="shared" si="59"/>
        <v>-1.0014035273741264</v>
      </c>
      <c r="W710" s="12">
        <v>7.14</v>
      </c>
      <c r="X710" s="12">
        <v>4.0999999999999996</v>
      </c>
      <c r="Y710" s="62"/>
    </row>
    <row r="711" spans="1:25" x14ac:dyDescent="0.2">
      <c r="A711" s="3" t="s">
        <v>3017</v>
      </c>
      <c r="B711" s="3" t="s">
        <v>1967</v>
      </c>
      <c r="C711" s="6" t="s">
        <v>354</v>
      </c>
      <c r="D711" s="6" t="s">
        <v>150</v>
      </c>
      <c r="E711" s="6" t="s">
        <v>163</v>
      </c>
      <c r="F711" s="6">
        <v>3090.36</v>
      </c>
      <c r="G711" s="2">
        <v>12</v>
      </c>
      <c r="H711" s="61">
        <v>2.76</v>
      </c>
      <c r="I711" s="61">
        <v>2.85</v>
      </c>
      <c r="J711" s="47">
        <f t="shared" si="55"/>
        <v>-0.77</v>
      </c>
      <c r="K711" s="47">
        <f t="shared" si="56"/>
        <v>3.2608695652174023E-2</v>
      </c>
      <c r="L711" s="8">
        <v>3.2</v>
      </c>
      <c r="M711" s="8">
        <v>12.39</v>
      </c>
      <c r="N711" s="8">
        <v>11.83</v>
      </c>
      <c r="O711" s="17">
        <f t="shared" si="57"/>
        <v>-0.16090909090909092</v>
      </c>
      <c r="P711" s="17">
        <f t="shared" si="58"/>
        <v>3.6278666666666544</v>
      </c>
      <c r="Q711" s="17">
        <v>10.52</v>
      </c>
      <c r="R711" s="9">
        <v>20220804</v>
      </c>
      <c r="S711" s="9">
        <v>23.09</v>
      </c>
      <c r="T711" s="9">
        <v>6.04</v>
      </c>
      <c r="U711" s="9">
        <v>1413.53503</v>
      </c>
      <c r="V711" s="45">
        <f t="shared" si="59"/>
        <v>-0.99572702489021447</v>
      </c>
      <c r="W711" s="12">
        <v>-10.29</v>
      </c>
      <c r="X711" s="12">
        <v>3.2</v>
      </c>
      <c r="Y711" s="62"/>
    </row>
    <row r="712" spans="1:25" x14ac:dyDescent="0.2">
      <c r="A712" s="3" t="s">
        <v>3018</v>
      </c>
      <c r="B712" s="3" t="s">
        <v>915</v>
      </c>
      <c r="C712" s="6" t="s">
        <v>354</v>
      </c>
      <c r="D712" s="6" t="s">
        <v>553</v>
      </c>
      <c r="E712" s="6" t="s">
        <v>163</v>
      </c>
      <c r="F712" s="6">
        <v>12346.26</v>
      </c>
      <c r="G712" s="2">
        <v>12</v>
      </c>
      <c r="H712" s="61">
        <v>1.96</v>
      </c>
      <c r="I712" s="61">
        <v>1.54</v>
      </c>
      <c r="J712" s="47">
        <f t="shared" si="55"/>
        <v>-0.83666666666666656</v>
      </c>
      <c r="K712" s="47">
        <f t="shared" si="56"/>
        <v>-0.21428571428571425</v>
      </c>
      <c r="L712" s="8">
        <v>1.81</v>
      </c>
      <c r="M712" s="8">
        <v>11.9</v>
      </c>
      <c r="N712" s="8">
        <v>15.03</v>
      </c>
      <c r="O712" s="17">
        <f t="shared" si="57"/>
        <v>-0.14223107569721116</v>
      </c>
      <c r="P712" s="17">
        <f t="shared" si="58"/>
        <v>-0.70140000000000013</v>
      </c>
      <c r="Q712" s="17">
        <v>12.74</v>
      </c>
      <c r="R712" s="9">
        <v>20220715</v>
      </c>
      <c r="S712" s="9">
        <v>13.82</v>
      </c>
      <c r="T712" s="9">
        <v>22.35</v>
      </c>
      <c r="U712" s="9">
        <v>2965.4860800000001</v>
      </c>
      <c r="V712" s="45">
        <f t="shared" si="59"/>
        <v>-0.99246329289800617</v>
      </c>
      <c r="W712" s="12">
        <v>11.76</v>
      </c>
      <c r="X712" s="12">
        <v>2.6</v>
      </c>
      <c r="Y712" s="62">
        <v>2.93</v>
      </c>
    </row>
    <row r="713" spans="1:25" x14ac:dyDescent="0.2">
      <c r="A713" s="3" t="s">
        <v>3019</v>
      </c>
      <c r="B713" s="3" t="s">
        <v>3020</v>
      </c>
      <c r="C713" s="6" t="s">
        <v>355</v>
      </c>
      <c r="D713" s="6" t="s">
        <v>103</v>
      </c>
      <c r="E713" s="6" t="s">
        <v>163</v>
      </c>
      <c r="F713" s="6">
        <v>4032.65</v>
      </c>
      <c r="G713" s="2">
        <v>12</v>
      </c>
      <c r="H713" s="61">
        <v>3.18</v>
      </c>
      <c r="I713" s="61">
        <v>2.61</v>
      </c>
      <c r="J713" s="47">
        <f t="shared" si="55"/>
        <v>-0.73499999999999999</v>
      </c>
      <c r="K713" s="47">
        <f t="shared" si="56"/>
        <v>-0.179245283018868</v>
      </c>
      <c r="L713" s="8">
        <v>3.74</v>
      </c>
      <c r="M713" s="8">
        <v>14.22</v>
      </c>
      <c r="N713" s="8">
        <v>14.14</v>
      </c>
      <c r="O713" s="17">
        <f t="shared" si="57"/>
        <v>-0.19346938775510206</v>
      </c>
      <c r="P713" s="17">
        <f t="shared" si="58"/>
        <v>-0.7888631578947366</v>
      </c>
      <c r="Q713" s="17">
        <v>9.83</v>
      </c>
      <c r="R713" s="9">
        <v>20220726</v>
      </c>
      <c r="S713" s="9">
        <v>7.09</v>
      </c>
      <c r="T713" s="9">
        <v>7.51</v>
      </c>
      <c r="U713" s="9">
        <v>1063.90002</v>
      </c>
      <c r="V713" s="45">
        <f t="shared" si="59"/>
        <v>-0.99294106602235044</v>
      </c>
      <c r="W713" s="12">
        <v>425</v>
      </c>
      <c r="X713" s="12">
        <v>4.45</v>
      </c>
      <c r="Y713" s="62"/>
    </row>
    <row r="714" spans="1:25" x14ac:dyDescent="0.2">
      <c r="A714" s="3" t="s">
        <v>3021</v>
      </c>
      <c r="B714" s="3" t="s">
        <v>916</v>
      </c>
      <c r="C714" s="6" t="s">
        <v>354</v>
      </c>
      <c r="D714" s="6" t="s">
        <v>134</v>
      </c>
      <c r="E714" s="6" t="s">
        <v>119</v>
      </c>
      <c r="F714" s="6">
        <v>10414.82</v>
      </c>
      <c r="G714" s="2">
        <v>9</v>
      </c>
      <c r="H714" s="61">
        <v>12.34</v>
      </c>
      <c r="I714" s="61">
        <v>15.77</v>
      </c>
      <c r="J714" s="47">
        <f t="shared" si="55"/>
        <v>0.37111111111111111</v>
      </c>
      <c r="K714" s="47">
        <f t="shared" si="56"/>
        <v>0.27795786061588329</v>
      </c>
      <c r="L714" s="8">
        <v>19.170000000000002</v>
      </c>
      <c r="M714" s="8">
        <v>33.03</v>
      </c>
      <c r="N714" s="8">
        <v>25.47</v>
      </c>
      <c r="O714" s="17">
        <f t="shared" si="57"/>
        <v>0.89002994011976044</v>
      </c>
      <c r="P714" s="17">
        <f t="shared" si="58"/>
        <v>0.9163259475218658</v>
      </c>
      <c r="Q714" s="17">
        <v>20.95</v>
      </c>
      <c r="R714" s="9">
        <v>20220802</v>
      </c>
      <c r="S714" s="9">
        <v>-113.66</v>
      </c>
      <c r="T714" s="9">
        <v>9.49</v>
      </c>
      <c r="U714" s="9">
        <v>1375.09997</v>
      </c>
      <c r="V714" s="45">
        <f t="shared" si="59"/>
        <v>-0.99309868358152897</v>
      </c>
      <c r="W714" s="12">
        <v>18.78</v>
      </c>
      <c r="X714" s="12">
        <v>0</v>
      </c>
      <c r="Y714" s="62"/>
    </row>
    <row r="715" spans="1:25" x14ac:dyDescent="0.2">
      <c r="A715" s="3" t="s">
        <v>3022</v>
      </c>
      <c r="B715" s="3" t="s">
        <v>2137</v>
      </c>
      <c r="C715" s="6" t="s">
        <v>356</v>
      </c>
      <c r="D715" s="6" t="s">
        <v>113</v>
      </c>
      <c r="E715" s="6" t="s">
        <v>163</v>
      </c>
      <c r="F715" s="6">
        <v>3605.64</v>
      </c>
      <c r="G715" s="2">
        <v>12</v>
      </c>
      <c r="H715" s="61"/>
      <c r="I715" s="61"/>
      <c r="J715" s="47">
        <f t="shared" si="55"/>
        <v>-1</v>
      </c>
      <c r="K715" s="47" t="e">
        <f t="shared" si="56"/>
        <v>#DIV/0!</v>
      </c>
      <c r="O715" s="17">
        <f t="shared" si="57"/>
        <v>0</v>
      </c>
      <c r="P715" s="17" t="e">
        <f t="shared" si="58"/>
        <v>#DIV/0!</v>
      </c>
      <c r="Q715" s="17"/>
      <c r="V715" s="45" t="e">
        <f t="shared" si="59"/>
        <v>#DIV/0!</v>
      </c>
      <c r="X715" s="12">
        <v>0</v>
      </c>
      <c r="Y715" s="62"/>
    </row>
    <row r="716" spans="1:25" x14ac:dyDescent="0.2">
      <c r="A716" s="3" t="s">
        <v>3023</v>
      </c>
      <c r="B716" s="3" t="s">
        <v>917</v>
      </c>
      <c r="C716" s="6" t="s">
        <v>354</v>
      </c>
      <c r="D716" s="6" t="s">
        <v>153</v>
      </c>
      <c r="E716" s="6" t="s">
        <v>108</v>
      </c>
      <c r="F716" s="6">
        <v>63642.36</v>
      </c>
      <c r="G716" s="2">
        <v>12</v>
      </c>
      <c r="H716" s="61">
        <v>6.52</v>
      </c>
      <c r="I716" s="61">
        <v>7.32</v>
      </c>
      <c r="J716" s="47">
        <f t="shared" si="55"/>
        <v>-0.45666666666666672</v>
      </c>
      <c r="K716" s="47">
        <f t="shared" si="56"/>
        <v>0.1226993865030676</v>
      </c>
      <c r="L716" s="8">
        <v>8.3699999999999992</v>
      </c>
      <c r="M716" s="8">
        <v>15.48</v>
      </c>
      <c r="N716" s="8">
        <v>14.24</v>
      </c>
      <c r="O716" s="17">
        <f t="shared" si="57"/>
        <v>-0.33897810218978097</v>
      </c>
      <c r="P716" s="17">
        <f t="shared" si="58"/>
        <v>1.1605599999999989</v>
      </c>
      <c r="Q716" s="17">
        <v>12.44</v>
      </c>
      <c r="R716" s="9">
        <v>20220802</v>
      </c>
      <c r="S716" s="9">
        <v>8.76</v>
      </c>
      <c r="T716" s="9">
        <v>12.46</v>
      </c>
      <c r="U716" s="9">
        <v>14836.23828</v>
      </c>
      <c r="V716" s="45">
        <f t="shared" si="59"/>
        <v>-0.99916016447263478</v>
      </c>
      <c r="W716" s="12">
        <v>0.68</v>
      </c>
      <c r="X716" s="12">
        <v>1.8</v>
      </c>
      <c r="Y716" s="62">
        <v>1.05</v>
      </c>
    </row>
    <row r="717" spans="1:25" x14ac:dyDescent="0.2">
      <c r="A717" s="3" t="s">
        <v>3024</v>
      </c>
      <c r="B717" s="3" t="s">
        <v>918</v>
      </c>
      <c r="C717" s="6" t="s">
        <v>355</v>
      </c>
      <c r="D717" s="6" t="s">
        <v>153</v>
      </c>
      <c r="E717" s="6" t="s">
        <v>108</v>
      </c>
      <c r="F717" s="6">
        <v>64739.89</v>
      </c>
      <c r="G717" s="2">
        <v>12</v>
      </c>
      <c r="H717" s="61">
        <v>5.56</v>
      </c>
      <c r="I717" s="61">
        <v>6.48</v>
      </c>
      <c r="J717" s="47">
        <f t="shared" si="55"/>
        <v>-0.53666666666666674</v>
      </c>
      <c r="K717" s="47">
        <f t="shared" si="56"/>
        <v>0.16546762589928074</v>
      </c>
      <c r="L717" s="8">
        <v>7.37</v>
      </c>
      <c r="M717" s="8">
        <v>17.09</v>
      </c>
      <c r="N717" s="8">
        <v>15.33</v>
      </c>
      <c r="O717" s="17">
        <f t="shared" si="57"/>
        <v>-0.31844720496894408</v>
      </c>
      <c r="P717" s="17">
        <f t="shared" si="58"/>
        <v>0.92646521739130339</v>
      </c>
      <c r="Q717" s="17">
        <v>13.48</v>
      </c>
      <c r="R717" s="9">
        <v>20220726</v>
      </c>
      <c r="S717" s="9">
        <v>12.05</v>
      </c>
      <c r="T717" s="9">
        <v>34.83</v>
      </c>
      <c r="U717" s="9">
        <v>16492.427729999999</v>
      </c>
      <c r="V717" s="45">
        <f t="shared" si="59"/>
        <v>-0.99788812171438868</v>
      </c>
      <c r="W717" s="12">
        <v>3.7</v>
      </c>
      <c r="X717" s="12">
        <v>0</v>
      </c>
      <c r="Y717" s="62">
        <v>1.1399999999999999</v>
      </c>
    </row>
    <row r="718" spans="1:25" x14ac:dyDescent="0.2">
      <c r="A718" s="3" t="s">
        <v>919</v>
      </c>
      <c r="B718" s="3" t="s">
        <v>920</v>
      </c>
      <c r="C718" s="6" t="s">
        <v>355</v>
      </c>
      <c r="D718" s="6" t="s">
        <v>97</v>
      </c>
      <c r="E718" s="6" t="s">
        <v>163</v>
      </c>
      <c r="F718" s="6">
        <v>26396.86</v>
      </c>
      <c r="G718" s="2">
        <v>12</v>
      </c>
      <c r="H718" s="61">
        <v>3.76</v>
      </c>
      <c r="I718" s="61">
        <v>3.65</v>
      </c>
      <c r="J718" s="47">
        <f t="shared" si="55"/>
        <v>-0.68666666666666665</v>
      </c>
      <c r="K718" s="47">
        <f t="shared" si="56"/>
        <v>-2.925531914893614E-2</v>
      </c>
      <c r="L718" s="8">
        <v>4.1399999999999997</v>
      </c>
      <c r="M718" s="8">
        <v>11.03</v>
      </c>
      <c r="N718" s="8">
        <v>10.56</v>
      </c>
      <c r="O718" s="17">
        <f t="shared" si="57"/>
        <v>-0.16063106796116502</v>
      </c>
      <c r="P718" s="17">
        <f t="shared" si="58"/>
        <v>-3.6096000000000039</v>
      </c>
      <c r="Q718" s="17">
        <v>9.33</v>
      </c>
      <c r="R718" s="9">
        <v>20220728</v>
      </c>
      <c r="S718" s="9">
        <v>12.99</v>
      </c>
      <c r="T718" s="9">
        <v>1.46</v>
      </c>
      <c r="U718" s="9">
        <v>8462.9384699999991</v>
      </c>
      <c r="V718" s="45">
        <f t="shared" si="59"/>
        <v>-0.99982748308933422</v>
      </c>
      <c r="W718" s="12">
        <v>-1.43</v>
      </c>
      <c r="X718" s="12">
        <v>3.11</v>
      </c>
      <c r="Y718" s="62">
        <v>1.28</v>
      </c>
    </row>
    <row r="719" spans="1:25" x14ac:dyDescent="0.2">
      <c r="A719" s="3" t="s">
        <v>3025</v>
      </c>
      <c r="B719" s="3" t="s">
        <v>921</v>
      </c>
      <c r="C719" s="6" t="s">
        <v>355</v>
      </c>
      <c r="D719" s="6" t="s">
        <v>221</v>
      </c>
      <c r="E719" s="6" t="s">
        <v>231</v>
      </c>
      <c r="F719" s="6">
        <v>7533.02</v>
      </c>
      <c r="G719" s="2">
        <v>1</v>
      </c>
      <c r="H719" s="61">
        <v>4.9400000000000004</v>
      </c>
      <c r="I719" s="61">
        <v>5.5</v>
      </c>
      <c r="J719" s="47">
        <f t="shared" si="55"/>
        <v>3.9400000000000004</v>
      </c>
      <c r="K719" s="47">
        <f t="shared" si="56"/>
        <v>0.11336032388663959</v>
      </c>
      <c r="L719" s="8">
        <v>6.76</v>
      </c>
      <c r="M719" s="8">
        <v>27.41</v>
      </c>
      <c r="N719" s="8">
        <v>24.66</v>
      </c>
      <c r="O719" s="17">
        <f t="shared" si="57"/>
        <v>6.9568527918781722E-2</v>
      </c>
      <c r="P719" s="17">
        <f t="shared" si="58"/>
        <v>2.1753642857142874</v>
      </c>
      <c r="Q719" s="17">
        <v>20.079999999999998</v>
      </c>
      <c r="R719" s="9">
        <v>20220608</v>
      </c>
      <c r="S719" s="9">
        <v>27.29</v>
      </c>
      <c r="T719" s="9">
        <v>20.69</v>
      </c>
      <c r="U719" s="9">
        <v>3234.3659600000001</v>
      </c>
      <c r="V719" s="45">
        <f t="shared" si="59"/>
        <v>-0.9936030739081857</v>
      </c>
      <c r="W719" s="12">
        <v>0.4</v>
      </c>
      <c r="X719" s="12">
        <v>0</v>
      </c>
      <c r="Y719" s="62">
        <v>1.22</v>
      </c>
    </row>
    <row r="720" spans="1:25" x14ac:dyDescent="0.2">
      <c r="A720" s="3" t="s">
        <v>3026</v>
      </c>
      <c r="B720" s="3" t="s">
        <v>922</v>
      </c>
      <c r="C720" s="6" t="s">
        <v>355</v>
      </c>
      <c r="D720" s="6" t="s">
        <v>177</v>
      </c>
      <c r="E720" s="6" t="s">
        <v>119</v>
      </c>
      <c r="F720" s="6">
        <v>6865.32</v>
      </c>
      <c r="G720" s="2">
        <v>12</v>
      </c>
      <c r="H720" s="61">
        <v>1.1000000000000001</v>
      </c>
      <c r="I720" s="61">
        <v>1.21</v>
      </c>
      <c r="J720" s="47">
        <f t="shared" si="55"/>
        <v>-0.90833333333333333</v>
      </c>
      <c r="K720" s="47">
        <f t="shared" si="56"/>
        <v>9.9999999999999881E-2</v>
      </c>
      <c r="L720" s="8">
        <v>1.75</v>
      </c>
      <c r="M720" s="8">
        <v>85.83</v>
      </c>
      <c r="N720" s="8">
        <v>81.400000000000006</v>
      </c>
      <c r="O720" s="17">
        <f t="shared" si="57"/>
        <v>-0.94491743119266058</v>
      </c>
      <c r="P720" s="17">
        <f t="shared" si="58"/>
        <v>8.1400000000000112</v>
      </c>
      <c r="Q720" s="17">
        <v>56.54</v>
      </c>
      <c r="R720" s="9">
        <v>20220726</v>
      </c>
      <c r="S720" s="9">
        <v>-24</v>
      </c>
      <c r="T720" s="9">
        <v>31.27</v>
      </c>
      <c r="U720" s="9">
        <v>769.12097000000006</v>
      </c>
      <c r="V720" s="45">
        <f t="shared" si="59"/>
        <v>-0.95934319668855217</v>
      </c>
      <c r="W720" s="12">
        <v>69.23</v>
      </c>
      <c r="X720" s="12">
        <v>0</v>
      </c>
      <c r="Y720" s="62">
        <v>3.61</v>
      </c>
    </row>
    <row r="721" spans="1:25" x14ac:dyDescent="0.2">
      <c r="A721" s="3" t="s">
        <v>3027</v>
      </c>
      <c r="B721" s="3" t="s">
        <v>1968</v>
      </c>
      <c r="C721" s="6" t="s">
        <v>354</v>
      </c>
      <c r="D721" s="6" t="s">
        <v>117</v>
      </c>
      <c r="E721" s="6" t="s">
        <v>140</v>
      </c>
      <c r="F721" s="6">
        <v>3182</v>
      </c>
      <c r="G721" s="2">
        <v>12</v>
      </c>
      <c r="H721" s="61">
        <v>3.93</v>
      </c>
      <c r="I721" s="61">
        <v>5.51</v>
      </c>
      <c r="J721" s="47">
        <f t="shared" si="55"/>
        <v>-0.67249999999999999</v>
      </c>
      <c r="K721" s="47">
        <f t="shared" si="56"/>
        <v>0.40203562340966909</v>
      </c>
      <c r="L721" s="8">
        <v>5.82</v>
      </c>
      <c r="M721" s="8">
        <v>21.46</v>
      </c>
      <c r="N721" s="8">
        <v>16.05</v>
      </c>
      <c r="O721" s="17">
        <f t="shared" si="57"/>
        <v>-0.31910780669144984</v>
      </c>
      <c r="P721" s="17">
        <f t="shared" si="58"/>
        <v>0.39921835443037984</v>
      </c>
      <c r="Q721" s="17">
        <v>15.19</v>
      </c>
      <c r="R721" s="9">
        <v>20220727</v>
      </c>
      <c r="S721" s="9">
        <v>18.690000000000001</v>
      </c>
      <c r="T721" s="9">
        <v>14.87</v>
      </c>
      <c r="U721" s="9">
        <v>3815.1999500000002</v>
      </c>
      <c r="V721" s="45">
        <f t="shared" si="59"/>
        <v>-0.99610243232468065</v>
      </c>
      <c r="W721" s="12">
        <v>0</v>
      </c>
      <c r="X721" s="12">
        <v>0.63</v>
      </c>
      <c r="Y721" s="62"/>
    </row>
    <row r="722" spans="1:25" x14ac:dyDescent="0.2">
      <c r="A722" s="3" t="s">
        <v>3028</v>
      </c>
      <c r="B722" s="3" t="s">
        <v>923</v>
      </c>
      <c r="C722" s="6" t="s">
        <v>355</v>
      </c>
      <c r="D722" s="6" t="s">
        <v>615</v>
      </c>
      <c r="E722" s="6" t="s">
        <v>154</v>
      </c>
      <c r="F722" s="6">
        <v>4569.7</v>
      </c>
      <c r="G722" s="2">
        <v>4</v>
      </c>
      <c r="H722" s="61">
        <v>1.79</v>
      </c>
      <c r="I722" s="61">
        <v>1.96</v>
      </c>
      <c r="J722" s="47">
        <f t="shared" si="55"/>
        <v>-0.55249999999999999</v>
      </c>
      <c r="K722" s="47">
        <f t="shared" si="56"/>
        <v>9.4972067039106101E-2</v>
      </c>
      <c r="L722" s="8">
        <v>2.16</v>
      </c>
      <c r="M722" s="8">
        <v>27.98</v>
      </c>
      <c r="N722" s="8">
        <v>24.98</v>
      </c>
      <c r="O722" s="17">
        <f t="shared" si="57"/>
        <v>-0.50642533936651579</v>
      </c>
      <c r="P722" s="17">
        <f t="shared" si="58"/>
        <v>2.6302470588235307</v>
      </c>
      <c r="Q722" s="17">
        <v>22.67</v>
      </c>
      <c r="R722" s="9">
        <v>20220629</v>
      </c>
      <c r="S722" s="9">
        <v>46.1</v>
      </c>
      <c r="T722" s="9">
        <v>4.71</v>
      </c>
      <c r="U722" s="9">
        <v>1210.59997</v>
      </c>
      <c r="V722" s="45">
        <f t="shared" si="59"/>
        <v>-0.99610936715949194</v>
      </c>
      <c r="W722" s="12">
        <v>-13.16</v>
      </c>
      <c r="X722" s="12">
        <v>0</v>
      </c>
      <c r="Y722" s="62"/>
    </row>
    <row r="723" spans="1:25" x14ac:dyDescent="0.2">
      <c r="A723" s="3" t="s">
        <v>3029</v>
      </c>
      <c r="B723" s="3" t="s">
        <v>924</v>
      </c>
      <c r="C723" s="6" t="s">
        <v>354</v>
      </c>
      <c r="D723" s="6" t="s">
        <v>219</v>
      </c>
      <c r="E723" s="6" t="s">
        <v>231</v>
      </c>
      <c r="F723" s="6">
        <v>3142.14</v>
      </c>
      <c r="G723" s="2">
        <v>1</v>
      </c>
      <c r="H723" s="61">
        <v>7.53</v>
      </c>
      <c r="I723" s="61">
        <v>4.5199999999999996</v>
      </c>
      <c r="J723" s="47">
        <f t="shared" si="55"/>
        <v>6.53</v>
      </c>
      <c r="K723" s="47">
        <f t="shared" si="56"/>
        <v>-0.39973439575033209</v>
      </c>
      <c r="L723" s="8">
        <v>4.3600000000000003</v>
      </c>
      <c r="M723" s="8">
        <v>4.41</v>
      </c>
      <c r="N723" s="8">
        <v>7.23</v>
      </c>
      <c r="O723" s="17">
        <f t="shared" si="57"/>
        <v>6.7534456355283308E-3</v>
      </c>
      <c r="P723" s="17">
        <f t="shared" si="58"/>
        <v>-0.18087009966777404</v>
      </c>
      <c r="Q723" s="17">
        <v>7.5</v>
      </c>
      <c r="R723" s="9">
        <v>20220819</v>
      </c>
      <c r="S723" s="9">
        <v>23.04</v>
      </c>
      <c r="T723" s="9">
        <v>2.5099999999999998</v>
      </c>
      <c r="U723" s="9">
        <v>8531.0810500000007</v>
      </c>
      <c r="V723" s="45">
        <f t="shared" si="59"/>
        <v>-0.99970578171918789</v>
      </c>
      <c r="W723" s="12">
        <v>8.84</v>
      </c>
      <c r="X723" s="12">
        <v>4.8899999999999997</v>
      </c>
      <c r="Y723" s="62">
        <v>0.22</v>
      </c>
    </row>
    <row r="724" spans="1:25" x14ac:dyDescent="0.2">
      <c r="A724" s="3" t="s">
        <v>3030</v>
      </c>
      <c r="B724" s="3" t="s">
        <v>925</v>
      </c>
      <c r="C724" s="6" t="s">
        <v>355</v>
      </c>
      <c r="D724" s="6" t="s">
        <v>522</v>
      </c>
      <c r="E724" s="6" t="s">
        <v>119</v>
      </c>
      <c r="F724" s="6">
        <v>7689.91</v>
      </c>
      <c r="G724" s="2">
        <v>3</v>
      </c>
      <c r="H724" s="61">
        <v>1.88</v>
      </c>
      <c r="I724" s="61">
        <v>2.16</v>
      </c>
      <c r="J724" s="47">
        <f t="shared" si="55"/>
        <v>-0.37333333333333335</v>
      </c>
      <c r="K724" s="47">
        <f t="shared" si="56"/>
        <v>0.14893617021276609</v>
      </c>
      <c r="L724" s="8">
        <v>2.48</v>
      </c>
      <c r="M724" s="8">
        <v>8.4499999999999993</v>
      </c>
      <c r="N724" s="8">
        <v>7.67</v>
      </c>
      <c r="O724" s="17">
        <f t="shared" si="57"/>
        <v>-0.22633928571428569</v>
      </c>
      <c r="P724" s="17">
        <f t="shared" si="58"/>
        <v>0.51498571428571382</v>
      </c>
      <c r="Q724" s="17">
        <v>6.67</v>
      </c>
      <c r="R724" s="9">
        <v>20220804</v>
      </c>
      <c r="S724" s="9">
        <v>25.31</v>
      </c>
      <c r="T724" s="9">
        <v>-0.28999999999999998</v>
      </c>
      <c r="U724" s="9">
        <v>28161.626950000002</v>
      </c>
      <c r="V724" s="45">
        <f t="shared" si="59"/>
        <v>-1.0000102977005028</v>
      </c>
      <c r="W724" s="12">
        <v>18.18</v>
      </c>
      <c r="X724" s="12">
        <v>0</v>
      </c>
      <c r="Y724" s="62">
        <v>0.52</v>
      </c>
    </row>
    <row r="725" spans="1:25" x14ac:dyDescent="0.2">
      <c r="A725" s="3" t="s">
        <v>3031</v>
      </c>
      <c r="B725" s="3" t="s">
        <v>926</v>
      </c>
      <c r="C725" s="6" t="s">
        <v>354</v>
      </c>
      <c r="D725" s="6" t="s">
        <v>155</v>
      </c>
      <c r="E725" s="6" t="s">
        <v>154</v>
      </c>
      <c r="F725" s="6">
        <v>5801.48</v>
      </c>
      <c r="G725" s="2">
        <v>12</v>
      </c>
      <c r="H725" s="61">
        <v>1.26</v>
      </c>
      <c r="I725" s="61">
        <v>1.25</v>
      </c>
      <c r="J725" s="47">
        <f t="shared" si="55"/>
        <v>-0.89500000000000002</v>
      </c>
      <c r="K725" s="47">
        <f t="shared" si="56"/>
        <v>-7.936507936507943E-3</v>
      </c>
      <c r="L725" s="8">
        <v>1.3</v>
      </c>
      <c r="M725" s="8">
        <v>21.71</v>
      </c>
      <c r="N725" s="8">
        <v>21.93</v>
      </c>
      <c r="O725" s="17">
        <f t="shared" si="57"/>
        <v>-0.24256983240223465</v>
      </c>
      <c r="P725" s="17">
        <f t="shared" si="58"/>
        <v>-27.631799999999977</v>
      </c>
      <c r="Q725" s="17">
        <v>20.97</v>
      </c>
      <c r="R725" s="9">
        <v>20220811</v>
      </c>
      <c r="S725" s="9">
        <v>18.97</v>
      </c>
      <c r="T725" s="9">
        <v>3.09</v>
      </c>
      <c r="U725" s="9">
        <v>4786.7001899999996</v>
      </c>
      <c r="V725" s="45">
        <f t="shared" si="59"/>
        <v>-0.99935446134553074</v>
      </c>
      <c r="W725" s="12">
        <v>15.79</v>
      </c>
      <c r="X725" s="12">
        <v>3.07</v>
      </c>
      <c r="Y725" s="62"/>
    </row>
    <row r="726" spans="1:25" x14ac:dyDescent="0.2">
      <c r="A726" s="3" t="s">
        <v>3032</v>
      </c>
      <c r="B726" s="3" t="s">
        <v>3033</v>
      </c>
      <c r="C726" s="6" t="s">
        <v>354</v>
      </c>
      <c r="D726" s="6" t="s">
        <v>145</v>
      </c>
      <c r="E726" s="6" t="s">
        <v>140</v>
      </c>
      <c r="F726" s="6">
        <v>3858.38</v>
      </c>
      <c r="G726" s="2">
        <v>12</v>
      </c>
      <c r="H726" s="61">
        <v>0.9</v>
      </c>
      <c r="I726" s="61">
        <v>1.29</v>
      </c>
      <c r="J726" s="47">
        <f t="shared" si="55"/>
        <v>-0.92499999999999993</v>
      </c>
      <c r="K726" s="47">
        <f t="shared" si="56"/>
        <v>0.43333333333333335</v>
      </c>
      <c r="L726" s="8">
        <v>1.7</v>
      </c>
      <c r="M726" s="8">
        <v>26.64</v>
      </c>
      <c r="N726" s="8">
        <v>21.06</v>
      </c>
      <c r="O726" s="17">
        <f t="shared" si="57"/>
        <v>-0.28800000000000003</v>
      </c>
      <c r="P726" s="17">
        <f t="shared" si="58"/>
        <v>0.48599999999999993</v>
      </c>
      <c r="Q726" s="17">
        <v>15.95</v>
      </c>
      <c r="R726" s="9">
        <v>20220805</v>
      </c>
      <c r="S726" s="9">
        <v>10.72</v>
      </c>
      <c r="T726" s="9">
        <v>-9.85</v>
      </c>
      <c r="U726" s="9">
        <v>13653.400390000001</v>
      </c>
      <c r="V726" s="45">
        <f t="shared" si="59"/>
        <v>-1.0007214320036506</v>
      </c>
      <c r="W726" s="12">
        <v>-20</v>
      </c>
      <c r="X726" s="12">
        <v>0</v>
      </c>
      <c r="Y726" s="62">
        <v>0.56999999999999995</v>
      </c>
    </row>
    <row r="727" spans="1:25" x14ac:dyDescent="0.2">
      <c r="A727" s="3" t="s">
        <v>3034</v>
      </c>
      <c r="B727" s="3" t="s">
        <v>402</v>
      </c>
      <c r="C727" s="6" t="s">
        <v>354</v>
      </c>
      <c r="D727" s="6" t="s">
        <v>183</v>
      </c>
      <c r="E727" s="6" t="s">
        <v>201</v>
      </c>
      <c r="F727" s="6">
        <v>4036.92</v>
      </c>
      <c r="G727" s="2">
        <v>12</v>
      </c>
      <c r="H727" s="61">
        <v>1.41</v>
      </c>
      <c r="I727" s="61">
        <v>1.51</v>
      </c>
      <c r="J727" s="47">
        <f t="shared" si="55"/>
        <v>-0.88249999999999995</v>
      </c>
      <c r="K727" s="47">
        <f t="shared" si="56"/>
        <v>7.0921985815602898E-2</v>
      </c>
      <c r="L727" s="8">
        <v>2.09</v>
      </c>
      <c r="M727" s="8">
        <v>26.19</v>
      </c>
      <c r="N727" s="8">
        <v>20.51</v>
      </c>
      <c r="O727" s="17">
        <f t="shared" si="57"/>
        <v>-0.29677053824362609</v>
      </c>
      <c r="P727" s="17">
        <f t="shared" si="58"/>
        <v>2.891909999999998</v>
      </c>
      <c r="Q727" s="17">
        <v>14.77</v>
      </c>
      <c r="R727" s="9">
        <v>20220804</v>
      </c>
      <c r="S727" s="9">
        <v>8.57</v>
      </c>
      <c r="T727" s="9">
        <v>-0.89</v>
      </c>
      <c r="U727" s="9">
        <v>3712.8349600000001</v>
      </c>
      <c r="V727" s="45">
        <f t="shared" si="59"/>
        <v>-1.0002397090120052</v>
      </c>
      <c r="W727" s="12">
        <v>-66.67</v>
      </c>
      <c r="X727" s="12">
        <v>2.59</v>
      </c>
      <c r="Y727" s="62">
        <v>1.25</v>
      </c>
    </row>
    <row r="728" spans="1:25" x14ac:dyDescent="0.2">
      <c r="A728" s="3" t="s">
        <v>3035</v>
      </c>
      <c r="B728" s="3" t="s">
        <v>927</v>
      </c>
      <c r="C728" s="6" t="s">
        <v>354</v>
      </c>
      <c r="D728" s="6" t="s">
        <v>153</v>
      </c>
      <c r="E728" s="6" t="s">
        <v>108</v>
      </c>
      <c r="F728" s="6">
        <v>18590.41</v>
      </c>
      <c r="G728" s="2">
        <v>12</v>
      </c>
      <c r="H728" s="61">
        <v>13.05</v>
      </c>
      <c r="I728" s="61">
        <v>15.67</v>
      </c>
      <c r="J728" s="47">
        <f t="shared" si="55"/>
        <v>8.7500000000000064E-2</v>
      </c>
      <c r="K728" s="47">
        <f t="shared" si="56"/>
        <v>0.20076628352490414</v>
      </c>
      <c r="L728" s="8">
        <v>17.54</v>
      </c>
      <c r="M728" s="8">
        <v>17.12</v>
      </c>
      <c r="N728" s="8">
        <v>15.34</v>
      </c>
      <c r="O728" s="17">
        <f t="shared" si="57"/>
        <v>1.9565714285714271</v>
      </c>
      <c r="P728" s="17">
        <f t="shared" si="58"/>
        <v>0.76407251908396978</v>
      </c>
      <c r="Q728" s="17">
        <v>13.7</v>
      </c>
      <c r="R728" s="9">
        <v>20220803</v>
      </c>
      <c r="S728" s="9">
        <v>34.880000000000003</v>
      </c>
      <c r="T728" s="9">
        <v>4.8</v>
      </c>
      <c r="U728" s="9">
        <v>3355.72802</v>
      </c>
      <c r="V728" s="45">
        <f t="shared" si="59"/>
        <v>-0.99856960994115362</v>
      </c>
      <c r="W728" s="12">
        <v>3.4</v>
      </c>
      <c r="X728" s="12">
        <v>0</v>
      </c>
      <c r="Y728" s="62">
        <v>0.97</v>
      </c>
    </row>
    <row r="729" spans="1:25" x14ac:dyDescent="0.2">
      <c r="A729" s="3" t="s">
        <v>928</v>
      </c>
      <c r="B729" s="3" t="s">
        <v>928</v>
      </c>
      <c r="C729" s="6" t="s">
        <v>354</v>
      </c>
      <c r="D729" s="6" t="s">
        <v>126</v>
      </c>
      <c r="E729" s="6" t="s">
        <v>60</v>
      </c>
      <c r="F729" s="6">
        <v>15508.16</v>
      </c>
      <c r="G729" s="2">
        <v>12</v>
      </c>
      <c r="H729" s="61">
        <v>6.8</v>
      </c>
      <c r="I729" s="61">
        <v>7.64</v>
      </c>
      <c r="J729" s="47">
        <f t="shared" si="55"/>
        <v>-0.43333333333333335</v>
      </c>
      <c r="K729" s="47">
        <f t="shared" si="56"/>
        <v>0.12352941176470586</v>
      </c>
      <c r="L729" s="8">
        <v>8.6199999999999992</v>
      </c>
      <c r="M729" s="8">
        <v>16.920000000000002</v>
      </c>
      <c r="N729" s="8">
        <v>16.13</v>
      </c>
      <c r="O729" s="17">
        <f t="shared" si="57"/>
        <v>-0.39046153846153847</v>
      </c>
      <c r="P729" s="17">
        <f t="shared" si="58"/>
        <v>1.3057619047619049</v>
      </c>
      <c r="Q729" s="17">
        <v>14.29</v>
      </c>
      <c r="R729" s="9">
        <v>20220802</v>
      </c>
      <c r="S729" s="9">
        <v>30.3</v>
      </c>
      <c r="T729" s="9">
        <v>10.75</v>
      </c>
      <c r="U729" s="9">
        <v>5423.7919899999997</v>
      </c>
      <c r="V729" s="45">
        <f t="shared" si="59"/>
        <v>-0.99801799183674078</v>
      </c>
      <c r="W729" s="12">
        <v>11.24</v>
      </c>
      <c r="X729" s="12">
        <v>1.72</v>
      </c>
      <c r="Y729" s="62">
        <v>1.47</v>
      </c>
    </row>
    <row r="730" spans="1:25" x14ac:dyDescent="0.2">
      <c r="A730" s="3" t="s">
        <v>3036</v>
      </c>
      <c r="B730" s="3" t="s">
        <v>929</v>
      </c>
      <c r="C730" s="6" t="s">
        <v>354</v>
      </c>
      <c r="D730" s="6" t="s">
        <v>191</v>
      </c>
      <c r="E730" s="6" t="s">
        <v>208</v>
      </c>
      <c r="F730" s="6">
        <v>17798.48</v>
      </c>
      <c r="G730" s="2">
        <v>12</v>
      </c>
      <c r="H730" s="61">
        <v>1.91</v>
      </c>
      <c r="I730" s="61">
        <v>1.99</v>
      </c>
      <c r="J730" s="47">
        <f t="shared" si="55"/>
        <v>-0.84083333333333332</v>
      </c>
      <c r="K730" s="47">
        <f t="shared" si="56"/>
        <v>4.1884816753926739E-2</v>
      </c>
      <c r="L730" s="8">
        <v>2.2599999999999998</v>
      </c>
      <c r="M730" s="8">
        <v>15.98</v>
      </c>
      <c r="N730" s="8">
        <v>15.28</v>
      </c>
      <c r="O730" s="17">
        <f t="shared" si="57"/>
        <v>-0.19004955401387513</v>
      </c>
      <c r="P730" s="17">
        <f t="shared" si="58"/>
        <v>3.6480999999999968</v>
      </c>
      <c r="Q730" s="17">
        <v>13.47</v>
      </c>
      <c r="R730" s="9">
        <v>20220729</v>
      </c>
      <c r="S730" s="9">
        <v>6.99</v>
      </c>
      <c r="T730" s="9">
        <v>1.38</v>
      </c>
      <c r="U730" s="9">
        <v>20269.400389999999</v>
      </c>
      <c r="V730" s="45">
        <f t="shared" si="59"/>
        <v>-0.99993191707828311</v>
      </c>
      <c r="W730" s="12">
        <v>26.67</v>
      </c>
      <c r="X730" s="12">
        <v>1.62</v>
      </c>
      <c r="Y730" s="62">
        <v>1.22</v>
      </c>
    </row>
    <row r="731" spans="1:25" x14ac:dyDescent="0.2">
      <c r="A731" s="3" t="s">
        <v>3037</v>
      </c>
      <c r="B731" s="3" t="s">
        <v>3038</v>
      </c>
      <c r="C731" s="6" t="s">
        <v>354</v>
      </c>
      <c r="D731" s="6" t="s">
        <v>615</v>
      </c>
      <c r="E731" s="6" t="s">
        <v>154</v>
      </c>
      <c r="F731" s="6">
        <v>26836.7</v>
      </c>
      <c r="G731" s="2">
        <v>12</v>
      </c>
      <c r="H731" s="61">
        <v>3.46</v>
      </c>
      <c r="I731" s="61">
        <v>3.7</v>
      </c>
      <c r="J731" s="47">
        <f t="shared" si="55"/>
        <v>-0.71166666666666656</v>
      </c>
      <c r="K731" s="47">
        <f t="shared" si="56"/>
        <v>6.9364161849711045E-2</v>
      </c>
      <c r="L731" s="8">
        <v>4.4000000000000004</v>
      </c>
      <c r="M731" s="8">
        <v>19.079999999999998</v>
      </c>
      <c r="N731" s="8">
        <v>20.239999999999998</v>
      </c>
      <c r="O731" s="17">
        <f t="shared" si="57"/>
        <v>-0.26810304449648714</v>
      </c>
      <c r="P731" s="17">
        <f t="shared" si="58"/>
        <v>2.9179333333333304</v>
      </c>
      <c r="Q731" s="17">
        <v>17.05</v>
      </c>
      <c r="R731" s="9">
        <v>20220727</v>
      </c>
      <c r="S731" s="9">
        <v>8.58</v>
      </c>
      <c r="T731" s="9">
        <v>1.64</v>
      </c>
      <c r="U731" s="9">
        <v>29370.339840000001</v>
      </c>
      <c r="V731" s="45">
        <f t="shared" si="59"/>
        <v>-0.99994416135431408</v>
      </c>
      <c r="W731" s="12">
        <v>-28.72</v>
      </c>
      <c r="X731" s="12">
        <v>2.2000000000000002</v>
      </c>
      <c r="Y731" s="62">
        <v>2.31</v>
      </c>
    </row>
    <row r="732" spans="1:25" x14ac:dyDescent="0.2">
      <c r="A732" s="3" t="s">
        <v>930</v>
      </c>
      <c r="B732" s="3" t="s">
        <v>931</v>
      </c>
      <c r="C732" s="6" t="s">
        <v>354</v>
      </c>
      <c r="D732" s="6" t="s">
        <v>141</v>
      </c>
      <c r="E732" s="6" t="s">
        <v>119</v>
      </c>
      <c r="F732" s="6">
        <v>3163.52</v>
      </c>
      <c r="G732" s="2">
        <v>6</v>
      </c>
      <c r="H732" s="61">
        <v>4.58</v>
      </c>
      <c r="I732" s="61">
        <v>6</v>
      </c>
      <c r="J732" s="47">
        <f t="shared" si="55"/>
        <v>-0.23666666666666666</v>
      </c>
      <c r="K732" s="47">
        <f t="shared" si="56"/>
        <v>0.31004366812227074</v>
      </c>
      <c r="L732" s="8">
        <v>6.48</v>
      </c>
      <c r="M732" s="8">
        <v>14.93</v>
      </c>
      <c r="N732" s="8">
        <v>14.34</v>
      </c>
      <c r="O732" s="17">
        <f t="shared" si="57"/>
        <v>-0.63084507042253513</v>
      </c>
      <c r="P732" s="17">
        <f t="shared" si="58"/>
        <v>0.46251549295774647</v>
      </c>
      <c r="Q732" s="17">
        <v>13.27</v>
      </c>
      <c r="R732" s="9">
        <v>20220815</v>
      </c>
      <c r="S732" s="9">
        <v>16</v>
      </c>
      <c r="T732" s="9">
        <v>9.25</v>
      </c>
      <c r="U732" s="9">
        <v>2255.4230899999998</v>
      </c>
      <c r="V732" s="45">
        <f t="shared" si="59"/>
        <v>-0.99589877391917625</v>
      </c>
      <c r="W732" s="12">
        <v>-1.96</v>
      </c>
      <c r="X732" s="12">
        <v>0</v>
      </c>
      <c r="Y732" s="62"/>
    </row>
    <row r="733" spans="1:25" x14ac:dyDescent="0.2">
      <c r="A733" s="3" t="s">
        <v>3039</v>
      </c>
      <c r="B733" s="3" t="s">
        <v>932</v>
      </c>
      <c r="C733" s="6" t="s">
        <v>354</v>
      </c>
      <c r="D733" s="6" t="s">
        <v>106</v>
      </c>
      <c r="E733" s="6" t="s">
        <v>163</v>
      </c>
      <c r="F733" s="6">
        <v>4217.6400000000003</v>
      </c>
      <c r="G733" s="2">
        <v>12</v>
      </c>
      <c r="H733" s="61">
        <v>1.22</v>
      </c>
      <c r="I733" s="61">
        <v>1.24</v>
      </c>
      <c r="J733" s="47">
        <f t="shared" si="55"/>
        <v>-0.89833333333333332</v>
      </c>
      <c r="K733" s="47">
        <f t="shared" si="56"/>
        <v>1.6393442622950834E-2</v>
      </c>
      <c r="L733" s="8">
        <v>1.42</v>
      </c>
      <c r="M733" s="8">
        <v>9.92</v>
      </c>
      <c r="N733" s="8">
        <v>9.66</v>
      </c>
      <c r="O733" s="17">
        <f t="shared" si="57"/>
        <v>-0.11042671614100186</v>
      </c>
      <c r="P733" s="17">
        <f t="shared" si="58"/>
        <v>5.8925999999999954</v>
      </c>
      <c r="Q733" s="17">
        <v>8.4600000000000009</v>
      </c>
      <c r="R733" s="9">
        <v>20220718</v>
      </c>
      <c r="S733" s="9">
        <v>8.06</v>
      </c>
      <c r="T733" s="9">
        <v>3.1</v>
      </c>
      <c r="U733" s="9">
        <v>1350.54394</v>
      </c>
      <c r="V733" s="45">
        <f t="shared" si="59"/>
        <v>-0.99770462855136732</v>
      </c>
      <c r="W733" s="12">
        <v>8.33</v>
      </c>
      <c r="X733" s="12">
        <v>4</v>
      </c>
      <c r="Y733" s="62"/>
    </row>
    <row r="734" spans="1:25" x14ac:dyDescent="0.2">
      <c r="A734" s="3" t="s">
        <v>3040</v>
      </c>
      <c r="B734" s="3" t="s">
        <v>933</v>
      </c>
      <c r="C734" s="6" t="s">
        <v>354</v>
      </c>
      <c r="D734" s="6" t="s">
        <v>122</v>
      </c>
      <c r="E734" s="6" t="s">
        <v>140</v>
      </c>
      <c r="F734" s="6">
        <v>7911.86</v>
      </c>
      <c r="G734" s="2">
        <v>12</v>
      </c>
      <c r="H734" s="61">
        <v>2.46</v>
      </c>
      <c r="I734" s="61">
        <v>2.89</v>
      </c>
      <c r="J734" s="47">
        <f t="shared" si="55"/>
        <v>-0.79499999999999993</v>
      </c>
      <c r="K734" s="47">
        <f t="shared" si="56"/>
        <v>0.17479674796747974</v>
      </c>
      <c r="L734" s="8">
        <v>3.73</v>
      </c>
      <c r="M734" s="8">
        <v>30.63</v>
      </c>
      <c r="N734" s="8">
        <v>25.85</v>
      </c>
      <c r="O734" s="17">
        <f t="shared" si="57"/>
        <v>-0.38528301886792454</v>
      </c>
      <c r="P734" s="17">
        <f t="shared" si="58"/>
        <v>1.4788604651162784</v>
      </c>
      <c r="Q734" s="17">
        <v>20.059999999999999</v>
      </c>
      <c r="R734" s="9">
        <v>20220804</v>
      </c>
      <c r="S734" s="9">
        <v>20.21</v>
      </c>
      <c r="T734" s="9">
        <v>24.36</v>
      </c>
      <c r="U734" s="9">
        <v>4342.4902300000003</v>
      </c>
      <c r="V734" s="45">
        <f t="shared" si="59"/>
        <v>-0.99439031553100354</v>
      </c>
      <c r="W734" s="12">
        <v>4.6900000000000004</v>
      </c>
      <c r="X734" s="12">
        <v>0</v>
      </c>
      <c r="Y734" s="62">
        <v>1.03</v>
      </c>
    </row>
    <row r="735" spans="1:25" x14ac:dyDescent="0.2">
      <c r="A735" s="3" t="s">
        <v>3041</v>
      </c>
      <c r="B735" s="3" t="s">
        <v>934</v>
      </c>
      <c r="C735" s="6" t="s">
        <v>354</v>
      </c>
      <c r="D735" s="6" t="s">
        <v>173</v>
      </c>
      <c r="E735" s="6" t="s">
        <v>163</v>
      </c>
      <c r="F735" s="6">
        <v>11679.95</v>
      </c>
      <c r="G735" s="2">
        <v>12</v>
      </c>
      <c r="H735" s="61">
        <v>7.34</v>
      </c>
      <c r="I735" s="61">
        <v>6.05</v>
      </c>
      <c r="J735" s="47">
        <f t="shared" si="55"/>
        <v>-0.38833333333333336</v>
      </c>
      <c r="K735" s="47">
        <f t="shared" si="56"/>
        <v>-0.17574931880108993</v>
      </c>
      <c r="L735" s="8">
        <v>6.19</v>
      </c>
      <c r="M735" s="8">
        <v>5.4</v>
      </c>
      <c r="N735" s="8">
        <v>6.88</v>
      </c>
      <c r="O735" s="17">
        <f t="shared" si="57"/>
        <v>-0.13905579399141632</v>
      </c>
      <c r="P735" s="17">
        <f t="shared" si="58"/>
        <v>-0.39146666666666657</v>
      </c>
      <c r="Q735" s="17">
        <v>6.72</v>
      </c>
      <c r="R735" s="9">
        <v>20220802</v>
      </c>
      <c r="S735" s="9">
        <v>24.56</v>
      </c>
      <c r="T735" s="9">
        <v>15.68</v>
      </c>
      <c r="U735" s="9">
        <v>13339</v>
      </c>
      <c r="V735" s="45">
        <f t="shared" si="59"/>
        <v>-0.99882449958767516</v>
      </c>
      <c r="W735" s="12">
        <v>5.38</v>
      </c>
      <c r="X735" s="12">
        <v>4.2300000000000004</v>
      </c>
      <c r="Y735" s="62"/>
    </row>
    <row r="736" spans="1:25" x14ac:dyDescent="0.2">
      <c r="A736" s="3" t="s">
        <v>3042</v>
      </c>
      <c r="B736" s="3" t="s">
        <v>1969</v>
      </c>
      <c r="C736" s="6" t="s">
        <v>356</v>
      </c>
      <c r="D736" s="6" t="s">
        <v>1433</v>
      </c>
      <c r="E736" s="6" t="s">
        <v>60</v>
      </c>
      <c r="F736" s="6">
        <v>7472.06</v>
      </c>
      <c r="G736" s="2">
        <v>12</v>
      </c>
      <c r="H736" s="61">
        <v>0.65</v>
      </c>
      <c r="I736" s="61">
        <v>0.56999999999999995</v>
      </c>
      <c r="J736" s="47">
        <f t="shared" si="55"/>
        <v>-0.9458333333333333</v>
      </c>
      <c r="K736" s="47">
        <f t="shared" si="56"/>
        <v>-0.12307692307692318</v>
      </c>
      <c r="L736" s="8">
        <v>0.68</v>
      </c>
      <c r="N736" s="8">
        <v>17.79</v>
      </c>
      <c r="O736" s="17">
        <f t="shared" si="57"/>
        <v>0</v>
      </c>
      <c r="P736" s="17">
        <f t="shared" si="58"/>
        <v>-1.4454374999999988</v>
      </c>
      <c r="Q736" s="17">
        <v>14.91</v>
      </c>
      <c r="R736" s="9">
        <v>20220614</v>
      </c>
      <c r="U736" s="9">
        <v>2823.98999</v>
      </c>
      <c r="V736" s="45">
        <f t="shared" si="59"/>
        <v>-1</v>
      </c>
      <c r="X736" s="12">
        <v>4.7300000000000004</v>
      </c>
      <c r="Y736" s="62"/>
    </row>
    <row r="737" spans="1:25" x14ac:dyDescent="0.2">
      <c r="A737" s="3" t="s">
        <v>3043</v>
      </c>
      <c r="B737" s="3" t="s">
        <v>1864</v>
      </c>
      <c r="C737" s="6" t="s">
        <v>354</v>
      </c>
      <c r="D737" s="6" t="s">
        <v>196</v>
      </c>
      <c r="E737" s="6" t="s">
        <v>60</v>
      </c>
      <c r="F737" s="6">
        <v>26985.52</v>
      </c>
      <c r="G737" s="2">
        <v>12</v>
      </c>
      <c r="H737" s="61">
        <v>3.51</v>
      </c>
      <c r="I737" s="61">
        <v>3.73</v>
      </c>
      <c r="J737" s="47">
        <f t="shared" si="55"/>
        <v>-0.70750000000000002</v>
      </c>
      <c r="K737" s="47">
        <f t="shared" si="56"/>
        <v>6.2678062678062738E-2</v>
      </c>
      <c r="L737" s="8">
        <v>3.89</v>
      </c>
      <c r="M737" s="8">
        <v>38.93</v>
      </c>
      <c r="N737" s="8">
        <v>37.729999999999997</v>
      </c>
      <c r="O737" s="17">
        <f t="shared" si="57"/>
        <v>-0.55024734982332157</v>
      </c>
      <c r="P737" s="17">
        <f t="shared" si="58"/>
        <v>6.0196499999999942</v>
      </c>
      <c r="Q737" s="17">
        <v>36.19</v>
      </c>
      <c r="R737" s="9">
        <v>20220810</v>
      </c>
      <c r="S737" s="9">
        <v>11.55</v>
      </c>
      <c r="T737" s="9">
        <v>18.600000000000001</v>
      </c>
      <c r="U737" s="9">
        <v>1319.6800499999999</v>
      </c>
      <c r="V737" s="45">
        <f t="shared" si="59"/>
        <v>-0.98590567463681833</v>
      </c>
      <c r="W737" s="12">
        <v>-2.11</v>
      </c>
      <c r="X737" s="12">
        <v>0.91</v>
      </c>
      <c r="Y737" s="62">
        <v>9.43</v>
      </c>
    </row>
    <row r="738" spans="1:25" x14ac:dyDescent="0.2">
      <c r="A738" s="3" t="s">
        <v>3044</v>
      </c>
      <c r="B738" s="3" t="s">
        <v>3045</v>
      </c>
      <c r="C738" s="6" t="s">
        <v>355</v>
      </c>
      <c r="D738" s="6" t="s">
        <v>143</v>
      </c>
      <c r="E738" s="6" t="s">
        <v>119</v>
      </c>
      <c r="F738" s="6">
        <v>3167.05</v>
      </c>
      <c r="G738" s="2">
        <v>12</v>
      </c>
      <c r="H738" s="61">
        <v>1.55</v>
      </c>
      <c r="I738" s="61">
        <v>1.86</v>
      </c>
      <c r="J738" s="47">
        <f t="shared" si="55"/>
        <v>-0.87083333333333324</v>
      </c>
      <c r="K738" s="47">
        <f t="shared" si="56"/>
        <v>0.20000000000000004</v>
      </c>
      <c r="L738" s="8">
        <v>2.04</v>
      </c>
      <c r="M738" s="8">
        <v>24.01</v>
      </c>
      <c r="N738" s="8">
        <v>21.81</v>
      </c>
      <c r="O738" s="17">
        <f t="shared" si="57"/>
        <v>-0.27571291866028713</v>
      </c>
      <c r="P738" s="17">
        <f t="shared" si="58"/>
        <v>1.0904999999999998</v>
      </c>
      <c r="Q738" s="17">
        <v>19.91</v>
      </c>
      <c r="R738" s="9">
        <v>20220727</v>
      </c>
      <c r="S738" s="9">
        <v>13.56</v>
      </c>
      <c r="T738" s="9">
        <v>10.06</v>
      </c>
      <c r="U738" s="9">
        <v>824.23297000000002</v>
      </c>
      <c r="V738" s="45">
        <f t="shared" si="59"/>
        <v>-0.98779471294384169</v>
      </c>
      <c r="W738" s="12">
        <v>25.64</v>
      </c>
      <c r="X738" s="12">
        <v>0</v>
      </c>
      <c r="Y738" s="62"/>
    </row>
    <row r="739" spans="1:25" x14ac:dyDescent="0.2">
      <c r="A739" s="3" t="s">
        <v>3046</v>
      </c>
      <c r="B739" s="3" t="s">
        <v>935</v>
      </c>
      <c r="C739" s="6" t="s">
        <v>354</v>
      </c>
      <c r="D739" s="6" t="s">
        <v>153</v>
      </c>
      <c r="E739" s="6" t="s">
        <v>108</v>
      </c>
      <c r="F739" s="6">
        <v>3927.26</v>
      </c>
      <c r="G739" s="2">
        <v>12</v>
      </c>
      <c r="H739" s="61">
        <v>0.55000000000000004</v>
      </c>
      <c r="I739" s="61">
        <v>1.05</v>
      </c>
      <c r="J739" s="47">
        <f t="shared" si="55"/>
        <v>-0.95416666666666661</v>
      </c>
      <c r="K739" s="47">
        <f t="shared" si="56"/>
        <v>0.90909090909090906</v>
      </c>
      <c r="L739" s="8">
        <v>1.85</v>
      </c>
      <c r="M739" s="8">
        <v>65.69</v>
      </c>
      <c r="N739" s="8">
        <v>44.25</v>
      </c>
      <c r="O739" s="17">
        <f t="shared" si="57"/>
        <v>-0.68845414847161579</v>
      </c>
      <c r="P739" s="17">
        <f t="shared" si="58"/>
        <v>0.48675000000000002</v>
      </c>
      <c r="Q739" s="17">
        <v>25.21</v>
      </c>
      <c r="R739" s="9">
        <v>20220804</v>
      </c>
      <c r="S739" s="9">
        <v>3.32</v>
      </c>
      <c r="U739" s="9">
        <v>700.31799000000001</v>
      </c>
      <c r="V739" s="45">
        <f t="shared" si="59"/>
        <v>-1</v>
      </c>
      <c r="W739" s="12">
        <v>50</v>
      </c>
      <c r="X739" s="12">
        <v>0</v>
      </c>
      <c r="Y739" s="62"/>
    </row>
    <row r="740" spans="1:25" x14ac:dyDescent="0.2">
      <c r="A740" s="3" t="s">
        <v>3047</v>
      </c>
      <c r="B740" s="3" t="s">
        <v>2138</v>
      </c>
      <c r="C740" s="6" t="s">
        <v>355</v>
      </c>
      <c r="D740" s="6" t="s">
        <v>789</v>
      </c>
      <c r="E740" s="6" t="s">
        <v>146</v>
      </c>
      <c r="F740" s="6">
        <v>17710.2</v>
      </c>
      <c r="G740" s="2">
        <v>6</v>
      </c>
      <c r="H740" s="61"/>
      <c r="I740" s="61"/>
      <c r="J740" s="47">
        <f t="shared" si="55"/>
        <v>-1</v>
      </c>
      <c r="K740" s="47" t="e">
        <f t="shared" si="56"/>
        <v>#DIV/0!</v>
      </c>
      <c r="M740" s="8">
        <v>11.78</v>
      </c>
      <c r="O740" s="17">
        <f t="shared" si="57"/>
        <v>-0.11779999999999999</v>
      </c>
      <c r="P740" s="17" t="e">
        <f t="shared" si="58"/>
        <v>#DIV/0!</v>
      </c>
      <c r="Q740" s="17"/>
      <c r="R740" s="9">
        <v>20220803</v>
      </c>
      <c r="S740" s="9">
        <v>13.84</v>
      </c>
      <c r="T740" s="9">
        <v>6.86</v>
      </c>
      <c r="V740" s="45" t="e">
        <f t="shared" si="59"/>
        <v>#DIV/0!</v>
      </c>
      <c r="X740" s="12">
        <v>1.51</v>
      </c>
      <c r="Y740" s="62"/>
    </row>
    <row r="741" spans="1:25" x14ac:dyDescent="0.2">
      <c r="A741" s="3" t="s">
        <v>3047</v>
      </c>
      <c r="B741" s="3" t="s">
        <v>936</v>
      </c>
      <c r="C741" s="6" t="s">
        <v>355</v>
      </c>
      <c r="D741" s="6" t="s">
        <v>789</v>
      </c>
      <c r="E741" s="6" t="s">
        <v>146</v>
      </c>
      <c r="F741" s="6">
        <v>19230.13</v>
      </c>
      <c r="G741" s="2">
        <v>6</v>
      </c>
      <c r="H741" s="61">
        <v>2.77</v>
      </c>
      <c r="I741" s="61">
        <v>2.83</v>
      </c>
      <c r="J741" s="47">
        <f t="shared" si="55"/>
        <v>-0.53833333333333333</v>
      </c>
      <c r="K741" s="47">
        <f t="shared" si="56"/>
        <v>2.1660649819494605E-2</v>
      </c>
      <c r="L741" s="8">
        <v>3.69</v>
      </c>
      <c r="M741" s="8">
        <v>12.79</v>
      </c>
      <c r="N741" s="8">
        <v>12.21</v>
      </c>
      <c r="O741" s="17">
        <f t="shared" si="57"/>
        <v>-0.23758513931888542</v>
      </c>
      <c r="P741" s="17">
        <f t="shared" si="58"/>
        <v>5.6369499999999952</v>
      </c>
      <c r="Q741" s="17">
        <v>9.36</v>
      </c>
      <c r="R741" s="9">
        <v>20220803</v>
      </c>
      <c r="S741" s="9">
        <v>13.84</v>
      </c>
      <c r="T741" s="9">
        <v>6.86</v>
      </c>
      <c r="U741" s="9">
        <v>13945.64453</v>
      </c>
      <c r="V741" s="45">
        <f t="shared" si="59"/>
        <v>-0.99950809014346786</v>
      </c>
      <c r="W741" s="12">
        <v>-4.71</v>
      </c>
      <c r="X741" s="12">
        <v>1.39</v>
      </c>
      <c r="Y741" s="62">
        <v>1</v>
      </c>
    </row>
    <row r="742" spans="1:25" x14ac:dyDescent="0.2">
      <c r="A742" s="3" t="s">
        <v>3048</v>
      </c>
      <c r="B742" s="3" t="s">
        <v>937</v>
      </c>
      <c r="C742" s="6" t="s">
        <v>355</v>
      </c>
      <c r="D742" s="6" t="s">
        <v>44</v>
      </c>
      <c r="E742" s="6" t="s">
        <v>35</v>
      </c>
      <c r="F742" s="6">
        <v>3330.17</v>
      </c>
      <c r="G742" s="2">
        <v>12</v>
      </c>
      <c r="H742" s="61">
        <v>4.49</v>
      </c>
      <c r="I742" s="61">
        <v>5.17</v>
      </c>
      <c r="J742" s="47">
        <f t="shared" si="55"/>
        <v>-0.62583333333333335</v>
      </c>
      <c r="K742" s="47">
        <f t="shared" si="56"/>
        <v>0.1514476614699331</v>
      </c>
      <c r="L742" s="8">
        <v>5.76</v>
      </c>
      <c r="M742" s="8">
        <v>16.559999999999999</v>
      </c>
      <c r="N742" s="8">
        <v>15.29</v>
      </c>
      <c r="O742" s="17">
        <f t="shared" si="57"/>
        <v>-0.26460719041278291</v>
      </c>
      <c r="P742" s="17">
        <f t="shared" si="58"/>
        <v>1.0095897058823533</v>
      </c>
      <c r="Q742" s="17">
        <v>13.71</v>
      </c>
      <c r="R742" s="9">
        <v>20220804</v>
      </c>
      <c r="S742" s="9">
        <v>23.11</v>
      </c>
      <c r="T742" s="9">
        <v>26.23</v>
      </c>
      <c r="U742" s="9">
        <v>1525.52502</v>
      </c>
      <c r="V742" s="45">
        <f t="shared" si="59"/>
        <v>-0.98280591949911122</v>
      </c>
      <c r="W742" s="12">
        <v>16.809999999999999</v>
      </c>
      <c r="X742" s="12">
        <v>0</v>
      </c>
      <c r="Y742" s="62">
        <v>0.79</v>
      </c>
    </row>
    <row r="743" spans="1:25" x14ac:dyDescent="0.2">
      <c r="A743" s="3" t="s">
        <v>3049</v>
      </c>
      <c r="B743" s="3" t="s">
        <v>2139</v>
      </c>
      <c r="C743" s="6" t="s">
        <v>356</v>
      </c>
      <c r="D743" s="6" t="s">
        <v>198</v>
      </c>
      <c r="E743" s="6" t="s">
        <v>60</v>
      </c>
      <c r="F743" s="6">
        <v>18788.419999999998</v>
      </c>
      <c r="G743" s="2">
        <v>12</v>
      </c>
      <c r="H743" s="61"/>
      <c r="I743" s="61">
        <v>3.04</v>
      </c>
      <c r="J743" s="47">
        <f t="shared" si="55"/>
        <v>-1</v>
      </c>
      <c r="K743" s="47" t="e">
        <f t="shared" si="56"/>
        <v>#DIV/0!</v>
      </c>
      <c r="L743" s="8">
        <v>2.66</v>
      </c>
      <c r="M743" s="8">
        <v>16.66</v>
      </c>
      <c r="N743" s="8">
        <v>8.93</v>
      </c>
      <c r="O743" s="17">
        <f t="shared" si="57"/>
        <v>-0.1666</v>
      </c>
      <c r="P743" s="17" t="e">
        <f t="shared" si="58"/>
        <v>#DIV/0!</v>
      </c>
      <c r="Q743" s="17">
        <v>10.210000000000001</v>
      </c>
      <c r="R743" s="9">
        <v>20220726</v>
      </c>
      <c r="S743" s="9">
        <v>9.9700000000000006</v>
      </c>
      <c r="T743" s="9">
        <v>21.09</v>
      </c>
      <c r="V743" s="45" t="e">
        <f t="shared" si="59"/>
        <v>#DIV/0!</v>
      </c>
      <c r="W743" s="12">
        <v>62.79</v>
      </c>
      <c r="X743" s="12">
        <v>0.03</v>
      </c>
      <c r="Y743" s="62">
        <v>3.75</v>
      </c>
    </row>
    <row r="744" spans="1:25" x14ac:dyDescent="0.2">
      <c r="A744" s="3" t="s">
        <v>3050</v>
      </c>
      <c r="B744" s="3" t="s">
        <v>938</v>
      </c>
      <c r="C744" s="6" t="s">
        <v>354</v>
      </c>
      <c r="D744" s="6" t="s">
        <v>215</v>
      </c>
      <c r="E744" s="6" t="s">
        <v>163</v>
      </c>
      <c r="F744" s="6">
        <v>6908.95</v>
      </c>
      <c r="G744" s="2">
        <v>12</v>
      </c>
      <c r="H744" s="61">
        <v>1.96</v>
      </c>
      <c r="I744" s="61">
        <v>2.16</v>
      </c>
      <c r="J744" s="47">
        <f t="shared" si="55"/>
        <v>-0.83666666666666656</v>
      </c>
      <c r="K744" s="47">
        <f t="shared" si="56"/>
        <v>0.10204081632653071</v>
      </c>
      <c r="L744" s="8">
        <v>2.35</v>
      </c>
      <c r="M744" s="8">
        <v>25.66</v>
      </c>
      <c r="N744" s="8">
        <v>24.21</v>
      </c>
      <c r="O744" s="17">
        <f t="shared" si="57"/>
        <v>-0.30669322709163349</v>
      </c>
      <c r="P744" s="17">
        <f t="shared" si="58"/>
        <v>2.3725799999999975</v>
      </c>
      <c r="Q744" s="17">
        <v>22.26</v>
      </c>
      <c r="R744" s="9">
        <v>20220720</v>
      </c>
      <c r="S744" s="9">
        <v>11.4</v>
      </c>
      <c r="T744" s="9">
        <v>4.8</v>
      </c>
      <c r="U744" s="9">
        <v>516.12097000000006</v>
      </c>
      <c r="V744" s="45">
        <f t="shared" si="59"/>
        <v>-0.99069985472591826</v>
      </c>
      <c r="W744" s="12">
        <v>1.92</v>
      </c>
      <c r="X744" s="12">
        <v>2.25</v>
      </c>
      <c r="Y744" s="62"/>
    </row>
    <row r="745" spans="1:25" x14ac:dyDescent="0.2">
      <c r="A745" s="3" t="s">
        <v>939</v>
      </c>
      <c r="B745" s="3" t="s">
        <v>940</v>
      </c>
      <c r="C745" s="6" t="s">
        <v>354</v>
      </c>
      <c r="D745" s="6" t="s">
        <v>113</v>
      </c>
      <c r="E745" s="6" t="s">
        <v>163</v>
      </c>
      <c r="F745" s="6">
        <v>27511.11</v>
      </c>
      <c r="G745" s="2">
        <v>12</v>
      </c>
      <c r="H745" s="61">
        <v>7.56</v>
      </c>
      <c r="I745" s="61">
        <v>8.4499999999999993</v>
      </c>
      <c r="J745" s="47">
        <f t="shared" si="55"/>
        <v>-0.37000000000000005</v>
      </c>
      <c r="K745" s="47">
        <f t="shared" si="56"/>
        <v>0.11772486772486769</v>
      </c>
      <c r="L745" s="8">
        <v>9.7200000000000006</v>
      </c>
      <c r="M745" s="8">
        <v>19.43</v>
      </c>
      <c r="N745" s="8">
        <v>18.13</v>
      </c>
      <c r="O745" s="17">
        <f t="shared" si="57"/>
        <v>-0.52513513513513499</v>
      </c>
      <c r="P745" s="17">
        <f t="shared" si="58"/>
        <v>1.5400314606741576</v>
      </c>
      <c r="Q745" s="17">
        <v>15.76</v>
      </c>
      <c r="R745" s="9">
        <v>20220712</v>
      </c>
      <c r="S745" s="9">
        <v>12.91</v>
      </c>
      <c r="T745" s="9">
        <v>15.7</v>
      </c>
      <c r="U745" s="9">
        <v>5969.2861300000004</v>
      </c>
      <c r="V745" s="45">
        <f t="shared" si="59"/>
        <v>-0.9973698697535881</v>
      </c>
      <c r="W745" s="12">
        <v>5.26</v>
      </c>
      <c r="X745" s="12">
        <v>0.71</v>
      </c>
      <c r="Y745" s="62">
        <v>1.48</v>
      </c>
    </row>
    <row r="746" spans="1:25" x14ac:dyDescent="0.2">
      <c r="A746" s="3" t="s">
        <v>3051</v>
      </c>
      <c r="B746" s="3" t="s">
        <v>2140</v>
      </c>
      <c r="C746" s="6" t="s">
        <v>356</v>
      </c>
      <c r="D746" s="6" t="s">
        <v>173</v>
      </c>
      <c r="E746" s="6" t="s">
        <v>163</v>
      </c>
      <c r="F746" s="6">
        <v>13713.66</v>
      </c>
      <c r="G746" s="2">
        <v>12</v>
      </c>
      <c r="H746" s="61"/>
      <c r="I746" s="61"/>
      <c r="J746" s="47">
        <f t="shared" si="55"/>
        <v>-1</v>
      </c>
      <c r="K746" s="47" t="e">
        <f t="shared" si="56"/>
        <v>#DIV/0!</v>
      </c>
      <c r="M746" s="8">
        <v>5.61</v>
      </c>
      <c r="O746" s="17">
        <f t="shared" si="57"/>
        <v>-5.6100000000000004E-2</v>
      </c>
      <c r="P746" s="17" t="e">
        <f t="shared" si="58"/>
        <v>#DIV/0!</v>
      </c>
      <c r="Q746" s="17"/>
      <c r="R746" s="9">
        <v>20220729</v>
      </c>
      <c r="S746" s="9">
        <v>14.18</v>
      </c>
      <c r="T746" s="9">
        <v>14.13</v>
      </c>
      <c r="V746" s="45" t="e">
        <f t="shared" si="59"/>
        <v>#DIV/0!</v>
      </c>
      <c r="X746" s="12">
        <v>1.82</v>
      </c>
      <c r="Y746" s="62"/>
    </row>
    <row r="747" spans="1:25" x14ac:dyDescent="0.2">
      <c r="A747" s="3" t="s">
        <v>3052</v>
      </c>
      <c r="B747" s="3" t="s">
        <v>2141</v>
      </c>
      <c r="C747" s="6" t="s">
        <v>356</v>
      </c>
      <c r="D747" s="6" t="s">
        <v>145</v>
      </c>
      <c r="E747" s="6" t="s">
        <v>140</v>
      </c>
      <c r="F747" s="6">
        <v>19157.96</v>
      </c>
      <c r="G747" s="2">
        <v>12</v>
      </c>
      <c r="H747" s="61"/>
      <c r="I747" s="61"/>
      <c r="J747" s="47">
        <f t="shared" si="55"/>
        <v>-1</v>
      </c>
      <c r="K747" s="47" t="e">
        <f t="shared" si="56"/>
        <v>#DIV/0!</v>
      </c>
      <c r="O747" s="17">
        <f t="shared" si="57"/>
        <v>0</v>
      </c>
      <c r="P747" s="17" t="e">
        <f t="shared" si="58"/>
        <v>#DIV/0!</v>
      </c>
      <c r="Q747" s="17"/>
      <c r="V747" s="45" t="e">
        <f t="shared" si="59"/>
        <v>#DIV/0!</v>
      </c>
      <c r="X747" s="12">
        <v>0</v>
      </c>
      <c r="Y747" s="62"/>
    </row>
    <row r="748" spans="1:25" x14ac:dyDescent="0.2">
      <c r="A748" s="3" t="s">
        <v>3053</v>
      </c>
      <c r="B748" s="3" t="s">
        <v>3054</v>
      </c>
      <c r="C748" s="6" t="s">
        <v>355</v>
      </c>
      <c r="D748" s="6" t="s">
        <v>177</v>
      </c>
      <c r="E748" s="6" t="s">
        <v>119</v>
      </c>
      <c r="F748" s="6">
        <v>4126.17</v>
      </c>
      <c r="G748" s="2">
        <v>12</v>
      </c>
      <c r="H748" s="61">
        <v>-0.2</v>
      </c>
      <c r="I748" s="61">
        <v>-0.16</v>
      </c>
      <c r="J748" s="47">
        <f t="shared" si="55"/>
        <v>-1.0166666666666666</v>
      </c>
      <c r="K748" s="47">
        <f t="shared" si="56"/>
        <v>0.20000000000000004</v>
      </c>
      <c r="L748" s="8">
        <v>-0.1</v>
      </c>
      <c r="O748" s="17">
        <f t="shared" si="57"/>
        <v>0</v>
      </c>
      <c r="P748" s="17">
        <f t="shared" si="58"/>
        <v>0</v>
      </c>
      <c r="Q748" s="17"/>
      <c r="R748" s="9">
        <v>20220802</v>
      </c>
      <c r="S748" s="9">
        <v>-167.95</v>
      </c>
      <c r="U748" s="9">
        <v>498.07501000000002</v>
      </c>
      <c r="V748" s="45">
        <f t="shared" si="59"/>
        <v>-1</v>
      </c>
      <c r="W748" s="12">
        <v>80</v>
      </c>
      <c r="X748" s="12">
        <v>0</v>
      </c>
      <c r="Y748" s="62"/>
    </row>
    <row r="749" spans="1:25" x14ac:dyDescent="0.2">
      <c r="A749" s="3" t="s">
        <v>941</v>
      </c>
      <c r="B749" s="3" t="s">
        <v>942</v>
      </c>
      <c r="C749" s="6" t="s">
        <v>354</v>
      </c>
      <c r="D749" s="6" t="s">
        <v>217</v>
      </c>
      <c r="E749" s="6" t="s">
        <v>163</v>
      </c>
      <c r="F749" s="6">
        <v>8981.6299999999992</v>
      </c>
      <c r="G749" s="2">
        <v>12</v>
      </c>
      <c r="H749" s="61">
        <v>5.5</v>
      </c>
      <c r="I749" s="61">
        <v>5.96</v>
      </c>
      <c r="J749" s="47">
        <f t="shared" si="55"/>
        <v>-0.54166666666666663</v>
      </c>
      <c r="K749" s="47">
        <f t="shared" si="56"/>
        <v>8.3636363636363634E-2</v>
      </c>
      <c r="L749" s="8">
        <v>6.38</v>
      </c>
      <c r="M749" s="8">
        <v>19.2</v>
      </c>
      <c r="N749" s="8">
        <v>18.989999999999998</v>
      </c>
      <c r="O749" s="17">
        <f t="shared" si="57"/>
        <v>-0.35446153846153844</v>
      </c>
      <c r="P749" s="17">
        <f t="shared" si="58"/>
        <v>2.2705434782608696</v>
      </c>
      <c r="Q749" s="17">
        <v>17.72</v>
      </c>
      <c r="R749" s="9">
        <v>20220803</v>
      </c>
      <c r="S749" s="9">
        <v>10.76</v>
      </c>
      <c r="T749" s="9">
        <v>1.35</v>
      </c>
      <c r="U749" s="9">
        <v>1025.99694</v>
      </c>
      <c r="V749" s="45">
        <f t="shared" si="59"/>
        <v>-0.99868420660201973</v>
      </c>
      <c r="W749" s="12">
        <v>4.17</v>
      </c>
      <c r="X749" s="12">
        <v>3.78</v>
      </c>
      <c r="Y749" s="62">
        <v>3.26</v>
      </c>
    </row>
    <row r="750" spans="1:25" x14ac:dyDescent="0.2">
      <c r="A750" s="3" t="s">
        <v>3055</v>
      </c>
      <c r="B750" s="3" t="s">
        <v>1970</v>
      </c>
      <c r="C750" s="6" t="s">
        <v>356</v>
      </c>
      <c r="D750" s="6" t="s">
        <v>1971</v>
      </c>
      <c r="E750" s="6" t="s">
        <v>119</v>
      </c>
      <c r="F750" s="6">
        <v>3329.56</v>
      </c>
      <c r="G750" s="2">
        <v>12</v>
      </c>
      <c r="H750" s="61">
        <v>2.02</v>
      </c>
      <c r="I750" s="61">
        <v>2.0299999999999998</v>
      </c>
      <c r="J750" s="47">
        <f t="shared" si="55"/>
        <v>-0.83166666666666667</v>
      </c>
      <c r="K750" s="47">
        <f t="shared" si="56"/>
        <v>4.9504950495048447E-3</v>
      </c>
      <c r="L750" s="8">
        <v>2.08</v>
      </c>
      <c r="M750" s="8">
        <v>14.05</v>
      </c>
      <c r="N750" s="8">
        <v>12.81</v>
      </c>
      <c r="O750" s="17">
        <f t="shared" si="57"/>
        <v>-0.16893787575150301</v>
      </c>
      <c r="P750" s="17">
        <f t="shared" si="58"/>
        <v>25.876200000000551</v>
      </c>
      <c r="Q750" s="17">
        <v>12.5</v>
      </c>
      <c r="R750" s="9">
        <v>20220810</v>
      </c>
      <c r="S750" s="9">
        <v>11.17</v>
      </c>
      <c r="U750" s="9">
        <v>2714.0400300000001</v>
      </c>
      <c r="V750" s="45">
        <f t="shared" si="59"/>
        <v>-1</v>
      </c>
      <c r="X750" s="12">
        <v>0</v>
      </c>
      <c r="Y750" s="62"/>
    </row>
    <row r="751" spans="1:25" x14ac:dyDescent="0.2">
      <c r="A751" s="3" t="s">
        <v>3056</v>
      </c>
      <c r="B751" s="3" t="s">
        <v>3057</v>
      </c>
      <c r="C751" s="6" t="s">
        <v>354</v>
      </c>
      <c r="D751" s="6" t="s">
        <v>152</v>
      </c>
      <c r="E751" s="6" t="s">
        <v>163</v>
      </c>
      <c r="F751" s="6">
        <v>6083.65</v>
      </c>
      <c r="G751" s="2">
        <v>12</v>
      </c>
      <c r="H751" s="61">
        <v>2.62</v>
      </c>
      <c r="I751" s="61">
        <v>2.7</v>
      </c>
      <c r="J751" s="47">
        <f t="shared" si="55"/>
        <v>-0.78166666666666662</v>
      </c>
      <c r="K751" s="47">
        <f t="shared" si="56"/>
        <v>3.0534351145038195E-2</v>
      </c>
      <c r="L751" s="8">
        <v>2.66</v>
      </c>
      <c r="M751" s="8">
        <v>7.79</v>
      </c>
      <c r="N751" s="8">
        <v>7.93</v>
      </c>
      <c r="O751" s="17">
        <f t="shared" si="57"/>
        <v>-9.9658848614072509E-2</v>
      </c>
      <c r="P751" s="17">
        <f t="shared" si="58"/>
        <v>2.5970749999999976</v>
      </c>
      <c r="Q751" s="17">
        <v>8.0399999999999991</v>
      </c>
      <c r="R751" s="9">
        <v>20220808</v>
      </c>
      <c r="S751" s="9">
        <v>8.84</v>
      </c>
      <c r="T751" s="9">
        <v>23.63</v>
      </c>
      <c r="U751" s="9">
        <v>1548.10998</v>
      </c>
      <c r="V751" s="45">
        <f t="shared" si="59"/>
        <v>-0.98473622655672044</v>
      </c>
      <c r="W751" s="12">
        <v>12.5</v>
      </c>
      <c r="X751" s="12">
        <v>11.77</v>
      </c>
      <c r="Y751" s="62"/>
    </row>
    <row r="752" spans="1:25" x14ac:dyDescent="0.2">
      <c r="A752" s="3" t="s">
        <v>3058</v>
      </c>
      <c r="B752" s="3" t="s">
        <v>943</v>
      </c>
      <c r="C752" s="6" t="s">
        <v>355</v>
      </c>
      <c r="D752" s="6" t="s">
        <v>294</v>
      </c>
      <c r="E752" s="6" t="s">
        <v>218</v>
      </c>
      <c r="F752" s="6">
        <v>7256.19</v>
      </c>
      <c r="G752" s="2">
        <v>12</v>
      </c>
      <c r="H752" s="61">
        <v>4.25</v>
      </c>
      <c r="I752" s="61">
        <v>0.35</v>
      </c>
      <c r="J752" s="47">
        <f t="shared" si="55"/>
        <v>-0.64583333333333337</v>
      </c>
      <c r="K752" s="47">
        <f t="shared" si="56"/>
        <v>-0.91764705882352937</v>
      </c>
      <c r="L752" s="8">
        <v>1.91</v>
      </c>
      <c r="M752" s="8">
        <v>33.869999999999997</v>
      </c>
      <c r="N752" s="8">
        <v>195.21</v>
      </c>
      <c r="O752" s="17">
        <f t="shared" si="57"/>
        <v>-0.52443870967741923</v>
      </c>
      <c r="P752" s="17">
        <f t="shared" si="58"/>
        <v>-2.1272884615384617</v>
      </c>
      <c r="Q752" s="17">
        <v>35.630000000000003</v>
      </c>
      <c r="R752" s="9">
        <v>20220804</v>
      </c>
      <c r="S752" s="9">
        <v>3.68</v>
      </c>
      <c r="T752" s="9">
        <v>2.87</v>
      </c>
      <c r="U752" s="9">
        <v>2494.63598</v>
      </c>
      <c r="V752" s="45">
        <f t="shared" si="59"/>
        <v>-0.99884953154568068</v>
      </c>
      <c r="W752" s="12">
        <v>0</v>
      </c>
      <c r="X752" s="12">
        <v>0</v>
      </c>
      <c r="Y752" s="62">
        <v>14.8</v>
      </c>
    </row>
    <row r="753" spans="1:25" x14ac:dyDescent="0.2">
      <c r="A753" s="3" t="s">
        <v>3059</v>
      </c>
      <c r="B753" s="3" t="s">
        <v>944</v>
      </c>
      <c r="C753" s="6" t="s">
        <v>356</v>
      </c>
      <c r="D753" s="6" t="s">
        <v>192</v>
      </c>
      <c r="E753" s="6" t="s">
        <v>208</v>
      </c>
      <c r="F753" s="6">
        <v>19237.63</v>
      </c>
      <c r="G753" s="2">
        <v>12</v>
      </c>
      <c r="H753" s="61">
        <v>0.95</v>
      </c>
      <c r="I753" s="61">
        <v>0.91</v>
      </c>
      <c r="J753" s="47">
        <f t="shared" si="55"/>
        <v>-0.92083333333333339</v>
      </c>
      <c r="K753" s="47">
        <f t="shared" si="56"/>
        <v>-4.210526315789466E-2</v>
      </c>
      <c r="L753" s="8">
        <v>0.99</v>
      </c>
      <c r="M753" s="8">
        <v>8.6999999999999993</v>
      </c>
      <c r="N753" s="8">
        <v>9.4600000000000009</v>
      </c>
      <c r="O753" s="17">
        <f t="shared" si="57"/>
        <v>-9.4479638009049752E-2</v>
      </c>
      <c r="P753" s="17">
        <f t="shared" si="58"/>
        <v>-2.246750000000004</v>
      </c>
      <c r="Q753" s="17">
        <v>8.6999999999999993</v>
      </c>
      <c r="R753" s="9">
        <v>20220602</v>
      </c>
      <c r="S753" s="9">
        <v>6.73</v>
      </c>
      <c r="T753" s="9">
        <v>4.12</v>
      </c>
      <c r="U753" s="9">
        <v>42204.828119999998</v>
      </c>
      <c r="V753" s="45">
        <f t="shared" si="59"/>
        <v>-0.99990238083689642</v>
      </c>
      <c r="X753" s="12">
        <v>1.89</v>
      </c>
      <c r="Y753" s="62"/>
    </row>
    <row r="754" spans="1:25" x14ac:dyDescent="0.2">
      <c r="A754" s="3" t="s">
        <v>3060</v>
      </c>
      <c r="B754" s="3" t="s">
        <v>1972</v>
      </c>
      <c r="C754" s="6" t="s">
        <v>354</v>
      </c>
      <c r="D754" s="6" t="s">
        <v>44</v>
      </c>
      <c r="E754" s="6" t="s">
        <v>35</v>
      </c>
      <c r="F754" s="6">
        <v>3062.9</v>
      </c>
      <c r="G754" s="2">
        <v>12</v>
      </c>
      <c r="H754" s="61">
        <v>-1.1299999999999999</v>
      </c>
      <c r="I754" s="61">
        <v>-1.68</v>
      </c>
      <c r="J754" s="47">
        <f t="shared" si="55"/>
        <v>-1.0941666666666665</v>
      </c>
      <c r="K754" s="47">
        <f t="shared" si="56"/>
        <v>-0.48672566371681425</v>
      </c>
      <c r="L754" s="8">
        <v>-1.06</v>
      </c>
      <c r="O754" s="17">
        <f t="shared" si="57"/>
        <v>0</v>
      </c>
      <c r="P754" s="17">
        <f t="shared" si="58"/>
        <v>0</v>
      </c>
      <c r="Q754" s="17"/>
      <c r="R754" s="9">
        <v>20220804</v>
      </c>
      <c r="S754" s="9">
        <v>-48.47</v>
      </c>
      <c r="U754" s="9">
        <v>41.005000000000003</v>
      </c>
      <c r="V754" s="45">
        <f t="shared" si="59"/>
        <v>-1</v>
      </c>
      <c r="W754" s="12">
        <v>-5.13</v>
      </c>
      <c r="X754" s="12">
        <v>0</v>
      </c>
      <c r="Y754" s="62"/>
    </row>
    <row r="755" spans="1:25" x14ac:dyDescent="0.2">
      <c r="A755" s="3" t="s">
        <v>3061</v>
      </c>
      <c r="B755" s="3" t="s">
        <v>945</v>
      </c>
      <c r="C755" s="6" t="s">
        <v>356</v>
      </c>
      <c r="D755" s="6" t="s">
        <v>946</v>
      </c>
      <c r="E755" s="6" t="s">
        <v>60</v>
      </c>
      <c r="F755" s="6">
        <v>44644.99</v>
      </c>
      <c r="G755" s="2">
        <v>6</v>
      </c>
      <c r="H755" s="61">
        <v>6.65</v>
      </c>
      <c r="I755" s="61">
        <v>3.98</v>
      </c>
      <c r="J755" s="47">
        <f t="shared" si="55"/>
        <v>0.10833333333333339</v>
      </c>
      <c r="K755" s="47">
        <f t="shared" si="56"/>
        <v>-0.40150375939849625</v>
      </c>
      <c r="L755" s="8">
        <v>3.13</v>
      </c>
      <c r="N755" s="8">
        <v>7.28</v>
      </c>
      <c r="O755" s="17">
        <f t="shared" si="57"/>
        <v>0</v>
      </c>
      <c r="P755" s="17">
        <f t="shared" si="58"/>
        <v>-0.18131835205992511</v>
      </c>
      <c r="Q755" s="17">
        <v>9.2799999999999994</v>
      </c>
      <c r="U755" s="9">
        <v>16999.570309999999</v>
      </c>
      <c r="V755" s="45">
        <f t="shared" si="59"/>
        <v>-1</v>
      </c>
      <c r="X755" s="12">
        <v>8.76</v>
      </c>
      <c r="Y755" s="62"/>
    </row>
    <row r="756" spans="1:25" x14ac:dyDescent="0.2">
      <c r="A756" s="3" t="s">
        <v>3062</v>
      </c>
      <c r="B756" s="3" t="s">
        <v>947</v>
      </c>
      <c r="C756" s="6" t="s">
        <v>355</v>
      </c>
      <c r="D756" s="6" t="s">
        <v>213</v>
      </c>
      <c r="E756" s="6" t="s">
        <v>163</v>
      </c>
      <c r="F756" s="6">
        <v>5322.99</v>
      </c>
      <c r="G756" s="2">
        <v>12</v>
      </c>
      <c r="H756" s="61">
        <v>4.3600000000000003</v>
      </c>
      <c r="I756" s="61">
        <v>4.59</v>
      </c>
      <c r="J756" s="47">
        <f t="shared" si="55"/>
        <v>-0.6366666666666666</v>
      </c>
      <c r="K756" s="47">
        <f t="shared" si="56"/>
        <v>5.2752293577981543E-2</v>
      </c>
      <c r="L756" s="8">
        <v>5.01</v>
      </c>
      <c r="M756" s="8">
        <v>25.9</v>
      </c>
      <c r="N756" s="8">
        <v>26.22</v>
      </c>
      <c r="O756" s="17">
        <f t="shared" si="57"/>
        <v>-0.40680628272251312</v>
      </c>
      <c r="P756" s="17">
        <f t="shared" si="58"/>
        <v>4.9704000000000104</v>
      </c>
      <c r="Q756" s="17">
        <v>24.03</v>
      </c>
      <c r="R756" s="9">
        <v>20220726</v>
      </c>
      <c r="S756" s="9">
        <v>16.37</v>
      </c>
      <c r="T756" s="9">
        <v>18</v>
      </c>
      <c r="U756" s="9">
        <v>3637.6369599999998</v>
      </c>
      <c r="V756" s="45">
        <f t="shared" si="59"/>
        <v>-0.99505173270506908</v>
      </c>
      <c r="W756" s="12">
        <v>7.35</v>
      </c>
      <c r="X756" s="12">
        <v>0.67</v>
      </c>
      <c r="Y756" s="62"/>
    </row>
    <row r="757" spans="1:25" x14ac:dyDescent="0.2">
      <c r="A757" s="3" t="s">
        <v>3063</v>
      </c>
      <c r="B757" s="3" t="s">
        <v>948</v>
      </c>
      <c r="C757" s="6" t="s">
        <v>354</v>
      </c>
      <c r="D757" s="6" t="s">
        <v>529</v>
      </c>
      <c r="E757" s="6" t="s">
        <v>218</v>
      </c>
      <c r="F757" s="6">
        <v>3907.11</v>
      </c>
      <c r="G757" s="2">
        <v>12</v>
      </c>
      <c r="H757" s="61">
        <v>-0.14000000000000001</v>
      </c>
      <c r="I757" s="61">
        <v>0.13</v>
      </c>
      <c r="J757" s="47">
        <f t="shared" si="55"/>
        <v>-1.0116666666666667</v>
      </c>
      <c r="K757" s="47">
        <f t="shared" si="56"/>
        <v>1.9285714285714286</v>
      </c>
      <c r="L757" s="8">
        <v>0.47</v>
      </c>
      <c r="N757" s="8">
        <v>66.760000000000005</v>
      </c>
      <c r="O757" s="17">
        <f t="shared" si="57"/>
        <v>0</v>
      </c>
      <c r="P757" s="17">
        <f t="shared" si="58"/>
        <v>0.34616296296296301</v>
      </c>
      <c r="Q757" s="17">
        <v>18.48</v>
      </c>
      <c r="R757" s="9">
        <v>20220720</v>
      </c>
      <c r="S757" s="9">
        <v>-3.41</v>
      </c>
      <c r="T757" s="9">
        <v>-10.48</v>
      </c>
      <c r="U757" s="9">
        <v>6707.5708000000004</v>
      </c>
      <c r="V757" s="45">
        <f t="shared" si="59"/>
        <v>-1.001562413623722</v>
      </c>
      <c r="W757" s="12">
        <v>-200</v>
      </c>
      <c r="X757" s="12">
        <v>0</v>
      </c>
      <c r="Y757" s="62"/>
    </row>
    <row r="758" spans="1:25" x14ac:dyDescent="0.2">
      <c r="A758" s="3" t="s">
        <v>3064</v>
      </c>
      <c r="B758" s="3" t="s">
        <v>949</v>
      </c>
      <c r="C758" s="6" t="s">
        <v>355</v>
      </c>
      <c r="D758" s="6" t="s">
        <v>307</v>
      </c>
      <c r="E758" s="6" t="s">
        <v>119</v>
      </c>
      <c r="F758" s="6">
        <v>47243.13</v>
      </c>
      <c r="G758" s="2">
        <v>12</v>
      </c>
      <c r="H758" s="61">
        <v>3.89</v>
      </c>
      <c r="I758" s="61">
        <v>5.09</v>
      </c>
      <c r="J758" s="47">
        <f t="shared" si="55"/>
        <v>-0.67583333333333329</v>
      </c>
      <c r="K758" s="47">
        <f t="shared" si="56"/>
        <v>0.30848329048843182</v>
      </c>
      <c r="L758" s="8">
        <v>6.16</v>
      </c>
      <c r="M758" s="8">
        <v>71.61</v>
      </c>
      <c r="N758" s="8">
        <v>57.78</v>
      </c>
      <c r="O758" s="17">
        <f t="shared" si="57"/>
        <v>-1.0595807644882862</v>
      </c>
      <c r="P758" s="17">
        <f t="shared" si="58"/>
        <v>1.8730350000000002</v>
      </c>
      <c r="Q758" s="17">
        <v>47.81</v>
      </c>
      <c r="R758" s="9">
        <v>20220804</v>
      </c>
      <c r="S758" s="9">
        <v>67.94</v>
      </c>
      <c r="T758" s="9">
        <v>21.52</v>
      </c>
      <c r="U758" s="9">
        <v>4373.1269499999999</v>
      </c>
      <c r="V758" s="45">
        <f t="shared" si="59"/>
        <v>-0.9950790360659435</v>
      </c>
      <c r="W758" s="12">
        <v>18.989999999999998</v>
      </c>
      <c r="X758" s="12">
        <v>0</v>
      </c>
      <c r="Y758" s="62">
        <v>3.21</v>
      </c>
    </row>
    <row r="759" spans="1:25" x14ac:dyDescent="0.2">
      <c r="A759" s="3" t="s">
        <v>3065</v>
      </c>
      <c r="B759" s="3" t="s">
        <v>950</v>
      </c>
      <c r="C759" s="6" t="s">
        <v>354</v>
      </c>
      <c r="D759" s="6" t="s">
        <v>246</v>
      </c>
      <c r="E759" s="6" t="s">
        <v>250</v>
      </c>
      <c r="F759" s="6">
        <v>24017.89</v>
      </c>
      <c r="G759" s="2">
        <v>12</v>
      </c>
      <c r="H759" s="61">
        <v>2.13</v>
      </c>
      <c r="I759" s="61">
        <v>2.19</v>
      </c>
      <c r="J759" s="47">
        <f t="shared" si="55"/>
        <v>-0.82250000000000012</v>
      </c>
      <c r="K759" s="47">
        <f t="shared" si="56"/>
        <v>2.8169014084507067E-2</v>
      </c>
      <c r="L759" s="8">
        <v>2.3199999999999998</v>
      </c>
      <c r="M759" s="8">
        <v>24.2</v>
      </c>
      <c r="N759" s="8">
        <v>22.94</v>
      </c>
      <c r="O759" s="17">
        <f t="shared" si="57"/>
        <v>-0.294224924012158</v>
      </c>
      <c r="P759" s="17">
        <f t="shared" si="58"/>
        <v>8.1436999999999937</v>
      </c>
      <c r="Q759" s="17">
        <v>21.66</v>
      </c>
      <c r="R759" s="9">
        <v>20220804</v>
      </c>
      <c r="S759" s="9">
        <v>6.56</v>
      </c>
      <c r="T759" s="9">
        <v>3.8</v>
      </c>
      <c r="U759" s="9">
        <v>7799.7299800000001</v>
      </c>
      <c r="V759" s="45">
        <f t="shared" si="59"/>
        <v>-0.99951280364708217</v>
      </c>
      <c r="W759" s="12">
        <v>1.64</v>
      </c>
      <c r="X759" s="12">
        <v>3.31</v>
      </c>
      <c r="Y759" s="62">
        <v>3.88</v>
      </c>
    </row>
    <row r="760" spans="1:25" x14ac:dyDescent="0.2">
      <c r="A760" s="3" t="s">
        <v>3066</v>
      </c>
      <c r="B760" s="3" t="s">
        <v>951</v>
      </c>
      <c r="C760" s="6" t="s">
        <v>354</v>
      </c>
      <c r="D760" s="6" t="s">
        <v>144</v>
      </c>
      <c r="E760" s="6" t="s">
        <v>119</v>
      </c>
      <c r="F760" s="6">
        <v>21721.94</v>
      </c>
      <c r="G760" s="2">
        <v>12</v>
      </c>
      <c r="H760" s="61">
        <v>2.74</v>
      </c>
      <c r="I760" s="61">
        <v>3.1</v>
      </c>
      <c r="J760" s="47">
        <f t="shared" si="55"/>
        <v>-0.77166666666666661</v>
      </c>
      <c r="K760" s="47">
        <f t="shared" si="56"/>
        <v>0.13138686131386856</v>
      </c>
      <c r="L760" s="8">
        <v>3.42</v>
      </c>
      <c r="M760" s="8">
        <v>21.57</v>
      </c>
      <c r="N760" s="8">
        <v>19.55</v>
      </c>
      <c r="O760" s="17">
        <f t="shared" si="57"/>
        <v>-0.27952483801295902</v>
      </c>
      <c r="P760" s="17">
        <f t="shared" si="58"/>
        <v>1.4879722222222227</v>
      </c>
      <c r="Q760" s="17">
        <v>17.71</v>
      </c>
      <c r="R760" s="9">
        <v>20220804</v>
      </c>
      <c r="S760" s="9">
        <v>10.87</v>
      </c>
      <c r="T760" s="9">
        <v>-4.43</v>
      </c>
      <c r="U760" s="9">
        <v>5808.4628899999998</v>
      </c>
      <c r="V760" s="45">
        <f t="shared" si="59"/>
        <v>-1.0007626802622132</v>
      </c>
      <c r="W760" s="12">
        <v>2.94</v>
      </c>
      <c r="X760" s="12">
        <v>0.46</v>
      </c>
      <c r="Y760" s="62">
        <v>1.88</v>
      </c>
    </row>
    <row r="761" spans="1:25" x14ac:dyDescent="0.2">
      <c r="A761" s="3" t="s">
        <v>3067</v>
      </c>
      <c r="B761" s="3" t="s">
        <v>952</v>
      </c>
      <c r="C761" s="6" t="s">
        <v>356</v>
      </c>
      <c r="D761" s="6" t="s">
        <v>953</v>
      </c>
      <c r="E761" s="6" t="s">
        <v>119</v>
      </c>
      <c r="F761" s="6">
        <v>21638.29</v>
      </c>
      <c r="G761" s="2">
        <v>3</v>
      </c>
      <c r="H761" s="61">
        <v>4.09</v>
      </c>
      <c r="I761" s="61">
        <v>4.24</v>
      </c>
      <c r="J761" s="47">
        <f t="shared" si="55"/>
        <v>0.36333333333333329</v>
      </c>
      <c r="K761" s="47">
        <f t="shared" si="56"/>
        <v>3.6674816625916956E-2</v>
      </c>
      <c r="L761" s="8">
        <v>4.6399999999999997</v>
      </c>
      <c r="M761" s="8">
        <v>11.56</v>
      </c>
      <c r="N761" s="8">
        <v>12.75</v>
      </c>
      <c r="O761" s="17">
        <f t="shared" si="57"/>
        <v>0.31816513761467896</v>
      </c>
      <c r="P761" s="17">
        <f t="shared" si="58"/>
        <v>3.4764999999999917</v>
      </c>
      <c r="Q761" s="17">
        <v>11.66</v>
      </c>
      <c r="R761" s="9">
        <v>20220812</v>
      </c>
      <c r="S761" s="9">
        <v>8.9499999999999993</v>
      </c>
      <c r="T761" s="9">
        <v>-0.15</v>
      </c>
      <c r="U761" s="9">
        <v>23535</v>
      </c>
      <c r="V761" s="45">
        <f t="shared" si="59"/>
        <v>-1.0000063734862972</v>
      </c>
      <c r="W761" s="12">
        <v>73.13</v>
      </c>
      <c r="X761" s="12">
        <v>1.33</v>
      </c>
      <c r="Y761" s="62">
        <v>3.32</v>
      </c>
    </row>
    <row r="762" spans="1:25" x14ac:dyDescent="0.2">
      <c r="A762" s="3" t="s">
        <v>3068</v>
      </c>
      <c r="B762" s="3" t="s">
        <v>1973</v>
      </c>
      <c r="C762" s="6" t="s">
        <v>354</v>
      </c>
      <c r="D762" s="6" t="s">
        <v>128</v>
      </c>
      <c r="E762" s="6" t="s">
        <v>60</v>
      </c>
      <c r="F762" s="6">
        <v>3714.26</v>
      </c>
      <c r="G762" s="2">
        <v>11</v>
      </c>
      <c r="H762" s="61">
        <v>3.47</v>
      </c>
      <c r="I762" s="61">
        <v>4.22</v>
      </c>
      <c r="J762" s="47">
        <f t="shared" si="55"/>
        <v>-0.68454545454545446</v>
      </c>
      <c r="K762" s="47">
        <f t="shared" si="56"/>
        <v>0.21613832853025922</v>
      </c>
      <c r="L762" s="8">
        <v>4.84</v>
      </c>
      <c r="M762" s="8">
        <v>19.34</v>
      </c>
      <c r="N762" s="8">
        <v>16.59</v>
      </c>
      <c r="O762" s="17">
        <f t="shared" si="57"/>
        <v>-0.28252324037184601</v>
      </c>
      <c r="P762" s="17">
        <f t="shared" si="58"/>
        <v>0.76756400000000047</v>
      </c>
      <c r="Q762" s="17">
        <v>14.47</v>
      </c>
      <c r="R762" s="9">
        <v>20220622</v>
      </c>
      <c r="S762" s="9">
        <v>12.4</v>
      </c>
      <c r="T762" s="9">
        <v>6.65</v>
      </c>
      <c r="U762" s="9">
        <v>3785.7880799999998</v>
      </c>
      <c r="V762" s="45">
        <f t="shared" si="59"/>
        <v>-0.99824343046692665</v>
      </c>
      <c r="W762" s="12">
        <v>9.59</v>
      </c>
      <c r="X762" s="12">
        <v>1.0900000000000001</v>
      </c>
      <c r="Y762" s="62"/>
    </row>
    <row r="763" spans="1:25" x14ac:dyDescent="0.2">
      <c r="A763" s="3" t="s">
        <v>3069</v>
      </c>
      <c r="B763" s="3" t="s">
        <v>954</v>
      </c>
      <c r="C763" s="6" t="s">
        <v>356</v>
      </c>
      <c r="D763" s="6" t="s">
        <v>204</v>
      </c>
      <c r="E763" s="6" t="s">
        <v>218</v>
      </c>
      <c r="F763" s="6">
        <v>4143.3100000000004</v>
      </c>
      <c r="G763" s="2">
        <v>12</v>
      </c>
      <c r="H763" s="61">
        <v>0.52</v>
      </c>
      <c r="I763" s="61">
        <v>0.49</v>
      </c>
      <c r="J763" s="47">
        <f t="shared" si="55"/>
        <v>-0.95666666666666667</v>
      </c>
      <c r="K763" s="47">
        <f t="shared" si="56"/>
        <v>-5.7692307692307744E-2</v>
      </c>
      <c r="N763" s="8">
        <v>15.21</v>
      </c>
      <c r="O763" s="17">
        <f t="shared" si="57"/>
        <v>0</v>
      </c>
      <c r="P763" s="17">
        <f t="shared" si="58"/>
        <v>-2.6363999999999979</v>
      </c>
      <c r="Q763" s="17"/>
      <c r="V763" s="45" t="e">
        <f t="shared" si="59"/>
        <v>#DIV/0!</v>
      </c>
      <c r="X763" s="12">
        <v>2.36</v>
      </c>
      <c r="Y763" s="62">
        <v>1.43</v>
      </c>
    </row>
    <row r="764" spans="1:25" x14ac:dyDescent="0.2">
      <c r="A764" s="3" t="s">
        <v>3070</v>
      </c>
      <c r="B764" s="3" t="s">
        <v>1865</v>
      </c>
      <c r="C764" s="6" t="s">
        <v>355</v>
      </c>
      <c r="D764" s="6" t="s">
        <v>233</v>
      </c>
      <c r="E764" s="6" t="s">
        <v>108</v>
      </c>
      <c r="F764" s="6">
        <v>5236.21</v>
      </c>
      <c r="G764" s="2">
        <v>12</v>
      </c>
      <c r="H764" s="61">
        <v>2.4500000000000002</v>
      </c>
      <c r="I764" s="61">
        <v>1.75</v>
      </c>
      <c r="J764" s="47">
        <f t="shared" si="55"/>
        <v>-0.79583333333333339</v>
      </c>
      <c r="K764" s="47">
        <f t="shared" si="56"/>
        <v>-0.28571428571428575</v>
      </c>
      <c r="L764" s="8">
        <v>2.35</v>
      </c>
      <c r="M764" s="8">
        <v>14.51</v>
      </c>
      <c r="N764" s="8">
        <v>19.899999999999999</v>
      </c>
      <c r="O764" s="17">
        <f t="shared" si="57"/>
        <v>-0.1823246073298429</v>
      </c>
      <c r="P764" s="17">
        <f t="shared" si="58"/>
        <v>-0.69649999999999979</v>
      </c>
      <c r="Q764" s="17">
        <v>14.85</v>
      </c>
      <c r="R764" s="9">
        <v>20220606</v>
      </c>
      <c r="S764" s="9">
        <v>15.41</v>
      </c>
      <c r="U764" s="9">
        <v>945.04301999999996</v>
      </c>
      <c r="V764" s="45">
        <f t="shared" si="59"/>
        <v>-1</v>
      </c>
      <c r="X764" s="12">
        <v>0</v>
      </c>
      <c r="Y764" s="62">
        <v>2.79</v>
      </c>
    </row>
    <row r="765" spans="1:25" x14ac:dyDescent="0.2">
      <c r="A765" s="3" t="s">
        <v>3071</v>
      </c>
      <c r="B765" s="3" t="s">
        <v>2142</v>
      </c>
      <c r="C765" s="6" t="s">
        <v>355</v>
      </c>
      <c r="D765" s="6" t="s">
        <v>788</v>
      </c>
      <c r="E765" s="6" t="s">
        <v>146</v>
      </c>
      <c r="F765" s="6">
        <v>13117.43</v>
      </c>
      <c r="G765" s="2">
        <v>12</v>
      </c>
      <c r="H765" s="61"/>
      <c r="I765" s="61"/>
      <c r="J765" s="47">
        <f t="shared" si="55"/>
        <v>-1</v>
      </c>
      <c r="K765" s="47" t="e">
        <f t="shared" si="56"/>
        <v>#DIV/0!</v>
      </c>
      <c r="O765" s="17">
        <f t="shared" si="57"/>
        <v>0</v>
      </c>
      <c r="P765" s="17" t="e">
        <f t="shared" si="58"/>
        <v>#DIV/0!</v>
      </c>
      <c r="Q765" s="17"/>
      <c r="R765" s="9">
        <v>20220805</v>
      </c>
      <c r="S765" s="9">
        <v>-0.97</v>
      </c>
      <c r="T765" s="9">
        <v>-1.86</v>
      </c>
      <c r="U765" s="9">
        <v>2492.1999500000002</v>
      </c>
      <c r="V765" s="45">
        <f t="shared" si="59"/>
        <v>-1.000746328560034</v>
      </c>
      <c r="X765" s="12">
        <v>0</v>
      </c>
      <c r="Y765" s="62"/>
    </row>
    <row r="766" spans="1:25" x14ac:dyDescent="0.2">
      <c r="A766" s="3" t="s">
        <v>3071</v>
      </c>
      <c r="B766" s="3" t="s">
        <v>2143</v>
      </c>
      <c r="C766" s="6" t="s">
        <v>356</v>
      </c>
      <c r="D766" s="6" t="s">
        <v>788</v>
      </c>
      <c r="E766" s="6" t="s">
        <v>146</v>
      </c>
      <c r="F766" s="6">
        <v>13750.65</v>
      </c>
      <c r="G766" s="2">
        <v>12</v>
      </c>
      <c r="H766" s="61"/>
      <c r="I766" s="61"/>
      <c r="J766" s="47">
        <f t="shared" si="55"/>
        <v>-1</v>
      </c>
      <c r="K766" s="47" t="e">
        <f t="shared" si="56"/>
        <v>#DIV/0!</v>
      </c>
      <c r="O766" s="17">
        <f t="shared" si="57"/>
        <v>0</v>
      </c>
      <c r="P766" s="17" t="e">
        <f t="shared" si="58"/>
        <v>#DIV/0!</v>
      </c>
      <c r="Q766" s="17"/>
      <c r="R766" s="9">
        <v>20220805</v>
      </c>
      <c r="S766" s="9">
        <v>-0.97</v>
      </c>
      <c r="T766" s="9">
        <v>-1.86</v>
      </c>
      <c r="V766" s="45" t="e">
        <f t="shared" si="59"/>
        <v>#DIV/0!</v>
      </c>
      <c r="X766" s="12">
        <v>0</v>
      </c>
      <c r="Y766" s="62"/>
    </row>
    <row r="767" spans="1:25" x14ac:dyDescent="0.2">
      <c r="A767" s="3" t="s">
        <v>3071</v>
      </c>
      <c r="B767" s="3" t="s">
        <v>955</v>
      </c>
      <c r="C767" s="6" t="s">
        <v>355</v>
      </c>
      <c r="D767" s="6" t="s">
        <v>788</v>
      </c>
      <c r="E767" s="6" t="s">
        <v>146</v>
      </c>
      <c r="F767" s="6">
        <v>14374.63</v>
      </c>
      <c r="G767" s="2">
        <v>12</v>
      </c>
      <c r="H767" s="61">
        <v>0.06</v>
      </c>
      <c r="I767" s="61">
        <v>0.17</v>
      </c>
      <c r="J767" s="47">
        <f t="shared" si="55"/>
        <v>-0.995</v>
      </c>
      <c r="K767" s="47">
        <f t="shared" si="56"/>
        <v>1.8333333333333337</v>
      </c>
      <c r="L767" s="8">
        <v>0.56999999999999995</v>
      </c>
      <c r="N767" s="8">
        <v>355.43</v>
      </c>
      <c r="O767" s="17">
        <f t="shared" si="57"/>
        <v>0</v>
      </c>
      <c r="P767" s="17">
        <f t="shared" si="58"/>
        <v>1.9387090909090905</v>
      </c>
      <c r="Q767" s="17">
        <v>109.12</v>
      </c>
      <c r="R767" s="9">
        <v>20220805</v>
      </c>
      <c r="S767" s="9">
        <v>-0.97</v>
      </c>
      <c r="T767" s="9">
        <v>-1.86</v>
      </c>
      <c r="U767" s="9">
        <v>2433.08007</v>
      </c>
      <c r="V767" s="45">
        <f t="shared" si="59"/>
        <v>-1.0007644631275945</v>
      </c>
      <c r="W767" s="12">
        <v>-15.38</v>
      </c>
      <c r="X767" s="12">
        <v>0</v>
      </c>
      <c r="Y767" s="62"/>
    </row>
    <row r="768" spans="1:25" x14ac:dyDescent="0.2">
      <c r="B768" s="3" t="s">
        <v>2144</v>
      </c>
      <c r="C768" s="6" t="s">
        <v>354</v>
      </c>
      <c r="D768" s="6" t="s">
        <v>519</v>
      </c>
      <c r="E768" s="6" t="s">
        <v>163</v>
      </c>
      <c r="F768" s="6">
        <v>5239.3</v>
      </c>
      <c r="G768" s="2">
        <v>12</v>
      </c>
      <c r="H768" s="61"/>
      <c r="I768" s="61"/>
      <c r="J768" s="47">
        <f t="shared" si="55"/>
        <v>-1</v>
      </c>
      <c r="K768" s="47" t="e">
        <f t="shared" si="56"/>
        <v>#DIV/0!</v>
      </c>
      <c r="O768" s="17">
        <f t="shared" si="57"/>
        <v>0</v>
      </c>
      <c r="P768" s="17" t="e">
        <f t="shared" si="58"/>
        <v>#DIV/0!</v>
      </c>
      <c r="Q768" s="17"/>
      <c r="V768" s="45" t="e">
        <f t="shared" si="59"/>
        <v>#DIV/0!</v>
      </c>
      <c r="X768" s="12">
        <v>1.91</v>
      </c>
      <c r="Y768" s="62"/>
    </row>
    <row r="769" spans="1:25" x14ac:dyDescent="0.2">
      <c r="A769" s="3" t="s">
        <v>3072</v>
      </c>
      <c r="B769" s="3" t="s">
        <v>3073</v>
      </c>
      <c r="C769" s="6" t="s">
        <v>355</v>
      </c>
      <c r="D769" s="6" t="s">
        <v>1971</v>
      </c>
      <c r="E769" s="6" t="s">
        <v>119</v>
      </c>
      <c r="F769" s="6">
        <v>6187.77</v>
      </c>
      <c r="G769" s="2">
        <v>12</v>
      </c>
      <c r="H769" s="61">
        <v>23.69</v>
      </c>
      <c r="I769" s="61">
        <v>0.99</v>
      </c>
      <c r="J769" s="47">
        <f t="shared" si="55"/>
        <v>0.97416666666666674</v>
      </c>
      <c r="K769" s="47">
        <f t="shared" si="56"/>
        <v>-0.95821021528070927</v>
      </c>
      <c r="L769" s="8">
        <v>0.73</v>
      </c>
      <c r="N769" s="8">
        <v>25.56</v>
      </c>
      <c r="O769" s="17">
        <f t="shared" si="57"/>
        <v>0</v>
      </c>
      <c r="P769" s="17">
        <f t="shared" si="58"/>
        <v>-0.26674731277533037</v>
      </c>
      <c r="Q769" s="17">
        <v>34.47</v>
      </c>
      <c r="R769" s="9">
        <v>20220805</v>
      </c>
      <c r="S769" s="9">
        <v>110.77</v>
      </c>
      <c r="T769" s="9">
        <v>-8.5399999999999991</v>
      </c>
      <c r="U769" s="9">
        <v>5778.6508700000004</v>
      </c>
      <c r="V769" s="45">
        <f t="shared" si="59"/>
        <v>-1.001477853601493</v>
      </c>
      <c r="W769" s="12">
        <v>0</v>
      </c>
      <c r="X769" s="12">
        <v>0</v>
      </c>
      <c r="Y769" s="62"/>
    </row>
    <row r="770" spans="1:25" x14ac:dyDescent="0.2">
      <c r="A770" s="3" t="s">
        <v>3074</v>
      </c>
      <c r="B770" s="3" t="s">
        <v>956</v>
      </c>
      <c r="C770" s="6" t="s">
        <v>354</v>
      </c>
      <c r="D770" s="6" t="s">
        <v>210</v>
      </c>
      <c r="E770" s="6" t="s">
        <v>108</v>
      </c>
      <c r="F770" s="6">
        <v>8098.42</v>
      </c>
      <c r="G770" s="2">
        <v>12</v>
      </c>
      <c r="H770" s="61">
        <v>2.4300000000000002</v>
      </c>
      <c r="I770" s="61">
        <v>2.68</v>
      </c>
      <c r="J770" s="47">
        <f t="shared" si="55"/>
        <v>-0.79749999999999999</v>
      </c>
      <c r="K770" s="47">
        <f t="shared" si="56"/>
        <v>0.10288065843621398</v>
      </c>
      <c r="L770" s="8">
        <v>3.01</v>
      </c>
      <c r="M770" s="8">
        <v>17.78</v>
      </c>
      <c r="N770" s="8">
        <v>16.32</v>
      </c>
      <c r="O770" s="17">
        <f t="shared" si="57"/>
        <v>-0.22294670846394984</v>
      </c>
      <c r="P770" s="17">
        <f t="shared" si="58"/>
        <v>1.5863040000000002</v>
      </c>
      <c r="Q770" s="17">
        <v>14.53</v>
      </c>
      <c r="R770" s="9">
        <v>20220804</v>
      </c>
      <c r="S770" s="9">
        <v>24.48</v>
      </c>
      <c r="T770" s="9">
        <v>10.31</v>
      </c>
      <c r="U770" s="9">
        <v>4387.8969699999998</v>
      </c>
      <c r="V770" s="45">
        <f t="shared" si="59"/>
        <v>-0.99765035504012745</v>
      </c>
      <c r="W770" s="12">
        <v>13.21</v>
      </c>
      <c r="X770" s="12">
        <v>1.1399999999999999</v>
      </c>
      <c r="Y770" s="62">
        <v>1.33</v>
      </c>
    </row>
    <row r="771" spans="1:25" x14ac:dyDescent="0.2">
      <c r="A771" s="3" t="s">
        <v>957</v>
      </c>
      <c r="B771" s="3" t="s">
        <v>957</v>
      </c>
      <c r="C771" s="6" t="s">
        <v>354</v>
      </c>
      <c r="D771" s="6" t="s">
        <v>238</v>
      </c>
      <c r="E771" s="6" t="s">
        <v>237</v>
      </c>
      <c r="F771" s="6">
        <v>3743.34</v>
      </c>
      <c r="G771" s="2">
        <v>12</v>
      </c>
      <c r="H771" s="61">
        <v>4.51</v>
      </c>
      <c r="I771" s="61">
        <v>5.82</v>
      </c>
      <c r="J771" s="47">
        <f t="shared" ref="J771:J834" si="60">(H771-G771)/ABS(G771)</f>
        <v>-0.62416666666666665</v>
      </c>
      <c r="K771" s="47">
        <f t="shared" ref="K771:K834" si="61">(I771-H771)/ABS(H771)</f>
        <v>0.29046563192904667</v>
      </c>
      <c r="L771" s="8">
        <v>6.47</v>
      </c>
      <c r="M771" s="8">
        <v>16.48</v>
      </c>
      <c r="N771" s="8">
        <v>18.05</v>
      </c>
      <c r="O771" s="17">
        <f t="shared" ref="O771:O834" si="62">M771/(J771*100)</f>
        <v>-0.26403204272363151</v>
      </c>
      <c r="P771" s="17">
        <f t="shared" ref="P771:P834" si="63">N771/(K771*100)</f>
        <v>0.6214160305343509</v>
      </c>
      <c r="Q771" s="17">
        <v>16.239999999999998</v>
      </c>
      <c r="R771" s="9">
        <v>20220719</v>
      </c>
      <c r="S771" s="9">
        <v>11.46</v>
      </c>
      <c r="T771" s="9">
        <v>-2.73</v>
      </c>
      <c r="V771" s="45" t="e">
        <f t="shared" ref="V771:V834" si="64">(T771-U771)/U771</f>
        <v>#DIV/0!</v>
      </c>
      <c r="W771" s="12">
        <v>70.8</v>
      </c>
      <c r="X771" s="12">
        <v>1.98</v>
      </c>
      <c r="Y771" s="62"/>
    </row>
    <row r="772" spans="1:25" x14ac:dyDescent="0.2">
      <c r="A772" s="3" t="s">
        <v>3075</v>
      </c>
      <c r="B772" s="3" t="s">
        <v>958</v>
      </c>
      <c r="C772" s="6" t="s">
        <v>354</v>
      </c>
      <c r="D772" s="6" t="s">
        <v>113</v>
      </c>
      <c r="E772" s="6" t="s">
        <v>163</v>
      </c>
      <c r="F772" s="6">
        <v>5267.9</v>
      </c>
      <c r="G772" s="2">
        <v>12</v>
      </c>
      <c r="H772" s="61">
        <v>2.92</v>
      </c>
      <c r="I772" s="61">
        <v>2.78</v>
      </c>
      <c r="J772" s="47">
        <f t="shared" si="60"/>
        <v>-0.75666666666666671</v>
      </c>
      <c r="K772" s="47">
        <f t="shared" si="61"/>
        <v>-4.7945205479452101E-2</v>
      </c>
      <c r="L772" s="8">
        <v>3.24</v>
      </c>
      <c r="M772" s="8">
        <v>17.809999999999999</v>
      </c>
      <c r="N772" s="8">
        <v>17.13</v>
      </c>
      <c r="O772" s="17">
        <f t="shared" si="62"/>
        <v>-0.23537444933920701</v>
      </c>
      <c r="P772" s="17">
        <f t="shared" si="63"/>
        <v>-3.5728285714285675</v>
      </c>
      <c r="Q772" s="17">
        <v>14.69</v>
      </c>
      <c r="R772" s="9">
        <v>20220728</v>
      </c>
      <c r="S772" s="9">
        <v>10.02</v>
      </c>
      <c r="T772" s="9">
        <v>14.81</v>
      </c>
      <c r="U772" s="9">
        <v>893.22496999999998</v>
      </c>
      <c r="V772" s="45">
        <f t="shared" si="64"/>
        <v>-0.98341963055511095</v>
      </c>
      <c r="W772" s="12">
        <v>-3.17</v>
      </c>
      <c r="X772" s="12">
        <v>2.78</v>
      </c>
      <c r="Y772" s="62"/>
    </row>
    <row r="773" spans="1:25" x14ac:dyDescent="0.2">
      <c r="A773" s="3" t="s">
        <v>3076</v>
      </c>
      <c r="B773" s="3" t="s">
        <v>2145</v>
      </c>
      <c r="C773" s="6" t="s">
        <v>356</v>
      </c>
      <c r="D773" s="6" t="s">
        <v>747</v>
      </c>
      <c r="E773" s="6" t="s">
        <v>218</v>
      </c>
      <c r="F773" s="6">
        <v>3025.09</v>
      </c>
      <c r="G773" s="2">
        <v>12</v>
      </c>
      <c r="H773" s="61"/>
      <c r="I773" s="61">
        <v>0.94</v>
      </c>
      <c r="J773" s="47">
        <f t="shared" si="60"/>
        <v>-1</v>
      </c>
      <c r="K773" s="47" t="e">
        <f t="shared" si="61"/>
        <v>#DIV/0!</v>
      </c>
      <c r="L773" s="8">
        <v>1.1599999999999999</v>
      </c>
      <c r="M773" s="8">
        <v>23.44</v>
      </c>
      <c r="N773" s="8">
        <v>22.06</v>
      </c>
      <c r="O773" s="17">
        <f t="shared" si="62"/>
        <v>-0.23440000000000003</v>
      </c>
      <c r="P773" s="17" t="e">
        <f t="shared" si="63"/>
        <v>#DIV/0!</v>
      </c>
      <c r="Q773" s="17">
        <v>17.82</v>
      </c>
      <c r="R773" s="9">
        <v>20220802</v>
      </c>
      <c r="S773" s="9">
        <v>25.25</v>
      </c>
      <c r="T773" s="9">
        <v>-0.86</v>
      </c>
      <c r="V773" s="45" t="e">
        <f t="shared" si="64"/>
        <v>#DIV/0!</v>
      </c>
      <c r="W773" s="12">
        <v>12</v>
      </c>
      <c r="X773" s="12">
        <v>5.66</v>
      </c>
      <c r="Y773" s="62"/>
    </row>
    <row r="774" spans="1:25" x14ac:dyDescent="0.2">
      <c r="A774" s="3" t="s">
        <v>3077</v>
      </c>
      <c r="B774" s="3" t="s">
        <v>2146</v>
      </c>
      <c r="C774" s="6" t="s">
        <v>356</v>
      </c>
      <c r="D774" s="6" t="s">
        <v>151</v>
      </c>
      <c r="E774" s="6" t="s">
        <v>163</v>
      </c>
      <c r="F774" s="6">
        <v>19422.96</v>
      </c>
      <c r="G774" s="2">
        <v>12</v>
      </c>
      <c r="H774" s="61"/>
      <c r="I774" s="61">
        <v>3.56</v>
      </c>
      <c r="J774" s="47">
        <f t="shared" si="60"/>
        <v>-1</v>
      </c>
      <c r="K774" s="47" t="e">
        <f t="shared" si="61"/>
        <v>#DIV/0!</v>
      </c>
      <c r="L774" s="8">
        <v>4.0599999999999996</v>
      </c>
      <c r="M774" s="8">
        <v>10.59</v>
      </c>
      <c r="N774" s="8">
        <v>9.4600000000000009</v>
      </c>
      <c r="O774" s="17">
        <f t="shared" si="62"/>
        <v>-0.10589999999999999</v>
      </c>
      <c r="P774" s="17" t="e">
        <f t="shared" si="63"/>
        <v>#DIV/0!</v>
      </c>
      <c r="Q774" s="17">
        <v>8.3000000000000007</v>
      </c>
      <c r="R774" s="9">
        <v>20220728</v>
      </c>
      <c r="S774" s="9">
        <v>15.72</v>
      </c>
      <c r="T774" s="9">
        <v>1.69</v>
      </c>
      <c r="V774" s="45" t="e">
        <f t="shared" si="64"/>
        <v>#DIV/0!</v>
      </c>
      <c r="W774" s="12">
        <v>12.35</v>
      </c>
      <c r="X774" s="12">
        <v>1.78</v>
      </c>
      <c r="Y774" s="62">
        <v>0.65</v>
      </c>
    </row>
    <row r="775" spans="1:25" x14ac:dyDescent="0.2">
      <c r="A775" s="3" t="s">
        <v>3078</v>
      </c>
      <c r="B775" s="3" t="s">
        <v>3079</v>
      </c>
      <c r="C775" s="6" t="s">
        <v>356</v>
      </c>
      <c r="D775" s="6" t="s">
        <v>306</v>
      </c>
      <c r="E775" s="6" t="s">
        <v>218</v>
      </c>
      <c r="F775" s="6">
        <v>12975.72</v>
      </c>
      <c r="G775" s="2">
        <v>9</v>
      </c>
      <c r="H775" s="61"/>
      <c r="I775" s="61"/>
      <c r="J775" s="47">
        <f t="shared" si="60"/>
        <v>-1</v>
      </c>
      <c r="K775" s="47" t="e">
        <f t="shared" si="61"/>
        <v>#DIV/0!</v>
      </c>
      <c r="O775" s="17">
        <f t="shared" si="62"/>
        <v>0</v>
      </c>
      <c r="P775" s="17" t="e">
        <f t="shared" si="63"/>
        <v>#DIV/0!</v>
      </c>
      <c r="Q775" s="17"/>
      <c r="V775" s="45" t="e">
        <f t="shared" si="64"/>
        <v>#DIV/0!</v>
      </c>
      <c r="X775" s="12">
        <v>0</v>
      </c>
      <c r="Y775" s="62"/>
    </row>
    <row r="776" spans="1:25" x14ac:dyDescent="0.2">
      <c r="A776" s="3" t="s">
        <v>3080</v>
      </c>
      <c r="B776" s="3" t="s">
        <v>959</v>
      </c>
      <c r="C776" s="6" t="s">
        <v>354</v>
      </c>
      <c r="D776" s="6" t="s">
        <v>16</v>
      </c>
      <c r="E776" s="6" t="s">
        <v>10</v>
      </c>
      <c r="F776" s="6">
        <v>61445.03</v>
      </c>
      <c r="G776" s="2">
        <v>12</v>
      </c>
      <c r="H776" s="61">
        <v>11.53</v>
      </c>
      <c r="I776" s="61">
        <v>12.17</v>
      </c>
      <c r="J776" s="47">
        <f t="shared" si="60"/>
        <v>-3.9166666666666718E-2</v>
      </c>
      <c r="K776" s="47">
        <f t="shared" si="61"/>
        <v>5.5507372072853479E-2</v>
      </c>
      <c r="L776" s="8">
        <v>14.13</v>
      </c>
      <c r="M776" s="8">
        <v>18.940000000000001</v>
      </c>
      <c r="N776" s="8">
        <v>18.190000000000001</v>
      </c>
      <c r="O776" s="17">
        <f t="shared" si="62"/>
        <v>-4.8357446808510574</v>
      </c>
      <c r="P776" s="17">
        <f t="shared" si="63"/>
        <v>3.2770421874999971</v>
      </c>
      <c r="Q776" s="17">
        <v>15.66</v>
      </c>
      <c r="R776" s="9">
        <v>20220727</v>
      </c>
      <c r="S776" s="9">
        <v>19.670000000000002</v>
      </c>
      <c r="T776" s="9">
        <v>5.31</v>
      </c>
      <c r="U776" s="9">
        <v>39393.550779999998</v>
      </c>
      <c r="V776" s="45">
        <f t="shared" si="64"/>
        <v>-0.99986520636259335</v>
      </c>
      <c r="W776" s="12">
        <v>4.82</v>
      </c>
      <c r="X776" s="12">
        <v>2.2799999999999998</v>
      </c>
      <c r="Y776" s="62">
        <v>1.85</v>
      </c>
    </row>
    <row r="777" spans="1:25" x14ac:dyDescent="0.2">
      <c r="A777" s="3" t="s">
        <v>3081</v>
      </c>
      <c r="B777" s="3" t="s">
        <v>960</v>
      </c>
      <c r="C777" s="6" t="s">
        <v>354</v>
      </c>
      <c r="D777" s="6" t="s">
        <v>961</v>
      </c>
      <c r="E777" s="6" t="s">
        <v>119</v>
      </c>
      <c r="F777" s="6">
        <v>11927.98</v>
      </c>
      <c r="G777" s="2">
        <v>12</v>
      </c>
      <c r="H777" s="61">
        <v>1.29</v>
      </c>
      <c r="I777" s="61">
        <v>2.16</v>
      </c>
      <c r="J777" s="47">
        <f t="shared" si="60"/>
        <v>-0.89250000000000007</v>
      </c>
      <c r="K777" s="47">
        <f t="shared" si="61"/>
        <v>0.67441860465116288</v>
      </c>
      <c r="L777" s="8">
        <v>2.85</v>
      </c>
      <c r="M777" s="8">
        <v>41.35</v>
      </c>
      <c r="N777" s="8">
        <v>33.99</v>
      </c>
      <c r="O777" s="17">
        <f t="shared" si="62"/>
        <v>-0.46330532212885156</v>
      </c>
      <c r="P777" s="17">
        <f t="shared" si="63"/>
        <v>0.50398965517241368</v>
      </c>
      <c r="Q777" s="17">
        <v>25.84</v>
      </c>
      <c r="R777" s="9">
        <v>20220803</v>
      </c>
      <c r="S777" s="9">
        <v>-231.58</v>
      </c>
      <c r="T777" s="9">
        <v>14.03</v>
      </c>
      <c r="U777" s="9">
        <v>4150.8828100000001</v>
      </c>
      <c r="V777" s="45">
        <f t="shared" si="64"/>
        <v>-0.99661999612077712</v>
      </c>
      <c r="W777" s="12">
        <v>-2.38</v>
      </c>
      <c r="X777" s="12">
        <v>0</v>
      </c>
      <c r="Y777" s="62">
        <v>2.27</v>
      </c>
    </row>
    <row r="778" spans="1:25" x14ac:dyDescent="0.2">
      <c r="A778" s="3" t="s">
        <v>3082</v>
      </c>
      <c r="B778" s="3" t="s">
        <v>962</v>
      </c>
      <c r="C778" s="6" t="s">
        <v>355</v>
      </c>
      <c r="D778" s="6" t="s">
        <v>195</v>
      </c>
      <c r="E778" s="6" t="s">
        <v>208</v>
      </c>
      <c r="F778" s="6">
        <v>3128.05</v>
      </c>
      <c r="G778" s="2">
        <v>12</v>
      </c>
      <c r="H778" s="61">
        <v>0.35</v>
      </c>
      <c r="I778" s="61">
        <v>0.33</v>
      </c>
      <c r="J778" s="47">
        <f t="shared" si="60"/>
        <v>-0.97083333333333333</v>
      </c>
      <c r="K778" s="47">
        <f t="shared" si="61"/>
        <v>-5.7142857142857037E-2</v>
      </c>
      <c r="L778" s="8">
        <v>0.46</v>
      </c>
      <c r="M778" s="8">
        <v>21.92</v>
      </c>
      <c r="N778" s="8">
        <v>23.7</v>
      </c>
      <c r="O778" s="17">
        <f t="shared" si="62"/>
        <v>-0.22578540772532191</v>
      </c>
      <c r="P778" s="17">
        <f t="shared" si="63"/>
        <v>-4.147500000000008</v>
      </c>
      <c r="Q778" s="17">
        <v>16.989999999999998</v>
      </c>
      <c r="R778" s="9">
        <v>20220811</v>
      </c>
      <c r="S778" s="9">
        <v>2.86</v>
      </c>
      <c r="U778" s="9">
        <v>831.80700000000002</v>
      </c>
      <c r="V778" s="45">
        <f t="shared" si="64"/>
        <v>-1</v>
      </c>
      <c r="W778" s="12">
        <v>25</v>
      </c>
      <c r="X778" s="12">
        <v>0</v>
      </c>
      <c r="Y778" s="62">
        <v>1.47</v>
      </c>
    </row>
    <row r="779" spans="1:25" x14ac:dyDescent="0.2">
      <c r="A779" s="3" t="s">
        <v>3083</v>
      </c>
      <c r="B779" s="3" t="s">
        <v>963</v>
      </c>
      <c r="C779" s="6" t="s">
        <v>355</v>
      </c>
      <c r="D779" s="6" t="s">
        <v>233</v>
      </c>
      <c r="E779" s="6" t="s">
        <v>108</v>
      </c>
      <c r="F779" s="6">
        <v>5109.78</v>
      </c>
      <c r="G779" s="2">
        <v>12</v>
      </c>
      <c r="H779" s="61">
        <v>-0.98</v>
      </c>
      <c r="I779" s="61">
        <v>-1.65</v>
      </c>
      <c r="J779" s="47">
        <f t="shared" si="60"/>
        <v>-1.0816666666666668</v>
      </c>
      <c r="K779" s="47">
        <f t="shared" si="61"/>
        <v>-0.68367346938775508</v>
      </c>
      <c r="L779" s="8">
        <v>-3.12</v>
      </c>
      <c r="O779" s="17">
        <f t="shared" si="62"/>
        <v>0</v>
      </c>
      <c r="P779" s="17">
        <f t="shared" si="63"/>
        <v>0</v>
      </c>
      <c r="Q779" s="17"/>
      <c r="R779" s="9">
        <v>20220816</v>
      </c>
      <c r="S779" s="9">
        <v>-6.28</v>
      </c>
      <c r="T779" s="9">
        <v>48.67</v>
      </c>
      <c r="U779" s="9">
        <v>1405.2769699999999</v>
      </c>
      <c r="V779" s="45">
        <f t="shared" si="64"/>
        <v>-0.96536625801246845</v>
      </c>
      <c r="W779" s="12">
        <v>-35.14</v>
      </c>
      <c r="X779" s="12">
        <v>0</v>
      </c>
      <c r="Y779" s="62"/>
    </row>
    <row r="780" spans="1:25" x14ac:dyDescent="0.2">
      <c r="A780" s="3" t="s">
        <v>3084</v>
      </c>
      <c r="B780" s="3" t="s">
        <v>964</v>
      </c>
      <c r="C780" s="6" t="s">
        <v>354</v>
      </c>
      <c r="D780" s="6" t="s">
        <v>590</v>
      </c>
      <c r="E780" s="6" t="s">
        <v>589</v>
      </c>
      <c r="F780" s="6">
        <v>84762.21</v>
      </c>
      <c r="G780" s="2">
        <v>12</v>
      </c>
      <c r="H780" s="61">
        <v>2.0099999999999998</v>
      </c>
      <c r="I780" s="61">
        <v>2.83</v>
      </c>
      <c r="J780" s="47">
        <f t="shared" si="60"/>
        <v>-0.83250000000000002</v>
      </c>
      <c r="K780" s="47">
        <f t="shared" si="61"/>
        <v>0.40796019900497532</v>
      </c>
      <c r="L780" s="8">
        <v>4.59</v>
      </c>
      <c r="M780" s="8">
        <v>36.15</v>
      </c>
      <c r="N780" s="8">
        <v>27.2</v>
      </c>
      <c r="O780" s="17">
        <f t="shared" si="62"/>
        <v>-0.43423423423423424</v>
      </c>
      <c r="P780" s="17">
        <f t="shared" si="63"/>
        <v>0.66673170731707276</v>
      </c>
      <c r="Q780" s="17">
        <v>16.760000000000002</v>
      </c>
      <c r="R780" s="9">
        <v>20220726</v>
      </c>
      <c r="S780" s="9">
        <v>6.41</v>
      </c>
      <c r="T780" s="9">
        <v>-12.63</v>
      </c>
      <c r="U780" s="9">
        <v>76680.96875</v>
      </c>
      <c r="V780" s="45">
        <f t="shared" si="64"/>
        <v>-1.0001647084042611</v>
      </c>
      <c r="W780" s="12">
        <v>20</v>
      </c>
      <c r="X780" s="12">
        <v>0.42</v>
      </c>
      <c r="Y780" s="62">
        <v>3.89</v>
      </c>
    </row>
    <row r="781" spans="1:25" x14ac:dyDescent="0.2">
      <c r="A781" s="3" t="s">
        <v>3085</v>
      </c>
      <c r="B781" s="3" t="s">
        <v>1974</v>
      </c>
      <c r="C781" s="6" t="s">
        <v>356</v>
      </c>
      <c r="D781" s="6" t="s">
        <v>183</v>
      </c>
      <c r="E781" s="6" t="s">
        <v>201</v>
      </c>
      <c r="F781" s="6">
        <v>6638.5</v>
      </c>
      <c r="G781" s="2">
        <v>12</v>
      </c>
      <c r="H781" s="61">
        <v>2.06</v>
      </c>
      <c r="I781" s="61">
        <v>2.12</v>
      </c>
      <c r="J781" s="47">
        <f t="shared" si="60"/>
        <v>-0.82833333333333325</v>
      </c>
      <c r="K781" s="47">
        <f t="shared" si="61"/>
        <v>2.9126213592233035E-2</v>
      </c>
      <c r="L781" s="8">
        <v>2.2999999999999998</v>
      </c>
      <c r="N781" s="8">
        <v>17.39</v>
      </c>
      <c r="O781" s="17">
        <f t="shared" si="62"/>
        <v>0</v>
      </c>
      <c r="P781" s="17">
        <f t="shared" si="63"/>
        <v>5.9705666666666612</v>
      </c>
      <c r="Q781" s="17">
        <v>15.99</v>
      </c>
      <c r="R781" s="9">
        <v>20220812</v>
      </c>
      <c r="S781" s="9">
        <v>16.16</v>
      </c>
      <c r="T781" s="9">
        <v>-0.14000000000000001</v>
      </c>
      <c r="U781" s="9">
        <v>5474.1098599999996</v>
      </c>
      <c r="V781" s="45">
        <f t="shared" si="64"/>
        <v>-1.0000255749342963</v>
      </c>
      <c r="X781" s="12">
        <v>0</v>
      </c>
      <c r="Y781" s="62"/>
    </row>
    <row r="782" spans="1:25" x14ac:dyDescent="0.2">
      <c r="A782" s="3" t="s">
        <v>3086</v>
      </c>
      <c r="B782" s="3" t="s">
        <v>3087</v>
      </c>
      <c r="C782" s="6" t="s">
        <v>354</v>
      </c>
      <c r="D782" s="6" t="s">
        <v>137</v>
      </c>
      <c r="E782" s="6" t="s">
        <v>201</v>
      </c>
      <c r="F782" s="6">
        <v>3006.56</v>
      </c>
      <c r="G782" s="2">
        <v>10</v>
      </c>
      <c r="H782" s="61">
        <v>5.16</v>
      </c>
      <c r="I782" s="61">
        <v>6.5</v>
      </c>
      <c r="J782" s="47">
        <f t="shared" si="60"/>
        <v>-0.48399999999999999</v>
      </c>
      <c r="K782" s="47">
        <f t="shared" si="61"/>
        <v>0.25968992248062012</v>
      </c>
      <c r="L782" s="8">
        <v>6.34</v>
      </c>
      <c r="M782" s="8">
        <v>9.86</v>
      </c>
      <c r="N782" s="8">
        <v>9.52</v>
      </c>
      <c r="O782" s="17">
        <f t="shared" si="62"/>
        <v>-0.20371900826446279</v>
      </c>
      <c r="P782" s="17">
        <f t="shared" si="63"/>
        <v>0.36659104477611942</v>
      </c>
      <c r="Q782" s="17">
        <v>9.76</v>
      </c>
      <c r="R782" s="9">
        <v>20220608</v>
      </c>
      <c r="S782" s="9">
        <v>24.66</v>
      </c>
      <c r="T782" s="9">
        <v>10.33</v>
      </c>
      <c r="U782" s="9">
        <v>6183</v>
      </c>
      <c r="V782" s="45">
        <f t="shared" si="64"/>
        <v>-0.99832928998867865</v>
      </c>
      <c r="W782" s="12">
        <v>6.67</v>
      </c>
      <c r="X782" s="12">
        <v>2.97</v>
      </c>
      <c r="Y782" s="62">
        <v>0.95</v>
      </c>
    </row>
    <row r="783" spans="1:25" x14ac:dyDescent="0.2">
      <c r="A783" s="3" t="s">
        <v>3088</v>
      </c>
      <c r="B783" s="3" t="s">
        <v>965</v>
      </c>
      <c r="C783" s="6" t="s">
        <v>356</v>
      </c>
      <c r="D783" s="6" t="s">
        <v>46</v>
      </c>
      <c r="E783" s="6" t="s">
        <v>35</v>
      </c>
      <c r="F783" s="6">
        <v>19099.73</v>
      </c>
      <c r="G783" s="2">
        <v>12</v>
      </c>
      <c r="H783" s="61">
        <v>1.9</v>
      </c>
      <c r="I783" s="61">
        <v>2.19</v>
      </c>
      <c r="J783" s="47">
        <f t="shared" si="60"/>
        <v>-0.84166666666666667</v>
      </c>
      <c r="K783" s="47">
        <f t="shared" si="61"/>
        <v>0.15263157894736845</v>
      </c>
      <c r="L783" s="8">
        <v>2.98</v>
      </c>
      <c r="N783" s="8">
        <v>17.37</v>
      </c>
      <c r="O783" s="17">
        <f t="shared" si="62"/>
        <v>0</v>
      </c>
      <c r="P783" s="17">
        <f t="shared" si="63"/>
        <v>1.1380344827586204</v>
      </c>
      <c r="Q783" s="17">
        <v>12.77</v>
      </c>
      <c r="U783" s="9">
        <v>19096.119139999999</v>
      </c>
      <c r="V783" s="45">
        <f t="shared" si="64"/>
        <v>-1</v>
      </c>
      <c r="X783" s="12">
        <v>1.22</v>
      </c>
      <c r="Y783" s="62"/>
    </row>
    <row r="784" spans="1:25" x14ac:dyDescent="0.2">
      <c r="A784" s="3" t="s">
        <v>966</v>
      </c>
      <c r="B784" s="3" t="s">
        <v>967</v>
      </c>
      <c r="C784" s="6" t="s">
        <v>354</v>
      </c>
      <c r="D784" s="6" t="s">
        <v>196</v>
      </c>
      <c r="E784" s="6" t="s">
        <v>60</v>
      </c>
      <c r="F784" s="6">
        <v>10445.379999999999</v>
      </c>
      <c r="G784" s="2">
        <v>12</v>
      </c>
      <c r="H784" s="61">
        <v>1.02</v>
      </c>
      <c r="I784" s="61">
        <v>1.19</v>
      </c>
      <c r="J784" s="47">
        <f t="shared" si="60"/>
        <v>-0.91500000000000004</v>
      </c>
      <c r="K784" s="47">
        <f t="shared" si="61"/>
        <v>0.1666666666666666</v>
      </c>
      <c r="L784" s="8">
        <v>1.5</v>
      </c>
      <c r="N784" s="8">
        <v>9.85</v>
      </c>
      <c r="O784" s="17">
        <f t="shared" si="62"/>
        <v>0</v>
      </c>
      <c r="P784" s="17">
        <f t="shared" si="63"/>
        <v>0.59100000000000019</v>
      </c>
      <c r="Q784" s="17">
        <v>7.79</v>
      </c>
      <c r="U784" s="9">
        <v>4441.6801699999996</v>
      </c>
      <c r="V784" s="45">
        <f t="shared" si="64"/>
        <v>-1</v>
      </c>
      <c r="X784" s="12">
        <v>2.35</v>
      </c>
      <c r="Y784" s="62">
        <v>0.67</v>
      </c>
    </row>
    <row r="785" spans="1:25" x14ac:dyDescent="0.2">
      <c r="A785" s="3" t="s">
        <v>3089</v>
      </c>
      <c r="B785" s="3" t="s">
        <v>968</v>
      </c>
      <c r="C785" s="6" t="s">
        <v>354</v>
      </c>
      <c r="D785" s="6" t="s">
        <v>272</v>
      </c>
      <c r="E785" s="6" t="s">
        <v>108</v>
      </c>
      <c r="F785" s="6">
        <v>10060.83</v>
      </c>
      <c r="G785" s="2">
        <v>12</v>
      </c>
      <c r="H785" s="61">
        <v>0.32</v>
      </c>
      <c r="I785" s="61">
        <v>0.38</v>
      </c>
      <c r="J785" s="47">
        <f t="shared" si="60"/>
        <v>-0.97333333333333327</v>
      </c>
      <c r="K785" s="47">
        <f t="shared" si="61"/>
        <v>0.1875</v>
      </c>
      <c r="L785" s="8">
        <v>0.75</v>
      </c>
      <c r="M785" s="8">
        <v>82.61</v>
      </c>
      <c r="N785" s="8">
        <v>78.260000000000005</v>
      </c>
      <c r="O785" s="17">
        <f t="shared" si="62"/>
        <v>-0.84873287671232878</v>
      </c>
      <c r="P785" s="17">
        <f t="shared" si="63"/>
        <v>4.1738666666666671</v>
      </c>
      <c r="Q785" s="17">
        <v>39.83</v>
      </c>
      <c r="R785" s="9">
        <v>20220727</v>
      </c>
      <c r="S785" s="9">
        <v>2.93</v>
      </c>
      <c r="U785" s="9">
        <v>4720.1040000000003</v>
      </c>
      <c r="V785" s="45">
        <f t="shared" si="64"/>
        <v>-1</v>
      </c>
      <c r="W785" s="12">
        <v>266.67</v>
      </c>
      <c r="X785" s="12">
        <v>0.16</v>
      </c>
      <c r="Y785" s="62"/>
    </row>
    <row r="786" spans="1:25" x14ac:dyDescent="0.2">
      <c r="A786" s="3" t="s">
        <v>3090</v>
      </c>
      <c r="B786" s="3" t="s">
        <v>3091</v>
      </c>
      <c r="C786" s="6" t="s">
        <v>355</v>
      </c>
      <c r="D786" s="6" t="s">
        <v>143</v>
      </c>
      <c r="E786" s="6" t="s">
        <v>119</v>
      </c>
      <c r="F786" s="6">
        <v>31639.51</v>
      </c>
      <c r="G786" s="2">
        <v>12</v>
      </c>
      <c r="H786" s="61">
        <v>-0.12</v>
      </c>
      <c r="I786" s="61">
        <v>2.2999999999999998</v>
      </c>
      <c r="J786" s="47">
        <f t="shared" si="60"/>
        <v>-1.01</v>
      </c>
      <c r="K786" s="47">
        <f t="shared" si="61"/>
        <v>20.166666666666668</v>
      </c>
      <c r="L786" s="8">
        <v>2.62</v>
      </c>
      <c r="N786" s="8">
        <v>25.86</v>
      </c>
      <c r="O786" s="17">
        <f t="shared" si="62"/>
        <v>0</v>
      </c>
      <c r="P786" s="17">
        <f t="shared" si="63"/>
        <v>1.2823140495867767E-2</v>
      </c>
      <c r="Q786" s="17">
        <v>22.75</v>
      </c>
      <c r="R786" s="9">
        <v>20220809</v>
      </c>
      <c r="S786" s="9">
        <v>3.17</v>
      </c>
      <c r="U786" s="9">
        <v>7960.5122000000001</v>
      </c>
      <c r="V786" s="45">
        <f t="shared" si="64"/>
        <v>-1</v>
      </c>
      <c r="W786" s="12">
        <v>75</v>
      </c>
      <c r="X786" s="12">
        <v>0</v>
      </c>
      <c r="Y786" s="62"/>
    </row>
    <row r="787" spans="1:25" x14ac:dyDescent="0.2">
      <c r="A787" s="3" t="s">
        <v>3092</v>
      </c>
      <c r="B787" s="3" t="s">
        <v>149</v>
      </c>
      <c r="C787" s="6" t="s">
        <v>354</v>
      </c>
      <c r="D787" s="6" t="s">
        <v>183</v>
      </c>
      <c r="E787" s="6" t="s">
        <v>201</v>
      </c>
      <c r="F787" s="6">
        <v>10564.83</v>
      </c>
      <c r="G787" s="2">
        <v>12</v>
      </c>
      <c r="H787" s="61">
        <v>2.41</v>
      </c>
      <c r="I787" s="61">
        <v>2.64</v>
      </c>
      <c r="J787" s="47">
        <f t="shared" si="60"/>
        <v>-0.79916666666666669</v>
      </c>
      <c r="K787" s="47">
        <f t="shared" si="61"/>
        <v>9.5435684647302885E-2</v>
      </c>
      <c r="L787" s="8">
        <v>2.91</v>
      </c>
      <c r="M787" s="8">
        <v>25.8</v>
      </c>
      <c r="N787" s="8">
        <v>23.62</v>
      </c>
      <c r="O787" s="17">
        <f t="shared" si="62"/>
        <v>-0.32283628779979145</v>
      </c>
      <c r="P787" s="17">
        <f t="shared" si="63"/>
        <v>2.474965217391305</v>
      </c>
      <c r="Q787" s="17">
        <v>21.48</v>
      </c>
      <c r="R787" s="9">
        <v>20220720</v>
      </c>
      <c r="S787" s="9">
        <v>26.28</v>
      </c>
      <c r="T787" s="9">
        <v>6.01</v>
      </c>
      <c r="U787" s="9">
        <v>2121.1918900000001</v>
      </c>
      <c r="V787" s="45">
        <f t="shared" si="64"/>
        <v>-0.99716668726279156</v>
      </c>
      <c r="W787" s="12">
        <v>-9.52</v>
      </c>
      <c r="X787" s="12">
        <v>1.35</v>
      </c>
      <c r="Y787" s="62">
        <v>2.95</v>
      </c>
    </row>
    <row r="788" spans="1:25" x14ac:dyDescent="0.2">
      <c r="A788" s="3" t="s">
        <v>3093</v>
      </c>
      <c r="B788" s="3" t="s">
        <v>969</v>
      </c>
      <c r="C788" s="6" t="s">
        <v>355</v>
      </c>
      <c r="D788" s="6" t="s">
        <v>185</v>
      </c>
      <c r="E788" s="6" t="s">
        <v>208</v>
      </c>
      <c r="F788" s="6">
        <v>3926.09</v>
      </c>
      <c r="G788" s="2">
        <v>12</v>
      </c>
      <c r="H788" s="61">
        <v>-4.24</v>
      </c>
      <c r="I788" s="61">
        <v>-4.75</v>
      </c>
      <c r="J788" s="47">
        <f t="shared" si="60"/>
        <v>-1.3533333333333335</v>
      </c>
      <c r="K788" s="47">
        <f t="shared" si="61"/>
        <v>-0.12028301886792447</v>
      </c>
      <c r="L788" s="8">
        <v>-4.5</v>
      </c>
      <c r="O788" s="17">
        <f t="shared" si="62"/>
        <v>0</v>
      </c>
      <c r="P788" s="17">
        <f t="shared" si="63"/>
        <v>0</v>
      </c>
      <c r="Q788" s="17"/>
      <c r="R788" s="9">
        <v>20220804</v>
      </c>
      <c r="S788" s="9">
        <v>-62.68</v>
      </c>
      <c r="T788" s="9">
        <v>50.19</v>
      </c>
      <c r="U788" s="9">
        <v>465.17898000000002</v>
      </c>
      <c r="V788" s="45">
        <f t="shared" si="64"/>
        <v>-0.89210604486041056</v>
      </c>
      <c r="W788" s="12">
        <v>1.63</v>
      </c>
      <c r="X788" s="12">
        <v>0</v>
      </c>
      <c r="Y788" s="62"/>
    </row>
    <row r="789" spans="1:25" x14ac:dyDescent="0.2">
      <c r="A789" s="3" t="s">
        <v>3094</v>
      </c>
      <c r="B789" s="3" t="s">
        <v>970</v>
      </c>
      <c r="C789" s="6" t="s">
        <v>354</v>
      </c>
      <c r="D789" s="6" t="s">
        <v>596</v>
      </c>
      <c r="E789" s="6" t="s">
        <v>119</v>
      </c>
      <c r="F789" s="6">
        <v>19872.36</v>
      </c>
      <c r="G789" s="2">
        <v>9</v>
      </c>
      <c r="H789" s="61">
        <v>4.3</v>
      </c>
      <c r="I789" s="61">
        <v>4.76</v>
      </c>
      <c r="J789" s="47">
        <f t="shared" si="60"/>
        <v>-0.52222222222222225</v>
      </c>
      <c r="K789" s="47">
        <f t="shared" si="61"/>
        <v>0.10697674418604651</v>
      </c>
      <c r="L789" s="8">
        <v>5.15</v>
      </c>
      <c r="M789" s="8">
        <v>17.95</v>
      </c>
      <c r="N789" s="8">
        <v>17.43</v>
      </c>
      <c r="O789" s="17">
        <f t="shared" si="62"/>
        <v>-0.34372340425531911</v>
      </c>
      <c r="P789" s="17">
        <f t="shared" si="63"/>
        <v>1.6293260869565218</v>
      </c>
      <c r="Q789" s="17">
        <v>16.09</v>
      </c>
      <c r="R789" s="9">
        <v>20220727</v>
      </c>
      <c r="S789" s="9">
        <v>20.92</v>
      </c>
      <c r="T789" s="9">
        <v>2.98</v>
      </c>
      <c r="U789" s="9">
        <v>9998.09375</v>
      </c>
      <c r="V789" s="45">
        <f t="shared" si="64"/>
        <v>-0.99970194318291927</v>
      </c>
      <c r="W789" s="12">
        <v>1.68</v>
      </c>
      <c r="X789" s="12">
        <v>0</v>
      </c>
      <c r="Y789" s="62">
        <v>2.21</v>
      </c>
    </row>
    <row r="790" spans="1:25" x14ac:dyDescent="0.2">
      <c r="A790" s="3" t="s">
        <v>3095</v>
      </c>
      <c r="B790" s="3" t="s">
        <v>971</v>
      </c>
      <c r="C790" s="6" t="s">
        <v>354</v>
      </c>
      <c r="D790" s="6" t="s">
        <v>694</v>
      </c>
      <c r="E790" s="6" t="s">
        <v>146</v>
      </c>
      <c r="F790" s="6">
        <v>5655.45</v>
      </c>
      <c r="G790" s="2">
        <v>12</v>
      </c>
      <c r="H790" s="61">
        <v>2.38</v>
      </c>
      <c r="I790" s="61">
        <v>2.97</v>
      </c>
      <c r="J790" s="47">
        <f t="shared" si="60"/>
        <v>-0.80166666666666675</v>
      </c>
      <c r="K790" s="47">
        <f t="shared" si="61"/>
        <v>0.24789915966386569</v>
      </c>
      <c r="L790" s="8">
        <v>3.18</v>
      </c>
      <c r="M790" s="8">
        <v>10.09</v>
      </c>
      <c r="N790" s="8">
        <v>10.199999999999999</v>
      </c>
      <c r="O790" s="17">
        <f t="shared" si="62"/>
        <v>-0.12586278586278585</v>
      </c>
      <c r="P790" s="17">
        <f t="shared" si="63"/>
        <v>0.41145762711864381</v>
      </c>
      <c r="Q790" s="17">
        <v>9.5299999999999994</v>
      </c>
      <c r="R790" s="9">
        <v>20220804</v>
      </c>
      <c r="S790" s="9">
        <v>31.46</v>
      </c>
      <c r="T790" s="9">
        <v>-2.02</v>
      </c>
      <c r="U790" s="9">
        <v>3277.2329100000002</v>
      </c>
      <c r="V790" s="45">
        <f t="shared" si="64"/>
        <v>-1.0006163736467544</v>
      </c>
      <c r="W790" s="12">
        <v>55.1</v>
      </c>
      <c r="X790" s="12">
        <v>2.23</v>
      </c>
      <c r="Y790" s="62">
        <v>1.1299999999999999</v>
      </c>
    </row>
    <row r="791" spans="1:25" x14ac:dyDescent="0.2">
      <c r="A791" s="3" t="s">
        <v>3096</v>
      </c>
      <c r="B791" s="3" t="s">
        <v>972</v>
      </c>
      <c r="C791" s="6" t="s">
        <v>355</v>
      </c>
      <c r="D791" s="6" t="s">
        <v>185</v>
      </c>
      <c r="E791" s="6" t="s">
        <v>208</v>
      </c>
      <c r="F791" s="6">
        <v>80865.59</v>
      </c>
      <c r="G791" s="2">
        <v>12</v>
      </c>
      <c r="H791" s="61">
        <v>8.15</v>
      </c>
      <c r="I791" s="61">
        <v>6.59</v>
      </c>
      <c r="J791" s="47">
        <f t="shared" si="60"/>
        <v>-0.3208333333333333</v>
      </c>
      <c r="K791" s="47">
        <f t="shared" si="61"/>
        <v>-0.19141104294478534</v>
      </c>
      <c r="L791" s="8">
        <v>6.27</v>
      </c>
      <c r="M791" s="8">
        <v>8.8000000000000007</v>
      </c>
      <c r="N791" s="8">
        <v>9.7799999999999994</v>
      </c>
      <c r="O791" s="17">
        <f t="shared" si="62"/>
        <v>-0.27428571428571435</v>
      </c>
      <c r="P791" s="17">
        <f t="shared" si="63"/>
        <v>-0.51094230769230753</v>
      </c>
      <c r="Q791" s="17">
        <v>10.28</v>
      </c>
      <c r="R791" s="9">
        <v>20220804</v>
      </c>
      <c r="S791" s="9">
        <v>44.98</v>
      </c>
      <c r="T791" s="9">
        <v>1</v>
      </c>
      <c r="U791" s="9">
        <v>24637.376950000002</v>
      </c>
      <c r="V791" s="45">
        <f t="shared" si="64"/>
        <v>-0.9999594112635436</v>
      </c>
      <c r="W791" s="12">
        <v>19.77</v>
      </c>
      <c r="X791" s="12">
        <v>4.53</v>
      </c>
      <c r="Y791" s="62">
        <v>0.65</v>
      </c>
    </row>
    <row r="792" spans="1:25" x14ac:dyDescent="0.2">
      <c r="A792" s="3" t="s">
        <v>3097</v>
      </c>
      <c r="B792" s="3" t="s">
        <v>973</v>
      </c>
      <c r="C792" s="6" t="s">
        <v>354</v>
      </c>
      <c r="D792" s="6" t="s">
        <v>155</v>
      </c>
      <c r="E792" s="6" t="s">
        <v>154</v>
      </c>
      <c r="F792" s="6">
        <v>41829.65</v>
      </c>
      <c r="G792" s="2">
        <v>5</v>
      </c>
      <c r="H792" s="61">
        <v>3.71</v>
      </c>
      <c r="I792" s="61">
        <v>3.83</v>
      </c>
      <c r="J792" s="47">
        <f t="shared" si="60"/>
        <v>-0.25800000000000001</v>
      </c>
      <c r="K792" s="47">
        <f t="shared" si="61"/>
        <v>3.2345013477088978E-2</v>
      </c>
      <c r="L792" s="8">
        <v>3.98</v>
      </c>
      <c r="M792" s="8">
        <v>18.62</v>
      </c>
      <c r="N792" s="8">
        <v>18.13</v>
      </c>
      <c r="O792" s="17">
        <f t="shared" si="62"/>
        <v>-0.72170542635658919</v>
      </c>
      <c r="P792" s="17">
        <f t="shared" si="63"/>
        <v>5.605191666666661</v>
      </c>
      <c r="Q792" s="17">
        <v>17.43</v>
      </c>
      <c r="R792" s="9">
        <v>20220629</v>
      </c>
      <c r="S792" s="9">
        <v>23.1</v>
      </c>
      <c r="T792" s="9">
        <v>4.55</v>
      </c>
      <c r="U792" s="9">
        <v>18898.505850000001</v>
      </c>
      <c r="V792" s="45">
        <f t="shared" si="64"/>
        <v>-0.9997592402258616</v>
      </c>
      <c r="W792" s="12">
        <v>9.09</v>
      </c>
      <c r="X792" s="12">
        <v>2.94</v>
      </c>
      <c r="Y792" s="62">
        <v>2.42</v>
      </c>
    </row>
    <row r="793" spans="1:25" x14ac:dyDescent="0.2">
      <c r="A793" s="3" t="s">
        <v>3098</v>
      </c>
      <c r="B793" s="3" t="s">
        <v>974</v>
      </c>
      <c r="C793" s="6" t="s">
        <v>354</v>
      </c>
      <c r="D793" s="6" t="s">
        <v>151</v>
      </c>
      <c r="E793" s="6" t="s">
        <v>163</v>
      </c>
      <c r="F793" s="6">
        <v>9557.26</v>
      </c>
      <c r="G793" s="2">
        <v>12</v>
      </c>
      <c r="H793" s="61">
        <v>6.93</v>
      </c>
      <c r="I793" s="61">
        <v>8.01</v>
      </c>
      <c r="J793" s="47">
        <f t="shared" si="60"/>
        <v>-0.42250000000000004</v>
      </c>
      <c r="K793" s="47">
        <f t="shared" si="61"/>
        <v>0.15584415584415587</v>
      </c>
      <c r="L793" s="8">
        <v>9.1199999999999992</v>
      </c>
      <c r="M793" s="8">
        <v>13.79</v>
      </c>
      <c r="N793" s="8">
        <v>12.1</v>
      </c>
      <c r="O793" s="17">
        <f t="shared" si="62"/>
        <v>-0.32639053254437861</v>
      </c>
      <c r="P793" s="17">
        <f t="shared" si="63"/>
        <v>0.77641666666666653</v>
      </c>
      <c r="Q793" s="17">
        <v>10.63</v>
      </c>
      <c r="R793" s="9">
        <v>20220720</v>
      </c>
      <c r="S793" s="9">
        <v>8.75</v>
      </c>
      <c r="T793" s="9">
        <v>5.22</v>
      </c>
      <c r="U793" s="9">
        <v>5329.4399400000002</v>
      </c>
      <c r="V793" s="45">
        <f t="shared" si="64"/>
        <v>-0.99902053497951604</v>
      </c>
      <c r="W793" s="12">
        <v>-1.1599999999999999</v>
      </c>
      <c r="X793" s="12">
        <v>0.86</v>
      </c>
      <c r="Y793" s="62"/>
    </row>
    <row r="794" spans="1:25" x14ac:dyDescent="0.2">
      <c r="A794" s="3" t="s">
        <v>3099</v>
      </c>
      <c r="B794" s="3" t="s">
        <v>975</v>
      </c>
      <c r="C794" s="6" t="s">
        <v>356</v>
      </c>
      <c r="D794" s="6" t="s">
        <v>654</v>
      </c>
      <c r="E794" s="6" t="s">
        <v>154</v>
      </c>
      <c r="F794" s="6">
        <v>3161.41</v>
      </c>
      <c r="G794" s="2">
        <v>12</v>
      </c>
      <c r="H794" s="61">
        <v>4.96</v>
      </c>
      <c r="I794" s="61">
        <v>4.7</v>
      </c>
      <c r="J794" s="47">
        <f t="shared" si="60"/>
        <v>-0.58666666666666667</v>
      </c>
      <c r="K794" s="47">
        <f t="shared" si="61"/>
        <v>-5.2419354838709638E-2</v>
      </c>
      <c r="L794" s="8">
        <v>5.42</v>
      </c>
      <c r="N794" s="8">
        <v>12.16</v>
      </c>
      <c r="O794" s="17">
        <f t="shared" si="62"/>
        <v>0</v>
      </c>
      <c r="P794" s="17">
        <f t="shared" si="63"/>
        <v>-2.3197538461538478</v>
      </c>
      <c r="Q794" s="17">
        <v>10.54</v>
      </c>
      <c r="U794" s="9">
        <v>5113.5</v>
      </c>
      <c r="V794" s="45">
        <f t="shared" si="64"/>
        <v>-1</v>
      </c>
      <c r="X794" s="12">
        <v>3.17</v>
      </c>
      <c r="Y794" s="62"/>
    </row>
    <row r="795" spans="1:25" x14ac:dyDescent="0.2">
      <c r="B795" s="3" t="s">
        <v>2147</v>
      </c>
      <c r="C795" s="6" t="s">
        <v>354</v>
      </c>
      <c r="D795" s="6" t="s">
        <v>519</v>
      </c>
      <c r="E795" s="6" t="s">
        <v>163</v>
      </c>
      <c r="F795" s="6">
        <v>63592.95</v>
      </c>
      <c r="G795" s="2">
        <v>9</v>
      </c>
      <c r="H795" s="61"/>
      <c r="I795" s="61"/>
      <c r="J795" s="47">
        <f t="shared" si="60"/>
        <v>-1</v>
      </c>
      <c r="K795" s="47" t="e">
        <f t="shared" si="61"/>
        <v>#DIV/0!</v>
      </c>
      <c r="O795" s="17">
        <f t="shared" si="62"/>
        <v>0</v>
      </c>
      <c r="P795" s="17" t="e">
        <f t="shared" si="63"/>
        <v>#DIV/0!</v>
      </c>
      <c r="Q795" s="17"/>
      <c r="V795" s="45" t="e">
        <f t="shared" si="64"/>
        <v>#DIV/0!</v>
      </c>
      <c r="X795" s="12">
        <v>0</v>
      </c>
      <c r="Y795" s="62"/>
    </row>
    <row r="796" spans="1:25" x14ac:dyDescent="0.2">
      <c r="A796" s="3" t="s">
        <v>3100</v>
      </c>
      <c r="B796" s="3" t="s">
        <v>976</v>
      </c>
      <c r="C796" s="6" t="s">
        <v>356</v>
      </c>
      <c r="D796" s="6" t="s">
        <v>197</v>
      </c>
      <c r="E796" s="6" t="s">
        <v>60</v>
      </c>
      <c r="F796" s="6">
        <v>86094.32</v>
      </c>
      <c r="G796" s="2">
        <v>12</v>
      </c>
      <c r="H796" s="61">
        <v>1.42</v>
      </c>
      <c r="I796" s="61">
        <v>2.69</v>
      </c>
      <c r="J796" s="47">
        <f t="shared" si="60"/>
        <v>-0.88166666666666671</v>
      </c>
      <c r="K796" s="47">
        <f t="shared" si="61"/>
        <v>0.89436619718309862</v>
      </c>
      <c r="L796" s="8">
        <v>1.96</v>
      </c>
      <c r="N796" s="8">
        <v>4.87</v>
      </c>
      <c r="O796" s="17">
        <f t="shared" si="62"/>
        <v>0</v>
      </c>
      <c r="P796" s="17">
        <f t="shared" si="63"/>
        <v>5.4451968503937014E-2</v>
      </c>
      <c r="Q796" s="17">
        <v>6.69</v>
      </c>
      <c r="U796" s="9">
        <v>312920.6875</v>
      </c>
      <c r="V796" s="45">
        <f t="shared" si="64"/>
        <v>-1</v>
      </c>
      <c r="X796" s="12">
        <v>1.69</v>
      </c>
      <c r="Y796" s="62"/>
    </row>
    <row r="797" spans="1:25" x14ac:dyDescent="0.2">
      <c r="A797" s="3" t="s">
        <v>3101</v>
      </c>
      <c r="B797" s="3" t="s">
        <v>977</v>
      </c>
      <c r="C797" s="6" t="s">
        <v>354</v>
      </c>
      <c r="D797" s="6" t="s">
        <v>178</v>
      </c>
      <c r="E797" s="6" t="s">
        <v>119</v>
      </c>
      <c r="F797" s="6">
        <v>7929.11</v>
      </c>
      <c r="G797" s="2">
        <v>12</v>
      </c>
      <c r="H797" s="61">
        <v>3.71</v>
      </c>
      <c r="I797" s="61">
        <v>4.99</v>
      </c>
      <c r="J797" s="47">
        <f t="shared" si="60"/>
        <v>-0.6908333333333333</v>
      </c>
      <c r="K797" s="47">
        <f t="shared" si="61"/>
        <v>0.34501347708894886</v>
      </c>
      <c r="L797" s="8">
        <v>6.09</v>
      </c>
      <c r="M797" s="8">
        <v>45.94</v>
      </c>
      <c r="N797" s="8">
        <v>37.97</v>
      </c>
      <c r="O797" s="17">
        <f t="shared" si="62"/>
        <v>-0.66499396863691196</v>
      </c>
      <c r="P797" s="17">
        <f t="shared" si="63"/>
        <v>1.1005367187499999</v>
      </c>
      <c r="Q797" s="17">
        <v>31.08</v>
      </c>
      <c r="R797" s="9">
        <v>20220811</v>
      </c>
      <c r="S797" s="9">
        <v>10.98</v>
      </c>
      <c r="T797" s="9">
        <v>30.77</v>
      </c>
      <c r="U797" s="9">
        <v>1753.90905</v>
      </c>
      <c r="V797" s="45">
        <f t="shared" si="64"/>
        <v>-0.98245633090267714</v>
      </c>
      <c r="W797" s="12">
        <v>1.71</v>
      </c>
      <c r="X797" s="12">
        <v>0</v>
      </c>
      <c r="Y797" s="62"/>
    </row>
    <row r="798" spans="1:25" x14ac:dyDescent="0.2">
      <c r="A798" s="3" t="s">
        <v>3102</v>
      </c>
      <c r="B798" s="3" t="s">
        <v>978</v>
      </c>
      <c r="C798" s="6" t="s">
        <v>356</v>
      </c>
      <c r="D798" s="6" t="s">
        <v>207</v>
      </c>
      <c r="E798" s="6" t="s">
        <v>218</v>
      </c>
      <c r="F798" s="6">
        <v>10581.23</v>
      </c>
      <c r="G798" s="2">
        <v>12</v>
      </c>
      <c r="H798" s="61">
        <v>0.34</v>
      </c>
      <c r="I798" s="61">
        <v>0.66</v>
      </c>
      <c r="J798" s="47">
        <f t="shared" si="60"/>
        <v>-0.97166666666666668</v>
      </c>
      <c r="K798" s="47">
        <f t="shared" si="61"/>
        <v>0.94117647058823528</v>
      </c>
      <c r="L798" s="8">
        <v>0.67</v>
      </c>
      <c r="M798" s="8">
        <v>35.44</v>
      </c>
      <c r="N798" s="8">
        <v>9.67</v>
      </c>
      <c r="O798" s="17">
        <f t="shared" si="62"/>
        <v>-0.36473413379073755</v>
      </c>
      <c r="P798" s="17">
        <f t="shared" si="63"/>
        <v>0.10274375000000001</v>
      </c>
      <c r="Q798" s="17">
        <v>9.52</v>
      </c>
      <c r="R798" s="9">
        <v>20220530</v>
      </c>
      <c r="S798" s="9">
        <v>9.93</v>
      </c>
      <c r="T798" s="9">
        <v>-2.4700000000000002</v>
      </c>
      <c r="U798" s="9">
        <v>29787.119139999999</v>
      </c>
      <c r="V798" s="45">
        <f t="shared" si="64"/>
        <v>-1.0000829217484373</v>
      </c>
      <c r="W798" s="12">
        <v>-15.38</v>
      </c>
      <c r="X798" s="12">
        <v>2.62</v>
      </c>
      <c r="Y798" s="62"/>
    </row>
    <row r="799" spans="1:25" x14ac:dyDescent="0.2">
      <c r="A799" s="3" t="s">
        <v>3103</v>
      </c>
      <c r="B799" s="3" t="s">
        <v>979</v>
      </c>
      <c r="C799" s="6" t="s">
        <v>355</v>
      </c>
      <c r="D799" s="6" t="s">
        <v>185</v>
      </c>
      <c r="E799" s="6" t="s">
        <v>208</v>
      </c>
      <c r="F799" s="6">
        <v>3663.17</v>
      </c>
      <c r="G799" s="2">
        <v>12</v>
      </c>
      <c r="H799" s="61">
        <v>-3.43</v>
      </c>
      <c r="I799" s="61">
        <v>-2.38</v>
      </c>
      <c r="J799" s="47">
        <f t="shared" si="60"/>
        <v>-1.2858333333333334</v>
      </c>
      <c r="K799" s="47">
        <f t="shared" si="61"/>
        <v>0.3061224489795919</v>
      </c>
      <c r="L799" s="8">
        <v>-2.48</v>
      </c>
      <c r="O799" s="17">
        <f t="shared" si="62"/>
        <v>0</v>
      </c>
      <c r="P799" s="17">
        <f t="shared" si="63"/>
        <v>0</v>
      </c>
      <c r="Q799" s="17"/>
      <c r="R799" s="9">
        <v>20220804</v>
      </c>
      <c r="S799" s="9">
        <v>-4.7699999999999996</v>
      </c>
      <c r="T799" s="9">
        <v>36.28</v>
      </c>
      <c r="U799" s="9">
        <v>492.50698</v>
      </c>
      <c r="V799" s="45">
        <f t="shared" si="64"/>
        <v>-0.92633606938931101</v>
      </c>
      <c r="W799" s="12">
        <v>75.56</v>
      </c>
      <c r="X799" s="12">
        <v>0</v>
      </c>
      <c r="Y799" s="62"/>
    </row>
    <row r="800" spans="1:25" x14ac:dyDescent="0.2">
      <c r="A800" s="3" t="s">
        <v>3104</v>
      </c>
      <c r="B800" s="3" t="s">
        <v>980</v>
      </c>
      <c r="C800" s="6" t="s">
        <v>355</v>
      </c>
      <c r="D800" s="6" t="s">
        <v>215</v>
      </c>
      <c r="E800" s="6" t="s">
        <v>163</v>
      </c>
      <c r="F800" s="6">
        <v>11518.24</v>
      </c>
      <c r="G800" s="2">
        <v>12</v>
      </c>
      <c r="H800" s="61">
        <v>3.47</v>
      </c>
      <c r="I800" s="61">
        <v>3.61</v>
      </c>
      <c r="J800" s="47">
        <f t="shared" si="60"/>
        <v>-0.71083333333333332</v>
      </c>
      <c r="K800" s="47">
        <f t="shared" si="61"/>
        <v>4.0345821325648318E-2</v>
      </c>
      <c r="L800" s="8">
        <v>3.74</v>
      </c>
      <c r="M800" s="8">
        <v>13.45</v>
      </c>
      <c r="N800" s="8">
        <v>12.88</v>
      </c>
      <c r="O800" s="17">
        <f t="shared" si="62"/>
        <v>-0.18921453692848769</v>
      </c>
      <c r="P800" s="17">
        <f t="shared" si="63"/>
        <v>3.1924000000000081</v>
      </c>
      <c r="Q800" s="17">
        <v>12.45</v>
      </c>
      <c r="R800" s="9">
        <v>20220804</v>
      </c>
      <c r="S800" s="9">
        <v>16.86</v>
      </c>
      <c r="T800" s="9">
        <v>5.87</v>
      </c>
      <c r="U800" s="9">
        <v>1283.0369800000001</v>
      </c>
      <c r="V800" s="45">
        <f t="shared" si="64"/>
        <v>-0.99542491752653939</v>
      </c>
      <c r="W800" s="12">
        <v>-1.1499999999999999</v>
      </c>
      <c r="X800" s="12">
        <v>5.93</v>
      </c>
      <c r="Y800" s="62">
        <v>3.29</v>
      </c>
    </row>
    <row r="801" spans="1:25" x14ac:dyDescent="0.2">
      <c r="A801" s="3" t="s">
        <v>3105</v>
      </c>
      <c r="B801" s="3" t="s">
        <v>981</v>
      </c>
      <c r="C801" s="6" t="s">
        <v>354</v>
      </c>
      <c r="D801" s="6" t="s">
        <v>129</v>
      </c>
      <c r="E801" s="6" t="s">
        <v>119</v>
      </c>
      <c r="F801" s="6">
        <v>29747.25</v>
      </c>
      <c r="G801" s="2">
        <v>12</v>
      </c>
      <c r="H801" s="61">
        <v>2.0499999999999998</v>
      </c>
      <c r="I801" s="61">
        <v>2.36</v>
      </c>
      <c r="J801" s="47">
        <f t="shared" si="60"/>
        <v>-0.82916666666666661</v>
      </c>
      <c r="K801" s="47">
        <f t="shared" si="61"/>
        <v>0.151219512195122</v>
      </c>
      <c r="L801" s="8">
        <v>2.62</v>
      </c>
      <c r="M801" s="8">
        <v>16.23</v>
      </c>
      <c r="N801" s="8">
        <v>14.9</v>
      </c>
      <c r="O801" s="17">
        <f t="shared" si="62"/>
        <v>-0.19573869346733672</v>
      </c>
      <c r="P801" s="17">
        <f t="shared" si="63"/>
        <v>0.98532258064516098</v>
      </c>
      <c r="Q801" s="17">
        <v>13.44</v>
      </c>
      <c r="R801" s="9">
        <v>20220726</v>
      </c>
      <c r="S801" s="9">
        <v>21.56</v>
      </c>
      <c r="T801" s="9">
        <v>6.87</v>
      </c>
      <c r="U801" s="9">
        <v>15372.085929999999</v>
      </c>
      <c r="V801" s="45">
        <f t="shared" si="64"/>
        <v>-0.99955308602675752</v>
      </c>
      <c r="W801" s="12">
        <v>10.199999999999999</v>
      </c>
      <c r="X801" s="12">
        <v>3.07</v>
      </c>
      <c r="Y801" s="62">
        <v>2.4</v>
      </c>
    </row>
    <row r="802" spans="1:25" x14ac:dyDescent="0.2">
      <c r="A802" s="3" t="s">
        <v>3106</v>
      </c>
      <c r="B802" s="3" t="s">
        <v>982</v>
      </c>
      <c r="C802" s="6" t="s">
        <v>354</v>
      </c>
      <c r="D802" s="6" t="s">
        <v>44</v>
      </c>
      <c r="E802" s="6" t="s">
        <v>35</v>
      </c>
      <c r="F802" s="6">
        <v>54567.37</v>
      </c>
      <c r="G802" s="2">
        <v>12</v>
      </c>
      <c r="H802" s="61">
        <v>6.75</v>
      </c>
      <c r="I802" s="61">
        <v>6.89</v>
      </c>
      <c r="J802" s="47">
        <f t="shared" si="60"/>
        <v>-0.4375</v>
      </c>
      <c r="K802" s="47">
        <f t="shared" si="61"/>
        <v>2.0740740740740695E-2</v>
      </c>
      <c r="L802" s="8">
        <v>6.82</v>
      </c>
      <c r="M802" s="8">
        <v>5.4</v>
      </c>
      <c r="N802" s="8">
        <v>5.43</v>
      </c>
      <c r="O802" s="17">
        <f t="shared" si="62"/>
        <v>-0.12342857142857144</v>
      </c>
      <c r="P802" s="17">
        <f t="shared" si="63"/>
        <v>2.6180357142857198</v>
      </c>
      <c r="Q802" s="17">
        <v>5.49</v>
      </c>
      <c r="R802" s="9">
        <v>20220803</v>
      </c>
      <c r="S802" s="9">
        <v>16.37</v>
      </c>
      <c r="T802" s="9">
        <v>-4.9400000000000004</v>
      </c>
      <c r="U802" s="9">
        <v>153525.10936999999</v>
      </c>
      <c r="V802" s="45">
        <f t="shared" si="64"/>
        <v>-1.0000321771469194</v>
      </c>
      <c r="W802" s="12">
        <v>33.97</v>
      </c>
      <c r="X802" s="12">
        <v>0</v>
      </c>
      <c r="Y802" s="62">
        <v>0.55000000000000004</v>
      </c>
    </row>
    <row r="803" spans="1:25" x14ac:dyDescent="0.2">
      <c r="A803" s="3" t="s">
        <v>3107</v>
      </c>
      <c r="B803" s="3" t="s">
        <v>983</v>
      </c>
      <c r="C803" s="6" t="s">
        <v>355</v>
      </c>
      <c r="D803" s="6" t="s">
        <v>185</v>
      </c>
      <c r="E803" s="6" t="s">
        <v>208</v>
      </c>
      <c r="F803" s="6">
        <v>19595.349999999999</v>
      </c>
      <c r="G803" s="2">
        <v>12</v>
      </c>
      <c r="H803" s="61">
        <v>0.68</v>
      </c>
      <c r="I803" s="61">
        <v>0.88</v>
      </c>
      <c r="J803" s="47">
        <f t="shared" si="60"/>
        <v>-0.94333333333333336</v>
      </c>
      <c r="K803" s="47">
        <f t="shared" si="61"/>
        <v>0.29411764705882343</v>
      </c>
      <c r="L803" s="8">
        <v>1.18</v>
      </c>
      <c r="M803" s="8">
        <v>52.3</v>
      </c>
      <c r="N803" s="8">
        <v>33.78</v>
      </c>
      <c r="O803" s="17">
        <f t="shared" si="62"/>
        <v>-0.55441696113074201</v>
      </c>
      <c r="P803" s="17">
        <f t="shared" si="63"/>
        <v>1.1485200000000004</v>
      </c>
      <c r="Q803" s="17">
        <v>25.26</v>
      </c>
      <c r="R803" s="9">
        <v>20220810</v>
      </c>
      <c r="S803" s="9">
        <v>10.9</v>
      </c>
      <c r="T803" s="9">
        <v>30.71</v>
      </c>
      <c r="U803" s="9">
        <v>1801.31701</v>
      </c>
      <c r="V803" s="45">
        <f t="shared" si="64"/>
        <v>-0.98295136290307938</v>
      </c>
      <c r="W803" s="12">
        <v>10</v>
      </c>
      <c r="X803" s="12">
        <v>0</v>
      </c>
      <c r="Y803" s="62">
        <v>1.27</v>
      </c>
    </row>
    <row r="804" spans="1:25" x14ac:dyDescent="0.2">
      <c r="A804" s="3" t="s">
        <v>3108</v>
      </c>
      <c r="B804" s="3" t="s">
        <v>1866</v>
      </c>
      <c r="C804" s="6" t="s">
        <v>354</v>
      </c>
      <c r="D804" s="6" t="s">
        <v>220</v>
      </c>
      <c r="E804" s="6" t="s">
        <v>231</v>
      </c>
      <c r="F804" s="6">
        <v>9806.51</v>
      </c>
      <c r="G804" s="2">
        <v>1</v>
      </c>
      <c r="H804" s="61">
        <v>-1.77</v>
      </c>
      <c r="I804" s="61">
        <v>-4.93</v>
      </c>
      <c r="J804" s="47">
        <f t="shared" si="60"/>
        <v>-2.77</v>
      </c>
      <c r="K804" s="47">
        <f t="shared" si="61"/>
        <v>-1.7853107344632766</v>
      </c>
      <c r="L804" s="8">
        <v>-3</v>
      </c>
      <c r="O804" s="17">
        <f t="shared" si="62"/>
        <v>0</v>
      </c>
      <c r="P804" s="17">
        <f t="shared" si="63"/>
        <v>0</v>
      </c>
      <c r="Q804" s="17"/>
      <c r="R804" s="9">
        <v>20220601</v>
      </c>
      <c r="S804" s="9">
        <v>-21.76</v>
      </c>
      <c r="T804" s="9">
        <v>-12.73</v>
      </c>
      <c r="U804" s="9">
        <v>6384.7001899999996</v>
      </c>
      <c r="V804" s="45">
        <f t="shared" si="64"/>
        <v>-1.0019938289381134</v>
      </c>
      <c r="W804" s="12">
        <v>-341.56</v>
      </c>
      <c r="X804" s="12">
        <v>0</v>
      </c>
      <c r="Y804" s="62"/>
    </row>
    <row r="805" spans="1:25" x14ac:dyDescent="0.2">
      <c r="A805" s="3" t="s">
        <v>3109</v>
      </c>
      <c r="B805" s="3" t="s">
        <v>984</v>
      </c>
      <c r="C805" s="6" t="s">
        <v>354</v>
      </c>
      <c r="D805" s="6" t="s">
        <v>191</v>
      </c>
      <c r="E805" s="6" t="s">
        <v>208</v>
      </c>
      <c r="F805" s="6">
        <v>6718.07</v>
      </c>
      <c r="G805" s="2">
        <v>12</v>
      </c>
      <c r="H805" s="61">
        <v>2.02</v>
      </c>
      <c r="I805" s="61">
        <v>2.1</v>
      </c>
      <c r="J805" s="47">
        <f t="shared" si="60"/>
        <v>-0.83166666666666667</v>
      </c>
      <c r="K805" s="47">
        <f t="shared" si="61"/>
        <v>3.9603960396039639E-2</v>
      </c>
      <c r="L805" s="8">
        <v>2.4</v>
      </c>
      <c r="M805" s="8">
        <v>33.58</v>
      </c>
      <c r="N805" s="8">
        <v>31.45</v>
      </c>
      <c r="O805" s="17">
        <f t="shared" si="62"/>
        <v>-0.40376753507014024</v>
      </c>
      <c r="P805" s="17">
        <f t="shared" si="63"/>
        <v>7.9411249999999924</v>
      </c>
      <c r="Q805" s="17">
        <v>27.58</v>
      </c>
      <c r="R805" s="9">
        <v>20220803</v>
      </c>
      <c r="S805" s="9">
        <v>11.95</v>
      </c>
      <c r="T805" s="9">
        <v>9.92</v>
      </c>
      <c r="U805" s="9">
        <v>1027.06396</v>
      </c>
      <c r="V805" s="45">
        <f t="shared" si="64"/>
        <v>-0.99034139996500314</v>
      </c>
      <c r="W805" s="12">
        <v>-8.6999999999999993</v>
      </c>
      <c r="X805" s="12">
        <v>0</v>
      </c>
      <c r="Y805" s="62">
        <v>2.8</v>
      </c>
    </row>
    <row r="806" spans="1:25" x14ac:dyDescent="0.2">
      <c r="A806" s="3" t="s">
        <v>3107</v>
      </c>
      <c r="B806" s="3" t="s">
        <v>2148</v>
      </c>
      <c r="C806" s="6" t="s">
        <v>356</v>
      </c>
      <c r="D806" s="6" t="s">
        <v>185</v>
      </c>
      <c r="E806" s="6" t="s">
        <v>208</v>
      </c>
      <c r="F806" s="6">
        <v>18995.21</v>
      </c>
      <c r="G806" s="2">
        <v>12</v>
      </c>
      <c r="H806" s="61"/>
      <c r="I806" s="61"/>
      <c r="J806" s="47">
        <f t="shared" si="60"/>
        <v>-1</v>
      </c>
      <c r="K806" s="47" t="e">
        <f t="shared" si="61"/>
        <v>#DIV/0!</v>
      </c>
      <c r="M806" s="8">
        <v>51.8</v>
      </c>
      <c r="O806" s="17">
        <f t="shared" si="62"/>
        <v>-0.51800000000000002</v>
      </c>
      <c r="P806" s="17" t="e">
        <f t="shared" si="63"/>
        <v>#DIV/0!</v>
      </c>
      <c r="Q806" s="17"/>
      <c r="R806" s="9">
        <v>20220810</v>
      </c>
      <c r="S806" s="9">
        <v>10.9</v>
      </c>
      <c r="T806" s="9">
        <v>45.88</v>
      </c>
      <c r="V806" s="45" t="e">
        <f t="shared" si="64"/>
        <v>#DIV/0!</v>
      </c>
      <c r="X806" s="12">
        <v>0</v>
      </c>
      <c r="Y806" s="62"/>
    </row>
    <row r="807" spans="1:25" x14ac:dyDescent="0.2">
      <c r="A807" s="3" t="s">
        <v>3110</v>
      </c>
      <c r="B807" s="3" t="s">
        <v>985</v>
      </c>
      <c r="C807" s="6" t="s">
        <v>356</v>
      </c>
      <c r="D807" s="6" t="s">
        <v>193</v>
      </c>
      <c r="E807" s="6" t="s">
        <v>208</v>
      </c>
      <c r="F807" s="6">
        <v>5271.66</v>
      </c>
      <c r="G807" s="2">
        <v>12</v>
      </c>
      <c r="H807" s="61">
        <v>6.17</v>
      </c>
      <c r="I807" s="61">
        <v>7.63</v>
      </c>
      <c r="J807" s="47">
        <f t="shared" si="60"/>
        <v>-0.48583333333333334</v>
      </c>
      <c r="K807" s="47">
        <f t="shared" si="61"/>
        <v>0.23662884927066449</v>
      </c>
      <c r="L807" s="8">
        <v>9.68</v>
      </c>
      <c r="M807" s="8">
        <v>15.29</v>
      </c>
      <c r="N807" s="8">
        <v>15.11</v>
      </c>
      <c r="O807" s="17">
        <f t="shared" si="62"/>
        <v>-0.31471698113207541</v>
      </c>
      <c r="P807" s="17">
        <f t="shared" si="63"/>
        <v>0.63855273972602733</v>
      </c>
      <c r="Q807" s="17">
        <v>11.91</v>
      </c>
      <c r="R807" s="9">
        <v>20220602</v>
      </c>
      <c r="S807" s="9">
        <v>29.61</v>
      </c>
      <c r="T807" s="9">
        <v>14.37</v>
      </c>
      <c r="U807" s="9">
        <v>3067.76</v>
      </c>
      <c r="V807" s="45">
        <f t="shared" si="64"/>
        <v>-0.99531580045375134</v>
      </c>
      <c r="X807" s="12">
        <v>0.39</v>
      </c>
      <c r="Y807" s="62"/>
    </row>
    <row r="808" spans="1:25" x14ac:dyDescent="0.2">
      <c r="A808" s="3" t="s">
        <v>3111</v>
      </c>
      <c r="B808" s="3" t="s">
        <v>986</v>
      </c>
      <c r="C808" s="6" t="s">
        <v>354</v>
      </c>
      <c r="D808" s="6" t="s">
        <v>987</v>
      </c>
      <c r="E808" s="6" t="s">
        <v>119</v>
      </c>
      <c r="F808" s="6">
        <v>15398.34</v>
      </c>
      <c r="G808" s="2">
        <v>12</v>
      </c>
      <c r="H808" s="61">
        <v>9.51</v>
      </c>
      <c r="I808" s="61">
        <v>11.72</v>
      </c>
      <c r="J808" s="47">
        <f t="shared" si="60"/>
        <v>-0.20750000000000002</v>
      </c>
      <c r="K808" s="47">
        <f t="shared" si="61"/>
        <v>0.23238696109358578</v>
      </c>
      <c r="L808" s="8">
        <v>14.18</v>
      </c>
      <c r="M808" s="8">
        <v>25.83</v>
      </c>
      <c r="N808" s="8">
        <v>20.59</v>
      </c>
      <c r="O808" s="17">
        <f t="shared" si="62"/>
        <v>-1.2448192771084337</v>
      </c>
      <c r="P808" s="17">
        <f t="shared" si="63"/>
        <v>0.88602217194570099</v>
      </c>
      <c r="Q808" s="17">
        <v>17.02</v>
      </c>
      <c r="R808" s="9">
        <v>20220727</v>
      </c>
      <c r="S808" s="9">
        <v>30.22</v>
      </c>
      <c r="T808" s="9">
        <v>19.809999999999999</v>
      </c>
      <c r="U808" s="9">
        <v>5156.9970700000003</v>
      </c>
      <c r="V808" s="45">
        <f t="shared" si="64"/>
        <v>-0.99615861716981735</v>
      </c>
      <c r="W808" s="12">
        <v>10</v>
      </c>
      <c r="X808" s="12">
        <v>0</v>
      </c>
      <c r="Y808" s="62">
        <v>2.06</v>
      </c>
    </row>
    <row r="809" spans="1:25" x14ac:dyDescent="0.2">
      <c r="A809" s="3" t="s">
        <v>3112</v>
      </c>
      <c r="B809" s="3" t="s">
        <v>988</v>
      </c>
      <c r="C809" s="6" t="s">
        <v>355</v>
      </c>
      <c r="D809" s="6" t="s">
        <v>54</v>
      </c>
      <c r="E809" s="6" t="s">
        <v>35</v>
      </c>
      <c r="F809" s="6">
        <v>7057.23</v>
      </c>
      <c r="G809" s="2">
        <v>12</v>
      </c>
      <c r="H809" s="61">
        <v>1.48</v>
      </c>
      <c r="I809" s="61">
        <v>1.64</v>
      </c>
      <c r="J809" s="47">
        <f t="shared" si="60"/>
        <v>-0.87666666666666659</v>
      </c>
      <c r="K809" s="47">
        <f t="shared" si="61"/>
        <v>0.10810810810810806</v>
      </c>
      <c r="L809" s="8">
        <v>2.16</v>
      </c>
      <c r="M809" s="8">
        <v>21.5</v>
      </c>
      <c r="N809" s="8">
        <v>18.38</v>
      </c>
      <c r="O809" s="17">
        <f t="shared" si="62"/>
        <v>-0.2452471482889734</v>
      </c>
      <c r="P809" s="17">
        <f t="shared" si="63"/>
        <v>1.7001500000000007</v>
      </c>
      <c r="Q809" s="17">
        <v>13.95</v>
      </c>
      <c r="R809" s="9">
        <v>20220722</v>
      </c>
      <c r="S809" s="9">
        <v>17.46</v>
      </c>
      <c r="T809" s="9">
        <v>-0.74</v>
      </c>
      <c r="U809" s="9">
        <v>1934.2299800000001</v>
      </c>
      <c r="V809" s="45">
        <f t="shared" si="64"/>
        <v>-1.0003825811861318</v>
      </c>
      <c r="W809" s="12">
        <v>15.63</v>
      </c>
      <c r="X809" s="12">
        <v>1.59</v>
      </c>
      <c r="Y809" s="62">
        <v>1.6</v>
      </c>
    </row>
    <row r="810" spans="1:25" x14ac:dyDescent="0.2">
      <c r="A810" s="3" t="s">
        <v>3113</v>
      </c>
      <c r="B810" s="3" t="s">
        <v>989</v>
      </c>
      <c r="C810" s="6" t="s">
        <v>355</v>
      </c>
      <c r="D810" s="6" t="s">
        <v>136</v>
      </c>
      <c r="E810" s="6" t="s">
        <v>154</v>
      </c>
      <c r="F810" s="6">
        <v>3681.24</v>
      </c>
      <c r="G810" s="2">
        <v>12</v>
      </c>
      <c r="H810" s="61">
        <v>0.89</v>
      </c>
      <c r="I810" s="61">
        <v>0.97</v>
      </c>
      <c r="J810" s="47">
        <f t="shared" si="60"/>
        <v>-0.92583333333333329</v>
      </c>
      <c r="K810" s="47">
        <f t="shared" si="61"/>
        <v>8.9887640449438158E-2</v>
      </c>
      <c r="L810" s="8">
        <v>1.1100000000000001</v>
      </c>
      <c r="M810" s="8">
        <v>42.92</v>
      </c>
      <c r="N810" s="8">
        <v>39.44</v>
      </c>
      <c r="O810" s="17">
        <f t="shared" si="62"/>
        <v>-0.46358235823582361</v>
      </c>
      <c r="P810" s="17">
        <f t="shared" si="63"/>
        <v>4.3877000000000024</v>
      </c>
      <c r="Q810" s="17">
        <v>34.369999999999997</v>
      </c>
      <c r="R810" s="9">
        <v>20220809</v>
      </c>
      <c r="S810" s="9">
        <v>8.65</v>
      </c>
      <c r="U810" s="9">
        <v>3407.35302</v>
      </c>
      <c r="V810" s="45">
        <f t="shared" si="64"/>
        <v>-1</v>
      </c>
      <c r="W810" s="12">
        <v>10</v>
      </c>
      <c r="X810" s="12">
        <v>0</v>
      </c>
      <c r="Y810" s="62">
        <v>3.77</v>
      </c>
    </row>
    <row r="811" spans="1:25" x14ac:dyDescent="0.2">
      <c r="A811" s="3" t="s">
        <v>3114</v>
      </c>
      <c r="B811" s="3" t="s">
        <v>990</v>
      </c>
      <c r="C811" s="6" t="s">
        <v>354</v>
      </c>
      <c r="D811" s="6" t="s">
        <v>196</v>
      </c>
      <c r="E811" s="6" t="s">
        <v>60</v>
      </c>
      <c r="F811" s="6">
        <v>36708.120000000003</v>
      </c>
      <c r="G811" s="2">
        <v>12</v>
      </c>
      <c r="H811" s="61">
        <v>1.1100000000000001</v>
      </c>
      <c r="I811" s="61">
        <v>1.22</v>
      </c>
      <c r="J811" s="47">
        <f t="shared" si="60"/>
        <v>-0.90750000000000008</v>
      </c>
      <c r="K811" s="47">
        <f t="shared" si="61"/>
        <v>9.9099099099098975E-2</v>
      </c>
      <c r="L811" s="8">
        <v>1.32</v>
      </c>
      <c r="M811" s="8">
        <v>18.100000000000001</v>
      </c>
      <c r="N811" s="8">
        <v>16.95</v>
      </c>
      <c r="O811" s="17">
        <f t="shared" si="62"/>
        <v>-0.19944903581267215</v>
      </c>
      <c r="P811" s="17">
        <f t="shared" si="63"/>
        <v>1.710409090909093</v>
      </c>
      <c r="Q811" s="17">
        <v>15.63</v>
      </c>
      <c r="R811" s="9">
        <v>20220808</v>
      </c>
      <c r="S811" s="9">
        <v>6.26</v>
      </c>
      <c r="T811" s="9">
        <v>12.61</v>
      </c>
      <c r="U811" s="9">
        <v>12282.75</v>
      </c>
      <c r="V811" s="45">
        <f t="shared" si="64"/>
        <v>-0.99897335694368117</v>
      </c>
      <c r="W811" s="12">
        <v>13.04</v>
      </c>
      <c r="X811" s="12">
        <v>1.94</v>
      </c>
      <c r="Y811" s="62">
        <v>8.48</v>
      </c>
    </row>
    <row r="812" spans="1:25" x14ac:dyDescent="0.2">
      <c r="A812" s="3" t="s">
        <v>3115</v>
      </c>
      <c r="B812" s="3" t="s">
        <v>991</v>
      </c>
      <c r="C812" s="6" t="s">
        <v>355</v>
      </c>
      <c r="D812" s="6" t="s">
        <v>176</v>
      </c>
      <c r="E812" s="6" t="s">
        <v>119</v>
      </c>
      <c r="F812" s="6">
        <v>1426258</v>
      </c>
      <c r="G812" s="2">
        <v>12</v>
      </c>
      <c r="H812" s="61">
        <v>108.27</v>
      </c>
      <c r="I812" s="61">
        <v>112.46</v>
      </c>
      <c r="J812" s="47">
        <f t="shared" si="60"/>
        <v>8.0224999999999991</v>
      </c>
      <c r="K812" s="47">
        <f t="shared" si="61"/>
        <v>3.8699547427726959E-2</v>
      </c>
      <c r="L812" s="8">
        <v>132.9</v>
      </c>
      <c r="M812" s="8">
        <v>19.59</v>
      </c>
      <c r="N812" s="8">
        <v>19.260000000000002</v>
      </c>
      <c r="O812" s="17">
        <f t="shared" si="62"/>
        <v>2.4418822062947963E-2</v>
      </c>
      <c r="P812" s="17">
        <f t="shared" si="63"/>
        <v>4.9768023866348479</v>
      </c>
      <c r="Q812" s="17">
        <v>16.3</v>
      </c>
      <c r="R812" s="9">
        <v>20220726</v>
      </c>
      <c r="S812" s="9">
        <v>30.18</v>
      </c>
      <c r="T812" s="9">
        <v>21.59</v>
      </c>
      <c r="U812" s="9">
        <v>245685.23436999999</v>
      </c>
      <c r="V812" s="45">
        <f t="shared" si="64"/>
        <v>-0.99991212333107704</v>
      </c>
      <c r="W812" s="12">
        <v>-4.2</v>
      </c>
      <c r="X812" s="12">
        <v>0</v>
      </c>
      <c r="Y812" s="62">
        <v>1.01</v>
      </c>
    </row>
    <row r="813" spans="1:25" x14ac:dyDescent="0.2">
      <c r="A813" s="3" t="s">
        <v>3115</v>
      </c>
      <c r="B813" s="3" t="s">
        <v>992</v>
      </c>
      <c r="C813" s="6" t="s">
        <v>355</v>
      </c>
      <c r="D813" s="6" t="s">
        <v>176</v>
      </c>
      <c r="E813" s="6" t="s">
        <v>119</v>
      </c>
      <c r="F813" s="6">
        <v>1419627</v>
      </c>
      <c r="G813" s="2">
        <v>12</v>
      </c>
      <c r="H813" s="61">
        <v>108.27</v>
      </c>
      <c r="I813" s="61">
        <v>112.46</v>
      </c>
      <c r="J813" s="47">
        <f t="shared" si="60"/>
        <v>8.0224999999999991</v>
      </c>
      <c r="K813" s="47">
        <f t="shared" si="61"/>
        <v>3.8699547427726959E-2</v>
      </c>
      <c r="L813" s="8">
        <v>132.9</v>
      </c>
      <c r="M813" s="8">
        <v>19.5</v>
      </c>
      <c r="N813" s="8">
        <v>19.170000000000002</v>
      </c>
      <c r="O813" s="17">
        <f t="shared" si="62"/>
        <v>2.4306637581801186E-2</v>
      </c>
      <c r="P813" s="17">
        <f t="shared" si="63"/>
        <v>4.9535463007159937</v>
      </c>
      <c r="Q813" s="17">
        <v>16.22</v>
      </c>
      <c r="R813" s="9">
        <v>20220726</v>
      </c>
      <c r="S813" s="9">
        <v>30.18</v>
      </c>
      <c r="T813" s="9">
        <v>21.59</v>
      </c>
      <c r="U813" s="9">
        <v>245685.23436999999</v>
      </c>
      <c r="V813" s="45">
        <f t="shared" si="64"/>
        <v>-0.99991212333107704</v>
      </c>
      <c r="W813" s="12">
        <v>-4.2</v>
      </c>
      <c r="X813" s="12">
        <v>0</v>
      </c>
      <c r="Y813" s="62">
        <v>1.01</v>
      </c>
    </row>
    <row r="814" spans="1:25" x14ac:dyDescent="0.2">
      <c r="A814" s="3" t="s">
        <v>3116</v>
      </c>
      <c r="B814" s="3" t="s">
        <v>993</v>
      </c>
      <c r="C814" s="6" t="s">
        <v>354</v>
      </c>
      <c r="D814" s="6" t="s">
        <v>601</v>
      </c>
      <c r="E814" s="6" t="s">
        <v>35</v>
      </c>
      <c r="F814" s="6">
        <v>19262.61</v>
      </c>
      <c r="G814" s="2">
        <v>12</v>
      </c>
      <c r="H814" s="61">
        <v>6.79</v>
      </c>
      <c r="I814" s="61">
        <v>7.85</v>
      </c>
      <c r="J814" s="47">
        <f t="shared" si="60"/>
        <v>-0.43416666666666665</v>
      </c>
      <c r="K814" s="47">
        <f t="shared" si="61"/>
        <v>0.15611192930780554</v>
      </c>
      <c r="L814" s="8">
        <v>8.33</v>
      </c>
      <c r="M814" s="8">
        <v>18.71</v>
      </c>
      <c r="N814" s="8">
        <v>17.329999999999998</v>
      </c>
      <c r="O814" s="17">
        <f t="shared" si="62"/>
        <v>-0.43094049904030712</v>
      </c>
      <c r="P814" s="17">
        <f t="shared" si="63"/>
        <v>1.1101009433962268</v>
      </c>
      <c r="Q814" s="17">
        <v>16.329999999999998</v>
      </c>
      <c r="R814" s="9">
        <v>20220728</v>
      </c>
      <c r="S814" s="9">
        <v>30.84</v>
      </c>
      <c r="T814" s="9">
        <v>2.36</v>
      </c>
      <c r="U814" s="9">
        <v>21172.833979999999</v>
      </c>
      <c r="V814" s="45">
        <f t="shared" si="64"/>
        <v>-0.99988853641405639</v>
      </c>
      <c r="W814" s="12">
        <v>9.41</v>
      </c>
      <c r="X814" s="12">
        <v>2.63</v>
      </c>
      <c r="Y814" s="62">
        <v>3.11</v>
      </c>
    </row>
    <row r="815" spans="1:25" x14ac:dyDescent="0.2">
      <c r="A815" s="3" t="s">
        <v>3117</v>
      </c>
      <c r="B815" s="3" t="s">
        <v>2149</v>
      </c>
      <c r="C815" s="6" t="s">
        <v>356</v>
      </c>
      <c r="D815" s="6" t="s">
        <v>69</v>
      </c>
      <c r="E815" s="6" t="s">
        <v>163</v>
      </c>
      <c r="F815" s="6">
        <v>6051</v>
      </c>
      <c r="G815" s="2">
        <v>12</v>
      </c>
      <c r="H815" s="61"/>
      <c r="I815" s="61"/>
      <c r="J815" s="47">
        <f t="shared" si="60"/>
        <v>-1</v>
      </c>
      <c r="K815" s="47" t="e">
        <f t="shared" si="61"/>
        <v>#DIV/0!</v>
      </c>
      <c r="O815" s="17">
        <f t="shared" si="62"/>
        <v>0</v>
      </c>
      <c r="P815" s="17" t="e">
        <f t="shared" si="63"/>
        <v>#DIV/0!</v>
      </c>
      <c r="Q815" s="17"/>
      <c r="V815" s="45" t="e">
        <f t="shared" si="64"/>
        <v>#DIV/0!</v>
      </c>
      <c r="X815" s="12">
        <v>0</v>
      </c>
      <c r="Y815" s="62"/>
    </row>
    <row r="816" spans="1:25" x14ac:dyDescent="0.2">
      <c r="A816" s="3" t="s">
        <v>994</v>
      </c>
      <c r="B816" s="3" t="s">
        <v>995</v>
      </c>
      <c r="C816" s="6" t="s">
        <v>354</v>
      </c>
      <c r="D816" s="6" t="s">
        <v>137</v>
      </c>
      <c r="E816" s="6" t="s">
        <v>201</v>
      </c>
      <c r="F816" s="6">
        <v>6613.18</v>
      </c>
      <c r="G816" s="2">
        <v>12</v>
      </c>
      <c r="H816" s="61">
        <v>1.1299999999999999</v>
      </c>
      <c r="I816" s="61">
        <v>2.13</v>
      </c>
      <c r="J816" s="47">
        <f t="shared" si="60"/>
        <v>-0.90583333333333338</v>
      </c>
      <c r="K816" s="47">
        <f t="shared" si="61"/>
        <v>0.88495575221238942</v>
      </c>
      <c r="L816" s="8">
        <v>2.36</v>
      </c>
      <c r="M816" s="8">
        <v>15.43</v>
      </c>
      <c r="N816" s="8">
        <v>10.06</v>
      </c>
      <c r="O816" s="17">
        <f t="shared" si="62"/>
        <v>-0.1703403863845446</v>
      </c>
      <c r="P816" s="17">
        <f t="shared" si="63"/>
        <v>0.113678</v>
      </c>
      <c r="Q816" s="17">
        <v>9.11</v>
      </c>
      <c r="R816" s="9">
        <v>20220726</v>
      </c>
      <c r="S816" s="9">
        <v>22.68</v>
      </c>
      <c r="T816" s="9">
        <v>11.16</v>
      </c>
      <c r="U816" s="9">
        <v>8951.7783199999994</v>
      </c>
      <c r="V816" s="45">
        <f t="shared" si="64"/>
        <v>-0.99875332033467967</v>
      </c>
      <c r="W816" s="12">
        <v>26.32</v>
      </c>
      <c r="X816" s="12">
        <v>1.4</v>
      </c>
      <c r="Y816" s="62">
        <v>0.4</v>
      </c>
    </row>
    <row r="817" spans="1:25" x14ac:dyDescent="0.2">
      <c r="A817" s="3" t="s">
        <v>3118</v>
      </c>
      <c r="B817" s="3" t="s">
        <v>996</v>
      </c>
      <c r="C817" s="6" t="s">
        <v>354</v>
      </c>
      <c r="D817" s="6" t="s">
        <v>153</v>
      </c>
      <c r="E817" s="6" t="s">
        <v>108</v>
      </c>
      <c r="F817" s="6">
        <v>36220.07</v>
      </c>
      <c r="G817" s="2">
        <v>12</v>
      </c>
      <c r="H817" s="61">
        <v>8.15</v>
      </c>
      <c r="I817" s="61">
        <v>9.5399999999999991</v>
      </c>
      <c r="J817" s="47">
        <f t="shared" si="60"/>
        <v>-0.3208333333333333</v>
      </c>
      <c r="K817" s="47">
        <f t="shared" si="61"/>
        <v>0.17055214723926365</v>
      </c>
      <c r="L817" s="8">
        <v>11.14</v>
      </c>
      <c r="M817" s="8">
        <v>15.28</v>
      </c>
      <c r="N817" s="8">
        <v>13.49</v>
      </c>
      <c r="O817" s="17">
        <f t="shared" si="62"/>
        <v>-0.47625974025974033</v>
      </c>
      <c r="P817" s="17">
        <f t="shared" si="63"/>
        <v>0.790960431654677</v>
      </c>
      <c r="Q817" s="17">
        <v>11.55</v>
      </c>
      <c r="R817" s="9">
        <v>20220801</v>
      </c>
      <c r="S817" s="9">
        <v>8.7899999999999991</v>
      </c>
      <c r="T817" s="9">
        <v>25.25</v>
      </c>
      <c r="U817" s="9">
        <v>8413.5693300000003</v>
      </c>
      <c r="V817" s="45">
        <f t="shared" si="64"/>
        <v>-0.99699889559238941</v>
      </c>
      <c r="W817" s="12">
        <v>1.47</v>
      </c>
      <c r="X817" s="12">
        <v>0.78</v>
      </c>
      <c r="Y817" s="62">
        <v>0.78</v>
      </c>
    </row>
    <row r="818" spans="1:25" x14ac:dyDescent="0.2">
      <c r="A818" s="3" t="s">
        <v>3119</v>
      </c>
      <c r="B818" s="3" t="s">
        <v>3120</v>
      </c>
      <c r="C818" s="6" t="s">
        <v>356</v>
      </c>
      <c r="D818" s="6" t="s">
        <v>590</v>
      </c>
      <c r="E818" s="6" t="s">
        <v>589</v>
      </c>
      <c r="F818" s="6">
        <v>8676.5</v>
      </c>
      <c r="G818" s="2">
        <v>12</v>
      </c>
      <c r="H818" s="61"/>
      <c r="I818" s="61"/>
      <c r="J818" s="47">
        <f t="shared" si="60"/>
        <v>-1</v>
      </c>
      <c r="K818" s="47" t="e">
        <f t="shared" si="61"/>
        <v>#DIV/0!</v>
      </c>
      <c r="M818" s="8">
        <v>22</v>
      </c>
      <c r="O818" s="17">
        <f t="shared" si="62"/>
        <v>-0.22</v>
      </c>
      <c r="P818" s="17" t="e">
        <f t="shared" si="63"/>
        <v>#DIV/0!</v>
      </c>
      <c r="Q818" s="17"/>
      <c r="R818" s="9">
        <v>20220530</v>
      </c>
      <c r="V818" s="45" t="e">
        <f t="shared" si="64"/>
        <v>#DIV/0!</v>
      </c>
      <c r="X818" s="12">
        <v>1.08</v>
      </c>
      <c r="Y818" s="62"/>
    </row>
    <row r="819" spans="1:25" x14ac:dyDescent="0.2">
      <c r="A819" s="3" t="s">
        <v>3121</v>
      </c>
      <c r="B819" s="3" t="s">
        <v>997</v>
      </c>
      <c r="C819" s="6" t="s">
        <v>354</v>
      </c>
      <c r="D819" s="6" t="s">
        <v>219</v>
      </c>
      <c r="E819" s="6" t="s">
        <v>231</v>
      </c>
      <c r="F819" s="6">
        <v>4111.95</v>
      </c>
      <c r="G819" s="2">
        <v>1</v>
      </c>
      <c r="H819" s="61">
        <v>1.33</v>
      </c>
      <c r="I819" s="61">
        <v>1.28</v>
      </c>
      <c r="J819" s="47">
        <f t="shared" si="60"/>
        <v>0.33000000000000007</v>
      </c>
      <c r="K819" s="47">
        <f t="shared" si="61"/>
        <v>-3.7593984962406048E-2</v>
      </c>
      <c r="L819" s="8">
        <v>1.64</v>
      </c>
      <c r="M819" s="8">
        <v>21.8</v>
      </c>
      <c r="N819" s="8">
        <v>8.6999999999999993</v>
      </c>
      <c r="O819" s="17">
        <f t="shared" si="62"/>
        <v>0.66060606060606053</v>
      </c>
      <c r="P819" s="17">
        <f t="shared" si="63"/>
        <v>-2.3141999999999978</v>
      </c>
      <c r="Q819" s="17">
        <v>6.78</v>
      </c>
      <c r="R819" s="9">
        <v>20220825</v>
      </c>
      <c r="S819" s="9">
        <v>7.18</v>
      </c>
      <c r="T819" s="9">
        <v>-0.48</v>
      </c>
      <c r="U819" s="9">
        <v>16072.17187</v>
      </c>
      <c r="V819" s="45">
        <f t="shared" si="64"/>
        <v>-1.0000298652854065</v>
      </c>
      <c r="W819" s="12">
        <v>-300</v>
      </c>
      <c r="X819" s="12">
        <v>5.4</v>
      </c>
      <c r="Y819" s="62">
        <v>0.73</v>
      </c>
    </row>
    <row r="820" spans="1:25" x14ac:dyDescent="0.2">
      <c r="A820" s="3" t="s">
        <v>3122</v>
      </c>
      <c r="B820" s="3" t="s">
        <v>3123</v>
      </c>
      <c r="C820" s="6" t="s">
        <v>355</v>
      </c>
      <c r="D820" s="6" t="s">
        <v>233</v>
      </c>
      <c r="E820" s="6" t="s">
        <v>108</v>
      </c>
      <c r="F820" s="6">
        <v>8681.39</v>
      </c>
      <c r="G820" s="2">
        <v>12</v>
      </c>
      <c r="H820" s="61">
        <v>-0.48</v>
      </c>
      <c r="I820" s="61">
        <v>-0.39</v>
      </c>
      <c r="J820" s="47">
        <f t="shared" si="60"/>
        <v>-1.04</v>
      </c>
      <c r="K820" s="47">
        <f t="shared" si="61"/>
        <v>0.18749999999999994</v>
      </c>
      <c r="L820" s="8">
        <v>-0.27</v>
      </c>
      <c r="O820" s="17">
        <f t="shared" si="62"/>
        <v>0</v>
      </c>
      <c r="P820" s="17">
        <f t="shared" si="63"/>
        <v>0</v>
      </c>
      <c r="Q820" s="17"/>
      <c r="R820" s="9">
        <v>20220812</v>
      </c>
      <c r="S820" s="9">
        <v>-86.31</v>
      </c>
      <c r="U820" s="9">
        <v>1813.60302</v>
      </c>
      <c r="V820" s="45">
        <f t="shared" si="64"/>
        <v>-1</v>
      </c>
      <c r="W820" s="12">
        <v>0</v>
      </c>
      <c r="X820" s="12">
        <v>0</v>
      </c>
      <c r="Y820" s="62"/>
    </row>
    <row r="821" spans="1:25" x14ac:dyDescent="0.2">
      <c r="A821" s="3" t="s">
        <v>3124</v>
      </c>
      <c r="B821" s="3" t="s">
        <v>998</v>
      </c>
      <c r="C821" s="6" t="s">
        <v>355</v>
      </c>
      <c r="D821" s="6" t="s">
        <v>187</v>
      </c>
      <c r="E821" s="6" t="s">
        <v>208</v>
      </c>
      <c r="F821" s="6">
        <v>8956.73</v>
      </c>
      <c r="G821" s="2">
        <v>12</v>
      </c>
      <c r="H821" s="61">
        <v>0.97</v>
      </c>
      <c r="I821" s="61">
        <v>0.73</v>
      </c>
      <c r="J821" s="47">
        <f t="shared" si="60"/>
        <v>-0.91916666666666658</v>
      </c>
      <c r="K821" s="47">
        <f t="shared" si="61"/>
        <v>-0.24742268041237114</v>
      </c>
      <c r="L821" s="8">
        <v>1.33</v>
      </c>
      <c r="M821" s="8">
        <v>10.91</v>
      </c>
      <c r="N821" s="8">
        <v>18.079999999999998</v>
      </c>
      <c r="O821" s="17">
        <f t="shared" si="62"/>
        <v>-0.1186944696282865</v>
      </c>
      <c r="P821" s="17">
        <f t="shared" si="63"/>
        <v>-0.73073333333333323</v>
      </c>
      <c r="Q821" s="17">
        <v>9.92</v>
      </c>
      <c r="R821" s="9">
        <v>20220531</v>
      </c>
      <c r="U821" s="9">
        <v>6449.7700100000002</v>
      </c>
      <c r="V821" s="45">
        <f t="shared" si="64"/>
        <v>-1</v>
      </c>
      <c r="W821" s="12">
        <v>29.63</v>
      </c>
      <c r="X821" s="12">
        <v>2.73</v>
      </c>
      <c r="Y821" s="62"/>
    </row>
    <row r="822" spans="1:25" x14ac:dyDescent="0.2">
      <c r="A822" s="3" t="s">
        <v>3125</v>
      </c>
      <c r="B822" s="3" t="s">
        <v>999</v>
      </c>
      <c r="C822" s="6" t="s">
        <v>354</v>
      </c>
      <c r="D822" s="6" t="s">
        <v>522</v>
      </c>
      <c r="E822" s="6" t="s">
        <v>119</v>
      </c>
      <c r="F822" s="6">
        <v>19793.38</v>
      </c>
      <c r="G822" s="2">
        <v>12</v>
      </c>
      <c r="H822" s="61">
        <v>5.68</v>
      </c>
      <c r="I822" s="61">
        <v>5.9</v>
      </c>
      <c r="J822" s="47">
        <f t="shared" si="60"/>
        <v>-0.52666666666666673</v>
      </c>
      <c r="K822" s="47">
        <f t="shared" si="61"/>
        <v>3.8732394366197298E-2</v>
      </c>
      <c r="L822" s="8">
        <v>6.65</v>
      </c>
      <c r="M822" s="8">
        <v>17.82</v>
      </c>
      <c r="N822" s="8">
        <v>17.37</v>
      </c>
      <c r="O822" s="17">
        <f t="shared" si="62"/>
        <v>-0.33835443037974683</v>
      </c>
      <c r="P822" s="17">
        <f t="shared" si="63"/>
        <v>4.4846181818181687</v>
      </c>
      <c r="Q822" s="17">
        <v>15.4</v>
      </c>
      <c r="R822" s="9">
        <v>20220727</v>
      </c>
      <c r="S822" s="9">
        <v>18.670000000000002</v>
      </c>
      <c r="T822" s="9">
        <v>12.19</v>
      </c>
      <c r="U822" s="9">
        <v>5451.3847599999999</v>
      </c>
      <c r="V822" s="45">
        <f t="shared" si="64"/>
        <v>-0.99776387091781804</v>
      </c>
      <c r="W822" s="12">
        <v>-3.48</v>
      </c>
      <c r="X822" s="12">
        <v>2.61</v>
      </c>
      <c r="Y822" s="62">
        <v>3.1</v>
      </c>
    </row>
    <row r="823" spans="1:25" x14ac:dyDescent="0.2">
      <c r="A823" s="3" t="s">
        <v>3126</v>
      </c>
      <c r="B823" s="3" t="s">
        <v>1000</v>
      </c>
      <c r="C823" s="6" t="s">
        <v>354</v>
      </c>
      <c r="D823" s="6" t="s">
        <v>215</v>
      </c>
      <c r="E823" s="6" t="s">
        <v>163</v>
      </c>
      <c r="F823" s="6">
        <v>4589.93</v>
      </c>
      <c r="G823" s="2">
        <v>12</v>
      </c>
      <c r="H823" s="61">
        <v>3.2</v>
      </c>
      <c r="I823" s="61">
        <v>3.42</v>
      </c>
      <c r="J823" s="47">
        <f t="shared" si="60"/>
        <v>-0.73333333333333339</v>
      </c>
      <c r="K823" s="47">
        <f t="shared" si="61"/>
        <v>6.8749999999999922E-2</v>
      </c>
      <c r="L823" s="8">
        <v>3.73</v>
      </c>
      <c r="M823" s="8">
        <v>21.55</v>
      </c>
      <c r="N823" s="8">
        <v>20.41</v>
      </c>
      <c r="O823" s="17">
        <f t="shared" si="62"/>
        <v>-0.29386363636363633</v>
      </c>
      <c r="P823" s="17">
        <f t="shared" si="63"/>
        <v>2.9687272727272762</v>
      </c>
      <c r="Q823" s="17">
        <v>18.72</v>
      </c>
      <c r="R823" s="9">
        <v>20220803</v>
      </c>
      <c r="S823" s="9">
        <v>30.45</v>
      </c>
      <c r="T823" s="9">
        <v>15.39</v>
      </c>
      <c r="U823" s="9">
        <v>346.82</v>
      </c>
      <c r="V823" s="45">
        <f t="shared" si="64"/>
        <v>-0.95562539645925848</v>
      </c>
      <c r="W823" s="12">
        <v>1.22</v>
      </c>
      <c r="X823" s="12">
        <v>3.55</v>
      </c>
      <c r="Y823" s="62"/>
    </row>
    <row r="824" spans="1:25" x14ac:dyDescent="0.2">
      <c r="A824" s="3" t="s">
        <v>3127</v>
      </c>
      <c r="B824" s="3" t="s">
        <v>2150</v>
      </c>
      <c r="C824" s="6" t="s">
        <v>356</v>
      </c>
      <c r="D824" s="6" t="s">
        <v>694</v>
      </c>
      <c r="E824" s="6" t="s">
        <v>146</v>
      </c>
      <c r="F824" s="6">
        <v>12909</v>
      </c>
      <c r="G824" s="2">
        <v>3</v>
      </c>
      <c r="H824" s="61"/>
      <c r="I824" s="61"/>
      <c r="J824" s="47">
        <f t="shared" si="60"/>
        <v>-1</v>
      </c>
      <c r="K824" s="47" t="e">
        <f t="shared" si="61"/>
        <v>#DIV/0!</v>
      </c>
      <c r="O824" s="17">
        <f t="shared" si="62"/>
        <v>0</v>
      </c>
      <c r="P824" s="17" t="e">
        <f t="shared" si="63"/>
        <v>#DIV/0!</v>
      </c>
      <c r="Q824" s="17"/>
      <c r="V824" s="45" t="e">
        <f t="shared" si="64"/>
        <v>#DIV/0!</v>
      </c>
      <c r="X824" s="12">
        <v>0.28000000000000003</v>
      </c>
      <c r="Y824" s="62"/>
    </row>
    <row r="825" spans="1:25" x14ac:dyDescent="0.2">
      <c r="A825" s="3" t="s">
        <v>3128</v>
      </c>
      <c r="B825" s="3" t="s">
        <v>1001</v>
      </c>
      <c r="C825" s="6" t="s">
        <v>354</v>
      </c>
      <c r="D825" s="6" t="s">
        <v>885</v>
      </c>
      <c r="E825" s="6" t="s">
        <v>163</v>
      </c>
      <c r="F825" s="6">
        <v>111149.68</v>
      </c>
      <c r="G825" s="2">
        <v>12</v>
      </c>
      <c r="H825" s="61">
        <v>60.69</v>
      </c>
      <c r="I825" s="61">
        <v>37.69</v>
      </c>
      <c r="J825" s="47">
        <f t="shared" si="60"/>
        <v>4.0575000000000001</v>
      </c>
      <c r="K825" s="47">
        <f t="shared" si="61"/>
        <v>-0.37897511945954854</v>
      </c>
      <c r="L825" s="8">
        <v>40.479999999999997</v>
      </c>
      <c r="M825" s="8">
        <v>6.28</v>
      </c>
      <c r="N825" s="8">
        <v>8.59</v>
      </c>
      <c r="O825" s="17">
        <f t="shared" si="62"/>
        <v>1.5477510782501541E-2</v>
      </c>
      <c r="P825" s="17">
        <f t="shared" si="63"/>
        <v>-0.22666395652173912</v>
      </c>
      <c r="Q825" s="17">
        <v>7.99</v>
      </c>
      <c r="R825" s="9">
        <v>20220712</v>
      </c>
      <c r="S825" s="9">
        <v>19.079999999999998</v>
      </c>
      <c r="T825" s="9">
        <v>18.47</v>
      </c>
      <c r="U825" s="9">
        <v>47728.097650000003</v>
      </c>
      <c r="V825" s="45">
        <f t="shared" si="64"/>
        <v>-0.99961301621247411</v>
      </c>
      <c r="W825" s="12">
        <v>24.97</v>
      </c>
      <c r="X825" s="12">
        <v>2.4700000000000002</v>
      </c>
      <c r="Y825" s="62">
        <v>0.67</v>
      </c>
    </row>
    <row r="826" spans="1:25" x14ac:dyDescent="0.2">
      <c r="A826" s="3" t="s">
        <v>3129</v>
      </c>
      <c r="B826" s="3" t="s">
        <v>1002</v>
      </c>
      <c r="C826" s="6" t="s">
        <v>354</v>
      </c>
      <c r="D826" s="6" t="s">
        <v>179</v>
      </c>
      <c r="E826" s="6" t="s">
        <v>208</v>
      </c>
      <c r="F826" s="6">
        <v>112906.54</v>
      </c>
      <c r="G826" s="2">
        <v>12</v>
      </c>
      <c r="H826" s="61">
        <v>3.01</v>
      </c>
      <c r="I826" s="61">
        <v>3.18</v>
      </c>
      <c r="J826" s="47">
        <f t="shared" si="60"/>
        <v>-0.74916666666666665</v>
      </c>
      <c r="K826" s="47">
        <f t="shared" si="61"/>
        <v>5.6478405315614745E-2</v>
      </c>
      <c r="L826" s="8">
        <v>3.37</v>
      </c>
      <c r="M826" s="8">
        <v>13.18</v>
      </c>
      <c r="N826" s="8">
        <v>13.96</v>
      </c>
      <c r="O826" s="17">
        <f t="shared" si="62"/>
        <v>-0.17592880978865405</v>
      </c>
      <c r="P826" s="17">
        <f t="shared" si="63"/>
        <v>2.4717411764705828</v>
      </c>
      <c r="Q826" s="17">
        <v>13.18</v>
      </c>
      <c r="R826" s="9">
        <v>20220727</v>
      </c>
      <c r="S826" s="9">
        <v>28.13</v>
      </c>
      <c r="T826" s="9">
        <v>4.49</v>
      </c>
      <c r="U826" s="9">
        <v>48803.875</v>
      </c>
      <c r="V826" s="45">
        <f t="shared" si="64"/>
        <v>-0.99990799910867734</v>
      </c>
      <c r="W826" s="12">
        <v>14.29</v>
      </c>
      <c r="X826" s="12">
        <v>3.08</v>
      </c>
      <c r="Y826" s="62">
        <v>1.97</v>
      </c>
    </row>
    <row r="827" spans="1:25" x14ac:dyDescent="0.2">
      <c r="A827" s="3" t="s">
        <v>3130</v>
      </c>
      <c r="B827" s="3" t="s">
        <v>1867</v>
      </c>
      <c r="C827" s="6" t="s">
        <v>355</v>
      </c>
      <c r="D827" s="6" t="s">
        <v>559</v>
      </c>
      <c r="E827" s="6" t="s">
        <v>35</v>
      </c>
      <c r="F827" s="6">
        <v>3474.32</v>
      </c>
      <c r="G827" s="2">
        <v>12</v>
      </c>
      <c r="H827" s="61">
        <v>1.89</v>
      </c>
      <c r="I827" s="61">
        <v>2.2200000000000002</v>
      </c>
      <c r="J827" s="47">
        <f t="shared" si="60"/>
        <v>-0.84249999999999992</v>
      </c>
      <c r="K827" s="47">
        <f t="shared" si="61"/>
        <v>0.17460317460317476</v>
      </c>
      <c r="L827" s="8">
        <v>3.11</v>
      </c>
      <c r="M827" s="8">
        <v>6.21</v>
      </c>
      <c r="N827" s="8">
        <v>5.54</v>
      </c>
      <c r="O827" s="17">
        <f t="shared" si="62"/>
        <v>-7.370919881305639E-2</v>
      </c>
      <c r="P827" s="17">
        <f t="shared" si="63"/>
        <v>0.31729090909090879</v>
      </c>
      <c r="Q827" s="17">
        <v>3.96</v>
      </c>
      <c r="R827" s="9">
        <v>20220805</v>
      </c>
      <c r="S827" s="9">
        <v>11.37</v>
      </c>
      <c r="T827" s="9">
        <v>-0.06</v>
      </c>
      <c r="U827" s="9">
        <v>20409.845700000002</v>
      </c>
      <c r="V827" s="45">
        <f t="shared" si="64"/>
        <v>-1.0000029397576484</v>
      </c>
      <c r="W827" s="12">
        <v>105.56</v>
      </c>
      <c r="X827" s="12">
        <v>0</v>
      </c>
      <c r="Y827" s="62"/>
    </row>
    <row r="828" spans="1:25" x14ac:dyDescent="0.2">
      <c r="A828" s="3" t="s">
        <v>3131</v>
      </c>
      <c r="B828" s="3" t="s">
        <v>3132</v>
      </c>
      <c r="C828" s="6" t="s">
        <v>355</v>
      </c>
      <c r="D828" s="6" t="s">
        <v>177</v>
      </c>
      <c r="E828" s="6" t="s">
        <v>119</v>
      </c>
      <c r="F828" s="6">
        <v>5914.33</v>
      </c>
      <c r="G828" s="2">
        <v>1</v>
      </c>
      <c r="H828" s="61">
        <v>-1.38</v>
      </c>
      <c r="I828" s="61">
        <v>-0.98</v>
      </c>
      <c r="J828" s="47">
        <f t="shared" si="60"/>
        <v>-2.38</v>
      </c>
      <c r="K828" s="47">
        <f t="shared" si="61"/>
        <v>0.28985507246376807</v>
      </c>
      <c r="L828" s="8">
        <v>-0.85</v>
      </c>
      <c r="O828" s="17">
        <f t="shared" si="62"/>
        <v>0</v>
      </c>
      <c r="P828" s="17">
        <f t="shared" si="63"/>
        <v>0</v>
      </c>
      <c r="Q828" s="17"/>
      <c r="R828" s="9">
        <v>20220606</v>
      </c>
      <c r="U828" s="9">
        <v>388.39497999999998</v>
      </c>
      <c r="V828" s="45">
        <f t="shared" si="64"/>
        <v>-1</v>
      </c>
      <c r="W828" s="12">
        <v>36</v>
      </c>
      <c r="X828" s="12">
        <v>0</v>
      </c>
      <c r="Y828" s="62"/>
    </row>
    <row r="829" spans="1:25" x14ac:dyDescent="0.2">
      <c r="A829" s="3" t="s">
        <v>3133</v>
      </c>
      <c r="B829" s="3" t="s">
        <v>451</v>
      </c>
      <c r="C829" s="6" t="s">
        <v>354</v>
      </c>
      <c r="D829" s="6" t="s">
        <v>183</v>
      </c>
      <c r="E829" s="6" t="s">
        <v>201</v>
      </c>
      <c r="F829" s="6">
        <v>6500.25</v>
      </c>
      <c r="G829" s="2">
        <v>12</v>
      </c>
      <c r="H829" s="61">
        <v>2.76</v>
      </c>
      <c r="I829" s="61">
        <v>4.97</v>
      </c>
      <c r="J829" s="47">
        <f t="shared" si="60"/>
        <v>-0.77</v>
      </c>
      <c r="K829" s="47">
        <f t="shared" si="61"/>
        <v>0.80072463768115942</v>
      </c>
      <c r="L829" s="8">
        <v>8.36</v>
      </c>
      <c r="M829" s="8">
        <v>60.8</v>
      </c>
      <c r="N829" s="8">
        <v>35.75</v>
      </c>
      <c r="O829" s="17">
        <f t="shared" si="62"/>
        <v>-0.78961038961038954</v>
      </c>
      <c r="P829" s="17">
        <f t="shared" si="63"/>
        <v>0.44647058823529412</v>
      </c>
      <c r="Q829" s="17">
        <v>21.25</v>
      </c>
      <c r="R829" s="9">
        <v>20220728</v>
      </c>
      <c r="S829" s="9">
        <v>6.88</v>
      </c>
      <c r="T829" s="9">
        <v>7.11</v>
      </c>
      <c r="U829" s="9">
        <v>1753</v>
      </c>
      <c r="V829" s="45">
        <f t="shared" si="64"/>
        <v>-0.99594409583571031</v>
      </c>
      <c r="W829" s="12">
        <v>8.77</v>
      </c>
      <c r="X829" s="12">
        <v>0</v>
      </c>
      <c r="Y829" s="62"/>
    </row>
    <row r="830" spans="1:25" x14ac:dyDescent="0.2">
      <c r="A830" s="3" t="s">
        <v>3134</v>
      </c>
      <c r="B830" s="3" t="s">
        <v>1003</v>
      </c>
      <c r="C830" s="6" t="s">
        <v>354</v>
      </c>
      <c r="D830" s="6" t="s">
        <v>125</v>
      </c>
      <c r="E830" s="6" t="s">
        <v>119</v>
      </c>
      <c r="F830" s="6">
        <v>6681.31</v>
      </c>
      <c r="G830" s="2">
        <v>7</v>
      </c>
      <c r="H830" s="61">
        <v>0.4</v>
      </c>
      <c r="I830" s="61">
        <v>-0.53</v>
      </c>
      <c r="J830" s="47">
        <f t="shared" si="60"/>
        <v>-0.94285714285714284</v>
      </c>
      <c r="K830" s="47">
        <f t="shared" si="61"/>
        <v>-2.3250000000000002</v>
      </c>
      <c r="L830" s="8">
        <v>-0.13</v>
      </c>
      <c r="O830" s="17">
        <f t="shared" si="62"/>
        <v>0</v>
      </c>
      <c r="P830" s="17">
        <f t="shared" si="63"/>
        <v>0</v>
      </c>
      <c r="Q830" s="17"/>
      <c r="R830" s="9">
        <v>20220607</v>
      </c>
      <c r="S830" s="9">
        <v>-6.5</v>
      </c>
      <c r="T830" s="9">
        <v>8.6</v>
      </c>
      <c r="U830" s="9">
        <v>786.07299</v>
      </c>
      <c r="V830" s="45">
        <f t="shared" si="64"/>
        <v>-0.98905954013252639</v>
      </c>
      <c r="W830" s="12">
        <v>45.45</v>
      </c>
      <c r="X830" s="12">
        <v>0</v>
      </c>
      <c r="Y830" s="62"/>
    </row>
    <row r="831" spans="1:25" x14ac:dyDescent="0.2">
      <c r="A831" s="3" t="s">
        <v>3135</v>
      </c>
      <c r="B831" s="3" t="s">
        <v>1004</v>
      </c>
      <c r="C831" s="6" t="s">
        <v>354</v>
      </c>
      <c r="D831" s="6" t="s">
        <v>162</v>
      </c>
      <c r="E831" s="6" t="s">
        <v>201</v>
      </c>
      <c r="F831" s="6">
        <v>24397.47</v>
      </c>
      <c r="G831" s="2">
        <v>12</v>
      </c>
      <c r="H831" s="61">
        <v>19.600000000000001</v>
      </c>
      <c r="I831" s="61">
        <v>26.04</v>
      </c>
      <c r="J831" s="47">
        <f t="shared" si="60"/>
        <v>0.63333333333333341</v>
      </c>
      <c r="K831" s="47">
        <f t="shared" si="61"/>
        <v>0.32857142857142846</v>
      </c>
      <c r="L831" s="8">
        <v>28.95</v>
      </c>
      <c r="M831" s="8">
        <v>21.28</v>
      </c>
      <c r="N831" s="8">
        <v>18.329999999999998</v>
      </c>
      <c r="O831" s="17">
        <f t="shared" si="62"/>
        <v>0.33599999999999997</v>
      </c>
      <c r="P831" s="17">
        <f t="shared" si="63"/>
        <v>0.55786956521739139</v>
      </c>
      <c r="Q831" s="17">
        <v>16.489999999999998</v>
      </c>
      <c r="R831" s="9">
        <v>20220729</v>
      </c>
      <c r="S831" s="9">
        <v>53.07</v>
      </c>
      <c r="T831" s="9">
        <v>4.99</v>
      </c>
      <c r="U831" s="9">
        <v>14768.83007</v>
      </c>
      <c r="V831" s="45">
        <f t="shared" si="64"/>
        <v>-0.99966212624992312</v>
      </c>
      <c r="W831" s="12">
        <v>14.77</v>
      </c>
      <c r="X831" s="12">
        <v>1.44</v>
      </c>
      <c r="Y831" s="62">
        <v>1.41</v>
      </c>
    </row>
    <row r="832" spans="1:25" x14ac:dyDescent="0.2">
      <c r="A832" s="3" t="s">
        <v>3136</v>
      </c>
      <c r="B832" s="3" t="s">
        <v>3137</v>
      </c>
      <c r="C832" s="6" t="s">
        <v>354</v>
      </c>
      <c r="D832" s="6" t="s">
        <v>910</v>
      </c>
      <c r="E832" s="6" t="s">
        <v>237</v>
      </c>
      <c r="F832" s="6">
        <v>6162.04</v>
      </c>
      <c r="G832" s="2">
        <v>12</v>
      </c>
      <c r="H832" s="61">
        <v>1.93</v>
      </c>
      <c r="I832" s="61">
        <v>2.81</v>
      </c>
      <c r="J832" s="47">
        <f t="shared" si="60"/>
        <v>-0.83916666666666673</v>
      </c>
      <c r="K832" s="47">
        <f t="shared" si="61"/>
        <v>0.45595854922279799</v>
      </c>
      <c r="L832" s="8">
        <v>3.15</v>
      </c>
      <c r="M832" s="8">
        <v>27.1</v>
      </c>
      <c r="N832" s="8">
        <v>19.059999999999999</v>
      </c>
      <c r="O832" s="17">
        <f t="shared" si="62"/>
        <v>-0.32293942403177756</v>
      </c>
      <c r="P832" s="17">
        <f t="shared" si="63"/>
        <v>0.41802045454545445</v>
      </c>
      <c r="Q832" s="17">
        <v>17.02</v>
      </c>
      <c r="R832" s="9">
        <v>20220808</v>
      </c>
      <c r="S832" s="9">
        <v>9.11</v>
      </c>
      <c r="U832" s="9">
        <v>8704.6347600000008</v>
      </c>
      <c r="V832" s="45">
        <f t="shared" si="64"/>
        <v>-1</v>
      </c>
      <c r="W832" s="12">
        <v>9.26</v>
      </c>
      <c r="X832" s="12">
        <v>0</v>
      </c>
      <c r="Y832" s="62">
        <v>1.59</v>
      </c>
    </row>
    <row r="833" spans="1:25" x14ac:dyDescent="0.2">
      <c r="A833" s="3" t="s">
        <v>3138</v>
      </c>
      <c r="B833" s="3" t="s">
        <v>1005</v>
      </c>
      <c r="C833" s="6" t="s">
        <v>354</v>
      </c>
      <c r="D833" s="6" t="s">
        <v>160</v>
      </c>
      <c r="E833" s="6" t="s">
        <v>146</v>
      </c>
      <c r="F833" s="6">
        <v>9519.42</v>
      </c>
      <c r="G833" s="2">
        <v>12</v>
      </c>
      <c r="H833" s="61">
        <v>-2.46</v>
      </c>
      <c r="I833" s="61">
        <v>-0.19</v>
      </c>
      <c r="J833" s="47">
        <f t="shared" si="60"/>
        <v>-1.2050000000000001</v>
      </c>
      <c r="K833" s="47">
        <f t="shared" si="61"/>
        <v>0.92276422764227639</v>
      </c>
      <c r="L833" s="8">
        <v>1.54</v>
      </c>
      <c r="O833" s="17">
        <f t="shared" si="62"/>
        <v>0</v>
      </c>
      <c r="P833" s="17">
        <f t="shared" si="63"/>
        <v>0</v>
      </c>
      <c r="Q833" s="17">
        <v>56.04</v>
      </c>
      <c r="R833" s="9">
        <v>20220802</v>
      </c>
      <c r="S833" s="9">
        <v>-6.42</v>
      </c>
      <c r="T833" s="9">
        <v>-15.19</v>
      </c>
      <c r="U833" s="9">
        <v>5215.8549800000001</v>
      </c>
      <c r="V833" s="45">
        <f t="shared" si="64"/>
        <v>-1.0029122742212437</v>
      </c>
      <c r="W833" s="12">
        <v>19.510000000000002</v>
      </c>
      <c r="X833" s="12">
        <v>0</v>
      </c>
      <c r="Y833" s="62"/>
    </row>
    <row r="834" spans="1:25" x14ac:dyDescent="0.2">
      <c r="A834" s="3" t="s">
        <v>3139</v>
      </c>
      <c r="B834" s="3" t="s">
        <v>3140</v>
      </c>
      <c r="C834" s="6" t="s">
        <v>354</v>
      </c>
      <c r="D834" s="6" t="s">
        <v>193</v>
      </c>
      <c r="E834" s="6" t="s">
        <v>208</v>
      </c>
      <c r="F834" s="6">
        <v>3193.03</v>
      </c>
      <c r="G834" s="2">
        <v>3</v>
      </c>
      <c r="H834" s="61">
        <v>2.5299999999999998</v>
      </c>
      <c r="I834" s="61">
        <v>2.72</v>
      </c>
      <c r="J834" s="47">
        <f t="shared" si="60"/>
        <v>-0.15666666666666673</v>
      </c>
      <c r="K834" s="47">
        <f t="shared" si="61"/>
        <v>7.5098814229249175E-2</v>
      </c>
      <c r="L834" s="8">
        <v>2.98</v>
      </c>
      <c r="M834" s="8">
        <v>24.04</v>
      </c>
      <c r="N834" s="8">
        <v>22.92</v>
      </c>
      <c r="O834" s="17">
        <f t="shared" si="62"/>
        <v>-1.5344680851063823</v>
      </c>
      <c r="P834" s="17">
        <f t="shared" si="63"/>
        <v>3.0519789473684149</v>
      </c>
      <c r="Q834" s="17">
        <v>20.87</v>
      </c>
      <c r="R834" s="9">
        <v>20220810</v>
      </c>
      <c r="S834" s="9">
        <v>18.57</v>
      </c>
      <c r="T834" s="9">
        <v>0.67</v>
      </c>
      <c r="U834" s="9">
        <v>1057.19299</v>
      </c>
      <c r="V834" s="45">
        <f t="shared" si="64"/>
        <v>-0.99936624627070214</v>
      </c>
      <c r="W834" s="12">
        <v>8.33</v>
      </c>
      <c r="X834" s="12">
        <v>0</v>
      </c>
      <c r="Y834" s="62">
        <v>2.29</v>
      </c>
    </row>
    <row r="835" spans="1:25" x14ac:dyDescent="0.2">
      <c r="A835" s="3" t="s">
        <v>3141</v>
      </c>
      <c r="B835" s="3" t="s">
        <v>1006</v>
      </c>
      <c r="C835" s="6" t="s">
        <v>354</v>
      </c>
      <c r="D835" s="6" t="s">
        <v>529</v>
      </c>
      <c r="E835" s="6" t="s">
        <v>218</v>
      </c>
      <c r="F835" s="6">
        <v>36223.35</v>
      </c>
      <c r="G835" s="2">
        <v>12</v>
      </c>
      <c r="H835" s="61">
        <v>1.07</v>
      </c>
      <c r="I835" s="61">
        <v>1.91</v>
      </c>
      <c r="J835" s="47">
        <f t="shared" ref="J835:J898" si="65">(H835-G835)/ABS(G835)</f>
        <v>-0.91083333333333327</v>
      </c>
      <c r="K835" s="47">
        <f t="shared" ref="K835:K898" si="66">(I835-H835)/ABS(H835)</f>
        <v>0.78504672897196248</v>
      </c>
      <c r="L835" s="8">
        <v>2.73</v>
      </c>
      <c r="M835" s="8">
        <v>32.130000000000003</v>
      </c>
      <c r="N835" s="8">
        <v>20.98</v>
      </c>
      <c r="O835" s="17">
        <f t="shared" ref="O835:O898" si="67">M835/(J835*100)</f>
        <v>-0.3527538883806039</v>
      </c>
      <c r="P835" s="17">
        <f t="shared" ref="P835:P898" si="68">N835/(K835*100)</f>
        <v>0.26724523809523815</v>
      </c>
      <c r="Q835" s="17">
        <v>14.7</v>
      </c>
      <c r="R835" s="9">
        <v>20220719</v>
      </c>
      <c r="S835" s="9">
        <v>17.829999999999998</v>
      </c>
      <c r="T835" s="9">
        <v>-9.1199999999999992</v>
      </c>
      <c r="U835" s="9">
        <v>19185.621090000001</v>
      </c>
      <c r="V835" s="45">
        <f t="shared" ref="V835:V898" si="69">(T835-U835)/U835</f>
        <v>-1.0004753559948472</v>
      </c>
      <c r="W835" s="12">
        <v>0</v>
      </c>
      <c r="X835" s="12">
        <v>1.2</v>
      </c>
      <c r="Y835" s="62"/>
    </row>
    <row r="836" spans="1:25" x14ac:dyDescent="0.2">
      <c r="A836" s="3" t="s">
        <v>3142</v>
      </c>
      <c r="B836" s="3" t="s">
        <v>1007</v>
      </c>
      <c r="C836" s="6" t="s">
        <v>355</v>
      </c>
      <c r="D836" s="6" t="s">
        <v>185</v>
      </c>
      <c r="E836" s="6" t="s">
        <v>208</v>
      </c>
      <c r="F836" s="6">
        <v>6428.46</v>
      </c>
      <c r="G836" s="2">
        <v>12</v>
      </c>
      <c r="H836" s="61">
        <v>1.97</v>
      </c>
      <c r="I836" s="61">
        <v>2.2000000000000002</v>
      </c>
      <c r="J836" s="47">
        <f t="shared" si="65"/>
        <v>-0.83583333333333332</v>
      </c>
      <c r="K836" s="47">
        <f t="shared" si="66"/>
        <v>0.1167512690355331</v>
      </c>
      <c r="L836" s="8">
        <v>3.26</v>
      </c>
      <c r="M836" s="8">
        <v>22.19</v>
      </c>
      <c r="N836" s="8">
        <v>21.13</v>
      </c>
      <c r="O836" s="17">
        <f t="shared" si="67"/>
        <v>-0.26548354935194418</v>
      </c>
      <c r="P836" s="17">
        <f t="shared" si="68"/>
        <v>1.8098304347826071</v>
      </c>
      <c r="Q836" s="17">
        <v>14.29</v>
      </c>
      <c r="R836" s="9">
        <v>20220808</v>
      </c>
      <c r="S836" s="9">
        <v>132.71</v>
      </c>
      <c r="T836" s="9">
        <v>16.670000000000002</v>
      </c>
      <c r="U836" s="9">
        <v>593.26300000000003</v>
      </c>
      <c r="V836" s="45">
        <f t="shared" si="69"/>
        <v>-0.97190116356489453</v>
      </c>
      <c r="W836" s="12">
        <v>-2.08</v>
      </c>
      <c r="X836" s="12">
        <v>0</v>
      </c>
      <c r="Y836" s="62">
        <v>0.68</v>
      </c>
    </row>
    <row r="837" spans="1:25" x14ac:dyDescent="0.2">
      <c r="A837" s="3" t="s">
        <v>3143</v>
      </c>
      <c r="B837" s="3" t="s">
        <v>1008</v>
      </c>
      <c r="C837" s="6" t="s">
        <v>355</v>
      </c>
      <c r="D837" s="6" t="s">
        <v>234</v>
      </c>
      <c r="E837" s="6" t="s">
        <v>146</v>
      </c>
      <c r="F837" s="6">
        <v>11990.65</v>
      </c>
      <c r="G837" s="2">
        <v>12</v>
      </c>
      <c r="H837" s="61">
        <v>4.9000000000000004</v>
      </c>
      <c r="I837" s="61">
        <v>5.22</v>
      </c>
      <c r="J837" s="47">
        <f t="shared" si="65"/>
        <v>-0.59166666666666667</v>
      </c>
      <c r="K837" s="47">
        <f t="shared" si="66"/>
        <v>6.5306122448979459E-2</v>
      </c>
      <c r="L837" s="8">
        <v>5.85</v>
      </c>
      <c r="M837" s="8">
        <v>17.95</v>
      </c>
      <c r="N837" s="8">
        <v>16.47</v>
      </c>
      <c r="O837" s="17">
        <f t="shared" si="67"/>
        <v>-0.30338028169014086</v>
      </c>
      <c r="P837" s="17">
        <f t="shared" si="68"/>
        <v>2.521968750000005</v>
      </c>
      <c r="Q837" s="17">
        <v>14.7</v>
      </c>
      <c r="R837" s="9">
        <v>20220725</v>
      </c>
      <c r="S837" s="9">
        <v>21.98</v>
      </c>
      <c r="T837" s="9">
        <v>4.93</v>
      </c>
      <c r="U837" s="9">
        <v>6616.1137600000002</v>
      </c>
      <c r="V837" s="45">
        <f t="shared" si="69"/>
        <v>-0.99925484957199406</v>
      </c>
      <c r="W837" s="12">
        <v>-14.93</v>
      </c>
      <c r="X837" s="12">
        <v>3.26</v>
      </c>
      <c r="Y837" s="62"/>
    </row>
    <row r="838" spans="1:25" x14ac:dyDescent="0.2">
      <c r="A838" s="3" t="s">
        <v>3144</v>
      </c>
      <c r="B838" s="3" t="s">
        <v>1009</v>
      </c>
      <c r="C838" s="6" t="s">
        <v>354</v>
      </c>
      <c r="D838" s="6" t="s">
        <v>214</v>
      </c>
      <c r="E838" s="6" t="s">
        <v>163</v>
      </c>
      <c r="F838" s="6">
        <v>3382.18</v>
      </c>
      <c r="G838" s="2">
        <v>12</v>
      </c>
      <c r="H838" s="61">
        <v>1.82</v>
      </c>
      <c r="I838" s="61">
        <v>1.98</v>
      </c>
      <c r="J838" s="47">
        <f t="shared" si="65"/>
        <v>-0.84833333333333327</v>
      </c>
      <c r="K838" s="47">
        <f t="shared" si="66"/>
        <v>8.7912087912087863E-2</v>
      </c>
      <c r="L838" s="8">
        <v>2.1800000000000002</v>
      </c>
      <c r="M838" s="8">
        <v>19.75</v>
      </c>
      <c r="N838" s="8">
        <v>19.63</v>
      </c>
      <c r="O838" s="17">
        <f t="shared" si="67"/>
        <v>-0.23280943025540277</v>
      </c>
      <c r="P838" s="17">
        <f t="shared" si="68"/>
        <v>2.2329125000000012</v>
      </c>
      <c r="Q838" s="17">
        <v>17.82</v>
      </c>
      <c r="R838" s="9">
        <v>20220804</v>
      </c>
      <c r="S838" s="9">
        <v>10.52</v>
      </c>
      <c r="T838" s="9">
        <v>19.95</v>
      </c>
      <c r="U838" s="9">
        <v>125.00599</v>
      </c>
      <c r="V838" s="45">
        <f t="shared" si="69"/>
        <v>-0.84040764766552389</v>
      </c>
      <c r="W838" s="12">
        <v>8.33</v>
      </c>
      <c r="X838" s="12">
        <v>3.86</v>
      </c>
      <c r="Y838" s="62">
        <v>1.9</v>
      </c>
    </row>
    <row r="839" spans="1:25" x14ac:dyDescent="0.2">
      <c r="A839" s="3" t="s">
        <v>3145</v>
      </c>
      <c r="B839" s="3" t="s">
        <v>1975</v>
      </c>
      <c r="C839" s="6" t="s">
        <v>354</v>
      </c>
      <c r="D839" s="6" t="s">
        <v>522</v>
      </c>
      <c r="E839" s="6" t="s">
        <v>119</v>
      </c>
      <c r="F839" s="6">
        <v>3447.07</v>
      </c>
      <c r="G839" s="2">
        <v>12</v>
      </c>
      <c r="H839" s="61">
        <v>1.79</v>
      </c>
      <c r="I839" s="61">
        <v>1.33</v>
      </c>
      <c r="J839" s="47">
        <f t="shared" si="65"/>
        <v>-0.85083333333333344</v>
      </c>
      <c r="K839" s="47">
        <f t="shared" si="66"/>
        <v>-0.25698324022346364</v>
      </c>
      <c r="L839" s="8">
        <v>1.37</v>
      </c>
      <c r="M839" s="8">
        <v>12.68</v>
      </c>
      <c r="N839" s="8">
        <v>11.42</v>
      </c>
      <c r="O839" s="17">
        <f t="shared" si="67"/>
        <v>-0.14903036238981388</v>
      </c>
      <c r="P839" s="17">
        <f t="shared" si="68"/>
        <v>-0.44438695652173926</v>
      </c>
      <c r="Q839" s="17">
        <v>11.13</v>
      </c>
      <c r="R839" s="9">
        <v>20220801</v>
      </c>
      <c r="S839" s="9">
        <v>21.48</v>
      </c>
      <c r="U839" s="9">
        <v>1596.8000400000001</v>
      </c>
      <c r="V839" s="45">
        <f t="shared" si="69"/>
        <v>-1</v>
      </c>
      <c r="W839" s="12">
        <v>12.9</v>
      </c>
      <c r="X839" s="12">
        <v>0</v>
      </c>
      <c r="Y839" s="62">
        <v>9.2100000000000009</v>
      </c>
    </row>
    <row r="840" spans="1:25" x14ac:dyDescent="0.2">
      <c r="A840" s="3" t="s">
        <v>3146</v>
      </c>
      <c r="B840" s="3" t="s">
        <v>1011</v>
      </c>
      <c r="C840" s="6" t="s">
        <v>355</v>
      </c>
      <c r="D840" s="6" t="s">
        <v>103</v>
      </c>
      <c r="E840" s="6" t="s">
        <v>163</v>
      </c>
      <c r="F840" s="6">
        <v>19875</v>
      </c>
      <c r="G840" s="2">
        <v>12</v>
      </c>
      <c r="H840" s="61">
        <v>1.55</v>
      </c>
      <c r="I840" s="61">
        <v>1.42</v>
      </c>
      <c r="J840" s="47">
        <f t="shared" si="65"/>
        <v>-0.87083333333333324</v>
      </c>
      <c r="K840" s="47">
        <f t="shared" si="66"/>
        <v>-8.3870967741935559E-2</v>
      </c>
      <c r="L840" s="8">
        <v>1.52</v>
      </c>
      <c r="M840" s="8">
        <v>10.01</v>
      </c>
      <c r="N840" s="8">
        <v>9.75</v>
      </c>
      <c r="O840" s="17">
        <f t="shared" si="67"/>
        <v>-0.11494736842105263</v>
      </c>
      <c r="P840" s="17">
        <f t="shared" si="68"/>
        <v>-1.162499999999999</v>
      </c>
      <c r="Q840" s="17">
        <v>9.08</v>
      </c>
      <c r="R840" s="9">
        <v>20220804</v>
      </c>
      <c r="S840" s="9">
        <v>12.19</v>
      </c>
      <c r="T840" s="9">
        <v>5.01</v>
      </c>
      <c r="U840" s="9">
        <v>6749.5190400000001</v>
      </c>
      <c r="V840" s="45">
        <f t="shared" si="69"/>
        <v>-0.99925772488820175</v>
      </c>
      <c r="W840" s="12">
        <v>3.23</v>
      </c>
      <c r="X840" s="12">
        <v>4.49</v>
      </c>
      <c r="Y840" s="62"/>
    </row>
    <row r="841" spans="1:25" x14ac:dyDescent="0.2">
      <c r="A841" s="3" t="s">
        <v>3147</v>
      </c>
      <c r="B841" s="3" t="s">
        <v>1012</v>
      </c>
      <c r="C841" s="6" t="s">
        <v>354</v>
      </c>
      <c r="D841" s="6" t="s">
        <v>694</v>
      </c>
      <c r="E841" s="6" t="s">
        <v>146</v>
      </c>
      <c r="F841" s="6">
        <v>4101.6000000000004</v>
      </c>
      <c r="G841" s="2">
        <v>12</v>
      </c>
      <c r="H841" s="61">
        <v>1.83</v>
      </c>
      <c r="I841" s="61">
        <v>1.67</v>
      </c>
      <c r="J841" s="47">
        <f t="shared" si="65"/>
        <v>-0.84750000000000003</v>
      </c>
      <c r="K841" s="47">
        <f t="shared" si="66"/>
        <v>-8.7431693989071108E-2</v>
      </c>
      <c r="L841" s="8">
        <v>1.85</v>
      </c>
      <c r="M841" s="8">
        <v>6.61</v>
      </c>
      <c r="N841" s="8">
        <v>7.04</v>
      </c>
      <c r="O841" s="17">
        <f t="shared" si="67"/>
        <v>-7.7994100294985255E-2</v>
      </c>
      <c r="P841" s="17">
        <f t="shared" si="68"/>
        <v>-0.80519999999999947</v>
      </c>
      <c r="Q841" s="17">
        <v>6.36</v>
      </c>
      <c r="R841" s="9">
        <v>20220804</v>
      </c>
      <c r="S841" s="9">
        <v>93.47</v>
      </c>
      <c r="T841" s="9">
        <v>1.1399999999999999</v>
      </c>
      <c r="U841" s="9">
        <v>7027.0497999999998</v>
      </c>
      <c r="V841" s="45">
        <f t="shared" si="69"/>
        <v>-0.99983776975651995</v>
      </c>
      <c r="W841" s="12">
        <v>21.43</v>
      </c>
      <c r="X841" s="12">
        <v>5.0999999999999996</v>
      </c>
      <c r="Y841" s="62"/>
    </row>
    <row r="842" spans="1:25" x14ac:dyDescent="0.2">
      <c r="A842" s="3" t="s">
        <v>3148</v>
      </c>
      <c r="B842" s="3" t="s">
        <v>1976</v>
      </c>
      <c r="C842" s="6" t="s">
        <v>356</v>
      </c>
      <c r="D842" s="6" t="s">
        <v>1977</v>
      </c>
      <c r="E842" s="6" t="s">
        <v>218</v>
      </c>
      <c r="F842" s="6">
        <v>5053.41</v>
      </c>
      <c r="G842" s="2">
        <v>12</v>
      </c>
      <c r="H842" s="61">
        <v>0.46</v>
      </c>
      <c r="I842" s="61">
        <v>1.1000000000000001</v>
      </c>
      <c r="J842" s="47">
        <f t="shared" si="65"/>
        <v>-0.96166666666666656</v>
      </c>
      <c r="K842" s="47">
        <f t="shared" si="66"/>
        <v>1.3913043478260871</v>
      </c>
      <c r="L842" s="8">
        <v>0.6</v>
      </c>
      <c r="N842" s="8">
        <v>4.99</v>
      </c>
      <c r="O842" s="17">
        <f t="shared" si="67"/>
        <v>0</v>
      </c>
      <c r="P842" s="17">
        <f t="shared" si="68"/>
        <v>3.5865624999999998E-2</v>
      </c>
      <c r="Q842" s="17">
        <v>9.1</v>
      </c>
      <c r="U842" s="9">
        <v>4873.9501899999996</v>
      </c>
      <c r="V842" s="45">
        <f t="shared" si="69"/>
        <v>-1</v>
      </c>
      <c r="X842" s="12">
        <v>1.69</v>
      </c>
      <c r="Y842" s="62"/>
    </row>
    <row r="843" spans="1:25" x14ac:dyDescent="0.2">
      <c r="A843" s="3" t="s">
        <v>3149</v>
      </c>
      <c r="B843" s="3" t="s">
        <v>1013</v>
      </c>
      <c r="C843" s="6" t="s">
        <v>354</v>
      </c>
      <c r="D843" s="6" t="s">
        <v>190</v>
      </c>
      <c r="E843" s="6" t="s">
        <v>208</v>
      </c>
      <c r="F843" s="6">
        <v>62580.639999999999</v>
      </c>
      <c r="G843" s="2">
        <v>12</v>
      </c>
      <c r="H843" s="61">
        <v>17.84</v>
      </c>
      <c r="I843" s="61">
        <v>17.149999999999999</v>
      </c>
      <c r="J843" s="47">
        <f t="shared" si="65"/>
        <v>0.48666666666666664</v>
      </c>
      <c r="K843" s="47">
        <f t="shared" si="66"/>
        <v>-3.8677130044843119E-2</v>
      </c>
      <c r="L843" s="8">
        <v>18.97</v>
      </c>
      <c r="M843" s="8">
        <v>12.12</v>
      </c>
      <c r="N843" s="8">
        <v>12.35</v>
      </c>
      <c r="O843" s="17">
        <f t="shared" si="67"/>
        <v>0.24904109589041096</v>
      </c>
      <c r="P843" s="17">
        <f t="shared" si="68"/>
        <v>-3.1931014492753564</v>
      </c>
      <c r="Q843" s="17">
        <v>11.16</v>
      </c>
      <c r="R843" s="9">
        <v>20220719</v>
      </c>
      <c r="S843" s="9">
        <v>405.72</v>
      </c>
      <c r="T843" s="9">
        <v>6.56</v>
      </c>
      <c r="U843" s="9">
        <v>60912.367180000001</v>
      </c>
      <c r="V843" s="45">
        <f t="shared" si="69"/>
        <v>-0.99989230430036302</v>
      </c>
      <c r="W843" s="12">
        <v>-3.51</v>
      </c>
      <c r="X843" s="12">
        <v>1.06</v>
      </c>
      <c r="Y843" s="62">
        <v>1.35</v>
      </c>
    </row>
    <row r="844" spans="1:25" x14ac:dyDescent="0.2">
      <c r="A844" s="3" t="s">
        <v>3150</v>
      </c>
      <c r="B844" s="3" t="s">
        <v>1014</v>
      </c>
      <c r="C844" s="6" t="s">
        <v>356</v>
      </c>
      <c r="D844" s="6" t="s">
        <v>118</v>
      </c>
      <c r="E844" s="6" t="s">
        <v>140</v>
      </c>
      <c r="F844" s="6">
        <v>30734.86</v>
      </c>
      <c r="G844" s="2">
        <v>12</v>
      </c>
      <c r="H844" s="61">
        <v>0.84</v>
      </c>
      <c r="I844" s="61">
        <v>0.86</v>
      </c>
      <c r="J844" s="47">
        <f t="shared" si="65"/>
        <v>-0.93</v>
      </c>
      <c r="K844" s="47">
        <f t="shared" si="66"/>
        <v>2.3809523809523832E-2</v>
      </c>
      <c r="L844" s="8">
        <v>0.89</v>
      </c>
      <c r="N844" s="8">
        <v>11.67</v>
      </c>
      <c r="O844" s="17">
        <f t="shared" si="67"/>
        <v>0</v>
      </c>
      <c r="P844" s="17">
        <f t="shared" si="68"/>
        <v>4.9013999999999953</v>
      </c>
      <c r="Q844" s="17">
        <v>11.15</v>
      </c>
      <c r="U844" s="9">
        <v>28700.949209999999</v>
      </c>
      <c r="V844" s="45">
        <f t="shared" si="69"/>
        <v>-1</v>
      </c>
      <c r="X844" s="12">
        <v>3.92</v>
      </c>
      <c r="Y844" s="62">
        <v>1.46</v>
      </c>
    </row>
    <row r="845" spans="1:25" x14ac:dyDescent="0.2">
      <c r="A845" s="3" t="s">
        <v>3151</v>
      </c>
      <c r="B845" s="3" t="s">
        <v>3152</v>
      </c>
      <c r="C845" s="6" t="s">
        <v>355</v>
      </c>
      <c r="D845" s="6" t="s">
        <v>177</v>
      </c>
      <c r="E845" s="6" t="s">
        <v>119</v>
      </c>
      <c r="F845" s="6">
        <v>6218.12</v>
      </c>
      <c r="G845" s="2">
        <v>1</v>
      </c>
      <c r="H845" s="61">
        <v>-0.61</v>
      </c>
      <c r="I845" s="61">
        <v>-1.28</v>
      </c>
      <c r="J845" s="47">
        <f t="shared" si="65"/>
        <v>-1.6099999999999999</v>
      </c>
      <c r="K845" s="47">
        <f t="shared" si="66"/>
        <v>-1.098360655737705</v>
      </c>
      <c r="L845" s="8">
        <v>-1.39</v>
      </c>
      <c r="O845" s="17">
        <f t="shared" si="67"/>
        <v>0</v>
      </c>
      <c r="P845" s="17">
        <f t="shared" si="68"/>
        <v>0</v>
      </c>
      <c r="Q845" s="17"/>
      <c r="R845" s="9">
        <v>20220602</v>
      </c>
      <c r="U845" s="9">
        <v>419.69799</v>
      </c>
      <c r="V845" s="45">
        <f t="shared" si="69"/>
        <v>-1</v>
      </c>
      <c r="W845" s="12">
        <v>4</v>
      </c>
      <c r="X845" s="12">
        <v>0</v>
      </c>
      <c r="Y845" s="62"/>
    </row>
    <row r="846" spans="1:25" x14ac:dyDescent="0.2">
      <c r="A846" s="3" t="s">
        <v>3153</v>
      </c>
      <c r="B846" s="3" t="s">
        <v>1015</v>
      </c>
      <c r="C846" s="6" t="s">
        <v>354</v>
      </c>
      <c r="D846" s="6" t="s">
        <v>534</v>
      </c>
      <c r="E846" s="6" t="s">
        <v>231</v>
      </c>
      <c r="F846" s="6">
        <v>311214.46999999997</v>
      </c>
      <c r="G846" s="2">
        <v>1</v>
      </c>
      <c r="H846" s="61">
        <v>15.48</v>
      </c>
      <c r="I846" s="61">
        <v>16.47</v>
      </c>
      <c r="J846" s="47">
        <f t="shared" si="65"/>
        <v>14.48</v>
      </c>
      <c r="K846" s="47">
        <f t="shared" si="66"/>
        <v>6.3953488372092915E-2</v>
      </c>
      <c r="L846" s="8">
        <v>17.489999999999998</v>
      </c>
      <c r="M846" s="8">
        <v>19.23</v>
      </c>
      <c r="N846" s="8">
        <v>18.39</v>
      </c>
      <c r="O846" s="17">
        <f t="shared" si="67"/>
        <v>1.3280386740331492E-2</v>
      </c>
      <c r="P846" s="17">
        <f t="shared" si="68"/>
        <v>2.8755272727272776</v>
      </c>
      <c r="Q846" s="17">
        <v>17.32</v>
      </c>
      <c r="R846" s="9">
        <v>20220816</v>
      </c>
      <c r="S846" s="9">
        <v>-21952.16</v>
      </c>
      <c r="T846" s="9">
        <v>10.37</v>
      </c>
      <c r="U846" s="9">
        <v>155665.75</v>
      </c>
      <c r="V846" s="45">
        <f t="shared" si="69"/>
        <v>-0.99993338290535971</v>
      </c>
      <c r="W846" s="12">
        <v>11.44</v>
      </c>
      <c r="X846" s="12">
        <v>2.5099999999999998</v>
      </c>
      <c r="Y846" s="62">
        <v>1.82</v>
      </c>
    </row>
    <row r="847" spans="1:25" x14ac:dyDescent="0.2">
      <c r="A847" s="3" t="s">
        <v>1016</v>
      </c>
      <c r="B847" s="3" t="s">
        <v>1017</v>
      </c>
      <c r="C847" s="6" t="s">
        <v>354</v>
      </c>
      <c r="D847" s="6" t="s">
        <v>69</v>
      </c>
      <c r="E847" s="6" t="s">
        <v>163</v>
      </c>
      <c r="F847" s="6">
        <v>104522.24000000001</v>
      </c>
      <c r="G847" s="2">
        <v>3</v>
      </c>
      <c r="H847" s="61">
        <v>2.68</v>
      </c>
      <c r="I847" s="61">
        <v>3.14</v>
      </c>
      <c r="J847" s="47">
        <f t="shared" si="65"/>
        <v>-0.10666666666666662</v>
      </c>
      <c r="K847" s="47">
        <f t="shared" si="66"/>
        <v>0.17164179104477609</v>
      </c>
      <c r="L847" s="8">
        <v>3.71</v>
      </c>
      <c r="M847" s="8">
        <v>20.68</v>
      </c>
      <c r="N847" s="8">
        <v>18.13</v>
      </c>
      <c r="O847" s="17">
        <f t="shared" si="67"/>
        <v>-1.9387500000000006</v>
      </c>
      <c r="P847" s="17">
        <f t="shared" si="68"/>
        <v>1.0562695652173915</v>
      </c>
      <c r="Q847" s="17">
        <v>15.35</v>
      </c>
      <c r="R847" s="9">
        <v>20220715</v>
      </c>
      <c r="S847" s="9">
        <v>16.329999999999998</v>
      </c>
      <c r="T847" s="9">
        <v>12.47</v>
      </c>
      <c r="U847" s="9">
        <v>15463.059569999999</v>
      </c>
      <c r="V847" s="45">
        <f t="shared" si="69"/>
        <v>-0.99919356192456299</v>
      </c>
      <c r="W847" s="12">
        <v>8.6999999999999993</v>
      </c>
      <c r="X847" s="12">
        <v>0.92</v>
      </c>
      <c r="Y847" s="62">
        <v>0.81</v>
      </c>
    </row>
    <row r="848" spans="1:25" x14ac:dyDescent="0.2">
      <c r="A848" s="3" t="s">
        <v>3154</v>
      </c>
      <c r="B848" s="3" t="s">
        <v>1018</v>
      </c>
      <c r="C848" s="6" t="s">
        <v>356</v>
      </c>
      <c r="D848" s="6" t="s">
        <v>118</v>
      </c>
      <c r="E848" s="6" t="s">
        <v>140</v>
      </c>
      <c r="F848" s="6">
        <v>11131.75</v>
      </c>
      <c r="G848" s="2">
        <v>12</v>
      </c>
      <c r="H848" s="61">
        <v>1.85</v>
      </c>
      <c r="I848" s="61">
        <v>1.73</v>
      </c>
      <c r="J848" s="47">
        <f t="shared" si="65"/>
        <v>-0.84583333333333333</v>
      </c>
      <c r="K848" s="47">
        <f t="shared" si="66"/>
        <v>-6.4864864864864924E-2</v>
      </c>
      <c r="L848" s="8">
        <v>1.93</v>
      </c>
      <c r="N848" s="8">
        <v>6.66</v>
      </c>
      <c r="O848" s="17">
        <f t="shared" si="67"/>
        <v>0</v>
      </c>
      <c r="P848" s="17">
        <f t="shared" si="68"/>
        <v>-1.0267499999999992</v>
      </c>
      <c r="Q848" s="17">
        <v>5.96</v>
      </c>
      <c r="U848" s="9">
        <v>21768.025389999999</v>
      </c>
      <c r="V848" s="45">
        <f t="shared" si="69"/>
        <v>-1</v>
      </c>
      <c r="X848" s="12">
        <v>2.83</v>
      </c>
      <c r="Y848" s="62">
        <v>0.79</v>
      </c>
    </row>
    <row r="849" spans="1:25" x14ac:dyDescent="0.2">
      <c r="A849" s="3" t="s">
        <v>3155</v>
      </c>
      <c r="B849" s="3" t="s">
        <v>1019</v>
      </c>
      <c r="C849" s="6" t="s">
        <v>354</v>
      </c>
      <c r="D849" s="6" t="s">
        <v>246</v>
      </c>
      <c r="E849" s="6" t="s">
        <v>250</v>
      </c>
      <c r="F849" s="6">
        <v>4736.1899999999996</v>
      </c>
      <c r="G849" s="2">
        <v>12</v>
      </c>
      <c r="H849" s="61">
        <v>2.2000000000000002</v>
      </c>
      <c r="I849" s="61">
        <v>2.19</v>
      </c>
      <c r="J849" s="47">
        <f t="shared" si="65"/>
        <v>-0.81666666666666676</v>
      </c>
      <c r="K849" s="47">
        <f t="shared" si="66"/>
        <v>-4.5454545454546502E-3</v>
      </c>
      <c r="L849" s="8">
        <v>2.29</v>
      </c>
      <c r="M849" s="8">
        <v>18.899999999999999</v>
      </c>
      <c r="N849" s="8">
        <v>19.760000000000002</v>
      </c>
      <c r="O849" s="17">
        <f t="shared" si="67"/>
        <v>-0.2314285714285714</v>
      </c>
      <c r="P849" s="17">
        <f t="shared" si="68"/>
        <v>-43.471999999998999</v>
      </c>
      <c r="Q849" s="17">
        <v>18.899999999999999</v>
      </c>
      <c r="R849" s="9">
        <v>20220808</v>
      </c>
      <c r="S849" s="9">
        <v>10.71</v>
      </c>
      <c r="T849" s="9">
        <v>1.47</v>
      </c>
      <c r="V849" s="45" t="e">
        <f t="shared" si="69"/>
        <v>#DIV/0!</v>
      </c>
      <c r="W849" s="12">
        <v>50</v>
      </c>
      <c r="X849" s="12">
        <v>3.23</v>
      </c>
      <c r="Y849" s="62">
        <v>6.21</v>
      </c>
    </row>
    <row r="850" spans="1:25" x14ac:dyDescent="0.2">
      <c r="A850" s="3" t="s">
        <v>3156</v>
      </c>
      <c r="B850" s="3" t="s">
        <v>1978</v>
      </c>
      <c r="C850" s="6" t="s">
        <v>356</v>
      </c>
      <c r="D850" s="6" t="s">
        <v>544</v>
      </c>
      <c r="E850" s="6" t="s">
        <v>146</v>
      </c>
      <c r="F850" s="6">
        <v>5664.18</v>
      </c>
      <c r="G850" s="2">
        <v>12</v>
      </c>
      <c r="H850" s="61">
        <v>2.16</v>
      </c>
      <c r="I850" s="61">
        <v>2.06</v>
      </c>
      <c r="J850" s="47">
        <f t="shared" si="65"/>
        <v>-0.82</v>
      </c>
      <c r="K850" s="47">
        <f t="shared" si="66"/>
        <v>-4.6296296296296335E-2</v>
      </c>
      <c r="L850" s="8">
        <v>2.3199999999999998</v>
      </c>
      <c r="N850" s="8">
        <v>11.86</v>
      </c>
      <c r="O850" s="17">
        <f t="shared" si="67"/>
        <v>0</v>
      </c>
      <c r="P850" s="17">
        <f t="shared" si="68"/>
        <v>-2.5617599999999978</v>
      </c>
      <c r="Q850" s="17">
        <v>10.5</v>
      </c>
      <c r="U850" s="9">
        <v>3458.26</v>
      </c>
      <c r="V850" s="45">
        <f t="shared" si="69"/>
        <v>-1</v>
      </c>
      <c r="X850" s="12">
        <v>4.0999999999999996</v>
      </c>
      <c r="Y850" s="62"/>
    </row>
    <row r="851" spans="1:25" x14ac:dyDescent="0.2">
      <c r="A851" s="3" t="s">
        <v>3157</v>
      </c>
      <c r="B851" s="3" t="s">
        <v>1020</v>
      </c>
      <c r="C851" s="6" t="s">
        <v>354</v>
      </c>
      <c r="D851" s="6" t="s">
        <v>24</v>
      </c>
      <c r="E851" s="6" t="s">
        <v>10</v>
      </c>
      <c r="F851" s="6">
        <v>19108.169999999998</v>
      </c>
      <c r="G851" s="2">
        <v>10</v>
      </c>
      <c r="H851" s="61">
        <v>2.16</v>
      </c>
      <c r="I851" s="61">
        <v>2.64</v>
      </c>
      <c r="J851" s="47">
        <f t="shared" si="65"/>
        <v>-0.78400000000000003</v>
      </c>
      <c r="K851" s="47">
        <f t="shared" si="66"/>
        <v>0.22222222222222221</v>
      </c>
      <c r="L851" s="8">
        <v>2.98</v>
      </c>
      <c r="M851" s="8">
        <v>57.87</v>
      </c>
      <c r="N851" s="8">
        <v>53.27</v>
      </c>
      <c r="O851" s="17">
        <f t="shared" si="67"/>
        <v>-0.73813775510204072</v>
      </c>
      <c r="P851" s="17">
        <f t="shared" si="68"/>
        <v>2.3971500000000003</v>
      </c>
      <c r="Q851" s="17">
        <v>47.19</v>
      </c>
      <c r="R851" s="9">
        <v>20220823</v>
      </c>
      <c r="S851" s="9">
        <v>14.44</v>
      </c>
      <c r="T851" s="9">
        <v>4.63</v>
      </c>
      <c r="U851" s="9">
        <v>2161.4230899999998</v>
      </c>
      <c r="V851" s="45">
        <f t="shared" si="69"/>
        <v>-0.99785789278303672</v>
      </c>
      <c r="W851" s="12">
        <v>1.64</v>
      </c>
      <c r="X851" s="12">
        <v>0.13</v>
      </c>
      <c r="Y851" s="62">
        <v>4.6500000000000004</v>
      </c>
    </row>
    <row r="852" spans="1:25" x14ac:dyDescent="0.2">
      <c r="A852" s="3" t="s">
        <v>3157</v>
      </c>
      <c r="B852" s="3" t="s">
        <v>2151</v>
      </c>
      <c r="C852" s="6" t="s">
        <v>354</v>
      </c>
      <c r="D852" s="6" t="s">
        <v>24</v>
      </c>
      <c r="E852" s="6" t="s">
        <v>10</v>
      </c>
      <c r="F852" s="6">
        <v>15659.65</v>
      </c>
      <c r="G852" s="2">
        <v>10</v>
      </c>
      <c r="H852" s="61"/>
      <c r="I852" s="61"/>
      <c r="J852" s="47">
        <f t="shared" si="65"/>
        <v>-1</v>
      </c>
      <c r="K852" s="47" t="e">
        <f t="shared" si="66"/>
        <v>#DIV/0!</v>
      </c>
      <c r="M852" s="8">
        <v>47.43</v>
      </c>
      <c r="O852" s="17">
        <f t="shared" si="67"/>
        <v>-0.4743</v>
      </c>
      <c r="P852" s="17" t="e">
        <f t="shared" si="68"/>
        <v>#DIV/0!</v>
      </c>
      <c r="Q852" s="17"/>
      <c r="R852" s="9">
        <v>20220823</v>
      </c>
      <c r="S852" s="9">
        <v>14.44</v>
      </c>
      <c r="T852" s="9">
        <v>4.63</v>
      </c>
      <c r="V852" s="45" t="e">
        <f t="shared" si="69"/>
        <v>#DIV/0!</v>
      </c>
      <c r="X852" s="12">
        <v>0.16</v>
      </c>
      <c r="Y852" s="62"/>
    </row>
    <row r="853" spans="1:25" x14ac:dyDescent="0.2">
      <c r="A853" s="3" t="s">
        <v>3158</v>
      </c>
      <c r="B853" s="3" t="s">
        <v>1979</v>
      </c>
      <c r="C853" s="6" t="s">
        <v>356</v>
      </c>
      <c r="D853" s="6" t="s">
        <v>116</v>
      </c>
      <c r="E853" s="6" t="s">
        <v>154</v>
      </c>
      <c r="F853" s="6">
        <v>56839.94</v>
      </c>
      <c r="G853" s="2">
        <v>12</v>
      </c>
      <c r="H853" s="61">
        <v>1.96</v>
      </c>
      <c r="I853" s="61">
        <v>2.46</v>
      </c>
      <c r="J853" s="47">
        <f t="shared" si="65"/>
        <v>-0.83666666666666656</v>
      </c>
      <c r="K853" s="47">
        <f t="shared" si="66"/>
        <v>0.25510204081632654</v>
      </c>
      <c r="L853" s="8">
        <v>2.76</v>
      </c>
      <c r="N853" s="8">
        <v>20.079999999999998</v>
      </c>
      <c r="O853" s="17">
        <f t="shared" si="67"/>
        <v>0</v>
      </c>
      <c r="P853" s="17">
        <f t="shared" si="68"/>
        <v>0.78713599999999995</v>
      </c>
      <c r="Q853" s="17">
        <v>17.899999999999999</v>
      </c>
      <c r="U853" s="9">
        <v>27936.490229999999</v>
      </c>
      <c r="V853" s="45">
        <f t="shared" si="69"/>
        <v>-1</v>
      </c>
      <c r="X853" s="12">
        <v>1.66</v>
      </c>
      <c r="Y853" s="62">
        <v>1.41</v>
      </c>
    </row>
    <row r="854" spans="1:25" x14ac:dyDescent="0.2">
      <c r="A854" s="3" t="s">
        <v>3159</v>
      </c>
      <c r="B854" s="3" t="s">
        <v>1021</v>
      </c>
      <c r="C854" s="6" t="s">
        <v>355</v>
      </c>
      <c r="D854" s="6" t="s">
        <v>700</v>
      </c>
      <c r="E854" s="6" t="s">
        <v>154</v>
      </c>
      <c r="F854" s="6">
        <v>4351.8500000000004</v>
      </c>
      <c r="G854" s="2">
        <v>2</v>
      </c>
      <c r="H854" s="61">
        <v>11.75</v>
      </c>
      <c r="I854" s="61">
        <v>12.89</v>
      </c>
      <c r="J854" s="47">
        <f t="shared" si="65"/>
        <v>4.875</v>
      </c>
      <c r="K854" s="47">
        <f t="shared" si="66"/>
        <v>9.7021276595744735E-2</v>
      </c>
      <c r="L854" s="8">
        <v>13.89</v>
      </c>
      <c r="M854" s="8">
        <v>14.77</v>
      </c>
      <c r="N854" s="8">
        <v>14.16</v>
      </c>
      <c r="O854" s="17">
        <f t="shared" si="67"/>
        <v>3.0297435897435897E-2</v>
      </c>
      <c r="P854" s="17">
        <f t="shared" si="68"/>
        <v>1.4594736842105254</v>
      </c>
      <c r="Q854" s="17">
        <v>13.14</v>
      </c>
      <c r="R854" s="9">
        <v>20220714</v>
      </c>
      <c r="S854" s="9">
        <v>20.95</v>
      </c>
      <c r="T854" s="9">
        <v>9.09</v>
      </c>
      <c r="U854" s="9">
        <v>2383.7739200000001</v>
      </c>
      <c r="V854" s="45">
        <f t="shared" si="69"/>
        <v>-0.99618671891502186</v>
      </c>
      <c r="W854" s="12">
        <v>23.04</v>
      </c>
      <c r="X854" s="12">
        <v>0</v>
      </c>
      <c r="Y854" s="62">
        <v>1.77</v>
      </c>
    </row>
    <row r="855" spans="1:25" x14ac:dyDescent="0.2">
      <c r="A855" s="3" t="s">
        <v>3160</v>
      </c>
      <c r="B855" s="3" t="s">
        <v>1022</v>
      </c>
      <c r="C855" s="6" t="s">
        <v>354</v>
      </c>
      <c r="D855" s="6" t="s">
        <v>205</v>
      </c>
      <c r="E855" s="6" t="s">
        <v>218</v>
      </c>
      <c r="F855" s="6">
        <v>37560.050000000003</v>
      </c>
      <c r="G855" s="2">
        <v>12</v>
      </c>
      <c r="H855" s="61">
        <v>2.1</v>
      </c>
      <c r="I855" s="61">
        <v>9.0500000000000007</v>
      </c>
      <c r="J855" s="47">
        <f t="shared" si="65"/>
        <v>-0.82500000000000007</v>
      </c>
      <c r="K855" s="47">
        <f t="shared" si="66"/>
        <v>3.3095238095238098</v>
      </c>
      <c r="L855" s="8">
        <v>12.57</v>
      </c>
      <c r="M855" s="8">
        <v>45.19</v>
      </c>
      <c r="N855" s="8">
        <v>13.34</v>
      </c>
      <c r="O855" s="17">
        <f t="shared" si="67"/>
        <v>-0.54775757575757578</v>
      </c>
      <c r="P855" s="17">
        <f t="shared" si="68"/>
        <v>4.0307913669064749E-2</v>
      </c>
      <c r="Q855" s="17">
        <v>9.6</v>
      </c>
      <c r="R855" s="9">
        <v>20220727</v>
      </c>
      <c r="S855" s="9">
        <v>12.35</v>
      </c>
      <c r="T855" s="9">
        <v>3.72</v>
      </c>
      <c r="U855" s="9">
        <v>11156.87011</v>
      </c>
      <c r="V855" s="45">
        <f t="shared" si="69"/>
        <v>-0.99966657315507645</v>
      </c>
      <c r="W855" s="12">
        <v>16.07</v>
      </c>
      <c r="X855" s="12">
        <v>1.24</v>
      </c>
      <c r="Y855" s="62"/>
    </row>
    <row r="856" spans="1:25" x14ac:dyDescent="0.2">
      <c r="A856" s="3" t="s">
        <v>3161</v>
      </c>
      <c r="B856" s="3" t="s">
        <v>2152</v>
      </c>
      <c r="C856" s="6" t="s">
        <v>356</v>
      </c>
      <c r="D856" s="6" t="s">
        <v>246</v>
      </c>
      <c r="E856" s="6" t="s">
        <v>250</v>
      </c>
      <c r="F856" s="6">
        <v>14201.38</v>
      </c>
      <c r="G856" s="2">
        <v>12</v>
      </c>
      <c r="H856" s="61"/>
      <c r="I856" s="61"/>
      <c r="J856" s="47">
        <f t="shared" si="65"/>
        <v>-1</v>
      </c>
      <c r="K856" s="47" t="e">
        <f t="shared" si="66"/>
        <v>#DIV/0!</v>
      </c>
      <c r="O856" s="17">
        <f t="shared" si="67"/>
        <v>0</v>
      </c>
      <c r="P856" s="17" t="e">
        <f t="shared" si="68"/>
        <v>#DIV/0!</v>
      </c>
      <c r="Q856" s="17"/>
      <c r="V856" s="45" t="e">
        <f t="shared" si="69"/>
        <v>#DIV/0!</v>
      </c>
      <c r="X856" s="12">
        <v>7.24</v>
      </c>
      <c r="Y856" s="62"/>
    </row>
    <row r="857" spans="1:25" x14ac:dyDescent="0.2">
      <c r="A857" s="3" t="s">
        <v>3162</v>
      </c>
      <c r="B857" s="3" t="s">
        <v>3163</v>
      </c>
      <c r="C857" s="6" t="s">
        <v>354</v>
      </c>
      <c r="D857" s="6" t="s">
        <v>67</v>
      </c>
      <c r="E857" s="6" t="s">
        <v>231</v>
      </c>
      <c r="F857" s="6">
        <v>3635</v>
      </c>
      <c r="G857" s="2">
        <v>12</v>
      </c>
      <c r="H857" s="61"/>
      <c r="I857" s="61"/>
      <c r="J857" s="47">
        <f t="shared" si="65"/>
        <v>-1</v>
      </c>
      <c r="K857" s="47" t="e">
        <f t="shared" si="66"/>
        <v>#DIV/0!</v>
      </c>
      <c r="O857" s="17">
        <f t="shared" si="67"/>
        <v>0</v>
      </c>
      <c r="P857" s="17" t="e">
        <f t="shared" si="68"/>
        <v>#DIV/0!</v>
      </c>
      <c r="Q857" s="17"/>
      <c r="R857" s="9">
        <v>20220808</v>
      </c>
      <c r="V857" s="45" t="e">
        <f t="shared" si="69"/>
        <v>#DIV/0!</v>
      </c>
      <c r="X857" s="12">
        <v>0</v>
      </c>
      <c r="Y857" s="62"/>
    </row>
    <row r="858" spans="1:25" x14ac:dyDescent="0.2">
      <c r="A858" s="3" t="s">
        <v>3164</v>
      </c>
      <c r="B858" s="3" t="s">
        <v>1868</v>
      </c>
      <c r="C858" s="6" t="s">
        <v>354</v>
      </c>
      <c r="D858" s="6" t="s">
        <v>160</v>
      </c>
      <c r="E858" s="6" t="s">
        <v>146</v>
      </c>
      <c r="F858" s="6">
        <v>5423.66</v>
      </c>
      <c r="G858" s="2">
        <v>12</v>
      </c>
      <c r="H858" s="61">
        <v>1.37</v>
      </c>
      <c r="I858" s="61">
        <v>3.11</v>
      </c>
      <c r="J858" s="47">
        <f t="shared" si="65"/>
        <v>-0.88583333333333325</v>
      </c>
      <c r="K858" s="47">
        <f t="shared" si="66"/>
        <v>1.2700729927007297</v>
      </c>
      <c r="L858" s="8">
        <v>4.18</v>
      </c>
      <c r="M858" s="8">
        <v>20.69</v>
      </c>
      <c r="N858" s="8">
        <v>14.5</v>
      </c>
      <c r="O858" s="17">
        <f t="shared" si="67"/>
        <v>-0.23356538099717783</v>
      </c>
      <c r="P858" s="17">
        <f t="shared" si="68"/>
        <v>0.11416666666666668</v>
      </c>
      <c r="Q858" s="17">
        <v>10.79</v>
      </c>
      <c r="R858" s="9">
        <v>20220804</v>
      </c>
      <c r="S858" s="9">
        <v>15.83</v>
      </c>
      <c r="T858" s="9">
        <v>-3.74</v>
      </c>
      <c r="U858" s="9">
        <v>3610.4499500000002</v>
      </c>
      <c r="V858" s="45">
        <f t="shared" si="69"/>
        <v>-1.0010358819681187</v>
      </c>
      <c r="W858" s="12">
        <v>-22.22</v>
      </c>
      <c r="X858" s="12">
        <v>0</v>
      </c>
      <c r="Y858" s="62"/>
    </row>
    <row r="859" spans="1:25" x14ac:dyDescent="0.2">
      <c r="A859" s="3" t="s">
        <v>3165</v>
      </c>
      <c r="B859" s="3" t="s">
        <v>1023</v>
      </c>
      <c r="C859" s="6" t="s">
        <v>354</v>
      </c>
      <c r="D859" s="6" t="s">
        <v>357</v>
      </c>
      <c r="E859" s="6" t="s">
        <v>163</v>
      </c>
      <c r="F859" s="6">
        <v>4324.88</v>
      </c>
      <c r="G859" s="2">
        <v>12</v>
      </c>
      <c r="H859" s="61">
        <v>0.75</v>
      </c>
      <c r="I859" s="61">
        <v>1.54</v>
      </c>
      <c r="J859" s="47">
        <f t="shared" si="65"/>
        <v>-0.9375</v>
      </c>
      <c r="K859" s="47">
        <f t="shared" si="66"/>
        <v>1.0533333333333335</v>
      </c>
      <c r="L859" s="8">
        <v>-0.05</v>
      </c>
      <c r="M859" s="8">
        <v>36.78</v>
      </c>
      <c r="N859" s="8">
        <v>54.69</v>
      </c>
      <c r="O859" s="17">
        <f t="shared" si="67"/>
        <v>-0.39232</v>
      </c>
      <c r="P859" s="17">
        <f t="shared" si="68"/>
        <v>0.51920886075949357</v>
      </c>
      <c r="Q859" s="17"/>
      <c r="R859" s="9">
        <v>20220803</v>
      </c>
      <c r="S859" s="9">
        <v>3.42</v>
      </c>
      <c r="T859" s="9">
        <v>-2.16</v>
      </c>
      <c r="U859" s="9">
        <v>1321.72497</v>
      </c>
      <c r="V859" s="45">
        <f t="shared" si="69"/>
        <v>-1.0016342280345965</v>
      </c>
      <c r="W859" s="12">
        <v>106.9</v>
      </c>
      <c r="X859" s="12">
        <v>0</v>
      </c>
      <c r="Y859" s="62"/>
    </row>
    <row r="860" spans="1:25" x14ac:dyDescent="0.2">
      <c r="A860" s="3" t="s">
        <v>3166</v>
      </c>
      <c r="B860" s="3" t="s">
        <v>1025</v>
      </c>
      <c r="C860" s="6" t="s">
        <v>354</v>
      </c>
      <c r="D860" s="6" t="s">
        <v>172</v>
      </c>
      <c r="E860" s="6" t="s">
        <v>163</v>
      </c>
      <c r="F860" s="6">
        <v>23250.73</v>
      </c>
      <c r="G860" s="2">
        <v>12</v>
      </c>
      <c r="H860" s="61">
        <v>5.65</v>
      </c>
      <c r="I860" s="61">
        <v>6.95</v>
      </c>
      <c r="J860" s="47">
        <f t="shared" si="65"/>
        <v>-0.52916666666666667</v>
      </c>
      <c r="K860" s="47">
        <f t="shared" si="66"/>
        <v>0.23008849557522118</v>
      </c>
      <c r="L860" s="8">
        <v>8.1300000000000008</v>
      </c>
      <c r="M860" s="8">
        <v>9.7200000000000006</v>
      </c>
      <c r="N860" s="8">
        <v>10.17</v>
      </c>
      <c r="O860" s="17">
        <f t="shared" si="67"/>
        <v>-0.18368503937007877</v>
      </c>
      <c r="P860" s="17">
        <f t="shared" si="68"/>
        <v>0.44200384615384625</v>
      </c>
      <c r="Q860" s="17">
        <v>8.69</v>
      </c>
      <c r="R860" s="9">
        <v>20220727</v>
      </c>
      <c r="S860" s="9">
        <v>14.84</v>
      </c>
      <c r="T860" s="9">
        <v>4.29</v>
      </c>
      <c r="U860" s="9">
        <v>14856</v>
      </c>
      <c r="V860" s="45">
        <f t="shared" si="69"/>
        <v>-0.99971122778675281</v>
      </c>
      <c r="W860" s="12">
        <v>6.41</v>
      </c>
      <c r="X860" s="12">
        <v>2.1800000000000002</v>
      </c>
      <c r="Y860" s="62">
        <v>1.45</v>
      </c>
    </row>
    <row r="861" spans="1:25" x14ac:dyDescent="0.2">
      <c r="A861" s="3" t="s">
        <v>3167</v>
      </c>
      <c r="B861" s="3" t="s">
        <v>1026</v>
      </c>
      <c r="C861" s="6" t="s">
        <v>354</v>
      </c>
      <c r="D861" s="6" t="s">
        <v>16</v>
      </c>
      <c r="E861" s="6" t="s">
        <v>10</v>
      </c>
      <c r="F861" s="6">
        <v>8469.98</v>
      </c>
      <c r="G861" s="2">
        <v>12</v>
      </c>
      <c r="H861" s="61">
        <v>13.59</v>
      </c>
      <c r="I861" s="61">
        <v>15.72</v>
      </c>
      <c r="J861" s="47">
        <f t="shared" si="65"/>
        <v>0.13249999999999998</v>
      </c>
      <c r="K861" s="47">
        <f t="shared" si="66"/>
        <v>0.15673289183222963</v>
      </c>
      <c r="L861" s="8">
        <v>18.170000000000002</v>
      </c>
      <c r="M861" s="8">
        <v>15.85</v>
      </c>
      <c r="N861" s="8">
        <v>13.46</v>
      </c>
      <c r="O861" s="17">
        <f t="shared" si="67"/>
        <v>1.1962264150943398</v>
      </c>
      <c r="P861" s="17">
        <f t="shared" si="68"/>
        <v>0.85878591549295757</v>
      </c>
      <c r="Q861" s="17">
        <v>11.64</v>
      </c>
      <c r="R861" s="9">
        <v>20220804</v>
      </c>
      <c r="S861" s="9">
        <v>21.69</v>
      </c>
      <c r="T861" s="9">
        <v>6.8</v>
      </c>
      <c r="U861" s="9">
        <v>10847.230460000001</v>
      </c>
      <c r="V861" s="45">
        <f t="shared" si="69"/>
        <v>-0.9993731118717285</v>
      </c>
      <c r="W861" s="12">
        <v>5.74</v>
      </c>
      <c r="X861" s="12">
        <v>2.23</v>
      </c>
      <c r="Y861" s="62"/>
    </row>
    <row r="862" spans="1:25" x14ac:dyDescent="0.2">
      <c r="A862" s="3" t="s">
        <v>3168</v>
      </c>
      <c r="B862" s="3" t="s">
        <v>2153</v>
      </c>
      <c r="C862" s="6" t="s">
        <v>356</v>
      </c>
      <c r="D862" s="6" t="s">
        <v>46</v>
      </c>
      <c r="E862" s="6" t="s">
        <v>35</v>
      </c>
      <c r="F862" s="6">
        <v>3012.53</v>
      </c>
      <c r="G862" s="2">
        <v>3</v>
      </c>
      <c r="H862" s="61"/>
      <c r="I862" s="61"/>
      <c r="J862" s="47">
        <f t="shared" si="65"/>
        <v>-1</v>
      </c>
      <c r="K862" s="47" t="e">
        <f t="shared" si="66"/>
        <v>#DIV/0!</v>
      </c>
      <c r="M862" s="8">
        <v>13.11</v>
      </c>
      <c r="O862" s="17">
        <f t="shared" si="67"/>
        <v>-0.13109999999999999</v>
      </c>
      <c r="P862" s="17" t="e">
        <f t="shared" si="68"/>
        <v>#DIV/0!</v>
      </c>
      <c r="Q862" s="17"/>
      <c r="R862" s="9">
        <v>20220531</v>
      </c>
      <c r="V862" s="45" t="e">
        <f t="shared" si="69"/>
        <v>#DIV/0!</v>
      </c>
      <c r="X862" s="12">
        <v>2.64</v>
      </c>
      <c r="Y862" s="62"/>
    </row>
    <row r="863" spans="1:25" x14ac:dyDescent="0.2">
      <c r="A863" s="3" t="s">
        <v>3169</v>
      </c>
      <c r="B863" s="3" t="s">
        <v>1027</v>
      </c>
      <c r="C863" s="6" t="s">
        <v>354</v>
      </c>
      <c r="D863" s="6" t="s">
        <v>215</v>
      </c>
      <c r="E863" s="6" t="s">
        <v>163</v>
      </c>
      <c r="F863" s="6">
        <v>4052.64</v>
      </c>
      <c r="G863" s="2">
        <v>12</v>
      </c>
      <c r="H863" s="61">
        <v>3.78</v>
      </c>
      <c r="I863" s="61">
        <v>3.92</v>
      </c>
      <c r="J863" s="47">
        <f t="shared" si="65"/>
        <v>-0.68500000000000005</v>
      </c>
      <c r="K863" s="47">
        <f t="shared" si="66"/>
        <v>3.703703703703707E-2</v>
      </c>
      <c r="L863" s="8">
        <v>3.97</v>
      </c>
      <c r="M863" s="8">
        <v>9.91</v>
      </c>
      <c r="N863" s="8">
        <v>9.84</v>
      </c>
      <c r="O863" s="17">
        <f t="shared" si="67"/>
        <v>-0.14467153284671533</v>
      </c>
      <c r="P863" s="17">
        <f t="shared" si="68"/>
        <v>2.6567999999999978</v>
      </c>
      <c r="Q863" s="17">
        <v>9.7200000000000006</v>
      </c>
      <c r="R863" s="9">
        <v>20220726</v>
      </c>
      <c r="S863" s="9">
        <v>11.99</v>
      </c>
      <c r="T863" s="9">
        <v>2.11</v>
      </c>
      <c r="U863" s="9">
        <v>812.721</v>
      </c>
      <c r="V863" s="45">
        <f t="shared" si="69"/>
        <v>-0.99740378309407529</v>
      </c>
      <c r="W863" s="12">
        <v>6.19</v>
      </c>
      <c r="X863" s="12">
        <v>5.19</v>
      </c>
      <c r="Y863" s="62">
        <v>2.54</v>
      </c>
    </row>
    <row r="864" spans="1:25" x14ac:dyDescent="0.2">
      <c r="A864" s="3" t="s">
        <v>3170</v>
      </c>
      <c r="B864" s="3" t="s">
        <v>1028</v>
      </c>
      <c r="C864" s="6" t="s">
        <v>354</v>
      </c>
      <c r="D864" s="6" t="s">
        <v>151</v>
      </c>
      <c r="E864" s="6" t="s">
        <v>163</v>
      </c>
      <c r="F864" s="6">
        <v>5644.77</v>
      </c>
      <c r="G864" s="2">
        <v>3</v>
      </c>
      <c r="H864" s="61">
        <v>6.9</v>
      </c>
      <c r="I864" s="61">
        <v>5.68</v>
      </c>
      <c r="J864" s="47">
        <f t="shared" si="65"/>
        <v>1.3</v>
      </c>
      <c r="K864" s="47">
        <f t="shared" si="66"/>
        <v>-0.17681159420289863</v>
      </c>
      <c r="L864" s="8">
        <v>6.3</v>
      </c>
      <c r="M864" s="8">
        <v>11.8</v>
      </c>
      <c r="N864" s="8">
        <v>14.75</v>
      </c>
      <c r="O864" s="17">
        <f t="shared" si="67"/>
        <v>9.0769230769230769E-2</v>
      </c>
      <c r="P864" s="17">
        <f t="shared" si="68"/>
        <v>-0.83422131147540945</v>
      </c>
      <c r="Q864" s="17">
        <v>13.31</v>
      </c>
      <c r="R864" s="9">
        <v>20220802</v>
      </c>
      <c r="S864" s="9">
        <v>33.43</v>
      </c>
      <c r="T864" s="9">
        <v>19.16</v>
      </c>
      <c r="U864" s="9">
        <v>2091.46801</v>
      </c>
      <c r="V864" s="45">
        <f t="shared" si="69"/>
        <v>-0.99083897056594239</v>
      </c>
      <c r="W864" s="12">
        <v>18.18</v>
      </c>
      <c r="X864" s="12">
        <v>2.0499999999999998</v>
      </c>
      <c r="Y864" s="62"/>
    </row>
    <row r="865" spans="1:25" x14ac:dyDescent="0.2">
      <c r="A865" s="3" t="s">
        <v>3171</v>
      </c>
      <c r="B865" s="3" t="s">
        <v>1029</v>
      </c>
      <c r="C865" s="6" t="s">
        <v>356</v>
      </c>
      <c r="D865" s="6" t="s">
        <v>226</v>
      </c>
      <c r="E865" s="6" t="s">
        <v>201</v>
      </c>
      <c r="F865" s="6">
        <v>10639.41</v>
      </c>
      <c r="G865" s="2">
        <v>3</v>
      </c>
      <c r="H865" s="61">
        <v>0.85</v>
      </c>
      <c r="I865" s="61">
        <v>0.92</v>
      </c>
      <c r="J865" s="47">
        <f t="shared" si="65"/>
        <v>-0.71666666666666667</v>
      </c>
      <c r="K865" s="47">
        <f t="shared" si="66"/>
        <v>8.235294117647067E-2</v>
      </c>
      <c r="L865" s="8">
        <v>0.97</v>
      </c>
      <c r="N865" s="8">
        <v>30.46</v>
      </c>
      <c r="O865" s="17">
        <f t="shared" si="67"/>
        <v>0</v>
      </c>
      <c r="P865" s="17">
        <f t="shared" si="68"/>
        <v>3.6987142857142823</v>
      </c>
      <c r="Q865" s="17">
        <v>28.89</v>
      </c>
      <c r="R865" s="9">
        <v>20220609</v>
      </c>
      <c r="U865" s="9">
        <v>2184.3000400000001</v>
      </c>
      <c r="V865" s="45">
        <f t="shared" si="69"/>
        <v>-1</v>
      </c>
      <c r="X865" s="12">
        <v>0</v>
      </c>
      <c r="Y865" s="62"/>
    </row>
    <row r="866" spans="1:25" x14ac:dyDescent="0.2">
      <c r="A866" s="3" t="s">
        <v>3172</v>
      </c>
      <c r="B866" s="3" t="s">
        <v>1030</v>
      </c>
      <c r="C866" s="6" t="s">
        <v>355</v>
      </c>
      <c r="D866" s="6" t="s">
        <v>150</v>
      </c>
      <c r="E866" s="6" t="s">
        <v>163</v>
      </c>
      <c r="F866" s="6">
        <v>3683.36</v>
      </c>
      <c r="G866" s="2">
        <v>3</v>
      </c>
      <c r="H866" s="61">
        <v>4.26</v>
      </c>
      <c r="I866" s="61">
        <v>3.26</v>
      </c>
      <c r="J866" s="47">
        <f t="shared" si="65"/>
        <v>0.41999999999999993</v>
      </c>
      <c r="K866" s="47">
        <f t="shared" si="66"/>
        <v>-0.23474178403755869</v>
      </c>
      <c r="L866" s="8">
        <v>3.99</v>
      </c>
      <c r="M866" s="8">
        <v>15.8</v>
      </c>
      <c r="N866" s="8">
        <v>21.23</v>
      </c>
      <c r="O866" s="17">
        <f t="shared" si="67"/>
        <v>0.3761904761904763</v>
      </c>
      <c r="P866" s="17">
        <f t="shared" si="68"/>
        <v>-0.90439800000000004</v>
      </c>
      <c r="Q866" s="17">
        <v>17.32</v>
      </c>
      <c r="R866" s="9">
        <v>20220802</v>
      </c>
      <c r="S866" s="9">
        <v>58.54</v>
      </c>
      <c r="T866" s="9">
        <v>14.44</v>
      </c>
      <c r="U866" s="9">
        <v>429.33999</v>
      </c>
      <c r="V866" s="45">
        <f t="shared" si="69"/>
        <v>-0.96636698109579777</v>
      </c>
      <c r="W866" s="12">
        <v>18.670000000000002</v>
      </c>
      <c r="X866" s="12">
        <v>2.02</v>
      </c>
      <c r="Y866" s="62"/>
    </row>
    <row r="867" spans="1:25" x14ac:dyDescent="0.2">
      <c r="A867" s="3" t="s">
        <v>3173</v>
      </c>
      <c r="B867" s="3" t="s">
        <v>2154</v>
      </c>
      <c r="C867" s="6" t="s">
        <v>356</v>
      </c>
      <c r="D867" s="6" t="s">
        <v>213</v>
      </c>
      <c r="E867" s="6" t="s">
        <v>163</v>
      </c>
      <c r="F867" s="6">
        <v>8287.64</v>
      </c>
      <c r="G867" s="2">
        <v>12</v>
      </c>
      <c r="H867" s="61"/>
      <c r="I867" s="61"/>
      <c r="J867" s="47">
        <f t="shared" si="65"/>
        <v>-1</v>
      </c>
      <c r="K867" s="47" t="e">
        <f t="shared" si="66"/>
        <v>#DIV/0!</v>
      </c>
      <c r="O867" s="17">
        <f t="shared" si="67"/>
        <v>0</v>
      </c>
      <c r="P867" s="17" t="e">
        <f t="shared" si="68"/>
        <v>#DIV/0!</v>
      </c>
      <c r="Q867" s="17"/>
      <c r="V867" s="45" t="e">
        <f t="shared" si="69"/>
        <v>#DIV/0!</v>
      </c>
      <c r="X867" s="12">
        <v>7.87</v>
      </c>
      <c r="Y867" s="62"/>
    </row>
    <row r="868" spans="1:25" x14ac:dyDescent="0.2">
      <c r="A868" s="3" t="s">
        <v>3174</v>
      </c>
      <c r="B868" s="3" t="s">
        <v>1031</v>
      </c>
      <c r="C868" s="6" t="s">
        <v>354</v>
      </c>
      <c r="D868" s="6" t="s">
        <v>160</v>
      </c>
      <c r="E868" s="6" t="s">
        <v>146</v>
      </c>
      <c r="F868" s="6">
        <v>38540.589999999997</v>
      </c>
      <c r="G868" s="2">
        <v>12</v>
      </c>
      <c r="H868" s="61">
        <v>2.0699999999999998</v>
      </c>
      <c r="I868" s="61">
        <v>3.98</v>
      </c>
      <c r="J868" s="47">
        <f t="shared" si="65"/>
        <v>-0.82750000000000001</v>
      </c>
      <c r="K868" s="47">
        <f t="shared" si="66"/>
        <v>0.92270531400966194</v>
      </c>
      <c r="L868" s="8">
        <v>5.72</v>
      </c>
      <c r="M868" s="8">
        <v>49.99</v>
      </c>
      <c r="N868" s="8">
        <v>34.770000000000003</v>
      </c>
      <c r="O868" s="17">
        <f t="shared" si="67"/>
        <v>-0.60410876132930513</v>
      </c>
      <c r="P868" s="17">
        <f t="shared" si="68"/>
        <v>0.37682670157068066</v>
      </c>
      <c r="Q868" s="17">
        <v>24.22</v>
      </c>
      <c r="R868" s="9">
        <v>20220804</v>
      </c>
      <c r="S868" s="9">
        <v>-76.75</v>
      </c>
      <c r="T868" s="9">
        <v>-16.329999999999998</v>
      </c>
      <c r="U868" s="9">
        <v>8184.2167900000004</v>
      </c>
      <c r="V868" s="45">
        <f t="shared" si="69"/>
        <v>-1.0019953039391567</v>
      </c>
      <c r="W868" s="12">
        <v>18.329999999999998</v>
      </c>
      <c r="X868" s="12">
        <v>0.43</v>
      </c>
      <c r="Y868" s="62"/>
    </row>
    <row r="869" spans="1:25" x14ac:dyDescent="0.2">
      <c r="A869" s="3" t="s">
        <v>3175</v>
      </c>
      <c r="B869" s="3" t="s">
        <v>3176</v>
      </c>
      <c r="C869" s="6" t="s">
        <v>356</v>
      </c>
      <c r="D869" s="6" t="s">
        <v>139</v>
      </c>
      <c r="E869" s="6" t="s">
        <v>250</v>
      </c>
      <c r="F869" s="6">
        <v>8200.24</v>
      </c>
      <c r="G869" s="2">
        <v>12</v>
      </c>
      <c r="H869" s="61"/>
      <c r="I869" s="61"/>
      <c r="J869" s="47">
        <f t="shared" si="65"/>
        <v>-1</v>
      </c>
      <c r="K869" s="47" t="e">
        <f t="shared" si="66"/>
        <v>#DIV/0!</v>
      </c>
      <c r="O869" s="17">
        <f t="shared" si="67"/>
        <v>0</v>
      </c>
      <c r="P869" s="17" t="e">
        <f t="shared" si="68"/>
        <v>#DIV/0!</v>
      </c>
      <c r="Q869" s="17"/>
      <c r="R869" s="9">
        <v>20220804</v>
      </c>
      <c r="V869" s="45" t="e">
        <f t="shared" si="69"/>
        <v>#DIV/0!</v>
      </c>
      <c r="X869" s="12">
        <v>3.71</v>
      </c>
      <c r="Y869" s="62"/>
    </row>
    <row r="870" spans="1:25" x14ac:dyDescent="0.2">
      <c r="A870" s="3" t="s">
        <v>3177</v>
      </c>
      <c r="B870" s="3" t="s">
        <v>1032</v>
      </c>
      <c r="C870" s="6" t="s">
        <v>356</v>
      </c>
      <c r="D870" s="6" t="s">
        <v>179</v>
      </c>
      <c r="E870" s="6" t="s">
        <v>208</v>
      </c>
      <c r="F870" s="6">
        <v>4514.6899999999996</v>
      </c>
      <c r="G870" s="2">
        <v>12</v>
      </c>
      <c r="H870" s="61">
        <v>1.93</v>
      </c>
      <c r="I870" s="61">
        <v>1.97</v>
      </c>
      <c r="J870" s="47">
        <f t="shared" si="65"/>
        <v>-0.83916666666666673</v>
      </c>
      <c r="K870" s="47">
        <f t="shared" si="66"/>
        <v>2.0725388601036288E-2</v>
      </c>
      <c r="L870" s="8">
        <v>2.84</v>
      </c>
      <c r="M870" s="8">
        <v>8.65</v>
      </c>
      <c r="N870" s="8">
        <v>11.51</v>
      </c>
      <c r="O870" s="17">
        <f t="shared" si="67"/>
        <v>-0.10307845084409135</v>
      </c>
      <c r="P870" s="17">
        <f t="shared" si="68"/>
        <v>5.5535749999999942</v>
      </c>
      <c r="Q870" s="17">
        <v>7.98</v>
      </c>
      <c r="R870" s="9">
        <v>20220531</v>
      </c>
      <c r="S870" s="9">
        <v>10.37</v>
      </c>
      <c r="T870" s="9">
        <v>0.79</v>
      </c>
      <c r="U870" s="9">
        <v>2522.4199199999998</v>
      </c>
      <c r="V870" s="45">
        <f t="shared" si="69"/>
        <v>-0.9996868086896491</v>
      </c>
      <c r="W870" s="12">
        <v>35.14</v>
      </c>
      <c r="X870" s="12">
        <v>0.86</v>
      </c>
      <c r="Y870" s="62"/>
    </row>
    <row r="871" spans="1:25" x14ac:dyDescent="0.2">
      <c r="A871" s="3" t="s">
        <v>3178</v>
      </c>
      <c r="B871" s="3" t="s">
        <v>2155</v>
      </c>
      <c r="C871" s="6" t="s">
        <v>356</v>
      </c>
      <c r="D871" s="6" t="s">
        <v>357</v>
      </c>
      <c r="E871" s="6" t="s">
        <v>163</v>
      </c>
      <c r="F871" s="6">
        <v>10867.7</v>
      </c>
      <c r="G871" s="2">
        <v>12</v>
      </c>
      <c r="H871" s="61"/>
      <c r="I871" s="61"/>
      <c r="J871" s="47">
        <f t="shared" si="65"/>
        <v>-1</v>
      </c>
      <c r="K871" s="47" t="e">
        <f t="shared" si="66"/>
        <v>#DIV/0!</v>
      </c>
      <c r="O871" s="17">
        <f t="shared" si="67"/>
        <v>0</v>
      </c>
      <c r="P871" s="17" t="e">
        <f t="shared" si="68"/>
        <v>#DIV/0!</v>
      </c>
      <c r="Q871" s="17"/>
      <c r="V871" s="45" t="e">
        <f t="shared" si="69"/>
        <v>#DIV/0!</v>
      </c>
      <c r="X871" s="12">
        <v>6.44</v>
      </c>
      <c r="Y871" s="62"/>
    </row>
    <row r="872" spans="1:25" x14ac:dyDescent="0.2">
      <c r="A872" s="3" t="s">
        <v>3179</v>
      </c>
      <c r="B872" s="3" t="s">
        <v>3180</v>
      </c>
      <c r="C872" s="6" t="s">
        <v>356</v>
      </c>
      <c r="D872" s="6" t="s">
        <v>522</v>
      </c>
      <c r="E872" s="6" t="s">
        <v>119</v>
      </c>
      <c r="F872" s="6">
        <v>51004.800000000003</v>
      </c>
      <c r="G872" s="2">
        <v>12</v>
      </c>
      <c r="H872" s="61"/>
      <c r="I872" s="61"/>
      <c r="J872" s="47">
        <f t="shared" si="65"/>
        <v>-1</v>
      </c>
      <c r="K872" s="47" t="e">
        <f t="shared" si="66"/>
        <v>#DIV/0!</v>
      </c>
      <c r="O872" s="17">
        <f t="shared" si="67"/>
        <v>0</v>
      </c>
      <c r="P872" s="17" t="e">
        <f t="shared" si="68"/>
        <v>#DIV/0!</v>
      </c>
      <c r="Q872" s="17"/>
      <c r="V872" s="45" t="e">
        <f t="shared" si="69"/>
        <v>#DIV/0!</v>
      </c>
      <c r="X872" s="12">
        <v>2.79</v>
      </c>
      <c r="Y872" s="62"/>
    </row>
    <row r="873" spans="1:25" x14ac:dyDescent="0.2">
      <c r="A873" s="3" t="s">
        <v>3181</v>
      </c>
      <c r="B873" s="3" t="s">
        <v>1033</v>
      </c>
      <c r="C873" s="6" t="s">
        <v>354</v>
      </c>
      <c r="D873" s="6" t="s">
        <v>246</v>
      </c>
      <c r="E873" s="6" t="s">
        <v>250</v>
      </c>
      <c r="F873" s="6">
        <v>7644.97</v>
      </c>
      <c r="G873" s="2">
        <v>12</v>
      </c>
      <c r="H873" s="61">
        <v>-0.85</v>
      </c>
      <c r="I873" s="61">
        <v>2.19</v>
      </c>
      <c r="J873" s="47">
        <f t="shared" si="65"/>
        <v>-1.0708333333333333</v>
      </c>
      <c r="K873" s="47">
        <f t="shared" si="66"/>
        <v>3.5764705882352943</v>
      </c>
      <c r="L873" s="8">
        <v>2.62</v>
      </c>
      <c r="N873" s="8">
        <v>8.8699999999999992</v>
      </c>
      <c r="O873" s="17">
        <f t="shared" si="67"/>
        <v>0</v>
      </c>
      <c r="P873" s="17">
        <f t="shared" si="68"/>
        <v>2.4800986842105258E-2</v>
      </c>
      <c r="Q873" s="17">
        <v>7.45</v>
      </c>
      <c r="R873" s="9">
        <v>20220726</v>
      </c>
      <c r="S873" s="9">
        <v>-10.78</v>
      </c>
      <c r="T873" s="9">
        <v>8.7200000000000006</v>
      </c>
      <c r="U873" s="9">
        <v>35352.480459999999</v>
      </c>
      <c r="V873" s="45">
        <f t="shared" si="69"/>
        <v>-0.99975334121152071</v>
      </c>
      <c r="X873" s="12">
        <v>5.01</v>
      </c>
      <c r="Y873" s="62">
        <v>0.64</v>
      </c>
    </row>
    <row r="874" spans="1:25" x14ac:dyDescent="0.2">
      <c r="A874" s="3" t="s">
        <v>3182</v>
      </c>
      <c r="B874" s="3" t="s">
        <v>1034</v>
      </c>
      <c r="C874" s="6" t="s">
        <v>356</v>
      </c>
      <c r="D874" s="6" t="s">
        <v>522</v>
      </c>
      <c r="E874" s="6" t="s">
        <v>119</v>
      </c>
      <c r="F874" s="6">
        <v>39650.49</v>
      </c>
      <c r="G874" s="2">
        <v>3</v>
      </c>
      <c r="H874" s="61">
        <v>3.8</v>
      </c>
      <c r="I874" s="61">
        <v>4.16</v>
      </c>
      <c r="J874" s="47">
        <f t="shared" si="65"/>
        <v>0.26666666666666661</v>
      </c>
      <c r="K874" s="47">
        <f t="shared" si="66"/>
        <v>9.4736842105263244E-2</v>
      </c>
      <c r="L874" s="8">
        <v>4.74</v>
      </c>
      <c r="M874" s="8">
        <v>27.31</v>
      </c>
      <c r="N874" s="8">
        <v>26.09</v>
      </c>
      <c r="O874" s="17">
        <f t="shared" si="67"/>
        <v>1.0241250000000002</v>
      </c>
      <c r="P874" s="17">
        <f t="shared" si="68"/>
        <v>2.7539444444444419</v>
      </c>
      <c r="Q874" s="17">
        <v>22.84</v>
      </c>
      <c r="R874" s="9">
        <v>20220804</v>
      </c>
      <c r="S874" s="9">
        <v>22.28</v>
      </c>
      <c r="T874" s="9">
        <v>4.0999999999999996</v>
      </c>
      <c r="U874" s="9">
        <v>6413.6401299999998</v>
      </c>
      <c r="V874" s="45">
        <f t="shared" si="69"/>
        <v>-0.99936073744131315</v>
      </c>
      <c r="W874" s="12">
        <v>0</v>
      </c>
      <c r="X874" s="12">
        <v>0.57999999999999996</v>
      </c>
      <c r="Y874" s="62">
        <v>1.55</v>
      </c>
    </row>
    <row r="875" spans="1:25" x14ac:dyDescent="0.2">
      <c r="A875" s="3" t="s">
        <v>3183</v>
      </c>
      <c r="B875" s="3" t="s">
        <v>1035</v>
      </c>
      <c r="C875" s="6" t="s">
        <v>354</v>
      </c>
      <c r="D875" s="6" t="s">
        <v>44</v>
      </c>
      <c r="E875" s="6" t="s">
        <v>35</v>
      </c>
      <c r="F875" s="6">
        <v>5206.88</v>
      </c>
      <c r="G875" s="2">
        <v>12</v>
      </c>
      <c r="H875" s="61">
        <v>3.62</v>
      </c>
      <c r="I875" s="61">
        <v>4.22</v>
      </c>
      <c r="J875" s="47">
        <f t="shared" si="65"/>
        <v>-0.69833333333333325</v>
      </c>
      <c r="K875" s="47">
        <f t="shared" si="66"/>
        <v>0.16574585635359107</v>
      </c>
      <c r="L875" s="8">
        <v>4.63</v>
      </c>
      <c r="M875" s="8">
        <v>8.9</v>
      </c>
      <c r="N875" s="8">
        <v>8.3800000000000008</v>
      </c>
      <c r="O875" s="17">
        <f t="shared" si="67"/>
        <v>-0.12744630071599047</v>
      </c>
      <c r="P875" s="17">
        <f t="shared" si="68"/>
        <v>0.50559333333333367</v>
      </c>
      <c r="Q875" s="17">
        <v>7.64</v>
      </c>
      <c r="R875" s="9">
        <v>20220720</v>
      </c>
      <c r="S875" s="9">
        <v>27.07</v>
      </c>
      <c r="T875" s="9">
        <v>-5.0599999999999996</v>
      </c>
      <c r="U875" s="9">
        <v>4879.6040000000003</v>
      </c>
      <c r="V875" s="45">
        <f t="shared" si="69"/>
        <v>-1.001036969393418</v>
      </c>
      <c r="W875" s="12">
        <v>-4.6100000000000003</v>
      </c>
      <c r="X875" s="12">
        <v>1.78</v>
      </c>
      <c r="Y875" s="62">
        <v>0.94</v>
      </c>
    </row>
    <row r="876" spans="1:25" x14ac:dyDescent="0.2">
      <c r="A876" s="3" t="s">
        <v>2156</v>
      </c>
      <c r="B876" s="3" t="s">
        <v>2157</v>
      </c>
      <c r="C876" s="6" t="s">
        <v>356</v>
      </c>
      <c r="D876" s="6" t="s">
        <v>264</v>
      </c>
      <c r="E876" s="6" t="s">
        <v>250</v>
      </c>
      <c r="F876" s="6">
        <v>20712.46</v>
      </c>
      <c r="G876" s="2">
        <v>12</v>
      </c>
      <c r="H876" s="61"/>
      <c r="I876" s="61"/>
      <c r="J876" s="47">
        <f t="shared" si="65"/>
        <v>-1</v>
      </c>
      <c r="K876" s="47" t="e">
        <f t="shared" si="66"/>
        <v>#DIV/0!</v>
      </c>
      <c r="O876" s="17">
        <f t="shared" si="67"/>
        <v>0</v>
      </c>
      <c r="P876" s="17" t="e">
        <f t="shared" si="68"/>
        <v>#DIV/0!</v>
      </c>
      <c r="Q876" s="17"/>
      <c r="V876" s="45" t="e">
        <f t="shared" si="69"/>
        <v>#DIV/0!</v>
      </c>
      <c r="X876" s="12">
        <v>3.24</v>
      </c>
      <c r="Y876" s="62"/>
    </row>
    <row r="877" spans="1:25" x14ac:dyDescent="0.2">
      <c r="A877" s="3" t="s">
        <v>3184</v>
      </c>
      <c r="B877" s="3" t="s">
        <v>1036</v>
      </c>
      <c r="C877" s="6" t="s">
        <v>355</v>
      </c>
      <c r="D877" s="6" t="s">
        <v>191</v>
      </c>
      <c r="E877" s="6" t="s">
        <v>208</v>
      </c>
      <c r="F877" s="6">
        <v>19000.34</v>
      </c>
      <c r="G877" s="2">
        <v>9</v>
      </c>
      <c r="H877" s="61">
        <v>7.77</v>
      </c>
      <c r="I877" s="61">
        <v>5.54</v>
      </c>
      <c r="J877" s="47">
        <f t="shared" si="65"/>
        <v>-0.13666666666666671</v>
      </c>
      <c r="K877" s="47">
        <f t="shared" si="66"/>
        <v>-0.28700128700128696</v>
      </c>
      <c r="L877" s="8">
        <v>3.64</v>
      </c>
      <c r="M877" s="8">
        <v>10.61</v>
      </c>
      <c r="N877" s="8">
        <v>13.75</v>
      </c>
      <c r="O877" s="17">
        <f t="shared" si="67"/>
        <v>-0.77634146341463384</v>
      </c>
      <c r="P877" s="17">
        <f t="shared" si="68"/>
        <v>-0.47909192825112112</v>
      </c>
      <c r="Q877" s="17">
        <v>20.92</v>
      </c>
      <c r="R877" s="9">
        <v>20220727</v>
      </c>
      <c r="S877" s="9">
        <v>42.26</v>
      </c>
      <c r="T877" s="9">
        <v>15.27</v>
      </c>
      <c r="U877" s="9">
        <v>4667.1420799999996</v>
      </c>
      <c r="V877" s="45">
        <f t="shared" si="69"/>
        <v>-0.99672819045611738</v>
      </c>
      <c r="W877" s="12">
        <v>33.549999999999997</v>
      </c>
      <c r="X877" s="12">
        <v>0</v>
      </c>
      <c r="Y877" s="62">
        <v>0.95</v>
      </c>
    </row>
    <row r="878" spans="1:25" x14ac:dyDescent="0.2">
      <c r="A878" s="3" t="s">
        <v>3185</v>
      </c>
      <c r="B878" s="3" t="s">
        <v>1037</v>
      </c>
      <c r="C878" s="6" t="s">
        <v>354</v>
      </c>
      <c r="D878" s="6" t="s">
        <v>106</v>
      </c>
      <c r="E878" s="6" t="s">
        <v>163</v>
      </c>
      <c r="F878" s="6">
        <v>4561.08</v>
      </c>
      <c r="G878" s="2">
        <v>12</v>
      </c>
      <c r="H878" s="61">
        <v>1.91</v>
      </c>
      <c r="I878" s="61">
        <v>1.75</v>
      </c>
      <c r="J878" s="47">
        <f t="shared" si="65"/>
        <v>-0.84083333333333332</v>
      </c>
      <c r="K878" s="47">
        <f t="shared" si="66"/>
        <v>-8.3769633507853367E-2</v>
      </c>
      <c r="L878" s="8">
        <v>2.06</v>
      </c>
      <c r="M878" s="8">
        <v>12.82</v>
      </c>
      <c r="N878" s="8">
        <v>12.64</v>
      </c>
      <c r="O878" s="17">
        <f t="shared" si="67"/>
        <v>-0.15246778989098117</v>
      </c>
      <c r="P878" s="17">
        <f t="shared" si="68"/>
        <v>-1.5089000000000008</v>
      </c>
      <c r="Q878" s="17">
        <v>10.79</v>
      </c>
      <c r="R878" s="9">
        <v>20220721</v>
      </c>
      <c r="S878" s="9">
        <v>10.52</v>
      </c>
      <c r="T878" s="9">
        <v>5.32</v>
      </c>
      <c r="U878" s="9">
        <v>873.46696999999995</v>
      </c>
      <c r="V878" s="45">
        <f t="shared" si="69"/>
        <v>-0.9939093289354719</v>
      </c>
      <c r="W878" s="12">
        <v>-5.13</v>
      </c>
      <c r="X878" s="12">
        <v>2.98</v>
      </c>
      <c r="Y878" s="62"/>
    </row>
    <row r="879" spans="1:25" x14ac:dyDescent="0.2">
      <c r="A879" s="3" t="s">
        <v>3186</v>
      </c>
      <c r="B879" s="3" t="s">
        <v>1038</v>
      </c>
      <c r="C879" s="6" t="s">
        <v>355</v>
      </c>
      <c r="D879" s="6" t="s">
        <v>590</v>
      </c>
      <c r="E879" s="6" t="s">
        <v>589</v>
      </c>
      <c r="F879" s="6">
        <v>131449.53</v>
      </c>
      <c r="G879" s="2">
        <v>12</v>
      </c>
      <c r="H879" s="61">
        <v>8.0399999999999991</v>
      </c>
      <c r="I879" s="61">
        <v>8.69</v>
      </c>
      <c r="J879" s="47">
        <f t="shared" si="65"/>
        <v>-0.33000000000000007</v>
      </c>
      <c r="K879" s="47">
        <f t="shared" si="66"/>
        <v>8.0845771144278655E-2</v>
      </c>
      <c r="L879" s="8">
        <v>9.76</v>
      </c>
      <c r="M879" s="8">
        <v>24.02</v>
      </c>
      <c r="N879" s="8">
        <v>22.22</v>
      </c>
      <c r="O879" s="17">
        <f t="shared" si="67"/>
        <v>-0.72787878787878768</v>
      </c>
      <c r="P879" s="17">
        <f t="shared" si="68"/>
        <v>2.748443076923075</v>
      </c>
      <c r="Q879" s="17">
        <v>19.8</v>
      </c>
      <c r="R879" s="9">
        <v>20220722</v>
      </c>
      <c r="S879" s="9">
        <v>30.04</v>
      </c>
      <c r="T879" s="9">
        <v>-5.23</v>
      </c>
      <c r="U879" s="9">
        <v>35876.40625</v>
      </c>
      <c r="V879" s="45">
        <f t="shared" si="69"/>
        <v>-1.0001457782578209</v>
      </c>
      <c r="W879" s="12">
        <v>2.69</v>
      </c>
      <c r="X879" s="12">
        <v>2.0299999999999998</v>
      </c>
      <c r="Y879" s="62">
        <v>2.2999999999999998</v>
      </c>
    </row>
    <row r="880" spans="1:25" x14ac:dyDescent="0.2">
      <c r="A880" s="3" t="s">
        <v>3187</v>
      </c>
      <c r="B880" s="3" t="s">
        <v>3188</v>
      </c>
      <c r="C880" s="6" t="s">
        <v>355</v>
      </c>
      <c r="D880" s="6" t="s">
        <v>885</v>
      </c>
      <c r="E880" s="6" t="s">
        <v>163</v>
      </c>
      <c r="F880" s="6">
        <v>8090.65</v>
      </c>
      <c r="G880" s="2">
        <v>12</v>
      </c>
      <c r="H880" s="61">
        <v>-9.57</v>
      </c>
      <c r="I880" s="61">
        <v>-1.33</v>
      </c>
      <c r="J880" s="47">
        <f t="shared" si="65"/>
        <v>-1.7975000000000001</v>
      </c>
      <c r="K880" s="47">
        <f t="shared" si="66"/>
        <v>0.86102403343782652</v>
      </c>
      <c r="L880" s="8">
        <v>-0.42</v>
      </c>
      <c r="O880" s="17">
        <f t="shared" si="67"/>
        <v>0</v>
      </c>
      <c r="P880" s="17">
        <f t="shared" si="68"/>
        <v>0</v>
      </c>
      <c r="Q880" s="17"/>
      <c r="R880" s="9">
        <v>20220817</v>
      </c>
      <c r="S880" s="9">
        <v>-33.630000000000003</v>
      </c>
      <c r="U880" s="9">
        <v>1757.307</v>
      </c>
      <c r="V880" s="45">
        <f t="shared" si="69"/>
        <v>-1</v>
      </c>
      <c r="W880" s="12">
        <v>167.74</v>
      </c>
      <c r="X880" s="12">
        <v>0</v>
      </c>
      <c r="Y880" s="62"/>
    </row>
    <row r="881" spans="1:25" x14ac:dyDescent="0.2">
      <c r="A881" s="3" t="s">
        <v>3189</v>
      </c>
      <c r="B881" s="3" t="s">
        <v>1869</v>
      </c>
      <c r="C881" s="6" t="s">
        <v>354</v>
      </c>
      <c r="D881" s="6" t="s">
        <v>199</v>
      </c>
      <c r="E881" s="6" t="s">
        <v>218</v>
      </c>
      <c r="F881" s="6">
        <v>5420.2</v>
      </c>
      <c r="G881" s="2">
        <v>9</v>
      </c>
      <c r="H881" s="61">
        <v>-2.5499999999999998</v>
      </c>
      <c r="I881" s="61">
        <v>-0.52</v>
      </c>
      <c r="J881" s="47">
        <f t="shared" si="65"/>
        <v>-1.2833333333333334</v>
      </c>
      <c r="K881" s="47">
        <f t="shared" si="66"/>
        <v>0.79607843137254897</v>
      </c>
      <c r="L881" s="8">
        <v>2.09</v>
      </c>
      <c r="O881" s="17">
        <f t="shared" si="67"/>
        <v>0</v>
      </c>
      <c r="P881" s="17">
        <f t="shared" si="68"/>
        <v>0</v>
      </c>
      <c r="Q881" s="17">
        <v>24.63</v>
      </c>
      <c r="R881" s="9">
        <v>20220727</v>
      </c>
      <c r="S881" s="9">
        <v>-6.73</v>
      </c>
      <c r="T881" s="9">
        <v>-11.25</v>
      </c>
      <c r="U881" s="9">
        <v>1920.76</v>
      </c>
      <c r="V881" s="45">
        <f t="shared" si="69"/>
        <v>-1.0058570565817697</v>
      </c>
      <c r="W881" s="12">
        <v>46.88</v>
      </c>
      <c r="X881" s="12">
        <v>1.94</v>
      </c>
      <c r="Y881" s="62"/>
    </row>
    <row r="882" spans="1:25" x14ac:dyDescent="0.2">
      <c r="A882" s="3" t="s">
        <v>3190</v>
      </c>
      <c r="B882" s="3" t="s">
        <v>1039</v>
      </c>
      <c r="C882" s="6" t="s">
        <v>354</v>
      </c>
      <c r="D882" s="6" t="s">
        <v>130</v>
      </c>
      <c r="E882" s="6" t="s">
        <v>119</v>
      </c>
      <c r="F882" s="6">
        <v>19619.05</v>
      </c>
      <c r="G882" s="2">
        <v>10</v>
      </c>
      <c r="H882" s="61">
        <v>1.93</v>
      </c>
      <c r="I882" s="61">
        <v>2.06</v>
      </c>
      <c r="J882" s="47">
        <f t="shared" si="65"/>
        <v>-0.80700000000000005</v>
      </c>
      <c r="K882" s="47">
        <f t="shared" si="66"/>
        <v>6.7357512953367935E-2</v>
      </c>
      <c r="L882" s="8">
        <v>2.19</v>
      </c>
      <c r="M882" s="8">
        <v>7.62</v>
      </c>
      <c r="N882" s="8">
        <v>7.32</v>
      </c>
      <c r="O882" s="17">
        <f t="shared" si="67"/>
        <v>-9.442379182156134E-2</v>
      </c>
      <c r="P882" s="17">
        <f t="shared" si="68"/>
        <v>1.0867384615384605</v>
      </c>
      <c r="Q882" s="17">
        <v>6.9</v>
      </c>
      <c r="R882" s="9">
        <v>20220601</v>
      </c>
      <c r="S882" s="9">
        <v>20.07</v>
      </c>
      <c r="T882" s="9">
        <v>-8.0500000000000007</v>
      </c>
      <c r="U882" s="9">
        <v>28601.099600000001</v>
      </c>
      <c r="V882" s="45">
        <f t="shared" si="69"/>
        <v>-1.0002814577101085</v>
      </c>
      <c r="W882" s="12">
        <v>15.22</v>
      </c>
      <c r="X882" s="12">
        <v>3.18</v>
      </c>
      <c r="Y882" s="62">
        <v>1.84</v>
      </c>
    </row>
    <row r="883" spans="1:25" x14ac:dyDescent="0.2">
      <c r="A883" s="3" t="s">
        <v>3191</v>
      </c>
      <c r="B883" s="3" t="s">
        <v>3192</v>
      </c>
      <c r="C883" s="6" t="s">
        <v>355</v>
      </c>
      <c r="D883" s="6" t="s">
        <v>200</v>
      </c>
      <c r="E883" s="6" t="s">
        <v>218</v>
      </c>
      <c r="F883" s="6">
        <v>3122.27</v>
      </c>
      <c r="G883" s="2">
        <v>12</v>
      </c>
      <c r="H883" s="61">
        <v>0.73</v>
      </c>
      <c r="I883" s="61">
        <v>4.45</v>
      </c>
      <c r="J883" s="47">
        <f t="shared" si="65"/>
        <v>-0.93916666666666659</v>
      </c>
      <c r="K883" s="47">
        <f t="shared" si="66"/>
        <v>5.0958904109589049</v>
      </c>
      <c r="M883" s="8">
        <v>32.06</v>
      </c>
      <c r="N883" s="8">
        <v>6.7</v>
      </c>
      <c r="O883" s="17">
        <f t="shared" si="67"/>
        <v>-0.34136645962732926</v>
      </c>
      <c r="P883" s="17">
        <f t="shared" si="68"/>
        <v>1.314784946236559E-2</v>
      </c>
      <c r="Q883" s="17"/>
      <c r="R883" s="9">
        <v>20220808</v>
      </c>
      <c r="S883" s="9">
        <v>17.649999999999999</v>
      </c>
      <c r="U883" s="9">
        <v>908.91497000000004</v>
      </c>
      <c r="V883" s="45">
        <f t="shared" si="69"/>
        <v>-1</v>
      </c>
      <c r="W883" s="12">
        <v>-37.25</v>
      </c>
      <c r="X883" s="12">
        <v>0.34</v>
      </c>
      <c r="Y883" s="62"/>
    </row>
    <row r="884" spans="1:25" x14ac:dyDescent="0.2">
      <c r="A884" s="3" t="s">
        <v>1869</v>
      </c>
      <c r="B884" s="3" t="s">
        <v>1040</v>
      </c>
      <c r="C884" s="6" t="s">
        <v>354</v>
      </c>
      <c r="D884" s="6" t="s">
        <v>131</v>
      </c>
      <c r="E884" s="6" t="s">
        <v>119</v>
      </c>
      <c r="F884" s="6">
        <v>38732.26</v>
      </c>
      <c r="G884" s="2">
        <v>10</v>
      </c>
      <c r="H884" s="61">
        <v>3.74</v>
      </c>
      <c r="I884" s="61">
        <v>4.25</v>
      </c>
      <c r="J884" s="47">
        <f t="shared" si="65"/>
        <v>-0.626</v>
      </c>
      <c r="K884" s="47">
        <f t="shared" si="66"/>
        <v>0.1363636363636363</v>
      </c>
      <c r="L884" s="8">
        <v>4.43</v>
      </c>
      <c r="M884" s="8">
        <v>9.26</v>
      </c>
      <c r="N884" s="8">
        <v>8.65</v>
      </c>
      <c r="O884" s="17">
        <f t="shared" si="67"/>
        <v>-0.14792332268370606</v>
      </c>
      <c r="P884" s="17">
        <f t="shared" si="68"/>
        <v>0.63433333333333364</v>
      </c>
      <c r="Q884" s="17">
        <v>8.3000000000000007</v>
      </c>
      <c r="R884" s="9">
        <v>20220531</v>
      </c>
      <c r="S884" s="9">
        <v>-164.36</v>
      </c>
      <c r="T884" s="9">
        <v>4.07</v>
      </c>
      <c r="U884" s="9">
        <v>65254.546869999998</v>
      </c>
      <c r="V884" s="45">
        <f t="shared" si="69"/>
        <v>-0.99993762886733228</v>
      </c>
      <c r="W884" s="12">
        <v>5.77</v>
      </c>
      <c r="X884" s="12">
        <v>2.72</v>
      </c>
      <c r="Y884" s="62">
        <v>2.16</v>
      </c>
    </row>
    <row r="885" spans="1:25" x14ac:dyDescent="0.2">
      <c r="A885" s="3" t="s">
        <v>3193</v>
      </c>
      <c r="B885" s="3" t="s">
        <v>1041</v>
      </c>
      <c r="C885" s="6" t="s">
        <v>355</v>
      </c>
      <c r="D885" s="6" t="s">
        <v>195</v>
      </c>
      <c r="E885" s="6" t="s">
        <v>208</v>
      </c>
      <c r="F885" s="6">
        <v>5144.6000000000004</v>
      </c>
      <c r="G885" s="2">
        <v>1</v>
      </c>
      <c r="H885" s="61">
        <v>1.34</v>
      </c>
      <c r="I885" s="61">
        <v>1.27</v>
      </c>
      <c r="J885" s="47">
        <f t="shared" si="65"/>
        <v>0.34000000000000008</v>
      </c>
      <c r="K885" s="47">
        <f t="shared" si="66"/>
        <v>-5.22388059701493E-2</v>
      </c>
      <c r="L885" s="8">
        <v>1.64</v>
      </c>
      <c r="M885" s="8">
        <v>45.85</v>
      </c>
      <c r="N885" s="8">
        <v>48.16</v>
      </c>
      <c r="O885" s="17">
        <f t="shared" si="67"/>
        <v>1.3485294117647055</v>
      </c>
      <c r="P885" s="17">
        <f t="shared" si="68"/>
        <v>-9.2191999999999901</v>
      </c>
      <c r="Q885" s="17">
        <v>37.11</v>
      </c>
      <c r="R885" s="9">
        <v>20220606</v>
      </c>
      <c r="S885" s="9">
        <v>3.49</v>
      </c>
      <c r="T885" s="9">
        <v>41.85</v>
      </c>
      <c r="U885" s="9">
        <v>825.87798999999995</v>
      </c>
      <c r="V885" s="45">
        <f t="shared" si="69"/>
        <v>-0.94932665538162597</v>
      </c>
      <c r="W885" s="12">
        <v>-4.76</v>
      </c>
      <c r="X885" s="12">
        <v>0</v>
      </c>
      <c r="Y885" s="62">
        <v>2.4900000000000002</v>
      </c>
    </row>
    <row r="886" spans="1:25" x14ac:dyDescent="0.2">
      <c r="A886" s="3" t="s">
        <v>3194</v>
      </c>
      <c r="B886" s="3" t="s">
        <v>1042</v>
      </c>
      <c r="C886" s="6" t="s">
        <v>354</v>
      </c>
      <c r="D886" s="6" t="s">
        <v>215</v>
      </c>
      <c r="E886" s="6" t="s">
        <v>163</v>
      </c>
      <c r="F886" s="6">
        <v>4393.5200000000004</v>
      </c>
      <c r="G886" s="2">
        <v>12</v>
      </c>
      <c r="H886" s="61">
        <v>1.71</v>
      </c>
      <c r="I886" s="61">
        <v>1.77</v>
      </c>
      <c r="J886" s="47">
        <f t="shared" si="65"/>
        <v>-0.85749999999999993</v>
      </c>
      <c r="K886" s="47">
        <f t="shared" si="66"/>
        <v>3.5087719298245647E-2</v>
      </c>
      <c r="L886" s="8">
        <v>1.8</v>
      </c>
      <c r="M886" s="8">
        <v>16.75</v>
      </c>
      <c r="N886" s="8">
        <v>16.350000000000001</v>
      </c>
      <c r="O886" s="17">
        <f t="shared" si="67"/>
        <v>-0.19533527696793002</v>
      </c>
      <c r="P886" s="17">
        <f t="shared" si="68"/>
        <v>4.6597499999999963</v>
      </c>
      <c r="Q886" s="17">
        <v>16.059999999999999</v>
      </c>
      <c r="R886" s="9">
        <v>20220803</v>
      </c>
      <c r="S886" s="9">
        <v>3.94</v>
      </c>
      <c r="T886" s="9">
        <v>5.68</v>
      </c>
      <c r="U886" s="9">
        <v>543.22997999999995</v>
      </c>
      <c r="V886" s="45">
        <f t="shared" si="69"/>
        <v>-0.98954402332507507</v>
      </c>
      <c r="W886" s="12">
        <v>-4.4400000000000004</v>
      </c>
      <c r="X886" s="12">
        <v>4.28</v>
      </c>
      <c r="Y886" s="62"/>
    </row>
    <row r="887" spans="1:25" x14ac:dyDescent="0.2">
      <c r="A887" s="3" t="s">
        <v>3195</v>
      </c>
      <c r="B887" s="3" t="s">
        <v>1043</v>
      </c>
      <c r="C887" s="6" t="s">
        <v>354</v>
      </c>
      <c r="D887" s="6" t="s">
        <v>305</v>
      </c>
      <c r="E887" s="6" t="s">
        <v>146</v>
      </c>
      <c r="F887" s="6">
        <v>5499.62</v>
      </c>
      <c r="G887" s="2">
        <v>6</v>
      </c>
      <c r="H887" s="61"/>
      <c r="I887" s="61">
        <v>3.25</v>
      </c>
      <c r="J887" s="47">
        <f t="shared" si="65"/>
        <v>-1</v>
      </c>
      <c r="K887" s="47" t="e">
        <f t="shared" si="66"/>
        <v>#DIV/0!</v>
      </c>
      <c r="L887" s="8">
        <v>3.44</v>
      </c>
      <c r="M887" s="8">
        <v>9.31</v>
      </c>
      <c r="N887" s="8">
        <v>10.6</v>
      </c>
      <c r="O887" s="17">
        <f t="shared" si="67"/>
        <v>-9.3100000000000002E-2</v>
      </c>
      <c r="P887" s="17" t="e">
        <f t="shared" si="68"/>
        <v>#DIV/0!</v>
      </c>
      <c r="Q887" s="17">
        <v>10.02</v>
      </c>
      <c r="S887" s="9">
        <v>6248.49</v>
      </c>
      <c r="T887" s="9">
        <v>3.4</v>
      </c>
      <c r="U887" s="9">
        <v>3384.3998999999999</v>
      </c>
      <c r="V887" s="45">
        <f t="shared" si="69"/>
        <v>-0.99899539058608289</v>
      </c>
      <c r="W887" s="12">
        <v>17.09</v>
      </c>
      <c r="X887" s="12">
        <v>3.13</v>
      </c>
      <c r="Y887" s="62">
        <v>0.85</v>
      </c>
    </row>
    <row r="888" spans="1:25" x14ac:dyDescent="0.2">
      <c r="A888" s="3" t="s">
        <v>3196</v>
      </c>
      <c r="B888" s="3" t="s">
        <v>1044</v>
      </c>
      <c r="C888" s="6" t="s">
        <v>356</v>
      </c>
      <c r="D888" s="6" t="s">
        <v>150</v>
      </c>
      <c r="E888" s="6" t="s">
        <v>163</v>
      </c>
      <c r="F888" s="6">
        <v>5006.43</v>
      </c>
      <c r="G888" s="2">
        <v>6</v>
      </c>
      <c r="H888" s="61">
        <v>1.75</v>
      </c>
      <c r="I888" s="61">
        <v>1.22</v>
      </c>
      <c r="J888" s="47">
        <f t="shared" si="65"/>
        <v>-0.70833333333333337</v>
      </c>
      <c r="K888" s="47">
        <f t="shared" si="66"/>
        <v>-0.30285714285714288</v>
      </c>
      <c r="L888" s="8">
        <v>1.23</v>
      </c>
      <c r="N888" s="8">
        <v>17.37</v>
      </c>
      <c r="O888" s="17">
        <f t="shared" si="67"/>
        <v>0</v>
      </c>
      <c r="P888" s="17">
        <f t="shared" si="68"/>
        <v>-0.57353773584905654</v>
      </c>
      <c r="Q888" s="17">
        <v>17.23</v>
      </c>
      <c r="U888" s="9">
        <v>766.46001999999999</v>
      </c>
      <c r="V888" s="45">
        <f t="shared" si="69"/>
        <v>-1</v>
      </c>
      <c r="X888" s="12">
        <v>2.57</v>
      </c>
      <c r="Y888" s="62"/>
    </row>
    <row r="889" spans="1:25" x14ac:dyDescent="0.2">
      <c r="A889" s="3" t="s">
        <v>3197</v>
      </c>
      <c r="B889" s="3" t="s">
        <v>1980</v>
      </c>
      <c r="C889" s="6" t="s">
        <v>354</v>
      </c>
      <c r="D889" s="6" t="s">
        <v>238</v>
      </c>
      <c r="E889" s="6" t="s">
        <v>237</v>
      </c>
      <c r="F889" s="6">
        <v>3485.13</v>
      </c>
      <c r="G889" s="2">
        <v>12</v>
      </c>
      <c r="H889" s="61">
        <v>7.61</v>
      </c>
      <c r="I889" s="61">
        <v>12.47</v>
      </c>
      <c r="J889" s="47">
        <f t="shared" si="65"/>
        <v>-0.36583333333333329</v>
      </c>
      <c r="K889" s="47">
        <f t="shared" si="66"/>
        <v>0.63863337713534829</v>
      </c>
      <c r="L889" s="8">
        <v>15.46</v>
      </c>
      <c r="M889" s="8">
        <v>13.95</v>
      </c>
      <c r="N889" s="8">
        <v>9.35</v>
      </c>
      <c r="O889" s="17">
        <f t="shared" si="67"/>
        <v>-0.3813211845102506</v>
      </c>
      <c r="P889" s="17">
        <f t="shared" si="68"/>
        <v>0.14640637860082301</v>
      </c>
      <c r="Q889" s="17">
        <v>7.54</v>
      </c>
      <c r="R889" s="9">
        <v>20220728</v>
      </c>
      <c r="S889" s="9">
        <v>27.26</v>
      </c>
      <c r="T889" s="9">
        <v>3.1</v>
      </c>
      <c r="U889" s="9">
        <v>2660.3998999999999</v>
      </c>
      <c r="V889" s="45">
        <f t="shared" si="69"/>
        <v>-0.99883476164617213</v>
      </c>
      <c r="W889" s="12">
        <v>-9.3000000000000007</v>
      </c>
      <c r="X889" s="12">
        <v>1.97</v>
      </c>
      <c r="Y889" s="62">
        <v>0.3</v>
      </c>
    </row>
    <row r="890" spans="1:25" x14ac:dyDescent="0.2">
      <c r="A890" s="3" t="s">
        <v>3198</v>
      </c>
      <c r="B890" s="3" t="s">
        <v>1045</v>
      </c>
      <c r="C890" s="6" t="s">
        <v>354</v>
      </c>
      <c r="D890" s="6" t="s">
        <v>587</v>
      </c>
      <c r="E890" s="6" t="s">
        <v>154</v>
      </c>
      <c r="F890" s="6">
        <v>26388.78</v>
      </c>
      <c r="G890" s="2">
        <v>10</v>
      </c>
      <c r="H890" s="61">
        <v>1.71</v>
      </c>
      <c r="I890" s="61">
        <v>1.93</v>
      </c>
      <c r="J890" s="47">
        <f t="shared" si="65"/>
        <v>-0.82899999999999996</v>
      </c>
      <c r="K890" s="47">
        <f t="shared" si="66"/>
        <v>0.12865497076023391</v>
      </c>
      <c r="L890" s="8">
        <v>2.09</v>
      </c>
      <c r="M890" s="8">
        <v>27.51</v>
      </c>
      <c r="N890" s="8">
        <v>25.05</v>
      </c>
      <c r="O890" s="17">
        <f t="shared" si="67"/>
        <v>-0.33184559710494577</v>
      </c>
      <c r="P890" s="17">
        <f t="shared" si="68"/>
        <v>1.9470681818181819</v>
      </c>
      <c r="Q890" s="17">
        <v>23.19</v>
      </c>
      <c r="R890" s="9">
        <v>20220602</v>
      </c>
      <c r="S890" s="9">
        <v>13.94</v>
      </c>
      <c r="T890" s="9">
        <v>3.46</v>
      </c>
      <c r="U890" s="9">
        <v>12403.01953</v>
      </c>
      <c r="V890" s="45">
        <f t="shared" si="69"/>
        <v>-0.9997210356726739</v>
      </c>
      <c r="W890" s="12">
        <v>2.33</v>
      </c>
      <c r="X890" s="12">
        <v>2.15</v>
      </c>
      <c r="Y890" s="62">
        <v>3.15</v>
      </c>
    </row>
    <row r="891" spans="1:25" x14ac:dyDescent="0.2">
      <c r="A891" s="3" t="s">
        <v>1046</v>
      </c>
      <c r="B891" s="3" t="s">
        <v>1046</v>
      </c>
      <c r="C891" s="6" t="s">
        <v>354</v>
      </c>
      <c r="D891" s="6" t="s">
        <v>69</v>
      </c>
      <c r="E891" s="6" t="s">
        <v>163</v>
      </c>
      <c r="F891" s="6">
        <v>132862.92000000001</v>
      </c>
      <c r="G891" s="2">
        <v>12</v>
      </c>
      <c r="H891" s="61">
        <v>3.58</v>
      </c>
      <c r="I891" s="61">
        <v>3.16</v>
      </c>
      <c r="J891" s="47">
        <f t="shared" si="65"/>
        <v>-0.70166666666666666</v>
      </c>
      <c r="K891" s="47">
        <f t="shared" si="66"/>
        <v>-0.11731843575418992</v>
      </c>
      <c r="L891" s="8">
        <v>4.09</v>
      </c>
      <c r="M891" s="8">
        <v>11.58</v>
      </c>
      <c r="N891" s="8">
        <v>10.45</v>
      </c>
      <c r="O891" s="17">
        <f t="shared" si="67"/>
        <v>-0.16503562945368169</v>
      </c>
      <c r="P891" s="17">
        <f t="shared" si="68"/>
        <v>-0.89073809523809533</v>
      </c>
      <c r="Q891" s="17">
        <v>8.06</v>
      </c>
      <c r="R891" s="9">
        <v>20220801</v>
      </c>
      <c r="S891" s="9">
        <v>5.59</v>
      </c>
      <c r="T891" s="9">
        <v>-5.68</v>
      </c>
      <c r="U891" s="9">
        <v>52234.273430000001</v>
      </c>
      <c r="V891" s="45">
        <f t="shared" si="69"/>
        <v>-1.0001087408635561</v>
      </c>
      <c r="W891" s="12">
        <v>-9.09</v>
      </c>
      <c r="X891" s="12">
        <v>3.76</v>
      </c>
      <c r="Y891" s="62">
        <v>0.57999999999999996</v>
      </c>
    </row>
    <row r="892" spans="1:25" x14ac:dyDescent="0.2">
      <c r="A892" s="3" t="s">
        <v>3199</v>
      </c>
      <c r="B892" s="3" t="s">
        <v>1047</v>
      </c>
      <c r="C892" s="6" t="s">
        <v>355</v>
      </c>
      <c r="D892" s="6" t="s">
        <v>186</v>
      </c>
      <c r="E892" s="6" t="s">
        <v>208</v>
      </c>
      <c r="F892" s="6">
        <v>11819.91</v>
      </c>
      <c r="G892" s="2">
        <v>12</v>
      </c>
      <c r="H892" s="61">
        <v>4.3499999999999996</v>
      </c>
      <c r="I892" s="61">
        <v>4.8600000000000003</v>
      </c>
      <c r="J892" s="47">
        <f t="shared" si="65"/>
        <v>-0.63750000000000007</v>
      </c>
      <c r="K892" s="47">
        <f t="shared" si="66"/>
        <v>0.11724137931034499</v>
      </c>
      <c r="L892" s="8">
        <v>5.22</v>
      </c>
      <c r="M892" s="8">
        <v>18.690000000000001</v>
      </c>
      <c r="N892" s="8">
        <v>17.600000000000001</v>
      </c>
      <c r="O892" s="17">
        <f t="shared" si="67"/>
        <v>-0.29317647058823526</v>
      </c>
      <c r="P892" s="17">
        <f t="shared" si="68"/>
        <v>1.5011764705882331</v>
      </c>
      <c r="Q892" s="17">
        <v>16.39</v>
      </c>
      <c r="R892" s="9">
        <v>20220802</v>
      </c>
      <c r="S892" s="9">
        <v>15.7</v>
      </c>
      <c r="T892" s="9">
        <v>-2.56</v>
      </c>
      <c r="U892" s="9">
        <v>13089.92871</v>
      </c>
      <c r="V892" s="45">
        <f t="shared" si="69"/>
        <v>-1.0001955702018486</v>
      </c>
      <c r="W892" s="12">
        <v>7.44</v>
      </c>
      <c r="X892" s="12">
        <v>0</v>
      </c>
      <c r="Y892" s="62">
        <v>1.5</v>
      </c>
    </row>
    <row r="893" spans="1:25" x14ac:dyDescent="0.2">
      <c r="A893" s="3" t="s">
        <v>3200</v>
      </c>
      <c r="B893" s="3" t="s">
        <v>3201</v>
      </c>
      <c r="C893" s="6" t="s">
        <v>356</v>
      </c>
      <c r="D893" s="6" t="s">
        <v>69</v>
      </c>
      <c r="E893" s="6" t="s">
        <v>163</v>
      </c>
      <c r="F893" s="6">
        <v>33954.32</v>
      </c>
      <c r="G893" s="2">
        <v>12</v>
      </c>
      <c r="H893" s="61">
        <v>1.1100000000000001</v>
      </c>
      <c r="I893" s="61">
        <v>1.02</v>
      </c>
      <c r="J893" s="47">
        <f t="shared" si="65"/>
        <v>-0.90750000000000008</v>
      </c>
      <c r="K893" s="47">
        <f t="shared" si="66"/>
        <v>-8.1081081081081141E-2</v>
      </c>
      <c r="L893" s="8">
        <v>1.39</v>
      </c>
      <c r="N893" s="8">
        <v>17.329999999999998</v>
      </c>
      <c r="O893" s="17">
        <f t="shared" si="67"/>
        <v>0</v>
      </c>
      <c r="P893" s="17">
        <f t="shared" si="68"/>
        <v>-2.1373666666666651</v>
      </c>
      <c r="Q893" s="17">
        <v>12.78</v>
      </c>
      <c r="U893" s="9">
        <v>4670.9702100000004</v>
      </c>
      <c r="V893" s="45">
        <f t="shared" si="69"/>
        <v>-1</v>
      </c>
      <c r="X893" s="12">
        <v>1.77</v>
      </c>
      <c r="Y893" s="62">
        <v>0.68</v>
      </c>
    </row>
    <row r="894" spans="1:25" x14ac:dyDescent="0.2">
      <c r="A894" s="3" t="s">
        <v>3202</v>
      </c>
      <c r="B894" s="3" t="s">
        <v>1048</v>
      </c>
      <c r="C894" s="6" t="s">
        <v>355</v>
      </c>
      <c r="D894" s="6" t="s">
        <v>215</v>
      </c>
      <c r="E894" s="6" t="s">
        <v>163</v>
      </c>
      <c r="F894" s="6">
        <v>14552.86</v>
      </c>
      <c r="G894" s="2">
        <v>12</v>
      </c>
      <c r="H894" s="61">
        <v>0.49</v>
      </c>
      <c r="I894" s="61">
        <v>1.57</v>
      </c>
      <c r="J894" s="47">
        <f t="shared" si="65"/>
        <v>-0.95916666666666661</v>
      </c>
      <c r="K894" s="47">
        <f t="shared" si="66"/>
        <v>2.2040816326530615</v>
      </c>
      <c r="L894" s="8">
        <v>1.84</v>
      </c>
      <c r="M894" s="8">
        <v>20.36</v>
      </c>
      <c r="N894" s="8">
        <v>12.95</v>
      </c>
      <c r="O894" s="17">
        <f t="shared" si="67"/>
        <v>-0.21226759339704607</v>
      </c>
      <c r="P894" s="17">
        <f t="shared" si="68"/>
        <v>5.8754629629629622E-2</v>
      </c>
      <c r="Q894" s="17">
        <v>11.09</v>
      </c>
      <c r="R894" s="9">
        <v>20220802</v>
      </c>
      <c r="S894" s="9">
        <v>4.0599999999999996</v>
      </c>
      <c r="T894" s="9">
        <v>-22.8</v>
      </c>
      <c r="U894" s="9">
        <v>4604.5180600000003</v>
      </c>
      <c r="V894" s="45">
        <f t="shared" si="69"/>
        <v>-1.0049516582849498</v>
      </c>
      <c r="W894" s="12">
        <v>50</v>
      </c>
      <c r="X894" s="12">
        <v>0.59</v>
      </c>
      <c r="Y894" s="62"/>
    </row>
    <row r="895" spans="1:25" x14ac:dyDescent="0.2">
      <c r="A895" s="3" t="s">
        <v>3203</v>
      </c>
      <c r="B895" s="3" t="s">
        <v>1049</v>
      </c>
      <c r="C895" s="6" t="s">
        <v>354</v>
      </c>
      <c r="D895" s="6" t="s">
        <v>1050</v>
      </c>
      <c r="E895" s="6" t="s">
        <v>154</v>
      </c>
      <c r="F895" s="6">
        <v>318400.71999999997</v>
      </c>
      <c r="G895" s="2">
        <v>12</v>
      </c>
      <c r="H895" s="61">
        <v>7.12</v>
      </c>
      <c r="I895" s="61">
        <v>8.0299999999999994</v>
      </c>
      <c r="J895" s="47">
        <f t="shared" si="65"/>
        <v>-0.40666666666666668</v>
      </c>
      <c r="K895" s="47">
        <f t="shared" si="66"/>
        <v>0.12780898876404484</v>
      </c>
      <c r="L895" s="8">
        <v>8.66</v>
      </c>
      <c r="M895" s="8">
        <v>26.9</v>
      </c>
      <c r="N895" s="8">
        <v>26.09</v>
      </c>
      <c r="O895" s="17">
        <f t="shared" si="67"/>
        <v>-0.66147540983606556</v>
      </c>
      <c r="P895" s="17">
        <f t="shared" si="68"/>
        <v>2.0413274725274744</v>
      </c>
      <c r="Q895" s="17">
        <v>24.18</v>
      </c>
      <c r="R895" s="9">
        <v>20220804</v>
      </c>
      <c r="S895" s="9">
        <v>61.65</v>
      </c>
      <c r="T895" s="9">
        <v>3.99</v>
      </c>
      <c r="U895" s="9">
        <v>9968.4765599999992</v>
      </c>
      <c r="V895" s="45">
        <f t="shared" si="69"/>
        <v>-0.99959973823723369</v>
      </c>
      <c r="W895" s="12">
        <v>20.48</v>
      </c>
      <c r="X895" s="12">
        <v>1.72</v>
      </c>
      <c r="Y895" s="62">
        <v>3.4</v>
      </c>
    </row>
    <row r="896" spans="1:25" x14ac:dyDescent="0.2">
      <c r="A896" s="3" t="s">
        <v>3204</v>
      </c>
      <c r="B896" s="3" t="s">
        <v>1051</v>
      </c>
      <c r="C896" s="6" t="s">
        <v>354</v>
      </c>
      <c r="D896" s="6" t="s">
        <v>215</v>
      </c>
      <c r="E896" s="6" t="s">
        <v>163</v>
      </c>
      <c r="F896" s="6">
        <v>6753.16</v>
      </c>
      <c r="G896" s="2">
        <v>12</v>
      </c>
      <c r="H896" s="61">
        <v>1.76</v>
      </c>
      <c r="I896" s="61">
        <v>1.81</v>
      </c>
      <c r="J896" s="47">
        <f t="shared" si="65"/>
        <v>-0.85333333333333339</v>
      </c>
      <c r="K896" s="47">
        <f t="shared" si="66"/>
        <v>2.8409090909090936E-2</v>
      </c>
      <c r="L896" s="8">
        <v>1.85</v>
      </c>
      <c r="M896" s="8">
        <v>16.850000000000001</v>
      </c>
      <c r="N896" s="8">
        <v>16.32</v>
      </c>
      <c r="O896" s="17">
        <f t="shared" si="67"/>
        <v>-0.19746093749999999</v>
      </c>
      <c r="P896" s="17">
        <f t="shared" si="68"/>
        <v>5.7446399999999951</v>
      </c>
      <c r="Q896" s="17">
        <v>15.91</v>
      </c>
      <c r="R896" s="9">
        <v>20220802</v>
      </c>
      <c r="S896" s="9">
        <v>2.9</v>
      </c>
      <c r="T896" s="9">
        <v>6.23</v>
      </c>
      <c r="U896" s="9">
        <v>806.05798000000004</v>
      </c>
      <c r="V896" s="45">
        <f t="shared" si="69"/>
        <v>-0.99227102745139995</v>
      </c>
      <c r="W896" s="12">
        <v>-2.2200000000000002</v>
      </c>
      <c r="X896" s="12">
        <v>4.41</v>
      </c>
      <c r="Y896" s="62"/>
    </row>
    <row r="897" spans="1:25" x14ac:dyDescent="0.2">
      <c r="A897" s="3" t="s">
        <v>1052</v>
      </c>
      <c r="B897" s="3" t="s">
        <v>1053</v>
      </c>
      <c r="C897" s="6" t="s">
        <v>356</v>
      </c>
      <c r="D897" s="6" t="s">
        <v>606</v>
      </c>
      <c r="E897" s="6" t="s">
        <v>201</v>
      </c>
      <c r="F897" s="6">
        <v>5019.71</v>
      </c>
      <c r="G897" s="2">
        <v>3</v>
      </c>
      <c r="H897" s="61">
        <v>4.67</v>
      </c>
      <c r="I897" s="61">
        <v>4.8899999999999997</v>
      </c>
      <c r="J897" s="47">
        <f t="shared" si="65"/>
        <v>0.55666666666666664</v>
      </c>
      <c r="K897" s="47">
        <f t="shared" si="66"/>
        <v>4.710920770877939E-2</v>
      </c>
      <c r="L897" s="8">
        <v>5.67</v>
      </c>
      <c r="M897" s="8">
        <v>7.38</v>
      </c>
      <c r="N897" s="8">
        <v>9.5399999999999991</v>
      </c>
      <c r="O897" s="17">
        <f t="shared" si="67"/>
        <v>0.13257485029940119</v>
      </c>
      <c r="P897" s="17">
        <f t="shared" si="68"/>
        <v>2.0250818181818202</v>
      </c>
      <c r="Q897" s="17">
        <v>8.23</v>
      </c>
      <c r="R897" s="9">
        <v>20220727</v>
      </c>
      <c r="S897" s="9">
        <v>12.61</v>
      </c>
      <c r="T897" s="9">
        <v>0.75</v>
      </c>
      <c r="U897" s="9">
        <v>8927.2695299999996</v>
      </c>
      <c r="V897" s="45">
        <f t="shared" si="69"/>
        <v>-0.99991598774995205</v>
      </c>
      <c r="W897" s="12">
        <v>244.93</v>
      </c>
      <c r="X897" s="12">
        <v>2.67</v>
      </c>
      <c r="Y897" s="62"/>
    </row>
    <row r="898" spans="1:25" x14ac:dyDescent="0.2">
      <c r="A898" s="3" t="s">
        <v>3205</v>
      </c>
      <c r="B898" s="3" t="s">
        <v>1870</v>
      </c>
      <c r="C898" s="6" t="s">
        <v>355</v>
      </c>
      <c r="D898" s="6" t="s">
        <v>160</v>
      </c>
      <c r="E898" s="6" t="s">
        <v>146</v>
      </c>
      <c r="F898" s="6">
        <v>9747.89</v>
      </c>
      <c r="G898" s="2">
        <v>12</v>
      </c>
      <c r="H898" s="61">
        <v>-7.0000000000000007E-2</v>
      </c>
      <c r="I898" s="61">
        <v>0.12</v>
      </c>
      <c r="J898" s="47">
        <f t="shared" si="65"/>
        <v>-1.0058333333333334</v>
      </c>
      <c r="K898" s="47">
        <f t="shared" si="66"/>
        <v>2.714285714285714</v>
      </c>
      <c r="L898" s="8">
        <v>1.1399999999999999</v>
      </c>
      <c r="N898" s="8">
        <v>252.42</v>
      </c>
      <c r="O898" s="17">
        <f t="shared" si="67"/>
        <v>0</v>
      </c>
      <c r="P898" s="17">
        <f t="shared" si="68"/>
        <v>0.92996842105263167</v>
      </c>
      <c r="Q898" s="17">
        <v>26.57</v>
      </c>
      <c r="R898" s="9">
        <v>20220530</v>
      </c>
      <c r="S898" s="9">
        <v>-4.17</v>
      </c>
      <c r="T898" s="9">
        <v>11.52</v>
      </c>
      <c r="U898" s="9">
        <v>2315.3000400000001</v>
      </c>
      <c r="V898" s="45">
        <f t="shared" si="69"/>
        <v>-0.99502440297111561</v>
      </c>
      <c r="W898" s="12">
        <v>-130</v>
      </c>
      <c r="X898" s="12">
        <v>0.69</v>
      </c>
      <c r="Y898" s="62"/>
    </row>
    <row r="899" spans="1:25" x14ac:dyDescent="0.2">
      <c r="A899" s="3" t="s">
        <v>3206</v>
      </c>
      <c r="B899" s="3" t="s">
        <v>3207</v>
      </c>
      <c r="C899" s="6" t="s">
        <v>355</v>
      </c>
      <c r="D899" s="6" t="s">
        <v>240</v>
      </c>
      <c r="E899" s="6" t="s">
        <v>237</v>
      </c>
      <c r="F899" s="6">
        <v>7949.63</v>
      </c>
      <c r="G899" s="2">
        <v>12</v>
      </c>
      <c r="H899" s="61">
        <v>4.08</v>
      </c>
      <c r="I899" s="61">
        <v>3.7</v>
      </c>
      <c r="J899" s="47">
        <f t="shared" ref="J899:J962" si="70">(H899-G899)/ABS(G899)</f>
        <v>-0.66</v>
      </c>
      <c r="K899" s="47">
        <f t="shared" ref="K899:K962" si="71">(I899-H899)/ABS(H899)</f>
        <v>-9.3137254901960759E-2</v>
      </c>
      <c r="L899" s="8">
        <v>2.4300000000000002</v>
      </c>
      <c r="M899" s="8">
        <v>3.49</v>
      </c>
      <c r="N899" s="8">
        <v>5.21</v>
      </c>
      <c r="O899" s="17">
        <f t="shared" ref="O899:O962" si="72">M899/(J899*100)</f>
        <v>-5.2878787878787879E-2</v>
      </c>
      <c r="P899" s="17">
        <f t="shared" ref="P899:P962" si="73">N899/(K899*100)</f>
        <v>-0.55938947368421066</v>
      </c>
      <c r="Q899" s="17">
        <v>7.94</v>
      </c>
      <c r="R899" s="9">
        <v>20220808</v>
      </c>
      <c r="S899" s="9">
        <v>68.2</v>
      </c>
      <c r="U899" s="9">
        <v>9643.6464799999994</v>
      </c>
      <c r="V899" s="45">
        <f t="shared" ref="V899:V962" si="74">(T899-U899)/U899</f>
        <v>-1</v>
      </c>
      <c r="W899" s="12">
        <v>2.35</v>
      </c>
      <c r="X899" s="12">
        <v>0</v>
      </c>
      <c r="Y899" s="62"/>
    </row>
    <row r="900" spans="1:25" x14ac:dyDescent="0.2">
      <c r="A900" s="3" t="s">
        <v>3208</v>
      </c>
      <c r="B900" s="3" t="s">
        <v>1054</v>
      </c>
      <c r="C900" s="6" t="s">
        <v>354</v>
      </c>
      <c r="D900" s="6" t="s">
        <v>1055</v>
      </c>
      <c r="E900" s="6" t="s">
        <v>201</v>
      </c>
      <c r="F900" s="6">
        <v>10019.09</v>
      </c>
      <c r="G900" s="2">
        <v>12</v>
      </c>
      <c r="H900" s="61">
        <v>8.41</v>
      </c>
      <c r="I900" s="61">
        <v>9.33</v>
      </c>
      <c r="J900" s="47">
        <f t="shared" si="70"/>
        <v>-0.29916666666666664</v>
      </c>
      <c r="K900" s="47">
        <f t="shared" si="71"/>
        <v>0.10939357907253269</v>
      </c>
      <c r="L900" s="8">
        <v>10.39</v>
      </c>
      <c r="M900" s="8">
        <v>21.24</v>
      </c>
      <c r="N900" s="8">
        <v>20.010000000000002</v>
      </c>
      <c r="O900" s="17">
        <f t="shared" si="72"/>
        <v>-0.70997214484679672</v>
      </c>
      <c r="P900" s="17">
        <f t="shared" si="73"/>
        <v>1.8291750000000002</v>
      </c>
      <c r="Q900" s="17">
        <v>17.97</v>
      </c>
      <c r="R900" s="9">
        <v>20220726</v>
      </c>
      <c r="S900" s="9">
        <v>21.89</v>
      </c>
      <c r="T900" s="9">
        <v>4.26</v>
      </c>
      <c r="U900" s="9">
        <v>4736.6259700000001</v>
      </c>
      <c r="V900" s="45">
        <f t="shared" si="74"/>
        <v>-0.99910062562951318</v>
      </c>
      <c r="W900" s="12">
        <v>13.98</v>
      </c>
      <c r="X900" s="12">
        <v>2.25</v>
      </c>
      <c r="Y900" s="62">
        <v>2</v>
      </c>
    </row>
    <row r="901" spans="1:25" x14ac:dyDescent="0.2">
      <c r="A901" s="3" t="s">
        <v>3209</v>
      </c>
      <c r="B901" s="3" t="s">
        <v>1056</v>
      </c>
      <c r="C901" s="6" t="s">
        <v>354</v>
      </c>
      <c r="D901" s="6" t="s">
        <v>177</v>
      </c>
      <c r="E901" s="6" t="s">
        <v>119</v>
      </c>
      <c r="F901" s="6">
        <v>16008.37</v>
      </c>
      <c r="G901" s="2">
        <v>12</v>
      </c>
      <c r="H901" s="61">
        <v>1.77</v>
      </c>
      <c r="I901" s="61">
        <v>2.4</v>
      </c>
      <c r="J901" s="47">
        <f t="shared" si="70"/>
        <v>-0.85250000000000004</v>
      </c>
      <c r="K901" s="47">
        <f t="shared" si="71"/>
        <v>0.35593220338983045</v>
      </c>
      <c r="L901" s="8">
        <v>3.36</v>
      </c>
      <c r="M901" s="8">
        <v>163.47</v>
      </c>
      <c r="N901" s="8">
        <v>139.74</v>
      </c>
      <c r="O901" s="17">
        <f t="shared" si="72"/>
        <v>-1.9175366568914956</v>
      </c>
      <c r="P901" s="17">
        <f t="shared" si="73"/>
        <v>3.9260285714285725</v>
      </c>
      <c r="Q901" s="17">
        <v>99.87</v>
      </c>
      <c r="R901" s="9">
        <v>20220803</v>
      </c>
      <c r="S901" s="9">
        <v>-7.33</v>
      </c>
      <c r="T901" s="9">
        <v>35.25</v>
      </c>
      <c r="U901" s="9">
        <v>1724.7590299999999</v>
      </c>
      <c r="V901" s="45">
        <f t="shared" si="74"/>
        <v>-0.97956236240143069</v>
      </c>
      <c r="W901" s="12">
        <v>14.89</v>
      </c>
      <c r="X901" s="12">
        <v>0</v>
      </c>
      <c r="Y901" s="62">
        <v>3.99</v>
      </c>
    </row>
    <row r="902" spans="1:25" x14ac:dyDescent="0.2">
      <c r="A902" s="3" t="s">
        <v>3210</v>
      </c>
      <c r="B902" s="3" t="s">
        <v>1057</v>
      </c>
      <c r="C902" s="6" t="s">
        <v>354</v>
      </c>
      <c r="D902" s="6" t="s">
        <v>189</v>
      </c>
      <c r="E902" s="6" t="s">
        <v>208</v>
      </c>
      <c r="F902" s="6">
        <v>57202.85</v>
      </c>
      <c r="G902" s="2">
        <v>12</v>
      </c>
      <c r="H902" s="61">
        <v>20.55</v>
      </c>
      <c r="I902" s="61">
        <v>24.65</v>
      </c>
      <c r="J902" s="47">
        <f t="shared" si="70"/>
        <v>0.71250000000000002</v>
      </c>
      <c r="K902" s="47">
        <f t="shared" si="71"/>
        <v>0.19951338199513372</v>
      </c>
      <c r="L902" s="8">
        <v>27.71</v>
      </c>
      <c r="M902" s="8">
        <v>21.53</v>
      </c>
      <c r="N902" s="8">
        <v>18.350000000000001</v>
      </c>
      <c r="O902" s="17">
        <f t="shared" si="72"/>
        <v>0.30217543859649126</v>
      </c>
      <c r="P902" s="17">
        <f t="shared" si="73"/>
        <v>0.91973780487804924</v>
      </c>
      <c r="Q902" s="17">
        <v>16.32</v>
      </c>
      <c r="R902" s="9">
        <v>20220727</v>
      </c>
      <c r="S902" s="9">
        <v>17.27</v>
      </c>
      <c r="T902" s="9">
        <v>12.02</v>
      </c>
      <c r="U902" s="9">
        <v>93094.28125</v>
      </c>
      <c r="V902" s="45">
        <f t="shared" si="74"/>
        <v>-0.99987088358341014</v>
      </c>
      <c r="W902" s="12">
        <v>17.72</v>
      </c>
      <c r="X902" s="12">
        <v>0.7</v>
      </c>
      <c r="Y902" s="62">
        <v>1.34</v>
      </c>
    </row>
    <row r="903" spans="1:25" x14ac:dyDescent="0.2">
      <c r="A903" s="3" t="s">
        <v>3211</v>
      </c>
      <c r="B903" s="3" t="s">
        <v>1058</v>
      </c>
      <c r="C903" s="6" t="s">
        <v>354</v>
      </c>
      <c r="D903" s="6" t="s">
        <v>126</v>
      </c>
      <c r="E903" s="6" t="s">
        <v>60</v>
      </c>
      <c r="F903" s="6">
        <v>7586.3</v>
      </c>
      <c r="G903" s="2">
        <v>12</v>
      </c>
      <c r="H903" s="61">
        <v>3.48</v>
      </c>
      <c r="I903" s="61">
        <v>4.41</v>
      </c>
      <c r="J903" s="47">
        <f t="shared" si="70"/>
        <v>-0.71</v>
      </c>
      <c r="K903" s="47">
        <f t="shared" si="71"/>
        <v>0.26724137931034486</v>
      </c>
      <c r="L903" s="8">
        <v>4.95</v>
      </c>
      <c r="M903" s="8">
        <v>8.86</v>
      </c>
      <c r="N903" s="8">
        <v>8.2100000000000009</v>
      </c>
      <c r="O903" s="17">
        <f t="shared" si="72"/>
        <v>-0.12478873239436619</v>
      </c>
      <c r="P903" s="17">
        <f t="shared" si="73"/>
        <v>0.30721290322580641</v>
      </c>
      <c r="Q903" s="17">
        <v>7.3</v>
      </c>
      <c r="R903" s="9">
        <v>20220729</v>
      </c>
      <c r="S903" s="9">
        <v>21.09</v>
      </c>
      <c r="T903" s="9">
        <v>-7.03</v>
      </c>
      <c r="U903" s="9">
        <v>9317.2597600000008</v>
      </c>
      <c r="V903" s="45">
        <f t="shared" si="74"/>
        <v>-1.0007545136854701</v>
      </c>
      <c r="W903" s="12">
        <v>19</v>
      </c>
      <c r="X903" s="12">
        <v>2.35</v>
      </c>
      <c r="Y903" s="62">
        <v>0.66</v>
      </c>
    </row>
    <row r="904" spans="1:25" x14ac:dyDescent="0.2">
      <c r="A904" s="3" t="s">
        <v>3212</v>
      </c>
      <c r="B904" s="3" t="s">
        <v>1059</v>
      </c>
      <c r="C904" s="6" t="s">
        <v>355</v>
      </c>
      <c r="D904" s="6" t="s">
        <v>106</v>
      </c>
      <c r="E904" s="6" t="s">
        <v>163</v>
      </c>
      <c r="F904" s="6">
        <v>4229.49</v>
      </c>
      <c r="G904" s="2">
        <v>12</v>
      </c>
      <c r="H904" s="61">
        <v>4.9800000000000004</v>
      </c>
      <c r="I904" s="61">
        <v>5.68</v>
      </c>
      <c r="J904" s="47">
        <f t="shared" si="70"/>
        <v>-0.58499999999999996</v>
      </c>
      <c r="K904" s="47">
        <f t="shared" si="71"/>
        <v>0.14056224899598377</v>
      </c>
      <c r="L904" s="8">
        <v>5.77</v>
      </c>
      <c r="M904" s="8">
        <v>8.5500000000000007</v>
      </c>
      <c r="N904" s="8">
        <v>8.6300000000000008</v>
      </c>
      <c r="O904" s="17">
        <f t="shared" si="72"/>
        <v>-0.14615384615384616</v>
      </c>
      <c r="P904" s="17">
        <f t="shared" si="73"/>
        <v>0.61396285714285792</v>
      </c>
      <c r="Q904" s="17">
        <v>8.48</v>
      </c>
      <c r="R904" s="9">
        <v>20220719</v>
      </c>
      <c r="S904" s="9">
        <v>14.18</v>
      </c>
      <c r="T904" s="9">
        <v>4.34</v>
      </c>
      <c r="U904" s="9">
        <v>1332.6999499999999</v>
      </c>
      <c r="V904" s="45">
        <f t="shared" si="74"/>
        <v>-0.99674345301806311</v>
      </c>
      <c r="W904" s="12">
        <v>6.06</v>
      </c>
      <c r="X904" s="12">
        <v>2.21</v>
      </c>
      <c r="Y904" s="62"/>
    </row>
    <row r="905" spans="1:25" x14ac:dyDescent="0.2">
      <c r="A905" s="3" t="s">
        <v>3213</v>
      </c>
      <c r="B905" s="3" t="s">
        <v>1060</v>
      </c>
      <c r="C905" s="6" t="s">
        <v>356</v>
      </c>
      <c r="D905" s="6" t="s">
        <v>161</v>
      </c>
      <c r="E905" s="6" t="s">
        <v>146</v>
      </c>
      <c r="F905" s="6">
        <v>4824.2299999999996</v>
      </c>
      <c r="G905" s="2">
        <v>12</v>
      </c>
      <c r="H905" s="61">
        <v>2.66</v>
      </c>
      <c r="I905" s="61">
        <v>2.83</v>
      </c>
      <c r="J905" s="47">
        <f t="shared" si="70"/>
        <v>-0.77833333333333332</v>
      </c>
      <c r="K905" s="47">
        <f t="shared" si="71"/>
        <v>6.3909774436090194E-2</v>
      </c>
      <c r="L905" s="8">
        <v>2.67</v>
      </c>
      <c r="N905" s="8">
        <v>11.77</v>
      </c>
      <c r="O905" s="17">
        <f t="shared" si="72"/>
        <v>0</v>
      </c>
      <c r="P905" s="17">
        <f t="shared" si="73"/>
        <v>1.8416588235294127</v>
      </c>
      <c r="Q905" s="17">
        <v>12.45</v>
      </c>
      <c r="U905" s="9">
        <v>2859.0400300000001</v>
      </c>
      <c r="V905" s="45">
        <f t="shared" si="74"/>
        <v>-1</v>
      </c>
      <c r="X905" s="12">
        <v>4.25</v>
      </c>
      <c r="Y905" s="62"/>
    </row>
    <row r="906" spans="1:25" x14ac:dyDescent="0.2">
      <c r="A906" s="3" t="s">
        <v>3214</v>
      </c>
      <c r="B906" s="3" t="s">
        <v>1061</v>
      </c>
      <c r="C906" s="6" t="s">
        <v>354</v>
      </c>
      <c r="D906" s="6" t="s">
        <v>145</v>
      </c>
      <c r="E906" s="6" t="s">
        <v>140</v>
      </c>
      <c r="F906" s="6">
        <v>14464.01</v>
      </c>
      <c r="G906" s="2">
        <v>12</v>
      </c>
      <c r="H906" s="61">
        <v>1</v>
      </c>
      <c r="I906" s="61">
        <v>1.41</v>
      </c>
      <c r="J906" s="47">
        <f t="shared" si="70"/>
        <v>-0.91666666666666663</v>
      </c>
      <c r="K906" s="47">
        <f t="shared" si="71"/>
        <v>0.40999999999999992</v>
      </c>
      <c r="L906" s="8">
        <v>1.82</v>
      </c>
      <c r="M906" s="8">
        <v>31.46</v>
      </c>
      <c r="N906" s="8">
        <v>24.55</v>
      </c>
      <c r="O906" s="17">
        <f t="shared" si="72"/>
        <v>-0.34320000000000006</v>
      </c>
      <c r="P906" s="17">
        <f t="shared" si="73"/>
        <v>0.59878048780487814</v>
      </c>
      <c r="Q906" s="17">
        <v>19.05</v>
      </c>
      <c r="R906" s="9">
        <v>20220803</v>
      </c>
      <c r="S906" s="9">
        <v>13.73</v>
      </c>
      <c r="T906" s="9">
        <v>-22.7</v>
      </c>
      <c r="U906" s="9">
        <v>5609.7031200000001</v>
      </c>
      <c r="V906" s="45">
        <f t="shared" si="74"/>
        <v>-1.0040465599541388</v>
      </c>
      <c r="W906" s="12">
        <v>6.9</v>
      </c>
      <c r="X906" s="12">
        <v>0.23</v>
      </c>
      <c r="Y906" s="62"/>
    </row>
    <row r="907" spans="1:25" x14ac:dyDescent="0.2">
      <c r="A907" s="3" t="s">
        <v>3215</v>
      </c>
      <c r="B907" s="3" t="s">
        <v>1062</v>
      </c>
      <c r="C907" s="6" t="s">
        <v>354</v>
      </c>
      <c r="D907" s="6" t="s">
        <v>24</v>
      </c>
      <c r="E907" s="6" t="s">
        <v>10</v>
      </c>
      <c r="F907" s="6">
        <v>4798.49</v>
      </c>
      <c r="G907" s="2">
        <v>12</v>
      </c>
      <c r="H907" s="61">
        <v>0.23</v>
      </c>
      <c r="I907" s="61">
        <v>1.22</v>
      </c>
      <c r="J907" s="47">
        <f t="shared" si="70"/>
        <v>-0.98083333333333333</v>
      </c>
      <c r="K907" s="47">
        <f t="shared" si="71"/>
        <v>4.3043478260869561</v>
      </c>
      <c r="L907" s="8">
        <v>1.98</v>
      </c>
      <c r="M907" s="8">
        <v>96.76</v>
      </c>
      <c r="N907" s="8">
        <v>46.86</v>
      </c>
      <c r="O907" s="17">
        <f t="shared" si="72"/>
        <v>-0.98650807136788454</v>
      </c>
      <c r="P907" s="17">
        <f t="shared" si="73"/>
        <v>0.10886666666666667</v>
      </c>
      <c r="Q907" s="17">
        <v>28.77</v>
      </c>
      <c r="R907" s="9">
        <v>20220725</v>
      </c>
      <c r="S907" s="9">
        <v>3.36</v>
      </c>
      <c r="T907" s="9">
        <v>-10.5</v>
      </c>
      <c r="U907" s="9">
        <v>1578.06005</v>
      </c>
      <c r="V907" s="45">
        <f t="shared" si="74"/>
        <v>-1.0066537391907235</v>
      </c>
      <c r="W907" s="12">
        <v>29.41</v>
      </c>
      <c r="X907" s="12">
        <v>0.7</v>
      </c>
      <c r="Y907" s="62"/>
    </row>
    <row r="908" spans="1:25" x14ac:dyDescent="0.2">
      <c r="B908" s="3" t="s">
        <v>2158</v>
      </c>
      <c r="C908" s="6" t="s">
        <v>354</v>
      </c>
      <c r="D908" s="6" t="s">
        <v>519</v>
      </c>
      <c r="E908" s="6" t="s">
        <v>163</v>
      </c>
      <c r="F908" s="6">
        <v>14743.54</v>
      </c>
      <c r="G908" s="2">
        <v>12</v>
      </c>
      <c r="H908" s="61"/>
      <c r="I908" s="61"/>
      <c r="J908" s="47">
        <f t="shared" si="70"/>
        <v>-1</v>
      </c>
      <c r="K908" s="47" t="e">
        <f t="shared" si="71"/>
        <v>#DIV/0!</v>
      </c>
      <c r="O908" s="17">
        <f t="shared" si="72"/>
        <v>0</v>
      </c>
      <c r="P908" s="17" t="e">
        <f t="shared" si="73"/>
        <v>#DIV/0!</v>
      </c>
      <c r="Q908" s="17"/>
      <c r="V908" s="45" t="e">
        <f t="shared" si="74"/>
        <v>#DIV/0!</v>
      </c>
      <c r="X908" s="12">
        <v>4.45</v>
      </c>
      <c r="Y908" s="62"/>
    </row>
    <row r="909" spans="1:25" x14ac:dyDescent="0.2">
      <c r="A909" s="3" t="s">
        <v>2159</v>
      </c>
      <c r="B909" s="3" t="s">
        <v>2160</v>
      </c>
      <c r="C909" s="6" t="s">
        <v>356</v>
      </c>
      <c r="D909" s="6" t="s">
        <v>187</v>
      </c>
      <c r="E909" s="6" t="s">
        <v>208</v>
      </c>
      <c r="F909" s="6">
        <v>5343.54</v>
      </c>
      <c r="G909" s="2">
        <v>12</v>
      </c>
      <c r="H909" s="61"/>
      <c r="I909" s="61"/>
      <c r="J909" s="47">
        <f t="shared" si="70"/>
        <v>-1</v>
      </c>
      <c r="K909" s="47" t="e">
        <f t="shared" si="71"/>
        <v>#DIV/0!</v>
      </c>
      <c r="M909" s="8">
        <v>20.09</v>
      </c>
      <c r="O909" s="17">
        <f t="shared" si="72"/>
        <v>-0.2009</v>
      </c>
      <c r="P909" s="17" t="e">
        <f t="shared" si="73"/>
        <v>#DIV/0!</v>
      </c>
      <c r="Q909" s="17"/>
      <c r="R909" s="9">
        <v>20220527</v>
      </c>
      <c r="V909" s="45" t="e">
        <f t="shared" si="74"/>
        <v>#DIV/0!</v>
      </c>
      <c r="X909" s="12">
        <v>2.11</v>
      </c>
      <c r="Y909" s="62"/>
    </row>
    <row r="910" spans="1:25" x14ac:dyDescent="0.2">
      <c r="A910" s="3" t="s">
        <v>3216</v>
      </c>
      <c r="B910" s="3" t="s">
        <v>1063</v>
      </c>
      <c r="C910" s="6" t="s">
        <v>355</v>
      </c>
      <c r="D910" s="6" t="s">
        <v>185</v>
      </c>
      <c r="E910" s="6" t="s">
        <v>208</v>
      </c>
      <c r="F910" s="6">
        <v>20825.2</v>
      </c>
      <c r="G910" s="2">
        <v>12</v>
      </c>
      <c r="H910" s="61">
        <v>4.49</v>
      </c>
      <c r="I910" s="61">
        <v>5.78</v>
      </c>
      <c r="J910" s="47">
        <f t="shared" si="70"/>
        <v>-0.62583333333333335</v>
      </c>
      <c r="K910" s="47">
        <f t="shared" si="71"/>
        <v>0.28730512249443207</v>
      </c>
      <c r="L910" s="8">
        <v>7.08</v>
      </c>
      <c r="M910" s="8">
        <v>14.8</v>
      </c>
      <c r="N910" s="8">
        <v>15.67</v>
      </c>
      <c r="O910" s="17">
        <f t="shared" si="72"/>
        <v>-0.23648468708388815</v>
      </c>
      <c r="P910" s="17">
        <f t="shared" si="73"/>
        <v>0.54541317829457359</v>
      </c>
      <c r="Q910" s="17">
        <v>12.79</v>
      </c>
      <c r="R910" s="9">
        <v>20220803</v>
      </c>
      <c r="S910" s="9">
        <v>32.08</v>
      </c>
      <c r="T910" s="9">
        <v>30.23</v>
      </c>
      <c r="U910" s="9">
        <v>3970.3491199999999</v>
      </c>
      <c r="V910" s="45">
        <f t="shared" si="74"/>
        <v>-0.99238605999464347</v>
      </c>
      <c r="W910" s="12">
        <v>16.52</v>
      </c>
      <c r="X910" s="12">
        <v>0</v>
      </c>
      <c r="Y910" s="62">
        <v>1.27</v>
      </c>
    </row>
    <row r="911" spans="1:25" x14ac:dyDescent="0.2">
      <c r="A911" s="3" t="s">
        <v>1064</v>
      </c>
      <c r="B911" s="3" t="s">
        <v>1064</v>
      </c>
      <c r="C911" s="6" t="s">
        <v>354</v>
      </c>
      <c r="D911" s="6" t="s">
        <v>44</v>
      </c>
      <c r="E911" s="6" t="s">
        <v>35</v>
      </c>
      <c r="F911" s="6">
        <v>5257.1</v>
      </c>
      <c r="G911" s="2">
        <v>12</v>
      </c>
      <c r="H911" s="61">
        <v>2.39</v>
      </c>
      <c r="I911" s="61">
        <v>2.3199999999999998</v>
      </c>
      <c r="J911" s="47">
        <f t="shared" si="70"/>
        <v>-0.80083333333333329</v>
      </c>
      <c r="K911" s="47">
        <f t="shared" si="71"/>
        <v>-2.9288702928870411E-2</v>
      </c>
      <c r="L911" s="8">
        <v>2.4700000000000002</v>
      </c>
      <c r="M911" s="8">
        <v>15.82</v>
      </c>
      <c r="N911" s="8">
        <v>16.91</v>
      </c>
      <c r="O911" s="17">
        <f t="shared" si="72"/>
        <v>-0.19754422476586891</v>
      </c>
      <c r="P911" s="17">
        <f t="shared" si="73"/>
        <v>-5.7735571428571193</v>
      </c>
      <c r="Q911" s="17">
        <v>15.88</v>
      </c>
      <c r="R911" s="9">
        <v>20220802</v>
      </c>
      <c r="S911" s="9">
        <v>106.58</v>
      </c>
      <c r="U911" s="9">
        <v>2097.3500899999999</v>
      </c>
      <c r="V911" s="45">
        <f t="shared" si="74"/>
        <v>-1</v>
      </c>
      <c r="W911" s="12">
        <v>24.53</v>
      </c>
      <c r="X911" s="12">
        <v>0</v>
      </c>
      <c r="Y911" s="62"/>
    </row>
    <row r="912" spans="1:25" x14ac:dyDescent="0.2">
      <c r="A912" s="3" t="s">
        <v>1065</v>
      </c>
      <c r="B912" s="3" t="s">
        <v>1066</v>
      </c>
      <c r="C912" s="6" t="s">
        <v>355</v>
      </c>
      <c r="D912" s="6" t="s">
        <v>162</v>
      </c>
      <c r="E912" s="6" t="s">
        <v>201</v>
      </c>
      <c r="F912" s="6">
        <v>7068.96</v>
      </c>
      <c r="G912" s="2">
        <v>12</v>
      </c>
      <c r="H912" s="61">
        <v>5.93</v>
      </c>
      <c r="I912" s="61">
        <v>-3.08</v>
      </c>
      <c r="J912" s="47">
        <f t="shared" si="70"/>
        <v>-0.50583333333333336</v>
      </c>
      <c r="K912" s="47">
        <f t="shared" si="71"/>
        <v>-1.5193929173693086</v>
      </c>
      <c r="L912" s="8">
        <v>0.87</v>
      </c>
      <c r="O912" s="17">
        <f t="shared" si="72"/>
        <v>0</v>
      </c>
      <c r="P912" s="17">
        <f t="shared" si="73"/>
        <v>0</v>
      </c>
      <c r="Q912" s="17">
        <v>97.11</v>
      </c>
      <c r="R912" s="9">
        <v>20220803</v>
      </c>
      <c r="S912" s="9">
        <v>-1.17</v>
      </c>
      <c r="U912" s="9">
        <v>5746.7958900000003</v>
      </c>
      <c r="V912" s="45">
        <f t="shared" si="74"/>
        <v>-1</v>
      </c>
      <c r="W912" s="12">
        <v>1.75</v>
      </c>
      <c r="X912" s="12">
        <v>0</v>
      </c>
      <c r="Y912" s="62"/>
    </row>
    <row r="913" spans="1:25" x14ac:dyDescent="0.2">
      <c r="A913" s="3" t="s">
        <v>3217</v>
      </c>
      <c r="B913" s="3" t="s">
        <v>1067</v>
      </c>
      <c r="C913" s="6" t="s">
        <v>355</v>
      </c>
      <c r="D913" s="6" t="s">
        <v>191</v>
      </c>
      <c r="E913" s="6" t="s">
        <v>208</v>
      </c>
      <c r="F913" s="6">
        <v>5101.17</v>
      </c>
      <c r="G913" s="2">
        <v>12</v>
      </c>
      <c r="H913" s="61">
        <v>3.17</v>
      </c>
      <c r="I913" s="61">
        <v>3.31</v>
      </c>
      <c r="J913" s="47">
        <f t="shared" si="70"/>
        <v>-0.73583333333333334</v>
      </c>
      <c r="K913" s="47">
        <f t="shared" si="71"/>
        <v>4.4164037854889628E-2</v>
      </c>
      <c r="L913" s="8">
        <v>3.64</v>
      </c>
      <c r="M913" s="8">
        <v>19</v>
      </c>
      <c r="N913" s="8">
        <v>18.54</v>
      </c>
      <c r="O913" s="17">
        <f t="shared" si="72"/>
        <v>-0.25821064552661382</v>
      </c>
      <c r="P913" s="17">
        <f t="shared" si="73"/>
        <v>4.1979857142857107</v>
      </c>
      <c r="Q913" s="17">
        <v>16.829999999999998</v>
      </c>
      <c r="R913" s="9">
        <v>20220727</v>
      </c>
      <c r="S913" s="9">
        <v>16.88</v>
      </c>
      <c r="T913" s="9">
        <v>5.66</v>
      </c>
      <c r="U913" s="9">
        <v>1592.7120299999999</v>
      </c>
      <c r="V913" s="45">
        <f t="shared" si="74"/>
        <v>-0.99644631302244879</v>
      </c>
      <c r="W913" s="12">
        <v>8.82</v>
      </c>
      <c r="X913" s="12">
        <v>0</v>
      </c>
      <c r="Y913" s="62">
        <v>1.93</v>
      </c>
    </row>
    <row r="914" spans="1:25" x14ac:dyDescent="0.2">
      <c r="B914" s="3" t="s">
        <v>2161</v>
      </c>
      <c r="C914" s="6" t="s">
        <v>354</v>
      </c>
      <c r="D914" s="6" t="s">
        <v>519</v>
      </c>
      <c r="E914" s="6" t="s">
        <v>163</v>
      </c>
      <c r="F914" s="6">
        <v>30889.759999999998</v>
      </c>
      <c r="G914" s="2">
        <v>12</v>
      </c>
      <c r="H914" s="61"/>
      <c r="I914" s="61"/>
      <c r="J914" s="47">
        <f t="shared" si="70"/>
        <v>-1</v>
      </c>
      <c r="K914" s="47" t="e">
        <f t="shared" si="71"/>
        <v>#DIV/0!</v>
      </c>
      <c r="O914" s="17">
        <f t="shared" si="72"/>
        <v>0</v>
      </c>
      <c r="P914" s="17" t="e">
        <f t="shared" si="73"/>
        <v>#DIV/0!</v>
      </c>
      <c r="Q914" s="17"/>
      <c r="S914" s="9">
        <v>-50.56</v>
      </c>
      <c r="V914" s="45" t="e">
        <f t="shared" si="74"/>
        <v>#DIV/0!</v>
      </c>
      <c r="X914" s="12">
        <v>0</v>
      </c>
      <c r="Y914" s="62"/>
    </row>
    <row r="915" spans="1:25" x14ac:dyDescent="0.2">
      <c r="B915" s="3" t="s">
        <v>2162</v>
      </c>
      <c r="C915" s="6" t="s">
        <v>355</v>
      </c>
      <c r="D915" s="6" t="s">
        <v>519</v>
      </c>
      <c r="E915" s="6" t="s">
        <v>163</v>
      </c>
      <c r="F915" s="6">
        <v>7457.52</v>
      </c>
      <c r="G915" s="2">
        <v>12</v>
      </c>
      <c r="H915" s="61"/>
      <c r="I915" s="61"/>
      <c r="J915" s="47">
        <f t="shared" si="70"/>
        <v>-1</v>
      </c>
      <c r="K915" s="47" t="e">
        <f t="shared" si="71"/>
        <v>#DIV/0!</v>
      </c>
      <c r="O915" s="17">
        <f t="shared" si="72"/>
        <v>0</v>
      </c>
      <c r="P915" s="17" t="e">
        <f t="shared" si="73"/>
        <v>#DIV/0!</v>
      </c>
      <c r="Q915" s="17"/>
      <c r="V915" s="45" t="e">
        <f t="shared" si="74"/>
        <v>#DIV/0!</v>
      </c>
      <c r="X915" s="12">
        <v>0.26</v>
      </c>
      <c r="Y915" s="62"/>
    </row>
    <row r="916" spans="1:25" x14ac:dyDescent="0.2">
      <c r="A916" s="3" t="s">
        <v>3218</v>
      </c>
      <c r="B916" s="3" t="s">
        <v>1981</v>
      </c>
      <c r="C916" s="6" t="s">
        <v>356</v>
      </c>
      <c r="D916" s="6" t="s">
        <v>246</v>
      </c>
      <c r="E916" s="6" t="s">
        <v>250</v>
      </c>
      <c r="F916" s="6">
        <v>78280.77</v>
      </c>
      <c r="G916" s="2">
        <v>12</v>
      </c>
      <c r="H916" s="61">
        <v>2.4900000000000002</v>
      </c>
      <c r="I916" s="61">
        <v>2.72</v>
      </c>
      <c r="J916" s="47">
        <f t="shared" si="70"/>
        <v>-0.79249999999999998</v>
      </c>
      <c r="K916" s="47">
        <f t="shared" si="71"/>
        <v>9.2369477911646569E-2</v>
      </c>
      <c r="L916" s="8">
        <v>3.1</v>
      </c>
      <c r="M916" s="8">
        <v>19.07</v>
      </c>
      <c r="N916" s="8">
        <v>17.850000000000001</v>
      </c>
      <c r="O916" s="17">
        <f t="shared" si="72"/>
        <v>-0.24063091482649843</v>
      </c>
      <c r="P916" s="17">
        <f t="shared" si="73"/>
        <v>1.9324565217391312</v>
      </c>
      <c r="Q916" s="17">
        <v>15.72</v>
      </c>
      <c r="R916" s="9">
        <v>20220720</v>
      </c>
      <c r="S916" s="9">
        <v>6.91</v>
      </c>
      <c r="U916" s="9">
        <v>43822.800779999998</v>
      </c>
      <c r="V916" s="45">
        <f t="shared" si="74"/>
        <v>-1</v>
      </c>
      <c r="X916" s="12">
        <v>2.38</v>
      </c>
      <c r="Y916" s="62">
        <v>2.12</v>
      </c>
    </row>
    <row r="917" spans="1:25" x14ac:dyDescent="0.2">
      <c r="A917" s="3" t="s">
        <v>3219</v>
      </c>
      <c r="B917" s="3" t="s">
        <v>1068</v>
      </c>
      <c r="C917" s="6" t="s">
        <v>355</v>
      </c>
      <c r="D917" s="6" t="s">
        <v>885</v>
      </c>
      <c r="E917" s="6" t="s">
        <v>163</v>
      </c>
      <c r="F917" s="6">
        <v>24876.38</v>
      </c>
      <c r="G917" s="2">
        <v>12</v>
      </c>
      <c r="H917" s="61">
        <v>3.39</v>
      </c>
      <c r="I917" s="61">
        <v>3.69</v>
      </c>
      <c r="J917" s="47">
        <f t="shared" si="70"/>
        <v>-0.71749999999999992</v>
      </c>
      <c r="K917" s="47">
        <f t="shared" si="71"/>
        <v>8.8495575221238881E-2</v>
      </c>
      <c r="L917" s="8">
        <v>4.3499999999999996</v>
      </c>
      <c r="M917" s="8">
        <v>18.309999999999999</v>
      </c>
      <c r="N917" s="8">
        <v>16.11</v>
      </c>
      <c r="O917" s="17">
        <f t="shared" si="72"/>
        <v>-0.25519163763066205</v>
      </c>
      <c r="P917" s="17">
        <f t="shared" si="73"/>
        <v>1.8204300000000011</v>
      </c>
      <c r="Q917" s="17">
        <v>13.66</v>
      </c>
      <c r="R917" s="9">
        <v>20220719</v>
      </c>
      <c r="S917" s="9">
        <v>3.09</v>
      </c>
      <c r="T917" s="9">
        <v>11.08</v>
      </c>
      <c r="U917" s="9">
        <v>2949.1498999999999</v>
      </c>
      <c r="V917" s="45">
        <f t="shared" si="74"/>
        <v>-0.99624298513954823</v>
      </c>
      <c r="W917" s="12">
        <v>-1.2</v>
      </c>
      <c r="X917" s="12">
        <v>0.67</v>
      </c>
      <c r="Y917" s="62">
        <v>0.83</v>
      </c>
    </row>
    <row r="918" spans="1:25" x14ac:dyDescent="0.2">
      <c r="A918" s="3" t="s">
        <v>3220</v>
      </c>
      <c r="B918" s="3" t="s">
        <v>1069</v>
      </c>
      <c r="C918" s="6" t="s">
        <v>354</v>
      </c>
      <c r="D918" s="6" t="s">
        <v>130</v>
      </c>
      <c r="E918" s="6" t="s">
        <v>119</v>
      </c>
      <c r="F918" s="6">
        <v>123123.7</v>
      </c>
      <c r="G918" s="2">
        <v>12</v>
      </c>
      <c r="H918" s="61">
        <v>9.99</v>
      </c>
      <c r="I918" s="61">
        <v>9.89</v>
      </c>
      <c r="J918" s="47">
        <f t="shared" si="70"/>
        <v>-0.16749999999999998</v>
      </c>
      <c r="K918" s="47">
        <f t="shared" si="71"/>
        <v>-1.0010010010009973E-2</v>
      </c>
      <c r="L918" s="8">
        <v>10.81</v>
      </c>
      <c r="M918" s="8">
        <v>14.26</v>
      </c>
      <c r="N918" s="8">
        <v>13.84</v>
      </c>
      <c r="O918" s="17">
        <f t="shared" si="72"/>
        <v>-0.85134328358208955</v>
      </c>
      <c r="P918" s="17">
        <f t="shared" si="73"/>
        <v>-13.826160000000051</v>
      </c>
      <c r="Q918" s="17">
        <v>12.67</v>
      </c>
      <c r="R918" s="9">
        <v>20220718</v>
      </c>
      <c r="S918" s="9">
        <v>42.14</v>
      </c>
      <c r="T918" s="9">
        <v>-2.66</v>
      </c>
      <c r="U918" s="9">
        <v>60638.136709999999</v>
      </c>
      <c r="V918" s="45">
        <f t="shared" si="74"/>
        <v>-1.0000438667832543</v>
      </c>
      <c r="W918" s="12">
        <v>4.4800000000000004</v>
      </c>
      <c r="X918" s="12">
        <v>4.82</v>
      </c>
      <c r="Y918" s="62">
        <v>1.54</v>
      </c>
    </row>
    <row r="919" spans="1:25" x14ac:dyDescent="0.2">
      <c r="A919" s="3" t="s">
        <v>3221</v>
      </c>
      <c r="B919" s="3" t="s">
        <v>1070</v>
      </c>
      <c r="C919" s="6" t="s">
        <v>354</v>
      </c>
      <c r="D919" s="6" t="s">
        <v>69</v>
      </c>
      <c r="E919" s="6" t="s">
        <v>163</v>
      </c>
      <c r="F919" s="6">
        <v>65992.160000000003</v>
      </c>
      <c r="G919" s="2">
        <v>3</v>
      </c>
      <c r="H919" s="61">
        <v>0.88</v>
      </c>
      <c r="I919" s="61">
        <v>1.06</v>
      </c>
      <c r="J919" s="47">
        <f t="shared" si="70"/>
        <v>-0.70666666666666667</v>
      </c>
      <c r="K919" s="47">
        <f t="shared" si="71"/>
        <v>0.20454545454545461</v>
      </c>
      <c r="L919" s="8">
        <v>1.24</v>
      </c>
      <c r="M919" s="8">
        <v>21.58</v>
      </c>
      <c r="N919" s="8">
        <v>17.920000000000002</v>
      </c>
      <c r="O919" s="17">
        <f t="shared" si="72"/>
        <v>-0.30537735849056602</v>
      </c>
      <c r="P919" s="17">
        <f t="shared" si="73"/>
        <v>0.87608888888888869</v>
      </c>
      <c r="Q919" s="17">
        <v>15.28</v>
      </c>
      <c r="R919" s="9">
        <v>20220722</v>
      </c>
      <c r="S919" s="9">
        <v>13.02</v>
      </c>
      <c r="T919" s="9">
        <v>5.55</v>
      </c>
      <c r="U919" s="9">
        <v>10723.752920000001</v>
      </c>
      <c r="V919" s="45">
        <f t="shared" si="74"/>
        <v>-0.99948245730376273</v>
      </c>
      <c r="W919" s="12">
        <v>13.04</v>
      </c>
      <c r="X919" s="12">
        <v>0.26</v>
      </c>
      <c r="Y919" s="62">
        <v>2.31</v>
      </c>
    </row>
    <row r="920" spans="1:25" x14ac:dyDescent="0.2">
      <c r="A920" s="3" t="s">
        <v>3222</v>
      </c>
      <c r="B920" s="3" t="s">
        <v>1871</v>
      </c>
      <c r="C920" s="6" t="s">
        <v>355</v>
      </c>
      <c r="D920" s="6" t="s">
        <v>106</v>
      </c>
      <c r="E920" s="6" t="s">
        <v>163</v>
      </c>
      <c r="F920" s="6">
        <v>3041.58</v>
      </c>
      <c r="G920" s="2">
        <v>12</v>
      </c>
      <c r="H920" s="61">
        <v>5.22</v>
      </c>
      <c r="I920" s="61">
        <v>5.23</v>
      </c>
      <c r="J920" s="47">
        <f t="shared" si="70"/>
        <v>-0.56500000000000006</v>
      </c>
      <c r="K920" s="47">
        <f t="shared" si="71"/>
        <v>1.9157088122606658E-3</v>
      </c>
      <c r="L920" s="8">
        <v>5.74</v>
      </c>
      <c r="M920" s="8">
        <v>14.19</v>
      </c>
      <c r="N920" s="8">
        <v>13.77</v>
      </c>
      <c r="O920" s="17">
        <f t="shared" si="72"/>
        <v>-0.25115044247787605</v>
      </c>
      <c r="P920" s="17">
        <f t="shared" si="73"/>
        <v>71.879399999995144</v>
      </c>
      <c r="Q920" s="17">
        <v>12.54</v>
      </c>
      <c r="R920" s="9">
        <v>20220725</v>
      </c>
      <c r="S920" s="9">
        <v>8.5399999999999991</v>
      </c>
      <c r="T920" s="9">
        <v>20.440000000000001</v>
      </c>
      <c r="U920" s="9">
        <v>614.97496999999998</v>
      </c>
      <c r="V920" s="45">
        <f t="shared" si="74"/>
        <v>-0.96676287491830759</v>
      </c>
      <c r="W920" s="12">
        <v>8.93</v>
      </c>
      <c r="X920" s="12">
        <v>2.11</v>
      </c>
      <c r="Y920" s="62"/>
    </row>
    <row r="921" spans="1:25" x14ac:dyDescent="0.2">
      <c r="A921" s="3" t="s">
        <v>3223</v>
      </c>
      <c r="B921" s="3" t="s">
        <v>1071</v>
      </c>
      <c r="C921" s="6" t="s">
        <v>356</v>
      </c>
      <c r="D921" s="6" t="s">
        <v>235</v>
      </c>
      <c r="E921" s="6" t="s">
        <v>237</v>
      </c>
      <c r="F921" s="6">
        <v>3208.17</v>
      </c>
      <c r="G921" s="2">
        <v>12</v>
      </c>
      <c r="H921" s="61">
        <v>-1.38</v>
      </c>
      <c r="I921" s="61">
        <v>-0.05</v>
      </c>
      <c r="J921" s="47">
        <f t="shared" si="70"/>
        <v>-1.115</v>
      </c>
      <c r="K921" s="47">
        <f t="shared" si="71"/>
        <v>0.96376811594202894</v>
      </c>
      <c r="L921" s="8">
        <v>0.56000000000000005</v>
      </c>
      <c r="O921" s="17">
        <f t="shared" si="72"/>
        <v>0</v>
      </c>
      <c r="P921" s="17">
        <f t="shared" si="73"/>
        <v>0</v>
      </c>
      <c r="Q921" s="17">
        <v>5.82</v>
      </c>
      <c r="R921" s="9">
        <v>20220729</v>
      </c>
      <c r="S921" s="9">
        <v>-302.83999999999997</v>
      </c>
      <c r="T921" s="9">
        <v>-26.72</v>
      </c>
      <c r="U921" s="9">
        <v>23767.800780000001</v>
      </c>
      <c r="V921" s="45">
        <f t="shared" si="74"/>
        <v>-1.0011242100288253</v>
      </c>
      <c r="W921" s="12">
        <v>-162.86000000000001</v>
      </c>
      <c r="X921" s="12">
        <v>0</v>
      </c>
      <c r="Y921" s="62"/>
    </row>
    <row r="922" spans="1:25" x14ac:dyDescent="0.2">
      <c r="A922" s="3" t="s">
        <v>3224</v>
      </c>
      <c r="B922" s="3" t="s">
        <v>1072</v>
      </c>
      <c r="C922" s="6" t="s">
        <v>354</v>
      </c>
      <c r="D922" s="6" t="s">
        <v>610</v>
      </c>
      <c r="E922" s="6" t="s">
        <v>163</v>
      </c>
      <c r="F922" s="6">
        <v>55564.24</v>
      </c>
      <c r="G922" s="2">
        <v>12</v>
      </c>
      <c r="H922" s="61">
        <v>5.13</v>
      </c>
      <c r="I922" s="61">
        <v>5.49</v>
      </c>
      <c r="J922" s="47">
        <f t="shared" si="70"/>
        <v>-0.57250000000000001</v>
      </c>
      <c r="K922" s="47">
        <f t="shared" si="71"/>
        <v>7.0175438596491294E-2</v>
      </c>
      <c r="L922" s="8">
        <v>5.89</v>
      </c>
      <c r="M922" s="8">
        <v>19.03</v>
      </c>
      <c r="N922" s="8">
        <v>18.14</v>
      </c>
      <c r="O922" s="17">
        <f t="shared" si="72"/>
        <v>-0.33240174672489087</v>
      </c>
      <c r="P922" s="17">
        <f t="shared" si="73"/>
        <v>2.5849499999999974</v>
      </c>
      <c r="Q922" s="17">
        <v>16.899999999999999</v>
      </c>
      <c r="R922" s="9">
        <v>20220804</v>
      </c>
      <c r="S922" s="9">
        <v>13.41</v>
      </c>
      <c r="T922" s="9">
        <v>11.76</v>
      </c>
      <c r="U922" s="9">
        <v>7469.3618100000003</v>
      </c>
      <c r="V922" s="45">
        <f t="shared" si="74"/>
        <v>-0.99842556830166451</v>
      </c>
      <c r="W922" s="12">
        <v>0.7</v>
      </c>
      <c r="X922" s="12">
        <v>1.53</v>
      </c>
      <c r="Y922" s="62">
        <v>1.96</v>
      </c>
    </row>
    <row r="923" spans="1:25" x14ac:dyDescent="0.2">
      <c r="A923" s="3" t="s">
        <v>3225</v>
      </c>
      <c r="B923" s="3" t="s">
        <v>1073</v>
      </c>
      <c r="C923" s="6" t="s">
        <v>355</v>
      </c>
      <c r="D923" s="6" t="s">
        <v>195</v>
      </c>
      <c r="E923" s="6" t="s">
        <v>208</v>
      </c>
      <c r="F923" s="6">
        <v>17713.72</v>
      </c>
      <c r="G923" s="2">
        <v>12</v>
      </c>
      <c r="H923" s="61">
        <v>9.7100000000000009</v>
      </c>
      <c r="I923" s="61">
        <v>11.72</v>
      </c>
      <c r="J923" s="47">
        <f t="shared" si="70"/>
        <v>-0.19083333333333327</v>
      </c>
      <c r="K923" s="47">
        <f t="shared" si="71"/>
        <v>0.20700308959835217</v>
      </c>
      <c r="L923" s="8">
        <v>13.73</v>
      </c>
      <c r="M923" s="8">
        <v>21.63</v>
      </c>
      <c r="N923" s="8">
        <v>18.579999999999998</v>
      </c>
      <c r="O923" s="17">
        <f t="shared" si="72"/>
        <v>-1.1334497816593889</v>
      </c>
      <c r="P923" s="17">
        <f t="shared" si="73"/>
        <v>0.89757114427860696</v>
      </c>
      <c r="Q923" s="17">
        <v>15.86</v>
      </c>
      <c r="R923" s="9">
        <v>20220720</v>
      </c>
      <c r="S923" s="9">
        <v>11.33</v>
      </c>
      <c r="T923" s="9">
        <v>23.67</v>
      </c>
      <c r="U923" s="9">
        <v>7861.2997999999998</v>
      </c>
      <c r="V923" s="45">
        <f t="shared" si="74"/>
        <v>-0.99698904753638828</v>
      </c>
      <c r="W923" s="12">
        <v>1.85</v>
      </c>
      <c r="X923" s="12">
        <v>0</v>
      </c>
      <c r="Y923" s="62">
        <v>1.02</v>
      </c>
    </row>
    <row r="924" spans="1:25" x14ac:dyDescent="0.2">
      <c r="A924" s="3" t="s">
        <v>3226</v>
      </c>
      <c r="B924" s="3" t="s">
        <v>1074</v>
      </c>
      <c r="C924" s="6" t="s">
        <v>355</v>
      </c>
      <c r="D924" s="6" t="s">
        <v>193</v>
      </c>
      <c r="E924" s="6" t="s">
        <v>208</v>
      </c>
      <c r="F924" s="6">
        <v>4288.62</v>
      </c>
      <c r="G924" s="2">
        <v>12</v>
      </c>
      <c r="H924" s="61">
        <v>7.19</v>
      </c>
      <c r="I924" s="61">
        <v>9.27</v>
      </c>
      <c r="J924" s="47">
        <f t="shared" si="70"/>
        <v>-0.40083333333333332</v>
      </c>
      <c r="K924" s="47">
        <f t="shared" si="71"/>
        <v>0.28929068150208609</v>
      </c>
      <c r="L924" s="8">
        <v>10.88</v>
      </c>
      <c r="M924" s="8">
        <v>23.65</v>
      </c>
      <c r="N924" s="8">
        <v>19.36</v>
      </c>
      <c r="O924" s="17">
        <f t="shared" si="72"/>
        <v>-0.59002079002079011</v>
      </c>
      <c r="P924" s="17">
        <f t="shared" si="73"/>
        <v>0.66922307692307725</v>
      </c>
      <c r="Q924" s="17">
        <v>16.5</v>
      </c>
      <c r="R924" s="9">
        <v>20220803</v>
      </c>
      <c r="S924" s="9">
        <v>7.89</v>
      </c>
      <c r="T924" s="9">
        <v>3.8</v>
      </c>
      <c r="U924" s="9">
        <v>2335.8998999999999</v>
      </c>
      <c r="V924" s="45">
        <f t="shared" si="74"/>
        <v>-0.99837321796195111</v>
      </c>
      <c r="W924" s="12">
        <v>1.68</v>
      </c>
      <c r="X924" s="12">
        <v>0</v>
      </c>
      <c r="Y924" s="62"/>
    </row>
    <row r="925" spans="1:25" x14ac:dyDescent="0.2">
      <c r="A925" s="3" t="s">
        <v>3227</v>
      </c>
      <c r="B925" s="3" t="s">
        <v>1075</v>
      </c>
      <c r="C925" s="6" t="s">
        <v>354</v>
      </c>
      <c r="D925" s="6" t="s">
        <v>246</v>
      </c>
      <c r="E925" s="6" t="s">
        <v>250</v>
      </c>
      <c r="F925" s="6">
        <v>5459.88</v>
      </c>
      <c r="G925" s="2">
        <v>12</v>
      </c>
      <c r="H925" s="61">
        <v>4.87</v>
      </c>
      <c r="I925" s="61">
        <v>5</v>
      </c>
      <c r="J925" s="47">
        <f t="shared" si="70"/>
        <v>-0.59416666666666662</v>
      </c>
      <c r="K925" s="47">
        <f t="shared" si="71"/>
        <v>2.6694045174537964E-2</v>
      </c>
      <c r="L925" s="8">
        <v>5.18</v>
      </c>
      <c r="M925" s="8">
        <v>22.17</v>
      </c>
      <c r="N925" s="8">
        <v>21.6</v>
      </c>
      <c r="O925" s="17">
        <f t="shared" si="72"/>
        <v>-0.37312762973352037</v>
      </c>
      <c r="P925" s="17">
        <f t="shared" si="73"/>
        <v>8.0916923076923162</v>
      </c>
      <c r="Q925" s="17">
        <v>20.85</v>
      </c>
      <c r="R925" s="9">
        <v>20220804</v>
      </c>
      <c r="S925" s="9">
        <v>9.2799999999999994</v>
      </c>
      <c r="T925" s="9">
        <v>1.4</v>
      </c>
      <c r="V925" s="45" t="e">
        <f t="shared" si="74"/>
        <v>#DIV/0!</v>
      </c>
      <c r="W925" s="12">
        <v>-2.99</v>
      </c>
      <c r="X925" s="12">
        <v>2.78</v>
      </c>
      <c r="Y925" s="62">
        <v>7.66</v>
      </c>
    </row>
    <row r="926" spans="1:25" x14ac:dyDescent="0.2">
      <c r="A926" s="3" t="s">
        <v>3228</v>
      </c>
      <c r="B926" s="3" t="s">
        <v>1982</v>
      </c>
      <c r="C926" s="6" t="s">
        <v>356</v>
      </c>
      <c r="D926" s="6" t="s">
        <v>69</v>
      </c>
      <c r="E926" s="6" t="s">
        <v>163</v>
      </c>
      <c r="F926" s="6">
        <v>211170.73</v>
      </c>
      <c r="G926" s="2">
        <v>12</v>
      </c>
      <c r="H926" s="61"/>
      <c r="I926" s="61"/>
      <c r="J926" s="47">
        <f t="shared" si="70"/>
        <v>-1</v>
      </c>
      <c r="K926" s="47" t="e">
        <f t="shared" si="71"/>
        <v>#DIV/0!</v>
      </c>
      <c r="M926" s="8">
        <v>4.03</v>
      </c>
      <c r="O926" s="17">
        <f t="shared" si="72"/>
        <v>-4.0300000000000002E-2</v>
      </c>
      <c r="P926" s="17" t="e">
        <f t="shared" si="73"/>
        <v>#DIV/0!</v>
      </c>
      <c r="Q926" s="17"/>
      <c r="R926" s="9">
        <v>20220602</v>
      </c>
      <c r="S926" s="9">
        <v>11.39</v>
      </c>
      <c r="T926" s="9">
        <v>7.12</v>
      </c>
      <c r="V926" s="45" t="e">
        <f t="shared" si="74"/>
        <v>#DIV/0!</v>
      </c>
      <c r="X926" s="12">
        <v>5.82</v>
      </c>
      <c r="Y926" s="62"/>
    </row>
    <row r="927" spans="1:25" x14ac:dyDescent="0.2">
      <c r="A927" s="3" t="s">
        <v>3229</v>
      </c>
      <c r="B927" s="3" t="s">
        <v>3230</v>
      </c>
      <c r="C927" s="6" t="s">
        <v>356</v>
      </c>
      <c r="D927" s="6" t="s">
        <v>219</v>
      </c>
      <c r="E927" s="6" t="s">
        <v>231</v>
      </c>
      <c r="F927" s="6">
        <v>72399.83</v>
      </c>
      <c r="G927" s="2">
        <v>1</v>
      </c>
      <c r="H927" s="61">
        <v>0.68</v>
      </c>
      <c r="I927" s="61">
        <v>0.63</v>
      </c>
      <c r="J927" s="47">
        <f t="shared" si="70"/>
        <v>-0.31999999999999995</v>
      </c>
      <c r="K927" s="47">
        <f t="shared" si="71"/>
        <v>-7.352941176470594E-2</v>
      </c>
      <c r="L927" s="8">
        <v>0.72</v>
      </c>
      <c r="M927" s="8">
        <v>19.04</v>
      </c>
      <c r="N927" s="8">
        <v>18.53</v>
      </c>
      <c r="O927" s="17">
        <f t="shared" si="72"/>
        <v>-0.59500000000000008</v>
      </c>
      <c r="P927" s="17">
        <f t="shared" si="73"/>
        <v>-2.5200799999999983</v>
      </c>
      <c r="Q927" s="17">
        <v>16.21</v>
      </c>
      <c r="R927" s="9">
        <v>20220608</v>
      </c>
      <c r="S927" s="9">
        <v>22.3</v>
      </c>
      <c r="T927" s="9">
        <v>0.01</v>
      </c>
      <c r="U927" s="9">
        <v>30782.109369999998</v>
      </c>
      <c r="V927" s="45">
        <f t="shared" si="74"/>
        <v>-0.99999967513597332</v>
      </c>
      <c r="W927" s="12">
        <v>-33.33</v>
      </c>
      <c r="X927" s="12">
        <v>3</v>
      </c>
      <c r="Y927" s="62"/>
    </row>
    <row r="928" spans="1:25" x14ac:dyDescent="0.2">
      <c r="B928" s="3" t="s">
        <v>2163</v>
      </c>
      <c r="C928" s="6" t="s">
        <v>570</v>
      </c>
      <c r="D928" s="6" t="s">
        <v>519</v>
      </c>
      <c r="E928" s="6" t="s">
        <v>163</v>
      </c>
      <c r="F928" s="6">
        <v>4989.63</v>
      </c>
      <c r="G928" s="2">
        <v>12</v>
      </c>
      <c r="H928" s="61"/>
      <c r="I928" s="61"/>
      <c r="J928" s="47">
        <f t="shared" si="70"/>
        <v>-1</v>
      </c>
      <c r="K928" s="47" t="e">
        <f t="shared" si="71"/>
        <v>#DIV/0!</v>
      </c>
      <c r="O928" s="17">
        <f t="shared" si="72"/>
        <v>0</v>
      </c>
      <c r="P928" s="17" t="e">
        <f t="shared" si="73"/>
        <v>#DIV/0!</v>
      </c>
      <c r="Q928" s="17"/>
      <c r="V928" s="45" t="e">
        <f t="shared" si="74"/>
        <v>#DIV/0!</v>
      </c>
      <c r="X928" s="12">
        <v>5.41</v>
      </c>
      <c r="Y928" s="62"/>
    </row>
    <row r="929" spans="1:25" x14ac:dyDescent="0.2">
      <c r="A929" s="3" t="s">
        <v>3231</v>
      </c>
      <c r="B929" s="3" t="s">
        <v>1076</v>
      </c>
      <c r="C929" s="6" t="s">
        <v>355</v>
      </c>
      <c r="D929" s="6" t="s">
        <v>191</v>
      </c>
      <c r="E929" s="6" t="s">
        <v>208</v>
      </c>
      <c r="F929" s="6">
        <v>32336.06</v>
      </c>
      <c r="G929" s="2">
        <v>12</v>
      </c>
      <c r="H929" s="61">
        <v>8.3800000000000008</v>
      </c>
      <c r="I929" s="61">
        <v>8.24</v>
      </c>
      <c r="J929" s="47">
        <f t="shared" si="70"/>
        <v>-0.30166666666666658</v>
      </c>
      <c r="K929" s="47">
        <f t="shared" si="71"/>
        <v>-1.6706443914081211E-2</v>
      </c>
      <c r="L929" s="8">
        <v>10.33</v>
      </c>
      <c r="M929" s="8">
        <v>45.13</v>
      </c>
      <c r="N929" s="8">
        <v>46.72</v>
      </c>
      <c r="O929" s="17">
        <f t="shared" si="72"/>
        <v>-1.4960220994475144</v>
      </c>
      <c r="P929" s="17">
        <f t="shared" si="73"/>
        <v>-27.965257142857034</v>
      </c>
      <c r="Q929" s="17">
        <v>37.26</v>
      </c>
      <c r="R929" s="9">
        <v>20220729</v>
      </c>
      <c r="S929" s="9">
        <v>103.7</v>
      </c>
      <c r="T929" s="9">
        <v>12.4</v>
      </c>
      <c r="U929" s="9">
        <v>3436.3898899999999</v>
      </c>
      <c r="V929" s="45">
        <f t="shared" si="74"/>
        <v>-0.99639156195981005</v>
      </c>
      <c r="W929" s="12">
        <v>0.89</v>
      </c>
      <c r="X929" s="12">
        <v>0</v>
      </c>
      <c r="Y929" s="62">
        <v>2.4500000000000002</v>
      </c>
    </row>
    <row r="930" spans="1:25" x14ac:dyDescent="0.2">
      <c r="B930" s="3" t="s">
        <v>2164</v>
      </c>
      <c r="C930" s="6" t="s">
        <v>355</v>
      </c>
      <c r="D930" s="6" t="s">
        <v>519</v>
      </c>
      <c r="E930" s="6" t="s">
        <v>163</v>
      </c>
      <c r="F930" s="6">
        <v>18422.740000000002</v>
      </c>
      <c r="G930" s="2">
        <v>12</v>
      </c>
      <c r="H930" s="61"/>
      <c r="I930" s="61"/>
      <c r="J930" s="47">
        <f t="shared" si="70"/>
        <v>-1</v>
      </c>
      <c r="K930" s="47" t="e">
        <f t="shared" si="71"/>
        <v>#DIV/0!</v>
      </c>
      <c r="O930" s="17">
        <f t="shared" si="72"/>
        <v>0</v>
      </c>
      <c r="P930" s="17" t="e">
        <f t="shared" si="73"/>
        <v>#DIV/0!</v>
      </c>
      <c r="Q930" s="17"/>
      <c r="V930" s="45" t="e">
        <f t="shared" si="74"/>
        <v>#DIV/0!</v>
      </c>
      <c r="X930" s="12">
        <v>1.08</v>
      </c>
      <c r="Y930" s="62"/>
    </row>
    <row r="931" spans="1:25" x14ac:dyDescent="0.2">
      <c r="A931" s="3" t="s">
        <v>3232</v>
      </c>
      <c r="B931" s="3" t="s">
        <v>2165</v>
      </c>
      <c r="C931" s="6" t="s">
        <v>355</v>
      </c>
      <c r="D931" s="6" t="s">
        <v>590</v>
      </c>
      <c r="E931" s="6" t="s">
        <v>589</v>
      </c>
      <c r="F931" s="6">
        <v>15741.33</v>
      </c>
      <c r="G931" s="2">
        <v>12</v>
      </c>
      <c r="H931" s="61">
        <v>-0.33</v>
      </c>
      <c r="I931" s="61">
        <v>0.43</v>
      </c>
      <c r="J931" s="47">
        <f t="shared" si="70"/>
        <v>-1.0275000000000001</v>
      </c>
      <c r="K931" s="47">
        <f t="shared" si="71"/>
        <v>2.3030303030303028</v>
      </c>
      <c r="L931" s="8">
        <v>0.68</v>
      </c>
      <c r="N931" s="8">
        <v>119.26</v>
      </c>
      <c r="O931" s="17">
        <f t="shared" si="72"/>
        <v>0</v>
      </c>
      <c r="P931" s="17">
        <f t="shared" si="73"/>
        <v>0.51783947368421057</v>
      </c>
      <c r="Q931" s="17">
        <v>75.41</v>
      </c>
      <c r="R931" s="9">
        <v>20220805</v>
      </c>
      <c r="S931" s="9">
        <v>-3.62</v>
      </c>
      <c r="T931" s="9">
        <v>-18.489999999999998</v>
      </c>
      <c r="U931" s="9">
        <v>10135</v>
      </c>
      <c r="V931" s="45">
        <f t="shared" si="74"/>
        <v>-1.0018243709916133</v>
      </c>
      <c r="W931" s="12">
        <v>715.38</v>
      </c>
      <c r="X931" s="12">
        <v>15.6</v>
      </c>
      <c r="Y931" s="62"/>
    </row>
    <row r="932" spans="1:25" x14ac:dyDescent="0.2">
      <c r="A932" s="3" t="s">
        <v>3233</v>
      </c>
      <c r="B932" s="3" t="s">
        <v>158</v>
      </c>
      <c r="C932" s="6" t="s">
        <v>354</v>
      </c>
      <c r="D932" s="6" t="s">
        <v>183</v>
      </c>
      <c r="E932" s="6" t="s">
        <v>201</v>
      </c>
      <c r="F932" s="6">
        <v>14373.42</v>
      </c>
      <c r="G932" s="2">
        <v>12</v>
      </c>
      <c r="H932" s="61">
        <v>6.34</v>
      </c>
      <c r="I932" s="61">
        <v>7.69</v>
      </c>
      <c r="J932" s="47">
        <f t="shared" si="70"/>
        <v>-0.47166666666666668</v>
      </c>
      <c r="K932" s="47">
        <f t="shared" si="71"/>
        <v>0.21293375394321776</v>
      </c>
      <c r="L932" s="8">
        <v>8.3800000000000008</v>
      </c>
      <c r="M932" s="8">
        <v>28.02</v>
      </c>
      <c r="N932" s="8">
        <v>24.6</v>
      </c>
      <c r="O932" s="17">
        <f t="shared" si="72"/>
        <v>-0.59406360424028259</v>
      </c>
      <c r="P932" s="17">
        <f t="shared" si="73"/>
        <v>1.1552888888888886</v>
      </c>
      <c r="Q932" s="17">
        <v>22.57</v>
      </c>
      <c r="R932" s="9">
        <v>20220726</v>
      </c>
      <c r="S932" s="9">
        <v>18.61</v>
      </c>
      <c r="T932" s="9">
        <v>3.36</v>
      </c>
      <c r="U932" s="9">
        <v>3070.7080000000001</v>
      </c>
      <c r="V932" s="45">
        <f t="shared" si="74"/>
        <v>-0.99890578980482669</v>
      </c>
      <c r="W932" s="12">
        <v>12.64</v>
      </c>
      <c r="X932" s="12">
        <v>1.27</v>
      </c>
      <c r="Y932" s="62">
        <v>2.0499999999999998</v>
      </c>
    </row>
    <row r="933" spans="1:25" x14ac:dyDescent="0.2">
      <c r="A933" s="3" t="s">
        <v>3234</v>
      </c>
      <c r="B933" s="3" t="s">
        <v>1077</v>
      </c>
      <c r="C933" s="6" t="s">
        <v>354</v>
      </c>
      <c r="D933" s="6" t="s">
        <v>136</v>
      </c>
      <c r="E933" s="6" t="s">
        <v>154</v>
      </c>
      <c r="F933" s="6">
        <v>33383.78</v>
      </c>
      <c r="G933" s="2">
        <v>12</v>
      </c>
      <c r="H933" s="61">
        <v>5.6</v>
      </c>
      <c r="I933" s="61">
        <v>5.76</v>
      </c>
      <c r="J933" s="47">
        <f t="shared" si="70"/>
        <v>-0.53333333333333333</v>
      </c>
      <c r="K933" s="47">
        <f t="shared" si="71"/>
        <v>2.8571428571428598E-2</v>
      </c>
      <c r="L933" s="8">
        <v>6.59</v>
      </c>
      <c r="M933" s="8">
        <v>22.74</v>
      </c>
      <c r="N933" s="8">
        <v>22.73</v>
      </c>
      <c r="O933" s="17">
        <f t="shared" si="72"/>
        <v>-0.42637499999999995</v>
      </c>
      <c r="P933" s="17">
        <f t="shared" si="73"/>
        <v>7.9554999999999927</v>
      </c>
      <c r="Q933" s="17">
        <v>19.89</v>
      </c>
      <c r="R933" s="9">
        <v>20220804</v>
      </c>
      <c r="S933" s="9">
        <v>6.89</v>
      </c>
      <c r="T933" s="9">
        <v>29.52</v>
      </c>
      <c r="U933" s="9">
        <v>12793.342769999999</v>
      </c>
      <c r="V933" s="45">
        <f t="shared" si="74"/>
        <v>-0.99769254990421863</v>
      </c>
      <c r="W933" s="12">
        <v>29.01</v>
      </c>
      <c r="X933" s="12">
        <v>2.41</v>
      </c>
      <c r="Y933" s="62">
        <v>2.23</v>
      </c>
    </row>
    <row r="934" spans="1:25" x14ac:dyDescent="0.2">
      <c r="A934" s="3" t="s">
        <v>3235</v>
      </c>
      <c r="B934" s="3" t="s">
        <v>1078</v>
      </c>
      <c r="C934" s="6" t="s">
        <v>356</v>
      </c>
      <c r="D934" s="6" t="s">
        <v>143</v>
      </c>
      <c r="E934" s="6" t="s">
        <v>119</v>
      </c>
      <c r="F934" s="6">
        <v>38994.769999999997</v>
      </c>
      <c r="G934" s="2">
        <v>9</v>
      </c>
      <c r="H934" s="61">
        <v>1.3</v>
      </c>
      <c r="I934" s="61">
        <v>1.88</v>
      </c>
      <c r="J934" s="47">
        <f t="shared" si="70"/>
        <v>-0.85555555555555562</v>
      </c>
      <c r="K934" s="47">
        <f t="shared" si="71"/>
        <v>0.44615384615384601</v>
      </c>
      <c r="L934" s="8">
        <v>1.95</v>
      </c>
      <c r="M934" s="8">
        <v>16.87</v>
      </c>
      <c r="N934" s="8">
        <v>15.88</v>
      </c>
      <c r="O934" s="17">
        <f t="shared" si="72"/>
        <v>-0.19718181818181818</v>
      </c>
      <c r="P934" s="17">
        <f t="shared" si="73"/>
        <v>0.35593103448275876</v>
      </c>
      <c r="Q934" s="17">
        <v>15.31</v>
      </c>
      <c r="R934" s="9">
        <v>20220802</v>
      </c>
      <c r="S934" s="9">
        <v>17.25</v>
      </c>
      <c r="T934" s="9">
        <v>12.3</v>
      </c>
      <c r="U934" s="9">
        <v>14181.62011</v>
      </c>
      <c r="V934" s="45">
        <f t="shared" si="74"/>
        <v>-0.99913268019418133</v>
      </c>
      <c r="W934" s="12">
        <v>2.08</v>
      </c>
      <c r="X934" s="12">
        <v>0.7</v>
      </c>
      <c r="Y934" s="62">
        <v>0.77</v>
      </c>
    </row>
    <row r="935" spans="1:25" x14ac:dyDescent="0.2">
      <c r="A935" s="3" t="s">
        <v>3236</v>
      </c>
      <c r="B935" s="3" t="s">
        <v>3237</v>
      </c>
      <c r="C935" s="6" t="s">
        <v>354</v>
      </c>
      <c r="D935" s="6" t="s">
        <v>151</v>
      </c>
      <c r="E935" s="6" t="s">
        <v>163</v>
      </c>
      <c r="F935" s="6">
        <v>3037.85</v>
      </c>
      <c r="G935" s="2">
        <v>12</v>
      </c>
      <c r="H935" s="61">
        <v>4.16</v>
      </c>
      <c r="I935" s="61">
        <v>3.8</v>
      </c>
      <c r="J935" s="47">
        <f t="shared" si="70"/>
        <v>-0.65333333333333332</v>
      </c>
      <c r="K935" s="47">
        <f t="shared" si="71"/>
        <v>-8.6538461538461606E-2</v>
      </c>
      <c r="L935" s="8">
        <v>4.22</v>
      </c>
      <c r="M935" s="8">
        <v>7.13</v>
      </c>
      <c r="N935" s="8">
        <v>6.93</v>
      </c>
      <c r="O935" s="17">
        <f t="shared" si="72"/>
        <v>-0.10913265306122449</v>
      </c>
      <c r="P935" s="17">
        <f t="shared" si="73"/>
        <v>-0.8007999999999994</v>
      </c>
      <c r="Q935" s="17">
        <v>6.24</v>
      </c>
      <c r="R935" s="9">
        <v>20220810</v>
      </c>
      <c r="S935" s="9">
        <v>17.440000000000001</v>
      </c>
      <c r="U935" s="9">
        <v>1418.9300499999999</v>
      </c>
      <c r="V935" s="45">
        <f t="shared" si="74"/>
        <v>-1</v>
      </c>
      <c r="W935" s="12">
        <v>-3.19</v>
      </c>
      <c r="X935" s="12">
        <v>6.32</v>
      </c>
      <c r="Y935" s="62">
        <v>0.47</v>
      </c>
    </row>
    <row r="936" spans="1:25" x14ac:dyDescent="0.2">
      <c r="B936" s="3" t="s">
        <v>2166</v>
      </c>
      <c r="C936" s="6" t="s">
        <v>355</v>
      </c>
      <c r="D936" s="6" t="s">
        <v>519</v>
      </c>
      <c r="E936" s="6" t="s">
        <v>163</v>
      </c>
      <c r="F936" s="6">
        <v>10268.209999999999</v>
      </c>
      <c r="G936" s="2">
        <v>12</v>
      </c>
      <c r="H936" s="61"/>
      <c r="I936" s="61"/>
      <c r="J936" s="47">
        <f t="shared" si="70"/>
        <v>-1</v>
      </c>
      <c r="K936" s="47" t="e">
        <f t="shared" si="71"/>
        <v>#DIV/0!</v>
      </c>
      <c r="O936" s="17">
        <f t="shared" si="72"/>
        <v>0</v>
      </c>
      <c r="P936" s="17" t="e">
        <f t="shared" si="73"/>
        <v>#DIV/0!</v>
      </c>
      <c r="Q936" s="17"/>
      <c r="V936" s="45" t="e">
        <f t="shared" si="74"/>
        <v>#DIV/0!</v>
      </c>
      <c r="X936" s="12">
        <v>2.83</v>
      </c>
      <c r="Y936" s="62"/>
    </row>
    <row r="937" spans="1:25" x14ac:dyDescent="0.2">
      <c r="B937" s="3" t="s">
        <v>2167</v>
      </c>
      <c r="C937" s="6" t="s">
        <v>355</v>
      </c>
      <c r="D937" s="6" t="s">
        <v>519</v>
      </c>
      <c r="E937" s="6" t="s">
        <v>163</v>
      </c>
      <c r="F937" s="6">
        <v>21659.43</v>
      </c>
      <c r="G937" s="2">
        <v>12</v>
      </c>
      <c r="H937" s="61"/>
      <c r="I937" s="61"/>
      <c r="J937" s="47">
        <f t="shared" si="70"/>
        <v>-1</v>
      </c>
      <c r="K937" s="47" t="e">
        <f t="shared" si="71"/>
        <v>#DIV/0!</v>
      </c>
      <c r="O937" s="17">
        <f t="shared" si="72"/>
        <v>0</v>
      </c>
      <c r="P937" s="17" t="e">
        <f t="shared" si="73"/>
        <v>#DIV/0!</v>
      </c>
      <c r="Q937" s="17"/>
      <c r="V937" s="45" t="e">
        <f t="shared" si="74"/>
        <v>#DIV/0!</v>
      </c>
      <c r="X937" s="12">
        <v>1.79</v>
      </c>
      <c r="Y937" s="62"/>
    </row>
    <row r="938" spans="1:25" x14ac:dyDescent="0.2">
      <c r="A938" s="3" t="s">
        <v>1983</v>
      </c>
      <c r="B938" s="3" t="s">
        <v>1984</v>
      </c>
      <c r="C938" s="6" t="s">
        <v>354</v>
      </c>
      <c r="D938" s="6" t="s">
        <v>157</v>
      </c>
      <c r="E938" s="6" t="s">
        <v>146</v>
      </c>
      <c r="F938" s="6">
        <v>4283.5600000000004</v>
      </c>
      <c r="G938" s="2">
        <v>12</v>
      </c>
      <c r="H938" s="61">
        <v>0.53</v>
      </c>
      <c r="I938" s="61">
        <v>1.4</v>
      </c>
      <c r="J938" s="47">
        <f t="shared" si="70"/>
        <v>-0.95583333333333342</v>
      </c>
      <c r="K938" s="47">
        <f t="shared" si="71"/>
        <v>1.6415094339622638</v>
      </c>
      <c r="L938" s="8">
        <v>1.77</v>
      </c>
      <c r="M938" s="8">
        <v>67.84</v>
      </c>
      <c r="N938" s="8">
        <v>14.99</v>
      </c>
      <c r="O938" s="17">
        <f t="shared" si="72"/>
        <v>-0.70974716652136005</v>
      </c>
      <c r="P938" s="17">
        <f t="shared" si="73"/>
        <v>9.1318390804597721E-2</v>
      </c>
      <c r="Q938" s="17">
        <v>11.9</v>
      </c>
      <c r="R938" s="9">
        <v>20220802</v>
      </c>
      <c r="S938" s="9">
        <v>3.35</v>
      </c>
      <c r="T938" s="9">
        <v>-6.66</v>
      </c>
      <c r="U938" s="9">
        <v>4117.5629799999997</v>
      </c>
      <c r="V938" s="45">
        <f t="shared" si="74"/>
        <v>-1.001617461598608</v>
      </c>
      <c r="W938" s="12">
        <v>14.71</v>
      </c>
      <c r="X938" s="12">
        <v>3.8</v>
      </c>
      <c r="Y938" s="62"/>
    </row>
    <row r="939" spans="1:25" x14ac:dyDescent="0.2">
      <c r="A939" s="3" t="s">
        <v>1079</v>
      </c>
      <c r="B939" s="3" t="s">
        <v>1080</v>
      </c>
      <c r="C939" s="6" t="s">
        <v>354</v>
      </c>
      <c r="D939" s="6" t="s">
        <v>160</v>
      </c>
      <c r="E939" s="6" t="s">
        <v>146</v>
      </c>
      <c r="F939" s="6">
        <v>11442.14</v>
      </c>
      <c r="G939" s="2">
        <v>12</v>
      </c>
      <c r="H939" s="61">
        <v>1.36</v>
      </c>
      <c r="I939" s="61">
        <v>2.54</v>
      </c>
      <c r="J939" s="47">
        <f t="shared" si="70"/>
        <v>-0.88666666666666671</v>
      </c>
      <c r="K939" s="47">
        <f t="shared" si="71"/>
        <v>0.86764705882352933</v>
      </c>
      <c r="L939" s="8">
        <v>3.27</v>
      </c>
      <c r="N939" s="8">
        <v>24.48</v>
      </c>
      <c r="O939" s="17">
        <f t="shared" si="72"/>
        <v>0</v>
      </c>
      <c r="P939" s="17">
        <f t="shared" si="73"/>
        <v>0.28214237288135596</v>
      </c>
      <c r="Q939" s="17">
        <v>19</v>
      </c>
      <c r="U939" s="9">
        <v>2935.1049800000001</v>
      </c>
      <c r="V939" s="45">
        <f t="shared" si="74"/>
        <v>-1</v>
      </c>
      <c r="X939" s="12">
        <v>1.38</v>
      </c>
      <c r="Y939" s="62">
        <v>0.74</v>
      </c>
    </row>
    <row r="940" spans="1:25" x14ac:dyDescent="0.2">
      <c r="A940" s="3" t="s">
        <v>3238</v>
      </c>
      <c r="B940" s="3" t="s">
        <v>3239</v>
      </c>
      <c r="C940" s="6" t="s">
        <v>356</v>
      </c>
      <c r="D940" s="6" t="s">
        <v>183</v>
      </c>
      <c r="E940" s="6" t="s">
        <v>201</v>
      </c>
      <c r="F940" s="6">
        <v>4318.66</v>
      </c>
      <c r="G940" s="2">
        <v>3</v>
      </c>
      <c r="H940" s="61">
        <v>0.84</v>
      </c>
      <c r="I940" s="61">
        <v>0.69</v>
      </c>
      <c r="J940" s="47">
        <f t="shared" si="70"/>
        <v>-0.72000000000000008</v>
      </c>
      <c r="K940" s="47">
        <f t="shared" si="71"/>
        <v>-0.1785714285714286</v>
      </c>
      <c r="L940" s="8">
        <v>0.86</v>
      </c>
      <c r="M940" s="8">
        <v>7.27</v>
      </c>
      <c r="N940" s="8">
        <v>10.119999999999999</v>
      </c>
      <c r="O940" s="17">
        <f t="shared" si="72"/>
        <v>-0.1009722222222222</v>
      </c>
      <c r="P940" s="17">
        <f t="shared" si="73"/>
        <v>-0.56671999999999978</v>
      </c>
      <c r="Q940" s="17">
        <v>8.1199999999999992</v>
      </c>
      <c r="R940" s="9">
        <v>20220809</v>
      </c>
      <c r="S940" s="9">
        <v>18.61</v>
      </c>
      <c r="T940" s="9">
        <v>-7.04</v>
      </c>
      <c r="U940" s="9">
        <v>11486.365229999999</v>
      </c>
      <c r="V940" s="45">
        <f t="shared" si="74"/>
        <v>-1.0006129005876998</v>
      </c>
      <c r="W940" s="12">
        <v>103.7</v>
      </c>
      <c r="X940" s="12">
        <v>1.38</v>
      </c>
      <c r="Y940" s="62"/>
    </row>
    <row r="941" spans="1:25" x14ac:dyDescent="0.2">
      <c r="A941" s="3" t="s">
        <v>3240</v>
      </c>
      <c r="B941" s="3" t="s">
        <v>3241</v>
      </c>
      <c r="C941" s="6" t="s">
        <v>354</v>
      </c>
      <c r="D941" s="6" t="s">
        <v>432</v>
      </c>
      <c r="E941" s="6" t="s">
        <v>119</v>
      </c>
      <c r="F941" s="6">
        <v>3769.94</v>
      </c>
      <c r="G941" s="2">
        <v>12</v>
      </c>
      <c r="H941" s="61">
        <v>0.18</v>
      </c>
      <c r="I941" s="61">
        <v>0.3</v>
      </c>
      <c r="J941" s="47">
        <f t="shared" si="70"/>
        <v>-0.98499999999999999</v>
      </c>
      <c r="K941" s="47">
        <f t="shared" si="71"/>
        <v>0.66666666666666663</v>
      </c>
      <c r="L941" s="8">
        <v>0.53</v>
      </c>
      <c r="N941" s="8">
        <v>38.33</v>
      </c>
      <c r="O941" s="17">
        <f t="shared" si="72"/>
        <v>0</v>
      </c>
      <c r="P941" s="17">
        <f t="shared" si="73"/>
        <v>0.57495000000000007</v>
      </c>
      <c r="Q941" s="17">
        <v>21.7</v>
      </c>
      <c r="R941" s="9">
        <v>20220816</v>
      </c>
      <c r="U941" s="9">
        <v>1901.84997</v>
      </c>
      <c r="V941" s="45">
        <f t="shared" si="74"/>
        <v>-1</v>
      </c>
      <c r="W941" s="12">
        <v>-16.670000000000002</v>
      </c>
      <c r="X941" s="12">
        <v>0</v>
      </c>
      <c r="Y941" s="62"/>
    </row>
    <row r="942" spans="1:25" x14ac:dyDescent="0.2">
      <c r="A942" s="3" t="s">
        <v>3242</v>
      </c>
      <c r="B942" s="3" t="s">
        <v>3243</v>
      </c>
      <c r="C942" s="6" t="s">
        <v>356</v>
      </c>
      <c r="D942" s="6" t="s">
        <v>176</v>
      </c>
      <c r="E942" s="6" t="s">
        <v>119</v>
      </c>
      <c r="F942" s="6">
        <v>3488.85</v>
      </c>
      <c r="G942" s="2">
        <v>3</v>
      </c>
      <c r="H942" s="61">
        <v>1.52</v>
      </c>
      <c r="I942" s="61">
        <v>1.75</v>
      </c>
      <c r="J942" s="47">
        <f t="shared" si="70"/>
        <v>-0.49333333333333335</v>
      </c>
      <c r="K942" s="47">
        <f t="shared" si="71"/>
        <v>0.15131578947368421</v>
      </c>
      <c r="L942" s="8">
        <v>1.96</v>
      </c>
      <c r="N942" s="8">
        <v>21.31</v>
      </c>
      <c r="O942" s="17">
        <f t="shared" si="72"/>
        <v>0</v>
      </c>
      <c r="P942" s="17">
        <f t="shared" si="73"/>
        <v>1.4083130434782607</v>
      </c>
      <c r="Q942" s="17">
        <v>19.03</v>
      </c>
      <c r="R942" s="9">
        <v>20220809</v>
      </c>
      <c r="S942" s="9">
        <v>15.89</v>
      </c>
      <c r="T942" s="9">
        <v>7.38</v>
      </c>
      <c r="U942" s="9">
        <v>2209.9099099999999</v>
      </c>
      <c r="V942" s="45">
        <f t="shared" si="74"/>
        <v>-0.99666049735031959</v>
      </c>
      <c r="X942" s="12">
        <v>0.82</v>
      </c>
      <c r="Y942" s="62"/>
    </row>
    <row r="943" spans="1:25" x14ac:dyDescent="0.2">
      <c r="A943" s="3" t="s">
        <v>3244</v>
      </c>
      <c r="B943" s="3" t="s">
        <v>1081</v>
      </c>
      <c r="C943" s="6" t="s">
        <v>354</v>
      </c>
      <c r="D943" s="6" t="s">
        <v>215</v>
      </c>
      <c r="E943" s="6" t="s">
        <v>163</v>
      </c>
      <c r="F943" s="6">
        <v>3636.46</v>
      </c>
      <c r="G943" s="2">
        <v>12</v>
      </c>
      <c r="H943" s="61">
        <v>6.67</v>
      </c>
      <c r="I943" s="61">
        <v>8.44</v>
      </c>
      <c r="J943" s="47">
        <f t="shared" si="70"/>
        <v>-0.44416666666666665</v>
      </c>
      <c r="K943" s="47">
        <f t="shared" si="71"/>
        <v>0.26536731634182903</v>
      </c>
      <c r="L943" s="8">
        <v>10.08</v>
      </c>
      <c r="M943" s="8">
        <v>17.96</v>
      </c>
      <c r="N943" s="8">
        <v>15.4</v>
      </c>
      <c r="O943" s="17">
        <f t="shared" si="72"/>
        <v>-0.40435272045028148</v>
      </c>
      <c r="P943" s="17">
        <f t="shared" si="73"/>
        <v>0.58032768361581932</v>
      </c>
      <c r="Q943" s="17">
        <v>12.9</v>
      </c>
      <c r="R943" s="9">
        <v>20220803</v>
      </c>
      <c r="S943" s="9">
        <v>7.91</v>
      </c>
      <c r="T943" s="9">
        <v>148.83000000000001</v>
      </c>
      <c r="U943" s="9">
        <v>279.35000000000002</v>
      </c>
      <c r="V943" s="45">
        <f t="shared" si="74"/>
        <v>-0.46722749239305533</v>
      </c>
      <c r="W943" s="12">
        <v>2.5099999999999998</v>
      </c>
      <c r="X943" s="12">
        <v>5.38</v>
      </c>
      <c r="Y943" s="62"/>
    </row>
    <row r="944" spans="1:25" x14ac:dyDescent="0.2">
      <c r="A944" s="3" t="s">
        <v>1082</v>
      </c>
      <c r="B944" s="3" t="s">
        <v>1082</v>
      </c>
      <c r="C944" s="6" t="s">
        <v>355</v>
      </c>
      <c r="D944" s="6" t="s">
        <v>181</v>
      </c>
      <c r="E944" s="6" t="s">
        <v>201</v>
      </c>
      <c r="F944" s="6">
        <v>6201.1</v>
      </c>
      <c r="G944" s="2">
        <v>6</v>
      </c>
      <c r="H944" s="61">
        <v>3.61</v>
      </c>
      <c r="I944" s="61">
        <v>3.69</v>
      </c>
      <c r="J944" s="47">
        <f t="shared" si="70"/>
        <v>-0.39833333333333337</v>
      </c>
      <c r="K944" s="47">
        <f t="shared" si="71"/>
        <v>2.2160664819944619E-2</v>
      </c>
      <c r="L944" s="8">
        <v>4.42</v>
      </c>
      <c r="M944" s="8">
        <v>16.09</v>
      </c>
      <c r="N944" s="8">
        <v>15.8</v>
      </c>
      <c r="O944" s="17">
        <f t="shared" si="72"/>
        <v>-0.4039330543933054</v>
      </c>
      <c r="P944" s="17">
        <f t="shared" si="73"/>
        <v>7.1297499999999943</v>
      </c>
      <c r="Q944" s="17">
        <v>13.17</v>
      </c>
      <c r="R944" s="9">
        <v>20220809</v>
      </c>
      <c r="S944" s="9">
        <v>13.85</v>
      </c>
      <c r="T944" s="9">
        <v>35.229999999999997</v>
      </c>
      <c r="U944" s="9">
        <v>3291.2360800000001</v>
      </c>
      <c r="V944" s="45">
        <f t="shared" si="74"/>
        <v>-0.98929581496323415</v>
      </c>
      <c r="W944" s="12">
        <v>10.47</v>
      </c>
      <c r="X944" s="12">
        <v>0</v>
      </c>
      <c r="Y944" s="62">
        <v>1.07</v>
      </c>
    </row>
    <row r="945" spans="1:25" x14ac:dyDescent="0.2">
      <c r="B945" s="3" t="s">
        <v>2168</v>
      </c>
      <c r="C945" s="6" t="s">
        <v>354</v>
      </c>
      <c r="D945" s="6" t="s">
        <v>519</v>
      </c>
      <c r="E945" s="6" t="s">
        <v>163</v>
      </c>
      <c r="F945" s="6">
        <v>61072.63</v>
      </c>
      <c r="G945" s="2">
        <v>12</v>
      </c>
      <c r="H945" s="61"/>
      <c r="I945" s="61"/>
      <c r="J945" s="47">
        <f t="shared" si="70"/>
        <v>-1</v>
      </c>
      <c r="K945" s="47" t="e">
        <f t="shared" si="71"/>
        <v>#DIV/0!</v>
      </c>
      <c r="O945" s="17">
        <f t="shared" si="72"/>
        <v>0</v>
      </c>
      <c r="P945" s="17" t="e">
        <f t="shared" si="73"/>
        <v>#DIV/0!</v>
      </c>
      <c r="Q945" s="17"/>
      <c r="V945" s="45" t="e">
        <f t="shared" si="74"/>
        <v>#DIV/0!</v>
      </c>
      <c r="X945" s="12">
        <v>1.42</v>
      </c>
      <c r="Y945" s="62"/>
    </row>
    <row r="946" spans="1:25" x14ac:dyDescent="0.2">
      <c r="B946" s="3" t="s">
        <v>2169</v>
      </c>
      <c r="C946" s="6" t="s">
        <v>354</v>
      </c>
      <c r="D946" s="6" t="s">
        <v>519</v>
      </c>
      <c r="E946" s="6" t="s">
        <v>163</v>
      </c>
      <c r="F946" s="6">
        <v>7662.63</v>
      </c>
      <c r="G946" s="2">
        <v>12</v>
      </c>
      <c r="H946" s="61"/>
      <c r="I946" s="61"/>
      <c r="J946" s="47">
        <f t="shared" si="70"/>
        <v>-1</v>
      </c>
      <c r="K946" s="47" t="e">
        <f t="shared" si="71"/>
        <v>#DIV/0!</v>
      </c>
      <c r="O946" s="17">
        <f t="shared" si="72"/>
        <v>0</v>
      </c>
      <c r="P946" s="17" t="e">
        <f t="shared" si="73"/>
        <v>#DIV/0!</v>
      </c>
      <c r="Q946" s="17"/>
      <c r="V946" s="45" t="e">
        <f t="shared" si="74"/>
        <v>#DIV/0!</v>
      </c>
      <c r="X946" s="12">
        <v>1.77</v>
      </c>
      <c r="Y946" s="62"/>
    </row>
    <row r="947" spans="1:25" x14ac:dyDescent="0.2">
      <c r="B947" s="3" t="s">
        <v>2170</v>
      </c>
      <c r="C947" s="6" t="s">
        <v>354</v>
      </c>
      <c r="D947" s="6" t="s">
        <v>519</v>
      </c>
      <c r="E947" s="6" t="s">
        <v>163</v>
      </c>
      <c r="F947" s="6">
        <v>6745.71</v>
      </c>
      <c r="G947" s="2">
        <v>12</v>
      </c>
      <c r="H947" s="61"/>
      <c r="I947" s="61"/>
      <c r="J947" s="47">
        <f t="shared" si="70"/>
        <v>-1</v>
      </c>
      <c r="K947" s="47" t="e">
        <f t="shared" si="71"/>
        <v>#DIV/0!</v>
      </c>
      <c r="O947" s="17">
        <f t="shared" si="72"/>
        <v>0</v>
      </c>
      <c r="P947" s="17" t="e">
        <f t="shared" si="73"/>
        <v>#DIV/0!</v>
      </c>
      <c r="Q947" s="17"/>
      <c r="V947" s="45" t="e">
        <f t="shared" si="74"/>
        <v>#DIV/0!</v>
      </c>
      <c r="X947" s="12">
        <v>0.69</v>
      </c>
      <c r="Y947" s="62"/>
    </row>
    <row r="948" spans="1:25" x14ac:dyDescent="0.2">
      <c r="B948" s="3" t="s">
        <v>2171</v>
      </c>
      <c r="C948" s="6" t="s">
        <v>354</v>
      </c>
      <c r="D948" s="6" t="s">
        <v>519</v>
      </c>
      <c r="E948" s="6" t="s">
        <v>163</v>
      </c>
      <c r="F948" s="6">
        <v>64600.19</v>
      </c>
      <c r="G948" s="2">
        <v>12</v>
      </c>
      <c r="H948" s="61"/>
      <c r="I948" s="61"/>
      <c r="J948" s="47">
        <f t="shared" si="70"/>
        <v>-1</v>
      </c>
      <c r="K948" s="47" t="e">
        <f t="shared" si="71"/>
        <v>#DIV/0!</v>
      </c>
      <c r="O948" s="17">
        <f t="shared" si="72"/>
        <v>0</v>
      </c>
      <c r="P948" s="17" t="e">
        <f t="shared" si="73"/>
        <v>#DIV/0!</v>
      </c>
      <c r="Q948" s="17"/>
      <c r="V948" s="45" t="e">
        <f t="shared" si="74"/>
        <v>#DIV/0!</v>
      </c>
      <c r="X948" s="12">
        <v>1.66</v>
      </c>
      <c r="Y948" s="62"/>
    </row>
    <row r="949" spans="1:25" x14ac:dyDescent="0.2">
      <c r="B949" s="3" t="s">
        <v>2172</v>
      </c>
      <c r="C949" s="6" t="s">
        <v>354</v>
      </c>
      <c r="D949" s="6" t="s">
        <v>519</v>
      </c>
      <c r="E949" s="6" t="s">
        <v>163</v>
      </c>
      <c r="F949" s="6">
        <v>8557.1200000000008</v>
      </c>
      <c r="G949" s="2">
        <v>12</v>
      </c>
      <c r="H949" s="61"/>
      <c r="I949" s="61"/>
      <c r="J949" s="47">
        <f t="shared" si="70"/>
        <v>-1</v>
      </c>
      <c r="K949" s="47" t="e">
        <f t="shared" si="71"/>
        <v>#DIV/0!</v>
      </c>
      <c r="O949" s="17">
        <f t="shared" si="72"/>
        <v>0</v>
      </c>
      <c r="P949" s="17" t="e">
        <f t="shared" si="73"/>
        <v>#DIV/0!</v>
      </c>
      <c r="Q949" s="17"/>
      <c r="V949" s="45" t="e">
        <f t="shared" si="74"/>
        <v>#DIV/0!</v>
      </c>
      <c r="X949" s="12">
        <v>1.58</v>
      </c>
      <c r="Y949" s="62"/>
    </row>
    <row r="950" spans="1:25" x14ac:dyDescent="0.2">
      <c r="B950" s="3" t="s">
        <v>2173</v>
      </c>
      <c r="C950" s="6" t="s">
        <v>355</v>
      </c>
      <c r="D950" s="6" t="s">
        <v>519</v>
      </c>
      <c r="E950" s="6" t="s">
        <v>163</v>
      </c>
      <c r="F950" s="6">
        <v>5046.79</v>
      </c>
      <c r="G950" s="2">
        <v>12</v>
      </c>
      <c r="H950" s="61"/>
      <c r="I950" s="61"/>
      <c r="J950" s="47">
        <f t="shared" si="70"/>
        <v>-1</v>
      </c>
      <c r="K950" s="47" t="e">
        <f t="shared" si="71"/>
        <v>#DIV/0!</v>
      </c>
      <c r="O950" s="17">
        <f t="shared" si="72"/>
        <v>0</v>
      </c>
      <c r="P950" s="17" t="e">
        <f t="shared" si="73"/>
        <v>#DIV/0!</v>
      </c>
      <c r="Q950" s="17"/>
      <c r="V950" s="45" t="e">
        <f t="shared" si="74"/>
        <v>#DIV/0!</v>
      </c>
      <c r="X950" s="12">
        <v>0.83</v>
      </c>
      <c r="Y950" s="62"/>
    </row>
    <row r="951" spans="1:25" x14ac:dyDescent="0.2">
      <c r="A951" s="3" t="s">
        <v>3245</v>
      </c>
      <c r="B951" s="3" t="s">
        <v>1083</v>
      </c>
      <c r="C951" s="6" t="s">
        <v>356</v>
      </c>
      <c r="D951" s="6" t="s">
        <v>123</v>
      </c>
      <c r="E951" s="6" t="s">
        <v>108</v>
      </c>
      <c r="F951" s="6">
        <v>9446.34</v>
      </c>
      <c r="G951" s="2">
        <v>12</v>
      </c>
      <c r="H951" s="61">
        <v>2.56</v>
      </c>
      <c r="I951" s="61">
        <v>2.7</v>
      </c>
      <c r="J951" s="47">
        <f t="shared" si="70"/>
        <v>-0.78666666666666663</v>
      </c>
      <c r="K951" s="47">
        <f t="shared" si="71"/>
        <v>5.4687500000000049E-2</v>
      </c>
      <c r="L951" s="8">
        <v>2.99</v>
      </c>
      <c r="N951" s="8">
        <v>21.68</v>
      </c>
      <c r="O951" s="17">
        <f t="shared" si="72"/>
        <v>0</v>
      </c>
      <c r="P951" s="17">
        <f t="shared" si="73"/>
        <v>3.9643428571428538</v>
      </c>
      <c r="Q951" s="17">
        <v>19.579999999999998</v>
      </c>
      <c r="U951" s="9">
        <v>3880.6899400000002</v>
      </c>
      <c r="V951" s="45">
        <f t="shared" si="74"/>
        <v>-1</v>
      </c>
      <c r="X951" s="12">
        <v>3.04</v>
      </c>
      <c r="Y951" s="62">
        <v>1.91</v>
      </c>
    </row>
    <row r="952" spans="1:25" x14ac:dyDescent="0.2">
      <c r="A952" s="3" t="s">
        <v>3246</v>
      </c>
      <c r="B952" s="3" t="s">
        <v>1084</v>
      </c>
      <c r="C952" s="6" t="s">
        <v>355</v>
      </c>
      <c r="D952" s="6" t="s">
        <v>185</v>
      </c>
      <c r="E952" s="6" t="s">
        <v>208</v>
      </c>
      <c r="F952" s="6">
        <v>38264.85</v>
      </c>
      <c r="G952" s="2">
        <v>12</v>
      </c>
      <c r="H952" s="61">
        <v>5.66</v>
      </c>
      <c r="I952" s="61">
        <v>4.09</v>
      </c>
      <c r="J952" s="47">
        <f t="shared" si="70"/>
        <v>-0.52833333333333332</v>
      </c>
      <c r="K952" s="47">
        <f t="shared" si="71"/>
        <v>-0.27738515901060073</v>
      </c>
      <c r="L952" s="8">
        <v>5.28</v>
      </c>
      <c r="M952" s="8">
        <v>47.39</v>
      </c>
      <c r="N952" s="8">
        <v>59.48</v>
      </c>
      <c r="O952" s="17">
        <f t="shared" si="72"/>
        <v>-0.89697160883280769</v>
      </c>
      <c r="P952" s="17">
        <f t="shared" si="73"/>
        <v>-2.1443108280254775</v>
      </c>
      <c r="Q952" s="17">
        <v>46.16</v>
      </c>
      <c r="R952" s="9">
        <v>20220804</v>
      </c>
      <c r="S952" s="9">
        <v>8.3699999999999992</v>
      </c>
      <c r="T952" s="9">
        <v>10.44</v>
      </c>
      <c r="U952" s="9">
        <v>5200.2587800000001</v>
      </c>
      <c r="V952" s="45">
        <f t="shared" si="74"/>
        <v>-0.99799240760091568</v>
      </c>
      <c r="W952" s="12">
        <v>22.99</v>
      </c>
      <c r="X952" s="12">
        <v>0</v>
      </c>
      <c r="Y952" s="62">
        <v>1.91</v>
      </c>
    </row>
    <row r="953" spans="1:25" x14ac:dyDescent="0.2">
      <c r="A953" s="3" t="s">
        <v>3247</v>
      </c>
      <c r="B953" s="3" t="s">
        <v>1085</v>
      </c>
      <c r="C953" s="6" t="s">
        <v>356</v>
      </c>
      <c r="D953" s="6" t="s">
        <v>145</v>
      </c>
      <c r="E953" s="6" t="s">
        <v>140</v>
      </c>
      <c r="F953" s="6">
        <v>4314.26</v>
      </c>
      <c r="G953" s="2">
        <v>12</v>
      </c>
      <c r="H953" s="61">
        <v>2.46</v>
      </c>
      <c r="I953" s="61">
        <v>2.6</v>
      </c>
      <c r="J953" s="47">
        <f t="shared" si="70"/>
        <v>-0.79499999999999993</v>
      </c>
      <c r="K953" s="47">
        <f t="shared" si="71"/>
        <v>5.691056910569111E-2</v>
      </c>
      <c r="L953" s="8">
        <v>2.83</v>
      </c>
      <c r="N953" s="8">
        <v>12.71</v>
      </c>
      <c r="O953" s="17">
        <f t="shared" si="72"/>
        <v>0</v>
      </c>
      <c r="P953" s="17">
        <f t="shared" si="73"/>
        <v>2.2333285714285696</v>
      </c>
      <c r="Q953" s="17">
        <v>11.7</v>
      </c>
      <c r="R953" s="9">
        <v>20220527</v>
      </c>
      <c r="U953" s="9">
        <v>2621.0300200000001</v>
      </c>
      <c r="V953" s="45">
        <f t="shared" si="74"/>
        <v>-1</v>
      </c>
      <c r="X953" s="12">
        <v>2.21</v>
      </c>
      <c r="Y953" s="62"/>
    </row>
    <row r="954" spans="1:25" x14ac:dyDescent="0.2">
      <c r="A954" s="3" t="s">
        <v>3248</v>
      </c>
      <c r="B954" s="3" t="s">
        <v>1985</v>
      </c>
      <c r="C954" s="6" t="s">
        <v>570</v>
      </c>
      <c r="D954" s="6" t="s">
        <v>747</v>
      </c>
      <c r="E954" s="6" t="s">
        <v>218</v>
      </c>
      <c r="F954" s="6">
        <v>36200.68</v>
      </c>
      <c r="G954" s="2">
        <v>12</v>
      </c>
      <c r="H954" s="61">
        <v>2.91</v>
      </c>
      <c r="I954" s="61">
        <v>6.98</v>
      </c>
      <c r="J954" s="47">
        <f t="shared" si="70"/>
        <v>-0.75749999999999995</v>
      </c>
      <c r="K954" s="47">
        <f t="shared" si="71"/>
        <v>1.3986254295532647</v>
      </c>
      <c r="L954" s="8">
        <v>6.58</v>
      </c>
      <c r="M954" s="8">
        <v>14.43</v>
      </c>
      <c r="N954" s="8">
        <v>7.75</v>
      </c>
      <c r="O954" s="17">
        <f t="shared" si="72"/>
        <v>-0.1904950495049505</v>
      </c>
      <c r="P954" s="17">
        <f t="shared" si="73"/>
        <v>5.5411547911547912E-2</v>
      </c>
      <c r="Q954" s="17">
        <v>8.2200000000000006</v>
      </c>
      <c r="R954" s="9">
        <v>20220729</v>
      </c>
      <c r="S954" s="9">
        <v>15.08</v>
      </c>
      <c r="T954" s="9">
        <v>-0.13</v>
      </c>
      <c r="U954" s="9">
        <v>49904.890619999998</v>
      </c>
      <c r="V954" s="45">
        <f t="shared" si="74"/>
        <v>-1.0000026049551132</v>
      </c>
      <c r="W954" s="12">
        <v>2.2200000000000002</v>
      </c>
      <c r="X954" s="12">
        <v>1.99</v>
      </c>
      <c r="Y954" s="62">
        <v>0.26</v>
      </c>
    </row>
    <row r="955" spans="1:25" x14ac:dyDescent="0.2">
      <c r="A955" s="3" t="s">
        <v>3249</v>
      </c>
      <c r="B955" s="3" t="s">
        <v>1086</v>
      </c>
      <c r="C955" s="6" t="s">
        <v>356</v>
      </c>
      <c r="D955" s="6" t="s">
        <v>197</v>
      </c>
      <c r="E955" s="6" t="s">
        <v>60</v>
      </c>
      <c r="F955" s="6">
        <v>11390.51</v>
      </c>
      <c r="G955" s="2">
        <v>6</v>
      </c>
      <c r="H955" s="61">
        <v>3.27</v>
      </c>
      <c r="I955" s="61"/>
      <c r="J955" s="47">
        <f t="shared" si="70"/>
        <v>-0.45500000000000002</v>
      </c>
      <c r="K955" s="47">
        <f t="shared" si="71"/>
        <v>-1</v>
      </c>
      <c r="O955" s="17">
        <f t="shared" si="72"/>
        <v>0</v>
      </c>
      <c r="P955" s="17">
        <f t="shared" si="73"/>
        <v>0</v>
      </c>
      <c r="Q955" s="17"/>
      <c r="V955" s="45" t="e">
        <f t="shared" si="74"/>
        <v>#DIV/0!</v>
      </c>
      <c r="X955" s="12">
        <v>3.94</v>
      </c>
      <c r="Y955" s="62"/>
    </row>
    <row r="956" spans="1:25" x14ac:dyDescent="0.2">
      <c r="A956" s="3" t="s">
        <v>3250</v>
      </c>
      <c r="B956" s="3" t="s">
        <v>1087</v>
      </c>
      <c r="C956" s="6" t="s">
        <v>355</v>
      </c>
      <c r="D956" s="6" t="s">
        <v>185</v>
      </c>
      <c r="E956" s="6" t="s">
        <v>208</v>
      </c>
      <c r="F956" s="6">
        <v>16838.810000000001</v>
      </c>
      <c r="G956" s="2">
        <v>12</v>
      </c>
      <c r="H956" s="61">
        <v>3.46</v>
      </c>
      <c r="I956" s="61">
        <v>2.99</v>
      </c>
      <c r="J956" s="47">
        <f t="shared" si="70"/>
        <v>-0.71166666666666656</v>
      </c>
      <c r="K956" s="47">
        <f t="shared" si="71"/>
        <v>-0.13583815028901727</v>
      </c>
      <c r="L956" s="8">
        <v>4.47</v>
      </c>
      <c r="M956" s="8">
        <v>28.8</v>
      </c>
      <c r="N956" s="8">
        <v>25.44</v>
      </c>
      <c r="O956" s="17">
        <f t="shared" si="72"/>
        <v>-0.4046838407494146</v>
      </c>
      <c r="P956" s="17">
        <f t="shared" si="73"/>
        <v>-1.8728170212765969</v>
      </c>
      <c r="Q956" s="17">
        <v>17.010000000000002</v>
      </c>
      <c r="R956" s="9">
        <v>20220802</v>
      </c>
      <c r="S956" s="9">
        <v>12.77</v>
      </c>
      <c r="T956" s="9">
        <v>18.97</v>
      </c>
      <c r="U956" s="9">
        <v>3402.6699199999998</v>
      </c>
      <c r="V956" s="45">
        <f t="shared" si="74"/>
        <v>-0.99442496614540865</v>
      </c>
      <c r="W956" s="12">
        <v>-3.51</v>
      </c>
      <c r="X956" s="12">
        <v>0</v>
      </c>
      <c r="Y956" s="62">
        <v>0.71</v>
      </c>
    </row>
    <row r="957" spans="1:25" x14ac:dyDescent="0.2">
      <c r="A957" s="3" t="s">
        <v>3251</v>
      </c>
      <c r="B957" s="3" t="s">
        <v>3252</v>
      </c>
      <c r="C957" s="6" t="s">
        <v>355</v>
      </c>
      <c r="D957" s="6" t="s">
        <v>104</v>
      </c>
      <c r="E957" s="6" t="s">
        <v>163</v>
      </c>
      <c r="F957" s="6">
        <v>3860.2</v>
      </c>
      <c r="G957" s="2">
        <v>12</v>
      </c>
      <c r="H957" s="61">
        <v>4.6500000000000004</v>
      </c>
      <c r="I957" s="61">
        <v>5.05</v>
      </c>
      <c r="J957" s="47">
        <f t="shared" si="70"/>
        <v>-0.61249999999999993</v>
      </c>
      <c r="K957" s="47">
        <f t="shared" si="71"/>
        <v>8.6021505376343968E-2</v>
      </c>
      <c r="L957" s="8">
        <v>5.65</v>
      </c>
      <c r="M957" s="8">
        <v>15.63</v>
      </c>
      <c r="N957" s="8">
        <v>16.34</v>
      </c>
      <c r="O957" s="17">
        <f t="shared" si="72"/>
        <v>-0.25518367346938781</v>
      </c>
      <c r="P957" s="17">
        <f t="shared" si="73"/>
        <v>1.8995250000000024</v>
      </c>
      <c r="Q957" s="17">
        <v>14.6</v>
      </c>
      <c r="R957" s="9">
        <v>20220728</v>
      </c>
      <c r="S957" s="9">
        <v>8.61</v>
      </c>
      <c r="T957" s="9">
        <v>10.75</v>
      </c>
      <c r="U957" s="9">
        <v>680.09996999999998</v>
      </c>
      <c r="V957" s="45">
        <f t="shared" si="74"/>
        <v>-0.98419350025849872</v>
      </c>
      <c r="W957" s="12">
        <v>0</v>
      </c>
      <c r="X957" s="12">
        <v>2.4700000000000002</v>
      </c>
      <c r="Y957" s="62"/>
    </row>
    <row r="958" spans="1:25" x14ac:dyDescent="0.2">
      <c r="A958" s="3" t="s">
        <v>3253</v>
      </c>
      <c r="B958" s="3" t="s">
        <v>3254</v>
      </c>
      <c r="C958" s="6" t="s">
        <v>354</v>
      </c>
      <c r="D958" s="6" t="s">
        <v>177</v>
      </c>
      <c r="E958" s="6" t="s">
        <v>119</v>
      </c>
      <c r="F958" s="6">
        <v>5759.99</v>
      </c>
      <c r="G958" s="2">
        <v>12</v>
      </c>
      <c r="H958" s="61">
        <v>0.73</v>
      </c>
      <c r="I958" s="61">
        <v>0.72</v>
      </c>
      <c r="J958" s="47">
        <f t="shared" si="70"/>
        <v>-0.93916666666666659</v>
      </c>
      <c r="K958" s="47">
        <f t="shared" si="71"/>
        <v>-1.3698630136986314E-2</v>
      </c>
      <c r="L958" s="8">
        <v>0.92</v>
      </c>
      <c r="N958" s="8">
        <v>28.44</v>
      </c>
      <c r="O958" s="17">
        <f t="shared" si="72"/>
        <v>0</v>
      </c>
      <c r="P958" s="17">
        <f t="shared" si="73"/>
        <v>-20.761199999999981</v>
      </c>
      <c r="Q958" s="17">
        <v>22.28</v>
      </c>
      <c r="R958" s="9">
        <v>20220727</v>
      </c>
      <c r="U958" s="9">
        <v>1597.2449899999999</v>
      </c>
      <c r="V958" s="45">
        <f t="shared" si="74"/>
        <v>-1</v>
      </c>
      <c r="W958" s="12">
        <v>42.86</v>
      </c>
      <c r="X958" s="12">
        <v>0</v>
      </c>
      <c r="Y958" s="62">
        <v>1.5</v>
      </c>
    </row>
    <row r="959" spans="1:25" x14ac:dyDescent="0.2">
      <c r="A959" s="3" t="s">
        <v>3255</v>
      </c>
      <c r="B959" s="3" t="s">
        <v>1088</v>
      </c>
      <c r="C959" s="6" t="s">
        <v>354</v>
      </c>
      <c r="D959" s="6" t="s">
        <v>134</v>
      </c>
      <c r="E959" s="6" t="s">
        <v>119</v>
      </c>
      <c r="F959" s="6">
        <v>77326.960000000006</v>
      </c>
      <c r="G959" s="2">
        <v>3</v>
      </c>
      <c r="H959" s="61">
        <v>0.71</v>
      </c>
      <c r="I959" s="61">
        <v>0.77</v>
      </c>
      <c r="J959" s="47">
        <f t="shared" si="70"/>
        <v>-0.76333333333333331</v>
      </c>
      <c r="K959" s="47">
        <f t="shared" si="71"/>
        <v>8.4507042253521208E-2</v>
      </c>
      <c r="L959" s="8">
        <v>0.86</v>
      </c>
      <c r="M959" s="8">
        <v>26.36</v>
      </c>
      <c r="N959" s="8">
        <v>23.87</v>
      </c>
      <c r="O959" s="17">
        <f t="shared" si="72"/>
        <v>-0.34532751091703057</v>
      </c>
      <c r="P959" s="17">
        <f t="shared" si="73"/>
        <v>2.8246166666666639</v>
      </c>
      <c r="Q959" s="17">
        <v>21.45</v>
      </c>
      <c r="R959" s="9">
        <v>20220713</v>
      </c>
      <c r="S959" s="9">
        <v>30.72</v>
      </c>
      <c r="T959" s="9">
        <v>9.01</v>
      </c>
      <c r="U959" s="9">
        <v>18682.304680000001</v>
      </c>
      <c r="V959" s="45">
        <f t="shared" si="74"/>
        <v>-0.99951772545441653</v>
      </c>
      <c r="W959" s="12">
        <v>-5.26</v>
      </c>
      <c r="X959" s="12">
        <v>1.83</v>
      </c>
      <c r="Y959" s="62">
        <v>2.39</v>
      </c>
    </row>
    <row r="960" spans="1:25" x14ac:dyDescent="0.2">
      <c r="A960" s="3" t="s">
        <v>3256</v>
      </c>
      <c r="B960" s="3" t="s">
        <v>1089</v>
      </c>
      <c r="C960" s="6" t="s">
        <v>354</v>
      </c>
      <c r="D960" s="6" t="s">
        <v>69</v>
      </c>
      <c r="E960" s="6" t="s">
        <v>163</v>
      </c>
      <c r="F960" s="6">
        <v>42127.22</v>
      </c>
      <c r="G960" s="2">
        <v>12</v>
      </c>
      <c r="H960" s="61">
        <v>1.5</v>
      </c>
      <c r="I960" s="61">
        <v>1.1399999999999999</v>
      </c>
      <c r="J960" s="47">
        <f t="shared" si="70"/>
        <v>-0.875</v>
      </c>
      <c r="K960" s="47">
        <f t="shared" si="71"/>
        <v>-0.24000000000000007</v>
      </c>
      <c r="L960" s="8">
        <v>1.48</v>
      </c>
      <c r="M960" s="8">
        <v>8.44</v>
      </c>
      <c r="N960" s="8">
        <v>9.4700000000000006</v>
      </c>
      <c r="O960" s="17">
        <f t="shared" si="72"/>
        <v>-9.6457142857142852E-2</v>
      </c>
      <c r="P960" s="17">
        <f t="shared" si="73"/>
        <v>-0.39458333333333323</v>
      </c>
      <c r="Q960" s="17">
        <v>7.3</v>
      </c>
      <c r="R960" s="9">
        <v>20220805</v>
      </c>
      <c r="S960" s="9">
        <v>7.77</v>
      </c>
      <c r="T960" s="9">
        <v>1.1599999999999999</v>
      </c>
      <c r="U960" s="9">
        <v>19569.519530000001</v>
      </c>
      <c r="V960" s="45">
        <f t="shared" si="74"/>
        <v>-0.99994072414510626</v>
      </c>
      <c r="W960" s="12">
        <v>500</v>
      </c>
      <c r="X960" s="12">
        <v>6.79</v>
      </c>
      <c r="Y960" s="62">
        <v>0.71</v>
      </c>
    </row>
    <row r="961" spans="1:25" x14ac:dyDescent="0.2">
      <c r="A961" s="3" t="s">
        <v>3257</v>
      </c>
      <c r="B961" s="3" t="s">
        <v>1090</v>
      </c>
      <c r="C961" s="6" t="s">
        <v>354</v>
      </c>
      <c r="D961" s="6" t="s">
        <v>155</v>
      </c>
      <c r="E961" s="6" t="s">
        <v>154</v>
      </c>
      <c r="F961" s="6">
        <v>6223.98</v>
      </c>
      <c r="G961" s="2">
        <v>12</v>
      </c>
      <c r="H961" s="61">
        <v>6.91</v>
      </c>
      <c r="I961" s="61">
        <v>7.18</v>
      </c>
      <c r="J961" s="47">
        <f t="shared" si="70"/>
        <v>-0.42416666666666664</v>
      </c>
      <c r="K961" s="47">
        <f t="shared" si="71"/>
        <v>3.9073806078147547E-2</v>
      </c>
      <c r="L961" s="8">
        <v>7.39</v>
      </c>
      <c r="M961" s="8">
        <v>13.9</v>
      </c>
      <c r="N961" s="8">
        <v>13.09</v>
      </c>
      <c r="O961" s="17">
        <f t="shared" si="72"/>
        <v>-0.32770137524557957</v>
      </c>
      <c r="P961" s="17">
        <f t="shared" si="73"/>
        <v>3.3500703703703758</v>
      </c>
      <c r="Q961" s="17">
        <v>12.72</v>
      </c>
      <c r="R961" s="9">
        <v>20220802</v>
      </c>
      <c r="S961" s="9">
        <v>14.8</v>
      </c>
      <c r="T961" s="9">
        <v>2.5299999999999998</v>
      </c>
      <c r="V961" s="45" t="e">
        <f t="shared" si="74"/>
        <v>#DIV/0!</v>
      </c>
      <c r="X961" s="12">
        <v>2.77</v>
      </c>
      <c r="Y961" s="62"/>
    </row>
    <row r="962" spans="1:25" x14ac:dyDescent="0.2">
      <c r="A962" s="3" t="s">
        <v>3258</v>
      </c>
      <c r="B962" s="3" t="s">
        <v>1091</v>
      </c>
      <c r="C962" s="6" t="s">
        <v>354</v>
      </c>
      <c r="D962" s="6" t="s">
        <v>194</v>
      </c>
      <c r="E962" s="6" t="s">
        <v>208</v>
      </c>
      <c r="F962" s="6">
        <v>4938.53</v>
      </c>
      <c r="G962" s="2">
        <v>12</v>
      </c>
      <c r="H962" s="61">
        <v>-1.93</v>
      </c>
      <c r="I962" s="61">
        <v>-2.11</v>
      </c>
      <c r="J962" s="47">
        <f t="shared" si="70"/>
        <v>-1.1608333333333334</v>
      </c>
      <c r="K962" s="47">
        <f t="shared" si="71"/>
        <v>-9.3264248704663183E-2</v>
      </c>
      <c r="L962" s="8">
        <v>-1.51</v>
      </c>
      <c r="O962" s="17">
        <f t="shared" si="72"/>
        <v>0</v>
      </c>
      <c r="P962" s="17">
        <f t="shared" si="73"/>
        <v>0</v>
      </c>
      <c r="Q962" s="17"/>
      <c r="R962" s="9">
        <v>20220802</v>
      </c>
      <c r="S962" s="9">
        <v>-19.02</v>
      </c>
      <c r="T962" s="9">
        <v>64.06</v>
      </c>
      <c r="U962" s="9">
        <v>342.42700000000002</v>
      </c>
      <c r="V962" s="45">
        <f t="shared" si="74"/>
        <v>-0.81292363043802041</v>
      </c>
      <c r="W962" s="12">
        <v>21.79</v>
      </c>
      <c r="X962" s="12">
        <v>0</v>
      </c>
      <c r="Y962" s="62"/>
    </row>
    <row r="963" spans="1:25" x14ac:dyDescent="0.2">
      <c r="A963" s="3" t="s">
        <v>3259</v>
      </c>
      <c r="B963" s="3" t="s">
        <v>1092</v>
      </c>
      <c r="C963" s="6" t="s">
        <v>355</v>
      </c>
      <c r="D963" s="6" t="s">
        <v>1093</v>
      </c>
      <c r="E963" s="6" t="s">
        <v>119</v>
      </c>
      <c r="F963" s="6">
        <v>177789.72</v>
      </c>
      <c r="G963" s="2">
        <v>12</v>
      </c>
      <c r="H963" s="61">
        <v>5.28</v>
      </c>
      <c r="I963" s="61">
        <v>3.53</v>
      </c>
      <c r="J963" s="47">
        <f t="shared" ref="J963:J1026" si="75">(H963-G963)/ABS(G963)</f>
        <v>-0.55999999999999994</v>
      </c>
      <c r="K963" s="47">
        <f t="shared" ref="K963:K1026" si="76">(I963-H963)/ABS(H963)</f>
        <v>-0.33143939393939403</v>
      </c>
      <c r="L963" s="8">
        <v>3.69</v>
      </c>
      <c r="M963" s="8">
        <v>8.7799999999999994</v>
      </c>
      <c r="N963" s="8">
        <v>12.33</v>
      </c>
      <c r="O963" s="17">
        <f t="shared" ref="O963:O1026" si="77">M963/(J963*100)</f>
        <v>-0.15678571428571431</v>
      </c>
      <c r="P963" s="17">
        <f t="shared" ref="P963:P1026" si="78">N963/(K963*100)</f>
        <v>-0.37201371428571417</v>
      </c>
      <c r="Q963" s="17">
        <v>11.79</v>
      </c>
      <c r="R963" s="9">
        <v>20220728</v>
      </c>
      <c r="S963" s="9">
        <v>21.67</v>
      </c>
      <c r="T963" s="9">
        <v>5.76</v>
      </c>
      <c r="U963" s="9">
        <v>75550.921870000006</v>
      </c>
      <c r="V963" s="45">
        <f t="shared" ref="V963:V1026" si="79">(T963-U963)/U963</f>
        <v>-0.99992376003022299</v>
      </c>
      <c r="W963" s="12">
        <v>8.75</v>
      </c>
      <c r="X963" s="12">
        <v>3.36</v>
      </c>
      <c r="Y963" s="62">
        <v>1.64</v>
      </c>
    </row>
    <row r="964" spans="1:25" x14ac:dyDescent="0.2">
      <c r="A964" s="3" t="s">
        <v>3260</v>
      </c>
      <c r="B964" s="3" t="s">
        <v>1094</v>
      </c>
      <c r="C964" s="6" t="s">
        <v>355</v>
      </c>
      <c r="D964" s="6" t="s">
        <v>132</v>
      </c>
      <c r="E964" s="6" t="s">
        <v>119</v>
      </c>
      <c r="F964" s="6">
        <v>114641.75</v>
      </c>
      <c r="G964" s="2">
        <v>7</v>
      </c>
      <c r="H964" s="61">
        <v>9.35</v>
      </c>
      <c r="I964" s="61">
        <v>11.65</v>
      </c>
      <c r="J964" s="47">
        <f t="shared" si="75"/>
        <v>0.33571428571428569</v>
      </c>
      <c r="K964" s="47">
        <f t="shared" si="76"/>
        <v>0.24598930481283432</v>
      </c>
      <c r="L964" s="8">
        <v>13.59</v>
      </c>
      <c r="M964" s="8">
        <v>32</v>
      </c>
      <c r="N964" s="8">
        <v>34.880000000000003</v>
      </c>
      <c r="O964" s="17">
        <f t="shared" si="77"/>
        <v>0.95319148936170217</v>
      </c>
      <c r="P964" s="17">
        <f t="shared" si="78"/>
        <v>1.417947826086956</v>
      </c>
      <c r="Q964" s="17">
        <v>29.92</v>
      </c>
      <c r="R964" s="9">
        <v>20220823</v>
      </c>
      <c r="S964" s="9">
        <v>20.77</v>
      </c>
      <c r="T964" s="9">
        <v>16.28</v>
      </c>
      <c r="U964" s="9">
        <v>12562.67187</v>
      </c>
      <c r="V964" s="45">
        <f t="shared" si="79"/>
        <v>-0.9987040973314858</v>
      </c>
      <c r="W964" s="12">
        <v>0.66</v>
      </c>
      <c r="X964" s="12">
        <v>0.67</v>
      </c>
      <c r="Y964" s="62">
        <v>2.2200000000000002</v>
      </c>
    </row>
    <row r="965" spans="1:25" x14ac:dyDescent="0.2">
      <c r="A965" s="3" t="s">
        <v>3261</v>
      </c>
      <c r="B965" s="3" t="s">
        <v>1095</v>
      </c>
      <c r="C965" s="6" t="s">
        <v>354</v>
      </c>
      <c r="D965" s="6" t="s">
        <v>216</v>
      </c>
      <c r="E965" s="6" t="s">
        <v>163</v>
      </c>
      <c r="F965" s="6">
        <v>22801.59</v>
      </c>
      <c r="G965" s="2">
        <v>12</v>
      </c>
      <c r="H965" s="61">
        <v>1.5</v>
      </c>
      <c r="I965" s="61">
        <v>1.69</v>
      </c>
      <c r="J965" s="47">
        <f t="shared" si="75"/>
        <v>-0.875</v>
      </c>
      <c r="K965" s="47">
        <f t="shared" si="76"/>
        <v>0.12666666666666662</v>
      </c>
      <c r="L965" s="8">
        <v>1.89</v>
      </c>
      <c r="M965" s="8">
        <v>24.26</v>
      </c>
      <c r="N965" s="8">
        <v>22.11</v>
      </c>
      <c r="O965" s="17">
        <f t="shared" si="77"/>
        <v>-0.27725714285714287</v>
      </c>
      <c r="P965" s="17">
        <f t="shared" si="78"/>
        <v>1.7455263157894743</v>
      </c>
      <c r="Q965" s="17">
        <v>19.77</v>
      </c>
      <c r="R965" s="9">
        <v>20220727</v>
      </c>
      <c r="S965" s="9">
        <v>3.29</v>
      </c>
      <c r="T965" s="9">
        <v>14.9</v>
      </c>
      <c r="U965" s="9">
        <v>2201.4799800000001</v>
      </c>
      <c r="V965" s="45">
        <f t="shared" si="79"/>
        <v>-0.99323182580111402</v>
      </c>
      <c r="W965" s="12">
        <v>0</v>
      </c>
      <c r="X965" s="12">
        <v>2.36</v>
      </c>
      <c r="Y965" s="62">
        <v>3.27</v>
      </c>
    </row>
    <row r="966" spans="1:25" x14ac:dyDescent="0.2">
      <c r="A966" s="3" t="s">
        <v>3262</v>
      </c>
      <c r="B966" s="3" t="s">
        <v>1096</v>
      </c>
      <c r="C966" s="6" t="s">
        <v>355</v>
      </c>
      <c r="D966" s="6" t="s">
        <v>187</v>
      </c>
      <c r="E966" s="6" t="s">
        <v>208</v>
      </c>
      <c r="F966" s="6">
        <v>5196.8900000000003</v>
      </c>
      <c r="G966" s="2">
        <v>12</v>
      </c>
      <c r="H966" s="61">
        <v>-0.97</v>
      </c>
      <c r="I966" s="61">
        <v>-2.3199999999999998</v>
      </c>
      <c r="J966" s="47">
        <f t="shared" si="75"/>
        <v>-1.0808333333333333</v>
      </c>
      <c r="K966" s="47">
        <f t="shared" si="76"/>
        <v>-1.3917525773195876</v>
      </c>
      <c r="L966" s="8">
        <v>-2.04</v>
      </c>
      <c r="O966" s="17">
        <f t="shared" si="77"/>
        <v>0</v>
      </c>
      <c r="P966" s="17">
        <f t="shared" si="78"/>
        <v>0</v>
      </c>
      <c r="Q966" s="17"/>
      <c r="R966" s="9">
        <v>20220803</v>
      </c>
      <c r="S966" s="9">
        <v>-0.46</v>
      </c>
      <c r="T966" s="9">
        <v>11.32</v>
      </c>
      <c r="U966" s="9">
        <v>626.68200000000002</v>
      </c>
      <c r="V966" s="45">
        <f t="shared" si="79"/>
        <v>-0.98193661218927619</v>
      </c>
      <c r="W966" s="12">
        <v>32.35</v>
      </c>
      <c r="X966" s="12">
        <v>0</v>
      </c>
      <c r="Y966" s="62"/>
    </row>
    <row r="967" spans="1:25" x14ac:dyDescent="0.2">
      <c r="A967" s="3" t="s">
        <v>3263</v>
      </c>
      <c r="B967" s="3" t="s">
        <v>3264</v>
      </c>
      <c r="C967" s="6" t="s">
        <v>354</v>
      </c>
      <c r="D967" s="6" t="s">
        <v>177</v>
      </c>
      <c r="E967" s="6" t="s">
        <v>119</v>
      </c>
      <c r="F967" s="6">
        <v>5601.61</v>
      </c>
      <c r="G967" s="2">
        <v>1</v>
      </c>
      <c r="H967" s="61">
        <v>-0.45</v>
      </c>
      <c r="I967" s="61">
        <v>-0.24</v>
      </c>
      <c r="J967" s="47">
        <f t="shared" si="75"/>
        <v>-1.45</v>
      </c>
      <c r="K967" s="47">
        <f t="shared" si="76"/>
        <v>0.46666666666666667</v>
      </c>
      <c r="L967" s="8">
        <v>-0.15</v>
      </c>
      <c r="O967" s="17">
        <f t="shared" si="77"/>
        <v>0</v>
      </c>
      <c r="P967" s="17">
        <f t="shared" si="78"/>
        <v>0</v>
      </c>
      <c r="Q967" s="17"/>
      <c r="R967" s="9">
        <v>20220602</v>
      </c>
      <c r="U967" s="9">
        <v>575.78197999999998</v>
      </c>
      <c r="V967" s="45">
        <f t="shared" si="79"/>
        <v>-1</v>
      </c>
      <c r="W967" s="12">
        <v>37.5</v>
      </c>
      <c r="X967" s="12">
        <v>0</v>
      </c>
      <c r="Y967" s="62"/>
    </row>
    <row r="968" spans="1:25" x14ac:dyDescent="0.2">
      <c r="A968" s="3" t="s">
        <v>3265</v>
      </c>
      <c r="B968" s="3" t="s">
        <v>1097</v>
      </c>
      <c r="C968" s="6" t="s">
        <v>354</v>
      </c>
      <c r="D968" s="6" t="s">
        <v>211</v>
      </c>
      <c r="E968" s="6" t="s">
        <v>60</v>
      </c>
      <c r="F968" s="6">
        <v>18042.240000000002</v>
      </c>
      <c r="G968" s="2">
        <v>12</v>
      </c>
      <c r="H968" s="61">
        <v>4.04</v>
      </c>
      <c r="I968" s="61">
        <v>4.76</v>
      </c>
      <c r="J968" s="47">
        <f t="shared" si="75"/>
        <v>-0.66333333333333333</v>
      </c>
      <c r="K968" s="47">
        <f t="shared" si="76"/>
        <v>0.17821782178217815</v>
      </c>
      <c r="L968" s="8">
        <v>4.97</v>
      </c>
      <c r="M968" s="8">
        <v>12.32</v>
      </c>
      <c r="N968" s="8">
        <v>10.23</v>
      </c>
      <c r="O968" s="17">
        <f t="shared" si="77"/>
        <v>-0.18572864321608043</v>
      </c>
      <c r="P968" s="17">
        <f t="shared" si="78"/>
        <v>0.57401666666666684</v>
      </c>
      <c r="Q968" s="17">
        <v>9.8000000000000007</v>
      </c>
      <c r="R968" s="9">
        <v>20220804</v>
      </c>
      <c r="S968" s="9">
        <v>17.16</v>
      </c>
      <c r="T968" s="9">
        <v>-1.84</v>
      </c>
      <c r="U968" s="9">
        <v>21576.427729999999</v>
      </c>
      <c r="V968" s="45">
        <f t="shared" si="79"/>
        <v>-1.0000852782500897</v>
      </c>
      <c r="W968" s="12">
        <v>46.15</v>
      </c>
      <c r="X968" s="12">
        <v>3.8</v>
      </c>
      <c r="Y968" s="62"/>
    </row>
    <row r="969" spans="1:25" x14ac:dyDescent="0.2">
      <c r="A969" s="3" t="s">
        <v>3266</v>
      </c>
      <c r="B969" s="3" t="s">
        <v>1098</v>
      </c>
      <c r="C969" s="6" t="s">
        <v>354</v>
      </c>
      <c r="D969" s="6" t="s">
        <v>9</v>
      </c>
      <c r="E969" s="6" t="s">
        <v>108</v>
      </c>
      <c r="F969" s="6">
        <v>12447.66</v>
      </c>
      <c r="G969" s="2">
        <v>12</v>
      </c>
      <c r="H969" s="61">
        <v>2.6</v>
      </c>
      <c r="I969" s="61">
        <v>2.72</v>
      </c>
      <c r="J969" s="47">
        <f t="shared" si="75"/>
        <v>-0.78333333333333333</v>
      </c>
      <c r="K969" s="47">
        <f t="shared" si="76"/>
        <v>4.6153846153846191E-2</v>
      </c>
      <c r="L969" s="8">
        <v>2.87</v>
      </c>
      <c r="M969" s="8">
        <v>12.07</v>
      </c>
      <c r="N969" s="8">
        <v>11.61</v>
      </c>
      <c r="O969" s="17">
        <f t="shared" si="77"/>
        <v>-0.15408510638297873</v>
      </c>
      <c r="P969" s="17">
        <f t="shared" si="78"/>
        <v>2.5154999999999976</v>
      </c>
      <c r="Q969" s="17">
        <v>11.03</v>
      </c>
      <c r="R969" s="9">
        <v>20220720</v>
      </c>
      <c r="S969" s="9">
        <v>31.1</v>
      </c>
      <c r="T969" s="9">
        <v>4.66</v>
      </c>
      <c r="U969" s="9">
        <v>10143.940420000001</v>
      </c>
      <c r="V969" s="45">
        <f t="shared" si="79"/>
        <v>-0.99954061244377856</v>
      </c>
      <c r="W969" s="12">
        <v>17.5</v>
      </c>
      <c r="X969" s="12">
        <v>3.67</v>
      </c>
      <c r="Y969" s="62">
        <v>2.65</v>
      </c>
    </row>
    <row r="970" spans="1:25" x14ac:dyDescent="0.2">
      <c r="A970" s="3" t="s">
        <v>3267</v>
      </c>
      <c r="B970" s="3" t="s">
        <v>1099</v>
      </c>
      <c r="C970" s="6" t="s">
        <v>355</v>
      </c>
      <c r="D970" s="6" t="s">
        <v>1100</v>
      </c>
      <c r="E970" s="6" t="s">
        <v>119</v>
      </c>
      <c r="F970" s="6">
        <v>5187.78</v>
      </c>
      <c r="G970" s="2">
        <v>12</v>
      </c>
      <c r="H970" s="61">
        <v>5.15</v>
      </c>
      <c r="I970" s="61">
        <v>4.8899999999999997</v>
      </c>
      <c r="J970" s="47">
        <f t="shared" si="75"/>
        <v>-0.5708333333333333</v>
      </c>
      <c r="K970" s="47">
        <f t="shared" si="76"/>
        <v>-5.0485436893204012E-2</v>
      </c>
      <c r="L970" s="8">
        <v>5.43</v>
      </c>
      <c r="M970" s="8">
        <v>19.2</v>
      </c>
      <c r="N970" s="8">
        <v>20.440000000000001</v>
      </c>
      <c r="O970" s="17">
        <f t="shared" si="77"/>
        <v>-0.33635036496350368</v>
      </c>
      <c r="P970" s="17">
        <f t="shared" si="78"/>
        <v>-4.0486923076922974</v>
      </c>
      <c r="Q970" s="17">
        <v>18.43</v>
      </c>
      <c r="R970" s="9">
        <v>20220802</v>
      </c>
      <c r="S970" s="9">
        <v>10.27</v>
      </c>
      <c r="T970" s="9">
        <v>-0.47</v>
      </c>
      <c r="U970" s="9">
        <v>1476.93994</v>
      </c>
      <c r="V970" s="45">
        <f t="shared" si="79"/>
        <v>-1.0003182255332603</v>
      </c>
      <c r="W970" s="12">
        <v>32.32</v>
      </c>
      <c r="X970" s="12">
        <v>0</v>
      </c>
      <c r="Y970" s="62">
        <v>4.79</v>
      </c>
    </row>
    <row r="971" spans="1:25" x14ac:dyDescent="0.2">
      <c r="A971" s="3" t="s">
        <v>3268</v>
      </c>
      <c r="B971" s="3" t="s">
        <v>2174</v>
      </c>
      <c r="C971" s="6" t="s">
        <v>356</v>
      </c>
      <c r="D971" s="6" t="s">
        <v>187</v>
      </c>
      <c r="E971" s="6" t="s">
        <v>208</v>
      </c>
      <c r="F971" s="6">
        <v>8651.34</v>
      </c>
      <c r="G971" s="2">
        <v>12</v>
      </c>
      <c r="H971" s="61">
        <v>2.57</v>
      </c>
      <c r="I971" s="61"/>
      <c r="J971" s="47">
        <f t="shared" si="75"/>
        <v>-0.78583333333333327</v>
      </c>
      <c r="K971" s="47">
        <f t="shared" si="76"/>
        <v>-1</v>
      </c>
      <c r="O971" s="17">
        <f t="shared" si="77"/>
        <v>0</v>
      </c>
      <c r="P971" s="17">
        <f t="shared" si="78"/>
        <v>0</v>
      </c>
      <c r="Q971" s="17"/>
      <c r="V971" s="45" t="e">
        <f t="shared" si="79"/>
        <v>#DIV/0!</v>
      </c>
      <c r="X971" s="12">
        <v>0.75</v>
      </c>
      <c r="Y971" s="62"/>
    </row>
    <row r="972" spans="1:25" x14ac:dyDescent="0.2">
      <c r="A972" s="3" t="s">
        <v>3269</v>
      </c>
      <c r="B972" s="3" t="s">
        <v>2175</v>
      </c>
      <c r="C972" s="6" t="s">
        <v>356</v>
      </c>
      <c r="D972" s="6" t="s">
        <v>1977</v>
      </c>
      <c r="E972" s="6" t="s">
        <v>218</v>
      </c>
      <c r="F972" s="6">
        <v>16750.939999999999</v>
      </c>
      <c r="G972" s="2">
        <v>12</v>
      </c>
      <c r="H972" s="61"/>
      <c r="I972" s="61"/>
      <c r="J972" s="47">
        <f t="shared" si="75"/>
        <v>-1</v>
      </c>
      <c r="K972" s="47" t="e">
        <f t="shared" si="76"/>
        <v>#DIV/0!</v>
      </c>
      <c r="M972" s="8">
        <v>6.6</v>
      </c>
      <c r="O972" s="17">
        <f t="shared" si="77"/>
        <v>-6.6000000000000003E-2</v>
      </c>
      <c r="P972" s="17" t="e">
        <f t="shared" si="78"/>
        <v>#DIV/0!</v>
      </c>
      <c r="Q972" s="17"/>
      <c r="R972" s="9">
        <v>20220809</v>
      </c>
      <c r="S972" s="9">
        <v>8.7899999999999991</v>
      </c>
      <c r="T972" s="9">
        <v>4.0599999999999996</v>
      </c>
      <c r="V972" s="45" t="e">
        <f t="shared" si="79"/>
        <v>#DIV/0!</v>
      </c>
      <c r="X972" s="12">
        <v>5.31</v>
      </c>
      <c r="Y972" s="62"/>
    </row>
    <row r="973" spans="1:25" x14ac:dyDescent="0.2">
      <c r="A973" s="3" t="s">
        <v>3270</v>
      </c>
      <c r="B973" s="3" t="s">
        <v>1101</v>
      </c>
      <c r="C973" s="6" t="s">
        <v>355</v>
      </c>
      <c r="D973" s="6" t="s">
        <v>147</v>
      </c>
      <c r="E973" s="6" t="s">
        <v>146</v>
      </c>
      <c r="F973" s="6">
        <v>3127.3</v>
      </c>
      <c r="G973" s="2">
        <v>12</v>
      </c>
      <c r="H973" s="61">
        <v>-0.88</v>
      </c>
      <c r="I973" s="61">
        <v>-0.36</v>
      </c>
      <c r="J973" s="47">
        <f t="shared" si="75"/>
        <v>-1.0733333333333335</v>
      </c>
      <c r="K973" s="47">
        <f t="shared" si="76"/>
        <v>0.59090909090909094</v>
      </c>
      <c r="L973" s="8">
        <v>0.08</v>
      </c>
      <c r="O973" s="17">
        <f t="shared" si="77"/>
        <v>0</v>
      </c>
      <c r="P973" s="17">
        <f t="shared" si="78"/>
        <v>0</v>
      </c>
      <c r="Q973" s="17">
        <v>52.13</v>
      </c>
      <c r="R973" s="9">
        <v>20220811</v>
      </c>
      <c r="S973" s="9">
        <v>-63.22</v>
      </c>
      <c r="T973" s="9">
        <v>6.68</v>
      </c>
      <c r="U973" s="9">
        <v>4807.5698199999997</v>
      </c>
      <c r="V973" s="45">
        <f t="shared" si="79"/>
        <v>-0.99861052459972377</v>
      </c>
      <c r="W973" s="12">
        <v>127.27</v>
      </c>
      <c r="X973" s="12">
        <v>0</v>
      </c>
      <c r="Y973" s="62"/>
    </row>
    <row r="974" spans="1:25" x14ac:dyDescent="0.2">
      <c r="A974" s="3" t="s">
        <v>3271</v>
      </c>
      <c r="B974" s="3" t="s">
        <v>1102</v>
      </c>
      <c r="C974" s="6" t="s">
        <v>354</v>
      </c>
      <c r="D974" s="6" t="s">
        <v>233</v>
      </c>
      <c r="E974" s="6" t="s">
        <v>108</v>
      </c>
      <c r="F974" s="6">
        <v>39318.93</v>
      </c>
      <c r="G974" s="2">
        <v>12</v>
      </c>
      <c r="H974" s="61">
        <v>8.91</v>
      </c>
      <c r="I974" s="61">
        <v>10.16</v>
      </c>
      <c r="J974" s="47">
        <f t="shared" si="75"/>
        <v>-0.25750000000000001</v>
      </c>
      <c r="K974" s="47">
        <f t="shared" si="76"/>
        <v>0.14029180695847362</v>
      </c>
      <c r="L974" s="8">
        <v>11.53</v>
      </c>
      <c r="M974" s="8">
        <v>22.29</v>
      </c>
      <c r="N974" s="8">
        <v>20.45</v>
      </c>
      <c r="O974" s="17">
        <f t="shared" si="77"/>
        <v>-0.86563106796116507</v>
      </c>
      <c r="P974" s="17">
        <f t="shared" si="78"/>
        <v>1.457676</v>
      </c>
      <c r="Q974" s="17">
        <v>18.010000000000002</v>
      </c>
      <c r="R974" s="9">
        <v>20220726</v>
      </c>
      <c r="S974" s="9">
        <v>28.8</v>
      </c>
      <c r="T974" s="9">
        <v>8.65</v>
      </c>
      <c r="U974" s="9">
        <v>14634.282219999999</v>
      </c>
      <c r="V974" s="45">
        <f t="shared" si="79"/>
        <v>-0.99940892215484423</v>
      </c>
      <c r="W974" s="12">
        <v>1.65</v>
      </c>
      <c r="X974" s="12">
        <v>0</v>
      </c>
      <c r="Y974" s="62">
        <v>1.38</v>
      </c>
    </row>
    <row r="975" spans="1:25" x14ac:dyDescent="0.2">
      <c r="A975" s="3" t="s">
        <v>3272</v>
      </c>
      <c r="B975" s="3" t="s">
        <v>168</v>
      </c>
      <c r="C975" s="6" t="s">
        <v>354</v>
      </c>
      <c r="D975" s="6" t="s">
        <v>183</v>
      </c>
      <c r="E975" s="6" t="s">
        <v>201</v>
      </c>
      <c r="F975" s="6">
        <v>19216.72</v>
      </c>
      <c r="G975" s="2">
        <v>12</v>
      </c>
      <c r="H975" s="61">
        <v>2.0099999999999998</v>
      </c>
      <c r="I975" s="61">
        <v>2.29</v>
      </c>
      <c r="J975" s="47">
        <f t="shared" si="75"/>
        <v>-0.83250000000000002</v>
      </c>
      <c r="K975" s="47">
        <f t="shared" si="76"/>
        <v>0.13930348258706482</v>
      </c>
      <c r="L975" s="8">
        <v>2.57</v>
      </c>
      <c r="M975" s="8">
        <v>21.52</v>
      </c>
      <c r="N975" s="8">
        <v>20.67</v>
      </c>
      <c r="O975" s="17">
        <f t="shared" si="77"/>
        <v>-0.25849849849849849</v>
      </c>
      <c r="P975" s="17">
        <f t="shared" si="78"/>
        <v>1.4838107142857129</v>
      </c>
      <c r="Q975" s="17">
        <v>18.440000000000001</v>
      </c>
      <c r="R975" s="9">
        <v>20220727</v>
      </c>
      <c r="S975" s="9">
        <v>9.16</v>
      </c>
      <c r="T975" s="9">
        <v>26.27</v>
      </c>
      <c r="U975" s="9">
        <v>5768.3999000000003</v>
      </c>
      <c r="V975" s="45">
        <f t="shared" si="79"/>
        <v>-0.99544587746074953</v>
      </c>
      <c r="W975" s="12">
        <v>8.89</v>
      </c>
      <c r="X975" s="12">
        <v>0.17</v>
      </c>
      <c r="Y975" s="62"/>
    </row>
    <row r="976" spans="1:25" x14ac:dyDescent="0.2">
      <c r="A976" s="3" t="s">
        <v>3273</v>
      </c>
      <c r="B976" s="3" t="s">
        <v>1103</v>
      </c>
      <c r="C976" s="6" t="s">
        <v>355</v>
      </c>
      <c r="D976" s="6" t="s">
        <v>1104</v>
      </c>
      <c r="E976" s="6" t="s">
        <v>119</v>
      </c>
      <c r="F976" s="6">
        <v>4704.97</v>
      </c>
      <c r="G976" s="2">
        <v>12</v>
      </c>
      <c r="H976" s="61">
        <v>-0.08</v>
      </c>
      <c r="I976" s="61">
        <v>7.0000000000000007E-2</v>
      </c>
      <c r="J976" s="47">
        <f t="shared" si="75"/>
        <v>-1.0066666666666666</v>
      </c>
      <c r="K976" s="47">
        <f t="shared" si="76"/>
        <v>1.8750000000000002</v>
      </c>
      <c r="L976" s="8">
        <v>0.21</v>
      </c>
      <c r="N976" s="8">
        <v>525.14</v>
      </c>
      <c r="O976" s="17">
        <f t="shared" si="77"/>
        <v>0</v>
      </c>
      <c r="P976" s="17">
        <f t="shared" si="78"/>
        <v>2.8007466666666661</v>
      </c>
      <c r="Q976" s="17">
        <v>175.05</v>
      </c>
      <c r="R976" s="9">
        <v>20220719</v>
      </c>
      <c r="S976" s="9">
        <v>-0.1</v>
      </c>
      <c r="T976" s="9">
        <v>7.82</v>
      </c>
      <c r="U976" s="9">
        <v>677.10302000000001</v>
      </c>
      <c r="V976" s="45">
        <f t="shared" si="79"/>
        <v>-0.98845079733952446</v>
      </c>
      <c r="W976" s="12">
        <v>300</v>
      </c>
      <c r="X976" s="12">
        <v>0</v>
      </c>
      <c r="Y976" s="62"/>
    </row>
    <row r="977" spans="1:25" x14ac:dyDescent="0.2">
      <c r="A977" s="3" t="s">
        <v>3274</v>
      </c>
      <c r="B977" s="3" t="s">
        <v>1105</v>
      </c>
      <c r="C977" s="6" t="s">
        <v>354</v>
      </c>
      <c r="D977" s="6" t="s">
        <v>215</v>
      </c>
      <c r="E977" s="6" t="s">
        <v>163</v>
      </c>
      <c r="F977" s="6">
        <v>15097.58</v>
      </c>
      <c r="G977" s="2">
        <v>12</v>
      </c>
      <c r="H977" s="61">
        <v>2.74</v>
      </c>
      <c r="I977" s="61">
        <v>3.78</v>
      </c>
      <c r="J977" s="47">
        <f t="shared" si="75"/>
        <v>-0.77166666666666661</v>
      </c>
      <c r="K977" s="47">
        <f t="shared" si="76"/>
        <v>0.37956204379562025</v>
      </c>
      <c r="L977" s="8">
        <v>3.87</v>
      </c>
      <c r="M977" s="8">
        <v>16.14</v>
      </c>
      <c r="N977" s="8">
        <v>13.76</v>
      </c>
      <c r="O977" s="17">
        <f t="shared" si="77"/>
        <v>-0.2091576673866091</v>
      </c>
      <c r="P977" s="17">
        <f t="shared" si="78"/>
        <v>0.36252307692307711</v>
      </c>
      <c r="Q977" s="17">
        <v>13.42</v>
      </c>
      <c r="R977" s="9">
        <v>20220804</v>
      </c>
      <c r="S977" s="9">
        <v>49.7</v>
      </c>
      <c r="T977" s="9">
        <v>3.1</v>
      </c>
      <c r="U977" s="9">
        <v>5202.0361300000004</v>
      </c>
      <c r="V977" s="45">
        <f t="shared" si="79"/>
        <v>-0.99940407949454202</v>
      </c>
      <c r="W977" s="12">
        <v>30</v>
      </c>
      <c r="X977" s="12">
        <v>4.76</v>
      </c>
      <c r="Y977" s="62">
        <v>3.44</v>
      </c>
    </row>
    <row r="978" spans="1:25" x14ac:dyDescent="0.2">
      <c r="A978" s="3" t="s">
        <v>3275</v>
      </c>
      <c r="B978" s="3" t="s">
        <v>3276</v>
      </c>
      <c r="C978" s="6" t="s">
        <v>354</v>
      </c>
      <c r="D978" s="6" t="s">
        <v>216</v>
      </c>
      <c r="E978" s="6" t="s">
        <v>163</v>
      </c>
      <c r="F978" s="6">
        <v>5172.96</v>
      </c>
      <c r="G978" s="2">
        <v>12</v>
      </c>
      <c r="H978" s="61">
        <v>0.83</v>
      </c>
      <c r="I978" s="61">
        <v>1.05</v>
      </c>
      <c r="J978" s="47">
        <f t="shared" si="75"/>
        <v>-0.93083333333333329</v>
      </c>
      <c r="K978" s="47">
        <f t="shared" si="76"/>
        <v>0.26506024096385555</v>
      </c>
      <c r="L978" s="8">
        <v>1.1599999999999999</v>
      </c>
      <c r="M978" s="8">
        <v>25.99</v>
      </c>
      <c r="N978" s="8">
        <v>22.22</v>
      </c>
      <c r="O978" s="17">
        <f t="shared" si="77"/>
        <v>-0.27921217547000893</v>
      </c>
      <c r="P978" s="17">
        <f t="shared" si="78"/>
        <v>0.83829999999999949</v>
      </c>
      <c r="Q978" s="17">
        <v>20.16</v>
      </c>
      <c r="R978" s="9">
        <v>20220725</v>
      </c>
      <c r="S978" s="9">
        <v>5.34</v>
      </c>
      <c r="T978" s="9">
        <v>11.65</v>
      </c>
      <c r="U978" s="9">
        <v>621.43902000000003</v>
      </c>
      <c r="V978" s="45">
        <f t="shared" si="79"/>
        <v>-0.98125318876822387</v>
      </c>
      <c r="W978" s="12">
        <v>0</v>
      </c>
      <c r="X978" s="12">
        <v>2.0499999999999998</v>
      </c>
      <c r="Y978" s="62">
        <v>11.11</v>
      </c>
    </row>
    <row r="979" spans="1:25" x14ac:dyDescent="0.2">
      <c r="A979" s="3" t="s">
        <v>3277</v>
      </c>
      <c r="B979" s="3" t="s">
        <v>3278</v>
      </c>
      <c r="C979" s="6" t="s">
        <v>355</v>
      </c>
      <c r="D979" s="6" t="s">
        <v>194</v>
      </c>
      <c r="E979" s="6" t="s">
        <v>208</v>
      </c>
      <c r="F979" s="6">
        <v>4067.55</v>
      </c>
      <c r="G979" s="2">
        <v>12</v>
      </c>
      <c r="H979" s="61">
        <v>-3.58</v>
      </c>
      <c r="I979" s="61">
        <v>-3.28</v>
      </c>
      <c r="J979" s="47">
        <f t="shared" si="75"/>
        <v>-1.2983333333333333</v>
      </c>
      <c r="K979" s="47">
        <f t="shared" si="76"/>
        <v>8.3798882681564324E-2</v>
      </c>
      <c r="L979" s="8">
        <v>-1.99</v>
      </c>
      <c r="O979" s="17">
        <f t="shared" si="77"/>
        <v>0</v>
      </c>
      <c r="P979" s="17">
        <f t="shared" si="78"/>
        <v>0</v>
      </c>
      <c r="Q979" s="17"/>
      <c r="R979" s="9">
        <v>20220804</v>
      </c>
      <c r="S979" s="9">
        <v>-34.549999999999997</v>
      </c>
      <c r="T979" s="9">
        <v>35.93</v>
      </c>
      <c r="U979" s="9">
        <v>420.09399000000002</v>
      </c>
      <c r="V979" s="45">
        <f t="shared" si="79"/>
        <v>-0.91447152100414475</v>
      </c>
      <c r="W979" s="12">
        <v>24.53</v>
      </c>
      <c r="X979" s="12">
        <v>0</v>
      </c>
      <c r="Y979" s="62"/>
    </row>
    <row r="980" spans="1:25" x14ac:dyDescent="0.2">
      <c r="A980" s="3" t="s">
        <v>3279</v>
      </c>
      <c r="B980" s="3" t="s">
        <v>1106</v>
      </c>
      <c r="C980" s="6" t="s">
        <v>356</v>
      </c>
      <c r="D980" s="6" t="s">
        <v>69</v>
      </c>
      <c r="E980" s="6" t="s">
        <v>163</v>
      </c>
      <c r="F980" s="6">
        <v>42989.9</v>
      </c>
      <c r="G980" s="2">
        <v>12</v>
      </c>
      <c r="H980" s="61">
        <v>1.5</v>
      </c>
      <c r="I980" s="61">
        <v>1.28</v>
      </c>
      <c r="J980" s="47">
        <f t="shared" si="75"/>
        <v>-0.875</v>
      </c>
      <c r="K980" s="47">
        <f t="shared" si="76"/>
        <v>-0.14666666666666664</v>
      </c>
      <c r="L980" s="8">
        <v>1.59</v>
      </c>
      <c r="N980" s="8">
        <v>10.37</v>
      </c>
      <c r="O980" s="17">
        <f t="shared" si="77"/>
        <v>0</v>
      </c>
      <c r="P980" s="17">
        <f t="shared" si="78"/>
        <v>-0.70704545454545464</v>
      </c>
      <c r="Q980" s="17">
        <v>8.35</v>
      </c>
      <c r="R980" s="9">
        <v>20220601</v>
      </c>
      <c r="U980" s="9">
        <v>21722.609369999998</v>
      </c>
      <c r="V980" s="45">
        <f t="shared" si="79"/>
        <v>-1</v>
      </c>
      <c r="X980" s="12">
        <v>2.75</v>
      </c>
      <c r="Y980" s="62"/>
    </row>
    <row r="981" spans="1:25" x14ac:dyDescent="0.2">
      <c r="A981" s="3" t="s">
        <v>3280</v>
      </c>
      <c r="B981" s="3" t="s">
        <v>1107</v>
      </c>
      <c r="C981" s="6" t="s">
        <v>355</v>
      </c>
      <c r="D981" s="6" t="s">
        <v>191</v>
      </c>
      <c r="E981" s="6" t="s">
        <v>208</v>
      </c>
      <c r="F981" s="6">
        <v>80154.990000000005</v>
      </c>
      <c r="G981" s="2">
        <v>12</v>
      </c>
      <c r="H981" s="61">
        <v>4.9400000000000004</v>
      </c>
      <c r="I981" s="61">
        <v>4.82</v>
      </c>
      <c r="J981" s="47">
        <f t="shared" si="75"/>
        <v>-0.58833333333333326</v>
      </c>
      <c r="K981" s="47">
        <f t="shared" si="76"/>
        <v>-2.4291497975708523E-2</v>
      </c>
      <c r="L981" s="8">
        <v>5.75</v>
      </c>
      <c r="M981" s="8">
        <v>45.33</v>
      </c>
      <c r="N981" s="8">
        <v>46.3</v>
      </c>
      <c r="O981" s="17">
        <f t="shared" si="77"/>
        <v>-0.77048158640226627</v>
      </c>
      <c r="P981" s="17">
        <f t="shared" si="78"/>
        <v>-19.06016666666665</v>
      </c>
      <c r="Q981" s="17">
        <v>38.85</v>
      </c>
      <c r="R981" s="9">
        <v>20220719</v>
      </c>
      <c r="S981" s="9">
        <v>14.16</v>
      </c>
      <c r="T981" s="9">
        <v>14.78</v>
      </c>
      <c r="U981" s="9">
        <v>6362.5068300000003</v>
      </c>
      <c r="V981" s="45">
        <f t="shared" si="79"/>
        <v>-0.99767701624612637</v>
      </c>
      <c r="W981" s="12">
        <v>5.61</v>
      </c>
      <c r="X981" s="12">
        <v>0</v>
      </c>
      <c r="Y981" s="62">
        <v>4.37</v>
      </c>
    </row>
    <row r="982" spans="1:25" x14ac:dyDescent="0.2">
      <c r="A982" s="3" t="s">
        <v>3281</v>
      </c>
      <c r="B982" s="3" t="s">
        <v>2176</v>
      </c>
      <c r="C982" s="6" t="s">
        <v>356</v>
      </c>
      <c r="D982" s="6" t="s">
        <v>46</v>
      </c>
      <c r="E982" s="6" t="s">
        <v>35</v>
      </c>
      <c r="F982" s="6">
        <v>9344.85</v>
      </c>
      <c r="G982" s="2">
        <v>3</v>
      </c>
      <c r="H982" s="61"/>
      <c r="I982" s="61"/>
      <c r="J982" s="47">
        <f t="shared" si="75"/>
        <v>-1</v>
      </c>
      <c r="K982" s="47" t="e">
        <f t="shared" si="76"/>
        <v>#DIV/0!</v>
      </c>
      <c r="M982" s="8">
        <v>7.96</v>
      </c>
      <c r="O982" s="17">
        <f t="shared" si="77"/>
        <v>-7.9600000000000004E-2</v>
      </c>
      <c r="P982" s="17" t="e">
        <f t="shared" si="78"/>
        <v>#DIV/0!</v>
      </c>
      <c r="Q982" s="17"/>
      <c r="R982" s="9">
        <v>20220803</v>
      </c>
      <c r="S982" s="9">
        <v>9.83</v>
      </c>
      <c r="T982" s="9">
        <v>1.9</v>
      </c>
      <c r="V982" s="45" t="e">
        <f t="shared" si="79"/>
        <v>#DIV/0!</v>
      </c>
      <c r="X982" s="12">
        <v>2.73</v>
      </c>
      <c r="Y982" s="62"/>
    </row>
    <row r="983" spans="1:25" x14ac:dyDescent="0.2">
      <c r="A983" s="3" t="s">
        <v>3282</v>
      </c>
      <c r="B983" s="3" t="s">
        <v>1108</v>
      </c>
      <c r="C983" s="6" t="s">
        <v>354</v>
      </c>
      <c r="D983" s="6" t="s">
        <v>135</v>
      </c>
      <c r="E983" s="6" t="s">
        <v>108</v>
      </c>
      <c r="F983" s="6">
        <v>20651.02</v>
      </c>
      <c r="G983" s="2">
        <v>12</v>
      </c>
      <c r="H983" s="61">
        <v>8.7200000000000006</v>
      </c>
      <c r="I983" s="61">
        <v>8.14</v>
      </c>
      <c r="J983" s="47">
        <f t="shared" si="75"/>
        <v>-0.27333333333333326</v>
      </c>
      <c r="K983" s="47">
        <f t="shared" si="76"/>
        <v>-6.6513761467889912E-2</v>
      </c>
      <c r="L983" s="8">
        <v>9.02</v>
      </c>
      <c r="M983" s="8">
        <v>26.74</v>
      </c>
      <c r="N983" s="8">
        <v>31.51</v>
      </c>
      <c r="O983" s="17">
        <f t="shared" si="77"/>
        <v>-0.97829268292682947</v>
      </c>
      <c r="P983" s="17">
        <f t="shared" si="78"/>
        <v>-4.7373655172413791</v>
      </c>
      <c r="Q983" s="17">
        <v>28.43</v>
      </c>
      <c r="R983" s="9">
        <v>20220802</v>
      </c>
      <c r="S983" s="9">
        <v>239.82</v>
      </c>
      <c r="T983" s="9">
        <v>8.83</v>
      </c>
      <c r="U983" s="9">
        <v>5312.1000899999999</v>
      </c>
      <c r="V983" s="45">
        <f t="shared" si="79"/>
        <v>-0.99833775722399842</v>
      </c>
      <c r="W983" s="12">
        <v>23.28</v>
      </c>
      <c r="X983" s="12">
        <v>0</v>
      </c>
      <c r="Y983" s="62"/>
    </row>
    <row r="984" spans="1:25" x14ac:dyDescent="0.2">
      <c r="A984" s="3" t="s">
        <v>3283</v>
      </c>
      <c r="B984" s="3" t="s">
        <v>1986</v>
      </c>
      <c r="C984" s="6" t="s">
        <v>355</v>
      </c>
      <c r="D984" s="6" t="s">
        <v>185</v>
      </c>
      <c r="E984" s="6" t="s">
        <v>208</v>
      </c>
      <c r="F984" s="6">
        <v>5538.72</v>
      </c>
      <c r="G984" s="2">
        <v>12</v>
      </c>
      <c r="H984" s="61">
        <v>-3.46</v>
      </c>
      <c r="I984" s="61">
        <v>-2.95</v>
      </c>
      <c r="J984" s="47">
        <f t="shared" si="75"/>
        <v>-1.2883333333333333</v>
      </c>
      <c r="K984" s="47">
        <f t="shared" si="76"/>
        <v>0.14739884393063576</v>
      </c>
      <c r="L984" s="8">
        <v>-1.38</v>
      </c>
      <c r="O984" s="17">
        <f t="shared" si="77"/>
        <v>0</v>
      </c>
      <c r="P984" s="17">
        <f t="shared" si="78"/>
        <v>0</v>
      </c>
      <c r="Q984" s="17"/>
      <c r="R984" s="9">
        <v>20220808</v>
      </c>
      <c r="S984" s="9">
        <v>-53.93</v>
      </c>
      <c r="U984" s="9">
        <v>220.83999</v>
      </c>
      <c r="V984" s="45">
        <f t="shared" si="79"/>
        <v>-1</v>
      </c>
      <c r="W984" s="12">
        <v>16.13</v>
      </c>
      <c r="X984" s="12">
        <v>0</v>
      </c>
      <c r="Y984" s="62"/>
    </row>
    <row r="985" spans="1:25" x14ac:dyDescent="0.2">
      <c r="A985" s="3" t="s">
        <v>3284</v>
      </c>
      <c r="B985" s="3" t="s">
        <v>1872</v>
      </c>
      <c r="C985" s="6" t="s">
        <v>356</v>
      </c>
      <c r="D985" s="6" t="s">
        <v>221</v>
      </c>
      <c r="E985" s="6" t="s">
        <v>231</v>
      </c>
      <c r="F985" s="6">
        <v>46388.13</v>
      </c>
      <c r="G985" s="2">
        <v>3</v>
      </c>
      <c r="H985" s="61">
        <v>9.8699999999999992</v>
      </c>
      <c r="I985" s="61">
        <v>7.95</v>
      </c>
      <c r="J985" s="47">
        <f t="shared" si="75"/>
        <v>2.2899999999999996</v>
      </c>
      <c r="K985" s="47">
        <f t="shared" si="76"/>
        <v>-0.19452887537993913</v>
      </c>
      <c r="L985" s="8">
        <v>8.11</v>
      </c>
      <c r="M985" s="8">
        <v>6.71</v>
      </c>
      <c r="N985" s="8">
        <v>7.36</v>
      </c>
      <c r="O985" s="17">
        <f t="shared" si="77"/>
        <v>2.9301310043668125E-2</v>
      </c>
      <c r="P985" s="17">
        <f t="shared" si="78"/>
        <v>-0.37835000000000019</v>
      </c>
      <c r="Q985" s="17">
        <v>7.22</v>
      </c>
      <c r="R985" s="9">
        <v>20220530</v>
      </c>
      <c r="S985" s="9">
        <v>17.13</v>
      </c>
      <c r="T985" s="9">
        <v>21.97</v>
      </c>
      <c r="U985" s="9">
        <v>107394.5</v>
      </c>
      <c r="V985" s="45">
        <f t="shared" si="79"/>
        <v>-0.99979542714012359</v>
      </c>
      <c r="X985" s="12">
        <v>2.2400000000000002</v>
      </c>
      <c r="Y985" s="62">
        <v>0.48</v>
      </c>
    </row>
    <row r="986" spans="1:25" x14ac:dyDescent="0.2">
      <c r="A986" s="3" t="s">
        <v>1109</v>
      </c>
      <c r="B986" s="3" t="s">
        <v>1109</v>
      </c>
      <c r="C986" s="6" t="s">
        <v>354</v>
      </c>
      <c r="D986" s="6" t="s">
        <v>590</v>
      </c>
      <c r="E986" s="6" t="s">
        <v>589</v>
      </c>
      <c r="F986" s="6">
        <v>5965.24</v>
      </c>
      <c r="G986" s="2">
        <v>12</v>
      </c>
      <c r="H986" s="61">
        <v>4.04</v>
      </c>
      <c r="I986" s="61">
        <v>4.42</v>
      </c>
      <c r="J986" s="47">
        <f t="shared" si="75"/>
        <v>-0.66333333333333333</v>
      </c>
      <c r="K986" s="47">
        <f t="shared" si="76"/>
        <v>9.4059405940594032E-2</v>
      </c>
      <c r="L986" s="8">
        <v>5.15</v>
      </c>
      <c r="M986" s="8">
        <v>18.04</v>
      </c>
      <c r="N986" s="8">
        <v>16.149999999999999</v>
      </c>
      <c r="O986" s="17">
        <f t="shared" si="77"/>
        <v>-0.27195979899497486</v>
      </c>
      <c r="P986" s="17">
        <f t="shared" si="78"/>
        <v>1.7170000000000003</v>
      </c>
      <c r="Q986" s="17">
        <v>13.87</v>
      </c>
      <c r="R986" s="9">
        <v>20220804</v>
      </c>
      <c r="S986" s="9">
        <v>15.9</v>
      </c>
      <c r="T986" s="9">
        <v>0.94</v>
      </c>
      <c r="U986" s="9">
        <v>3002.6000899999999</v>
      </c>
      <c r="V986" s="45">
        <f t="shared" si="79"/>
        <v>-0.99968693799646158</v>
      </c>
      <c r="W986" s="12">
        <v>0</v>
      </c>
      <c r="X986" s="12">
        <v>1.48</v>
      </c>
      <c r="Y986" s="62">
        <v>1.26</v>
      </c>
    </row>
    <row r="987" spans="1:25" x14ac:dyDescent="0.2">
      <c r="A987" s="3" t="s">
        <v>3285</v>
      </c>
      <c r="B987" s="3" t="s">
        <v>1110</v>
      </c>
      <c r="C987" s="6" t="s">
        <v>354</v>
      </c>
      <c r="D987" s="6" t="s">
        <v>69</v>
      </c>
      <c r="E987" s="6" t="s">
        <v>163</v>
      </c>
      <c r="F987" s="6">
        <v>53018</v>
      </c>
      <c r="G987" s="2">
        <v>12</v>
      </c>
      <c r="H987" s="61">
        <v>0.51</v>
      </c>
      <c r="I987" s="61">
        <v>0.62</v>
      </c>
      <c r="J987" s="47">
        <f t="shared" si="75"/>
        <v>-0.95750000000000002</v>
      </c>
      <c r="K987" s="47">
        <f t="shared" si="76"/>
        <v>0.2156862745098039</v>
      </c>
      <c r="L987" s="8">
        <v>0.7</v>
      </c>
      <c r="M987" s="8">
        <v>10.82</v>
      </c>
      <c r="N987" s="8">
        <v>8.73</v>
      </c>
      <c r="O987" s="17">
        <f t="shared" si="77"/>
        <v>-0.11300261096605745</v>
      </c>
      <c r="P987" s="17">
        <f t="shared" si="78"/>
        <v>0.40475454545454553</v>
      </c>
      <c r="Q987" s="17">
        <v>7.77</v>
      </c>
      <c r="R987" s="9">
        <v>20220801</v>
      </c>
      <c r="S987" s="9">
        <v>16.010000000000002</v>
      </c>
      <c r="T987" s="9">
        <v>-2.1</v>
      </c>
      <c r="U987" s="9">
        <v>26955.589840000001</v>
      </c>
      <c r="V987" s="45">
        <f t="shared" si="79"/>
        <v>-1.0000779059190492</v>
      </c>
      <c r="W987" s="12">
        <v>0</v>
      </c>
      <c r="X987" s="12">
        <v>0.59</v>
      </c>
      <c r="Y987" s="62">
        <v>0.55000000000000004</v>
      </c>
    </row>
    <row r="988" spans="1:25" x14ac:dyDescent="0.2">
      <c r="A988" s="3" t="s">
        <v>3286</v>
      </c>
      <c r="B988" s="3" t="s">
        <v>2177</v>
      </c>
      <c r="C988" s="6" t="s">
        <v>356</v>
      </c>
      <c r="D988" s="6" t="s">
        <v>789</v>
      </c>
      <c r="E988" s="6" t="s">
        <v>146</v>
      </c>
      <c r="F988" s="6">
        <v>3727.53</v>
      </c>
      <c r="G988" s="2">
        <v>12</v>
      </c>
      <c r="H988" s="61"/>
      <c r="I988" s="61"/>
      <c r="J988" s="47">
        <f t="shared" si="75"/>
        <v>-1</v>
      </c>
      <c r="K988" s="47" t="e">
        <f t="shared" si="76"/>
        <v>#DIV/0!</v>
      </c>
      <c r="O988" s="17">
        <f t="shared" si="77"/>
        <v>0</v>
      </c>
      <c r="P988" s="17" t="e">
        <f t="shared" si="78"/>
        <v>#DIV/0!</v>
      </c>
      <c r="Q988" s="17"/>
      <c r="V988" s="45" t="e">
        <f t="shared" si="79"/>
        <v>#DIV/0!</v>
      </c>
      <c r="X988" s="12">
        <v>4.1500000000000004</v>
      </c>
      <c r="Y988" s="62"/>
    </row>
    <row r="989" spans="1:25" x14ac:dyDescent="0.2">
      <c r="A989" s="3" t="s">
        <v>3287</v>
      </c>
      <c r="B989" s="3" t="s">
        <v>171</v>
      </c>
      <c r="C989" s="6" t="s">
        <v>354</v>
      </c>
      <c r="D989" s="6" t="s">
        <v>183</v>
      </c>
      <c r="E989" s="6" t="s">
        <v>201</v>
      </c>
      <c r="F989" s="6">
        <v>63637.14</v>
      </c>
      <c r="G989" s="2">
        <v>12</v>
      </c>
      <c r="H989" s="61">
        <v>8.4700000000000006</v>
      </c>
      <c r="I989" s="61">
        <v>9.16</v>
      </c>
      <c r="J989" s="47">
        <f t="shared" si="75"/>
        <v>-0.29416666666666663</v>
      </c>
      <c r="K989" s="47">
        <f t="shared" si="76"/>
        <v>8.1463990554899585E-2</v>
      </c>
      <c r="L989" s="8">
        <v>10.050000000000001</v>
      </c>
      <c r="M989" s="8">
        <v>24.98</v>
      </c>
      <c r="N989" s="8">
        <v>22.3</v>
      </c>
      <c r="O989" s="17">
        <f t="shared" si="77"/>
        <v>-0.84917847025495763</v>
      </c>
      <c r="P989" s="17">
        <f t="shared" si="78"/>
        <v>2.7374057971014514</v>
      </c>
      <c r="Q989" s="17">
        <v>20.329999999999998</v>
      </c>
      <c r="R989" s="9">
        <v>20220729</v>
      </c>
      <c r="S989" s="9">
        <v>72.569999999999993</v>
      </c>
      <c r="T989" s="9">
        <v>-1.18</v>
      </c>
      <c r="U989" s="9">
        <v>15968.74121</v>
      </c>
      <c r="V989" s="45">
        <f t="shared" si="79"/>
        <v>-1.0000738943655285</v>
      </c>
      <c r="W989" s="12">
        <v>1.93</v>
      </c>
      <c r="X989" s="12">
        <v>2.39</v>
      </c>
      <c r="Y989" s="62">
        <v>2.23</v>
      </c>
    </row>
    <row r="990" spans="1:25" x14ac:dyDescent="0.2">
      <c r="B990" s="3" t="s">
        <v>2178</v>
      </c>
      <c r="C990" s="6" t="s">
        <v>354</v>
      </c>
      <c r="D990" s="6" t="s">
        <v>519</v>
      </c>
      <c r="E990" s="6" t="s">
        <v>163</v>
      </c>
      <c r="F990" s="6">
        <v>294141.53000000003</v>
      </c>
      <c r="G990" s="2">
        <v>12</v>
      </c>
      <c r="H990" s="61"/>
      <c r="I990" s="61"/>
      <c r="J990" s="47">
        <f t="shared" si="75"/>
        <v>-1</v>
      </c>
      <c r="K990" s="47" t="e">
        <f t="shared" si="76"/>
        <v>#DIV/0!</v>
      </c>
      <c r="O990" s="17">
        <f t="shared" si="77"/>
        <v>0</v>
      </c>
      <c r="P990" s="17" t="e">
        <f t="shared" si="78"/>
        <v>#DIV/0!</v>
      </c>
      <c r="Q990" s="17"/>
      <c r="V990" s="45" t="e">
        <f t="shared" si="79"/>
        <v>#DIV/0!</v>
      </c>
      <c r="X990" s="12">
        <v>1.45</v>
      </c>
      <c r="Y990" s="62"/>
    </row>
    <row r="991" spans="1:25" x14ac:dyDescent="0.2">
      <c r="A991" s="3" t="s">
        <v>3288</v>
      </c>
      <c r="B991" s="3" t="s">
        <v>1111</v>
      </c>
      <c r="C991" s="6" t="s">
        <v>354</v>
      </c>
      <c r="D991" s="6" t="s">
        <v>150</v>
      </c>
      <c r="E991" s="6" t="s">
        <v>163</v>
      </c>
      <c r="F991" s="6">
        <v>8754.69</v>
      </c>
      <c r="G991" s="2">
        <v>12</v>
      </c>
      <c r="H991" s="61">
        <v>3.01</v>
      </c>
      <c r="I991" s="61">
        <v>2.5099999999999998</v>
      </c>
      <c r="J991" s="47">
        <f t="shared" si="75"/>
        <v>-0.74916666666666665</v>
      </c>
      <c r="K991" s="47">
        <f t="shared" si="76"/>
        <v>-0.16611295681063123</v>
      </c>
      <c r="L991" s="8">
        <v>2.84</v>
      </c>
      <c r="M991" s="8">
        <v>6.48</v>
      </c>
      <c r="N991" s="8">
        <v>7.67</v>
      </c>
      <c r="O991" s="17">
        <f t="shared" si="77"/>
        <v>-8.6496106785317023E-2</v>
      </c>
      <c r="P991" s="17">
        <f t="shared" si="78"/>
        <v>-0.46173400000000003</v>
      </c>
      <c r="Q991" s="17">
        <v>6.79</v>
      </c>
      <c r="R991" s="9">
        <v>20220726</v>
      </c>
      <c r="S991" s="9">
        <v>13.7</v>
      </c>
      <c r="T991" s="9">
        <v>7.61</v>
      </c>
      <c r="U991" s="9">
        <v>5067.3168900000001</v>
      </c>
      <c r="V991" s="45">
        <f t="shared" si="79"/>
        <v>-0.99849821904467484</v>
      </c>
      <c r="W991" s="12">
        <v>-8.1999999999999993</v>
      </c>
      <c r="X991" s="12">
        <v>3.9</v>
      </c>
      <c r="Y991" s="62">
        <v>1.28</v>
      </c>
    </row>
    <row r="992" spans="1:25" x14ac:dyDescent="0.2">
      <c r="B992" s="3" t="s">
        <v>2179</v>
      </c>
      <c r="C992" s="6" t="s">
        <v>354</v>
      </c>
      <c r="D992" s="6" t="s">
        <v>519</v>
      </c>
      <c r="E992" s="6" t="s">
        <v>163</v>
      </c>
      <c r="F992" s="6">
        <v>55141.08</v>
      </c>
      <c r="G992" s="2">
        <v>12</v>
      </c>
      <c r="H992" s="61"/>
      <c r="I992" s="61"/>
      <c r="J992" s="47">
        <f t="shared" si="75"/>
        <v>-1</v>
      </c>
      <c r="K992" s="47" t="e">
        <f t="shared" si="76"/>
        <v>#DIV/0!</v>
      </c>
      <c r="O992" s="17">
        <f t="shared" si="77"/>
        <v>0</v>
      </c>
      <c r="P992" s="17" t="e">
        <f t="shared" si="78"/>
        <v>#DIV/0!</v>
      </c>
      <c r="Q992" s="17"/>
      <c r="V992" s="45" t="e">
        <f t="shared" si="79"/>
        <v>#DIV/0!</v>
      </c>
      <c r="X992" s="12">
        <v>1.78</v>
      </c>
      <c r="Y992" s="62"/>
    </row>
    <row r="993" spans="1:25" x14ac:dyDescent="0.2">
      <c r="B993" s="3" t="s">
        <v>2180</v>
      </c>
      <c r="C993" s="6" t="s">
        <v>354</v>
      </c>
      <c r="D993" s="6" t="s">
        <v>519</v>
      </c>
      <c r="E993" s="6" t="s">
        <v>163</v>
      </c>
      <c r="F993" s="6">
        <v>60454.6</v>
      </c>
      <c r="G993" s="2">
        <v>12</v>
      </c>
      <c r="H993" s="61"/>
      <c r="I993" s="61"/>
      <c r="J993" s="47">
        <f t="shared" si="75"/>
        <v>-1</v>
      </c>
      <c r="K993" s="47" t="e">
        <f t="shared" si="76"/>
        <v>#DIV/0!</v>
      </c>
      <c r="O993" s="17">
        <f t="shared" si="77"/>
        <v>0</v>
      </c>
      <c r="P993" s="17" t="e">
        <f t="shared" si="78"/>
        <v>#DIV/0!</v>
      </c>
      <c r="Q993" s="17"/>
      <c r="V993" s="45" t="e">
        <f t="shared" si="79"/>
        <v>#DIV/0!</v>
      </c>
      <c r="X993" s="12">
        <v>0.67</v>
      </c>
      <c r="Y993" s="62"/>
    </row>
    <row r="994" spans="1:25" x14ac:dyDescent="0.2">
      <c r="B994" s="3" t="s">
        <v>2181</v>
      </c>
      <c r="C994" s="6" t="s">
        <v>354</v>
      </c>
      <c r="D994" s="6" t="s">
        <v>519</v>
      </c>
      <c r="E994" s="6" t="s">
        <v>163</v>
      </c>
      <c r="F994" s="6">
        <v>53445.599999999999</v>
      </c>
      <c r="G994" s="2">
        <v>12</v>
      </c>
      <c r="H994" s="61"/>
      <c r="I994" s="61"/>
      <c r="J994" s="47">
        <f t="shared" si="75"/>
        <v>-1</v>
      </c>
      <c r="K994" s="47" t="e">
        <f t="shared" si="76"/>
        <v>#DIV/0!</v>
      </c>
      <c r="O994" s="17">
        <f t="shared" si="77"/>
        <v>0</v>
      </c>
      <c r="P994" s="17" t="e">
        <f t="shared" si="78"/>
        <v>#DIV/0!</v>
      </c>
      <c r="Q994" s="17"/>
      <c r="V994" s="45" t="e">
        <f t="shared" si="79"/>
        <v>#DIV/0!</v>
      </c>
      <c r="X994" s="12">
        <v>1.1399999999999999</v>
      </c>
      <c r="Y994" s="62"/>
    </row>
    <row r="995" spans="1:25" x14ac:dyDescent="0.2">
      <c r="B995" s="3" t="s">
        <v>2182</v>
      </c>
      <c r="C995" s="6" t="s">
        <v>354</v>
      </c>
      <c r="D995" s="6" t="s">
        <v>519</v>
      </c>
      <c r="E995" s="6" t="s">
        <v>163</v>
      </c>
      <c r="F995" s="6">
        <v>12474.18</v>
      </c>
      <c r="G995" s="2">
        <v>12</v>
      </c>
      <c r="H995" s="61"/>
      <c r="I995" s="61"/>
      <c r="J995" s="47">
        <f t="shared" si="75"/>
        <v>-1</v>
      </c>
      <c r="K995" s="47" t="e">
        <f t="shared" si="76"/>
        <v>#DIV/0!</v>
      </c>
      <c r="O995" s="17">
        <f t="shared" si="77"/>
        <v>0</v>
      </c>
      <c r="P995" s="17" t="e">
        <f t="shared" si="78"/>
        <v>#DIV/0!</v>
      </c>
      <c r="Q995" s="17"/>
      <c r="V995" s="45" t="e">
        <f t="shared" si="79"/>
        <v>#DIV/0!</v>
      </c>
      <c r="X995" s="12">
        <v>1.72</v>
      </c>
      <c r="Y995" s="62"/>
    </row>
    <row r="996" spans="1:25" x14ac:dyDescent="0.2">
      <c r="B996" s="3" t="s">
        <v>2183</v>
      </c>
      <c r="C996" s="6" t="s">
        <v>354</v>
      </c>
      <c r="D996" s="6" t="s">
        <v>519</v>
      </c>
      <c r="E996" s="6" t="s">
        <v>163</v>
      </c>
      <c r="F996" s="6">
        <v>9142.76</v>
      </c>
      <c r="G996" s="2">
        <v>12</v>
      </c>
      <c r="H996" s="61"/>
      <c r="I996" s="61"/>
      <c r="J996" s="47">
        <f t="shared" si="75"/>
        <v>-1</v>
      </c>
      <c r="K996" s="47" t="e">
        <f t="shared" si="76"/>
        <v>#DIV/0!</v>
      </c>
      <c r="O996" s="17">
        <f t="shared" si="77"/>
        <v>0</v>
      </c>
      <c r="P996" s="17" t="e">
        <f t="shared" si="78"/>
        <v>#DIV/0!</v>
      </c>
      <c r="Q996" s="17"/>
      <c r="V996" s="45" t="e">
        <f t="shared" si="79"/>
        <v>#DIV/0!</v>
      </c>
      <c r="X996" s="12">
        <v>0.43</v>
      </c>
      <c r="Y996" s="62"/>
    </row>
    <row r="997" spans="1:25" x14ac:dyDescent="0.2">
      <c r="B997" s="3" t="s">
        <v>2184</v>
      </c>
      <c r="C997" s="6" t="s">
        <v>354</v>
      </c>
      <c r="D997" s="6" t="s">
        <v>519</v>
      </c>
      <c r="E997" s="6" t="s">
        <v>163</v>
      </c>
      <c r="F997" s="6">
        <v>11700.94</v>
      </c>
      <c r="G997" s="2">
        <v>12</v>
      </c>
      <c r="H997" s="61"/>
      <c r="I997" s="61"/>
      <c r="J997" s="47">
        <f t="shared" si="75"/>
        <v>-1</v>
      </c>
      <c r="K997" s="47" t="e">
        <f t="shared" si="76"/>
        <v>#DIV/0!</v>
      </c>
      <c r="O997" s="17">
        <f t="shared" si="77"/>
        <v>0</v>
      </c>
      <c r="P997" s="17" t="e">
        <f t="shared" si="78"/>
        <v>#DIV/0!</v>
      </c>
      <c r="Q997" s="17"/>
      <c r="V997" s="45" t="e">
        <f t="shared" si="79"/>
        <v>#DIV/0!</v>
      </c>
      <c r="X997" s="12">
        <v>0.49</v>
      </c>
      <c r="Y997" s="62"/>
    </row>
    <row r="998" spans="1:25" x14ac:dyDescent="0.2">
      <c r="B998" s="3" t="s">
        <v>2185</v>
      </c>
      <c r="C998" s="6" t="s">
        <v>354</v>
      </c>
      <c r="D998" s="6" t="s">
        <v>519</v>
      </c>
      <c r="E998" s="6" t="s">
        <v>163</v>
      </c>
      <c r="F998" s="6">
        <v>28093.57</v>
      </c>
      <c r="G998" s="2">
        <v>12</v>
      </c>
      <c r="H998" s="61"/>
      <c r="I998" s="61"/>
      <c r="J998" s="47">
        <f t="shared" si="75"/>
        <v>-1</v>
      </c>
      <c r="K998" s="47" t="e">
        <f t="shared" si="76"/>
        <v>#DIV/0!</v>
      </c>
      <c r="O998" s="17">
        <f t="shared" si="77"/>
        <v>0</v>
      </c>
      <c r="P998" s="17" t="e">
        <f t="shared" si="78"/>
        <v>#DIV/0!</v>
      </c>
      <c r="Q998" s="17"/>
      <c r="V998" s="45" t="e">
        <f t="shared" si="79"/>
        <v>#DIV/0!</v>
      </c>
      <c r="X998" s="12">
        <v>1.25</v>
      </c>
      <c r="Y998" s="62"/>
    </row>
    <row r="999" spans="1:25" x14ac:dyDescent="0.2">
      <c r="B999" s="3" t="s">
        <v>2186</v>
      </c>
      <c r="C999" s="6" t="s">
        <v>354</v>
      </c>
      <c r="D999" s="6" t="s">
        <v>519</v>
      </c>
      <c r="E999" s="6" t="s">
        <v>163</v>
      </c>
      <c r="F999" s="6">
        <v>13735.2</v>
      </c>
      <c r="G999" s="2">
        <v>12</v>
      </c>
      <c r="H999" s="61"/>
      <c r="I999" s="61"/>
      <c r="J999" s="47">
        <f t="shared" si="75"/>
        <v>-1</v>
      </c>
      <c r="K999" s="47" t="e">
        <f t="shared" si="76"/>
        <v>#DIV/0!</v>
      </c>
      <c r="O999" s="17">
        <f t="shared" si="77"/>
        <v>0</v>
      </c>
      <c r="P999" s="17" t="e">
        <f t="shared" si="78"/>
        <v>#DIV/0!</v>
      </c>
      <c r="Q999" s="17"/>
      <c r="V999" s="45" t="e">
        <f t="shared" si="79"/>
        <v>#DIV/0!</v>
      </c>
      <c r="X999" s="12">
        <v>1.57</v>
      </c>
      <c r="Y999" s="62"/>
    </row>
    <row r="1000" spans="1:25" x14ac:dyDescent="0.2">
      <c r="A1000" s="3" t="s">
        <v>1112</v>
      </c>
      <c r="B1000" s="3" t="s">
        <v>1113</v>
      </c>
      <c r="C1000" s="6" t="s">
        <v>354</v>
      </c>
      <c r="D1000" s="6" t="s">
        <v>151</v>
      </c>
      <c r="E1000" s="6" t="s">
        <v>163</v>
      </c>
      <c r="F1000" s="6">
        <v>22816.41</v>
      </c>
      <c r="G1000" s="2">
        <v>3</v>
      </c>
      <c r="H1000" s="61">
        <v>11.27</v>
      </c>
      <c r="I1000" s="61">
        <v>11.47</v>
      </c>
      <c r="J1000" s="47">
        <f t="shared" si="75"/>
        <v>2.7566666666666664</v>
      </c>
      <c r="K1000" s="47">
        <f t="shared" si="76"/>
        <v>1.7746228926353247E-2</v>
      </c>
      <c r="L1000" s="8">
        <v>13.27</v>
      </c>
      <c r="M1000" s="8">
        <v>8.23</v>
      </c>
      <c r="N1000" s="8">
        <v>8.26</v>
      </c>
      <c r="O1000" s="17">
        <f t="shared" si="77"/>
        <v>2.9854897218863367E-2</v>
      </c>
      <c r="P1000" s="17">
        <f t="shared" si="78"/>
        <v>4.6545099999999744</v>
      </c>
      <c r="Q1000" s="17">
        <v>7.14</v>
      </c>
      <c r="R1000" s="9">
        <v>20220802</v>
      </c>
      <c r="S1000" s="9">
        <v>9.5500000000000007</v>
      </c>
      <c r="T1000" s="9">
        <v>-3.8</v>
      </c>
      <c r="U1000" s="9">
        <v>23527.269530000001</v>
      </c>
      <c r="V1000" s="45">
        <f t="shared" si="79"/>
        <v>-1.0001615147051022</v>
      </c>
      <c r="W1000" s="12">
        <v>-19.559999999999999</v>
      </c>
      <c r="X1000" s="12">
        <v>3.07</v>
      </c>
      <c r="Y1000" s="62">
        <v>0.33</v>
      </c>
    </row>
    <row r="1001" spans="1:25" x14ac:dyDescent="0.2">
      <c r="B1001" s="3" t="s">
        <v>3289</v>
      </c>
      <c r="C1001" s="6" t="s">
        <v>354</v>
      </c>
      <c r="D1001" s="6" t="s">
        <v>519</v>
      </c>
      <c r="E1001" s="6" t="s">
        <v>163</v>
      </c>
      <c r="F1001" s="6">
        <v>3226.96</v>
      </c>
      <c r="G1001" s="2">
        <v>12</v>
      </c>
      <c r="H1001" s="61"/>
      <c r="I1001" s="61"/>
      <c r="J1001" s="47">
        <f t="shared" si="75"/>
        <v>-1</v>
      </c>
      <c r="K1001" s="47" t="e">
        <f t="shared" si="76"/>
        <v>#DIV/0!</v>
      </c>
      <c r="O1001" s="17">
        <f t="shared" si="77"/>
        <v>0</v>
      </c>
      <c r="P1001" s="17" t="e">
        <f t="shared" si="78"/>
        <v>#DIV/0!</v>
      </c>
      <c r="Q1001" s="17"/>
      <c r="V1001" s="45" t="e">
        <f t="shared" si="79"/>
        <v>#DIV/0!</v>
      </c>
      <c r="X1001" s="12">
        <v>2.42</v>
      </c>
      <c r="Y1001" s="62"/>
    </row>
    <row r="1002" spans="1:25" x14ac:dyDescent="0.2">
      <c r="B1002" s="3" t="s">
        <v>2187</v>
      </c>
      <c r="C1002" s="6" t="s">
        <v>354</v>
      </c>
      <c r="D1002" s="6" t="s">
        <v>519</v>
      </c>
      <c r="E1002" s="6" t="s">
        <v>163</v>
      </c>
      <c r="F1002" s="6">
        <v>4476.49</v>
      </c>
      <c r="G1002" s="2">
        <v>12</v>
      </c>
      <c r="H1002" s="61"/>
      <c r="I1002" s="61"/>
      <c r="J1002" s="47">
        <f t="shared" si="75"/>
        <v>-1</v>
      </c>
      <c r="K1002" s="47" t="e">
        <f t="shared" si="76"/>
        <v>#DIV/0!</v>
      </c>
      <c r="O1002" s="17">
        <f t="shared" si="77"/>
        <v>0</v>
      </c>
      <c r="P1002" s="17" t="e">
        <f t="shared" si="78"/>
        <v>#DIV/0!</v>
      </c>
      <c r="Q1002" s="17"/>
      <c r="V1002" s="45" t="e">
        <f t="shared" si="79"/>
        <v>#DIV/0!</v>
      </c>
      <c r="X1002" s="12">
        <v>2.44</v>
      </c>
      <c r="Y1002" s="62"/>
    </row>
    <row r="1003" spans="1:25" x14ac:dyDescent="0.2">
      <c r="B1003" s="3" t="s">
        <v>2188</v>
      </c>
      <c r="C1003" s="6" t="s">
        <v>354</v>
      </c>
      <c r="D1003" s="6" t="s">
        <v>519</v>
      </c>
      <c r="E1003" s="6" t="s">
        <v>163</v>
      </c>
      <c r="F1003" s="6">
        <v>6884.65</v>
      </c>
      <c r="G1003" s="2">
        <v>12</v>
      </c>
      <c r="H1003" s="61"/>
      <c r="I1003" s="61"/>
      <c r="J1003" s="47">
        <f t="shared" si="75"/>
        <v>-1</v>
      </c>
      <c r="K1003" s="47" t="e">
        <f t="shared" si="76"/>
        <v>#DIV/0!</v>
      </c>
      <c r="O1003" s="17">
        <f t="shared" si="77"/>
        <v>0</v>
      </c>
      <c r="P1003" s="17" t="e">
        <f t="shared" si="78"/>
        <v>#DIV/0!</v>
      </c>
      <c r="Q1003" s="17"/>
      <c r="V1003" s="45" t="e">
        <f t="shared" si="79"/>
        <v>#DIV/0!</v>
      </c>
      <c r="X1003" s="12">
        <v>0.35</v>
      </c>
      <c r="Y1003" s="62"/>
    </row>
    <row r="1004" spans="1:25" x14ac:dyDescent="0.2">
      <c r="A1004" s="3" t="s">
        <v>3290</v>
      </c>
      <c r="B1004" s="3" t="s">
        <v>1114</v>
      </c>
      <c r="C1004" s="6" t="s">
        <v>354</v>
      </c>
      <c r="D1004" s="6" t="s">
        <v>145</v>
      </c>
      <c r="E1004" s="6" t="s">
        <v>140</v>
      </c>
      <c r="F1004" s="6">
        <v>17736.41</v>
      </c>
      <c r="G1004" s="2">
        <v>9</v>
      </c>
      <c r="H1004" s="61">
        <v>6.24</v>
      </c>
      <c r="I1004" s="61">
        <v>7.12</v>
      </c>
      <c r="J1004" s="47">
        <f t="shared" si="75"/>
        <v>-0.30666666666666664</v>
      </c>
      <c r="K1004" s="47">
        <f t="shared" si="76"/>
        <v>0.141025641025641</v>
      </c>
      <c r="L1004" s="8">
        <v>8.1300000000000008</v>
      </c>
      <c r="M1004" s="8">
        <v>21.21</v>
      </c>
      <c r="N1004" s="8">
        <v>19.38</v>
      </c>
      <c r="O1004" s="17">
        <f t="shared" si="77"/>
        <v>-0.69163043478260877</v>
      </c>
      <c r="P1004" s="17">
        <f t="shared" si="78"/>
        <v>1.374218181818182</v>
      </c>
      <c r="Q1004" s="17">
        <v>16.95</v>
      </c>
      <c r="R1004" s="9">
        <v>20220802</v>
      </c>
      <c r="S1004" s="9">
        <v>13.94</v>
      </c>
      <c r="T1004" s="9">
        <v>5.48</v>
      </c>
      <c r="U1004" s="9">
        <v>14926.002920000001</v>
      </c>
      <c r="V1004" s="45">
        <f t="shared" si="79"/>
        <v>-0.99963285549189751</v>
      </c>
      <c r="W1004" s="12">
        <v>1.18</v>
      </c>
      <c r="X1004" s="12">
        <v>0.67</v>
      </c>
      <c r="Y1004" s="62">
        <v>1.61</v>
      </c>
    </row>
    <row r="1005" spans="1:25" x14ac:dyDescent="0.2">
      <c r="A1005" s="3" t="s">
        <v>3291</v>
      </c>
      <c r="B1005" s="3" t="s">
        <v>1115</v>
      </c>
      <c r="C1005" s="6" t="s">
        <v>355</v>
      </c>
      <c r="D1005" s="6" t="s">
        <v>233</v>
      </c>
      <c r="E1005" s="6" t="s">
        <v>108</v>
      </c>
      <c r="F1005" s="6">
        <v>3044.84</v>
      </c>
      <c r="G1005" s="2">
        <v>12</v>
      </c>
      <c r="H1005" s="61">
        <v>0.14000000000000001</v>
      </c>
      <c r="I1005" s="61">
        <v>0.12</v>
      </c>
      <c r="J1005" s="47">
        <f t="shared" si="75"/>
        <v>-0.98833333333333329</v>
      </c>
      <c r="K1005" s="47">
        <f t="shared" si="76"/>
        <v>-0.14285714285714296</v>
      </c>
      <c r="L1005" s="8">
        <v>0.25</v>
      </c>
      <c r="M1005" s="8">
        <v>211.75</v>
      </c>
      <c r="N1005" s="8">
        <v>211.75</v>
      </c>
      <c r="O1005" s="17">
        <f t="shared" si="77"/>
        <v>-2.142495784148398</v>
      </c>
      <c r="P1005" s="17">
        <f t="shared" si="78"/>
        <v>-14.822499999999989</v>
      </c>
      <c r="Q1005" s="17">
        <v>100.63</v>
      </c>
      <c r="R1005" s="9">
        <v>20220809</v>
      </c>
      <c r="S1005" s="9">
        <v>-3.49</v>
      </c>
      <c r="U1005" s="9">
        <v>472.64001000000002</v>
      </c>
      <c r="V1005" s="45">
        <f t="shared" si="79"/>
        <v>-1</v>
      </c>
      <c r="W1005" s="12">
        <v>200</v>
      </c>
      <c r="X1005" s="12">
        <v>0</v>
      </c>
      <c r="Y1005" s="62">
        <v>6.75</v>
      </c>
    </row>
    <row r="1006" spans="1:25" x14ac:dyDescent="0.2">
      <c r="A1006" s="3" t="s">
        <v>3292</v>
      </c>
      <c r="B1006" s="3" t="s">
        <v>3293</v>
      </c>
      <c r="C1006" s="6" t="s">
        <v>356</v>
      </c>
      <c r="D1006" s="6" t="s">
        <v>572</v>
      </c>
      <c r="E1006" s="6" t="s">
        <v>154</v>
      </c>
      <c r="F1006" s="6">
        <v>32948.120000000003</v>
      </c>
      <c r="G1006" s="2">
        <v>12</v>
      </c>
      <c r="H1006" s="61">
        <v>0.97</v>
      </c>
      <c r="I1006" s="61">
        <v>0.93</v>
      </c>
      <c r="J1006" s="47">
        <f t="shared" si="75"/>
        <v>-0.91916666666666658</v>
      </c>
      <c r="K1006" s="47">
        <f t="shared" si="76"/>
        <v>-4.1237113402061779E-2</v>
      </c>
      <c r="L1006" s="8">
        <v>0.85</v>
      </c>
      <c r="M1006" s="8">
        <v>10.67</v>
      </c>
      <c r="N1006" s="8">
        <v>9.98</v>
      </c>
      <c r="O1006" s="17">
        <f t="shared" si="77"/>
        <v>-0.11608340888485949</v>
      </c>
      <c r="P1006" s="17">
        <f t="shared" si="78"/>
        <v>-2.4201500000000045</v>
      </c>
      <c r="Q1006" s="17">
        <v>10.88</v>
      </c>
      <c r="R1006" s="9">
        <v>20220527</v>
      </c>
      <c r="S1006" s="9">
        <v>11.89</v>
      </c>
      <c r="T1006" s="9">
        <v>1.31</v>
      </c>
      <c r="U1006" s="9">
        <v>21242.269530000001</v>
      </c>
      <c r="V1006" s="45">
        <f t="shared" si="79"/>
        <v>-0.99993833050662728</v>
      </c>
      <c r="W1006" s="12">
        <v>-100</v>
      </c>
      <c r="X1006" s="12">
        <v>4.83</v>
      </c>
      <c r="Y1006" s="62"/>
    </row>
    <row r="1007" spans="1:25" x14ac:dyDescent="0.2">
      <c r="A1007" s="3" t="s">
        <v>3294</v>
      </c>
      <c r="B1007" s="3" t="s">
        <v>2189</v>
      </c>
      <c r="C1007" s="6" t="s">
        <v>356</v>
      </c>
      <c r="D1007" s="6" t="s">
        <v>235</v>
      </c>
      <c r="E1007" s="6" t="s">
        <v>237</v>
      </c>
      <c r="F1007" s="6">
        <v>6288.56</v>
      </c>
      <c r="G1007" s="2">
        <v>3</v>
      </c>
      <c r="H1007" s="61"/>
      <c r="I1007" s="61"/>
      <c r="J1007" s="47">
        <f t="shared" si="75"/>
        <v>-1</v>
      </c>
      <c r="K1007" s="47" t="e">
        <f t="shared" si="76"/>
        <v>#DIV/0!</v>
      </c>
      <c r="O1007" s="17">
        <f t="shared" si="77"/>
        <v>0</v>
      </c>
      <c r="P1007" s="17" t="e">
        <f t="shared" si="78"/>
        <v>#DIV/0!</v>
      </c>
      <c r="Q1007" s="17"/>
      <c r="R1007" s="9">
        <v>20220802</v>
      </c>
      <c r="S1007" s="9">
        <v>-19.95</v>
      </c>
      <c r="T1007" s="9">
        <v>-19.21</v>
      </c>
      <c r="V1007" s="45" t="e">
        <f t="shared" si="79"/>
        <v>#DIV/0!</v>
      </c>
      <c r="X1007" s="12">
        <v>0</v>
      </c>
      <c r="Y1007" s="62"/>
    </row>
    <row r="1008" spans="1:25" x14ac:dyDescent="0.2">
      <c r="A1008" s="3" t="s">
        <v>3295</v>
      </c>
      <c r="B1008" s="3" t="s">
        <v>1116</v>
      </c>
      <c r="C1008" s="6" t="s">
        <v>355</v>
      </c>
      <c r="D1008" s="6" t="s">
        <v>187</v>
      </c>
      <c r="E1008" s="6" t="s">
        <v>208</v>
      </c>
      <c r="F1008" s="6">
        <v>9501.1200000000008</v>
      </c>
      <c r="G1008" s="2">
        <v>12</v>
      </c>
      <c r="H1008" s="61">
        <v>15.71</v>
      </c>
      <c r="I1008" s="61">
        <v>17.05</v>
      </c>
      <c r="J1008" s="47">
        <f t="shared" si="75"/>
        <v>0.30916666666666676</v>
      </c>
      <c r="K1008" s="47">
        <f t="shared" si="76"/>
        <v>8.5295989815404191E-2</v>
      </c>
      <c r="L1008" s="8">
        <v>18.14</v>
      </c>
      <c r="M1008" s="8">
        <v>9.51</v>
      </c>
      <c r="N1008" s="8">
        <v>8.94</v>
      </c>
      <c r="O1008" s="17">
        <f t="shared" si="77"/>
        <v>0.30760107816711579</v>
      </c>
      <c r="P1008" s="17">
        <f t="shared" si="78"/>
        <v>1.0481149253731343</v>
      </c>
      <c r="Q1008" s="17">
        <v>8.41</v>
      </c>
      <c r="R1008" s="9">
        <v>20220802</v>
      </c>
      <c r="S1008" s="9">
        <v>22.45</v>
      </c>
      <c r="T1008" s="9">
        <v>15.55</v>
      </c>
      <c r="U1008" s="9">
        <v>3586.44506</v>
      </c>
      <c r="V1008" s="45">
        <f t="shared" si="79"/>
        <v>-0.99566423025033035</v>
      </c>
      <c r="W1008" s="12">
        <v>-0.53</v>
      </c>
      <c r="X1008" s="12">
        <v>0</v>
      </c>
      <c r="Y1008" s="62">
        <v>1.0900000000000001</v>
      </c>
    </row>
    <row r="1009" spans="1:25" x14ac:dyDescent="0.2">
      <c r="A1009" s="3" t="s">
        <v>1117</v>
      </c>
      <c r="B1009" s="3" t="s">
        <v>1118</v>
      </c>
      <c r="C1009" s="6" t="s">
        <v>354</v>
      </c>
      <c r="D1009" s="6" t="s">
        <v>215</v>
      </c>
      <c r="E1009" s="6" t="s">
        <v>163</v>
      </c>
      <c r="F1009" s="6">
        <v>3154.18</v>
      </c>
      <c r="G1009" s="2">
        <v>12</v>
      </c>
      <c r="H1009" s="61">
        <v>1.38</v>
      </c>
      <c r="I1009" s="61">
        <v>1.43</v>
      </c>
      <c r="J1009" s="47">
        <f t="shared" si="75"/>
        <v>-0.88500000000000012</v>
      </c>
      <c r="K1009" s="47">
        <f t="shared" si="76"/>
        <v>3.623188405797105E-2</v>
      </c>
      <c r="L1009" s="8">
        <v>1.47</v>
      </c>
      <c r="M1009" s="8">
        <v>19.489999999999998</v>
      </c>
      <c r="N1009" s="8">
        <v>17.850000000000001</v>
      </c>
      <c r="O1009" s="17">
        <f t="shared" si="77"/>
        <v>-0.22022598870056492</v>
      </c>
      <c r="P1009" s="17">
        <f t="shared" si="78"/>
        <v>4.9265999999999952</v>
      </c>
      <c r="Q1009" s="17">
        <v>17.37</v>
      </c>
      <c r="R1009" s="9">
        <v>20220802</v>
      </c>
      <c r="S1009" s="9">
        <v>-1.94</v>
      </c>
      <c r="T1009" s="9">
        <v>0.89</v>
      </c>
      <c r="V1009" s="45" t="e">
        <f t="shared" si="79"/>
        <v>#DIV/0!</v>
      </c>
      <c r="W1009" s="12">
        <v>-10.53</v>
      </c>
      <c r="X1009" s="12">
        <v>3.53</v>
      </c>
      <c r="Y1009" s="62">
        <v>2.87</v>
      </c>
    </row>
    <row r="1010" spans="1:25" x14ac:dyDescent="0.2">
      <c r="A1010" s="3" t="s">
        <v>3296</v>
      </c>
      <c r="B1010" s="3" t="s">
        <v>1119</v>
      </c>
      <c r="C1010" s="6" t="s">
        <v>355</v>
      </c>
      <c r="D1010" s="6" t="s">
        <v>1120</v>
      </c>
      <c r="E1010" s="6" t="s">
        <v>237</v>
      </c>
      <c r="F1010" s="6">
        <v>18146.39</v>
      </c>
      <c r="G1010" s="2">
        <v>12</v>
      </c>
      <c r="H1010" s="61">
        <v>6.86</v>
      </c>
      <c r="I1010" s="61">
        <v>9.3000000000000007</v>
      </c>
      <c r="J1010" s="47">
        <f t="shared" si="75"/>
        <v>-0.42833333333333329</v>
      </c>
      <c r="K1010" s="47">
        <f t="shared" si="76"/>
        <v>0.35568513119533529</v>
      </c>
      <c r="L1010" s="8">
        <v>9.8699999999999992</v>
      </c>
      <c r="M1010" s="8">
        <v>21.49</v>
      </c>
      <c r="N1010" s="8">
        <v>18.62</v>
      </c>
      <c r="O1010" s="17">
        <f t="shared" si="77"/>
        <v>-0.50171206225680931</v>
      </c>
      <c r="P1010" s="17">
        <f t="shared" si="78"/>
        <v>0.5234967213114754</v>
      </c>
      <c r="Q1010" s="17">
        <v>17.55</v>
      </c>
      <c r="R1010" s="9">
        <v>20220718</v>
      </c>
      <c r="S1010" s="9">
        <v>28.36</v>
      </c>
      <c r="T1010" s="9">
        <v>12.29</v>
      </c>
      <c r="U1010" s="9">
        <v>14278.360350000001</v>
      </c>
      <c r="V1010" s="45">
        <f t="shared" si="79"/>
        <v>-0.99913925691054573</v>
      </c>
      <c r="W1010" s="12">
        <v>19.899999999999999</v>
      </c>
      <c r="X1010" s="12">
        <v>0.92</v>
      </c>
      <c r="Y1010" s="62">
        <v>1.24</v>
      </c>
    </row>
    <row r="1011" spans="1:25" x14ac:dyDescent="0.2">
      <c r="A1011" s="3" t="s">
        <v>3297</v>
      </c>
      <c r="B1011" s="3" t="s">
        <v>1121</v>
      </c>
      <c r="C1011" s="6" t="s">
        <v>354</v>
      </c>
      <c r="D1011" s="6" t="s">
        <v>1122</v>
      </c>
      <c r="E1011" s="6" t="s">
        <v>119</v>
      </c>
      <c r="F1011" s="6">
        <v>8439.09</v>
      </c>
      <c r="G1011" s="2">
        <v>8</v>
      </c>
      <c r="H1011" s="61">
        <v>5.53</v>
      </c>
      <c r="I1011" s="61">
        <v>7.25</v>
      </c>
      <c r="J1011" s="47">
        <f t="shared" si="75"/>
        <v>-0.30874999999999997</v>
      </c>
      <c r="K1011" s="47">
        <f t="shared" si="76"/>
        <v>0.3110307414104882</v>
      </c>
      <c r="L1011" s="8">
        <v>7.72</v>
      </c>
      <c r="M1011" s="8">
        <v>9.43</v>
      </c>
      <c r="N1011" s="8">
        <v>8.25</v>
      </c>
      <c r="O1011" s="17">
        <f t="shared" si="77"/>
        <v>-0.30542510121457495</v>
      </c>
      <c r="P1011" s="17">
        <f t="shared" si="78"/>
        <v>0.26524709302325589</v>
      </c>
      <c r="Q1011" s="17">
        <v>7.74</v>
      </c>
      <c r="R1011" s="9">
        <v>20220616</v>
      </c>
      <c r="S1011" s="9">
        <v>36.619999999999997</v>
      </c>
      <c r="T1011" s="9">
        <v>11.17</v>
      </c>
      <c r="U1011" s="9">
        <v>32605.76757</v>
      </c>
      <c r="V1011" s="45">
        <f t="shared" si="79"/>
        <v>-0.9996574225717576</v>
      </c>
      <c r="W1011" s="12">
        <v>15.07</v>
      </c>
      <c r="X1011" s="12">
        <v>0.54</v>
      </c>
      <c r="Y1011" s="62">
        <v>0.69</v>
      </c>
    </row>
    <row r="1012" spans="1:25" x14ac:dyDescent="0.2">
      <c r="A1012" s="3" t="s">
        <v>3298</v>
      </c>
      <c r="B1012" s="3" t="s">
        <v>1123</v>
      </c>
      <c r="C1012" s="6" t="s">
        <v>355</v>
      </c>
      <c r="D1012" s="6" t="s">
        <v>235</v>
      </c>
      <c r="E1012" s="6" t="s">
        <v>237</v>
      </c>
      <c r="F1012" s="6">
        <v>3403.57</v>
      </c>
      <c r="G1012" s="2">
        <v>12</v>
      </c>
      <c r="H1012" s="61">
        <v>-2.64</v>
      </c>
      <c r="I1012" s="61">
        <v>-0.33</v>
      </c>
      <c r="J1012" s="47">
        <f t="shared" si="75"/>
        <v>-1.22</v>
      </c>
      <c r="K1012" s="47">
        <f t="shared" si="76"/>
        <v>0.875</v>
      </c>
      <c r="L1012" s="8">
        <v>1.63</v>
      </c>
      <c r="O1012" s="17">
        <f t="shared" si="77"/>
        <v>0</v>
      </c>
      <c r="P1012" s="17">
        <f t="shared" si="78"/>
        <v>0</v>
      </c>
      <c r="Q1012" s="17">
        <v>6.52</v>
      </c>
      <c r="R1012" s="9">
        <v>20220726</v>
      </c>
      <c r="S1012" s="9">
        <v>-16.23</v>
      </c>
      <c r="T1012" s="9">
        <v>-12.46</v>
      </c>
      <c r="U1012" s="9">
        <v>9063.5917900000004</v>
      </c>
      <c r="V1012" s="45">
        <f t="shared" si="79"/>
        <v>-1.0013747309332428</v>
      </c>
      <c r="W1012" s="12">
        <v>5.88</v>
      </c>
      <c r="X1012" s="12">
        <v>0</v>
      </c>
      <c r="Y1012" s="62"/>
    </row>
    <row r="1013" spans="1:25" x14ac:dyDescent="0.2">
      <c r="A1013" s="3" t="s">
        <v>3299</v>
      </c>
      <c r="B1013" s="3" t="s">
        <v>2190</v>
      </c>
      <c r="C1013" s="6" t="s">
        <v>356</v>
      </c>
      <c r="D1013" s="6" t="s">
        <v>587</v>
      </c>
      <c r="E1013" s="6" t="s">
        <v>154</v>
      </c>
      <c r="F1013" s="6">
        <v>16791.12</v>
      </c>
      <c r="G1013" s="2">
        <v>12</v>
      </c>
      <c r="H1013" s="61"/>
      <c r="I1013" s="61"/>
      <c r="J1013" s="47">
        <f t="shared" si="75"/>
        <v>-1</v>
      </c>
      <c r="K1013" s="47" t="e">
        <f t="shared" si="76"/>
        <v>#DIV/0!</v>
      </c>
      <c r="M1013" s="8">
        <v>4.1100000000000003</v>
      </c>
      <c r="O1013" s="17">
        <f t="shared" si="77"/>
        <v>-4.1100000000000005E-2</v>
      </c>
      <c r="P1013" s="17" t="e">
        <f t="shared" si="78"/>
        <v>#DIV/0!</v>
      </c>
      <c r="Q1013" s="17"/>
      <c r="R1013" s="9">
        <v>20220810</v>
      </c>
      <c r="S1013" s="9">
        <v>49.15</v>
      </c>
      <c r="T1013" s="9">
        <v>4.9800000000000004</v>
      </c>
      <c r="V1013" s="45" t="e">
        <f t="shared" si="79"/>
        <v>#DIV/0!</v>
      </c>
      <c r="X1013" s="12">
        <v>5.29</v>
      </c>
      <c r="Y1013" s="62"/>
    </row>
    <row r="1014" spans="1:25" x14ac:dyDescent="0.2">
      <c r="A1014" s="3" t="s">
        <v>3300</v>
      </c>
      <c r="B1014" s="3" t="s">
        <v>1124</v>
      </c>
      <c r="C1014" s="6" t="s">
        <v>354</v>
      </c>
      <c r="D1014" s="6" t="s">
        <v>184</v>
      </c>
      <c r="E1014" s="6" t="s">
        <v>201</v>
      </c>
      <c r="F1014" s="6">
        <v>3812.53</v>
      </c>
      <c r="G1014" s="2">
        <v>12</v>
      </c>
      <c r="H1014" s="61">
        <v>4.2300000000000004</v>
      </c>
      <c r="I1014" s="61">
        <v>5.14</v>
      </c>
      <c r="J1014" s="47">
        <f t="shared" si="75"/>
        <v>-0.64749999999999996</v>
      </c>
      <c r="K1014" s="47">
        <f t="shared" si="76"/>
        <v>0.21513002364066175</v>
      </c>
      <c r="L1014" s="8">
        <v>6.14</v>
      </c>
      <c r="M1014" s="8">
        <v>29.99</v>
      </c>
      <c r="N1014" s="8">
        <v>23.35</v>
      </c>
      <c r="O1014" s="17">
        <f t="shared" si="77"/>
        <v>-0.46316602316602312</v>
      </c>
      <c r="P1014" s="17">
        <f t="shared" si="78"/>
        <v>1.0853901098901109</v>
      </c>
      <c r="Q1014" s="17">
        <v>19.54</v>
      </c>
      <c r="R1014" s="9">
        <v>20220726</v>
      </c>
      <c r="S1014" s="9">
        <v>17.57</v>
      </c>
      <c r="T1014" s="9">
        <v>2.4900000000000002</v>
      </c>
      <c r="U1014" s="9">
        <v>2206.6469699999998</v>
      </c>
      <c r="V1014" s="45">
        <f t="shared" si="79"/>
        <v>-0.99887159113630231</v>
      </c>
      <c r="W1014" s="12">
        <v>55.36</v>
      </c>
      <c r="X1014" s="12">
        <v>0.33</v>
      </c>
      <c r="Y1014" s="62">
        <v>1.38</v>
      </c>
    </row>
    <row r="1015" spans="1:25" x14ac:dyDescent="0.2">
      <c r="A1015" s="3" t="s">
        <v>3301</v>
      </c>
      <c r="B1015" s="3" t="s">
        <v>3302</v>
      </c>
      <c r="C1015" s="6" t="s">
        <v>356</v>
      </c>
      <c r="D1015" s="6" t="s">
        <v>9</v>
      </c>
      <c r="E1015" s="6" t="s">
        <v>108</v>
      </c>
      <c r="F1015" s="6">
        <v>3981.28</v>
      </c>
      <c r="G1015" s="2">
        <v>12</v>
      </c>
      <c r="H1015" s="61"/>
      <c r="I1015" s="61"/>
      <c r="J1015" s="47">
        <f t="shared" si="75"/>
        <v>-1</v>
      </c>
      <c r="K1015" s="47" t="e">
        <f t="shared" si="76"/>
        <v>#DIV/0!</v>
      </c>
      <c r="O1015" s="17">
        <f t="shared" si="77"/>
        <v>0</v>
      </c>
      <c r="P1015" s="17" t="e">
        <f t="shared" si="78"/>
        <v>#DIV/0!</v>
      </c>
      <c r="Q1015" s="17"/>
      <c r="R1015" s="9">
        <v>20220505</v>
      </c>
      <c r="U1015" s="9">
        <v>3687.1398899999999</v>
      </c>
      <c r="V1015" s="45">
        <f t="shared" si="79"/>
        <v>-1</v>
      </c>
      <c r="X1015" s="12">
        <v>0</v>
      </c>
      <c r="Y1015" s="62"/>
    </row>
    <row r="1016" spans="1:25" x14ac:dyDescent="0.2">
      <c r="A1016" s="3" t="s">
        <v>3303</v>
      </c>
      <c r="B1016" s="3" t="s">
        <v>1125</v>
      </c>
      <c r="C1016" s="6" t="s">
        <v>354</v>
      </c>
      <c r="D1016" s="6" t="s">
        <v>226</v>
      </c>
      <c r="E1016" s="6" t="s">
        <v>201</v>
      </c>
      <c r="F1016" s="6">
        <v>37287.85</v>
      </c>
      <c r="G1016" s="2">
        <v>9</v>
      </c>
      <c r="H1016" s="61">
        <v>2.65</v>
      </c>
      <c r="I1016" s="61">
        <v>3</v>
      </c>
      <c r="J1016" s="47">
        <f t="shared" si="75"/>
        <v>-0.70555555555555549</v>
      </c>
      <c r="K1016" s="47">
        <f t="shared" si="76"/>
        <v>0.13207547169811323</v>
      </c>
      <c r="L1016" s="8">
        <v>3.7</v>
      </c>
      <c r="M1016" s="8">
        <v>18.61</v>
      </c>
      <c r="N1016" s="8">
        <v>17.87</v>
      </c>
      <c r="O1016" s="17">
        <f t="shared" si="77"/>
        <v>-0.26376377952755908</v>
      </c>
      <c r="P1016" s="17">
        <f t="shared" si="78"/>
        <v>1.3530142857142855</v>
      </c>
      <c r="Q1016" s="17">
        <v>14.5</v>
      </c>
      <c r="R1016" s="9">
        <v>20220729</v>
      </c>
      <c r="S1016" s="9">
        <v>11.1</v>
      </c>
      <c r="T1016" s="9">
        <v>-7.63</v>
      </c>
      <c r="U1016" s="9">
        <v>25626.85742</v>
      </c>
      <c r="V1016" s="45">
        <f t="shared" si="79"/>
        <v>-1.0002977345163691</v>
      </c>
      <c r="W1016" s="12">
        <v>0</v>
      </c>
      <c r="X1016" s="12">
        <v>2.61</v>
      </c>
      <c r="Y1016" s="62">
        <v>1.19</v>
      </c>
    </row>
    <row r="1017" spans="1:25" x14ac:dyDescent="0.2">
      <c r="A1017" s="3" t="s">
        <v>3304</v>
      </c>
      <c r="B1017" s="3" t="s">
        <v>1126</v>
      </c>
      <c r="C1017" s="6" t="s">
        <v>355</v>
      </c>
      <c r="D1017" s="6" t="s">
        <v>174</v>
      </c>
      <c r="E1017" s="6" t="s">
        <v>231</v>
      </c>
      <c r="F1017" s="6">
        <v>71056.39</v>
      </c>
      <c r="G1017" s="2">
        <v>12</v>
      </c>
      <c r="H1017" s="61">
        <v>1.61</v>
      </c>
      <c r="I1017" s="61">
        <v>1.87</v>
      </c>
      <c r="J1017" s="47">
        <f t="shared" si="75"/>
        <v>-0.86583333333333334</v>
      </c>
      <c r="K1017" s="47">
        <f t="shared" si="76"/>
        <v>0.16149068322981366</v>
      </c>
      <c r="L1017" s="8">
        <v>2.6</v>
      </c>
      <c r="M1017" s="8">
        <v>31.19</v>
      </c>
      <c r="N1017" s="8">
        <v>28.19</v>
      </c>
      <c r="O1017" s="17">
        <f t="shared" si="77"/>
        <v>-0.36023099133782488</v>
      </c>
      <c r="P1017" s="17">
        <f t="shared" si="78"/>
        <v>1.7456115384615385</v>
      </c>
      <c r="Q1017" s="17">
        <v>20.25</v>
      </c>
      <c r="R1017" s="9">
        <v>20220822</v>
      </c>
      <c r="S1017" s="9">
        <v>3.95</v>
      </c>
      <c r="T1017" s="9">
        <v>27.92</v>
      </c>
      <c r="U1017" s="9">
        <v>161906.20311999999</v>
      </c>
      <c r="V1017" s="45">
        <f t="shared" si="79"/>
        <v>-0.99982755447622151</v>
      </c>
      <c r="W1017" s="12">
        <v>17.649999999999999</v>
      </c>
      <c r="X1017" s="12">
        <v>0</v>
      </c>
      <c r="Y1017" s="62"/>
    </row>
    <row r="1018" spans="1:25" x14ac:dyDescent="0.2">
      <c r="A1018" s="3" t="s">
        <v>3305</v>
      </c>
      <c r="B1018" s="3" t="s">
        <v>1127</v>
      </c>
      <c r="C1018" s="6" t="s">
        <v>354</v>
      </c>
      <c r="D1018" s="6" t="s">
        <v>151</v>
      </c>
      <c r="E1018" s="6" t="s">
        <v>163</v>
      </c>
      <c r="F1018" s="6">
        <v>7767.15</v>
      </c>
      <c r="G1018" s="2">
        <v>11</v>
      </c>
      <c r="H1018" s="61">
        <v>6.34</v>
      </c>
      <c r="I1018" s="61">
        <v>3.83</v>
      </c>
      <c r="J1018" s="47">
        <f t="shared" si="75"/>
        <v>-0.42363636363636364</v>
      </c>
      <c r="K1018" s="47">
        <f t="shared" si="76"/>
        <v>-0.39589905362776023</v>
      </c>
      <c r="L1018" s="8">
        <v>4.4400000000000004</v>
      </c>
      <c r="M1018" s="8">
        <v>5.98</v>
      </c>
      <c r="N1018" s="8">
        <v>8.48</v>
      </c>
      <c r="O1018" s="17">
        <f t="shared" si="77"/>
        <v>-0.1411587982832618</v>
      </c>
      <c r="P1018" s="17">
        <f t="shared" si="78"/>
        <v>-0.21419601593625501</v>
      </c>
      <c r="Q1018" s="17">
        <v>7.3</v>
      </c>
      <c r="R1018" s="9">
        <v>20220627</v>
      </c>
      <c r="S1018" s="9">
        <v>14.13</v>
      </c>
      <c r="T1018" s="9">
        <v>-10.19</v>
      </c>
      <c r="U1018" s="9">
        <v>6338.2797799999998</v>
      </c>
      <c r="V1018" s="45">
        <f t="shared" si="79"/>
        <v>-1.0016076917324088</v>
      </c>
      <c r="W1018" s="12">
        <v>34.78</v>
      </c>
      <c r="X1018" s="12">
        <v>3.7</v>
      </c>
      <c r="Y1018" s="62"/>
    </row>
    <row r="1019" spans="1:25" x14ac:dyDescent="0.2">
      <c r="A1019" s="3" t="s">
        <v>3306</v>
      </c>
      <c r="B1019" s="3" t="s">
        <v>1987</v>
      </c>
      <c r="C1019" s="6" t="s">
        <v>356</v>
      </c>
      <c r="D1019" s="6" t="s">
        <v>232</v>
      </c>
      <c r="E1019" s="6" t="s">
        <v>60</v>
      </c>
      <c r="F1019" s="6">
        <v>7009.81</v>
      </c>
      <c r="G1019" s="2">
        <v>3</v>
      </c>
      <c r="H1019" s="61">
        <v>4.05</v>
      </c>
      <c r="I1019" s="61"/>
      <c r="J1019" s="47">
        <f t="shared" si="75"/>
        <v>0.34999999999999992</v>
      </c>
      <c r="K1019" s="47">
        <f t="shared" si="76"/>
        <v>-1</v>
      </c>
      <c r="M1019" s="8">
        <v>2.74</v>
      </c>
      <c r="O1019" s="17">
        <f t="shared" si="77"/>
        <v>7.8285714285714306E-2</v>
      </c>
      <c r="P1019" s="17">
        <f t="shared" si="78"/>
        <v>0</v>
      </c>
      <c r="Q1019" s="17"/>
      <c r="R1019" s="9">
        <v>20220811</v>
      </c>
      <c r="S1019" s="9">
        <v>14.65</v>
      </c>
      <c r="T1019" s="9">
        <v>0.78</v>
      </c>
      <c r="U1019" s="9">
        <v>36662.730459999999</v>
      </c>
      <c r="V1019" s="45">
        <f t="shared" si="79"/>
        <v>-0.99997872498883167</v>
      </c>
      <c r="W1019" s="12">
        <v>13.04</v>
      </c>
      <c r="X1019" s="12">
        <v>0</v>
      </c>
      <c r="Y1019" s="62"/>
    </row>
    <row r="1020" spans="1:25" x14ac:dyDescent="0.2">
      <c r="A1020" s="3" t="s">
        <v>3307</v>
      </c>
      <c r="B1020" s="3" t="s">
        <v>1128</v>
      </c>
      <c r="C1020" s="6" t="s">
        <v>354</v>
      </c>
      <c r="D1020" s="6" t="s">
        <v>150</v>
      </c>
      <c r="E1020" s="6" t="s">
        <v>163</v>
      </c>
      <c r="F1020" s="6">
        <v>4622.55</v>
      </c>
      <c r="G1020" s="2">
        <v>12</v>
      </c>
      <c r="H1020" s="61">
        <v>4.25</v>
      </c>
      <c r="I1020" s="61">
        <v>2.94</v>
      </c>
      <c r="J1020" s="47">
        <f t="shared" si="75"/>
        <v>-0.64583333333333337</v>
      </c>
      <c r="K1020" s="47">
        <f t="shared" si="76"/>
        <v>-0.30823529411764705</v>
      </c>
      <c r="L1020" s="8">
        <v>3.04</v>
      </c>
      <c r="M1020" s="8">
        <v>6.69</v>
      </c>
      <c r="N1020" s="8">
        <v>9.3699999999999992</v>
      </c>
      <c r="O1020" s="17">
        <f t="shared" si="77"/>
        <v>-0.10358709677419355</v>
      </c>
      <c r="P1020" s="17">
        <f t="shared" si="78"/>
        <v>-0.30398854961832056</v>
      </c>
      <c r="Q1020" s="17">
        <v>9.06</v>
      </c>
      <c r="R1020" s="9">
        <v>20220804</v>
      </c>
      <c r="S1020" s="9">
        <v>14.95</v>
      </c>
      <c r="T1020" s="9">
        <v>11.75</v>
      </c>
      <c r="U1020" s="9">
        <v>2364.6000899999999</v>
      </c>
      <c r="V1020" s="45">
        <f t="shared" si="79"/>
        <v>-0.99503087221822784</v>
      </c>
      <c r="W1020" s="12">
        <v>-12.79</v>
      </c>
      <c r="X1020" s="12">
        <v>5.66</v>
      </c>
      <c r="Y1020" s="62"/>
    </row>
    <row r="1021" spans="1:25" x14ac:dyDescent="0.2">
      <c r="A1021" s="3" t="s">
        <v>3308</v>
      </c>
      <c r="B1021" s="3" t="s">
        <v>1129</v>
      </c>
      <c r="C1021" s="6" t="s">
        <v>354</v>
      </c>
      <c r="D1021" s="6" t="s">
        <v>121</v>
      </c>
      <c r="E1021" s="6" t="s">
        <v>140</v>
      </c>
      <c r="F1021" s="6">
        <v>11552.35</v>
      </c>
      <c r="G1021" s="2">
        <v>3</v>
      </c>
      <c r="H1021" s="61">
        <v>1.42</v>
      </c>
      <c r="I1021" s="61">
        <v>1.68</v>
      </c>
      <c r="J1021" s="47">
        <f t="shared" si="75"/>
        <v>-0.52666666666666673</v>
      </c>
      <c r="K1021" s="47">
        <f t="shared" si="76"/>
        <v>0.18309859154929578</v>
      </c>
      <c r="L1021" s="8">
        <v>1.52</v>
      </c>
      <c r="M1021" s="8">
        <v>18.66</v>
      </c>
      <c r="N1021" s="8">
        <v>15.44</v>
      </c>
      <c r="O1021" s="17">
        <f t="shared" si="77"/>
        <v>-0.35430379746835439</v>
      </c>
      <c r="P1021" s="17">
        <f t="shared" si="78"/>
        <v>0.84326153846153828</v>
      </c>
      <c r="Q1021" s="17">
        <v>17.07</v>
      </c>
      <c r="R1021" s="9">
        <v>20220808</v>
      </c>
      <c r="S1021" s="9">
        <v>48.48</v>
      </c>
      <c r="T1021" s="9">
        <v>12.64</v>
      </c>
      <c r="U1021" s="9">
        <v>4094</v>
      </c>
      <c r="V1021" s="45">
        <f t="shared" si="79"/>
        <v>-0.99691255495847586</v>
      </c>
      <c r="X1021" s="12">
        <v>1.66</v>
      </c>
      <c r="Y1021" s="62"/>
    </row>
    <row r="1022" spans="1:25" x14ac:dyDescent="0.2">
      <c r="A1022" s="3" t="s">
        <v>3309</v>
      </c>
      <c r="B1022" s="3" t="s">
        <v>1130</v>
      </c>
      <c r="C1022" s="6" t="s">
        <v>355</v>
      </c>
      <c r="D1022" s="6" t="s">
        <v>1131</v>
      </c>
      <c r="E1022" s="6" t="s">
        <v>119</v>
      </c>
      <c r="F1022" s="6">
        <v>13597.91</v>
      </c>
      <c r="G1022" s="2">
        <v>6</v>
      </c>
      <c r="H1022" s="61">
        <v>4</v>
      </c>
      <c r="I1022" s="61">
        <v>4.83</v>
      </c>
      <c r="J1022" s="47">
        <f t="shared" si="75"/>
        <v>-0.33333333333333331</v>
      </c>
      <c r="K1022" s="47">
        <f t="shared" si="76"/>
        <v>0.20750000000000002</v>
      </c>
      <c r="L1022" s="8">
        <v>5.24</v>
      </c>
      <c r="M1022" s="8">
        <v>38.24</v>
      </c>
      <c r="N1022" s="8">
        <v>38.659999999999997</v>
      </c>
      <c r="O1022" s="17">
        <f t="shared" si="77"/>
        <v>-1.1472000000000002</v>
      </c>
      <c r="P1022" s="17">
        <f t="shared" si="78"/>
        <v>1.8631325301204817</v>
      </c>
      <c r="Q1022" s="17">
        <v>35.64</v>
      </c>
      <c r="R1022" s="9">
        <v>20220816</v>
      </c>
      <c r="S1022" s="9">
        <v>27.04</v>
      </c>
      <c r="T1022" s="9">
        <v>5.57</v>
      </c>
      <c r="U1022" s="9">
        <v>1941.1999499999999</v>
      </c>
      <c r="V1022" s="45">
        <f t="shared" si="79"/>
        <v>-0.99713064076681024</v>
      </c>
      <c r="W1022" s="12">
        <v>9.43</v>
      </c>
      <c r="X1022" s="12">
        <v>1.05</v>
      </c>
      <c r="Y1022" s="62">
        <v>4.3</v>
      </c>
    </row>
    <row r="1023" spans="1:25" x14ac:dyDescent="0.2">
      <c r="A1023" s="3" t="s">
        <v>3310</v>
      </c>
      <c r="B1023" s="3" t="s">
        <v>1132</v>
      </c>
      <c r="C1023" s="6" t="s">
        <v>354</v>
      </c>
      <c r="D1023" s="6" t="s">
        <v>213</v>
      </c>
      <c r="E1023" s="6" t="s">
        <v>163</v>
      </c>
      <c r="F1023" s="6">
        <v>9544.4500000000007</v>
      </c>
      <c r="G1023" s="2">
        <v>12</v>
      </c>
      <c r="H1023" s="61">
        <v>17.34</v>
      </c>
      <c r="I1023" s="61">
        <v>19.84</v>
      </c>
      <c r="J1023" s="47">
        <f t="shared" si="75"/>
        <v>0.44500000000000001</v>
      </c>
      <c r="K1023" s="47">
        <f t="shared" si="76"/>
        <v>0.14417531718569782</v>
      </c>
      <c r="L1023" s="8">
        <v>21.39</v>
      </c>
      <c r="M1023" s="8">
        <v>9.35</v>
      </c>
      <c r="N1023" s="8">
        <v>9.84</v>
      </c>
      <c r="O1023" s="17">
        <f t="shared" si="77"/>
        <v>0.21011235955056179</v>
      </c>
      <c r="P1023" s="17">
        <f t="shared" si="78"/>
        <v>0.68250239999999995</v>
      </c>
      <c r="Q1023" s="17">
        <v>9.1300000000000008</v>
      </c>
      <c r="R1023" s="9">
        <v>20220803</v>
      </c>
      <c r="S1023" s="9">
        <v>17.510000000000002</v>
      </c>
      <c r="T1023" s="9">
        <v>20.18</v>
      </c>
      <c r="U1023" s="9">
        <v>20948.039059999999</v>
      </c>
      <c r="V1023" s="45">
        <f t="shared" si="79"/>
        <v>-0.9990366640074424</v>
      </c>
      <c r="W1023" s="12">
        <v>69.27</v>
      </c>
      <c r="X1023" s="12">
        <v>0</v>
      </c>
      <c r="Y1023" s="62">
        <v>1.0900000000000001</v>
      </c>
    </row>
    <row r="1024" spans="1:25" x14ac:dyDescent="0.2">
      <c r="A1024" s="3" t="s">
        <v>3311</v>
      </c>
      <c r="B1024" s="3" t="s">
        <v>2191</v>
      </c>
      <c r="C1024" s="6" t="s">
        <v>356</v>
      </c>
      <c r="D1024" s="6" t="s">
        <v>590</v>
      </c>
      <c r="E1024" s="6" t="s">
        <v>589</v>
      </c>
      <c r="F1024" s="6">
        <v>40006.910000000003</v>
      </c>
      <c r="G1024" s="2">
        <v>12</v>
      </c>
      <c r="H1024" s="61"/>
      <c r="I1024" s="61"/>
      <c r="J1024" s="47">
        <f t="shared" si="75"/>
        <v>-1</v>
      </c>
      <c r="K1024" s="47" t="e">
        <f t="shared" si="76"/>
        <v>#DIV/0!</v>
      </c>
      <c r="O1024" s="17">
        <f t="shared" si="77"/>
        <v>0</v>
      </c>
      <c r="P1024" s="17" t="e">
        <f t="shared" si="78"/>
        <v>#DIV/0!</v>
      </c>
      <c r="Q1024" s="17"/>
      <c r="V1024" s="45" t="e">
        <f t="shared" si="79"/>
        <v>#DIV/0!</v>
      </c>
      <c r="X1024" s="12">
        <v>5.39</v>
      </c>
      <c r="Y1024" s="62"/>
    </row>
    <row r="1025" spans="1:25" x14ac:dyDescent="0.2">
      <c r="A1025" s="3" t="s">
        <v>3312</v>
      </c>
      <c r="B1025" s="3" t="s">
        <v>3313</v>
      </c>
      <c r="C1025" s="6" t="s">
        <v>356</v>
      </c>
      <c r="D1025" s="6" t="s">
        <v>126</v>
      </c>
      <c r="E1025" s="6" t="s">
        <v>60</v>
      </c>
      <c r="F1025" s="6">
        <v>5391.75</v>
      </c>
      <c r="G1025" s="2">
        <v>3</v>
      </c>
      <c r="H1025" s="61">
        <v>5.41</v>
      </c>
      <c r="I1025" s="61">
        <v>5.55</v>
      </c>
      <c r="J1025" s="47">
        <f t="shared" si="75"/>
        <v>0.80333333333333334</v>
      </c>
      <c r="K1025" s="47">
        <f t="shared" si="76"/>
        <v>2.587800369685761E-2</v>
      </c>
      <c r="L1025" s="8">
        <v>6.22</v>
      </c>
      <c r="N1025" s="8">
        <v>10.58</v>
      </c>
      <c r="O1025" s="17">
        <f t="shared" si="77"/>
        <v>0</v>
      </c>
      <c r="P1025" s="17">
        <f t="shared" si="78"/>
        <v>4.088414285714296</v>
      </c>
      <c r="Q1025" s="17">
        <v>9.44</v>
      </c>
      <c r="R1025" s="9">
        <v>20220526</v>
      </c>
      <c r="U1025" s="9">
        <v>5177.70507</v>
      </c>
      <c r="V1025" s="45">
        <f t="shared" si="79"/>
        <v>-1</v>
      </c>
      <c r="X1025" s="12">
        <v>1.95</v>
      </c>
      <c r="Y1025" s="62"/>
    </row>
    <row r="1026" spans="1:25" x14ac:dyDescent="0.2">
      <c r="A1026" s="3" t="s">
        <v>1133</v>
      </c>
      <c r="B1026" s="3" t="s">
        <v>1134</v>
      </c>
      <c r="C1026" s="6" t="s">
        <v>354</v>
      </c>
      <c r="D1026" s="6" t="s">
        <v>179</v>
      </c>
      <c r="E1026" s="6" t="s">
        <v>208</v>
      </c>
      <c r="F1026" s="6">
        <v>472231.34</v>
      </c>
      <c r="G1026" s="2">
        <v>12</v>
      </c>
      <c r="H1026" s="61">
        <v>9.8000000000000007</v>
      </c>
      <c r="I1026" s="61">
        <v>10.23</v>
      </c>
      <c r="J1026" s="47">
        <f t="shared" si="75"/>
        <v>-0.18333333333333326</v>
      </c>
      <c r="K1026" s="47">
        <f t="shared" si="76"/>
        <v>4.3877551020408134E-2</v>
      </c>
      <c r="L1026" s="8">
        <v>10.74</v>
      </c>
      <c r="M1026" s="8">
        <v>18.16</v>
      </c>
      <c r="N1026" s="8">
        <v>17.54</v>
      </c>
      <c r="O1026" s="17">
        <f t="shared" si="77"/>
        <v>-0.99054545454545495</v>
      </c>
      <c r="P1026" s="17">
        <f t="shared" si="78"/>
        <v>3.9974883720930259</v>
      </c>
      <c r="Q1026" s="17">
        <v>16.71</v>
      </c>
      <c r="R1026" s="9">
        <v>20220720</v>
      </c>
      <c r="S1026" s="9">
        <v>36.590000000000003</v>
      </c>
      <c r="T1026" s="9">
        <v>4.2699999999999996</v>
      </c>
      <c r="U1026" s="9">
        <v>96622.851559999996</v>
      </c>
      <c r="V1026" s="45">
        <f t="shared" si="79"/>
        <v>-0.99995580755555169</v>
      </c>
      <c r="W1026" s="12">
        <v>2.69</v>
      </c>
      <c r="X1026" s="12">
        <v>2.52</v>
      </c>
      <c r="Y1026" s="62">
        <v>3.55</v>
      </c>
    </row>
    <row r="1027" spans="1:25" x14ac:dyDescent="0.2">
      <c r="B1027" s="3" t="s">
        <v>2192</v>
      </c>
      <c r="C1027" s="6" t="s">
        <v>354</v>
      </c>
      <c r="D1027" s="6" t="s">
        <v>519</v>
      </c>
      <c r="E1027" s="6" t="s">
        <v>163</v>
      </c>
      <c r="F1027" s="6">
        <v>6537.99</v>
      </c>
      <c r="G1027" s="2">
        <v>12</v>
      </c>
      <c r="H1027" s="61"/>
      <c r="I1027" s="61"/>
      <c r="J1027" s="47">
        <f t="shared" ref="J1027:J1090" si="80">(H1027-G1027)/ABS(G1027)</f>
        <v>-1</v>
      </c>
      <c r="K1027" s="47" t="e">
        <f t="shared" ref="K1027:K1090" si="81">(I1027-H1027)/ABS(H1027)</f>
        <v>#DIV/0!</v>
      </c>
      <c r="O1027" s="17">
        <f t="shared" ref="O1027:O1090" si="82">M1027/(J1027*100)</f>
        <v>0</v>
      </c>
      <c r="P1027" s="17" t="e">
        <f t="shared" ref="P1027:P1090" si="83">N1027/(K1027*100)</f>
        <v>#DIV/0!</v>
      </c>
      <c r="Q1027" s="17"/>
      <c r="V1027" s="45" t="e">
        <f t="shared" ref="V1027:V1090" si="84">(T1027-U1027)/U1027</f>
        <v>#DIV/0!</v>
      </c>
      <c r="X1027" s="12">
        <v>4.74</v>
      </c>
      <c r="Y1027" s="62"/>
    </row>
    <row r="1028" spans="1:25" x14ac:dyDescent="0.2">
      <c r="A1028" s="3" t="s">
        <v>3314</v>
      </c>
      <c r="B1028" s="3" t="s">
        <v>1135</v>
      </c>
      <c r="C1028" s="6" t="s">
        <v>354</v>
      </c>
      <c r="D1028" s="6" t="s">
        <v>869</v>
      </c>
      <c r="E1028" s="6" t="s">
        <v>119</v>
      </c>
      <c r="F1028" s="6">
        <v>9893.18</v>
      </c>
      <c r="G1028" s="2">
        <v>12</v>
      </c>
      <c r="H1028" s="61">
        <v>1.72</v>
      </c>
      <c r="I1028" s="61">
        <v>1.96</v>
      </c>
      <c r="J1028" s="47">
        <f t="shared" si="80"/>
        <v>-0.85666666666666658</v>
      </c>
      <c r="K1028" s="47">
        <f t="shared" si="81"/>
        <v>0.13953488372093023</v>
      </c>
      <c r="L1028" s="8">
        <v>2.25</v>
      </c>
      <c r="M1028" s="8">
        <v>17.399999999999999</v>
      </c>
      <c r="N1028" s="8">
        <v>15.62</v>
      </c>
      <c r="O1028" s="17">
        <f t="shared" si="82"/>
        <v>-0.20311284046692607</v>
      </c>
      <c r="P1028" s="17">
        <f t="shared" si="83"/>
        <v>1.1194333333333333</v>
      </c>
      <c r="Q1028" s="17">
        <v>13.59</v>
      </c>
      <c r="R1028" s="9">
        <v>20220726</v>
      </c>
      <c r="S1028" s="9">
        <v>9.4</v>
      </c>
      <c r="T1028" s="9">
        <v>-1.92</v>
      </c>
      <c r="U1028" s="9">
        <v>5126.4267499999996</v>
      </c>
      <c r="V1028" s="45">
        <f t="shared" si="84"/>
        <v>-1.0003745298808766</v>
      </c>
      <c r="W1028" s="12">
        <v>-3.12</v>
      </c>
      <c r="X1028" s="12">
        <v>2.74</v>
      </c>
      <c r="Y1028" s="62">
        <v>1.96</v>
      </c>
    </row>
    <row r="1029" spans="1:25" x14ac:dyDescent="0.2">
      <c r="A1029" s="3" t="s">
        <v>3315</v>
      </c>
      <c r="B1029" s="3" t="s">
        <v>3316</v>
      </c>
      <c r="C1029" s="6" t="s">
        <v>354</v>
      </c>
      <c r="D1029" s="6" t="s">
        <v>235</v>
      </c>
      <c r="E1029" s="6" t="s">
        <v>237</v>
      </c>
      <c r="F1029" s="6">
        <v>3438.62</v>
      </c>
      <c r="G1029" s="2">
        <v>12</v>
      </c>
      <c r="H1029" s="61">
        <v>-0.52</v>
      </c>
      <c r="I1029" s="61">
        <v>-0.54</v>
      </c>
      <c r="J1029" s="47">
        <f t="shared" si="80"/>
        <v>-1.0433333333333332</v>
      </c>
      <c r="K1029" s="47">
        <f t="shared" si="81"/>
        <v>-3.8461538461538491E-2</v>
      </c>
      <c r="L1029" s="8">
        <v>-0.56999999999999995</v>
      </c>
      <c r="O1029" s="17">
        <f t="shared" si="82"/>
        <v>0</v>
      </c>
      <c r="P1029" s="17">
        <f t="shared" si="83"/>
        <v>0</v>
      </c>
      <c r="Q1029" s="17"/>
      <c r="R1029" s="9">
        <v>20220811</v>
      </c>
      <c r="S1029" s="9">
        <v>-19.14</v>
      </c>
      <c r="V1029" s="45" t="e">
        <f t="shared" si="84"/>
        <v>#DIV/0!</v>
      </c>
      <c r="W1029" s="12">
        <v>0</v>
      </c>
      <c r="X1029" s="12">
        <v>0</v>
      </c>
      <c r="Y1029" s="62"/>
    </row>
    <row r="1030" spans="1:25" x14ac:dyDescent="0.2">
      <c r="A1030" s="3" t="s">
        <v>1136</v>
      </c>
      <c r="B1030" s="3" t="s">
        <v>1137</v>
      </c>
      <c r="C1030" s="6" t="s">
        <v>354</v>
      </c>
      <c r="D1030" s="6" t="s">
        <v>97</v>
      </c>
      <c r="E1030" s="6" t="s">
        <v>163</v>
      </c>
      <c r="F1030" s="6">
        <v>380171.81</v>
      </c>
      <c r="G1030" s="2">
        <v>12</v>
      </c>
      <c r="H1030" s="61">
        <v>14.98</v>
      </c>
      <c r="I1030" s="61">
        <v>11.24</v>
      </c>
      <c r="J1030" s="47">
        <f t="shared" si="80"/>
        <v>0.24833333333333338</v>
      </c>
      <c r="K1030" s="47">
        <f t="shared" si="81"/>
        <v>-0.24966622162883845</v>
      </c>
      <c r="L1030" s="8">
        <v>12.88</v>
      </c>
      <c r="M1030" s="8">
        <v>9.6</v>
      </c>
      <c r="N1030" s="8">
        <v>11.52</v>
      </c>
      <c r="O1030" s="17">
        <f t="shared" si="82"/>
        <v>0.38657718120805357</v>
      </c>
      <c r="P1030" s="17">
        <f t="shared" si="83"/>
        <v>-0.46141604278074866</v>
      </c>
      <c r="Q1030" s="17">
        <v>10.050000000000001</v>
      </c>
      <c r="R1030" s="9">
        <v>20220714</v>
      </c>
      <c r="S1030" s="9">
        <v>16.579999999999998</v>
      </c>
      <c r="T1030" s="9">
        <v>2.5499999999999998</v>
      </c>
      <c r="U1030" s="9">
        <v>125632.33593</v>
      </c>
      <c r="V1030" s="45">
        <f t="shared" si="84"/>
        <v>-0.99997970267780878</v>
      </c>
      <c r="W1030" s="12">
        <v>-3.66</v>
      </c>
      <c r="X1030" s="12">
        <v>3.09</v>
      </c>
      <c r="Y1030" s="62">
        <v>2.2999999999999998</v>
      </c>
    </row>
    <row r="1031" spans="1:25" x14ac:dyDescent="0.2">
      <c r="A1031" s="3" t="s">
        <v>3317</v>
      </c>
      <c r="B1031" s="3" t="s">
        <v>3318</v>
      </c>
      <c r="C1031" s="6" t="s">
        <v>356</v>
      </c>
      <c r="D1031" s="6" t="s">
        <v>224</v>
      </c>
      <c r="E1031" s="6" t="s">
        <v>231</v>
      </c>
      <c r="F1031" s="6">
        <v>12919.39</v>
      </c>
      <c r="G1031" s="2">
        <v>12</v>
      </c>
      <c r="H1031" s="61">
        <v>1.78</v>
      </c>
      <c r="I1031" s="61">
        <v>1.92</v>
      </c>
      <c r="J1031" s="47">
        <f t="shared" si="80"/>
        <v>-0.85166666666666668</v>
      </c>
      <c r="K1031" s="47">
        <f t="shared" si="81"/>
        <v>7.8651685393258369E-2</v>
      </c>
      <c r="L1031" s="8">
        <v>2.12</v>
      </c>
      <c r="M1031" s="8">
        <v>27.37</v>
      </c>
      <c r="N1031" s="8">
        <v>21.39</v>
      </c>
      <c r="O1031" s="17">
        <f t="shared" si="82"/>
        <v>-0.32136986301369863</v>
      </c>
      <c r="P1031" s="17">
        <f t="shared" si="83"/>
        <v>2.7195857142857163</v>
      </c>
      <c r="Q1031" s="17">
        <v>19.34</v>
      </c>
      <c r="R1031" s="9">
        <v>20220602</v>
      </c>
      <c r="S1031" s="9">
        <v>18.760000000000002</v>
      </c>
      <c r="U1031" s="9">
        <v>25464.960930000001</v>
      </c>
      <c r="V1031" s="45">
        <f t="shared" si="84"/>
        <v>-1</v>
      </c>
      <c r="W1031" s="12">
        <v>4.26</v>
      </c>
      <c r="X1031" s="12">
        <v>2.88</v>
      </c>
      <c r="Y1031" s="62">
        <v>1.74</v>
      </c>
    </row>
    <row r="1032" spans="1:25" x14ac:dyDescent="0.2">
      <c r="A1032" s="3" t="s">
        <v>3319</v>
      </c>
      <c r="B1032" s="3" t="s">
        <v>1138</v>
      </c>
      <c r="C1032" s="6" t="s">
        <v>356</v>
      </c>
      <c r="D1032" s="6" t="s">
        <v>224</v>
      </c>
      <c r="E1032" s="6" t="s">
        <v>231</v>
      </c>
      <c r="F1032" s="6">
        <v>6846.75</v>
      </c>
      <c r="G1032" s="2">
        <v>3</v>
      </c>
      <c r="H1032" s="61">
        <v>1.23</v>
      </c>
      <c r="I1032" s="61">
        <v>1.1299999999999999</v>
      </c>
      <c r="J1032" s="47">
        <f t="shared" si="80"/>
        <v>-0.59</v>
      </c>
      <c r="K1032" s="47">
        <f t="shared" si="81"/>
        <v>-8.1300813008130149E-2</v>
      </c>
      <c r="L1032" s="8">
        <v>1.1299999999999999</v>
      </c>
      <c r="N1032" s="8">
        <v>10.33</v>
      </c>
      <c r="O1032" s="17">
        <f t="shared" si="82"/>
        <v>0</v>
      </c>
      <c r="P1032" s="17">
        <f t="shared" si="83"/>
        <v>-1.270589999999999</v>
      </c>
      <c r="Q1032" s="17">
        <v>10.41</v>
      </c>
      <c r="R1032" s="9">
        <v>20220601</v>
      </c>
      <c r="U1032" s="9">
        <v>39433.101560000003</v>
      </c>
      <c r="V1032" s="45">
        <f t="shared" si="84"/>
        <v>-1</v>
      </c>
      <c r="X1032" s="12">
        <v>2.56</v>
      </c>
      <c r="Y1032" s="62">
        <v>0.66</v>
      </c>
    </row>
    <row r="1033" spans="1:25" x14ac:dyDescent="0.2">
      <c r="A1033" s="3" t="s">
        <v>3320</v>
      </c>
      <c r="B1033" s="3" t="s">
        <v>1139</v>
      </c>
      <c r="C1033" s="6" t="s">
        <v>356</v>
      </c>
      <c r="D1033" s="6" t="s">
        <v>127</v>
      </c>
      <c r="E1033" s="6" t="s">
        <v>60</v>
      </c>
      <c r="F1033" s="6">
        <v>6892.33</v>
      </c>
      <c r="G1033" s="2">
        <v>3</v>
      </c>
      <c r="H1033" s="61"/>
      <c r="I1033" s="61"/>
      <c r="J1033" s="47">
        <f t="shared" si="80"/>
        <v>-1</v>
      </c>
      <c r="K1033" s="47" t="e">
        <f t="shared" si="81"/>
        <v>#DIV/0!</v>
      </c>
      <c r="O1033" s="17">
        <f t="shared" si="82"/>
        <v>0</v>
      </c>
      <c r="P1033" s="17" t="e">
        <f t="shared" si="83"/>
        <v>#DIV/0!</v>
      </c>
      <c r="Q1033" s="17"/>
      <c r="R1033" s="9">
        <v>20220801</v>
      </c>
      <c r="V1033" s="45" t="e">
        <f t="shared" si="84"/>
        <v>#DIV/0!</v>
      </c>
      <c r="X1033" s="12">
        <v>1.36</v>
      </c>
      <c r="Y1033" s="62"/>
    </row>
    <row r="1034" spans="1:25" x14ac:dyDescent="0.2">
      <c r="A1034" s="3" t="s">
        <v>3321</v>
      </c>
      <c r="B1034" s="3" t="s">
        <v>3322</v>
      </c>
      <c r="C1034" s="6" t="s">
        <v>356</v>
      </c>
      <c r="D1034" s="6" t="s">
        <v>174</v>
      </c>
      <c r="E1034" s="6" t="s">
        <v>231</v>
      </c>
      <c r="F1034" s="6">
        <v>4546.53</v>
      </c>
      <c r="G1034" s="2">
        <v>12</v>
      </c>
      <c r="H1034" s="61">
        <v>-0.92</v>
      </c>
      <c r="I1034" s="61">
        <v>-0.97</v>
      </c>
      <c r="J1034" s="47">
        <f t="shared" si="80"/>
        <v>-1.0766666666666667</v>
      </c>
      <c r="K1034" s="47">
        <f t="shared" si="81"/>
        <v>-5.4347826086956444E-2</v>
      </c>
      <c r="L1034" s="8">
        <v>-0.68</v>
      </c>
      <c r="O1034" s="17">
        <f t="shared" si="82"/>
        <v>0</v>
      </c>
      <c r="P1034" s="17">
        <f t="shared" si="83"/>
        <v>0</v>
      </c>
      <c r="Q1034" s="17"/>
      <c r="U1034" s="9">
        <v>6034.7202100000004</v>
      </c>
      <c r="V1034" s="45">
        <f t="shared" si="84"/>
        <v>-1</v>
      </c>
      <c r="X1034" s="12">
        <v>0</v>
      </c>
      <c r="Y1034" s="62"/>
    </row>
    <row r="1035" spans="1:25" x14ac:dyDescent="0.2">
      <c r="A1035" s="3" t="s">
        <v>3323</v>
      </c>
      <c r="B1035" s="3" t="s">
        <v>1140</v>
      </c>
      <c r="C1035" s="6" t="s">
        <v>354</v>
      </c>
      <c r="D1035" s="6" t="s">
        <v>219</v>
      </c>
      <c r="E1035" s="6" t="s">
        <v>231</v>
      </c>
      <c r="F1035" s="6">
        <v>3956.27</v>
      </c>
      <c r="G1035" s="2">
        <v>1</v>
      </c>
      <c r="H1035" s="61">
        <v>1.25</v>
      </c>
      <c r="I1035" s="61">
        <v>3.17</v>
      </c>
      <c r="J1035" s="47">
        <f t="shared" si="80"/>
        <v>0.25</v>
      </c>
      <c r="K1035" s="47">
        <f t="shared" si="81"/>
        <v>1.536</v>
      </c>
      <c r="L1035" s="8">
        <v>3.35</v>
      </c>
      <c r="M1035" s="8">
        <v>12.11</v>
      </c>
      <c r="N1035" s="8">
        <v>7.82</v>
      </c>
      <c r="O1035" s="17">
        <f t="shared" si="82"/>
        <v>0.4844</v>
      </c>
      <c r="P1035" s="17">
        <f t="shared" si="83"/>
        <v>5.091145833333334E-2</v>
      </c>
      <c r="Q1035" s="17">
        <v>7.4</v>
      </c>
      <c r="R1035" s="9">
        <v>20220823</v>
      </c>
      <c r="S1035" s="9">
        <v>74.13</v>
      </c>
      <c r="T1035" s="9">
        <v>-4.66</v>
      </c>
      <c r="U1035" s="9">
        <v>15708.902340000001</v>
      </c>
      <c r="V1035" s="45">
        <f t="shared" si="84"/>
        <v>-1.0002966470794166</v>
      </c>
      <c r="W1035" s="12">
        <v>25</v>
      </c>
      <c r="X1035" s="12">
        <v>3.06</v>
      </c>
      <c r="Y1035" s="62">
        <v>1.3</v>
      </c>
    </row>
    <row r="1036" spans="1:25" x14ac:dyDescent="0.2">
      <c r="A1036" s="3" t="s">
        <v>3324</v>
      </c>
      <c r="B1036" s="3" t="s">
        <v>3325</v>
      </c>
      <c r="C1036" s="6" t="s">
        <v>354</v>
      </c>
      <c r="D1036" s="6" t="s">
        <v>151</v>
      </c>
      <c r="E1036" s="6" t="s">
        <v>163</v>
      </c>
      <c r="F1036" s="6">
        <v>3012.72</v>
      </c>
      <c r="G1036" s="2">
        <v>12</v>
      </c>
      <c r="H1036" s="61">
        <v>23.21</v>
      </c>
      <c r="I1036" s="61">
        <v>19.27</v>
      </c>
      <c r="J1036" s="47">
        <f t="shared" si="80"/>
        <v>0.9341666666666667</v>
      </c>
      <c r="K1036" s="47">
        <f t="shared" si="81"/>
        <v>-0.16975441619991388</v>
      </c>
      <c r="L1036" s="8">
        <v>21.17</v>
      </c>
      <c r="M1036" s="8">
        <v>1.5</v>
      </c>
      <c r="N1036" s="8">
        <v>1.81</v>
      </c>
      <c r="O1036" s="17">
        <f t="shared" si="82"/>
        <v>1.6057091882247992E-2</v>
      </c>
      <c r="P1036" s="17">
        <f t="shared" si="83"/>
        <v>-0.10662461928934006</v>
      </c>
      <c r="Q1036" s="17">
        <v>1.65</v>
      </c>
      <c r="R1036" s="9">
        <v>20220916</v>
      </c>
      <c r="S1036" s="9">
        <v>20.22</v>
      </c>
      <c r="U1036" s="9">
        <v>6645.3149400000002</v>
      </c>
      <c r="V1036" s="45">
        <f t="shared" si="84"/>
        <v>-1</v>
      </c>
      <c r="W1036" s="12">
        <v>-13.02</v>
      </c>
      <c r="X1036" s="12">
        <v>6.3</v>
      </c>
      <c r="Y1036" s="62"/>
    </row>
    <row r="1037" spans="1:25" x14ac:dyDescent="0.2">
      <c r="A1037" s="3" t="s">
        <v>3326</v>
      </c>
      <c r="B1037" s="3" t="s">
        <v>1141</v>
      </c>
      <c r="C1037" s="6" t="s">
        <v>354</v>
      </c>
      <c r="D1037" s="6" t="s">
        <v>155</v>
      </c>
      <c r="E1037" s="6" t="s">
        <v>154</v>
      </c>
      <c r="F1037" s="6">
        <v>23610.54</v>
      </c>
      <c r="G1037" s="2">
        <v>12</v>
      </c>
      <c r="H1037" s="61">
        <v>4.13</v>
      </c>
      <c r="I1037" s="61">
        <v>4.09</v>
      </c>
      <c r="J1037" s="47">
        <f t="shared" si="80"/>
        <v>-0.65583333333333338</v>
      </c>
      <c r="K1037" s="47">
        <f t="shared" si="81"/>
        <v>-9.6852300242130842E-3</v>
      </c>
      <c r="L1037" s="8">
        <v>4.3099999999999996</v>
      </c>
      <c r="M1037" s="8">
        <v>16.8</v>
      </c>
      <c r="N1037" s="8">
        <v>17.09</v>
      </c>
      <c r="O1037" s="17">
        <f t="shared" si="82"/>
        <v>-0.25616264294790342</v>
      </c>
      <c r="P1037" s="17">
        <f t="shared" si="83"/>
        <v>-17.645424999999985</v>
      </c>
      <c r="Q1037" s="17">
        <v>16.2</v>
      </c>
      <c r="R1037" s="9">
        <v>20220804</v>
      </c>
      <c r="S1037" s="9">
        <v>34.82</v>
      </c>
      <c r="T1037" s="9">
        <v>2.0699999999999998</v>
      </c>
      <c r="U1037" s="9">
        <v>14532.01953</v>
      </c>
      <c r="V1037" s="45">
        <f t="shared" si="84"/>
        <v>-0.99985755593049364</v>
      </c>
      <c r="W1037" s="12">
        <v>20.88</v>
      </c>
      <c r="X1037" s="12">
        <v>3.32</v>
      </c>
      <c r="Y1037" s="62">
        <v>4.51</v>
      </c>
    </row>
    <row r="1038" spans="1:25" x14ac:dyDescent="0.2">
      <c r="A1038" s="3" t="s">
        <v>3327</v>
      </c>
      <c r="B1038" s="3" t="s">
        <v>2193</v>
      </c>
      <c r="C1038" s="6" t="s">
        <v>354</v>
      </c>
      <c r="D1038" s="6" t="s">
        <v>69</v>
      </c>
      <c r="E1038" s="6" t="s">
        <v>163</v>
      </c>
      <c r="F1038" s="6">
        <v>19743.439999999999</v>
      </c>
      <c r="G1038" s="2">
        <v>12</v>
      </c>
      <c r="H1038" s="61"/>
      <c r="I1038" s="61"/>
      <c r="J1038" s="47">
        <f t="shared" si="80"/>
        <v>-1</v>
      </c>
      <c r="K1038" s="47" t="e">
        <f t="shared" si="81"/>
        <v>#DIV/0!</v>
      </c>
      <c r="M1038" s="8">
        <v>4.9000000000000004</v>
      </c>
      <c r="O1038" s="17">
        <f t="shared" si="82"/>
        <v>-4.9000000000000002E-2</v>
      </c>
      <c r="P1038" s="17" t="e">
        <f t="shared" si="83"/>
        <v>#DIV/0!</v>
      </c>
      <c r="Q1038" s="17"/>
      <c r="R1038" s="9">
        <v>20220728</v>
      </c>
      <c r="S1038" s="9">
        <v>9.94</v>
      </c>
      <c r="T1038" s="9">
        <v>6.75</v>
      </c>
      <c r="V1038" s="45" t="e">
        <f t="shared" si="84"/>
        <v>#DIV/0!</v>
      </c>
      <c r="X1038" s="12">
        <v>4.8499999999999996</v>
      </c>
      <c r="Y1038" s="62"/>
    </row>
    <row r="1039" spans="1:25" x14ac:dyDescent="0.2">
      <c r="A1039" s="3" t="s">
        <v>3328</v>
      </c>
      <c r="B1039" s="3" t="s">
        <v>1142</v>
      </c>
      <c r="C1039" s="6" t="s">
        <v>356</v>
      </c>
      <c r="D1039" s="6" t="s">
        <v>69</v>
      </c>
      <c r="E1039" s="6" t="s">
        <v>163</v>
      </c>
      <c r="F1039" s="6">
        <v>26121.919999999998</v>
      </c>
      <c r="G1039" s="2">
        <v>12</v>
      </c>
      <c r="H1039" s="61">
        <v>3.7</v>
      </c>
      <c r="I1039" s="61">
        <v>3.65</v>
      </c>
      <c r="J1039" s="47">
        <f t="shared" si="80"/>
        <v>-0.69166666666666676</v>
      </c>
      <c r="K1039" s="47">
        <f t="shared" si="81"/>
        <v>-1.3513513513513585E-2</v>
      </c>
      <c r="L1039" s="8">
        <v>3.49</v>
      </c>
      <c r="M1039" s="8">
        <v>8.6300000000000008</v>
      </c>
      <c r="N1039" s="8">
        <v>8.59</v>
      </c>
      <c r="O1039" s="17">
        <f t="shared" si="82"/>
        <v>-0.1247710843373494</v>
      </c>
      <c r="P1039" s="17">
        <f t="shared" si="83"/>
        <v>-6.3565999999999656</v>
      </c>
      <c r="Q1039" s="17">
        <v>8.9700000000000006</v>
      </c>
      <c r="R1039" s="9">
        <v>20220804</v>
      </c>
      <c r="U1039" s="9">
        <v>8830.6796799999993</v>
      </c>
      <c r="V1039" s="45">
        <f t="shared" si="84"/>
        <v>-1</v>
      </c>
      <c r="W1039" s="12">
        <v>130.15</v>
      </c>
      <c r="X1039" s="12">
        <v>17.350000000000001</v>
      </c>
      <c r="Y1039" s="62">
        <v>1.78</v>
      </c>
    </row>
    <row r="1040" spans="1:25" x14ac:dyDescent="0.2">
      <c r="A1040" s="3" t="s">
        <v>1143</v>
      </c>
      <c r="B1040" s="3" t="s">
        <v>1144</v>
      </c>
      <c r="C1040" s="6" t="s">
        <v>354</v>
      </c>
      <c r="D1040" s="6" t="s">
        <v>784</v>
      </c>
      <c r="E1040" s="6" t="s">
        <v>140</v>
      </c>
      <c r="F1040" s="6">
        <v>3046.83</v>
      </c>
      <c r="G1040" s="2">
        <v>11</v>
      </c>
      <c r="H1040" s="61">
        <v>5.9</v>
      </c>
      <c r="I1040" s="61">
        <v>10.130000000000001</v>
      </c>
      <c r="J1040" s="47">
        <f t="shared" si="80"/>
        <v>-0.46363636363636362</v>
      </c>
      <c r="K1040" s="47">
        <f t="shared" si="81"/>
        <v>0.7169491525423729</v>
      </c>
      <c r="L1040" s="8">
        <v>10.8</v>
      </c>
      <c r="M1040" s="8">
        <v>5.27</v>
      </c>
      <c r="N1040" s="8">
        <v>3.4</v>
      </c>
      <c r="O1040" s="17">
        <f t="shared" si="82"/>
        <v>-0.11366666666666667</v>
      </c>
      <c r="P1040" s="17">
        <f t="shared" si="83"/>
        <v>4.7423167848699765E-2</v>
      </c>
      <c r="Q1040" s="17">
        <v>3.18</v>
      </c>
      <c r="R1040" s="9">
        <v>20220622</v>
      </c>
      <c r="S1040" s="9">
        <v>20.399999999999999</v>
      </c>
      <c r="T1040" s="9">
        <v>4.99</v>
      </c>
      <c r="U1040" s="9">
        <v>7401.3798800000004</v>
      </c>
      <c r="V1040" s="45">
        <f t="shared" si="84"/>
        <v>-0.999325801393672</v>
      </c>
      <c r="W1040" s="12">
        <v>-3.29</v>
      </c>
      <c r="X1040" s="12">
        <v>1.75</v>
      </c>
      <c r="Y1040" s="62">
        <v>0.34</v>
      </c>
    </row>
    <row r="1041" spans="1:25" x14ac:dyDescent="0.2">
      <c r="A1041" s="3" t="s">
        <v>1145</v>
      </c>
      <c r="B1041" s="3" t="s">
        <v>1145</v>
      </c>
      <c r="C1041" s="6" t="s">
        <v>354</v>
      </c>
      <c r="D1041" s="6" t="s">
        <v>145</v>
      </c>
      <c r="E1041" s="6" t="s">
        <v>140</v>
      </c>
      <c r="F1041" s="6">
        <v>6747.73</v>
      </c>
      <c r="G1041" s="2">
        <v>12</v>
      </c>
      <c r="H1041" s="61">
        <v>2.36</v>
      </c>
      <c r="I1041" s="61">
        <v>2.61</v>
      </c>
      <c r="J1041" s="47">
        <f t="shared" si="80"/>
        <v>-0.80333333333333334</v>
      </c>
      <c r="K1041" s="47">
        <f t="shared" si="81"/>
        <v>0.10593220338983052</v>
      </c>
      <c r="L1041" s="8">
        <v>3.16</v>
      </c>
      <c r="M1041" s="8">
        <v>19.11</v>
      </c>
      <c r="N1041" s="8">
        <v>18.5</v>
      </c>
      <c r="O1041" s="17">
        <f t="shared" si="82"/>
        <v>-0.2378838174273859</v>
      </c>
      <c r="P1041" s="17">
        <f t="shared" si="83"/>
        <v>1.7463999999999997</v>
      </c>
      <c r="Q1041" s="17">
        <v>15.3</v>
      </c>
      <c r="R1041" s="9">
        <v>20220804</v>
      </c>
      <c r="S1041" s="9">
        <v>23.14</v>
      </c>
      <c r="T1041" s="9">
        <v>11.68</v>
      </c>
      <c r="U1041" s="9">
        <v>6658.6669899999997</v>
      </c>
      <c r="V1041" s="45">
        <f t="shared" si="84"/>
        <v>-0.99824589515926521</v>
      </c>
      <c r="W1041" s="12">
        <v>8.77</v>
      </c>
      <c r="X1041" s="12">
        <v>0.99</v>
      </c>
      <c r="Y1041" s="62"/>
    </row>
    <row r="1042" spans="1:25" x14ac:dyDescent="0.2">
      <c r="A1042" s="3" t="s">
        <v>3329</v>
      </c>
      <c r="B1042" s="3" t="s">
        <v>1146</v>
      </c>
      <c r="C1042" s="6" t="s">
        <v>356</v>
      </c>
      <c r="D1042" s="6" t="s">
        <v>278</v>
      </c>
      <c r="E1042" s="6" t="s">
        <v>119</v>
      </c>
      <c r="F1042" s="6">
        <v>83687.8</v>
      </c>
      <c r="G1042" s="2">
        <v>3</v>
      </c>
      <c r="H1042" s="61">
        <v>1.35</v>
      </c>
      <c r="I1042" s="61">
        <v>1.42</v>
      </c>
      <c r="J1042" s="47">
        <f t="shared" si="80"/>
        <v>-0.54999999999999993</v>
      </c>
      <c r="K1042" s="47">
        <f t="shared" si="81"/>
        <v>5.1851851851851732E-2</v>
      </c>
      <c r="L1042" s="8">
        <v>1.46</v>
      </c>
      <c r="M1042" s="8">
        <v>13.45</v>
      </c>
      <c r="N1042" s="8">
        <v>12.79</v>
      </c>
      <c r="O1042" s="17">
        <f t="shared" si="82"/>
        <v>-0.24454545454545457</v>
      </c>
      <c r="P1042" s="17">
        <f t="shared" si="83"/>
        <v>2.4666428571428627</v>
      </c>
      <c r="Q1042" s="17">
        <v>12.48</v>
      </c>
      <c r="R1042" s="9">
        <v>20220729</v>
      </c>
      <c r="S1042" s="9">
        <v>12.59</v>
      </c>
      <c r="T1042" s="9">
        <v>2.96</v>
      </c>
      <c r="U1042" s="9">
        <v>49472.875</v>
      </c>
      <c r="V1042" s="45">
        <f t="shared" si="84"/>
        <v>-0.99994016923415108</v>
      </c>
      <c r="X1042" s="12">
        <v>2.0699999999999998</v>
      </c>
      <c r="Y1042" s="62"/>
    </row>
    <row r="1043" spans="1:25" x14ac:dyDescent="0.2">
      <c r="A1043" s="3" t="s">
        <v>3330</v>
      </c>
      <c r="B1043" s="3" t="s">
        <v>1147</v>
      </c>
      <c r="C1043" s="6" t="s">
        <v>355</v>
      </c>
      <c r="D1043" s="6" t="s">
        <v>615</v>
      </c>
      <c r="E1043" s="6" t="s">
        <v>154</v>
      </c>
      <c r="F1043" s="6">
        <v>50400.959999999999</v>
      </c>
      <c r="G1043" s="2">
        <v>12</v>
      </c>
      <c r="H1043" s="61">
        <v>1.6</v>
      </c>
      <c r="I1043" s="61">
        <v>1.69</v>
      </c>
      <c r="J1043" s="47">
        <f t="shared" si="80"/>
        <v>-0.8666666666666667</v>
      </c>
      <c r="K1043" s="47">
        <f t="shared" si="81"/>
        <v>5.6249999999999911E-2</v>
      </c>
      <c r="L1043" s="8">
        <v>1.86</v>
      </c>
      <c r="M1043" s="8">
        <v>22.21</v>
      </c>
      <c r="N1043" s="8">
        <v>21.01</v>
      </c>
      <c r="O1043" s="17">
        <f t="shared" si="82"/>
        <v>-0.25626923076923075</v>
      </c>
      <c r="P1043" s="17">
        <f t="shared" si="83"/>
        <v>3.7351111111111175</v>
      </c>
      <c r="Q1043" s="17">
        <v>19.07</v>
      </c>
      <c r="R1043" s="9">
        <v>20220804</v>
      </c>
      <c r="S1043" s="9">
        <v>9.2200000000000006</v>
      </c>
      <c r="T1043" s="9">
        <v>15.91</v>
      </c>
      <c r="U1043" s="9">
        <v>13724.67382</v>
      </c>
      <c r="V1043" s="45">
        <f t="shared" si="84"/>
        <v>-0.99884077390773285</v>
      </c>
      <c r="W1043" s="12">
        <v>0</v>
      </c>
      <c r="X1043" s="12">
        <v>2.11</v>
      </c>
      <c r="Y1043" s="62">
        <v>3.08</v>
      </c>
    </row>
    <row r="1044" spans="1:25" x14ac:dyDescent="0.2">
      <c r="A1044" s="3" t="s">
        <v>3331</v>
      </c>
      <c r="B1044" s="3" t="s">
        <v>3332</v>
      </c>
      <c r="C1044" s="6" t="s">
        <v>354</v>
      </c>
      <c r="D1044" s="6" t="s">
        <v>246</v>
      </c>
      <c r="E1044" s="6" t="s">
        <v>250</v>
      </c>
      <c r="F1044" s="6">
        <v>3064.64</v>
      </c>
      <c r="G1044" s="2">
        <v>12</v>
      </c>
      <c r="H1044" s="61"/>
      <c r="I1044" s="61"/>
      <c r="J1044" s="47">
        <f t="shared" si="80"/>
        <v>-1</v>
      </c>
      <c r="K1044" s="47" t="e">
        <f t="shared" si="81"/>
        <v>#DIV/0!</v>
      </c>
      <c r="M1044" s="8">
        <v>3.29</v>
      </c>
      <c r="O1044" s="17">
        <f t="shared" si="82"/>
        <v>-3.2899999999999999E-2</v>
      </c>
      <c r="P1044" s="17" t="e">
        <f t="shared" si="83"/>
        <v>#DIV/0!</v>
      </c>
      <c r="Q1044" s="17"/>
      <c r="R1044" s="9">
        <v>20220606</v>
      </c>
      <c r="S1044" s="9">
        <v>47.14</v>
      </c>
      <c r="T1044" s="9">
        <v>-35.9</v>
      </c>
      <c r="V1044" s="45" t="e">
        <f t="shared" si="84"/>
        <v>#DIV/0!</v>
      </c>
      <c r="X1044" s="12">
        <v>6.15</v>
      </c>
      <c r="Y1044" s="62"/>
    </row>
    <row r="1045" spans="1:25" x14ac:dyDescent="0.2">
      <c r="A1045" s="3" t="s">
        <v>3333</v>
      </c>
      <c r="B1045" s="3" t="s">
        <v>1148</v>
      </c>
      <c r="C1045" s="6" t="s">
        <v>354</v>
      </c>
      <c r="D1045" s="6" t="s">
        <v>242</v>
      </c>
      <c r="E1045" s="6" t="s">
        <v>237</v>
      </c>
      <c r="F1045" s="6">
        <v>4048.54</v>
      </c>
      <c r="G1045" s="2">
        <v>12</v>
      </c>
      <c r="H1045" s="61">
        <v>0.54</v>
      </c>
      <c r="I1045" s="61">
        <v>2.14</v>
      </c>
      <c r="J1045" s="47">
        <f t="shared" si="80"/>
        <v>-0.95500000000000007</v>
      </c>
      <c r="K1045" s="47">
        <f t="shared" si="81"/>
        <v>2.9629629629629628</v>
      </c>
      <c r="L1045" s="8">
        <v>3.5</v>
      </c>
      <c r="M1045" s="8">
        <v>74.599999999999994</v>
      </c>
      <c r="N1045" s="8">
        <v>31.37</v>
      </c>
      <c r="O1045" s="17">
        <f t="shared" si="82"/>
        <v>-0.78115183246073294</v>
      </c>
      <c r="P1045" s="17">
        <f t="shared" si="83"/>
        <v>0.10587375</v>
      </c>
      <c r="Q1045" s="17">
        <v>19.170000000000002</v>
      </c>
      <c r="R1045" s="9">
        <v>20220804</v>
      </c>
      <c r="S1045" s="9">
        <v>1.85</v>
      </c>
      <c r="T1045" s="9">
        <v>-1.42</v>
      </c>
      <c r="U1045" s="9">
        <v>2808.73999</v>
      </c>
      <c r="V1045" s="45">
        <f t="shared" si="84"/>
        <v>-1.0005055647746164</v>
      </c>
      <c r="W1045" s="12">
        <v>0</v>
      </c>
      <c r="X1045" s="12">
        <v>0</v>
      </c>
      <c r="Y1045" s="62">
        <v>2.61</v>
      </c>
    </row>
    <row r="1046" spans="1:25" x14ac:dyDescent="0.2">
      <c r="A1046" s="3" t="s">
        <v>1988</v>
      </c>
      <c r="B1046" s="3" t="s">
        <v>1989</v>
      </c>
      <c r="C1046" s="6" t="s">
        <v>354</v>
      </c>
      <c r="D1046" s="6" t="s">
        <v>97</v>
      </c>
      <c r="E1046" s="6" t="s">
        <v>163</v>
      </c>
      <c r="F1046" s="6">
        <v>18574.82</v>
      </c>
      <c r="G1046" s="2">
        <v>12</v>
      </c>
      <c r="H1046" s="61">
        <v>2.5499999999999998</v>
      </c>
      <c r="I1046" s="61">
        <v>2.2400000000000002</v>
      </c>
      <c r="J1046" s="47">
        <f t="shared" si="80"/>
        <v>-0.78749999999999998</v>
      </c>
      <c r="K1046" s="47">
        <f t="shared" si="81"/>
        <v>-0.12156862745098025</v>
      </c>
      <c r="L1046" s="8">
        <v>2.48</v>
      </c>
      <c r="M1046" s="8">
        <v>8.1</v>
      </c>
      <c r="N1046" s="8">
        <v>8.9</v>
      </c>
      <c r="O1046" s="17">
        <f t="shared" si="82"/>
        <v>-0.10285714285714286</v>
      </c>
      <c r="P1046" s="17">
        <f t="shared" si="83"/>
        <v>-0.73209677419354935</v>
      </c>
      <c r="Q1046" s="17">
        <v>8.02</v>
      </c>
      <c r="R1046" s="9">
        <v>20220721</v>
      </c>
      <c r="S1046" s="9">
        <v>15.42</v>
      </c>
      <c r="T1046" s="9">
        <v>2.1800000000000002</v>
      </c>
      <c r="U1046" s="9">
        <v>7326.4321200000004</v>
      </c>
      <c r="V1046" s="45">
        <f t="shared" si="84"/>
        <v>-0.99970244725341151</v>
      </c>
      <c r="W1046" s="12">
        <v>-6.25</v>
      </c>
      <c r="X1046" s="12">
        <v>3.92</v>
      </c>
      <c r="Y1046" s="62">
        <v>0.49</v>
      </c>
    </row>
    <row r="1047" spans="1:25" x14ac:dyDescent="0.2">
      <c r="A1047" s="3" t="s">
        <v>3334</v>
      </c>
      <c r="B1047" s="3" t="s">
        <v>1149</v>
      </c>
      <c r="C1047" s="6" t="s">
        <v>354</v>
      </c>
      <c r="D1047" s="6" t="s">
        <v>1150</v>
      </c>
      <c r="E1047" s="6" t="s">
        <v>119</v>
      </c>
      <c r="F1047" s="6">
        <v>25705.79</v>
      </c>
      <c r="G1047" s="2">
        <v>10</v>
      </c>
      <c r="H1047" s="61">
        <v>6.08</v>
      </c>
      <c r="I1047" s="61">
        <v>7.07</v>
      </c>
      <c r="J1047" s="47">
        <f t="shared" si="80"/>
        <v>-0.39200000000000002</v>
      </c>
      <c r="K1047" s="47">
        <f t="shared" si="81"/>
        <v>0.16282894736842107</v>
      </c>
      <c r="L1047" s="8">
        <v>7.67</v>
      </c>
      <c r="M1047" s="8">
        <v>20.65</v>
      </c>
      <c r="N1047" s="8">
        <v>19.98</v>
      </c>
      <c r="O1047" s="17">
        <f t="shared" si="82"/>
        <v>-0.52678571428571419</v>
      </c>
      <c r="P1047" s="17">
        <f t="shared" si="83"/>
        <v>1.2270545454545454</v>
      </c>
      <c r="Q1047" s="17">
        <v>18.41</v>
      </c>
      <c r="R1047" s="9">
        <v>20220817</v>
      </c>
      <c r="S1047" s="9">
        <v>30.6</v>
      </c>
      <c r="T1047" s="9">
        <v>9.9</v>
      </c>
      <c r="U1047" s="9">
        <v>5328.0698199999997</v>
      </c>
      <c r="V1047" s="45">
        <f t="shared" si="84"/>
        <v>-0.99814191624088</v>
      </c>
      <c r="W1047" s="12">
        <v>9.58</v>
      </c>
      <c r="X1047" s="12">
        <v>0</v>
      </c>
      <c r="Y1047" s="62">
        <v>2.19</v>
      </c>
    </row>
    <row r="1048" spans="1:25" x14ac:dyDescent="0.2">
      <c r="A1048" s="3" t="s">
        <v>1873</v>
      </c>
      <c r="B1048" s="3" t="s">
        <v>1874</v>
      </c>
      <c r="C1048" s="6" t="s">
        <v>354</v>
      </c>
      <c r="D1048" s="6" t="s">
        <v>1010</v>
      </c>
      <c r="E1048" s="6" t="s">
        <v>108</v>
      </c>
      <c r="F1048" s="6">
        <v>3235.25</v>
      </c>
      <c r="G1048" s="2">
        <v>4</v>
      </c>
      <c r="H1048" s="61">
        <v>6.11</v>
      </c>
      <c r="I1048" s="61">
        <v>5.78</v>
      </c>
      <c r="J1048" s="47">
        <f t="shared" si="80"/>
        <v>0.52750000000000008</v>
      </c>
      <c r="K1048" s="47">
        <f t="shared" si="81"/>
        <v>-5.4009819967266781E-2</v>
      </c>
      <c r="L1048" s="8">
        <v>5.9</v>
      </c>
      <c r="M1048" s="8">
        <v>10.53</v>
      </c>
      <c r="N1048" s="8">
        <v>10.38</v>
      </c>
      <c r="O1048" s="17">
        <f t="shared" si="82"/>
        <v>0.19962085308056868</v>
      </c>
      <c r="P1048" s="17">
        <f t="shared" si="83"/>
        <v>-1.9218727272727274</v>
      </c>
      <c r="Q1048" s="17">
        <v>10.17</v>
      </c>
      <c r="R1048" s="9">
        <v>20220628</v>
      </c>
      <c r="S1048" s="9">
        <v>21.47</v>
      </c>
      <c r="T1048" s="9">
        <v>4.7699999999999996</v>
      </c>
      <c r="U1048" s="9">
        <v>2723.7199700000001</v>
      </c>
      <c r="V1048" s="45">
        <f t="shared" si="84"/>
        <v>-0.99824871864489062</v>
      </c>
      <c r="W1048" s="12">
        <v>7.43</v>
      </c>
      <c r="X1048" s="12">
        <v>0.8</v>
      </c>
      <c r="Y1048" s="62"/>
    </row>
    <row r="1049" spans="1:25" x14ac:dyDescent="0.2">
      <c r="A1049" s="3" t="s">
        <v>3335</v>
      </c>
      <c r="B1049" s="3" t="s">
        <v>1151</v>
      </c>
      <c r="C1049" s="6" t="s">
        <v>354</v>
      </c>
      <c r="D1049" s="6" t="s">
        <v>196</v>
      </c>
      <c r="E1049" s="6" t="s">
        <v>60</v>
      </c>
      <c r="F1049" s="6">
        <v>5963.33</v>
      </c>
      <c r="G1049" s="2">
        <v>12</v>
      </c>
      <c r="H1049" s="61">
        <v>0.41</v>
      </c>
      <c r="I1049" s="61">
        <v>0.51</v>
      </c>
      <c r="J1049" s="47">
        <f t="shared" si="80"/>
        <v>-0.96583333333333332</v>
      </c>
      <c r="K1049" s="47">
        <f t="shared" si="81"/>
        <v>0.24390243902439035</v>
      </c>
      <c r="L1049" s="8">
        <v>0.6</v>
      </c>
      <c r="M1049" s="8">
        <v>13.91</v>
      </c>
      <c r="N1049" s="8">
        <v>9</v>
      </c>
      <c r="O1049" s="17">
        <f t="shared" si="82"/>
        <v>-0.14402070750647111</v>
      </c>
      <c r="P1049" s="17">
        <f t="shared" si="83"/>
        <v>0.36899999999999983</v>
      </c>
      <c r="Q1049" s="17">
        <v>7.71</v>
      </c>
      <c r="R1049" s="9">
        <v>20220727</v>
      </c>
      <c r="S1049" s="9">
        <v>6.27</v>
      </c>
      <c r="T1049" s="9">
        <v>4.9800000000000004</v>
      </c>
      <c r="U1049" s="9">
        <v>3975.5</v>
      </c>
      <c r="V1049" s="45">
        <f t="shared" si="84"/>
        <v>-0.99874732738020378</v>
      </c>
      <c r="W1049" s="12">
        <v>-25</v>
      </c>
      <c r="X1049" s="12">
        <v>2.61</v>
      </c>
      <c r="Y1049" s="62"/>
    </row>
    <row r="1050" spans="1:25" x14ac:dyDescent="0.2">
      <c r="A1050" s="3" t="s">
        <v>3336</v>
      </c>
      <c r="B1050" s="3" t="s">
        <v>1875</v>
      </c>
      <c r="C1050" s="6" t="s">
        <v>356</v>
      </c>
      <c r="D1050" s="6" t="s">
        <v>177</v>
      </c>
      <c r="E1050" s="6" t="s">
        <v>119</v>
      </c>
      <c r="F1050" s="6">
        <v>6278.02</v>
      </c>
      <c r="G1050" s="2">
        <v>12</v>
      </c>
      <c r="H1050" s="61"/>
      <c r="I1050" s="61"/>
      <c r="J1050" s="47">
        <f t="shared" si="80"/>
        <v>-1</v>
      </c>
      <c r="K1050" s="47" t="e">
        <f t="shared" si="81"/>
        <v>#DIV/0!</v>
      </c>
      <c r="O1050" s="17">
        <f t="shared" si="82"/>
        <v>0</v>
      </c>
      <c r="P1050" s="17" t="e">
        <f t="shared" si="83"/>
        <v>#DIV/0!</v>
      </c>
      <c r="Q1050" s="17"/>
      <c r="V1050" s="45" t="e">
        <f t="shared" si="84"/>
        <v>#DIV/0!</v>
      </c>
      <c r="X1050" s="12">
        <v>0</v>
      </c>
      <c r="Y1050" s="62"/>
    </row>
    <row r="1051" spans="1:25" x14ac:dyDescent="0.2">
      <c r="A1051" s="3" t="s">
        <v>3337</v>
      </c>
      <c r="B1051" s="3" t="s">
        <v>1152</v>
      </c>
      <c r="C1051" s="6" t="s">
        <v>356</v>
      </c>
      <c r="D1051" s="6" t="s">
        <v>221</v>
      </c>
      <c r="E1051" s="6" t="s">
        <v>231</v>
      </c>
      <c r="F1051" s="6">
        <v>6776.12</v>
      </c>
      <c r="G1051" s="2">
        <v>1</v>
      </c>
      <c r="H1051" s="61">
        <v>0.97</v>
      </c>
      <c r="I1051" s="61">
        <v>0.74</v>
      </c>
      <c r="J1051" s="47">
        <f t="shared" si="80"/>
        <v>-3.0000000000000027E-2</v>
      </c>
      <c r="K1051" s="47">
        <f t="shared" si="81"/>
        <v>-0.23711340206185566</v>
      </c>
      <c r="L1051" s="8">
        <v>0.8</v>
      </c>
      <c r="N1051" s="8">
        <v>9.1199999999999992</v>
      </c>
      <c r="O1051" s="17">
        <f t="shared" si="82"/>
        <v>0</v>
      </c>
      <c r="P1051" s="17">
        <f t="shared" si="83"/>
        <v>-0.38462608695652173</v>
      </c>
      <c r="Q1051" s="17">
        <v>8.44</v>
      </c>
      <c r="U1051" s="9">
        <v>16063.559569999999</v>
      </c>
      <c r="V1051" s="45">
        <f t="shared" si="84"/>
        <v>-1</v>
      </c>
      <c r="X1051" s="12">
        <v>6.13</v>
      </c>
      <c r="Y1051" s="62"/>
    </row>
    <row r="1052" spans="1:25" x14ac:dyDescent="0.2">
      <c r="A1052" s="3" t="s">
        <v>3338</v>
      </c>
      <c r="B1052" s="3" t="s">
        <v>1153</v>
      </c>
      <c r="C1052" s="6" t="s">
        <v>355</v>
      </c>
      <c r="D1052" s="6" t="s">
        <v>155</v>
      </c>
      <c r="E1052" s="6" t="s">
        <v>154</v>
      </c>
      <c r="F1052" s="6">
        <v>45371.9</v>
      </c>
      <c r="G1052" s="2">
        <v>12</v>
      </c>
      <c r="H1052" s="61">
        <v>2.78</v>
      </c>
      <c r="I1052" s="61">
        <v>2.69</v>
      </c>
      <c r="J1052" s="47">
        <f t="shared" si="80"/>
        <v>-0.76833333333333342</v>
      </c>
      <c r="K1052" s="47">
        <f t="shared" si="81"/>
        <v>-3.2374100719424412E-2</v>
      </c>
      <c r="L1052" s="8">
        <v>2.79</v>
      </c>
      <c r="M1052" s="8">
        <v>13.15</v>
      </c>
      <c r="N1052" s="8">
        <v>13.77</v>
      </c>
      <c r="O1052" s="17">
        <f t="shared" si="82"/>
        <v>-0.17114967462039044</v>
      </c>
      <c r="P1052" s="17">
        <f t="shared" si="83"/>
        <v>-4.2534000000000063</v>
      </c>
      <c r="Q1052" s="17">
        <v>13.29</v>
      </c>
      <c r="R1052" s="9">
        <v>20220803</v>
      </c>
      <c r="S1052" s="9">
        <v>6.95</v>
      </c>
      <c r="T1052" s="9">
        <v>-0.16</v>
      </c>
      <c r="U1052" s="9">
        <v>25473.01757</v>
      </c>
      <c r="V1052" s="45">
        <f t="shared" si="84"/>
        <v>-1.0000062811561119</v>
      </c>
      <c r="W1052" s="12">
        <v>15.38</v>
      </c>
      <c r="X1052" s="12">
        <v>4.32</v>
      </c>
      <c r="Y1052" s="62">
        <v>2.75</v>
      </c>
    </row>
    <row r="1053" spans="1:25" x14ac:dyDescent="0.2">
      <c r="A1053" s="3" t="s">
        <v>3339</v>
      </c>
      <c r="B1053" s="3" t="s">
        <v>3340</v>
      </c>
      <c r="C1053" s="6" t="s">
        <v>356</v>
      </c>
      <c r="D1053" s="6" t="s">
        <v>240</v>
      </c>
      <c r="E1053" s="6" t="s">
        <v>237</v>
      </c>
      <c r="F1053" s="6">
        <v>32446.54</v>
      </c>
      <c r="G1053" s="2">
        <v>12</v>
      </c>
      <c r="H1053" s="61"/>
      <c r="I1053" s="61">
        <v>3.97</v>
      </c>
      <c r="J1053" s="47">
        <f t="shared" si="80"/>
        <v>-1</v>
      </c>
      <c r="K1053" s="47" t="e">
        <f t="shared" si="81"/>
        <v>#DIV/0!</v>
      </c>
      <c r="L1053" s="8">
        <v>2.68</v>
      </c>
      <c r="M1053" s="8">
        <v>12.5</v>
      </c>
      <c r="N1053" s="8">
        <v>13.54</v>
      </c>
      <c r="O1053" s="17">
        <f t="shared" si="82"/>
        <v>-0.125</v>
      </c>
      <c r="P1053" s="17" t="e">
        <f t="shared" si="83"/>
        <v>#DIV/0!</v>
      </c>
      <c r="Q1053" s="17">
        <v>20.05</v>
      </c>
      <c r="R1053" s="9">
        <v>20220725</v>
      </c>
      <c r="S1053" s="9">
        <v>75.2</v>
      </c>
      <c r="T1053" s="9">
        <v>11.83</v>
      </c>
      <c r="V1053" s="45" t="e">
        <f t="shared" si="84"/>
        <v>#DIV/0!</v>
      </c>
      <c r="X1053" s="12">
        <v>2.34</v>
      </c>
      <c r="Y1053" s="62"/>
    </row>
    <row r="1054" spans="1:25" x14ac:dyDescent="0.2">
      <c r="A1054" s="3" t="s">
        <v>3341</v>
      </c>
      <c r="B1054" s="3" t="s">
        <v>1154</v>
      </c>
      <c r="C1054" s="6" t="s">
        <v>356</v>
      </c>
      <c r="D1054" s="6" t="s">
        <v>162</v>
      </c>
      <c r="E1054" s="6" t="s">
        <v>201</v>
      </c>
      <c r="F1054" s="6">
        <v>6215.67</v>
      </c>
      <c r="G1054" s="2">
        <v>12</v>
      </c>
      <c r="H1054" s="61">
        <v>1.21</v>
      </c>
      <c r="I1054" s="61">
        <v>0.99</v>
      </c>
      <c r="J1054" s="47">
        <f t="shared" si="80"/>
        <v>-0.89916666666666656</v>
      </c>
      <c r="K1054" s="47">
        <f t="shared" si="81"/>
        <v>-0.1818181818181818</v>
      </c>
      <c r="L1054" s="8">
        <v>1.22</v>
      </c>
      <c r="M1054" s="8">
        <v>9.4</v>
      </c>
      <c r="N1054" s="8">
        <v>11.96</v>
      </c>
      <c r="O1054" s="17">
        <f t="shared" si="82"/>
        <v>-0.1045412418906395</v>
      </c>
      <c r="P1054" s="17">
        <f t="shared" si="83"/>
        <v>-0.65780000000000016</v>
      </c>
      <c r="Q1054" s="17">
        <v>9.7100000000000009</v>
      </c>
      <c r="R1054" s="9">
        <v>20220601</v>
      </c>
      <c r="S1054" s="9">
        <v>11.37</v>
      </c>
      <c r="T1054" s="9">
        <v>9.36</v>
      </c>
      <c r="U1054" s="9">
        <v>12159.20996</v>
      </c>
      <c r="V1054" s="45">
        <f t="shared" si="84"/>
        <v>-0.99923021314453886</v>
      </c>
      <c r="X1054" s="12">
        <v>2.09</v>
      </c>
      <c r="Y1054" s="62"/>
    </row>
    <row r="1055" spans="1:25" x14ac:dyDescent="0.2">
      <c r="A1055" s="3" t="s">
        <v>3342</v>
      </c>
      <c r="B1055" s="3" t="s">
        <v>1155</v>
      </c>
      <c r="C1055" s="6" t="s">
        <v>354</v>
      </c>
      <c r="D1055" s="6" t="s">
        <v>217</v>
      </c>
      <c r="E1055" s="6" t="s">
        <v>163</v>
      </c>
      <c r="F1055" s="6">
        <v>14294.5</v>
      </c>
      <c r="G1055" s="2">
        <v>12</v>
      </c>
      <c r="H1055" s="61">
        <v>1.36</v>
      </c>
      <c r="I1055" s="61">
        <v>1.53</v>
      </c>
      <c r="J1055" s="47">
        <f t="shared" si="80"/>
        <v>-0.88666666666666671</v>
      </c>
      <c r="K1055" s="47">
        <f t="shared" si="81"/>
        <v>0.12499999999999994</v>
      </c>
      <c r="L1055" s="8">
        <v>1.63</v>
      </c>
      <c r="M1055" s="8">
        <v>16.059999999999999</v>
      </c>
      <c r="N1055" s="8">
        <v>15.13</v>
      </c>
      <c r="O1055" s="17">
        <f t="shared" si="82"/>
        <v>-0.18112781954887217</v>
      </c>
      <c r="P1055" s="17">
        <f t="shared" si="83"/>
        <v>1.2104000000000006</v>
      </c>
      <c r="Q1055" s="17">
        <v>14.19</v>
      </c>
      <c r="R1055" s="9">
        <v>20220804</v>
      </c>
      <c r="S1055" s="9">
        <v>10.34</v>
      </c>
      <c r="T1055" s="9">
        <v>0.84</v>
      </c>
      <c r="U1055" s="9">
        <v>1701.17797</v>
      </c>
      <c r="V1055" s="45">
        <f t="shared" si="84"/>
        <v>-0.99950622450160231</v>
      </c>
      <c r="W1055" s="12">
        <v>5.41</v>
      </c>
      <c r="X1055" s="12">
        <v>3.29</v>
      </c>
      <c r="Y1055" s="62">
        <v>2.2200000000000002</v>
      </c>
    </row>
    <row r="1056" spans="1:25" x14ac:dyDescent="0.2">
      <c r="A1056" s="3" t="s">
        <v>3343</v>
      </c>
      <c r="B1056" s="3" t="s">
        <v>2194</v>
      </c>
      <c r="C1056" s="6" t="s">
        <v>356</v>
      </c>
      <c r="D1056" s="6" t="s">
        <v>946</v>
      </c>
      <c r="E1056" s="6" t="s">
        <v>60</v>
      </c>
      <c r="F1056" s="6">
        <v>10604.49</v>
      </c>
      <c r="G1056" s="2">
        <v>12</v>
      </c>
      <c r="H1056" s="61"/>
      <c r="I1056" s="61"/>
      <c r="J1056" s="47">
        <f t="shared" si="80"/>
        <v>-1</v>
      </c>
      <c r="K1056" s="47" t="e">
        <f t="shared" si="81"/>
        <v>#DIV/0!</v>
      </c>
      <c r="O1056" s="17">
        <f t="shared" si="82"/>
        <v>0</v>
      </c>
      <c r="P1056" s="17" t="e">
        <f t="shared" si="83"/>
        <v>#DIV/0!</v>
      </c>
      <c r="Q1056" s="17"/>
      <c r="V1056" s="45" t="e">
        <f t="shared" si="84"/>
        <v>#DIV/0!</v>
      </c>
      <c r="X1056" s="12">
        <v>9.59</v>
      </c>
      <c r="Y1056" s="62"/>
    </row>
    <row r="1057" spans="1:25" x14ac:dyDescent="0.2">
      <c r="A1057" s="3" t="s">
        <v>3344</v>
      </c>
      <c r="B1057" s="3" t="s">
        <v>1990</v>
      </c>
      <c r="C1057" s="6" t="s">
        <v>356</v>
      </c>
      <c r="D1057" s="6" t="s">
        <v>590</v>
      </c>
      <c r="E1057" s="6" t="s">
        <v>589</v>
      </c>
      <c r="F1057" s="6">
        <v>15204</v>
      </c>
      <c r="G1057" s="2">
        <v>12</v>
      </c>
      <c r="H1057" s="61">
        <v>0.34</v>
      </c>
      <c r="I1057" s="61">
        <v>0.16</v>
      </c>
      <c r="J1057" s="47">
        <f t="shared" si="80"/>
        <v>-0.97166666666666668</v>
      </c>
      <c r="K1057" s="47">
        <f t="shared" si="81"/>
        <v>-0.52941176470588236</v>
      </c>
      <c r="L1057" s="8">
        <v>0.19</v>
      </c>
      <c r="N1057" s="8">
        <v>22.63</v>
      </c>
      <c r="O1057" s="17">
        <f t="shared" si="82"/>
        <v>0</v>
      </c>
      <c r="P1057" s="17">
        <f t="shared" si="83"/>
        <v>-0.42745555555555553</v>
      </c>
      <c r="Q1057" s="17">
        <v>19.57</v>
      </c>
      <c r="U1057" s="9">
        <v>5684.7900300000001</v>
      </c>
      <c r="V1057" s="45">
        <f t="shared" si="84"/>
        <v>-1</v>
      </c>
      <c r="X1057" s="12">
        <v>0</v>
      </c>
      <c r="Y1057" s="62"/>
    </row>
    <row r="1058" spans="1:25" x14ac:dyDescent="0.2">
      <c r="A1058" s="3" t="s">
        <v>3344</v>
      </c>
      <c r="B1058" s="3" t="s">
        <v>2195</v>
      </c>
      <c r="C1058" s="6" t="s">
        <v>356</v>
      </c>
      <c r="D1058" s="6" t="s">
        <v>139</v>
      </c>
      <c r="E1058" s="6" t="s">
        <v>250</v>
      </c>
      <c r="F1058" s="6">
        <v>15424.44</v>
      </c>
      <c r="G1058" s="2">
        <v>12</v>
      </c>
      <c r="H1058" s="61"/>
      <c r="I1058" s="61"/>
      <c r="J1058" s="47">
        <f t="shared" si="80"/>
        <v>-1</v>
      </c>
      <c r="K1058" s="47" t="e">
        <f t="shared" si="81"/>
        <v>#DIV/0!</v>
      </c>
      <c r="O1058" s="17">
        <f t="shared" si="82"/>
        <v>0</v>
      </c>
      <c r="P1058" s="17" t="e">
        <f t="shared" si="83"/>
        <v>#DIV/0!</v>
      </c>
      <c r="Q1058" s="17"/>
      <c r="V1058" s="45" t="e">
        <f t="shared" si="84"/>
        <v>#DIV/0!</v>
      </c>
      <c r="X1058" s="12">
        <v>4.34</v>
      </c>
      <c r="Y1058" s="62"/>
    </row>
    <row r="1059" spans="1:25" x14ac:dyDescent="0.2">
      <c r="A1059" s="3" t="s">
        <v>3345</v>
      </c>
      <c r="B1059" s="3" t="s">
        <v>1156</v>
      </c>
      <c r="C1059" s="6" t="s">
        <v>354</v>
      </c>
      <c r="D1059" s="6" t="s">
        <v>150</v>
      </c>
      <c r="E1059" s="6" t="s">
        <v>163</v>
      </c>
      <c r="F1059" s="6">
        <v>32261.54</v>
      </c>
      <c r="G1059" s="2">
        <v>12</v>
      </c>
      <c r="H1059" s="61">
        <v>4.07</v>
      </c>
      <c r="I1059" s="61">
        <v>4.2300000000000004</v>
      </c>
      <c r="J1059" s="47">
        <f t="shared" si="80"/>
        <v>-0.66083333333333327</v>
      </c>
      <c r="K1059" s="47">
        <f t="shared" si="81"/>
        <v>3.9312039312039346E-2</v>
      </c>
      <c r="L1059" s="8">
        <v>4.67</v>
      </c>
      <c r="M1059" s="8">
        <v>11.36</v>
      </c>
      <c r="N1059" s="8">
        <v>12.86</v>
      </c>
      <c r="O1059" s="17">
        <f t="shared" si="82"/>
        <v>-0.17190416141235815</v>
      </c>
      <c r="P1059" s="17">
        <f t="shared" si="83"/>
        <v>3.2712624999999971</v>
      </c>
      <c r="Q1059" s="17">
        <v>11.66</v>
      </c>
      <c r="R1059" s="9">
        <v>20220802</v>
      </c>
      <c r="S1059" s="9">
        <v>7.82</v>
      </c>
      <c r="T1059" s="9">
        <v>43.09</v>
      </c>
      <c r="U1059" s="9">
        <v>3777.58007</v>
      </c>
      <c r="V1059" s="45">
        <f t="shared" si="84"/>
        <v>-0.98859322656263371</v>
      </c>
      <c r="W1059" s="12">
        <v>12.24</v>
      </c>
      <c r="X1059" s="12">
        <v>1.1399999999999999</v>
      </c>
      <c r="Y1059" s="62">
        <v>2.89</v>
      </c>
    </row>
    <row r="1060" spans="1:25" x14ac:dyDescent="0.2">
      <c r="A1060" s="3" t="s">
        <v>3346</v>
      </c>
      <c r="B1060" s="3" t="s">
        <v>1157</v>
      </c>
      <c r="C1060" s="6" t="s">
        <v>355</v>
      </c>
      <c r="D1060" s="6" t="s">
        <v>522</v>
      </c>
      <c r="E1060" s="6" t="s">
        <v>119</v>
      </c>
      <c r="F1060" s="6">
        <v>52721.760000000002</v>
      </c>
      <c r="G1060" s="2">
        <v>6</v>
      </c>
      <c r="H1060" s="61">
        <v>14.07</v>
      </c>
      <c r="I1060" s="61">
        <v>20.91</v>
      </c>
      <c r="J1060" s="47">
        <f t="shared" si="80"/>
        <v>1.345</v>
      </c>
      <c r="K1060" s="47">
        <f t="shared" si="81"/>
        <v>0.48614072494669508</v>
      </c>
      <c r="L1060" s="8">
        <v>24.63</v>
      </c>
      <c r="M1060" s="8">
        <v>17.850000000000001</v>
      </c>
      <c r="N1060" s="8">
        <v>16.89</v>
      </c>
      <c r="O1060" s="17">
        <f t="shared" si="82"/>
        <v>0.13271375464684015</v>
      </c>
      <c r="P1060" s="17">
        <f t="shared" si="83"/>
        <v>0.34743026315789477</v>
      </c>
      <c r="Q1060" s="17">
        <v>14.34</v>
      </c>
      <c r="R1060" s="9">
        <v>20220804</v>
      </c>
      <c r="S1060" s="9">
        <v>78.72</v>
      </c>
      <c r="T1060" s="9">
        <v>20.22</v>
      </c>
      <c r="U1060" s="9">
        <v>9152.4140599999992</v>
      </c>
      <c r="V1060" s="45">
        <f t="shared" si="84"/>
        <v>-0.99779074680543911</v>
      </c>
      <c r="W1060" s="12">
        <v>6.87</v>
      </c>
      <c r="X1060" s="12">
        <v>1.19</v>
      </c>
      <c r="Y1060" s="62">
        <v>0.87</v>
      </c>
    </row>
    <row r="1061" spans="1:25" x14ac:dyDescent="0.2">
      <c r="A1061" s="3" t="s">
        <v>3347</v>
      </c>
      <c r="B1061" s="3" t="s">
        <v>1991</v>
      </c>
      <c r="C1061" s="6" t="s">
        <v>355</v>
      </c>
      <c r="D1061" s="6" t="s">
        <v>527</v>
      </c>
      <c r="E1061" s="6" t="s">
        <v>119</v>
      </c>
      <c r="F1061" s="6">
        <v>3056.44</v>
      </c>
      <c r="G1061" s="2">
        <v>9</v>
      </c>
      <c r="H1061" s="61">
        <v>6.14</v>
      </c>
      <c r="I1061" s="61">
        <v>7.22</v>
      </c>
      <c r="J1061" s="47">
        <f t="shared" si="80"/>
        <v>-0.31777777777777783</v>
      </c>
      <c r="K1061" s="47">
        <f t="shared" si="81"/>
        <v>0.17589576547231273</v>
      </c>
      <c r="L1061" s="8">
        <v>6.62</v>
      </c>
      <c r="M1061" s="8">
        <v>6.32</v>
      </c>
      <c r="N1061" s="8">
        <v>7.16</v>
      </c>
      <c r="O1061" s="17">
        <f t="shared" si="82"/>
        <v>-0.19888111888111887</v>
      </c>
      <c r="P1061" s="17">
        <f t="shared" si="83"/>
        <v>0.40705925925925923</v>
      </c>
      <c r="Q1061" s="17">
        <v>7.81</v>
      </c>
      <c r="R1061" s="9">
        <v>20220803</v>
      </c>
      <c r="S1061" s="9">
        <v>46.89</v>
      </c>
      <c r="T1061" s="9">
        <v>11.68</v>
      </c>
      <c r="U1061" s="9">
        <v>1579.8000400000001</v>
      </c>
      <c r="V1061" s="45">
        <f t="shared" si="84"/>
        <v>-0.99260665925796532</v>
      </c>
      <c r="W1061" s="12">
        <v>32.65</v>
      </c>
      <c r="X1061" s="12">
        <v>1.32</v>
      </c>
      <c r="Y1061" s="62"/>
    </row>
    <row r="1062" spans="1:25" x14ac:dyDescent="0.2">
      <c r="A1062" s="3" t="s">
        <v>3348</v>
      </c>
      <c r="B1062" s="3" t="s">
        <v>1992</v>
      </c>
      <c r="C1062" s="6" t="s">
        <v>356</v>
      </c>
      <c r="D1062" s="6" t="s">
        <v>213</v>
      </c>
      <c r="E1062" s="6" t="s">
        <v>163</v>
      </c>
      <c r="F1062" s="6">
        <v>6759.71</v>
      </c>
      <c r="G1062" s="2">
        <v>12</v>
      </c>
      <c r="H1062" s="61">
        <v>2.2999999999999998</v>
      </c>
      <c r="I1062" s="61">
        <v>2.64</v>
      </c>
      <c r="J1062" s="47">
        <f t="shared" si="80"/>
        <v>-0.80833333333333324</v>
      </c>
      <c r="K1062" s="47">
        <f t="shared" si="81"/>
        <v>0.14782608695652188</v>
      </c>
      <c r="L1062" s="8">
        <v>2.85</v>
      </c>
      <c r="N1062" s="8">
        <v>8.9600000000000009</v>
      </c>
      <c r="O1062" s="17">
        <f t="shared" si="82"/>
        <v>0</v>
      </c>
      <c r="P1062" s="17">
        <f t="shared" si="83"/>
        <v>0.60611764705882298</v>
      </c>
      <c r="Q1062" s="17">
        <v>8.33</v>
      </c>
      <c r="U1062" s="9">
        <v>1065.65002</v>
      </c>
      <c r="V1062" s="45">
        <f t="shared" si="84"/>
        <v>-1</v>
      </c>
      <c r="X1062" s="12">
        <v>0</v>
      </c>
      <c r="Y1062" s="62"/>
    </row>
    <row r="1063" spans="1:25" x14ac:dyDescent="0.2">
      <c r="A1063" s="3" t="s">
        <v>3349</v>
      </c>
      <c r="B1063" s="3" t="s">
        <v>2196</v>
      </c>
      <c r="C1063" s="6" t="s">
        <v>356</v>
      </c>
      <c r="D1063" s="6" t="s">
        <v>1977</v>
      </c>
      <c r="E1063" s="6" t="s">
        <v>218</v>
      </c>
      <c r="F1063" s="6">
        <v>7221.44</v>
      </c>
      <c r="G1063" s="2">
        <v>12</v>
      </c>
      <c r="H1063" s="61">
        <v>4.3</v>
      </c>
      <c r="I1063" s="61">
        <v>1.01</v>
      </c>
      <c r="J1063" s="47">
        <f t="shared" si="80"/>
        <v>-0.64166666666666672</v>
      </c>
      <c r="K1063" s="47">
        <f t="shared" si="81"/>
        <v>-0.76511627906976754</v>
      </c>
      <c r="L1063" s="8">
        <v>1.1200000000000001</v>
      </c>
      <c r="N1063" s="8">
        <v>8.26</v>
      </c>
      <c r="O1063" s="17">
        <f t="shared" si="82"/>
        <v>0</v>
      </c>
      <c r="P1063" s="17">
        <f t="shared" si="83"/>
        <v>-0.10795744680851062</v>
      </c>
      <c r="Q1063" s="17">
        <v>7.45</v>
      </c>
      <c r="U1063" s="9">
        <v>23610.869139999999</v>
      </c>
      <c r="V1063" s="45">
        <f t="shared" si="84"/>
        <v>-1</v>
      </c>
      <c r="X1063" s="12">
        <v>3.46</v>
      </c>
      <c r="Y1063" s="62"/>
    </row>
    <row r="1064" spans="1:25" x14ac:dyDescent="0.2">
      <c r="A1064" s="3" t="s">
        <v>3350</v>
      </c>
      <c r="B1064" s="3" t="s">
        <v>1158</v>
      </c>
      <c r="C1064" s="6" t="s">
        <v>354</v>
      </c>
      <c r="D1064" s="6" t="s">
        <v>136</v>
      </c>
      <c r="E1064" s="6" t="s">
        <v>154</v>
      </c>
      <c r="F1064" s="6">
        <v>44612.31</v>
      </c>
      <c r="G1064" s="2">
        <v>12</v>
      </c>
      <c r="H1064" s="61">
        <v>6.15</v>
      </c>
      <c r="I1064" s="61">
        <v>5.82</v>
      </c>
      <c r="J1064" s="47">
        <f t="shared" si="80"/>
        <v>-0.48749999999999999</v>
      </c>
      <c r="K1064" s="47">
        <f t="shared" si="81"/>
        <v>-5.365853658536586E-2</v>
      </c>
      <c r="L1064" s="8">
        <v>6.81</v>
      </c>
      <c r="M1064" s="8">
        <v>23.07</v>
      </c>
      <c r="N1064" s="8">
        <v>22.75</v>
      </c>
      <c r="O1064" s="17">
        <f t="shared" si="82"/>
        <v>-0.47323076923076923</v>
      </c>
      <c r="P1064" s="17">
        <f t="shared" si="83"/>
        <v>-4.2397727272727268</v>
      </c>
      <c r="Q1064" s="17">
        <v>19.440000000000001</v>
      </c>
      <c r="R1064" s="9">
        <v>20220726</v>
      </c>
      <c r="S1064" s="9">
        <v>253.93</v>
      </c>
      <c r="T1064" s="9">
        <v>1.43</v>
      </c>
      <c r="U1064" s="9">
        <v>20150.945309999999</v>
      </c>
      <c r="V1064" s="45">
        <f t="shared" si="84"/>
        <v>-0.99992903558726398</v>
      </c>
      <c r="W1064" s="12">
        <v>9.76</v>
      </c>
      <c r="X1064" s="12">
        <v>3.5</v>
      </c>
      <c r="Y1064" s="62">
        <v>4.55</v>
      </c>
    </row>
    <row r="1065" spans="1:25" x14ac:dyDescent="0.2">
      <c r="A1065" s="3" t="s">
        <v>3351</v>
      </c>
      <c r="B1065" s="3" t="s">
        <v>1993</v>
      </c>
      <c r="C1065" s="6" t="s">
        <v>354</v>
      </c>
      <c r="D1065" s="6" t="s">
        <v>206</v>
      </c>
      <c r="E1065" s="6" t="s">
        <v>218</v>
      </c>
      <c r="F1065" s="6">
        <v>44487.82</v>
      </c>
      <c r="G1065" s="2">
        <v>12</v>
      </c>
      <c r="H1065" s="61">
        <v>1.31</v>
      </c>
      <c r="I1065" s="61">
        <v>1.1299999999999999</v>
      </c>
      <c r="J1065" s="47">
        <f t="shared" si="80"/>
        <v>-0.89083333333333325</v>
      </c>
      <c r="K1065" s="47">
        <f t="shared" si="81"/>
        <v>-0.13740458015267187</v>
      </c>
      <c r="L1065" s="8">
        <v>1.1299999999999999</v>
      </c>
      <c r="M1065" s="8">
        <v>18.86</v>
      </c>
      <c r="N1065" s="8">
        <v>17.440000000000001</v>
      </c>
      <c r="O1065" s="17">
        <f t="shared" si="82"/>
        <v>-0.21171188026192703</v>
      </c>
      <c r="P1065" s="17">
        <f t="shared" si="83"/>
        <v>-1.2692444444444435</v>
      </c>
      <c r="Q1065" s="17">
        <v>17.29</v>
      </c>
      <c r="R1065" s="9">
        <v>20220720</v>
      </c>
      <c r="S1065" s="9">
        <v>7.51</v>
      </c>
      <c r="T1065" s="9">
        <v>1.5</v>
      </c>
      <c r="U1065" s="9">
        <v>17165.134760000001</v>
      </c>
      <c r="V1065" s="45">
        <f t="shared" si="84"/>
        <v>-0.99991261356109506</v>
      </c>
      <c r="W1065" s="12">
        <v>18.52</v>
      </c>
      <c r="X1065" s="12">
        <v>5.66</v>
      </c>
      <c r="Y1065" s="62">
        <v>5.81</v>
      </c>
    </row>
    <row r="1066" spans="1:25" x14ac:dyDescent="0.2">
      <c r="A1066" s="3" t="s">
        <v>3352</v>
      </c>
      <c r="B1066" s="3" t="s">
        <v>1159</v>
      </c>
      <c r="C1066" s="6" t="s">
        <v>354</v>
      </c>
      <c r="D1066" s="6" t="s">
        <v>172</v>
      </c>
      <c r="E1066" s="6" t="s">
        <v>163</v>
      </c>
      <c r="F1066" s="6">
        <v>3293.39</v>
      </c>
      <c r="G1066" s="2">
        <v>12</v>
      </c>
      <c r="H1066" s="61">
        <v>-1.82</v>
      </c>
      <c r="I1066" s="61">
        <v>-1.44</v>
      </c>
      <c r="J1066" s="47">
        <f t="shared" si="80"/>
        <v>-1.1516666666666666</v>
      </c>
      <c r="K1066" s="47">
        <f t="shared" si="81"/>
        <v>0.20879120879120885</v>
      </c>
      <c r="L1066" s="8">
        <v>3.4</v>
      </c>
      <c r="O1066" s="17">
        <f t="shared" si="82"/>
        <v>0</v>
      </c>
      <c r="P1066" s="17">
        <f t="shared" si="83"/>
        <v>0</v>
      </c>
      <c r="Q1066" s="17">
        <v>15.18</v>
      </c>
      <c r="R1066" s="9">
        <v>20220804</v>
      </c>
      <c r="S1066" s="9">
        <v>-9.23</v>
      </c>
      <c r="T1066" s="9">
        <v>20.84</v>
      </c>
      <c r="U1066" s="9">
        <v>5857.9667900000004</v>
      </c>
      <c r="V1066" s="45">
        <f t="shared" si="84"/>
        <v>-0.99644245166504264</v>
      </c>
      <c r="W1066" s="12">
        <v>-42.42</v>
      </c>
      <c r="X1066" s="12">
        <v>2.4</v>
      </c>
      <c r="Y1066" s="62"/>
    </row>
    <row r="1067" spans="1:25" x14ac:dyDescent="0.2">
      <c r="A1067" s="3" t="s">
        <v>3353</v>
      </c>
      <c r="B1067" s="3" t="s">
        <v>1160</v>
      </c>
      <c r="C1067" s="6" t="s">
        <v>356</v>
      </c>
      <c r="D1067" s="6" t="s">
        <v>606</v>
      </c>
      <c r="E1067" s="6" t="s">
        <v>201</v>
      </c>
      <c r="F1067" s="6">
        <v>24328.639999999999</v>
      </c>
      <c r="G1067" s="2">
        <v>3</v>
      </c>
      <c r="H1067" s="61">
        <v>1.92</v>
      </c>
      <c r="I1067" s="61">
        <v>2.35</v>
      </c>
      <c r="J1067" s="47">
        <f t="shared" si="80"/>
        <v>-0.36000000000000004</v>
      </c>
      <c r="K1067" s="47">
        <f t="shared" si="81"/>
        <v>0.22395833333333343</v>
      </c>
      <c r="L1067" s="8">
        <v>2.64</v>
      </c>
      <c r="M1067" s="8">
        <v>11.85</v>
      </c>
      <c r="N1067" s="8">
        <v>10.62</v>
      </c>
      <c r="O1067" s="17">
        <f t="shared" si="82"/>
        <v>-0.32916666666666661</v>
      </c>
      <c r="P1067" s="17">
        <f t="shared" si="83"/>
        <v>0.47419534883720904</v>
      </c>
      <c r="Q1067" s="17">
        <v>9.4700000000000006</v>
      </c>
      <c r="R1067" s="9">
        <v>20220729</v>
      </c>
      <c r="S1067" s="9">
        <v>10.24</v>
      </c>
      <c r="T1067" s="9">
        <v>1.81</v>
      </c>
      <c r="U1067" s="9">
        <v>27655.994139999999</v>
      </c>
      <c r="V1067" s="45">
        <f t="shared" si="84"/>
        <v>-0.99993455306683832</v>
      </c>
      <c r="W1067" s="12">
        <v>50</v>
      </c>
      <c r="X1067" s="12">
        <v>2.2400000000000002</v>
      </c>
      <c r="Y1067" s="62">
        <v>0.32</v>
      </c>
    </row>
    <row r="1068" spans="1:25" x14ac:dyDescent="0.2">
      <c r="A1068" s="3" t="s">
        <v>3354</v>
      </c>
      <c r="B1068" s="3" t="s">
        <v>1161</v>
      </c>
      <c r="C1068" s="6" t="s">
        <v>354</v>
      </c>
      <c r="D1068" s="6" t="s">
        <v>67</v>
      </c>
      <c r="E1068" s="6" t="s">
        <v>231</v>
      </c>
      <c r="F1068" s="6">
        <v>15918.93</v>
      </c>
      <c r="G1068" s="2">
        <v>2</v>
      </c>
      <c r="H1068" s="61">
        <v>7.3</v>
      </c>
      <c r="I1068" s="61">
        <v>6.22</v>
      </c>
      <c r="J1068" s="47">
        <f t="shared" si="80"/>
        <v>2.65</v>
      </c>
      <c r="K1068" s="47">
        <f t="shared" si="81"/>
        <v>-0.14794520547945206</v>
      </c>
      <c r="L1068" s="8">
        <v>6.48</v>
      </c>
      <c r="M1068" s="8">
        <v>14.45</v>
      </c>
      <c r="N1068" s="8">
        <v>15.94</v>
      </c>
      <c r="O1068" s="17">
        <f t="shared" si="82"/>
        <v>5.4528301886792453E-2</v>
      </c>
      <c r="P1068" s="17">
        <f t="shared" si="83"/>
        <v>-1.0774259259259258</v>
      </c>
      <c r="Q1068" s="17">
        <v>15.3</v>
      </c>
      <c r="R1068" s="9">
        <v>20220624</v>
      </c>
      <c r="S1068" s="9">
        <v>22.74</v>
      </c>
      <c r="T1068" s="9">
        <v>10.99</v>
      </c>
      <c r="U1068" s="9">
        <v>33453.738279999998</v>
      </c>
      <c r="V1068" s="45">
        <f t="shared" si="84"/>
        <v>-0.99967148663901129</v>
      </c>
      <c r="W1068" s="12">
        <v>-23.44</v>
      </c>
      <c r="X1068" s="12">
        <v>0</v>
      </c>
      <c r="Y1068" s="62">
        <v>1.02</v>
      </c>
    </row>
    <row r="1069" spans="1:25" x14ac:dyDescent="0.2">
      <c r="A1069" s="3" t="s">
        <v>3355</v>
      </c>
      <c r="B1069" s="3" t="s">
        <v>1162</v>
      </c>
      <c r="C1069" s="6" t="s">
        <v>356</v>
      </c>
      <c r="D1069" s="6" t="s">
        <v>116</v>
      </c>
      <c r="E1069" s="6" t="s">
        <v>154</v>
      </c>
      <c r="F1069" s="6">
        <v>13103.1</v>
      </c>
      <c r="G1069" s="2">
        <v>12</v>
      </c>
      <c r="H1069" s="61">
        <v>0.71</v>
      </c>
      <c r="I1069" s="61">
        <v>1.42</v>
      </c>
      <c r="J1069" s="47">
        <f t="shared" si="80"/>
        <v>-0.9408333333333333</v>
      </c>
      <c r="K1069" s="47">
        <f t="shared" si="81"/>
        <v>1</v>
      </c>
      <c r="L1069" s="8">
        <v>1.39</v>
      </c>
      <c r="M1069" s="8">
        <v>24.56</v>
      </c>
      <c r="N1069" s="8">
        <v>11.07</v>
      </c>
      <c r="O1069" s="17">
        <f t="shared" si="82"/>
        <v>-0.26104517271922056</v>
      </c>
      <c r="P1069" s="17">
        <f t="shared" si="83"/>
        <v>0.11070000000000001</v>
      </c>
      <c r="Q1069" s="17">
        <v>11.31</v>
      </c>
      <c r="R1069" s="9">
        <v>20220809</v>
      </c>
      <c r="S1069" s="9">
        <v>5.19</v>
      </c>
      <c r="T1069" s="9">
        <v>-3.35</v>
      </c>
      <c r="V1069" s="45" t="e">
        <f t="shared" si="84"/>
        <v>#DIV/0!</v>
      </c>
      <c r="W1069" s="12">
        <v>-14.29</v>
      </c>
      <c r="X1069" s="12">
        <v>2.56</v>
      </c>
      <c r="Y1069" s="62">
        <v>0.39</v>
      </c>
    </row>
    <row r="1070" spans="1:25" x14ac:dyDescent="0.2">
      <c r="A1070" s="3" t="s">
        <v>3356</v>
      </c>
      <c r="B1070" s="3" t="s">
        <v>1163</v>
      </c>
      <c r="C1070" s="6" t="s">
        <v>354</v>
      </c>
      <c r="D1070" s="6" t="s">
        <v>173</v>
      </c>
      <c r="E1070" s="6" t="s">
        <v>163</v>
      </c>
      <c r="F1070" s="6">
        <v>4910.79</v>
      </c>
      <c r="G1070" s="2">
        <v>12</v>
      </c>
      <c r="H1070" s="61">
        <v>5.37</v>
      </c>
      <c r="I1070" s="61">
        <v>6.79</v>
      </c>
      <c r="J1070" s="47">
        <f t="shared" si="80"/>
        <v>-0.55249999999999999</v>
      </c>
      <c r="K1070" s="47">
        <f t="shared" si="81"/>
        <v>0.26443202979515829</v>
      </c>
      <c r="L1070" s="8">
        <v>7.97</v>
      </c>
      <c r="M1070" s="8">
        <v>34.24</v>
      </c>
      <c r="N1070" s="8">
        <v>31.56</v>
      </c>
      <c r="O1070" s="17">
        <f t="shared" si="82"/>
        <v>-0.61972850678733038</v>
      </c>
      <c r="P1070" s="17">
        <f t="shared" si="83"/>
        <v>1.1935014084507043</v>
      </c>
      <c r="Q1070" s="17">
        <v>26.89</v>
      </c>
      <c r="R1070" s="9">
        <v>20220804</v>
      </c>
      <c r="S1070" s="9">
        <v>21.79</v>
      </c>
      <c r="T1070" s="9">
        <v>36.840000000000003</v>
      </c>
      <c r="U1070" s="9">
        <v>798.26598999999999</v>
      </c>
      <c r="V1070" s="45">
        <f t="shared" si="84"/>
        <v>-0.95384996923143373</v>
      </c>
      <c r="W1070" s="12">
        <v>5.16</v>
      </c>
      <c r="X1070" s="12">
        <v>0.24</v>
      </c>
      <c r="Y1070" s="62"/>
    </row>
    <row r="1071" spans="1:25" x14ac:dyDescent="0.2">
      <c r="A1071" s="3" t="s">
        <v>3357</v>
      </c>
      <c r="B1071" s="3" t="s">
        <v>3358</v>
      </c>
      <c r="C1071" s="6" t="s">
        <v>355</v>
      </c>
      <c r="D1071" s="6" t="s">
        <v>529</v>
      </c>
      <c r="E1071" s="6" t="s">
        <v>218</v>
      </c>
      <c r="F1071" s="6">
        <v>5564.7</v>
      </c>
      <c r="G1071" s="2">
        <v>12</v>
      </c>
      <c r="H1071" s="61">
        <v>5.53</v>
      </c>
      <c r="I1071" s="61">
        <v>5.78</v>
      </c>
      <c r="J1071" s="47">
        <f t="shared" si="80"/>
        <v>-0.53916666666666668</v>
      </c>
      <c r="K1071" s="47">
        <f t="shared" si="81"/>
        <v>4.5207956600361664E-2</v>
      </c>
      <c r="L1071" s="8">
        <v>6.38</v>
      </c>
      <c r="M1071" s="8">
        <v>158.49</v>
      </c>
      <c r="N1071" s="8">
        <v>14.53</v>
      </c>
      <c r="O1071" s="17">
        <f t="shared" si="82"/>
        <v>-2.9395363214837711</v>
      </c>
      <c r="P1071" s="17">
        <f t="shared" si="83"/>
        <v>3.2140359999999997</v>
      </c>
      <c r="Q1071" s="17">
        <v>13.17</v>
      </c>
      <c r="R1071" s="9">
        <v>20220804</v>
      </c>
      <c r="S1071" s="9">
        <v>-9.77</v>
      </c>
      <c r="T1071" s="9">
        <v>24.13</v>
      </c>
      <c r="V1071" s="45" t="e">
        <f t="shared" si="84"/>
        <v>#DIV/0!</v>
      </c>
      <c r="W1071" s="12">
        <v>-71.2</v>
      </c>
      <c r="X1071" s="12">
        <v>7.14</v>
      </c>
      <c r="Y1071" s="62"/>
    </row>
    <row r="1072" spans="1:25" x14ac:dyDescent="0.2">
      <c r="A1072" s="3" t="s">
        <v>3359</v>
      </c>
      <c r="B1072" s="3" t="s">
        <v>1164</v>
      </c>
      <c r="C1072" s="6" t="s">
        <v>354</v>
      </c>
      <c r="D1072" s="6" t="s">
        <v>1120</v>
      </c>
      <c r="E1072" s="6" t="s">
        <v>237</v>
      </c>
      <c r="F1072" s="6">
        <v>8003.4</v>
      </c>
      <c r="G1072" s="2">
        <v>12</v>
      </c>
      <c r="H1072" s="61">
        <v>4.54</v>
      </c>
      <c r="I1072" s="61">
        <v>5.33</v>
      </c>
      <c r="J1072" s="47">
        <f t="shared" si="80"/>
        <v>-0.6216666666666667</v>
      </c>
      <c r="K1072" s="47">
        <f t="shared" si="81"/>
        <v>0.17400881057268724</v>
      </c>
      <c r="L1072" s="8">
        <v>4.79</v>
      </c>
      <c r="M1072" s="8">
        <v>9.34</v>
      </c>
      <c r="N1072" s="8">
        <v>9.18</v>
      </c>
      <c r="O1072" s="17">
        <f t="shared" si="82"/>
        <v>-0.15024128686327076</v>
      </c>
      <c r="P1072" s="17">
        <f t="shared" si="83"/>
        <v>0.52755949367088606</v>
      </c>
      <c r="Q1072" s="17">
        <v>10.220000000000001</v>
      </c>
      <c r="R1072" s="9">
        <v>20220720</v>
      </c>
      <c r="S1072" s="9">
        <v>13.69</v>
      </c>
      <c r="T1072" s="9">
        <v>7.43</v>
      </c>
      <c r="U1072" s="9">
        <v>7252.2641599999997</v>
      </c>
      <c r="V1072" s="45">
        <f t="shared" si="84"/>
        <v>-0.99897549236540772</v>
      </c>
      <c r="W1072" s="12">
        <v>7.14</v>
      </c>
      <c r="X1072" s="12">
        <v>0.98</v>
      </c>
      <c r="Y1072" s="62">
        <v>0.61</v>
      </c>
    </row>
    <row r="1073" spans="1:25" x14ac:dyDescent="0.2">
      <c r="A1073" s="3" t="s">
        <v>3360</v>
      </c>
      <c r="B1073" s="3" t="s">
        <v>1165</v>
      </c>
      <c r="C1073" s="6" t="s">
        <v>354</v>
      </c>
      <c r="D1073" s="6" t="s">
        <v>615</v>
      </c>
      <c r="E1073" s="6" t="s">
        <v>154</v>
      </c>
      <c r="F1073" s="6">
        <v>278742.38</v>
      </c>
      <c r="G1073" s="2">
        <v>12</v>
      </c>
      <c r="H1073" s="61">
        <v>2.2799999999999998</v>
      </c>
      <c r="I1073" s="61">
        <v>2.46</v>
      </c>
      <c r="J1073" s="47">
        <f t="shared" si="80"/>
        <v>-0.81</v>
      </c>
      <c r="K1073" s="47">
        <f t="shared" si="81"/>
        <v>7.894736842105271E-2</v>
      </c>
      <c r="L1073" s="8">
        <v>2.63</v>
      </c>
      <c r="M1073" s="8">
        <v>26.57</v>
      </c>
      <c r="N1073" s="8">
        <v>26.08</v>
      </c>
      <c r="O1073" s="17">
        <f t="shared" si="82"/>
        <v>-0.3280246913580247</v>
      </c>
      <c r="P1073" s="17">
        <f t="shared" si="83"/>
        <v>3.3034666666666634</v>
      </c>
      <c r="Q1073" s="17">
        <v>24.46</v>
      </c>
      <c r="R1073" s="9">
        <v>20220720</v>
      </c>
      <c r="S1073" s="9">
        <v>41.84</v>
      </c>
      <c r="T1073" s="9">
        <v>1.35</v>
      </c>
      <c r="U1073" s="9">
        <v>42111.097650000003</v>
      </c>
      <c r="V1073" s="45">
        <f t="shared" si="84"/>
        <v>-0.99996794194225902</v>
      </c>
      <c r="W1073" s="12">
        <v>10.34</v>
      </c>
      <c r="X1073" s="12">
        <v>2.74</v>
      </c>
      <c r="Y1073" s="62">
        <v>3.73</v>
      </c>
    </row>
    <row r="1074" spans="1:25" x14ac:dyDescent="0.2">
      <c r="A1074" s="3" t="s">
        <v>3361</v>
      </c>
      <c r="B1074" s="3" t="s">
        <v>3362</v>
      </c>
      <c r="C1074" s="6" t="s">
        <v>354</v>
      </c>
      <c r="D1074" s="6" t="s">
        <v>615</v>
      </c>
      <c r="E1074" s="6" t="s">
        <v>154</v>
      </c>
      <c r="F1074" s="6">
        <v>97377.78</v>
      </c>
      <c r="G1074" s="2">
        <v>12</v>
      </c>
      <c r="H1074" s="61">
        <v>3.26</v>
      </c>
      <c r="I1074" s="61">
        <v>3.07</v>
      </c>
      <c r="J1074" s="47">
        <f t="shared" si="80"/>
        <v>-0.72833333333333339</v>
      </c>
      <c r="K1074" s="47">
        <f t="shared" si="81"/>
        <v>-5.8282208588957045E-2</v>
      </c>
      <c r="L1074" s="8">
        <v>3.56</v>
      </c>
      <c r="M1074" s="8">
        <v>16.05</v>
      </c>
      <c r="N1074" s="8">
        <v>18.87</v>
      </c>
      <c r="O1074" s="17">
        <f t="shared" si="82"/>
        <v>-0.22036613272311212</v>
      </c>
      <c r="P1074" s="17">
        <f t="shared" si="83"/>
        <v>-3.2376947368421058</v>
      </c>
      <c r="Q1074" s="17">
        <v>16.27</v>
      </c>
      <c r="R1074" s="9">
        <v>20220725</v>
      </c>
      <c r="S1074" s="9">
        <v>12.44</v>
      </c>
      <c r="T1074" s="9">
        <v>-3.68</v>
      </c>
      <c r="U1074" s="9">
        <v>9880.2099600000001</v>
      </c>
      <c r="V1074" s="45">
        <f t="shared" si="84"/>
        <v>-1.000372461720439</v>
      </c>
      <c r="W1074" s="12">
        <v>9.84</v>
      </c>
      <c r="X1074" s="12">
        <v>4.57</v>
      </c>
      <c r="Y1074" s="62">
        <v>2.87</v>
      </c>
    </row>
    <row r="1075" spans="1:25" x14ac:dyDescent="0.2">
      <c r="A1075" s="3" t="s">
        <v>3363</v>
      </c>
      <c r="B1075" s="3" t="s">
        <v>3364</v>
      </c>
      <c r="C1075" s="6" t="s">
        <v>354</v>
      </c>
      <c r="D1075" s="6" t="s">
        <v>1977</v>
      </c>
      <c r="E1075" s="6" t="s">
        <v>218</v>
      </c>
      <c r="F1075" s="6">
        <v>3500.99</v>
      </c>
      <c r="G1075" s="2">
        <v>12</v>
      </c>
      <c r="H1075" s="61">
        <v>-0.2</v>
      </c>
      <c r="I1075" s="61">
        <v>0.9</v>
      </c>
      <c r="J1075" s="47">
        <f t="shared" si="80"/>
        <v>-1.0166666666666666</v>
      </c>
      <c r="K1075" s="47">
        <f t="shared" si="81"/>
        <v>5.5</v>
      </c>
      <c r="L1075" s="8">
        <v>1.35</v>
      </c>
      <c r="M1075" s="8">
        <v>26.52</v>
      </c>
      <c r="N1075" s="8">
        <v>8.5399999999999991</v>
      </c>
      <c r="O1075" s="17">
        <f t="shared" si="82"/>
        <v>-0.26085245901639348</v>
      </c>
      <c r="P1075" s="17">
        <f t="shared" si="83"/>
        <v>1.5527272727272726E-2</v>
      </c>
      <c r="Q1075" s="17">
        <v>5.72</v>
      </c>
      <c r="R1075" s="9">
        <v>20220808</v>
      </c>
      <c r="S1075" s="9">
        <v>36.26</v>
      </c>
      <c r="T1075" s="9">
        <v>18.38</v>
      </c>
      <c r="U1075" s="9">
        <v>2126</v>
      </c>
      <c r="V1075" s="45">
        <f t="shared" si="84"/>
        <v>-0.99135465663217304</v>
      </c>
      <c r="W1075" s="12">
        <v>20</v>
      </c>
      <c r="X1075" s="12">
        <v>0</v>
      </c>
      <c r="Y1075" s="62"/>
    </row>
    <row r="1076" spans="1:25" x14ac:dyDescent="0.2">
      <c r="A1076" s="3" t="s">
        <v>3365</v>
      </c>
      <c r="B1076" s="3" t="s">
        <v>2197</v>
      </c>
      <c r="C1076" s="6" t="s">
        <v>356</v>
      </c>
      <c r="D1076" s="6" t="s">
        <v>242</v>
      </c>
      <c r="E1076" s="6" t="s">
        <v>237</v>
      </c>
      <c r="F1076" s="6">
        <v>8804.08</v>
      </c>
      <c r="G1076" s="2">
        <v>12</v>
      </c>
      <c r="H1076" s="61"/>
      <c r="I1076" s="61"/>
      <c r="J1076" s="47">
        <f t="shared" si="80"/>
        <v>-1</v>
      </c>
      <c r="K1076" s="47" t="e">
        <f t="shared" si="81"/>
        <v>#DIV/0!</v>
      </c>
      <c r="O1076" s="17">
        <f t="shared" si="82"/>
        <v>0</v>
      </c>
      <c r="P1076" s="17" t="e">
        <f t="shared" si="83"/>
        <v>#DIV/0!</v>
      </c>
      <c r="Q1076" s="17"/>
      <c r="V1076" s="45" t="e">
        <f t="shared" si="84"/>
        <v>#DIV/0!</v>
      </c>
      <c r="X1076" s="12">
        <v>6.12</v>
      </c>
      <c r="Y1076" s="62"/>
    </row>
    <row r="1077" spans="1:25" x14ac:dyDescent="0.2">
      <c r="A1077" s="3" t="s">
        <v>1166</v>
      </c>
      <c r="B1077" s="3" t="s">
        <v>1167</v>
      </c>
      <c r="C1077" s="6" t="s">
        <v>354</v>
      </c>
      <c r="D1077" s="6" t="s">
        <v>224</v>
      </c>
      <c r="E1077" s="6" t="s">
        <v>231</v>
      </c>
      <c r="F1077" s="6">
        <v>37589.71</v>
      </c>
      <c r="G1077" s="2">
        <v>1</v>
      </c>
      <c r="H1077" s="61">
        <v>3.5</v>
      </c>
      <c r="I1077" s="61">
        <v>3.83</v>
      </c>
      <c r="J1077" s="47">
        <f t="shared" si="80"/>
        <v>2.5</v>
      </c>
      <c r="K1077" s="47">
        <f t="shared" si="81"/>
        <v>9.4285714285714306E-2</v>
      </c>
      <c r="L1077" s="8">
        <v>3.98</v>
      </c>
      <c r="M1077" s="8">
        <v>14.17</v>
      </c>
      <c r="N1077" s="8">
        <v>13.61</v>
      </c>
      <c r="O1077" s="17">
        <f t="shared" si="82"/>
        <v>5.6680000000000001E-2</v>
      </c>
      <c r="P1077" s="17">
        <f t="shared" si="83"/>
        <v>1.4434848484848481</v>
      </c>
      <c r="Q1077" s="17">
        <v>13.09</v>
      </c>
      <c r="R1077" s="9">
        <v>20220616</v>
      </c>
      <c r="S1077" s="9">
        <v>29.97</v>
      </c>
      <c r="T1077" s="9">
        <v>3.01</v>
      </c>
      <c r="U1077" s="9">
        <v>142226.20311999999</v>
      </c>
      <c r="V1077" s="45">
        <f t="shared" si="84"/>
        <v>-0.99997883652988007</v>
      </c>
      <c r="W1077" s="12">
        <v>24.66</v>
      </c>
      <c r="X1077" s="12">
        <v>1.61</v>
      </c>
      <c r="Y1077" s="62">
        <v>1.38</v>
      </c>
    </row>
    <row r="1078" spans="1:25" x14ac:dyDescent="0.2">
      <c r="A1078" s="3" t="s">
        <v>3366</v>
      </c>
      <c r="B1078" s="3" t="s">
        <v>1168</v>
      </c>
      <c r="C1078" s="6" t="s">
        <v>354</v>
      </c>
      <c r="D1078" s="6" t="s">
        <v>215</v>
      </c>
      <c r="E1078" s="6" t="s">
        <v>163</v>
      </c>
      <c r="F1078" s="6">
        <v>7078.83</v>
      </c>
      <c r="G1078" s="2">
        <v>12</v>
      </c>
      <c r="H1078" s="61">
        <v>3.78</v>
      </c>
      <c r="I1078" s="61">
        <v>4.47</v>
      </c>
      <c r="J1078" s="47">
        <f t="shared" si="80"/>
        <v>-0.68500000000000005</v>
      </c>
      <c r="K1078" s="47">
        <f t="shared" si="81"/>
        <v>0.18253968253968253</v>
      </c>
      <c r="L1078" s="8">
        <v>4.82</v>
      </c>
      <c r="M1078" s="8">
        <v>14.9</v>
      </c>
      <c r="N1078" s="8">
        <v>13.55</v>
      </c>
      <c r="O1078" s="17">
        <f t="shared" si="82"/>
        <v>-0.21751824817518248</v>
      </c>
      <c r="P1078" s="17">
        <f t="shared" si="83"/>
        <v>0.74230434782608701</v>
      </c>
      <c r="Q1078" s="17">
        <v>12.6</v>
      </c>
      <c r="R1078" s="9">
        <v>20220727</v>
      </c>
      <c r="S1078" s="9">
        <v>3.23</v>
      </c>
      <c r="T1078" s="9">
        <v>7.81</v>
      </c>
      <c r="U1078" s="9">
        <v>1035.0469900000001</v>
      </c>
      <c r="V1078" s="45">
        <f t="shared" si="84"/>
        <v>-0.9924544488555056</v>
      </c>
      <c r="W1078" s="12">
        <v>6.42</v>
      </c>
      <c r="X1078" s="12">
        <v>3.43</v>
      </c>
      <c r="Y1078" s="62">
        <v>1.84</v>
      </c>
    </row>
    <row r="1079" spans="1:25" x14ac:dyDescent="0.2">
      <c r="A1079" s="3" t="s">
        <v>3367</v>
      </c>
      <c r="B1079" s="3" t="s">
        <v>3368</v>
      </c>
      <c r="C1079" s="6" t="s">
        <v>354</v>
      </c>
      <c r="D1079" s="6" t="s">
        <v>217</v>
      </c>
      <c r="E1079" s="6" t="s">
        <v>163</v>
      </c>
      <c r="F1079" s="6">
        <v>4554.07</v>
      </c>
      <c r="G1079" s="2">
        <v>12</v>
      </c>
      <c r="H1079" s="61">
        <v>1.38</v>
      </c>
      <c r="I1079" s="61">
        <v>1.77</v>
      </c>
      <c r="J1079" s="47">
        <f t="shared" si="80"/>
        <v>-0.88500000000000012</v>
      </c>
      <c r="K1079" s="47">
        <f t="shared" si="81"/>
        <v>0.282608695652174</v>
      </c>
      <c r="L1079" s="8">
        <v>1.84</v>
      </c>
      <c r="M1079" s="8">
        <v>13.33</v>
      </c>
      <c r="N1079" s="8">
        <v>11.74</v>
      </c>
      <c r="O1079" s="17">
        <f t="shared" si="82"/>
        <v>-0.15062146892655365</v>
      </c>
      <c r="P1079" s="17">
        <f t="shared" si="83"/>
        <v>0.41541538461538446</v>
      </c>
      <c r="Q1079" s="17">
        <v>11.31</v>
      </c>
      <c r="R1079" s="9">
        <v>20220801</v>
      </c>
      <c r="S1079" s="9">
        <v>-4.7699999999999996</v>
      </c>
      <c r="T1079" s="9">
        <v>-2.85</v>
      </c>
      <c r="U1079" s="9">
        <v>742.49597000000006</v>
      </c>
      <c r="V1079" s="45">
        <f t="shared" si="84"/>
        <v>-1.0038384046717452</v>
      </c>
      <c r="W1079" s="12">
        <v>9.52</v>
      </c>
      <c r="X1079" s="12">
        <v>3.85</v>
      </c>
      <c r="Y1079" s="62">
        <v>1.29</v>
      </c>
    </row>
    <row r="1080" spans="1:25" x14ac:dyDescent="0.2">
      <c r="A1080" s="3" t="s">
        <v>3369</v>
      </c>
      <c r="B1080" s="3" t="s">
        <v>1876</v>
      </c>
      <c r="C1080" s="6" t="s">
        <v>355</v>
      </c>
      <c r="D1080" s="6" t="s">
        <v>185</v>
      </c>
      <c r="E1080" s="6" t="s">
        <v>208</v>
      </c>
      <c r="F1080" s="6">
        <v>3186.4</v>
      </c>
      <c r="G1080" s="2">
        <v>12</v>
      </c>
      <c r="H1080" s="61">
        <v>-5.57</v>
      </c>
      <c r="I1080" s="61">
        <v>-7.58</v>
      </c>
      <c r="J1080" s="47">
        <f t="shared" si="80"/>
        <v>-1.4641666666666666</v>
      </c>
      <c r="K1080" s="47">
        <f t="shared" si="81"/>
        <v>-0.36086175942549364</v>
      </c>
      <c r="L1080" s="8">
        <v>-7.78</v>
      </c>
      <c r="O1080" s="17">
        <f t="shared" si="82"/>
        <v>0</v>
      </c>
      <c r="P1080" s="17">
        <f t="shared" si="83"/>
        <v>0</v>
      </c>
      <c r="Q1080" s="17"/>
      <c r="R1080" s="9">
        <v>20220804</v>
      </c>
      <c r="S1080" s="9">
        <v>-33.729999999999997</v>
      </c>
      <c r="V1080" s="45" t="e">
        <f t="shared" si="84"/>
        <v>#DIV/0!</v>
      </c>
      <c r="W1080" s="12">
        <v>5.34</v>
      </c>
      <c r="X1080" s="12">
        <v>0</v>
      </c>
      <c r="Y1080" s="62"/>
    </row>
    <row r="1081" spans="1:25" x14ac:dyDescent="0.2">
      <c r="A1081" s="3" t="s">
        <v>3370</v>
      </c>
      <c r="B1081" s="3" t="s">
        <v>1169</v>
      </c>
      <c r="C1081" s="6" t="s">
        <v>356</v>
      </c>
      <c r="D1081" s="6" t="s">
        <v>155</v>
      </c>
      <c r="E1081" s="6" t="s">
        <v>154</v>
      </c>
      <c r="F1081" s="6">
        <v>18494.189999999999</v>
      </c>
      <c r="G1081" s="2">
        <v>12</v>
      </c>
      <c r="H1081" s="61"/>
      <c r="I1081" s="61">
        <v>4.5599999999999996</v>
      </c>
      <c r="J1081" s="47">
        <f t="shared" si="80"/>
        <v>-1</v>
      </c>
      <c r="K1081" s="47" t="e">
        <f t="shared" si="81"/>
        <v>#DIV/0!</v>
      </c>
      <c r="L1081" s="8">
        <v>5.15</v>
      </c>
      <c r="N1081" s="8">
        <v>22.92</v>
      </c>
      <c r="O1081" s="17">
        <f t="shared" si="82"/>
        <v>0</v>
      </c>
      <c r="P1081" s="17" t="e">
        <f t="shared" si="83"/>
        <v>#DIV/0!</v>
      </c>
      <c r="Q1081" s="17">
        <v>20.3</v>
      </c>
      <c r="V1081" s="45" t="e">
        <f t="shared" si="84"/>
        <v>#DIV/0!</v>
      </c>
      <c r="X1081" s="12">
        <v>1.3</v>
      </c>
      <c r="Y1081" s="62">
        <v>1.79</v>
      </c>
    </row>
    <row r="1082" spans="1:25" x14ac:dyDescent="0.2">
      <c r="A1082" s="3" t="s">
        <v>3371</v>
      </c>
      <c r="B1082" s="3" t="s">
        <v>1170</v>
      </c>
      <c r="C1082" s="6" t="s">
        <v>354</v>
      </c>
      <c r="D1082" s="6" t="s">
        <v>1171</v>
      </c>
      <c r="E1082" s="6" t="s">
        <v>231</v>
      </c>
      <c r="F1082" s="6">
        <v>5553.84</v>
      </c>
      <c r="G1082" s="2">
        <v>1</v>
      </c>
      <c r="H1082" s="61">
        <v>7.26</v>
      </c>
      <c r="I1082" s="61">
        <v>6.58</v>
      </c>
      <c r="J1082" s="47">
        <f t="shared" si="80"/>
        <v>6.26</v>
      </c>
      <c r="K1082" s="47">
        <f t="shared" si="81"/>
        <v>-9.3663911845729989E-2</v>
      </c>
      <c r="L1082" s="8">
        <v>6.82</v>
      </c>
      <c r="M1082" s="8">
        <v>6.71</v>
      </c>
      <c r="N1082" s="8">
        <v>6.57</v>
      </c>
      <c r="O1082" s="17">
        <f t="shared" si="82"/>
        <v>1.0718849840255592E-2</v>
      </c>
      <c r="P1082" s="17">
        <f t="shared" si="83"/>
        <v>-0.70144411764705916</v>
      </c>
      <c r="Q1082" s="17">
        <v>6.33</v>
      </c>
      <c r="R1082" s="9">
        <v>20220818</v>
      </c>
      <c r="S1082" s="9">
        <v>19.47</v>
      </c>
      <c r="T1082" s="9">
        <v>-1.52</v>
      </c>
      <c r="U1082" s="9">
        <v>19403.060539999999</v>
      </c>
      <c r="V1082" s="45">
        <f t="shared" si="84"/>
        <v>-1.0000783381568525</v>
      </c>
      <c r="W1082" s="12">
        <v>-85.33</v>
      </c>
      <c r="X1082" s="12">
        <v>4.63</v>
      </c>
      <c r="Y1082" s="62">
        <v>0.82</v>
      </c>
    </row>
    <row r="1083" spans="1:25" x14ac:dyDescent="0.2">
      <c r="A1083" s="3" t="s">
        <v>3372</v>
      </c>
      <c r="B1083" s="3" t="s">
        <v>1172</v>
      </c>
      <c r="C1083" s="6" t="s">
        <v>356</v>
      </c>
      <c r="D1083" s="6" t="s">
        <v>182</v>
      </c>
      <c r="E1083" s="6" t="s">
        <v>201</v>
      </c>
      <c r="F1083" s="6">
        <v>22137.07</v>
      </c>
      <c r="G1083" s="2">
        <v>12</v>
      </c>
      <c r="H1083" s="61">
        <v>6.83</v>
      </c>
      <c r="I1083" s="61">
        <v>6.49</v>
      </c>
      <c r="J1083" s="47">
        <f t="shared" si="80"/>
        <v>-0.43083333333333335</v>
      </c>
      <c r="K1083" s="47">
        <f t="shared" si="81"/>
        <v>-4.9780380673499249E-2</v>
      </c>
      <c r="L1083" s="8">
        <v>6.78</v>
      </c>
      <c r="M1083" s="8">
        <v>14.32</v>
      </c>
      <c r="N1083" s="8">
        <v>14.11</v>
      </c>
      <c r="O1083" s="17">
        <f t="shared" si="82"/>
        <v>-0.33237911025145067</v>
      </c>
      <c r="P1083" s="17">
        <f t="shared" si="83"/>
        <v>-2.8344500000000012</v>
      </c>
      <c r="Q1083" s="17">
        <v>13.52</v>
      </c>
      <c r="R1083" s="9">
        <v>20220802</v>
      </c>
      <c r="S1083" s="9">
        <v>9.73</v>
      </c>
      <c r="T1083" s="9">
        <v>5.9</v>
      </c>
      <c r="U1083" s="9">
        <v>21358.33007</v>
      </c>
      <c r="V1083" s="45">
        <f t="shared" si="84"/>
        <v>-0.99972376117511697</v>
      </c>
      <c r="W1083" s="12">
        <v>-25.87</v>
      </c>
      <c r="X1083" s="12">
        <v>1.56</v>
      </c>
      <c r="Y1083" s="62">
        <v>6.11</v>
      </c>
    </row>
    <row r="1084" spans="1:25" x14ac:dyDescent="0.2">
      <c r="A1084" s="3" t="s">
        <v>3373</v>
      </c>
      <c r="B1084" s="3" t="s">
        <v>1173</v>
      </c>
      <c r="C1084" s="6" t="s">
        <v>356</v>
      </c>
      <c r="D1084" s="6" t="s">
        <v>183</v>
      </c>
      <c r="E1084" s="6" t="s">
        <v>201</v>
      </c>
      <c r="F1084" s="6">
        <v>3333.25</v>
      </c>
      <c r="G1084" s="2">
        <v>3</v>
      </c>
      <c r="H1084" s="61">
        <v>0.41</v>
      </c>
      <c r="I1084" s="61">
        <v>0.93</v>
      </c>
      <c r="J1084" s="47">
        <f t="shared" si="80"/>
        <v>-0.86333333333333329</v>
      </c>
      <c r="K1084" s="47">
        <f t="shared" si="81"/>
        <v>1.2682926829268293</v>
      </c>
      <c r="L1084" s="8">
        <v>1.37</v>
      </c>
      <c r="M1084" s="8">
        <v>18.05</v>
      </c>
      <c r="N1084" s="8">
        <v>8.5399999999999991</v>
      </c>
      <c r="O1084" s="17">
        <f t="shared" si="82"/>
        <v>-0.20907335907335908</v>
      </c>
      <c r="P1084" s="17">
        <f t="shared" si="83"/>
        <v>6.7334615384615382E-2</v>
      </c>
      <c r="Q1084" s="17">
        <v>5.8</v>
      </c>
      <c r="R1084" s="9">
        <v>20220804</v>
      </c>
      <c r="S1084" s="9">
        <v>4.45</v>
      </c>
      <c r="T1084" s="9">
        <v>4.0199999999999996</v>
      </c>
      <c r="U1084" s="9">
        <v>14445.45507</v>
      </c>
      <c r="V1084" s="45">
        <f t="shared" si="84"/>
        <v>-0.99972171177851299</v>
      </c>
      <c r="W1084" s="12">
        <v>40.909999999999997</v>
      </c>
      <c r="X1084" s="12">
        <v>1.3</v>
      </c>
      <c r="Y1084" s="62"/>
    </row>
    <row r="1085" spans="1:25" x14ac:dyDescent="0.2">
      <c r="A1085" s="3" t="s">
        <v>3374</v>
      </c>
      <c r="B1085" s="3" t="s">
        <v>1994</v>
      </c>
      <c r="C1085" s="6" t="s">
        <v>356</v>
      </c>
      <c r="D1085" s="6" t="s">
        <v>183</v>
      </c>
      <c r="E1085" s="6" t="s">
        <v>201</v>
      </c>
      <c r="F1085" s="6">
        <v>94136.88</v>
      </c>
      <c r="G1085" s="2">
        <v>3</v>
      </c>
      <c r="H1085" s="61"/>
      <c r="I1085" s="61"/>
      <c r="J1085" s="47">
        <f t="shared" si="80"/>
        <v>-1</v>
      </c>
      <c r="K1085" s="47" t="e">
        <f t="shared" si="81"/>
        <v>#DIV/0!</v>
      </c>
      <c r="O1085" s="17">
        <f t="shared" si="82"/>
        <v>0</v>
      </c>
      <c r="P1085" s="17" t="e">
        <f t="shared" si="83"/>
        <v>#DIV/0!</v>
      </c>
      <c r="Q1085" s="17"/>
      <c r="R1085" s="9">
        <v>20220610</v>
      </c>
      <c r="U1085" s="9">
        <v>7418.1801699999996</v>
      </c>
      <c r="V1085" s="45">
        <f t="shared" si="84"/>
        <v>-1</v>
      </c>
      <c r="X1085" s="12">
        <v>0</v>
      </c>
      <c r="Y1085" s="62"/>
    </row>
    <row r="1086" spans="1:25" x14ac:dyDescent="0.2">
      <c r="A1086" s="3" t="s">
        <v>3375</v>
      </c>
      <c r="B1086" s="3" t="s">
        <v>2198</v>
      </c>
      <c r="C1086" s="6" t="s">
        <v>354</v>
      </c>
      <c r="D1086" s="6" t="s">
        <v>172</v>
      </c>
      <c r="E1086" s="6" t="s">
        <v>163</v>
      </c>
      <c r="F1086" s="6">
        <v>15942.88</v>
      </c>
      <c r="G1086" s="2">
        <v>12</v>
      </c>
      <c r="H1086" s="61"/>
      <c r="I1086" s="61"/>
      <c r="J1086" s="47">
        <f t="shared" si="80"/>
        <v>-1</v>
      </c>
      <c r="K1086" s="47" t="e">
        <f t="shared" si="81"/>
        <v>#DIV/0!</v>
      </c>
      <c r="M1086" s="8">
        <v>13.52</v>
      </c>
      <c r="O1086" s="17">
        <f t="shared" si="82"/>
        <v>-0.13519999999999999</v>
      </c>
      <c r="P1086" s="17" t="e">
        <f t="shared" si="83"/>
        <v>#DIV/0!</v>
      </c>
      <c r="Q1086" s="17"/>
      <c r="R1086" s="9">
        <v>20220801</v>
      </c>
      <c r="S1086" s="9">
        <v>6.47</v>
      </c>
      <c r="T1086" s="9">
        <v>0.45</v>
      </c>
      <c r="V1086" s="45" t="e">
        <f t="shared" si="84"/>
        <v>#DIV/0!</v>
      </c>
      <c r="X1086" s="12">
        <v>0.39</v>
      </c>
      <c r="Y1086" s="62"/>
    </row>
    <row r="1087" spans="1:25" x14ac:dyDescent="0.2">
      <c r="A1087" s="3" t="s">
        <v>3376</v>
      </c>
      <c r="B1087" s="3" t="s">
        <v>3377</v>
      </c>
      <c r="C1087" s="6" t="s">
        <v>354</v>
      </c>
      <c r="D1087" s="6" t="s">
        <v>126</v>
      </c>
      <c r="E1087" s="6" t="s">
        <v>60</v>
      </c>
      <c r="F1087" s="6">
        <v>3634.92</v>
      </c>
      <c r="G1087" s="2">
        <v>12</v>
      </c>
      <c r="H1087" s="61">
        <v>-0.5</v>
      </c>
      <c r="I1087" s="61">
        <v>0.01</v>
      </c>
      <c r="J1087" s="47">
        <f t="shared" si="80"/>
        <v>-1.0416666666666667</v>
      </c>
      <c r="K1087" s="47">
        <f t="shared" si="81"/>
        <v>1.02</v>
      </c>
      <c r="L1087" s="8">
        <v>0.95</v>
      </c>
      <c r="N1087" s="8">
        <v>3243.59</v>
      </c>
      <c r="O1087" s="17">
        <f t="shared" si="82"/>
        <v>0</v>
      </c>
      <c r="P1087" s="17">
        <f t="shared" si="83"/>
        <v>31.799901960784315</v>
      </c>
      <c r="Q1087" s="17">
        <v>28.55</v>
      </c>
      <c r="R1087" s="9">
        <v>20220804</v>
      </c>
      <c r="S1087" s="9">
        <v>-15.54</v>
      </c>
      <c r="U1087" s="9">
        <v>63.951000000000001</v>
      </c>
      <c r="V1087" s="45">
        <f t="shared" si="84"/>
        <v>-1</v>
      </c>
      <c r="W1087" s="12">
        <v>-150</v>
      </c>
      <c r="X1087" s="12">
        <v>0</v>
      </c>
      <c r="Y1087" s="62"/>
    </row>
    <row r="1088" spans="1:25" x14ac:dyDescent="0.2">
      <c r="A1088" s="3" t="s">
        <v>3378</v>
      </c>
      <c r="B1088" s="3" t="s">
        <v>1174</v>
      </c>
      <c r="C1088" s="6" t="s">
        <v>354</v>
      </c>
      <c r="D1088" s="6" t="s">
        <v>412</v>
      </c>
      <c r="E1088" s="6" t="s">
        <v>231</v>
      </c>
      <c r="F1088" s="6">
        <v>8756.19</v>
      </c>
      <c r="G1088" s="2">
        <v>12</v>
      </c>
      <c r="H1088" s="61">
        <v>38.39</v>
      </c>
      <c r="I1088" s="61">
        <v>47.84</v>
      </c>
      <c r="J1088" s="47">
        <f t="shared" si="80"/>
        <v>2.1991666666666667</v>
      </c>
      <c r="K1088" s="47">
        <f t="shared" si="81"/>
        <v>0.24615785360771042</v>
      </c>
      <c r="L1088" s="8">
        <v>42.95</v>
      </c>
      <c r="M1088" s="8">
        <v>6.63</v>
      </c>
      <c r="N1088" s="8">
        <v>6.33</v>
      </c>
      <c r="O1088" s="17">
        <f t="shared" si="82"/>
        <v>3.0147783251231523E-2</v>
      </c>
      <c r="P1088" s="17">
        <f t="shared" si="83"/>
        <v>0.25715206349206343</v>
      </c>
      <c r="Q1088" s="17">
        <v>7.05</v>
      </c>
      <c r="R1088" s="9">
        <v>20220720</v>
      </c>
      <c r="S1088" s="9">
        <v>29.65</v>
      </c>
      <c r="T1088" s="9">
        <v>18.28</v>
      </c>
      <c r="U1088" s="9">
        <v>29657.91015</v>
      </c>
      <c r="V1088" s="45">
        <f t="shared" si="84"/>
        <v>-0.99938363829725207</v>
      </c>
      <c r="W1088" s="12">
        <v>24.2</v>
      </c>
      <c r="X1088" s="12">
        <v>0.56000000000000005</v>
      </c>
      <c r="Y1088" s="62">
        <v>1.01</v>
      </c>
    </row>
    <row r="1089" spans="1:25" x14ac:dyDescent="0.2">
      <c r="A1089" s="3" t="s">
        <v>3379</v>
      </c>
      <c r="B1089" s="3" t="s">
        <v>2199</v>
      </c>
      <c r="C1089" s="6" t="s">
        <v>355</v>
      </c>
      <c r="D1089" s="6" t="s">
        <v>215</v>
      </c>
      <c r="E1089" s="6" t="s">
        <v>163</v>
      </c>
      <c r="F1089" s="6">
        <v>9739.25</v>
      </c>
      <c r="G1089" s="2">
        <v>12</v>
      </c>
      <c r="H1089" s="61">
        <v>6.11</v>
      </c>
      <c r="I1089" s="61">
        <v>7.28</v>
      </c>
      <c r="J1089" s="47">
        <f t="shared" si="80"/>
        <v>-0.49083333333333329</v>
      </c>
      <c r="K1089" s="47">
        <f t="shared" si="81"/>
        <v>0.19148936170212763</v>
      </c>
      <c r="L1089" s="8">
        <v>7.69</v>
      </c>
      <c r="M1089" s="8">
        <v>13.85</v>
      </c>
      <c r="N1089" s="8">
        <v>13.18</v>
      </c>
      <c r="O1089" s="17">
        <f t="shared" si="82"/>
        <v>-0.28217317487266558</v>
      </c>
      <c r="P1089" s="17">
        <f t="shared" si="83"/>
        <v>0.68828888888888895</v>
      </c>
      <c r="Q1089" s="17">
        <v>12.48</v>
      </c>
      <c r="R1089" s="9">
        <v>20220804</v>
      </c>
      <c r="S1089" s="9">
        <v>35.97</v>
      </c>
      <c r="T1089" s="9">
        <v>2.6</v>
      </c>
      <c r="U1089" s="9">
        <v>1980.1949400000001</v>
      </c>
      <c r="V1089" s="45">
        <f t="shared" si="84"/>
        <v>-0.99868699795788796</v>
      </c>
      <c r="W1089" s="12">
        <v>-1.1299999999999999</v>
      </c>
      <c r="X1089" s="12">
        <v>4.58</v>
      </c>
      <c r="Y1089" s="62"/>
    </row>
    <row r="1090" spans="1:25" x14ac:dyDescent="0.2">
      <c r="A1090" s="3" t="s">
        <v>3380</v>
      </c>
      <c r="B1090" s="3" t="s">
        <v>1175</v>
      </c>
      <c r="C1090" s="6" t="s">
        <v>355</v>
      </c>
      <c r="D1090" s="6" t="s">
        <v>155</v>
      </c>
      <c r="E1090" s="6" t="s">
        <v>154</v>
      </c>
      <c r="F1090" s="6">
        <v>3363.19</v>
      </c>
      <c r="G1090" s="2">
        <v>6</v>
      </c>
      <c r="H1090" s="61">
        <v>6.04</v>
      </c>
      <c r="I1090" s="61"/>
      <c r="J1090" s="47">
        <f t="shared" si="80"/>
        <v>6.6666666666666723E-3</v>
      </c>
      <c r="K1090" s="47">
        <f t="shared" si="81"/>
        <v>-1</v>
      </c>
      <c r="M1090" s="8">
        <v>30.78</v>
      </c>
      <c r="O1090" s="17">
        <f t="shared" si="82"/>
        <v>46.169999999999966</v>
      </c>
      <c r="P1090" s="17">
        <f t="shared" si="83"/>
        <v>0</v>
      </c>
      <c r="Q1090" s="17"/>
      <c r="R1090" s="9">
        <v>20220825</v>
      </c>
      <c r="S1090" s="9">
        <v>12.98</v>
      </c>
      <c r="T1090" s="9">
        <v>5.85</v>
      </c>
      <c r="U1090" s="9">
        <v>1629.2299800000001</v>
      </c>
      <c r="V1090" s="45">
        <f t="shared" si="84"/>
        <v>-0.99640934670254477</v>
      </c>
      <c r="W1090" s="12">
        <v>-17.27</v>
      </c>
      <c r="X1090" s="12">
        <v>2.62</v>
      </c>
      <c r="Y1090" s="62"/>
    </row>
    <row r="1091" spans="1:25" x14ac:dyDescent="0.2">
      <c r="A1091" s="3" t="s">
        <v>3381</v>
      </c>
      <c r="B1091" s="3" t="s">
        <v>1176</v>
      </c>
      <c r="C1091" s="6" t="s">
        <v>355</v>
      </c>
      <c r="D1091" s="6" t="s">
        <v>54</v>
      </c>
      <c r="E1091" s="6" t="s">
        <v>35</v>
      </c>
      <c r="F1091" s="6">
        <v>3310.86</v>
      </c>
      <c r="G1091" s="2">
        <v>12</v>
      </c>
      <c r="H1091" s="61">
        <v>-0.65</v>
      </c>
      <c r="I1091" s="61">
        <v>-0.69</v>
      </c>
      <c r="J1091" s="47">
        <f t="shared" ref="J1091:J1154" si="85">(H1091-G1091)/ABS(G1091)</f>
        <v>-1.0541666666666667</v>
      </c>
      <c r="K1091" s="47">
        <f t="shared" ref="K1091:K1154" si="86">(I1091-H1091)/ABS(H1091)</f>
        <v>-6.1538461538461417E-2</v>
      </c>
      <c r="L1091" s="8">
        <v>-0.62</v>
      </c>
      <c r="O1091" s="17">
        <f t="shared" ref="O1091:O1154" si="87">M1091/(J1091*100)</f>
        <v>0</v>
      </c>
      <c r="P1091" s="17">
        <f t="shared" ref="P1091:P1154" si="88">N1091/(K1091*100)</f>
        <v>0</v>
      </c>
      <c r="Q1091" s="17"/>
      <c r="R1091" s="9">
        <v>20220811</v>
      </c>
      <c r="S1091" s="9">
        <v>-73.239999999999995</v>
      </c>
      <c r="U1091" s="9">
        <v>41.426990000000004</v>
      </c>
      <c r="V1091" s="45">
        <f t="shared" ref="V1091:V1154" si="89">(T1091-U1091)/U1091</f>
        <v>-1</v>
      </c>
      <c r="W1091" s="12">
        <v>-14.29</v>
      </c>
      <c r="X1091" s="12">
        <v>0</v>
      </c>
      <c r="Y1091" s="62"/>
    </row>
    <row r="1092" spans="1:25" x14ac:dyDescent="0.2">
      <c r="A1092" s="3" t="s">
        <v>3382</v>
      </c>
      <c r="B1092" s="3" t="s">
        <v>2200</v>
      </c>
      <c r="C1092" s="6" t="s">
        <v>355</v>
      </c>
      <c r="D1092" s="6" t="s">
        <v>593</v>
      </c>
      <c r="E1092" s="6" t="s">
        <v>146</v>
      </c>
      <c r="F1092" s="6">
        <v>19552.46</v>
      </c>
      <c r="G1092" s="2">
        <v>12</v>
      </c>
      <c r="H1092" s="61"/>
      <c r="I1092" s="61">
        <v>16.309999999999999</v>
      </c>
      <c r="J1092" s="47">
        <f t="shared" si="85"/>
        <v>-1</v>
      </c>
      <c r="K1092" s="47" t="e">
        <f t="shared" si="86"/>
        <v>#DIV/0!</v>
      </c>
      <c r="M1092" s="8">
        <v>19.989999999999998</v>
      </c>
      <c r="N1092" s="8">
        <v>7.36</v>
      </c>
      <c r="O1092" s="17">
        <f t="shared" si="87"/>
        <v>-0.19989999999999999</v>
      </c>
      <c r="P1092" s="17" t="e">
        <f t="shared" si="88"/>
        <v>#DIV/0!</v>
      </c>
      <c r="Q1092" s="17"/>
      <c r="R1092" s="9">
        <v>20220805</v>
      </c>
      <c r="S1092" s="9">
        <v>10.119999999999999</v>
      </c>
      <c r="T1092" s="9">
        <v>130.46</v>
      </c>
      <c r="U1092" s="9">
        <v>26.04</v>
      </c>
      <c r="V1092" s="45">
        <f t="shared" si="89"/>
        <v>4.0099846390168974</v>
      </c>
      <c r="X1092" s="12">
        <v>0</v>
      </c>
      <c r="Y1092" s="62"/>
    </row>
    <row r="1093" spans="1:25" x14ac:dyDescent="0.2">
      <c r="A1093" s="3" t="s">
        <v>3382</v>
      </c>
      <c r="B1093" s="3" t="s">
        <v>1177</v>
      </c>
      <c r="C1093" s="6" t="s">
        <v>355</v>
      </c>
      <c r="D1093" s="6" t="s">
        <v>593</v>
      </c>
      <c r="E1093" s="6" t="s">
        <v>146</v>
      </c>
      <c r="F1093" s="6">
        <v>20208.439999999999</v>
      </c>
      <c r="G1093" s="2">
        <v>12</v>
      </c>
      <c r="H1093" s="61">
        <v>3.68</v>
      </c>
      <c r="I1093" s="61">
        <v>7.15</v>
      </c>
      <c r="J1093" s="47">
        <f t="shared" si="85"/>
        <v>-0.69333333333333336</v>
      </c>
      <c r="K1093" s="47">
        <f t="shared" si="86"/>
        <v>0.94293478260869568</v>
      </c>
      <c r="L1093" s="8">
        <v>9.27</v>
      </c>
      <c r="M1093" s="8">
        <v>20.66</v>
      </c>
      <c r="N1093" s="8">
        <v>17.36</v>
      </c>
      <c r="O1093" s="17">
        <f t="shared" si="87"/>
        <v>-0.29798076923076922</v>
      </c>
      <c r="P1093" s="17">
        <f t="shared" si="88"/>
        <v>0.18410605187319884</v>
      </c>
      <c r="Q1093" s="17">
        <v>13.4</v>
      </c>
      <c r="R1093" s="9">
        <v>20220805</v>
      </c>
      <c r="S1093" s="9">
        <v>10.119999999999999</v>
      </c>
      <c r="T1093" s="9">
        <v>130.44999999999999</v>
      </c>
      <c r="U1093" s="9">
        <v>969.97496999999998</v>
      </c>
      <c r="V1093" s="45">
        <f t="shared" si="89"/>
        <v>-0.86551199357237019</v>
      </c>
      <c r="W1093" s="12">
        <v>2.31</v>
      </c>
      <c r="X1093" s="12">
        <v>0</v>
      </c>
      <c r="Y1093" s="62"/>
    </row>
    <row r="1094" spans="1:25" x14ac:dyDescent="0.2">
      <c r="A1094" s="3" t="s">
        <v>3383</v>
      </c>
      <c r="B1094" s="3" t="s">
        <v>3384</v>
      </c>
      <c r="C1094" s="6" t="s">
        <v>354</v>
      </c>
      <c r="D1094" s="6" t="s">
        <v>529</v>
      </c>
      <c r="E1094" s="6" t="s">
        <v>218</v>
      </c>
      <c r="F1094" s="6">
        <v>3084.74</v>
      </c>
      <c r="G1094" s="2">
        <v>12</v>
      </c>
      <c r="H1094" s="61">
        <v>-0.86</v>
      </c>
      <c r="I1094" s="61">
        <v>0.5</v>
      </c>
      <c r="J1094" s="47">
        <f t="shared" si="85"/>
        <v>-1.0716666666666665</v>
      </c>
      <c r="K1094" s="47">
        <f t="shared" si="86"/>
        <v>1.5813953488372092</v>
      </c>
      <c r="L1094" s="8">
        <v>1.23</v>
      </c>
      <c r="N1094" s="8">
        <v>33.130000000000003</v>
      </c>
      <c r="O1094" s="17">
        <f t="shared" si="87"/>
        <v>0</v>
      </c>
      <c r="P1094" s="17">
        <f t="shared" si="88"/>
        <v>0.20949852941176472</v>
      </c>
      <c r="Q1094" s="17">
        <v>13.39</v>
      </c>
      <c r="R1094" s="9">
        <v>20220726</v>
      </c>
      <c r="S1094" s="9">
        <v>-12.17</v>
      </c>
      <c r="T1094" s="9">
        <v>-1.81</v>
      </c>
      <c r="U1094" s="9">
        <v>3505.3789000000002</v>
      </c>
      <c r="V1094" s="45">
        <f t="shared" si="89"/>
        <v>-1.0005163493167599</v>
      </c>
      <c r="W1094" s="12">
        <v>81.25</v>
      </c>
      <c r="X1094" s="12">
        <v>0</v>
      </c>
      <c r="Y1094" s="62"/>
    </row>
    <row r="1095" spans="1:25" x14ac:dyDescent="0.2">
      <c r="A1095" s="3" t="s">
        <v>3385</v>
      </c>
      <c r="B1095" s="3" t="s">
        <v>1178</v>
      </c>
      <c r="C1095" s="6" t="s">
        <v>355</v>
      </c>
      <c r="D1095" s="6" t="s">
        <v>593</v>
      </c>
      <c r="E1095" s="6" t="s">
        <v>146</v>
      </c>
      <c r="F1095" s="6">
        <v>12878.31</v>
      </c>
      <c r="G1095" s="2">
        <v>12</v>
      </c>
      <c r="H1095" s="61">
        <v>21.25</v>
      </c>
      <c r="I1095" s="61">
        <v>-0.67</v>
      </c>
      <c r="J1095" s="47">
        <f t="shared" si="85"/>
        <v>0.77083333333333337</v>
      </c>
      <c r="K1095" s="47">
        <f t="shared" si="86"/>
        <v>-1.031529411764706</v>
      </c>
      <c r="L1095" s="8">
        <v>-0.23</v>
      </c>
      <c r="M1095" s="8">
        <v>3.27</v>
      </c>
      <c r="O1095" s="17">
        <f t="shared" si="87"/>
        <v>4.2421621621621615E-2</v>
      </c>
      <c r="P1095" s="17">
        <f t="shared" si="88"/>
        <v>0</v>
      </c>
      <c r="Q1095" s="17"/>
      <c r="R1095" s="9">
        <v>20220804</v>
      </c>
      <c r="S1095" s="9">
        <v>16.37</v>
      </c>
      <c r="T1095" s="9">
        <v>-7.93</v>
      </c>
      <c r="U1095" s="9">
        <v>7331.1098599999996</v>
      </c>
      <c r="V1095" s="45">
        <f t="shared" si="89"/>
        <v>-1.0010816916062419</v>
      </c>
      <c r="W1095" s="12">
        <v>1144.44</v>
      </c>
      <c r="X1095" s="12">
        <v>0</v>
      </c>
      <c r="Y1095" s="62"/>
    </row>
    <row r="1096" spans="1:25" x14ac:dyDescent="0.2">
      <c r="A1096" s="3" t="s">
        <v>3385</v>
      </c>
      <c r="B1096" s="3" t="s">
        <v>2201</v>
      </c>
      <c r="C1096" s="6" t="s">
        <v>355</v>
      </c>
      <c r="D1096" s="6" t="s">
        <v>593</v>
      </c>
      <c r="E1096" s="6" t="s">
        <v>146</v>
      </c>
      <c r="F1096" s="6">
        <v>12491.38</v>
      </c>
      <c r="G1096" s="2">
        <v>12</v>
      </c>
      <c r="H1096" s="61"/>
      <c r="I1096" s="61"/>
      <c r="J1096" s="47">
        <f t="shared" si="85"/>
        <v>-1</v>
      </c>
      <c r="K1096" s="47" t="e">
        <f t="shared" si="86"/>
        <v>#DIV/0!</v>
      </c>
      <c r="M1096" s="8">
        <v>3.17</v>
      </c>
      <c r="O1096" s="17">
        <f t="shared" si="87"/>
        <v>-3.1699999999999999E-2</v>
      </c>
      <c r="P1096" s="17" t="e">
        <f t="shared" si="88"/>
        <v>#DIV/0!</v>
      </c>
      <c r="Q1096" s="17"/>
      <c r="R1096" s="9">
        <v>20220804</v>
      </c>
      <c r="S1096" s="9">
        <v>16.37</v>
      </c>
      <c r="T1096" s="9">
        <v>-7.93</v>
      </c>
      <c r="V1096" s="45" t="e">
        <f t="shared" si="89"/>
        <v>#DIV/0!</v>
      </c>
      <c r="X1096" s="12">
        <v>0</v>
      </c>
      <c r="Y1096" s="62"/>
    </row>
    <row r="1097" spans="1:25" x14ac:dyDescent="0.2">
      <c r="A1097" s="3" t="s">
        <v>3385</v>
      </c>
      <c r="B1097" s="3" t="s">
        <v>2202</v>
      </c>
      <c r="C1097" s="6" t="s">
        <v>355</v>
      </c>
      <c r="D1097" s="6" t="s">
        <v>789</v>
      </c>
      <c r="E1097" s="6" t="s">
        <v>146</v>
      </c>
      <c r="F1097" s="6">
        <v>13375.04</v>
      </c>
      <c r="G1097" s="2">
        <v>12</v>
      </c>
      <c r="H1097" s="61"/>
      <c r="I1097" s="61"/>
      <c r="J1097" s="47">
        <f t="shared" si="85"/>
        <v>-1</v>
      </c>
      <c r="K1097" s="47" t="e">
        <f t="shared" si="86"/>
        <v>#DIV/0!</v>
      </c>
      <c r="M1097" s="8">
        <v>3.4</v>
      </c>
      <c r="O1097" s="17">
        <f t="shared" si="87"/>
        <v>-3.4000000000000002E-2</v>
      </c>
      <c r="P1097" s="17" t="e">
        <f t="shared" si="88"/>
        <v>#DIV/0!</v>
      </c>
      <c r="Q1097" s="17"/>
      <c r="R1097" s="9">
        <v>20220804</v>
      </c>
      <c r="S1097" s="9">
        <v>16.37</v>
      </c>
      <c r="T1097" s="9">
        <v>-7.93</v>
      </c>
      <c r="V1097" s="45" t="e">
        <f t="shared" si="89"/>
        <v>#DIV/0!</v>
      </c>
      <c r="X1097" s="12">
        <v>0</v>
      </c>
      <c r="Y1097" s="62"/>
    </row>
    <row r="1098" spans="1:25" x14ac:dyDescent="0.2">
      <c r="A1098" s="3" t="s">
        <v>3386</v>
      </c>
      <c r="B1098" s="3" t="s">
        <v>3387</v>
      </c>
      <c r="C1098" s="6" t="s">
        <v>355</v>
      </c>
      <c r="D1098" s="6" t="s">
        <v>44</v>
      </c>
      <c r="E1098" s="6" t="s">
        <v>35</v>
      </c>
      <c r="F1098" s="6">
        <v>31505.51</v>
      </c>
      <c r="G1098" s="2">
        <v>12</v>
      </c>
      <c r="H1098" s="61">
        <v>-2</v>
      </c>
      <c r="I1098" s="61">
        <v>-1.1499999999999999</v>
      </c>
      <c r="J1098" s="47">
        <f t="shared" si="85"/>
        <v>-1.1666666666666667</v>
      </c>
      <c r="K1098" s="47">
        <f t="shared" si="86"/>
        <v>0.42500000000000004</v>
      </c>
      <c r="L1098" s="8">
        <v>-0.98</v>
      </c>
      <c r="O1098" s="17">
        <f t="shared" si="87"/>
        <v>0</v>
      </c>
      <c r="P1098" s="17">
        <f t="shared" si="88"/>
        <v>0</v>
      </c>
      <c r="Q1098" s="17"/>
      <c r="R1098" s="9">
        <v>20220804</v>
      </c>
      <c r="S1098" s="9">
        <v>-64.95</v>
      </c>
      <c r="U1098" s="9">
        <v>1507.67004</v>
      </c>
      <c r="V1098" s="45">
        <f t="shared" si="89"/>
        <v>-1</v>
      </c>
      <c r="W1098" s="12">
        <v>83.33</v>
      </c>
      <c r="X1098" s="12">
        <v>0</v>
      </c>
      <c r="Y1098" s="62"/>
    </row>
    <row r="1099" spans="1:25" x14ac:dyDescent="0.2">
      <c r="A1099" s="3" t="s">
        <v>3388</v>
      </c>
      <c r="B1099" s="3" t="s">
        <v>1179</v>
      </c>
      <c r="C1099" s="6" t="s">
        <v>354</v>
      </c>
      <c r="D1099" s="6" t="s">
        <v>16</v>
      </c>
      <c r="E1099" s="6" t="s">
        <v>10</v>
      </c>
      <c r="F1099" s="6">
        <v>14162.29</v>
      </c>
      <c r="G1099" s="2">
        <v>12</v>
      </c>
      <c r="H1099" s="61">
        <v>6.63</v>
      </c>
      <c r="I1099" s="61">
        <v>6.45</v>
      </c>
      <c r="J1099" s="47">
        <f t="shared" si="85"/>
        <v>-0.44750000000000001</v>
      </c>
      <c r="K1099" s="47">
        <f t="shared" si="86"/>
        <v>-2.7149321266968285E-2</v>
      </c>
      <c r="L1099" s="8">
        <v>7.04</v>
      </c>
      <c r="M1099" s="8">
        <v>16.04</v>
      </c>
      <c r="N1099" s="8">
        <v>16.05</v>
      </c>
      <c r="O1099" s="17">
        <f t="shared" si="87"/>
        <v>-0.35843575418994411</v>
      </c>
      <c r="P1099" s="17">
        <f t="shared" si="88"/>
        <v>-5.9117500000000094</v>
      </c>
      <c r="Q1099" s="17">
        <v>14.72</v>
      </c>
      <c r="R1099" s="9">
        <v>20220802</v>
      </c>
      <c r="S1099" s="9">
        <v>22.03</v>
      </c>
      <c r="T1099" s="9">
        <v>8.26</v>
      </c>
      <c r="U1099" s="9">
        <v>14176.271479999999</v>
      </c>
      <c r="V1099" s="45">
        <f t="shared" si="89"/>
        <v>-0.99941733621483941</v>
      </c>
      <c r="W1099" s="12">
        <v>6.04</v>
      </c>
      <c r="X1099" s="12">
        <v>1.39</v>
      </c>
      <c r="Y1099" s="62">
        <v>2.3199999999999998</v>
      </c>
    </row>
    <row r="1100" spans="1:25" x14ac:dyDescent="0.2">
      <c r="A1100" s="3" t="s">
        <v>3389</v>
      </c>
      <c r="B1100" s="3" t="s">
        <v>1180</v>
      </c>
      <c r="C1100" s="6" t="s">
        <v>354</v>
      </c>
      <c r="D1100" s="6" t="s">
        <v>54</v>
      </c>
      <c r="E1100" s="6" t="s">
        <v>35</v>
      </c>
      <c r="F1100" s="6">
        <v>8060.52</v>
      </c>
      <c r="G1100" s="2">
        <v>12</v>
      </c>
      <c r="H1100" s="61">
        <v>7.81</v>
      </c>
      <c r="I1100" s="61">
        <v>8.2799999999999994</v>
      </c>
      <c r="J1100" s="47">
        <f t="shared" si="85"/>
        <v>-0.34916666666666668</v>
      </c>
      <c r="K1100" s="47">
        <f t="shared" si="86"/>
        <v>6.0179257362355923E-2</v>
      </c>
      <c r="L1100" s="8">
        <v>16.43</v>
      </c>
      <c r="M1100" s="8">
        <v>22.47</v>
      </c>
      <c r="N1100" s="8">
        <v>16.27</v>
      </c>
      <c r="O1100" s="17">
        <f t="shared" si="87"/>
        <v>-0.64353221957040563</v>
      </c>
      <c r="P1100" s="17">
        <f t="shared" si="88"/>
        <v>2.7035893617021287</v>
      </c>
      <c r="Q1100" s="17">
        <v>8.2100000000000009</v>
      </c>
      <c r="R1100" s="9">
        <v>20220805</v>
      </c>
      <c r="S1100" s="9">
        <v>7.51</v>
      </c>
      <c r="T1100" s="9">
        <v>-2.65</v>
      </c>
      <c r="U1100" s="9">
        <v>20941.429680000001</v>
      </c>
      <c r="V1100" s="45">
        <f t="shared" si="89"/>
        <v>-1.0001265434137256</v>
      </c>
      <c r="W1100" s="12">
        <v>15.38</v>
      </c>
      <c r="X1100" s="12">
        <v>2.2799999999999998</v>
      </c>
      <c r="Y1100" s="62">
        <v>0.41</v>
      </c>
    </row>
    <row r="1101" spans="1:25" x14ac:dyDescent="0.2">
      <c r="A1101" s="3" t="s">
        <v>3390</v>
      </c>
      <c r="B1101" s="3" t="s">
        <v>1181</v>
      </c>
      <c r="C1101" s="6" t="s">
        <v>355</v>
      </c>
      <c r="D1101" s="6" t="s">
        <v>521</v>
      </c>
      <c r="E1101" s="6" t="s">
        <v>201</v>
      </c>
      <c r="F1101" s="6">
        <v>7752.52</v>
      </c>
      <c r="G1101" s="2">
        <v>12</v>
      </c>
      <c r="H1101" s="61">
        <v>6.15</v>
      </c>
      <c r="I1101" s="61">
        <v>7.91</v>
      </c>
      <c r="J1101" s="47">
        <f t="shared" si="85"/>
        <v>-0.48749999999999999</v>
      </c>
      <c r="K1101" s="47">
        <f t="shared" si="86"/>
        <v>0.28617886178861784</v>
      </c>
      <c r="L1101" s="8">
        <v>8.56</v>
      </c>
      <c r="M1101" s="8">
        <v>19.23</v>
      </c>
      <c r="N1101" s="8">
        <v>16.87</v>
      </c>
      <c r="O1101" s="17">
        <f t="shared" si="87"/>
        <v>-0.39446153846153847</v>
      </c>
      <c r="P1101" s="17">
        <f t="shared" si="88"/>
        <v>0.58949147727272744</v>
      </c>
      <c r="Q1101" s="17">
        <v>15.59</v>
      </c>
      <c r="R1101" s="9">
        <v>20220726</v>
      </c>
      <c r="S1101" s="9">
        <v>48.22</v>
      </c>
      <c r="T1101" s="9">
        <v>3.5</v>
      </c>
      <c r="U1101" s="9">
        <v>3703.7629299999999</v>
      </c>
      <c r="V1101" s="45">
        <f t="shared" si="89"/>
        <v>-0.99905501511134787</v>
      </c>
      <c r="W1101" s="12">
        <v>28.83</v>
      </c>
      <c r="X1101" s="12">
        <v>1.68</v>
      </c>
      <c r="Y1101" s="62">
        <v>1.1200000000000001</v>
      </c>
    </row>
    <row r="1102" spans="1:25" x14ac:dyDescent="0.2">
      <c r="A1102" s="3" t="s">
        <v>3391</v>
      </c>
      <c r="B1102" s="3" t="s">
        <v>1182</v>
      </c>
      <c r="C1102" s="6" t="s">
        <v>354</v>
      </c>
      <c r="D1102" s="6" t="s">
        <v>156</v>
      </c>
      <c r="E1102" s="6" t="s">
        <v>146</v>
      </c>
      <c r="F1102" s="6">
        <v>5198.17</v>
      </c>
      <c r="G1102" s="2">
        <v>12</v>
      </c>
      <c r="H1102" s="61">
        <v>2.74</v>
      </c>
      <c r="I1102" s="61">
        <v>2.76</v>
      </c>
      <c r="J1102" s="47">
        <f t="shared" si="85"/>
        <v>-0.77166666666666661</v>
      </c>
      <c r="K1102" s="47">
        <f t="shared" si="86"/>
        <v>7.2992700729925444E-3</v>
      </c>
      <c r="L1102" s="8">
        <v>2.82</v>
      </c>
      <c r="M1102" s="8">
        <v>13.9</v>
      </c>
      <c r="N1102" s="8">
        <v>14.12</v>
      </c>
      <c r="O1102" s="17">
        <f t="shared" si="87"/>
        <v>-0.18012958963282941</v>
      </c>
      <c r="P1102" s="17">
        <f t="shared" si="88"/>
        <v>19.344400000000412</v>
      </c>
      <c r="Q1102" s="17">
        <v>13.8</v>
      </c>
      <c r="R1102" s="9">
        <v>20220801</v>
      </c>
      <c r="S1102" s="9">
        <v>23.88</v>
      </c>
      <c r="T1102" s="9">
        <v>5.3</v>
      </c>
      <c r="U1102" s="9">
        <v>5366.1000899999999</v>
      </c>
      <c r="V1102" s="45">
        <f t="shared" si="89"/>
        <v>-0.99901231808741753</v>
      </c>
      <c r="W1102" s="12">
        <v>17.86</v>
      </c>
      <c r="X1102" s="12">
        <v>4.32</v>
      </c>
      <c r="Y1102" s="62">
        <v>1.41</v>
      </c>
    </row>
    <row r="1103" spans="1:25" x14ac:dyDescent="0.2">
      <c r="A1103" s="3" t="s">
        <v>3392</v>
      </c>
      <c r="B1103" s="3" t="s">
        <v>1183</v>
      </c>
      <c r="C1103" s="6" t="s">
        <v>355</v>
      </c>
      <c r="D1103" s="6" t="s">
        <v>185</v>
      </c>
      <c r="E1103" s="6" t="s">
        <v>208</v>
      </c>
      <c r="F1103" s="6">
        <v>6068.89</v>
      </c>
      <c r="G1103" s="2">
        <v>12</v>
      </c>
      <c r="H1103" s="61">
        <v>-1.43</v>
      </c>
      <c r="I1103" s="61">
        <v>-1.63</v>
      </c>
      <c r="J1103" s="47">
        <f t="shared" si="85"/>
        <v>-1.1191666666666666</v>
      </c>
      <c r="K1103" s="47">
        <f t="shared" si="86"/>
        <v>-0.13986013986013984</v>
      </c>
      <c r="L1103" s="8">
        <v>-1.43</v>
      </c>
      <c r="O1103" s="17">
        <f t="shared" si="87"/>
        <v>0</v>
      </c>
      <c r="P1103" s="17">
        <f t="shared" si="88"/>
        <v>0</v>
      </c>
      <c r="Q1103" s="17"/>
      <c r="R1103" s="9">
        <v>20220531</v>
      </c>
      <c r="S1103" s="9">
        <v>-131.44999999999999</v>
      </c>
      <c r="U1103" s="9">
        <v>168.40799999999999</v>
      </c>
      <c r="V1103" s="45">
        <f t="shared" si="89"/>
        <v>-1</v>
      </c>
      <c r="W1103" s="12">
        <v>-8.57</v>
      </c>
      <c r="X1103" s="12">
        <v>0</v>
      </c>
      <c r="Y1103" s="62"/>
    </row>
    <row r="1104" spans="1:25" x14ac:dyDescent="0.2">
      <c r="A1104" s="3" t="s">
        <v>3393</v>
      </c>
      <c r="B1104" s="3" t="s">
        <v>1184</v>
      </c>
      <c r="C1104" s="6" t="s">
        <v>354</v>
      </c>
      <c r="D1104" s="6" t="s">
        <v>784</v>
      </c>
      <c r="E1104" s="6" t="s">
        <v>140</v>
      </c>
      <c r="F1104" s="6">
        <v>23317.13</v>
      </c>
      <c r="G1104" s="2">
        <v>11</v>
      </c>
      <c r="H1104" s="61">
        <v>14.01</v>
      </c>
      <c r="I1104" s="61">
        <v>16.329999999999998</v>
      </c>
      <c r="J1104" s="47">
        <f t="shared" si="85"/>
        <v>0.27363636363636362</v>
      </c>
      <c r="K1104" s="47">
        <f t="shared" si="86"/>
        <v>0.1655960028551034</v>
      </c>
      <c r="L1104" s="8">
        <v>17.57</v>
      </c>
      <c r="M1104" s="8">
        <v>5.94</v>
      </c>
      <c r="N1104" s="8">
        <v>4.83</v>
      </c>
      <c r="O1104" s="17">
        <f t="shared" si="87"/>
        <v>0.21707641196013291</v>
      </c>
      <c r="P1104" s="17">
        <f t="shared" si="88"/>
        <v>0.29167370689655192</v>
      </c>
      <c r="Q1104" s="17">
        <v>4.49</v>
      </c>
      <c r="R1104" s="9">
        <v>20220615</v>
      </c>
      <c r="S1104" s="9">
        <v>19.79</v>
      </c>
      <c r="T1104" s="9">
        <v>18.38</v>
      </c>
      <c r="U1104" s="9">
        <v>33919.832029999998</v>
      </c>
      <c r="V1104" s="45">
        <f t="shared" si="89"/>
        <v>-0.9994581341091624</v>
      </c>
      <c r="W1104" s="12">
        <v>3.85</v>
      </c>
      <c r="X1104" s="12">
        <v>1.9</v>
      </c>
      <c r="Y1104" s="62">
        <v>4.74</v>
      </c>
    </row>
    <row r="1105" spans="1:25" x14ac:dyDescent="0.2">
      <c r="A1105" s="3" t="s">
        <v>3393</v>
      </c>
      <c r="B1105" s="3" t="s">
        <v>2203</v>
      </c>
      <c r="C1105" s="6" t="s">
        <v>354</v>
      </c>
      <c r="D1105" s="6" t="s">
        <v>784</v>
      </c>
      <c r="E1105" s="6" t="s">
        <v>140</v>
      </c>
      <c r="F1105" s="6">
        <v>19478.71</v>
      </c>
      <c r="G1105" s="2">
        <v>11</v>
      </c>
      <c r="H1105" s="61"/>
      <c r="I1105" s="61"/>
      <c r="J1105" s="47">
        <f t="shared" si="85"/>
        <v>-1</v>
      </c>
      <c r="K1105" s="47" t="e">
        <f t="shared" si="86"/>
        <v>#DIV/0!</v>
      </c>
      <c r="M1105" s="8">
        <v>4.96</v>
      </c>
      <c r="O1105" s="17">
        <f t="shared" si="87"/>
        <v>-4.9599999999999998E-2</v>
      </c>
      <c r="P1105" s="17" t="e">
        <f t="shared" si="88"/>
        <v>#DIV/0!</v>
      </c>
      <c r="Q1105" s="17"/>
      <c r="R1105" s="9">
        <v>20220615</v>
      </c>
      <c r="S1105" s="9">
        <v>19.79</v>
      </c>
      <c r="T1105" s="9">
        <v>18.38</v>
      </c>
      <c r="V1105" s="45" t="e">
        <f t="shared" si="89"/>
        <v>#DIV/0!</v>
      </c>
      <c r="X1105" s="12">
        <v>2.2799999999999998</v>
      </c>
      <c r="Y1105" s="62"/>
    </row>
    <row r="1106" spans="1:25" x14ac:dyDescent="0.2">
      <c r="A1106" s="3" t="s">
        <v>3394</v>
      </c>
      <c r="B1106" s="3" t="s">
        <v>1185</v>
      </c>
      <c r="C1106" s="6" t="s">
        <v>355</v>
      </c>
      <c r="D1106" s="6" t="s">
        <v>136</v>
      </c>
      <c r="E1106" s="6" t="s">
        <v>154</v>
      </c>
      <c r="F1106" s="6">
        <v>3565.35</v>
      </c>
      <c r="G1106" s="2">
        <v>9</v>
      </c>
      <c r="H1106" s="61">
        <v>0.84</v>
      </c>
      <c r="I1106" s="61">
        <v>1.08</v>
      </c>
      <c r="J1106" s="47">
        <f t="shared" si="85"/>
        <v>-0.90666666666666673</v>
      </c>
      <c r="K1106" s="47">
        <f t="shared" si="86"/>
        <v>0.28571428571428586</v>
      </c>
      <c r="L1106" s="8">
        <v>1.21</v>
      </c>
      <c r="M1106" s="8">
        <v>23.49</v>
      </c>
      <c r="N1106" s="8">
        <v>18.059999999999999</v>
      </c>
      <c r="O1106" s="17">
        <f t="shared" si="87"/>
        <v>-0.25908088235294113</v>
      </c>
      <c r="P1106" s="17">
        <f t="shared" si="88"/>
        <v>0.63209999999999966</v>
      </c>
      <c r="Q1106" s="17">
        <v>16.12</v>
      </c>
      <c r="R1106" s="9">
        <v>20220803</v>
      </c>
      <c r="U1106" s="9">
        <v>1602.2320500000001</v>
      </c>
      <c r="V1106" s="45">
        <f t="shared" si="89"/>
        <v>-1</v>
      </c>
      <c r="W1106" s="12">
        <v>50</v>
      </c>
      <c r="X1106" s="12">
        <v>0</v>
      </c>
      <c r="Y1106" s="62">
        <v>1.47</v>
      </c>
    </row>
    <row r="1107" spans="1:25" x14ac:dyDescent="0.2">
      <c r="A1107" s="3" t="s">
        <v>1186</v>
      </c>
      <c r="B1107" s="3" t="s">
        <v>1187</v>
      </c>
      <c r="C1107" s="6" t="s">
        <v>354</v>
      </c>
      <c r="D1107" s="6" t="s">
        <v>219</v>
      </c>
      <c r="E1107" s="6" t="s">
        <v>231</v>
      </c>
      <c r="F1107" s="6">
        <v>7089.4</v>
      </c>
      <c r="G1107" s="2">
        <v>11</v>
      </c>
      <c r="H1107" s="61">
        <v>1.45</v>
      </c>
      <c r="I1107" s="61">
        <v>1.55</v>
      </c>
      <c r="J1107" s="47">
        <f t="shared" si="85"/>
        <v>-0.86818181818181828</v>
      </c>
      <c r="K1107" s="47">
        <f t="shared" si="86"/>
        <v>6.8965517241379379E-2</v>
      </c>
      <c r="L1107" s="8">
        <v>1.71</v>
      </c>
      <c r="M1107" s="8">
        <v>11.32</v>
      </c>
      <c r="N1107" s="8">
        <v>11.55</v>
      </c>
      <c r="O1107" s="17">
        <f t="shared" si="87"/>
        <v>-0.13038743455497381</v>
      </c>
      <c r="P1107" s="17">
        <f t="shared" si="88"/>
        <v>1.6747499999999984</v>
      </c>
      <c r="Q1107" s="17">
        <v>10.44</v>
      </c>
      <c r="R1107" s="9">
        <v>20220714</v>
      </c>
      <c r="S1107" s="9">
        <v>40.409999999999997</v>
      </c>
      <c r="T1107" s="9">
        <v>1.06</v>
      </c>
      <c r="U1107" s="9">
        <v>6467.5497999999998</v>
      </c>
      <c r="V1107" s="45">
        <f t="shared" si="89"/>
        <v>-0.99983610485689645</v>
      </c>
      <c r="W1107" s="12">
        <v>9.52</v>
      </c>
      <c r="X1107" s="12">
        <v>2.2400000000000002</v>
      </c>
      <c r="Y1107" s="62">
        <v>1.45</v>
      </c>
    </row>
    <row r="1108" spans="1:25" x14ac:dyDescent="0.2">
      <c r="A1108" s="3" t="s">
        <v>3395</v>
      </c>
      <c r="B1108" s="3" t="s">
        <v>1188</v>
      </c>
      <c r="C1108" s="6" t="s">
        <v>354</v>
      </c>
      <c r="D1108" s="6" t="s">
        <v>170</v>
      </c>
      <c r="E1108" s="6" t="s">
        <v>163</v>
      </c>
      <c r="F1108" s="6">
        <v>42170.93</v>
      </c>
      <c r="G1108" s="2">
        <v>12</v>
      </c>
      <c r="H1108" s="61">
        <v>1.57</v>
      </c>
      <c r="I1108" s="61">
        <v>1.23</v>
      </c>
      <c r="J1108" s="47">
        <f t="shared" si="85"/>
        <v>-0.86916666666666664</v>
      </c>
      <c r="K1108" s="47">
        <f t="shared" si="86"/>
        <v>-0.21656050955414016</v>
      </c>
      <c r="L1108" s="8">
        <v>1.7</v>
      </c>
      <c r="M1108" s="8">
        <v>5.29</v>
      </c>
      <c r="N1108" s="8">
        <v>6.07</v>
      </c>
      <c r="O1108" s="17">
        <f t="shared" si="87"/>
        <v>-6.0862895493767985E-2</v>
      </c>
      <c r="P1108" s="17">
        <f t="shared" si="88"/>
        <v>-0.28029117647058821</v>
      </c>
      <c r="Q1108" s="17">
        <v>4.4000000000000004</v>
      </c>
      <c r="R1108" s="9">
        <v>20220824</v>
      </c>
      <c r="S1108" s="9">
        <v>11.13</v>
      </c>
      <c r="V1108" s="45" t="e">
        <f t="shared" si="89"/>
        <v>#DIV/0!</v>
      </c>
      <c r="X1108" s="12">
        <v>5.68</v>
      </c>
      <c r="Y1108" s="62">
        <v>0.69</v>
      </c>
    </row>
    <row r="1109" spans="1:25" x14ac:dyDescent="0.2">
      <c r="A1109" s="3" t="s">
        <v>3396</v>
      </c>
      <c r="B1109" s="3" t="s">
        <v>1189</v>
      </c>
      <c r="C1109" s="6" t="s">
        <v>355</v>
      </c>
      <c r="D1109" s="6" t="s">
        <v>141</v>
      </c>
      <c r="E1109" s="6" t="s">
        <v>119</v>
      </c>
      <c r="F1109" s="6">
        <v>6537.95</v>
      </c>
      <c r="G1109" s="2">
        <v>12</v>
      </c>
      <c r="H1109" s="61">
        <v>12.95</v>
      </c>
      <c r="I1109" s="61">
        <v>16.66</v>
      </c>
      <c r="J1109" s="47">
        <f t="shared" si="85"/>
        <v>7.9166666666666607E-2</v>
      </c>
      <c r="K1109" s="47">
        <f t="shared" si="86"/>
        <v>0.28648648648648656</v>
      </c>
      <c r="L1109" s="8">
        <v>15.87</v>
      </c>
      <c r="M1109" s="8">
        <v>17.04</v>
      </c>
      <c r="N1109" s="8">
        <v>15.86</v>
      </c>
      <c r="O1109" s="17">
        <f t="shared" si="87"/>
        <v>2.1524210526315803</v>
      </c>
      <c r="P1109" s="17">
        <f t="shared" si="88"/>
        <v>0.55360377358490553</v>
      </c>
      <c r="Q1109" s="17">
        <v>16.649999999999999</v>
      </c>
      <c r="R1109" s="9">
        <v>20220727</v>
      </c>
      <c r="S1109" s="9">
        <v>20.75</v>
      </c>
      <c r="T1109" s="9">
        <v>8.9499999999999993</v>
      </c>
      <c r="U1109" s="9">
        <v>2465.4250400000001</v>
      </c>
      <c r="V1109" s="45">
        <f t="shared" si="89"/>
        <v>-0.9963697943134382</v>
      </c>
      <c r="W1109" s="12">
        <v>54.01</v>
      </c>
      <c r="X1109" s="12">
        <v>0.8</v>
      </c>
      <c r="Y1109" s="62">
        <v>1.32</v>
      </c>
    </row>
    <row r="1110" spans="1:25" x14ac:dyDescent="0.2">
      <c r="A1110" s="3" t="s">
        <v>3397</v>
      </c>
      <c r="B1110" s="3" t="s">
        <v>1190</v>
      </c>
      <c r="C1110" s="6" t="s">
        <v>356</v>
      </c>
      <c r="D1110" s="6" t="s">
        <v>172</v>
      </c>
      <c r="E1110" s="6" t="s">
        <v>163</v>
      </c>
      <c r="F1110" s="6">
        <v>19402.740000000002</v>
      </c>
      <c r="G1110" s="2">
        <v>12</v>
      </c>
      <c r="H1110" s="61">
        <v>2.15</v>
      </c>
      <c r="I1110" s="61">
        <v>2.13</v>
      </c>
      <c r="J1110" s="47">
        <f t="shared" si="85"/>
        <v>-0.8208333333333333</v>
      </c>
      <c r="K1110" s="47">
        <f t="shared" si="86"/>
        <v>-9.3023255813953574E-3</v>
      </c>
      <c r="L1110" s="8">
        <v>2.2799999999999998</v>
      </c>
      <c r="N1110" s="8">
        <v>7.65</v>
      </c>
      <c r="O1110" s="17">
        <f t="shared" si="87"/>
        <v>0</v>
      </c>
      <c r="P1110" s="17">
        <f t="shared" si="88"/>
        <v>-8.2237499999999919</v>
      </c>
      <c r="Q1110" s="17">
        <v>7.14</v>
      </c>
      <c r="V1110" s="45" t="e">
        <f t="shared" si="89"/>
        <v>#DIV/0!</v>
      </c>
      <c r="X1110" s="12">
        <v>10.119999999999999</v>
      </c>
      <c r="Y1110" s="62"/>
    </row>
    <row r="1111" spans="1:25" x14ac:dyDescent="0.2">
      <c r="A1111" s="3" t="s">
        <v>3398</v>
      </c>
      <c r="B1111" s="3" t="s">
        <v>2204</v>
      </c>
      <c r="C1111" s="6" t="s">
        <v>356</v>
      </c>
      <c r="D1111" s="6" t="s">
        <v>1131</v>
      </c>
      <c r="E1111" s="6" t="s">
        <v>119</v>
      </c>
      <c r="F1111" s="6">
        <v>22968.75</v>
      </c>
      <c r="G1111" s="2">
        <v>12</v>
      </c>
      <c r="H1111" s="61">
        <v>4.07</v>
      </c>
      <c r="I1111" s="61">
        <v>4</v>
      </c>
      <c r="J1111" s="47">
        <f t="shared" si="85"/>
        <v>-0.66083333333333327</v>
      </c>
      <c r="K1111" s="47">
        <f t="shared" si="86"/>
        <v>-1.7199017199017268E-2</v>
      </c>
      <c r="L1111" s="8">
        <v>4.1900000000000004</v>
      </c>
      <c r="M1111" s="8">
        <v>21.31</v>
      </c>
      <c r="N1111" s="8">
        <v>21.58</v>
      </c>
      <c r="O1111" s="17">
        <f t="shared" si="87"/>
        <v>-0.32247162673392182</v>
      </c>
      <c r="P1111" s="17">
        <f t="shared" si="88"/>
        <v>-12.547228571428521</v>
      </c>
      <c r="Q1111" s="17">
        <v>20.6</v>
      </c>
      <c r="R1111" s="9">
        <v>20220729</v>
      </c>
      <c r="S1111" s="9">
        <v>16.89</v>
      </c>
      <c r="T1111" s="9">
        <v>6.23</v>
      </c>
      <c r="U1111" s="9">
        <v>8375.8495999999996</v>
      </c>
      <c r="V1111" s="45">
        <f t="shared" si="89"/>
        <v>-0.99925619485813122</v>
      </c>
      <c r="W1111" s="12">
        <v>-4.3499999999999996</v>
      </c>
      <c r="X1111" s="12">
        <v>0</v>
      </c>
      <c r="Y1111" s="62"/>
    </row>
    <row r="1112" spans="1:25" x14ac:dyDescent="0.2">
      <c r="A1112" s="3" t="s">
        <v>3399</v>
      </c>
      <c r="B1112" s="3" t="s">
        <v>1191</v>
      </c>
      <c r="C1112" s="6" t="s">
        <v>354</v>
      </c>
      <c r="D1112" s="6" t="s">
        <v>186</v>
      </c>
      <c r="E1112" s="6" t="s">
        <v>208</v>
      </c>
      <c r="F1112" s="6">
        <v>23188.9</v>
      </c>
      <c r="G1112" s="2">
        <v>12</v>
      </c>
      <c r="H1112" s="61">
        <v>27.77</v>
      </c>
      <c r="I1112" s="61">
        <v>19.850000000000001</v>
      </c>
      <c r="J1112" s="47">
        <f t="shared" si="85"/>
        <v>1.3141666666666667</v>
      </c>
      <c r="K1112" s="47">
        <f t="shared" si="86"/>
        <v>-0.28519985595966862</v>
      </c>
      <c r="L1112" s="8">
        <v>18.190000000000001</v>
      </c>
      <c r="M1112" s="8">
        <v>9.68</v>
      </c>
      <c r="N1112" s="8">
        <v>12.6</v>
      </c>
      <c r="O1112" s="17">
        <f t="shared" si="87"/>
        <v>7.3658845909955611E-2</v>
      </c>
      <c r="P1112" s="17">
        <f t="shared" si="88"/>
        <v>-0.44179545454545466</v>
      </c>
      <c r="Q1112" s="17">
        <v>13.75</v>
      </c>
      <c r="R1112" s="9">
        <v>20220804</v>
      </c>
      <c r="S1112" s="9">
        <v>23.84</v>
      </c>
      <c r="T1112" s="9">
        <v>11.28</v>
      </c>
      <c r="U1112" s="9">
        <v>15411.60644</v>
      </c>
      <c r="V1112" s="45">
        <f t="shared" si="89"/>
        <v>-0.99926808408689161</v>
      </c>
      <c r="W1112" s="12">
        <v>3.91</v>
      </c>
      <c r="X1112" s="12">
        <v>1.1499999999999999</v>
      </c>
      <c r="Y1112" s="62"/>
    </row>
    <row r="1113" spans="1:25" x14ac:dyDescent="0.2">
      <c r="A1113" s="3" t="s">
        <v>3400</v>
      </c>
      <c r="B1113" s="3" t="s">
        <v>1192</v>
      </c>
      <c r="C1113" s="6" t="s">
        <v>355</v>
      </c>
      <c r="D1113" s="6" t="s">
        <v>195</v>
      </c>
      <c r="E1113" s="6" t="s">
        <v>208</v>
      </c>
      <c r="F1113" s="6">
        <v>5157.6499999999996</v>
      </c>
      <c r="G1113" s="2">
        <v>12</v>
      </c>
      <c r="H1113" s="61">
        <v>5.78</v>
      </c>
      <c r="I1113" s="61">
        <v>5.76</v>
      </c>
      <c r="J1113" s="47">
        <f t="shared" si="85"/>
        <v>-0.51833333333333331</v>
      </c>
      <c r="K1113" s="47">
        <f t="shared" si="86"/>
        <v>-3.4602076124568273E-3</v>
      </c>
      <c r="L1113" s="8">
        <v>6.83</v>
      </c>
      <c r="M1113" s="8">
        <v>30.67</v>
      </c>
      <c r="N1113" s="8">
        <v>28.84</v>
      </c>
      <c r="O1113" s="17">
        <f t="shared" si="87"/>
        <v>-0.5917041800643088</v>
      </c>
      <c r="P1113" s="17">
        <f t="shared" si="88"/>
        <v>-83.347599999998081</v>
      </c>
      <c r="Q1113" s="17">
        <v>24.35</v>
      </c>
      <c r="R1113" s="9">
        <v>20220803</v>
      </c>
      <c r="S1113" s="9">
        <v>10.11</v>
      </c>
      <c r="T1113" s="9">
        <v>18.45</v>
      </c>
      <c r="U1113" s="9">
        <v>2508.43408</v>
      </c>
      <c r="V1113" s="45">
        <f t="shared" si="89"/>
        <v>-0.99264481369189506</v>
      </c>
      <c r="W1113" s="12">
        <v>3.81</v>
      </c>
      <c r="X1113" s="12">
        <v>0</v>
      </c>
      <c r="Y1113" s="62">
        <v>2.56</v>
      </c>
    </row>
    <row r="1114" spans="1:25" x14ac:dyDescent="0.2">
      <c r="A1114" s="3" t="s">
        <v>3401</v>
      </c>
      <c r="B1114" s="3" t="s">
        <v>1193</v>
      </c>
      <c r="C1114" s="6" t="s">
        <v>354</v>
      </c>
      <c r="D1114" s="6" t="s">
        <v>16</v>
      </c>
      <c r="E1114" s="6" t="s">
        <v>10</v>
      </c>
      <c r="F1114" s="6">
        <v>45670.78</v>
      </c>
      <c r="G1114" s="2">
        <v>12</v>
      </c>
      <c r="H1114" s="61">
        <v>12.92</v>
      </c>
      <c r="I1114" s="61">
        <v>13.61</v>
      </c>
      <c r="J1114" s="47">
        <f t="shared" si="85"/>
        <v>7.6666666666666661E-2</v>
      </c>
      <c r="K1114" s="47">
        <f t="shared" si="86"/>
        <v>5.3405572755417921E-2</v>
      </c>
      <c r="L1114" s="8">
        <v>14.82</v>
      </c>
      <c r="M1114" s="8">
        <v>18.37</v>
      </c>
      <c r="N1114" s="8">
        <v>17.399999999999999</v>
      </c>
      <c r="O1114" s="17">
        <f t="shared" si="87"/>
        <v>2.3960869565217395</v>
      </c>
      <c r="P1114" s="17">
        <f t="shared" si="88"/>
        <v>3.258086956521741</v>
      </c>
      <c r="Q1114" s="17">
        <v>15.98</v>
      </c>
      <c r="R1114" s="9">
        <v>20220802</v>
      </c>
      <c r="S1114" s="9">
        <v>13.18</v>
      </c>
      <c r="T1114" s="9">
        <v>36.909999999999997</v>
      </c>
      <c r="U1114" s="9">
        <v>17552.068350000001</v>
      </c>
      <c r="V1114" s="45">
        <f t="shared" si="89"/>
        <v>-0.99789711393187464</v>
      </c>
      <c r="W1114" s="12">
        <v>3.31</v>
      </c>
      <c r="X1114" s="12">
        <v>1.89</v>
      </c>
      <c r="Y1114" s="62">
        <v>3.96</v>
      </c>
    </row>
    <row r="1115" spans="1:25" x14ac:dyDescent="0.2">
      <c r="A1115" s="3" t="s">
        <v>3402</v>
      </c>
      <c r="B1115" s="3" t="s">
        <v>1194</v>
      </c>
      <c r="C1115" s="6" t="s">
        <v>355</v>
      </c>
      <c r="D1115" s="6" t="s">
        <v>46</v>
      </c>
      <c r="E1115" s="6" t="s">
        <v>35</v>
      </c>
      <c r="F1115" s="6">
        <v>24806.81</v>
      </c>
      <c r="G1115" s="2">
        <v>12</v>
      </c>
      <c r="H1115" s="61">
        <v>-0.21</v>
      </c>
      <c r="I1115" s="61">
        <v>-0.33</v>
      </c>
      <c r="J1115" s="47">
        <f t="shared" si="85"/>
        <v>-1.0175000000000001</v>
      </c>
      <c r="K1115" s="47">
        <f t="shared" si="86"/>
        <v>-0.57142857142857151</v>
      </c>
      <c r="L1115" s="8">
        <v>0.25</v>
      </c>
      <c r="M1115" s="8">
        <v>109.91</v>
      </c>
      <c r="O1115" s="17">
        <f t="shared" si="87"/>
        <v>-1.0801965601965602</v>
      </c>
      <c r="P1115" s="17">
        <f t="shared" si="88"/>
        <v>0</v>
      </c>
      <c r="Q1115" s="17">
        <v>98.69</v>
      </c>
      <c r="R1115" s="9">
        <v>20220829</v>
      </c>
      <c r="S1115" s="9">
        <v>0.08</v>
      </c>
      <c r="U1115" s="9">
        <v>7158.7402300000003</v>
      </c>
      <c r="V1115" s="45">
        <f t="shared" si="89"/>
        <v>-1</v>
      </c>
      <c r="W1115" s="12">
        <v>112.5</v>
      </c>
      <c r="X1115" s="12">
        <v>0</v>
      </c>
      <c r="Y1115" s="62"/>
    </row>
    <row r="1116" spans="1:25" x14ac:dyDescent="0.2">
      <c r="A1116" s="3" t="s">
        <v>3403</v>
      </c>
      <c r="B1116" s="3" t="s">
        <v>1195</v>
      </c>
      <c r="C1116" s="6" t="s">
        <v>354</v>
      </c>
      <c r="D1116" s="6" t="s">
        <v>117</v>
      </c>
      <c r="E1116" s="6" t="s">
        <v>140</v>
      </c>
      <c r="F1116" s="6">
        <v>7486.34</v>
      </c>
      <c r="G1116" s="2">
        <v>12</v>
      </c>
      <c r="H1116" s="61">
        <v>12.24</v>
      </c>
      <c r="I1116" s="61">
        <v>14.14</v>
      </c>
      <c r="J1116" s="47">
        <f t="shared" si="85"/>
        <v>2.0000000000000018E-2</v>
      </c>
      <c r="K1116" s="47">
        <f t="shared" si="86"/>
        <v>0.15522875816993467</v>
      </c>
      <c r="L1116" s="8">
        <v>15.47</v>
      </c>
      <c r="M1116" s="8">
        <v>16.440000000000001</v>
      </c>
      <c r="N1116" s="8">
        <v>14.74</v>
      </c>
      <c r="O1116" s="17">
        <f t="shared" si="87"/>
        <v>8.2199999999999935</v>
      </c>
      <c r="P1116" s="17">
        <f t="shared" si="88"/>
        <v>0.94956631578947348</v>
      </c>
      <c r="Q1116" s="17">
        <v>13.47</v>
      </c>
      <c r="R1116" s="9">
        <v>20220725</v>
      </c>
      <c r="S1116" s="9">
        <v>-153.38</v>
      </c>
      <c r="T1116" s="9">
        <v>1.1399999999999999</v>
      </c>
      <c r="U1116" s="9">
        <v>4550.0400300000001</v>
      </c>
      <c r="V1116" s="45">
        <f t="shared" si="89"/>
        <v>-0.99974945275371563</v>
      </c>
      <c r="W1116" s="12">
        <v>16.260000000000002</v>
      </c>
      <c r="X1116" s="12">
        <v>1.77</v>
      </c>
      <c r="Y1116" s="62">
        <v>1.1200000000000001</v>
      </c>
    </row>
    <row r="1117" spans="1:25" x14ac:dyDescent="0.2">
      <c r="A1117" s="3" t="s">
        <v>3404</v>
      </c>
      <c r="B1117" s="3" t="s">
        <v>1196</v>
      </c>
      <c r="C1117" s="6" t="s">
        <v>354</v>
      </c>
      <c r="D1117" s="6" t="s">
        <v>529</v>
      </c>
      <c r="E1117" s="6" t="s">
        <v>218</v>
      </c>
      <c r="F1117" s="6">
        <v>161037.79999999999</v>
      </c>
      <c r="G1117" s="2">
        <v>12</v>
      </c>
      <c r="H1117" s="61">
        <v>10.6</v>
      </c>
      <c r="I1117" s="61">
        <v>11.91</v>
      </c>
      <c r="J1117" s="47">
        <f t="shared" si="85"/>
        <v>-0.1166666666666667</v>
      </c>
      <c r="K1117" s="47">
        <f t="shared" si="86"/>
        <v>0.12358490566037741</v>
      </c>
      <c r="L1117" s="8">
        <v>13.26</v>
      </c>
      <c r="M1117" s="8">
        <v>28.78</v>
      </c>
      <c r="N1117" s="8">
        <v>26.89</v>
      </c>
      <c r="O1117" s="17">
        <f t="shared" si="87"/>
        <v>-2.4668571428571422</v>
      </c>
      <c r="P1117" s="17">
        <f t="shared" si="88"/>
        <v>2.1758320610687014</v>
      </c>
      <c r="Q1117" s="17">
        <v>24.17</v>
      </c>
      <c r="R1117" s="9">
        <v>20220729</v>
      </c>
      <c r="S1117" s="9">
        <v>12.62</v>
      </c>
      <c r="T1117" s="9">
        <v>29.92</v>
      </c>
      <c r="U1117" s="9">
        <v>33383.355459999999</v>
      </c>
      <c r="V1117" s="45">
        <f t="shared" si="89"/>
        <v>-0.9991037449774679</v>
      </c>
      <c r="W1117" s="12">
        <v>5.4</v>
      </c>
      <c r="X1117" s="12">
        <v>1.46</v>
      </c>
      <c r="Y1117" s="62">
        <v>2.69</v>
      </c>
    </row>
    <row r="1118" spans="1:25" x14ac:dyDescent="0.2">
      <c r="A1118" s="3" t="s">
        <v>3405</v>
      </c>
      <c r="B1118" s="3" t="s">
        <v>1197</v>
      </c>
      <c r="C1118" s="6" t="s">
        <v>355</v>
      </c>
      <c r="D1118" s="6" t="s">
        <v>1100</v>
      </c>
      <c r="E1118" s="6" t="s">
        <v>119</v>
      </c>
      <c r="F1118" s="6">
        <v>5918.82</v>
      </c>
      <c r="G1118" s="2">
        <v>6</v>
      </c>
      <c r="H1118" s="61">
        <v>6.23</v>
      </c>
      <c r="I1118" s="61">
        <v>5.91</v>
      </c>
      <c r="J1118" s="47">
        <f t="shared" si="85"/>
        <v>3.8333333333333407E-2</v>
      </c>
      <c r="K1118" s="47">
        <f t="shared" si="86"/>
        <v>-5.1364365971107585E-2</v>
      </c>
      <c r="L1118" s="8">
        <v>6.87</v>
      </c>
      <c r="M1118" s="8">
        <v>14.97</v>
      </c>
      <c r="N1118" s="8">
        <v>14.53</v>
      </c>
      <c r="O1118" s="17">
        <f t="shared" si="87"/>
        <v>3.9052173913043404</v>
      </c>
      <c r="P1118" s="17">
        <f t="shared" si="88"/>
        <v>-2.8288093749999974</v>
      </c>
      <c r="Q1118" s="17">
        <v>12.48</v>
      </c>
      <c r="R1118" s="9">
        <v>20220817</v>
      </c>
      <c r="S1118" s="9">
        <v>17.57</v>
      </c>
      <c r="T1118" s="9">
        <v>12.48</v>
      </c>
      <c r="U1118" s="9">
        <v>1710.95703</v>
      </c>
      <c r="V1118" s="45">
        <f t="shared" si="89"/>
        <v>-0.99270583668603296</v>
      </c>
      <c r="W1118" s="12">
        <v>5.31</v>
      </c>
      <c r="X1118" s="12">
        <v>0</v>
      </c>
      <c r="Y1118" s="62"/>
    </row>
    <row r="1119" spans="1:25" x14ac:dyDescent="0.2">
      <c r="A1119" s="3" t="s">
        <v>3406</v>
      </c>
      <c r="B1119" s="3" t="s">
        <v>1198</v>
      </c>
      <c r="C1119" s="6" t="s">
        <v>355</v>
      </c>
      <c r="D1119" s="6" t="s">
        <v>191</v>
      </c>
      <c r="E1119" s="6" t="s">
        <v>208</v>
      </c>
      <c r="F1119" s="6">
        <v>3528.15</v>
      </c>
      <c r="G1119" s="2">
        <v>12</v>
      </c>
      <c r="H1119" s="61">
        <v>2.06</v>
      </c>
      <c r="I1119" s="61">
        <v>2.59</v>
      </c>
      <c r="J1119" s="47">
        <f t="shared" si="85"/>
        <v>-0.82833333333333325</v>
      </c>
      <c r="K1119" s="47">
        <f t="shared" si="86"/>
        <v>0.25728155339805814</v>
      </c>
      <c r="L1119" s="8">
        <v>3</v>
      </c>
      <c r="M1119" s="8">
        <v>29.34</v>
      </c>
      <c r="N1119" s="8">
        <v>25.46</v>
      </c>
      <c r="O1119" s="17">
        <f t="shared" si="87"/>
        <v>-0.35420523138832999</v>
      </c>
      <c r="P1119" s="17">
        <f t="shared" si="88"/>
        <v>0.98957735849056649</v>
      </c>
      <c r="Q1119" s="17">
        <v>21.98</v>
      </c>
      <c r="R1119" s="9">
        <v>20220727</v>
      </c>
      <c r="S1119" s="9">
        <v>9.57</v>
      </c>
      <c r="T1119" s="9">
        <v>-4.3899999999999997</v>
      </c>
      <c r="U1119" s="9">
        <v>1021.1669900000001</v>
      </c>
      <c r="V1119" s="45">
        <f t="shared" si="89"/>
        <v>-1.0042990030455254</v>
      </c>
      <c r="W1119" s="12">
        <v>-7.69</v>
      </c>
      <c r="X1119" s="12">
        <v>0</v>
      </c>
      <c r="Y1119" s="62"/>
    </row>
    <row r="1120" spans="1:25" x14ac:dyDescent="0.2">
      <c r="A1120" s="3" t="s">
        <v>1199</v>
      </c>
      <c r="B1120" s="3" t="s">
        <v>1199</v>
      </c>
      <c r="C1120" s="6" t="s">
        <v>355</v>
      </c>
      <c r="D1120" s="6" t="s">
        <v>601</v>
      </c>
      <c r="E1120" s="6" t="s">
        <v>35</v>
      </c>
      <c r="F1120" s="6">
        <v>14401.85</v>
      </c>
      <c r="G1120" s="2">
        <v>12</v>
      </c>
      <c r="H1120" s="61">
        <v>3.87</v>
      </c>
      <c r="I1120" s="61">
        <v>3.95</v>
      </c>
      <c r="J1120" s="47">
        <f t="shared" si="85"/>
        <v>-0.67749999999999988</v>
      </c>
      <c r="K1120" s="47">
        <f t="shared" si="86"/>
        <v>2.0671834625323016E-2</v>
      </c>
      <c r="L1120" s="8">
        <v>4.2</v>
      </c>
      <c r="M1120" s="8">
        <v>12.67</v>
      </c>
      <c r="N1120" s="8">
        <v>12.9</v>
      </c>
      <c r="O1120" s="17">
        <f t="shared" si="87"/>
        <v>-0.18701107011070114</v>
      </c>
      <c r="P1120" s="17">
        <f t="shared" si="88"/>
        <v>6.2403749999999958</v>
      </c>
      <c r="Q1120" s="17">
        <v>12.11</v>
      </c>
      <c r="R1120" s="9">
        <v>20220804</v>
      </c>
      <c r="S1120" s="9">
        <v>20.190000000000001</v>
      </c>
      <c r="T1120" s="9">
        <v>6.29</v>
      </c>
      <c r="U1120" s="9">
        <v>13296.190420000001</v>
      </c>
      <c r="V1120" s="45">
        <f t="shared" si="89"/>
        <v>-0.99952693216618349</v>
      </c>
      <c r="W1120" s="12">
        <v>9.89</v>
      </c>
      <c r="X1120" s="12">
        <v>1.96</v>
      </c>
      <c r="Y1120" s="62"/>
    </row>
    <row r="1121" spans="1:25" x14ac:dyDescent="0.2">
      <c r="A1121" s="3" t="s">
        <v>3407</v>
      </c>
      <c r="B1121" s="3" t="s">
        <v>1200</v>
      </c>
      <c r="C1121" s="6" t="s">
        <v>354</v>
      </c>
      <c r="D1121" s="6" t="s">
        <v>179</v>
      </c>
      <c r="E1121" s="6" t="s">
        <v>208</v>
      </c>
      <c r="F1121" s="6">
        <v>297837</v>
      </c>
      <c r="G1121" s="2">
        <v>12</v>
      </c>
      <c r="H1121" s="61">
        <v>8.18</v>
      </c>
      <c r="I1121" s="61">
        <v>8.34</v>
      </c>
      <c r="J1121" s="47">
        <f t="shared" si="85"/>
        <v>-0.31833333333333336</v>
      </c>
      <c r="K1121" s="47">
        <f t="shared" si="86"/>
        <v>1.9559902200489015E-2</v>
      </c>
      <c r="L1121" s="8">
        <v>9.58</v>
      </c>
      <c r="M1121" s="8">
        <v>35.14</v>
      </c>
      <c r="N1121" s="8">
        <v>37.58</v>
      </c>
      <c r="O1121" s="17">
        <f t="shared" si="87"/>
        <v>-1.1038743455497382</v>
      </c>
      <c r="P1121" s="17">
        <f t="shared" si="88"/>
        <v>19.212774999999983</v>
      </c>
      <c r="Q1121" s="17">
        <v>32.71</v>
      </c>
      <c r="R1121" s="9">
        <v>20220802</v>
      </c>
      <c r="S1121" s="9">
        <v>97.58</v>
      </c>
      <c r="T1121" s="9">
        <v>4.37</v>
      </c>
      <c r="U1121" s="9">
        <v>29025.345700000002</v>
      </c>
      <c r="V1121" s="45">
        <f t="shared" si="89"/>
        <v>-0.99984944193102243</v>
      </c>
      <c r="W1121" s="12">
        <v>12.93</v>
      </c>
      <c r="X1121" s="12">
        <v>1.25</v>
      </c>
      <c r="Y1121" s="62">
        <v>2.4500000000000002</v>
      </c>
    </row>
    <row r="1122" spans="1:25" x14ac:dyDescent="0.2">
      <c r="A1122" s="3" t="s">
        <v>3408</v>
      </c>
      <c r="B1122" s="3" t="s">
        <v>1201</v>
      </c>
      <c r="C1122" s="6" t="s">
        <v>354</v>
      </c>
      <c r="D1122" s="6" t="s">
        <v>16</v>
      </c>
      <c r="E1122" s="6" t="s">
        <v>10</v>
      </c>
      <c r="F1122" s="6">
        <v>119213.26</v>
      </c>
      <c r="G1122" s="2">
        <v>12</v>
      </c>
      <c r="H1122" s="61">
        <v>22.56</v>
      </c>
      <c r="I1122" s="61">
        <v>26.84</v>
      </c>
      <c r="J1122" s="47">
        <f t="shared" si="85"/>
        <v>0.87999999999999989</v>
      </c>
      <c r="K1122" s="47">
        <f t="shared" si="86"/>
        <v>0.18971631205673764</v>
      </c>
      <c r="L1122" s="8">
        <v>28.11</v>
      </c>
      <c r="M1122" s="8">
        <v>16.309999999999999</v>
      </c>
      <c r="N1122" s="8">
        <v>16.690000000000001</v>
      </c>
      <c r="O1122" s="17">
        <f t="shared" si="87"/>
        <v>0.18534090909090911</v>
      </c>
      <c r="P1122" s="17">
        <f t="shared" si="88"/>
        <v>0.87973457943925226</v>
      </c>
      <c r="Q1122" s="17">
        <v>15.94</v>
      </c>
      <c r="R1122" s="9">
        <v>20220725</v>
      </c>
      <c r="S1122" s="9">
        <v>81.349999999999994</v>
      </c>
      <c r="T1122" s="9">
        <v>7.53</v>
      </c>
      <c r="U1122" s="9">
        <v>66238.804680000001</v>
      </c>
      <c r="V1122" s="45">
        <f t="shared" si="89"/>
        <v>-0.99988632041238701</v>
      </c>
      <c r="W1122" s="12">
        <v>3.54</v>
      </c>
      <c r="X1122" s="12">
        <v>2.5</v>
      </c>
      <c r="Y1122" s="62">
        <v>2.94</v>
      </c>
    </row>
    <row r="1123" spans="1:25" x14ac:dyDescent="0.2">
      <c r="A1123" s="3" t="s">
        <v>3409</v>
      </c>
      <c r="B1123" s="3" t="s">
        <v>1202</v>
      </c>
      <c r="C1123" s="6" t="s">
        <v>354</v>
      </c>
      <c r="D1123" s="6" t="s">
        <v>170</v>
      </c>
      <c r="E1123" s="6" t="s">
        <v>163</v>
      </c>
      <c r="F1123" s="6">
        <v>9828.48</v>
      </c>
      <c r="G1123" s="2">
        <v>12</v>
      </c>
      <c r="H1123" s="61">
        <v>8.6</v>
      </c>
      <c r="I1123" s="61">
        <v>9.7899999999999991</v>
      </c>
      <c r="J1123" s="47">
        <f t="shared" si="85"/>
        <v>-0.28333333333333338</v>
      </c>
      <c r="K1123" s="47">
        <f t="shared" si="86"/>
        <v>0.13837209302325576</v>
      </c>
      <c r="L1123" s="8">
        <v>12.52</v>
      </c>
      <c r="M1123" s="8">
        <v>7.14</v>
      </c>
      <c r="N1123" s="8">
        <v>5.84</v>
      </c>
      <c r="O1123" s="17">
        <f t="shared" si="87"/>
        <v>-0.25199999999999995</v>
      </c>
      <c r="P1123" s="17">
        <f t="shared" si="88"/>
        <v>0.42205042016806738</v>
      </c>
      <c r="Q1123" s="17">
        <v>4.57</v>
      </c>
      <c r="R1123" s="9">
        <v>20220803</v>
      </c>
      <c r="S1123" s="9">
        <v>7.68</v>
      </c>
      <c r="T1123" s="9">
        <v>7.14</v>
      </c>
      <c r="U1123" s="9">
        <v>18700.54492</v>
      </c>
      <c r="V1123" s="45">
        <f t="shared" si="89"/>
        <v>-0.99961819294408027</v>
      </c>
      <c r="W1123" s="12">
        <v>-15.74</v>
      </c>
      <c r="X1123" s="12">
        <v>3.15</v>
      </c>
      <c r="Y1123" s="62">
        <v>0.31</v>
      </c>
    </row>
    <row r="1124" spans="1:25" x14ac:dyDescent="0.2">
      <c r="A1124" s="3" t="s">
        <v>3410</v>
      </c>
      <c r="B1124" s="3" t="s">
        <v>1203</v>
      </c>
      <c r="C1124" s="6" t="s">
        <v>570</v>
      </c>
      <c r="D1124" s="6" t="s">
        <v>200</v>
      </c>
      <c r="E1124" s="6" t="s">
        <v>218</v>
      </c>
      <c r="F1124" s="6">
        <v>34585.78</v>
      </c>
      <c r="G1124" s="2">
        <v>12</v>
      </c>
      <c r="H1124" s="61">
        <v>-2.23</v>
      </c>
      <c r="I1124" s="61">
        <v>15.49</v>
      </c>
      <c r="J1124" s="47">
        <f t="shared" si="85"/>
        <v>-1.1858333333333333</v>
      </c>
      <c r="K1124" s="47">
        <f t="shared" si="86"/>
        <v>7.9461883408071747</v>
      </c>
      <c r="L1124" s="8">
        <v>12.22</v>
      </c>
      <c r="M1124" s="8">
        <v>17.77</v>
      </c>
      <c r="N1124" s="8">
        <v>8.7799999999999994</v>
      </c>
      <c r="O1124" s="17">
        <f t="shared" si="87"/>
        <v>-0.14985242445537597</v>
      </c>
      <c r="P1124" s="17">
        <f t="shared" si="88"/>
        <v>1.1049322799097065E-2</v>
      </c>
      <c r="Q1124" s="17">
        <v>11.14</v>
      </c>
      <c r="R1124" s="9">
        <v>20220804</v>
      </c>
      <c r="S1124" s="9">
        <v>341.83</v>
      </c>
      <c r="T1124" s="9">
        <v>27.74</v>
      </c>
      <c r="U1124" s="9">
        <v>28752.777340000001</v>
      </c>
      <c r="V1124" s="45">
        <f t="shared" si="89"/>
        <v>-0.99903522363519959</v>
      </c>
      <c r="W1124" s="12">
        <v>120.06</v>
      </c>
      <c r="X1124" s="12">
        <v>0.97</v>
      </c>
      <c r="Y1124" s="62">
        <v>0.16</v>
      </c>
    </row>
    <row r="1125" spans="1:25" x14ac:dyDescent="0.2">
      <c r="A1125" s="3" t="s">
        <v>1877</v>
      </c>
      <c r="B1125" s="3" t="s">
        <v>1878</v>
      </c>
      <c r="C1125" s="6" t="s">
        <v>356</v>
      </c>
      <c r="D1125" s="6" t="s">
        <v>219</v>
      </c>
      <c r="E1125" s="6" t="s">
        <v>231</v>
      </c>
      <c r="F1125" s="6">
        <v>17356.439999999999</v>
      </c>
      <c r="G1125" s="2">
        <v>12</v>
      </c>
      <c r="H1125" s="61">
        <v>5.51</v>
      </c>
      <c r="I1125" s="61">
        <v>7.59</v>
      </c>
      <c r="J1125" s="47">
        <f t="shared" si="85"/>
        <v>-0.54083333333333339</v>
      </c>
      <c r="K1125" s="47">
        <f t="shared" si="86"/>
        <v>0.37749546279491836</v>
      </c>
      <c r="L1125" s="8">
        <v>9.69</v>
      </c>
      <c r="N1125" s="8">
        <v>21.83</v>
      </c>
      <c r="O1125" s="17">
        <f t="shared" si="87"/>
        <v>0</v>
      </c>
      <c r="P1125" s="17">
        <f t="shared" si="88"/>
        <v>0.57828509615384605</v>
      </c>
      <c r="Q1125" s="17">
        <v>17.100000000000001</v>
      </c>
      <c r="U1125" s="9">
        <v>4212.5351499999997</v>
      </c>
      <c r="V1125" s="45">
        <f t="shared" si="89"/>
        <v>-1</v>
      </c>
      <c r="X1125" s="12">
        <v>0.45</v>
      </c>
      <c r="Y1125" s="62"/>
    </row>
    <row r="1126" spans="1:25" x14ac:dyDescent="0.2">
      <c r="A1126" s="3" t="s">
        <v>3411</v>
      </c>
      <c r="B1126" s="3" t="s">
        <v>1204</v>
      </c>
      <c r="C1126" s="6" t="s">
        <v>355</v>
      </c>
      <c r="D1126" s="6" t="s">
        <v>246</v>
      </c>
      <c r="E1126" s="6" t="s">
        <v>250</v>
      </c>
      <c r="F1126" s="6">
        <v>15665.14</v>
      </c>
      <c r="G1126" s="2">
        <v>12</v>
      </c>
      <c r="H1126" s="61">
        <v>2.64</v>
      </c>
      <c r="I1126" s="61">
        <v>2.75</v>
      </c>
      <c r="J1126" s="47">
        <f t="shared" si="85"/>
        <v>-0.77999999999999992</v>
      </c>
      <c r="K1126" s="47">
        <f t="shared" si="86"/>
        <v>4.1666666666666616E-2</v>
      </c>
      <c r="L1126" s="8">
        <v>2.89</v>
      </c>
      <c r="M1126" s="8">
        <v>23.05</v>
      </c>
      <c r="N1126" s="8">
        <v>22.71</v>
      </c>
      <c r="O1126" s="17">
        <f t="shared" si="87"/>
        <v>-0.29551282051282057</v>
      </c>
      <c r="P1126" s="17">
        <f t="shared" si="88"/>
        <v>5.4504000000000064</v>
      </c>
      <c r="Q1126" s="17">
        <v>21.58</v>
      </c>
      <c r="R1126" s="9">
        <v>20220804</v>
      </c>
      <c r="S1126" s="9">
        <v>11.6</v>
      </c>
      <c r="T1126" s="9">
        <v>1.32</v>
      </c>
      <c r="V1126" s="45" t="e">
        <f t="shared" si="89"/>
        <v>#DIV/0!</v>
      </c>
      <c r="W1126" s="12">
        <v>8.4499999999999993</v>
      </c>
      <c r="X1126" s="12">
        <v>2.74</v>
      </c>
      <c r="Y1126" s="62">
        <v>3.97</v>
      </c>
    </row>
    <row r="1127" spans="1:25" x14ac:dyDescent="0.2">
      <c r="A1127" s="3" t="s">
        <v>3412</v>
      </c>
      <c r="B1127" s="3" t="s">
        <v>3413</v>
      </c>
      <c r="C1127" s="6" t="s">
        <v>355</v>
      </c>
      <c r="D1127" s="6" t="s">
        <v>193</v>
      </c>
      <c r="E1127" s="6" t="s">
        <v>208</v>
      </c>
      <c r="F1127" s="6">
        <v>4540.1400000000003</v>
      </c>
      <c r="G1127" s="2">
        <v>12</v>
      </c>
      <c r="H1127" s="61">
        <v>0.41</v>
      </c>
      <c r="I1127" s="61">
        <v>3.04</v>
      </c>
      <c r="J1127" s="47">
        <f t="shared" si="85"/>
        <v>-0.96583333333333332</v>
      </c>
      <c r="K1127" s="47">
        <f t="shared" si="86"/>
        <v>6.4146341463414638</v>
      </c>
      <c r="L1127" s="8">
        <v>3.33</v>
      </c>
      <c r="M1127" s="8">
        <v>46.92</v>
      </c>
      <c r="N1127" s="8">
        <v>21.74</v>
      </c>
      <c r="O1127" s="17">
        <f t="shared" si="87"/>
        <v>-0.48579810181190686</v>
      </c>
      <c r="P1127" s="17">
        <f t="shared" si="88"/>
        <v>3.3891254752851707E-2</v>
      </c>
      <c r="Q1127" s="17">
        <v>19.88</v>
      </c>
      <c r="R1127" s="9">
        <v>20220727</v>
      </c>
      <c r="S1127" s="9">
        <v>19.829999999999998</v>
      </c>
      <c r="T1127" s="9">
        <v>5.83</v>
      </c>
      <c r="U1127" s="9">
        <v>822.55400999999995</v>
      </c>
      <c r="V1127" s="45">
        <f t="shared" si="89"/>
        <v>-0.99291231952051384</v>
      </c>
      <c r="W1127" s="12">
        <v>110.87</v>
      </c>
      <c r="X1127" s="12">
        <v>0</v>
      </c>
      <c r="Y1127" s="62">
        <v>0.64</v>
      </c>
    </row>
    <row r="1128" spans="1:25" x14ac:dyDescent="0.2">
      <c r="A1128" s="3" t="s">
        <v>3414</v>
      </c>
      <c r="B1128" s="3" t="s">
        <v>1205</v>
      </c>
      <c r="C1128" s="6" t="s">
        <v>356</v>
      </c>
      <c r="D1128" s="6" t="s">
        <v>131</v>
      </c>
      <c r="E1128" s="6" t="s">
        <v>119</v>
      </c>
      <c r="F1128" s="6">
        <v>11427.58</v>
      </c>
      <c r="G1128" s="2">
        <v>3</v>
      </c>
      <c r="H1128" s="61">
        <v>3.55</v>
      </c>
      <c r="I1128" s="61">
        <v>3.1</v>
      </c>
      <c r="J1128" s="47">
        <f t="shared" si="85"/>
        <v>0.18333333333333326</v>
      </c>
      <c r="K1128" s="47">
        <f t="shared" si="86"/>
        <v>-0.12676056338028163</v>
      </c>
      <c r="L1128" s="8">
        <v>2.9</v>
      </c>
      <c r="M1128" s="8">
        <v>6.08</v>
      </c>
      <c r="N1128" s="8">
        <v>6.12</v>
      </c>
      <c r="O1128" s="17">
        <f t="shared" si="87"/>
        <v>0.33163636363636378</v>
      </c>
      <c r="P1128" s="17">
        <f t="shared" si="88"/>
        <v>-0.48280000000000023</v>
      </c>
      <c r="Q1128" s="17">
        <v>6.54</v>
      </c>
      <c r="R1128" s="9">
        <v>20220810</v>
      </c>
      <c r="S1128" s="9">
        <v>46.51</v>
      </c>
      <c r="T1128" s="9">
        <v>9.6999999999999993</v>
      </c>
      <c r="U1128" s="9">
        <v>73104.71875</v>
      </c>
      <c r="V1128" s="45">
        <f t="shared" si="89"/>
        <v>-0.99986731362672809</v>
      </c>
      <c r="W1128" s="12">
        <v>-8.57</v>
      </c>
      <c r="X1128" s="12">
        <v>1.95</v>
      </c>
      <c r="Y1128" s="62">
        <v>0.32</v>
      </c>
    </row>
    <row r="1129" spans="1:25" x14ac:dyDescent="0.2">
      <c r="A1129" s="3" t="s">
        <v>3415</v>
      </c>
      <c r="B1129" s="3" t="s">
        <v>3416</v>
      </c>
      <c r="C1129" s="6" t="s">
        <v>355</v>
      </c>
      <c r="D1129" s="6" t="s">
        <v>157</v>
      </c>
      <c r="E1129" s="6" t="s">
        <v>146</v>
      </c>
      <c r="F1129" s="6">
        <v>4955.47</v>
      </c>
      <c r="G1129" s="2">
        <v>12</v>
      </c>
      <c r="H1129" s="61">
        <v>1.72</v>
      </c>
      <c r="I1129" s="61">
        <v>0.2</v>
      </c>
      <c r="J1129" s="47">
        <f t="shared" si="85"/>
        <v>-0.85666666666666658</v>
      </c>
      <c r="K1129" s="47">
        <f t="shared" si="86"/>
        <v>-0.88372093023255816</v>
      </c>
      <c r="L1129" s="8">
        <v>2.59</v>
      </c>
      <c r="M1129" s="8">
        <v>26.98</v>
      </c>
      <c r="N1129" s="8">
        <v>252.68</v>
      </c>
      <c r="O1129" s="17">
        <f t="shared" si="87"/>
        <v>-0.31494163424124516</v>
      </c>
      <c r="P1129" s="17">
        <f t="shared" si="88"/>
        <v>-2.8592736842105264</v>
      </c>
      <c r="Q1129" s="17">
        <v>20.02</v>
      </c>
      <c r="R1129" s="9">
        <v>20220808</v>
      </c>
      <c r="S1129" s="9">
        <v>-8.77</v>
      </c>
      <c r="T1129" s="9">
        <v>-3.34</v>
      </c>
      <c r="U1129" s="9">
        <v>2451.4130799999998</v>
      </c>
      <c r="V1129" s="45">
        <f t="shared" si="89"/>
        <v>-1.0013624794724518</v>
      </c>
      <c r="W1129" s="12">
        <v>-75.61</v>
      </c>
      <c r="X1129" s="12">
        <v>0</v>
      </c>
      <c r="Y1129" s="62"/>
    </row>
    <row r="1130" spans="1:25" x14ac:dyDescent="0.2">
      <c r="A1130" s="3" t="s">
        <v>3417</v>
      </c>
      <c r="B1130" s="3" t="s">
        <v>1207</v>
      </c>
      <c r="C1130" s="6" t="s">
        <v>354</v>
      </c>
      <c r="D1130" s="6" t="s">
        <v>534</v>
      </c>
      <c r="E1130" s="6" t="s">
        <v>231</v>
      </c>
      <c r="F1130" s="6">
        <v>129268.99</v>
      </c>
      <c r="G1130" s="2">
        <v>1</v>
      </c>
      <c r="H1130" s="61">
        <v>12.09</v>
      </c>
      <c r="I1130" s="61">
        <v>13.49</v>
      </c>
      <c r="J1130" s="47">
        <f t="shared" si="85"/>
        <v>11.09</v>
      </c>
      <c r="K1130" s="47">
        <f t="shared" si="86"/>
        <v>0.11579818031430937</v>
      </c>
      <c r="L1130" s="8">
        <v>14.71</v>
      </c>
      <c r="M1130" s="8">
        <v>15.94</v>
      </c>
      <c r="N1130" s="8">
        <v>14.49</v>
      </c>
      <c r="O1130" s="17">
        <f t="shared" si="87"/>
        <v>1.4373309287646527E-2</v>
      </c>
      <c r="P1130" s="17">
        <f t="shared" si="88"/>
        <v>1.2513149999999997</v>
      </c>
      <c r="Q1130" s="17">
        <v>13.29</v>
      </c>
      <c r="R1130" s="9">
        <v>20220817</v>
      </c>
      <c r="S1130" s="9">
        <v>-251.5</v>
      </c>
      <c r="T1130" s="9">
        <v>8.91</v>
      </c>
      <c r="U1130" s="9">
        <v>97874.226559999996</v>
      </c>
      <c r="V1130" s="45">
        <f t="shared" si="89"/>
        <v>-0.99990896479785163</v>
      </c>
      <c r="W1130" s="12">
        <v>8.33</v>
      </c>
      <c r="X1130" s="12">
        <v>1.64</v>
      </c>
      <c r="Y1130" s="62">
        <v>1.1499999999999999</v>
      </c>
    </row>
    <row r="1131" spans="1:25" x14ac:dyDescent="0.2">
      <c r="A1131" s="3" t="s">
        <v>3418</v>
      </c>
      <c r="B1131" s="3" t="s">
        <v>1208</v>
      </c>
      <c r="C1131" s="6" t="s">
        <v>354</v>
      </c>
      <c r="D1131" s="6" t="s">
        <v>1206</v>
      </c>
      <c r="E1131" s="6" t="s">
        <v>119</v>
      </c>
      <c r="F1131" s="6">
        <v>4894.92</v>
      </c>
      <c r="G1131" s="2">
        <v>12</v>
      </c>
      <c r="H1131" s="61">
        <v>1.79</v>
      </c>
      <c r="I1131" s="61">
        <v>0.74</v>
      </c>
      <c r="J1131" s="47">
        <f t="shared" si="85"/>
        <v>-0.85083333333333344</v>
      </c>
      <c r="K1131" s="47">
        <f t="shared" si="86"/>
        <v>-0.58659217877094971</v>
      </c>
      <c r="L1131" s="8">
        <v>0.75</v>
      </c>
      <c r="M1131" s="8">
        <v>5.0999999999999996</v>
      </c>
      <c r="N1131" s="8">
        <v>9.24</v>
      </c>
      <c r="O1131" s="17">
        <f t="shared" si="87"/>
        <v>-5.9941234084231132E-2</v>
      </c>
      <c r="P1131" s="17">
        <f t="shared" si="88"/>
        <v>-0.15751999999999999</v>
      </c>
      <c r="Q1131" s="17">
        <v>9.18</v>
      </c>
      <c r="R1131" s="9">
        <v>20220727</v>
      </c>
      <c r="S1131" s="9">
        <v>7.37</v>
      </c>
      <c r="T1131" s="9">
        <v>0.17</v>
      </c>
      <c r="U1131" s="9">
        <v>22304.269530000001</v>
      </c>
      <c r="V1131" s="45">
        <f t="shared" si="89"/>
        <v>-0.99999237814088604</v>
      </c>
      <c r="W1131" s="12">
        <v>-166.67</v>
      </c>
      <c r="X1131" s="12">
        <v>2.71</v>
      </c>
      <c r="Y1131" s="62">
        <v>0.28000000000000003</v>
      </c>
    </row>
    <row r="1132" spans="1:25" x14ac:dyDescent="0.2">
      <c r="A1132" s="3" t="s">
        <v>3419</v>
      </c>
      <c r="B1132" s="3" t="s">
        <v>1209</v>
      </c>
      <c r="C1132" s="6" t="s">
        <v>355</v>
      </c>
      <c r="D1132" s="6" t="s">
        <v>885</v>
      </c>
      <c r="E1132" s="6" t="s">
        <v>163</v>
      </c>
      <c r="F1132" s="6">
        <v>15565.13</v>
      </c>
      <c r="G1132" s="2">
        <v>12</v>
      </c>
      <c r="H1132" s="61">
        <v>6.93</v>
      </c>
      <c r="I1132" s="61">
        <v>9.69</v>
      </c>
      <c r="J1132" s="47">
        <f t="shared" si="85"/>
        <v>-0.42250000000000004</v>
      </c>
      <c r="K1132" s="47">
        <f t="shared" si="86"/>
        <v>0.39826839826839827</v>
      </c>
      <c r="L1132" s="8">
        <v>15.63</v>
      </c>
      <c r="M1132" s="8">
        <v>27.03</v>
      </c>
      <c r="N1132" s="8">
        <v>20.079999999999998</v>
      </c>
      <c r="O1132" s="17">
        <f t="shared" si="87"/>
        <v>-0.63976331360946737</v>
      </c>
      <c r="P1132" s="17">
        <f t="shared" si="88"/>
        <v>0.50418260869565212</v>
      </c>
      <c r="Q1132" s="17">
        <v>12.45</v>
      </c>
      <c r="R1132" s="9">
        <v>20220804</v>
      </c>
      <c r="S1132" s="9">
        <v>35.82</v>
      </c>
      <c r="T1132" s="9">
        <v>13.36</v>
      </c>
      <c r="U1132" s="9">
        <v>8597.3203099999992</v>
      </c>
      <c r="V1132" s="45">
        <f t="shared" si="89"/>
        <v>-0.99844602742270039</v>
      </c>
      <c r="W1132" s="12">
        <v>8.94</v>
      </c>
      <c r="X1132" s="12">
        <v>0.51</v>
      </c>
      <c r="Y1132" s="62">
        <v>0.53</v>
      </c>
    </row>
    <row r="1133" spans="1:25" x14ac:dyDescent="0.2">
      <c r="A1133" s="3" t="s">
        <v>3420</v>
      </c>
      <c r="B1133" s="3" t="s">
        <v>1210</v>
      </c>
      <c r="C1133" s="6" t="s">
        <v>354</v>
      </c>
      <c r="D1133" s="6" t="s">
        <v>122</v>
      </c>
      <c r="E1133" s="6" t="s">
        <v>140</v>
      </c>
      <c r="F1133" s="6">
        <v>5716.27</v>
      </c>
      <c r="G1133" s="2">
        <v>12</v>
      </c>
      <c r="H1133" s="61">
        <v>13.54</v>
      </c>
      <c r="I1133" s="61">
        <v>14.87</v>
      </c>
      <c r="J1133" s="47">
        <f t="shared" si="85"/>
        <v>0.12833333333333327</v>
      </c>
      <c r="K1133" s="47">
        <f t="shared" si="86"/>
        <v>9.8227474150664712E-2</v>
      </c>
      <c r="L1133" s="8">
        <v>7.65</v>
      </c>
      <c r="M1133" s="8">
        <v>4.37</v>
      </c>
      <c r="N1133" s="8">
        <v>4.68</v>
      </c>
      <c r="O1133" s="17">
        <f t="shared" si="87"/>
        <v>0.34051948051948072</v>
      </c>
      <c r="P1133" s="17">
        <f t="shared" si="88"/>
        <v>0.47644511278195478</v>
      </c>
      <c r="Q1133" s="17">
        <v>9.1</v>
      </c>
      <c r="R1133" s="9">
        <v>20220802</v>
      </c>
      <c r="S1133" s="9">
        <v>105.01</v>
      </c>
      <c r="T1133" s="9">
        <v>10.42</v>
      </c>
      <c r="U1133" s="9">
        <v>4558</v>
      </c>
      <c r="V1133" s="45">
        <f t="shared" si="89"/>
        <v>-0.99771390960947781</v>
      </c>
      <c r="W1133" s="12">
        <v>11.89</v>
      </c>
      <c r="X1133" s="12">
        <v>1.26</v>
      </c>
      <c r="Y1133" s="62"/>
    </row>
    <row r="1134" spans="1:25" x14ac:dyDescent="0.2">
      <c r="B1134" s="3" t="s">
        <v>2205</v>
      </c>
      <c r="C1134" s="6" t="s">
        <v>354</v>
      </c>
      <c r="D1134" s="6" t="s">
        <v>519</v>
      </c>
      <c r="E1134" s="6" t="s">
        <v>163</v>
      </c>
      <c r="F1134" s="6">
        <v>34280.839999999997</v>
      </c>
      <c r="G1134" s="2">
        <v>12</v>
      </c>
      <c r="H1134" s="61"/>
      <c r="I1134" s="61"/>
      <c r="J1134" s="47">
        <f t="shared" si="85"/>
        <v>-1</v>
      </c>
      <c r="K1134" s="47" t="e">
        <f t="shared" si="86"/>
        <v>#DIV/0!</v>
      </c>
      <c r="O1134" s="17">
        <f t="shared" si="87"/>
        <v>0</v>
      </c>
      <c r="P1134" s="17" t="e">
        <f t="shared" si="88"/>
        <v>#DIV/0!</v>
      </c>
      <c r="Q1134" s="17"/>
      <c r="V1134" s="45" t="e">
        <f t="shared" si="89"/>
        <v>#DIV/0!</v>
      </c>
      <c r="X1134" s="12">
        <v>2.62</v>
      </c>
      <c r="Y1134" s="62"/>
    </row>
    <row r="1135" spans="1:25" x14ac:dyDescent="0.2">
      <c r="A1135" s="3" t="s">
        <v>3421</v>
      </c>
      <c r="B1135" s="3" t="s">
        <v>1211</v>
      </c>
      <c r="C1135" s="6" t="s">
        <v>355</v>
      </c>
      <c r="D1135" s="6" t="s">
        <v>229</v>
      </c>
      <c r="E1135" s="6" t="s">
        <v>119</v>
      </c>
      <c r="F1135" s="6">
        <v>70635.08</v>
      </c>
      <c r="G1135" s="2">
        <v>6</v>
      </c>
      <c r="H1135" s="61">
        <v>26.71</v>
      </c>
      <c r="I1135" s="61">
        <v>31.59</v>
      </c>
      <c r="J1135" s="47">
        <f t="shared" si="85"/>
        <v>3.4516666666666667</v>
      </c>
      <c r="K1135" s="47">
        <f t="shared" si="86"/>
        <v>0.18270310745039306</v>
      </c>
      <c r="L1135" s="8">
        <v>38.44</v>
      </c>
      <c r="M1135" s="8">
        <v>15.73</v>
      </c>
      <c r="N1135" s="8">
        <v>16.12</v>
      </c>
      <c r="O1135" s="17">
        <f t="shared" si="87"/>
        <v>4.5572187349106709E-2</v>
      </c>
      <c r="P1135" s="17">
        <f t="shared" si="88"/>
        <v>0.88230573770491827</v>
      </c>
      <c r="Q1135" s="17">
        <v>13.25</v>
      </c>
      <c r="R1135" s="9">
        <v>20220727</v>
      </c>
      <c r="S1135" s="9">
        <v>75.510000000000005</v>
      </c>
      <c r="T1135" s="9">
        <v>12.56</v>
      </c>
      <c r="U1135" s="9">
        <v>16803.744139999999</v>
      </c>
      <c r="V1135" s="45">
        <f t="shared" si="89"/>
        <v>-0.99925254753373072</v>
      </c>
      <c r="W1135" s="12">
        <v>-1.07</v>
      </c>
      <c r="X1135" s="12">
        <v>1.18</v>
      </c>
      <c r="Y1135" s="62">
        <v>1.04</v>
      </c>
    </row>
    <row r="1136" spans="1:25" x14ac:dyDescent="0.2">
      <c r="A1136" s="3" t="s">
        <v>3422</v>
      </c>
      <c r="B1136" s="3" t="s">
        <v>1212</v>
      </c>
      <c r="C1136" s="6" t="s">
        <v>356</v>
      </c>
      <c r="D1136" s="6" t="s">
        <v>700</v>
      </c>
      <c r="E1136" s="6" t="s">
        <v>154</v>
      </c>
      <c r="F1136" s="6">
        <v>178988.34</v>
      </c>
      <c r="G1136" s="2">
        <v>12</v>
      </c>
      <c r="H1136" s="61">
        <v>1.98</v>
      </c>
      <c r="I1136" s="61">
        <v>2.2400000000000002</v>
      </c>
      <c r="J1136" s="47">
        <f t="shared" si="85"/>
        <v>-0.83499999999999996</v>
      </c>
      <c r="K1136" s="47">
        <f t="shared" si="86"/>
        <v>0.13131313131313144</v>
      </c>
      <c r="L1136" s="8">
        <v>2.4300000000000002</v>
      </c>
      <c r="N1136" s="8">
        <v>29.85</v>
      </c>
      <c r="O1136" s="17">
        <f t="shared" si="87"/>
        <v>0</v>
      </c>
      <c r="P1136" s="17">
        <f t="shared" si="88"/>
        <v>2.2731923076923057</v>
      </c>
      <c r="Q1136" s="17">
        <v>27.51</v>
      </c>
      <c r="U1136" s="9">
        <v>39495.730459999999</v>
      </c>
      <c r="V1136" s="45">
        <f t="shared" si="89"/>
        <v>-1</v>
      </c>
      <c r="X1136" s="12">
        <v>1.19</v>
      </c>
      <c r="Y1136" s="62">
        <v>3.06</v>
      </c>
    </row>
    <row r="1137" spans="1:25" x14ac:dyDescent="0.2">
      <c r="A1137" s="3" t="s">
        <v>3423</v>
      </c>
      <c r="B1137" s="3" t="s">
        <v>1213</v>
      </c>
      <c r="C1137" s="6" t="s">
        <v>355</v>
      </c>
      <c r="D1137" s="6" t="s">
        <v>143</v>
      </c>
      <c r="E1137" s="6" t="s">
        <v>119</v>
      </c>
      <c r="F1137" s="6">
        <v>6894.3</v>
      </c>
      <c r="G1137" s="2">
        <v>12</v>
      </c>
      <c r="H1137" s="61">
        <v>1.02</v>
      </c>
      <c r="I1137" s="61">
        <v>1.59</v>
      </c>
      <c r="J1137" s="47">
        <f t="shared" si="85"/>
        <v>-0.91500000000000004</v>
      </c>
      <c r="K1137" s="47">
        <f t="shared" si="86"/>
        <v>0.55882352941176472</v>
      </c>
      <c r="L1137" s="8">
        <v>1.88</v>
      </c>
      <c r="M1137" s="8">
        <v>41.07</v>
      </c>
      <c r="N1137" s="8">
        <v>31.46</v>
      </c>
      <c r="O1137" s="17">
        <f t="shared" si="87"/>
        <v>-0.44885245901639342</v>
      </c>
      <c r="P1137" s="17">
        <f t="shared" si="88"/>
        <v>0.56296842105263156</v>
      </c>
      <c r="Q1137" s="17">
        <v>26.68</v>
      </c>
      <c r="R1137" s="9">
        <v>20220802</v>
      </c>
      <c r="S1137" s="9">
        <v>29.28</v>
      </c>
      <c r="T1137" s="9">
        <v>4.79</v>
      </c>
      <c r="U1137" s="9">
        <v>634.36699999999996</v>
      </c>
      <c r="V1137" s="45">
        <f t="shared" si="89"/>
        <v>-0.99244916586140208</v>
      </c>
      <c r="W1137" s="12">
        <v>12.12</v>
      </c>
      <c r="X1137" s="12">
        <v>0</v>
      </c>
      <c r="Y1137" s="62"/>
    </row>
    <row r="1138" spans="1:25" x14ac:dyDescent="0.2">
      <c r="A1138" s="3" t="s">
        <v>3424</v>
      </c>
      <c r="B1138" s="3" t="s">
        <v>1214</v>
      </c>
      <c r="C1138" s="6" t="s">
        <v>356</v>
      </c>
      <c r="D1138" s="6" t="s">
        <v>357</v>
      </c>
      <c r="E1138" s="6" t="s">
        <v>163</v>
      </c>
      <c r="F1138" s="6">
        <v>6577.83</v>
      </c>
      <c r="G1138" s="2">
        <v>3</v>
      </c>
      <c r="H1138" s="61">
        <v>0.61</v>
      </c>
      <c r="I1138" s="61">
        <v>0.63</v>
      </c>
      <c r="J1138" s="47">
        <f t="shared" si="85"/>
        <v>-0.79666666666666675</v>
      </c>
      <c r="K1138" s="47">
        <f t="shared" si="86"/>
        <v>3.2786885245901669E-2</v>
      </c>
      <c r="L1138" s="8">
        <v>0.69</v>
      </c>
      <c r="N1138" s="8">
        <v>14.14</v>
      </c>
      <c r="O1138" s="17">
        <f t="shared" si="87"/>
        <v>0</v>
      </c>
      <c r="P1138" s="17">
        <f t="shared" si="88"/>
        <v>4.3126999999999969</v>
      </c>
      <c r="Q1138" s="17">
        <v>12.9</v>
      </c>
      <c r="R1138" s="9">
        <v>20220816</v>
      </c>
      <c r="U1138" s="9">
        <v>652.30700000000002</v>
      </c>
      <c r="V1138" s="45">
        <f t="shared" si="89"/>
        <v>-1</v>
      </c>
      <c r="X1138" s="12">
        <v>0</v>
      </c>
      <c r="Y1138" s="62"/>
    </row>
    <row r="1139" spans="1:25" x14ac:dyDescent="0.2">
      <c r="A1139" s="3" t="s">
        <v>3425</v>
      </c>
      <c r="B1139" s="3" t="s">
        <v>1215</v>
      </c>
      <c r="C1139" s="6" t="s">
        <v>354</v>
      </c>
      <c r="D1139" s="6" t="s">
        <v>215</v>
      </c>
      <c r="E1139" s="6" t="s">
        <v>163</v>
      </c>
      <c r="F1139" s="6">
        <v>9595.67</v>
      </c>
      <c r="G1139" s="2">
        <v>12</v>
      </c>
      <c r="H1139" s="61">
        <v>5.01</v>
      </c>
      <c r="I1139" s="61">
        <v>6.15</v>
      </c>
      <c r="J1139" s="47">
        <f t="shared" si="85"/>
        <v>-0.58250000000000002</v>
      </c>
      <c r="K1139" s="47">
        <f t="shared" si="86"/>
        <v>0.22754491017964085</v>
      </c>
      <c r="L1139" s="8">
        <v>6.62</v>
      </c>
      <c r="M1139" s="8">
        <v>20.99</v>
      </c>
      <c r="N1139" s="8">
        <v>18.5</v>
      </c>
      <c r="O1139" s="17">
        <f t="shared" si="87"/>
        <v>-0.36034334763948495</v>
      </c>
      <c r="P1139" s="17">
        <f t="shared" si="88"/>
        <v>0.81302631578947326</v>
      </c>
      <c r="Q1139" s="17">
        <v>17.18</v>
      </c>
      <c r="R1139" s="9">
        <v>20220802</v>
      </c>
      <c r="S1139" s="9">
        <v>8.7100000000000009</v>
      </c>
      <c r="T1139" s="9">
        <v>8.92</v>
      </c>
      <c r="U1139" s="9">
        <v>975.06200999999999</v>
      </c>
      <c r="V1139" s="45">
        <f t="shared" si="89"/>
        <v>-0.99085186387273982</v>
      </c>
      <c r="W1139" s="12">
        <v>2.13</v>
      </c>
      <c r="X1139" s="12">
        <v>3.52</v>
      </c>
      <c r="Y1139" s="62">
        <v>5.0999999999999996</v>
      </c>
    </row>
    <row r="1140" spans="1:25" x14ac:dyDescent="0.2">
      <c r="A1140" s="3" t="s">
        <v>3426</v>
      </c>
      <c r="B1140" s="3" t="s">
        <v>1216</v>
      </c>
      <c r="C1140" s="6" t="s">
        <v>354</v>
      </c>
      <c r="D1140" s="6" t="s">
        <v>233</v>
      </c>
      <c r="E1140" s="6" t="s">
        <v>108</v>
      </c>
      <c r="F1140" s="6">
        <v>3689.7</v>
      </c>
      <c r="G1140" s="2">
        <v>3</v>
      </c>
      <c r="H1140" s="61">
        <v>-0.36</v>
      </c>
      <c r="I1140" s="61">
        <v>-0.33</v>
      </c>
      <c r="J1140" s="47">
        <f t="shared" si="85"/>
        <v>-1.1199999999999999</v>
      </c>
      <c r="K1140" s="47">
        <f t="shared" si="86"/>
        <v>8.3333333333333259E-2</v>
      </c>
      <c r="L1140" s="8">
        <v>-0.1</v>
      </c>
      <c r="O1140" s="17">
        <f t="shared" si="87"/>
        <v>0</v>
      </c>
      <c r="P1140" s="17">
        <f t="shared" si="88"/>
        <v>0</v>
      </c>
      <c r="Q1140" s="17"/>
      <c r="R1140" s="9">
        <v>20220804</v>
      </c>
      <c r="S1140" s="9">
        <v>-4.5599999999999996</v>
      </c>
      <c r="U1140" s="9">
        <v>752.27800999999999</v>
      </c>
      <c r="V1140" s="45">
        <f t="shared" si="89"/>
        <v>-1</v>
      </c>
      <c r="W1140" s="12">
        <v>0</v>
      </c>
      <c r="X1140" s="12">
        <v>0</v>
      </c>
      <c r="Y1140" s="62"/>
    </row>
    <row r="1141" spans="1:25" x14ac:dyDescent="0.2">
      <c r="A1141" s="3" t="s">
        <v>3427</v>
      </c>
      <c r="B1141" s="3" t="s">
        <v>1217</v>
      </c>
      <c r="C1141" s="6" t="s">
        <v>355</v>
      </c>
      <c r="D1141" s="6" t="s">
        <v>1120</v>
      </c>
      <c r="E1141" s="6" t="s">
        <v>237</v>
      </c>
      <c r="F1141" s="6">
        <v>5733.2</v>
      </c>
      <c r="G1141" s="2">
        <v>12</v>
      </c>
      <c r="H1141" s="61">
        <v>9.8000000000000007</v>
      </c>
      <c r="I1141" s="61">
        <v>11.57</v>
      </c>
      <c r="J1141" s="47">
        <f t="shared" si="85"/>
        <v>-0.18333333333333326</v>
      </c>
      <c r="K1141" s="47">
        <f t="shared" si="86"/>
        <v>0.18061224489795913</v>
      </c>
      <c r="L1141" s="8">
        <v>9.49</v>
      </c>
      <c r="M1141" s="8">
        <v>13.65</v>
      </c>
      <c r="N1141" s="8">
        <v>13.34</v>
      </c>
      <c r="O1141" s="17">
        <f t="shared" si="87"/>
        <v>-0.74454545454545495</v>
      </c>
      <c r="P1141" s="17">
        <f t="shared" si="88"/>
        <v>0.73859887005649749</v>
      </c>
      <c r="Q1141" s="17">
        <v>16.28</v>
      </c>
      <c r="R1141" s="9">
        <v>20220720</v>
      </c>
      <c r="S1141" s="9">
        <v>49.78</v>
      </c>
      <c r="T1141" s="9">
        <v>10.63</v>
      </c>
      <c r="U1141" s="9">
        <v>7364.4501899999996</v>
      </c>
      <c r="V1141" s="45">
        <f t="shared" si="89"/>
        <v>-0.99855657927940988</v>
      </c>
      <c r="W1141" s="12">
        <v>7.74</v>
      </c>
      <c r="X1141" s="12">
        <v>0.65</v>
      </c>
      <c r="Y1141" s="62">
        <v>1.1100000000000001</v>
      </c>
    </row>
    <row r="1142" spans="1:25" x14ac:dyDescent="0.2">
      <c r="A1142" s="3" t="s">
        <v>3071</v>
      </c>
      <c r="B1142" s="3" t="s">
        <v>2206</v>
      </c>
      <c r="C1142" s="6" t="s">
        <v>355</v>
      </c>
      <c r="D1142" s="6" t="s">
        <v>1104</v>
      </c>
      <c r="E1142" s="6" t="s">
        <v>119</v>
      </c>
      <c r="F1142" s="6">
        <v>13695.9</v>
      </c>
      <c r="G1142" s="2">
        <v>12</v>
      </c>
      <c r="H1142" s="61"/>
      <c r="I1142" s="61"/>
      <c r="J1142" s="47">
        <f t="shared" si="85"/>
        <v>-1</v>
      </c>
      <c r="K1142" s="47" t="e">
        <f t="shared" si="86"/>
        <v>#DIV/0!</v>
      </c>
      <c r="M1142" s="8">
        <v>15.61</v>
      </c>
      <c r="O1142" s="17">
        <f t="shared" si="87"/>
        <v>-0.15609999999999999</v>
      </c>
      <c r="P1142" s="17" t="e">
        <f t="shared" si="88"/>
        <v>#DIV/0!</v>
      </c>
      <c r="Q1142" s="17"/>
      <c r="R1142" s="9">
        <v>20220805</v>
      </c>
      <c r="S1142" s="9">
        <v>4.8499999999999996</v>
      </c>
      <c r="T1142" s="9">
        <v>13.51</v>
      </c>
      <c r="U1142" s="9">
        <v>9009.0097600000008</v>
      </c>
      <c r="V1142" s="45">
        <f t="shared" si="89"/>
        <v>-0.99850039012500746</v>
      </c>
      <c r="X1142" s="12">
        <v>0</v>
      </c>
      <c r="Y1142" s="62"/>
    </row>
    <row r="1143" spans="1:25" x14ac:dyDescent="0.2">
      <c r="A1143" s="3" t="s">
        <v>3071</v>
      </c>
      <c r="B1143" s="3" t="s">
        <v>2207</v>
      </c>
      <c r="C1143" s="6" t="s">
        <v>355</v>
      </c>
      <c r="D1143" s="6" t="s">
        <v>1104</v>
      </c>
      <c r="E1143" s="6" t="s">
        <v>119</v>
      </c>
      <c r="F1143" s="6">
        <v>13725.82</v>
      </c>
      <c r="G1143" s="2">
        <v>12</v>
      </c>
      <c r="H1143" s="61"/>
      <c r="I1143" s="61"/>
      <c r="J1143" s="47">
        <f t="shared" si="85"/>
        <v>-1</v>
      </c>
      <c r="K1143" s="47" t="e">
        <f t="shared" si="86"/>
        <v>#DIV/0!</v>
      </c>
      <c r="M1143" s="8">
        <v>15.64</v>
      </c>
      <c r="O1143" s="17">
        <f t="shared" si="87"/>
        <v>-0.15640000000000001</v>
      </c>
      <c r="P1143" s="17" t="e">
        <f t="shared" si="88"/>
        <v>#DIV/0!</v>
      </c>
      <c r="Q1143" s="17"/>
      <c r="R1143" s="9">
        <v>20220805</v>
      </c>
      <c r="T1143" s="9">
        <v>13.51</v>
      </c>
      <c r="V1143" s="45" t="e">
        <f t="shared" si="89"/>
        <v>#DIV/0!</v>
      </c>
      <c r="X1143" s="12">
        <v>0</v>
      </c>
      <c r="Y1143" s="62"/>
    </row>
    <row r="1144" spans="1:25" x14ac:dyDescent="0.2">
      <c r="A1144" s="3" t="s">
        <v>3071</v>
      </c>
      <c r="B1144" s="3" t="s">
        <v>1218</v>
      </c>
      <c r="C1144" s="6" t="s">
        <v>355</v>
      </c>
      <c r="D1144" s="6" t="s">
        <v>1104</v>
      </c>
      <c r="E1144" s="6" t="s">
        <v>119</v>
      </c>
      <c r="F1144" s="6">
        <v>9266.85</v>
      </c>
      <c r="G1144" s="2">
        <v>12</v>
      </c>
      <c r="H1144" s="61">
        <v>2.67</v>
      </c>
      <c r="I1144" s="61">
        <v>2.89</v>
      </c>
      <c r="J1144" s="47">
        <f t="shared" si="85"/>
        <v>-0.77749999999999997</v>
      </c>
      <c r="K1144" s="47">
        <f t="shared" si="86"/>
        <v>8.2397003745318428E-2</v>
      </c>
      <c r="L1144" s="8">
        <v>3.54</v>
      </c>
      <c r="M1144" s="8">
        <v>15.59</v>
      </c>
      <c r="N1144" s="8">
        <v>14.21</v>
      </c>
      <c r="O1144" s="17">
        <f t="shared" si="87"/>
        <v>-0.2005144694533762</v>
      </c>
      <c r="P1144" s="17">
        <f t="shared" si="88"/>
        <v>1.7245772727272712</v>
      </c>
      <c r="Q1144" s="17">
        <v>11.62</v>
      </c>
      <c r="R1144" s="9">
        <v>20220805</v>
      </c>
      <c r="T1144" s="9">
        <v>13.51</v>
      </c>
      <c r="U1144" s="9">
        <v>8985.3095699999994</v>
      </c>
      <c r="V1144" s="45">
        <f t="shared" si="89"/>
        <v>-0.99849643466429838</v>
      </c>
      <c r="W1144" s="12">
        <v>64</v>
      </c>
      <c r="X1144" s="12">
        <v>0</v>
      </c>
      <c r="Y1144" s="62">
        <v>0.48</v>
      </c>
    </row>
    <row r="1145" spans="1:25" x14ac:dyDescent="0.2">
      <c r="A1145" s="3" t="s">
        <v>3428</v>
      </c>
      <c r="B1145" s="3" t="s">
        <v>1995</v>
      </c>
      <c r="C1145" s="6" t="s">
        <v>354</v>
      </c>
      <c r="D1145" s="6" t="s">
        <v>128</v>
      </c>
      <c r="E1145" s="6" t="s">
        <v>60</v>
      </c>
      <c r="F1145" s="6">
        <v>4884.71</v>
      </c>
      <c r="G1145" s="2">
        <v>12</v>
      </c>
      <c r="H1145" s="61">
        <v>0.16</v>
      </c>
      <c r="I1145" s="61">
        <v>1.23</v>
      </c>
      <c r="J1145" s="47">
        <f t="shared" si="85"/>
        <v>-0.98666666666666669</v>
      </c>
      <c r="K1145" s="47">
        <f t="shared" si="86"/>
        <v>6.6875</v>
      </c>
      <c r="L1145" s="8">
        <v>1.5</v>
      </c>
      <c r="M1145" s="8">
        <v>83.89</v>
      </c>
      <c r="N1145" s="8">
        <v>24.63</v>
      </c>
      <c r="O1145" s="17">
        <f t="shared" si="87"/>
        <v>-0.85023648648648642</v>
      </c>
      <c r="P1145" s="17">
        <f t="shared" si="88"/>
        <v>3.6829906542056076E-2</v>
      </c>
      <c r="Q1145" s="17">
        <v>20.079999999999998</v>
      </c>
      <c r="R1145" s="9">
        <v>20220804</v>
      </c>
      <c r="S1145" s="9">
        <v>8.69</v>
      </c>
      <c r="T1145" s="9">
        <v>-3.73</v>
      </c>
      <c r="U1145" s="9">
        <v>817.08801000000005</v>
      </c>
      <c r="V1145" s="45">
        <f t="shared" si="89"/>
        <v>-1.0045649917198027</v>
      </c>
      <c r="W1145" s="12">
        <v>50</v>
      </c>
      <c r="X1145" s="12">
        <v>0</v>
      </c>
      <c r="Y1145" s="62"/>
    </row>
    <row r="1146" spans="1:25" x14ac:dyDescent="0.2">
      <c r="A1146" s="3" t="s">
        <v>3429</v>
      </c>
      <c r="B1146" s="3" t="s">
        <v>1219</v>
      </c>
      <c r="C1146" s="6" t="s">
        <v>354</v>
      </c>
      <c r="D1146" s="6" t="s">
        <v>151</v>
      </c>
      <c r="E1146" s="6" t="s">
        <v>163</v>
      </c>
      <c r="F1146" s="6">
        <v>13600.59</v>
      </c>
      <c r="G1146" s="2">
        <v>12</v>
      </c>
      <c r="H1146" s="61">
        <v>1.07</v>
      </c>
      <c r="I1146" s="61">
        <v>1.23</v>
      </c>
      <c r="J1146" s="47">
        <f t="shared" si="85"/>
        <v>-0.91083333333333327</v>
      </c>
      <c r="K1146" s="47">
        <f t="shared" si="86"/>
        <v>0.14953271028037374</v>
      </c>
      <c r="L1146" s="8">
        <v>1.36</v>
      </c>
      <c r="M1146" s="8">
        <v>5.36</v>
      </c>
      <c r="N1146" s="8">
        <v>4.8499999999999996</v>
      </c>
      <c r="O1146" s="17">
        <f t="shared" si="87"/>
        <v>-5.8847209515096074E-2</v>
      </c>
      <c r="P1146" s="17">
        <f t="shared" si="88"/>
        <v>0.32434375000000015</v>
      </c>
      <c r="Q1146" s="17">
        <v>4.3600000000000003</v>
      </c>
      <c r="R1146" s="9">
        <v>20220808</v>
      </c>
      <c r="S1146" s="9">
        <v>19.13</v>
      </c>
      <c r="U1146" s="9">
        <v>10838.71679</v>
      </c>
      <c r="V1146" s="45">
        <f t="shared" si="89"/>
        <v>-1</v>
      </c>
      <c r="W1146" s="12">
        <v>9.68</v>
      </c>
      <c r="X1146" s="12">
        <v>5.38</v>
      </c>
      <c r="Y1146" s="62">
        <v>0.31</v>
      </c>
    </row>
    <row r="1147" spans="1:25" x14ac:dyDescent="0.2">
      <c r="A1147" s="3" t="s">
        <v>2208</v>
      </c>
      <c r="B1147" s="3" t="s">
        <v>2209</v>
      </c>
      <c r="C1147" s="6" t="s">
        <v>356</v>
      </c>
      <c r="D1147" s="6" t="s">
        <v>204</v>
      </c>
      <c r="E1147" s="6" t="s">
        <v>218</v>
      </c>
      <c r="F1147" s="6">
        <v>4822.3500000000004</v>
      </c>
      <c r="G1147" s="2">
        <v>12</v>
      </c>
      <c r="H1147" s="61"/>
      <c r="I1147" s="61"/>
      <c r="J1147" s="47">
        <f t="shared" si="85"/>
        <v>-1</v>
      </c>
      <c r="K1147" s="47" t="e">
        <f t="shared" si="86"/>
        <v>#DIV/0!</v>
      </c>
      <c r="M1147" s="8">
        <v>0.45</v>
      </c>
      <c r="O1147" s="17">
        <f t="shared" si="87"/>
        <v>-4.5000000000000005E-3</v>
      </c>
      <c r="P1147" s="17" t="e">
        <f t="shared" si="88"/>
        <v>#DIV/0!</v>
      </c>
      <c r="Q1147" s="17"/>
      <c r="R1147" s="9">
        <v>20220525</v>
      </c>
      <c r="S1147" s="9">
        <v>17.600000000000001</v>
      </c>
      <c r="T1147" s="9">
        <v>-0.28000000000000003</v>
      </c>
      <c r="V1147" s="45" t="e">
        <f t="shared" si="89"/>
        <v>#DIV/0!</v>
      </c>
      <c r="X1147" s="12">
        <v>109.29</v>
      </c>
      <c r="Y1147" s="62"/>
    </row>
    <row r="1148" spans="1:25" x14ac:dyDescent="0.2">
      <c r="A1148" s="3" t="s">
        <v>3430</v>
      </c>
      <c r="B1148" s="3" t="s">
        <v>1220</v>
      </c>
      <c r="C1148" s="6" t="s">
        <v>355</v>
      </c>
      <c r="D1148" s="6" t="s">
        <v>694</v>
      </c>
      <c r="E1148" s="6" t="s">
        <v>146</v>
      </c>
      <c r="F1148" s="6">
        <v>36772.54</v>
      </c>
      <c r="G1148" s="2">
        <v>1</v>
      </c>
      <c r="H1148" s="61">
        <v>7.7</v>
      </c>
      <c r="I1148" s="61">
        <v>9.34</v>
      </c>
      <c r="J1148" s="47">
        <f t="shared" si="85"/>
        <v>6.7</v>
      </c>
      <c r="K1148" s="47">
        <f t="shared" si="86"/>
        <v>0.21298701298701295</v>
      </c>
      <c r="L1148" s="8">
        <v>11.15</v>
      </c>
      <c r="M1148" s="8">
        <v>36.86</v>
      </c>
      <c r="N1148" s="8">
        <v>30.79</v>
      </c>
      <c r="O1148" s="17">
        <f t="shared" si="87"/>
        <v>5.5014925373134328E-2</v>
      </c>
      <c r="P1148" s="17">
        <f t="shared" si="88"/>
        <v>1.445628048780488</v>
      </c>
      <c r="Q1148" s="17">
        <v>25.77</v>
      </c>
      <c r="R1148" s="9">
        <v>20220602</v>
      </c>
      <c r="S1148" s="9">
        <v>37.92</v>
      </c>
      <c r="T1148" s="9">
        <v>21.37</v>
      </c>
      <c r="U1148" s="9">
        <v>7591.0742099999998</v>
      </c>
      <c r="V1148" s="45">
        <f t="shared" si="89"/>
        <v>-0.99718485165487536</v>
      </c>
      <c r="W1148" s="12">
        <v>3.06</v>
      </c>
      <c r="X1148" s="12">
        <v>0</v>
      </c>
      <c r="Y1148" s="62">
        <v>1.54</v>
      </c>
    </row>
    <row r="1149" spans="1:25" x14ac:dyDescent="0.2">
      <c r="A1149" s="3" t="s">
        <v>3431</v>
      </c>
      <c r="B1149" s="3" t="s">
        <v>1221</v>
      </c>
      <c r="C1149" s="6" t="s">
        <v>354</v>
      </c>
      <c r="D1149" s="6" t="s">
        <v>233</v>
      </c>
      <c r="E1149" s="6" t="s">
        <v>108</v>
      </c>
      <c r="F1149" s="6">
        <v>12706.58</v>
      </c>
      <c r="G1149" s="2">
        <v>12</v>
      </c>
      <c r="H1149" s="61">
        <v>1.95</v>
      </c>
      <c r="I1149" s="61">
        <v>1.56</v>
      </c>
      <c r="J1149" s="47">
        <f t="shared" si="85"/>
        <v>-0.83750000000000002</v>
      </c>
      <c r="K1149" s="47">
        <f t="shared" si="86"/>
        <v>-0.19999999999999996</v>
      </c>
      <c r="L1149" s="8">
        <v>1.08</v>
      </c>
      <c r="M1149" s="8">
        <v>5.83</v>
      </c>
      <c r="N1149" s="8">
        <v>7.87</v>
      </c>
      <c r="O1149" s="17">
        <f t="shared" si="87"/>
        <v>-6.9611940298507466E-2</v>
      </c>
      <c r="P1149" s="17">
        <f t="shared" si="88"/>
        <v>-0.39350000000000007</v>
      </c>
      <c r="Q1149" s="17">
        <v>11.37</v>
      </c>
      <c r="R1149" s="9">
        <v>20220802</v>
      </c>
      <c r="S1149" s="9">
        <v>18.72</v>
      </c>
      <c r="T1149" s="9">
        <v>1.6</v>
      </c>
      <c r="U1149" s="9">
        <v>17643.380850000001</v>
      </c>
      <c r="V1149" s="45">
        <f t="shared" si="89"/>
        <v>-0.99990931443278352</v>
      </c>
      <c r="W1149" s="12">
        <v>36.96</v>
      </c>
      <c r="X1149" s="12">
        <v>8.1300000000000008</v>
      </c>
      <c r="Y1149" s="62">
        <v>0.99</v>
      </c>
    </row>
    <row r="1150" spans="1:25" x14ac:dyDescent="0.2">
      <c r="A1150" s="3" t="s">
        <v>3432</v>
      </c>
      <c r="B1150" s="3" t="s">
        <v>2210</v>
      </c>
      <c r="C1150" s="6" t="s">
        <v>356</v>
      </c>
      <c r="D1150" s="6" t="s">
        <v>198</v>
      </c>
      <c r="E1150" s="6" t="s">
        <v>60</v>
      </c>
      <c r="F1150" s="6">
        <v>6651.76</v>
      </c>
      <c r="G1150" s="2">
        <v>12</v>
      </c>
      <c r="H1150" s="61"/>
      <c r="I1150" s="61">
        <v>1.51</v>
      </c>
      <c r="J1150" s="47">
        <f t="shared" si="85"/>
        <v>-1</v>
      </c>
      <c r="K1150" s="47" t="e">
        <f t="shared" si="86"/>
        <v>#DIV/0!</v>
      </c>
      <c r="L1150" s="8">
        <v>1.4</v>
      </c>
      <c r="M1150" s="8">
        <v>6.47</v>
      </c>
      <c r="N1150" s="8">
        <v>5.65</v>
      </c>
      <c r="O1150" s="17">
        <f t="shared" si="87"/>
        <v>-6.4699999999999994E-2</v>
      </c>
      <c r="P1150" s="17" t="e">
        <f t="shared" si="88"/>
        <v>#DIV/0!</v>
      </c>
      <c r="Q1150" s="17">
        <v>6.1</v>
      </c>
      <c r="R1150" s="9">
        <v>20220727</v>
      </c>
      <c r="S1150" s="9">
        <v>19.59</v>
      </c>
      <c r="T1150" s="9">
        <v>11.25</v>
      </c>
      <c r="V1150" s="45" t="e">
        <f t="shared" si="89"/>
        <v>#DIV/0!</v>
      </c>
      <c r="W1150" s="12">
        <v>5.26</v>
      </c>
      <c r="X1150" s="12">
        <v>7.39</v>
      </c>
      <c r="Y1150" s="62"/>
    </row>
    <row r="1151" spans="1:25" x14ac:dyDescent="0.2">
      <c r="A1151" s="3" t="s">
        <v>3433</v>
      </c>
      <c r="B1151" s="3" t="s">
        <v>1222</v>
      </c>
      <c r="C1151" s="6" t="s">
        <v>354</v>
      </c>
      <c r="D1151" s="6" t="s">
        <v>235</v>
      </c>
      <c r="E1151" s="6" t="s">
        <v>237</v>
      </c>
      <c r="F1151" s="6">
        <v>26683.040000000001</v>
      </c>
      <c r="G1151" s="2">
        <v>12</v>
      </c>
      <c r="H1151" s="61">
        <v>-2.1800000000000002</v>
      </c>
      <c r="I1151" s="61">
        <v>2.27</v>
      </c>
      <c r="J1151" s="47">
        <f t="shared" si="85"/>
        <v>-1.1816666666666666</v>
      </c>
      <c r="K1151" s="47">
        <f t="shared" si="86"/>
        <v>2.0412844036697249</v>
      </c>
      <c r="L1151" s="8">
        <v>3.78</v>
      </c>
      <c r="N1151" s="8">
        <v>19.829999999999998</v>
      </c>
      <c r="O1151" s="17">
        <f t="shared" si="87"/>
        <v>0</v>
      </c>
      <c r="P1151" s="17">
        <f t="shared" si="88"/>
        <v>9.7144719101123586E-2</v>
      </c>
      <c r="Q1151" s="17">
        <v>11.91</v>
      </c>
      <c r="R1151" s="9">
        <v>20220728</v>
      </c>
      <c r="S1151" s="9">
        <v>-4.3899999999999997</v>
      </c>
      <c r="T1151" s="9">
        <v>-14.04</v>
      </c>
      <c r="U1151" s="9">
        <v>23263.787100000001</v>
      </c>
      <c r="V1151" s="45">
        <f t="shared" si="89"/>
        <v>-1.0006035130883741</v>
      </c>
      <c r="W1151" s="12">
        <v>5.88</v>
      </c>
      <c r="X1151" s="12">
        <v>0</v>
      </c>
      <c r="Y1151" s="62">
        <v>3.31</v>
      </c>
    </row>
    <row r="1152" spans="1:25" x14ac:dyDescent="0.2">
      <c r="A1152" s="3" t="s">
        <v>3434</v>
      </c>
      <c r="B1152" s="3" t="s">
        <v>1223</v>
      </c>
      <c r="C1152" s="6" t="s">
        <v>356</v>
      </c>
      <c r="D1152" s="6" t="s">
        <v>694</v>
      </c>
      <c r="E1152" s="6" t="s">
        <v>146</v>
      </c>
      <c r="F1152" s="6">
        <v>309062.94</v>
      </c>
      <c r="G1152" s="2">
        <v>12</v>
      </c>
      <c r="H1152" s="61">
        <v>4.95</v>
      </c>
      <c r="I1152" s="61">
        <v>5.99</v>
      </c>
      <c r="J1152" s="47">
        <f t="shared" si="85"/>
        <v>-0.58750000000000002</v>
      </c>
      <c r="K1152" s="47">
        <f t="shared" si="86"/>
        <v>0.21010101010101009</v>
      </c>
      <c r="L1152" s="8">
        <v>6.65</v>
      </c>
      <c r="N1152" s="8">
        <v>20.45</v>
      </c>
      <c r="O1152" s="17">
        <f t="shared" si="87"/>
        <v>0</v>
      </c>
      <c r="P1152" s="17">
        <f t="shared" si="88"/>
        <v>0.97334134615384615</v>
      </c>
      <c r="Q1152" s="17">
        <v>18.399999999999999</v>
      </c>
      <c r="U1152" s="9">
        <v>80942.085930000001</v>
      </c>
      <c r="V1152" s="45">
        <f t="shared" si="89"/>
        <v>-1</v>
      </c>
      <c r="X1152" s="12">
        <v>1.94</v>
      </c>
      <c r="Y1152" s="62">
        <v>1.53</v>
      </c>
    </row>
    <row r="1153" spans="1:25" x14ac:dyDescent="0.2">
      <c r="A1153" s="3" t="s">
        <v>3435</v>
      </c>
      <c r="B1153" s="3" t="s">
        <v>1224</v>
      </c>
      <c r="C1153" s="6" t="s">
        <v>354</v>
      </c>
      <c r="D1153" s="6" t="s">
        <v>157</v>
      </c>
      <c r="E1153" s="6" t="s">
        <v>146</v>
      </c>
      <c r="F1153" s="6">
        <v>26109.61</v>
      </c>
      <c r="G1153" s="2">
        <v>12</v>
      </c>
      <c r="H1153" s="61">
        <v>-1.26</v>
      </c>
      <c r="I1153" s="61">
        <v>-0.64</v>
      </c>
      <c r="J1153" s="47">
        <f t="shared" si="85"/>
        <v>-1.105</v>
      </c>
      <c r="K1153" s="47">
        <f t="shared" si="86"/>
        <v>0.49206349206349204</v>
      </c>
      <c r="L1153" s="8">
        <v>1.65</v>
      </c>
      <c r="O1153" s="17">
        <f t="shared" si="87"/>
        <v>0</v>
      </c>
      <c r="P1153" s="17">
        <f t="shared" si="88"/>
        <v>0</v>
      </c>
      <c r="Q1153" s="17">
        <v>20.66</v>
      </c>
      <c r="R1153" s="9">
        <v>20220720</v>
      </c>
      <c r="S1153" s="9">
        <v>-33.07</v>
      </c>
      <c r="T1153" s="9">
        <v>-27.84</v>
      </c>
      <c r="U1153" s="9">
        <v>4802.31005</v>
      </c>
      <c r="V1153" s="45">
        <f t="shared" si="89"/>
        <v>-1.0057972100322843</v>
      </c>
      <c r="W1153" s="12">
        <v>-66.67</v>
      </c>
      <c r="X1153" s="12">
        <v>0</v>
      </c>
      <c r="Y1153" s="62"/>
    </row>
    <row r="1154" spans="1:25" x14ac:dyDescent="0.2">
      <c r="A1154" s="3" t="s">
        <v>3436</v>
      </c>
      <c r="B1154" s="3" t="s">
        <v>1225</v>
      </c>
      <c r="C1154" s="6" t="s">
        <v>354</v>
      </c>
      <c r="D1154" s="6" t="s">
        <v>155</v>
      </c>
      <c r="E1154" s="6" t="s">
        <v>154</v>
      </c>
      <c r="F1154" s="6">
        <v>9501.7199999999993</v>
      </c>
      <c r="G1154" s="2">
        <v>5</v>
      </c>
      <c r="H1154" s="61">
        <v>2.14</v>
      </c>
      <c r="I1154" s="61">
        <v>1.93</v>
      </c>
      <c r="J1154" s="47">
        <f t="shared" si="85"/>
        <v>-0.57199999999999995</v>
      </c>
      <c r="K1154" s="47">
        <f t="shared" si="86"/>
        <v>-9.8130841121495407E-2</v>
      </c>
      <c r="L1154" s="8">
        <v>2.84</v>
      </c>
      <c r="M1154" s="8">
        <v>35.18</v>
      </c>
      <c r="N1154" s="8">
        <v>34.04</v>
      </c>
      <c r="O1154" s="17">
        <f t="shared" si="87"/>
        <v>-0.61503496503496513</v>
      </c>
      <c r="P1154" s="17">
        <f t="shared" si="88"/>
        <v>-3.4688380952380924</v>
      </c>
      <c r="Q1154" s="17">
        <v>23.14</v>
      </c>
      <c r="R1154" s="9">
        <v>20220726</v>
      </c>
      <c r="S1154" s="9">
        <v>66.02</v>
      </c>
      <c r="T1154" s="9">
        <v>3.63</v>
      </c>
      <c r="U1154" s="9">
        <v>4009.2199700000001</v>
      </c>
      <c r="V1154" s="45">
        <f t="shared" si="89"/>
        <v>-0.999094586970243</v>
      </c>
      <c r="W1154" s="12">
        <v>65.91</v>
      </c>
      <c r="X1154" s="12">
        <v>1.49</v>
      </c>
      <c r="Y1154" s="62">
        <v>2.4300000000000002</v>
      </c>
    </row>
    <row r="1155" spans="1:25" x14ac:dyDescent="0.2">
      <c r="A1155" s="3" t="s">
        <v>3437</v>
      </c>
      <c r="B1155" s="3" t="s">
        <v>1996</v>
      </c>
      <c r="C1155" s="6" t="s">
        <v>354</v>
      </c>
      <c r="D1155" s="6" t="s">
        <v>216</v>
      </c>
      <c r="E1155" s="6" t="s">
        <v>163</v>
      </c>
      <c r="F1155" s="6">
        <v>3293.22</v>
      </c>
      <c r="G1155" s="2">
        <v>12</v>
      </c>
      <c r="H1155" s="61">
        <v>0.78</v>
      </c>
      <c r="I1155" s="61">
        <v>0.66</v>
      </c>
      <c r="J1155" s="47">
        <f t="shared" ref="J1155:J1218" si="90">(H1155-G1155)/ABS(G1155)</f>
        <v>-0.93500000000000005</v>
      </c>
      <c r="K1155" s="47">
        <f t="shared" ref="K1155:K1218" si="91">(I1155-H1155)/ABS(H1155)</f>
        <v>-0.15384615384615383</v>
      </c>
      <c r="L1155" s="8">
        <v>0.72</v>
      </c>
      <c r="M1155" s="8">
        <v>16.11</v>
      </c>
      <c r="N1155" s="8">
        <v>17.440000000000001</v>
      </c>
      <c r="O1155" s="17">
        <f t="shared" ref="O1155:O1218" si="92">M1155/(J1155*100)</f>
        <v>-0.17229946524064171</v>
      </c>
      <c r="P1155" s="17">
        <f t="shared" ref="P1155:P1218" si="93">N1155/(K1155*100)</f>
        <v>-1.1336000000000002</v>
      </c>
      <c r="Q1155" s="17">
        <v>15.93</v>
      </c>
      <c r="R1155" s="9">
        <v>20220804</v>
      </c>
      <c r="S1155" s="9">
        <v>16.8</v>
      </c>
      <c r="T1155" s="9">
        <v>-4.4800000000000004</v>
      </c>
      <c r="U1155" s="9">
        <v>324.76299999999998</v>
      </c>
      <c r="V1155" s="45">
        <f t="shared" ref="V1155:V1218" si="94">(T1155-U1155)/U1155</f>
        <v>-1.0137946748859938</v>
      </c>
      <c r="W1155" s="12">
        <v>-5.88</v>
      </c>
      <c r="X1155" s="12">
        <v>4.2</v>
      </c>
      <c r="Y1155" s="62">
        <v>7.89</v>
      </c>
    </row>
    <row r="1156" spans="1:25" x14ac:dyDescent="0.2">
      <c r="A1156" s="3" t="s">
        <v>3438</v>
      </c>
      <c r="B1156" s="3" t="s">
        <v>1226</v>
      </c>
      <c r="C1156" s="6" t="s">
        <v>354</v>
      </c>
      <c r="D1156" s="6" t="s">
        <v>126</v>
      </c>
      <c r="E1156" s="6" t="s">
        <v>60</v>
      </c>
      <c r="F1156" s="6">
        <v>36529.83</v>
      </c>
      <c r="G1156" s="2">
        <v>12</v>
      </c>
      <c r="H1156" s="61">
        <v>18.48</v>
      </c>
      <c r="I1156" s="61">
        <v>17.11</v>
      </c>
      <c r="J1156" s="47">
        <f t="shared" si="90"/>
        <v>0.54</v>
      </c>
      <c r="K1156" s="47">
        <f t="shared" si="91"/>
        <v>-7.4134199134199191E-2</v>
      </c>
      <c r="L1156" s="8">
        <v>17.010000000000002</v>
      </c>
      <c r="M1156" s="8">
        <v>5.87</v>
      </c>
      <c r="N1156" s="8">
        <v>6.51</v>
      </c>
      <c r="O1156" s="17">
        <f t="shared" si="92"/>
        <v>0.10870370370370371</v>
      </c>
      <c r="P1156" s="17">
        <f t="shared" si="93"/>
        <v>-0.87813722627737156</v>
      </c>
      <c r="Q1156" s="17">
        <v>6.56</v>
      </c>
      <c r="R1156" s="9">
        <v>20220729</v>
      </c>
      <c r="S1156" s="9">
        <v>54.14</v>
      </c>
      <c r="T1156" s="9">
        <v>2.16</v>
      </c>
      <c r="U1156" s="9">
        <v>54104.609369999998</v>
      </c>
      <c r="V1156" s="45">
        <f t="shared" si="94"/>
        <v>-0.99996007733860104</v>
      </c>
      <c r="W1156" s="12">
        <v>14.94</v>
      </c>
      <c r="X1156" s="12">
        <v>4.05</v>
      </c>
      <c r="Y1156" s="62">
        <v>0.81</v>
      </c>
    </row>
    <row r="1157" spans="1:25" x14ac:dyDescent="0.2">
      <c r="A1157" s="3" t="s">
        <v>3439</v>
      </c>
      <c r="B1157" s="3" t="s">
        <v>1227</v>
      </c>
      <c r="C1157" s="6" t="s">
        <v>355</v>
      </c>
      <c r="D1157" s="6" t="s">
        <v>176</v>
      </c>
      <c r="E1157" s="6" t="s">
        <v>119</v>
      </c>
      <c r="F1157" s="6">
        <v>6162.49</v>
      </c>
      <c r="G1157" s="2">
        <v>12</v>
      </c>
      <c r="H1157" s="61">
        <v>-0.24</v>
      </c>
      <c r="I1157" s="61">
        <v>0.18</v>
      </c>
      <c r="J1157" s="47">
        <f t="shared" si="90"/>
        <v>-1.02</v>
      </c>
      <c r="K1157" s="47">
        <f t="shared" si="91"/>
        <v>1.75</v>
      </c>
      <c r="L1157" s="8">
        <v>1.03</v>
      </c>
      <c r="M1157" s="8">
        <v>117.87</v>
      </c>
      <c r="N1157" s="8">
        <v>97.14</v>
      </c>
      <c r="O1157" s="17">
        <f t="shared" si="92"/>
        <v>-1.1555882352941176</v>
      </c>
      <c r="P1157" s="17">
        <f t="shared" si="93"/>
        <v>0.55508571428571429</v>
      </c>
      <c r="Q1157" s="17">
        <v>17.100000000000001</v>
      </c>
      <c r="R1157" s="9">
        <v>20220802</v>
      </c>
      <c r="S1157" s="9">
        <v>-50.06</v>
      </c>
      <c r="T1157" s="9">
        <v>1.76</v>
      </c>
      <c r="U1157" s="9">
        <v>4309.0029199999999</v>
      </c>
      <c r="V1157" s="45">
        <f t="shared" si="94"/>
        <v>-0.99959155284118484</v>
      </c>
      <c r="W1157" s="12">
        <v>200</v>
      </c>
      <c r="X1157" s="12">
        <v>0</v>
      </c>
      <c r="Y1157" s="62">
        <v>3.24</v>
      </c>
    </row>
    <row r="1158" spans="1:25" x14ac:dyDescent="0.2">
      <c r="A1158" s="3" t="s">
        <v>3440</v>
      </c>
      <c r="B1158" s="3" t="s">
        <v>1228</v>
      </c>
      <c r="C1158" s="6" t="s">
        <v>354</v>
      </c>
      <c r="D1158" s="6" t="s">
        <v>69</v>
      </c>
      <c r="E1158" s="6" t="s">
        <v>163</v>
      </c>
      <c r="F1158" s="6">
        <v>39361.68</v>
      </c>
      <c r="G1158" s="2">
        <v>12</v>
      </c>
      <c r="H1158" s="61">
        <v>0.45</v>
      </c>
      <c r="I1158" s="61">
        <v>0.33</v>
      </c>
      <c r="J1158" s="47">
        <f t="shared" si="90"/>
        <v>-0.96250000000000002</v>
      </c>
      <c r="K1158" s="47">
        <f t="shared" si="91"/>
        <v>-0.26666666666666666</v>
      </c>
      <c r="L1158" s="8">
        <v>0.34</v>
      </c>
      <c r="M1158" s="8">
        <v>5.79</v>
      </c>
      <c r="N1158" s="8">
        <v>6.92</v>
      </c>
      <c r="O1158" s="17">
        <f t="shared" si="92"/>
        <v>-6.0155844155844157E-2</v>
      </c>
      <c r="P1158" s="17">
        <f t="shared" si="93"/>
        <v>-0.25950000000000001</v>
      </c>
      <c r="Q1158" s="17">
        <v>6.65</v>
      </c>
      <c r="R1158" s="9">
        <v>20220727</v>
      </c>
      <c r="S1158" s="9">
        <v>11.1</v>
      </c>
      <c r="T1158" s="9">
        <v>4.6399999999999997</v>
      </c>
      <c r="U1158" s="9">
        <v>21670.789059999999</v>
      </c>
      <c r="V1158" s="45">
        <f t="shared" si="94"/>
        <v>-0.99978588689192849</v>
      </c>
      <c r="W1158" s="12">
        <v>0</v>
      </c>
      <c r="X1158" s="12">
        <v>5.72</v>
      </c>
      <c r="Y1158" s="62">
        <v>0.22</v>
      </c>
    </row>
    <row r="1159" spans="1:25" x14ac:dyDescent="0.2">
      <c r="A1159" s="3" t="s">
        <v>3441</v>
      </c>
      <c r="B1159" s="3" t="s">
        <v>1997</v>
      </c>
      <c r="C1159" s="6" t="s">
        <v>356</v>
      </c>
      <c r="D1159" s="6" t="s">
        <v>197</v>
      </c>
      <c r="E1159" s="6" t="s">
        <v>60</v>
      </c>
      <c r="F1159" s="6">
        <v>6082.25</v>
      </c>
      <c r="G1159" s="2">
        <v>6</v>
      </c>
      <c r="H1159" s="61">
        <v>0.16</v>
      </c>
      <c r="I1159" s="61">
        <v>0.53</v>
      </c>
      <c r="J1159" s="47">
        <f t="shared" si="90"/>
        <v>-0.97333333333333327</v>
      </c>
      <c r="K1159" s="47">
        <f t="shared" si="91"/>
        <v>2.3125</v>
      </c>
      <c r="L1159" s="8">
        <v>0.55000000000000004</v>
      </c>
      <c r="N1159" s="8">
        <v>12.72</v>
      </c>
      <c r="O1159" s="17">
        <f t="shared" si="92"/>
        <v>0</v>
      </c>
      <c r="P1159" s="17">
        <f t="shared" si="93"/>
        <v>5.5005405405405411E-2</v>
      </c>
      <c r="Q1159" s="17">
        <v>12.26</v>
      </c>
      <c r="V1159" s="45" t="e">
        <f t="shared" si="94"/>
        <v>#DIV/0!</v>
      </c>
      <c r="X1159" s="12">
        <v>0</v>
      </c>
      <c r="Y1159" s="62"/>
    </row>
    <row r="1160" spans="1:25" x14ac:dyDescent="0.2">
      <c r="A1160" s="3" t="s">
        <v>3442</v>
      </c>
      <c r="B1160" s="3" t="s">
        <v>1229</v>
      </c>
      <c r="C1160" s="6" t="s">
        <v>354</v>
      </c>
      <c r="D1160" s="6" t="s">
        <v>621</v>
      </c>
      <c r="E1160" s="6" t="s">
        <v>146</v>
      </c>
      <c r="F1160" s="6">
        <v>21184.85</v>
      </c>
      <c r="G1160" s="2">
        <v>12</v>
      </c>
      <c r="H1160" s="61">
        <v>-2.75</v>
      </c>
      <c r="I1160" s="61">
        <v>0.83</v>
      </c>
      <c r="J1160" s="47">
        <f t="shared" si="90"/>
        <v>-1.2291666666666667</v>
      </c>
      <c r="K1160" s="47">
        <f t="shared" si="91"/>
        <v>1.3018181818181818</v>
      </c>
      <c r="L1160" s="8">
        <v>1.49</v>
      </c>
      <c r="N1160" s="8">
        <v>111.92</v>
      </c>
      <c r="O1160" s="17">
        <f t="shared" si="92"/>
        <v>0</v>
      </c>
      <c r="P1160" s="17">
        <f t="shared" si="93"/>
        <v>0.85972067039106148</v>
      </c>
      <c r="Q1160" s="17">
        <v>62.45</v>
      </c>
      <c r="R1160" s="9">
        <v>20220802</v>
      </c>
      <c r="T1160" s="9">
        <v>-26.96</v>
      </c>
      <c r="U1160" s="9">
        <v>13584.76953</v>
      </c>
      <c r="V1160" s="45">
        <f t="shared" si="94"/>
        <v>-1.0019845754424073</v>
      </c>
      <c r="W1160" s="12">
        <v>60.2</v>
      </c>
      <c r="X1160" s="12">
        <v>0</v>
      </c>
      <c r="Y1160" s="62"/>
    </row>
    <row r="1161" spans="1:25" x14ac:dyDescent="0.2">
      <c r="A1161" s="3" t="s">
        <v>3443</v>
      </c>
      <c r="B1161" s="3" t="s">
        <v>1230</v>
      </c>
      <c r="C1161" s="6" t="s">
        <v>354</v>
      </c>
      <c r="D1161" s="6" t="s">
        <v>1171</v>
      </c>
      <c r="E1161" s="6" t="s">
        <v>231</v>
      </c>
      <c r="F1161" s="6">
        <v>6529.02</v>
      </c>
      <c r="G1161" s="2">
        <v>1</v>
      </c>
      <c r="H1161" s="61">
        <v>4.9000000000000004</v>
      </c>
      <c r="I1161" s="61">
        <v>4.32</v>
      </c>
      <c r="J1161" s="47">
        <f t="shared" si="90"/>
        <v>3.9000000000000004</v>
      </c>
      <c r="K1161" s="47">
        <f t="shared" si="91"/>
        <v>-0.11836734693877551</v>
      </c>
      <c r="L1161" s="8">
        <v>4.3</v>
      </c>
      <c r="M1161" s="8">
        <v>3.79</v>
      </c>
      <c r="N1161" s="8">
        <v>5.3</v>
      </c>
      <c r="O1161" s="17">
        <f t="shared" si="92"/>
        <v>9.7179487179487167E-3</v>
      </c>
      <c r="P1161" s="17">
        <f t="shared" si="93"/>
        <v>-0.44775862068965516</v>
      </c>
      <c r="Q1161" s="17">
        <v>5.32</v>
      </c>
      <c r="R1161" s="9">
        <v>20220818</v>
      </c>
      <c r="S1161" s="9">
        <v>56.91</v>
      </c>
      <c r="T1161" s="9">
        <v>-5</v>
      </c>
      <c r="U1161" s="9">
        <v>24601.6875</v>
      </c>
      <c r="V1161" s="45">
        <f t="shared" si="94"/>
        <v>-1.000203238090883</v>
      </c>
      <c r="W1161" s="12">
        <v>31.71</v>
      </c>
      <c r="X1161" s="12">
        <v>2.75</v>
      </c>
      <c r="Y1161" s="62">
        <v>0.44</v>
      </c>
    </row>
    <row r="1162" spans="1:25" x14ac:dyDescent="0.2">
      <c r="A1162" s="3" t="s">
        <v>3444</v>
      </c>
      <c r="B1162" s="3" t="s">
        <v>1231</v>
      </c>
      <c r="C1162" s="6" t="s">
        <v>354</v>
      </c>
      <c r="D1162" s="6" t="s">
        <v>153</v>
      </c>
      <c r="E1162" s="6" t="s">
        <v>108</v>
      </c>
      <c r="F1162" s="6">
        <v>340318.69</v>
      </c>
      <c r="G1162" s="2">
        <v>12</v>
      </c>
      <c r="H1162" s="61">
        <v>8.27</v>
      </c>
      <c r="I1162" s="61">
        <v>10.48</v>
      </c>
      <c r="J1162" s="47">
        <f t="shared" si="90"/>
        <v>-0.31083333333333335</v>
      </c>
      <c r="K1162" s="47">
        <f t="shared" si="91"/>
        <v>0.26723095525997592</v>
      </c>
      <c r="L1162" s="8">
        <v>12.55</v>
      </c>
      <c r="M1162" s="8">
        <v>37.1</v>
      </c>
      <c r="N1162" s="8">
        <v>33.369999999999997</v>
      </c>
      <c r="O1162" s="17">
        <f t="shared" si="92"/>
        <v>-1.1935656836461126</v>
      </c>
      <c r="P1162" s="17">
        <f t="shared" si="93"/>
        <v>1.2487325791855197</v>
      </c>
      <c r="Q1162" s="17">
        <v>27.87</v>
      </c>
      <c r="R1162" s="9">
        <v>20220804</v>
      </c>
      <c r="S1162" s="9">
        <v>133.72</v>
      </c>
      <c r="T1162" s="9">
        <v>9.1199999999999992</v>
      </c>
      <c r="U1162" s="9">
        <v>22146.345700000002</v>
      </c>
      <c r="V1162" s="45">
        <f t="shared" si="94"/>
        <v>-0.99958819391137754</v>
      </c>
      <c r="W1162" s="12">
        <v>27.19</v>
      </c>
      <c r="X1162" s="12">
        <v>0.56000000000000005</v>
      </c>
      <c r="Y1162" s="62">
        <v>1.65</v>
      </c>
    </row>
    <row r="1163" spans="1:25" x14ac:dyDescent="0.2">
      <c r="A1163" s="3" t="s">
        <v>3445</v>
      </c>
      <c r="B1163" s="3" t="s">
        <v>1232</v>
      </c>
      <c r="C1163" s="6" t="s">
        <v>354</v>
      </c>
      <c r="D1163" s="6" t="s">
        <v>216</v>
      </c>
      <c r="E1163" s="6" t="s">
        <v>163</v>
      </c>
      <c r="F1163" s="6">
        <v>20828.91</v>
      </c>
      <c r="G1163" s="2">
        <v>12</v>
      </c>
      <c r="H1163" s="61">
        <v>6.98</v>
      </c>
      <c r="I1163" s="61">
        <v>8.15</v>
      </c>
      <c r="J1163" s="47">
        <f t="shared" si="90"/>
        <v>-0.41833333333333328</v>
      </c>
      <c r="K1163" s="47">
        <f t="shared" si="91"/>
        <v>0.16762177650429796</v>
      </c>
      <c r="L1163" s="8">
        <v>8.91</v>
      </c>
      <c r="M1163" s="8">
        <v>24.58</v>
      </c>
      <c r="N1163" s="8">
        <v>22.15</v>
      </c>
      <c r="O1163" s="17">
        <f t="shared" si="92"/>
        <v>-0.58756972111553785</v>
      </c>
      <c r="P1163" s="17">
        <f t="shared" si="93"/>
        <v>1.3214273504273506</v>
      </c>
      <c r="Q1163" s="17">
        <v>20.260000000000002</v>
      </c>
      <c r="R1163" s="9">
        <v>20220727</v>
      </c>
      <c r="S1163" s="9">
        <v>9.77</v>
      </c>
      <c r="T1163" s="9">
        <v>4.6100000000000003</v>
      </c>
      <c r="U1163" s="9">
        <v>1973.4339500000001</v>
      </c>
      <c r="V1163" s="45">
        <f t="shared" si="94"/>
        <v>-0.99766397046123589</v>
      </c>
      <c r="W1163" s="12">
        <v>2.6</v>
      </c>
      <c r="X1163" s="12">
        <v>2.41</v>
      </c>
      <c r="Y1163" s="62">
        <v>11.07</v>
      </c>
    </row>
    <row r="1164" spans="1:25" x14ac:dyDescent="0.2">
      <c r="A1164" s="3" t="s">
        <v>3446</v>
      </c>
      <c r="B1164" s="3" t="s">
        <v>1233</v>
      </c>
      <c r="C1164" s="6" t="s">
        <v>356</v>
      </c>
      <c r="D1164" s="6" t="s">
        <v>224</v>
      </c>
      <c r="E1164" s="6" t="s">
        <v>231</v>
      </c>
      <c r="F1164" s="6">
        <v>3731.77</v>
      </c>
      <c r="G1164" s="2">
        <v>3</v>
      </c>
      <c r="H1164" s="61">
        <v>0.57999999999999996</v>
      </c>
      <c r="I1164" s="61">
        <v>0.44</v>
      </c>
      <c r="J1164" s="47">
        <f t="shared" si="90"/>
        <v>-0.80666666666666664</v>
      </c>
      <c r="K1164" s="47">
        <f t="shared" si="91"/>
        <v>-0.24137931034482754</v>
      </c>
      <c r="L1164" s="8">
        <v>0.47</v>
      </c>
      <c r="N1164" s="8">
        <v>8.66</v>
      </c>
      <c r="O1164" s="17">
        <f t="shared" si="92"/>
        <v>0</v>
      </c>
      <c r="P1164" s="17">
        <f t="shared" si="93"/>
        <v>-0.35877142857142863</v>
      </c>
      <c r="Q1164" s="17">
        <v>8.11</v>
      </c>
      <c r="R1164" s="9">
        <v>20220525</v>
      </c>
      <c r="U1164" s="9">
        <v>14529.009760000001</v>
      </c>
      <c r="V1164" s="45">
        <f t="shared" si="94"/>
        <v>-1</v>
      </c>
      <c r="X1164" s="12">
        <v>0</v>
      </c>
      <c r="Y1164" s="62"/>
    </row>
    <row r="1165" spans="1:25" x14ac:dyDescent="0.2">
      <c r="A1165" s="3" t="s">
        <v>3447</v>
      </c>
      <c r="B1165" s="3" t="s">
        <v>1234</v>
      </c>
      <c r="C1165" s="6" t="s">
        <v>354</v>
      </c>
      <c r="D1165" s="6" t="s">
        <v>1010</v>
      </c>
      <c r="E1165" s="6" t="s">
        <v>108</v>
      </c>
      <c r="F1165" s="6">
        <v>4636.91</v>
      </c>
      <c r="G1165" s="2">
        <v>12</v>
      </c>
      <c r="H1165" s="61">
        <v>7.13</v>
      </c>
      <c r="I1165" s="61">
        <v>9.08</v>
      </c>
      <c r="J1165" s="47">
        <f t="shared" si="90"/>
        <v>-0.40583333333333332</v>
      </c>
      <c r="K1165" s="47">
        <f t="shared" si="91"/>
        <v>0.27349228611500703</v>
      </c>
      <c r="L1165" s="8">
        <v>10.08</v>
      </c>
      <c r="M1165" s="8">
        <v>10.95</v>
      </c>
      <c r="N1165" s="8">
        <v>9.68</v>
      </c>
      <c r="O1165" s="17">
        <f t="shared" si="92"/>
        <v>-0.26981519507186857</v>
      </c>
      <c r="P1165" s="17">
        <f t="shared" si="93"/>
        <v>0.35394051282051281</v>
      </c>
      <c r="Q1165" s="17">
        <v>8.7200000000000006</v>
      </c>
      <c r="R1165" s="9">
        <v>20220719</v>
      </c>
      <c r="S1165" s="9">
        <v>17.72</v>
      </c>
      <c r="T1165" s="9">
        <v>-1.99</v>
      </c>
      <c r="U1165" s="9">
        <v>21516.22265</v>
      </c>
      <c r="V1165" s="45">
        <f t="shared" si="94"/>
        <v>-1.000092488353201</v>
      </c>
      <c r="W1165" s="12">
        <v>20.51</v>
      </c>
      <c r="X1165" s="12">
        <v>2.87</v>
      </c>
      <c r="Y1165" s="62">
        <v>1.1599999999999999</v>
      </c>
    </row>
    <row r="1166" spans="1:25" x14ac:dyDescent="0.2">
      <c r="A1166" s="3" t="s">
        <v>3448</v>
      </c>
      <c r="B1166" s="3" t="s">
        <v>1235</v>
      </c>
      <c r="C1166" s="6" t="s">
        <v>355</v>
      </c>
      <c r="D1166" s="6" t="s">
        <v>132</v>
      </c>
      <c r="E1166" s="6" t="s">
        <v>119</v>
      </c>
      <c r="F1166" s="6">
        <v>7517.45</v>
      </c>
      <c r="G1166" s="2">
        <v>12</v>
      </c>
      <c r="H1166" s="61">
        <v>2.13</v>
      </c>
      <c r="I1166" s="61">
        <v>2.2000000000000002</v>
      </c>
      <c r="J1166" s="47">
        <f t="shared" si="90"/>
        <v>-0.82250000000000012</v>
      </c>
      <c r="K1166" s="47">
        <f t="shared" si="91"/>
        <v>3.286384976525835E-2</v>
      </c>
      <c r="L1166" s="8">
        <v>2.5</v>
      </c>
      <c r="M1166" s="8">
        <v>49.63</v>
      </c>
      <c r="N1166" s="8">
        <v>54.14</v>
      </c>
      <c r="O1166" s="17">
        <f t="shared" si="92"/>
        <v>-0.60340425531914887</v>
      </c>
      <c r="P1166" s="17">
        <f t="shared" si="93"/>
        <v>16.474028571428505</v>
      </c>
      <c r="Q1166" s="17">
        <v>47.71</v>
      </c>
      <c r="R1166" s="9">
        <v>20220726</v>
      </c>
      <c r="S1166" s="9">
        <v>51.6</v>
      </c>
      <c r="T1166" s="9">
        <v>2.41</v>
      </c>
      <c r="U1166" s="9">
        <v>723.28997000000004</v>
      </c>
      <c r="V1166" s="45">
        <f t="shared" si="94"/>
        <v>-0.99666800301406089</v>
      </c>
      <c r="W1166" s="12">
        <v>33.33</v>
      </c>
      <c r="X1166" s="12">
        <v>0</v>
      </c>
      <c r="Y1166" s="62"/>
    </row>
    <row r="1167" spans="1:25" x14ac:dyDescent="0.2">
      <c r="A1167" s="3" t="s">
        <v>3449</v>
      </c>
      <c r="B1167" s="3" t="s">
        <v>1236</v>
      </c>
      <c r="C1167" s="6" t="s">
        <v>355</v>
      </c>
      <c r="D1167" s="6" t="s">
        <v>596</v>
      </c>
      <c r="E1167" s="6" t="s">
        <v>119</v>
      </c>
      <c r="F1167" s="6">
        <v>3891.69</v>
      </c>
      <c r="G1167" s="2">
        <v>12</v>
      </c>
      <c r="H1167" s="61">
        <v>3.69</v>
      </c>
      <c r="I1167" s="61">
        <v>3.52</v>
      </c>
      <c r="J1167" s="47">
        <f t="shared" si="90"/>
        <v>-0.6925</v>
      </c>
      <c r="K1167" s="47">
        <f t="shared" si="91"/>
        <v>-4.6070460704607026E-2</v>
      </c>
      <c r="L1167" s="8">
        <v>3.78</v>
      </c>
      <c r="M1167" s="8">
        <v>25.55</v>
      </c>
      <c r="N1167" s="8">
        <v>27.01</v>
      </c>
      <c r="O1167" s="17">
        <f t="shared" si="92"/>
        <v>-0.36895306859205779</v>
      </c>
      <c r="P1167" s="17">
        <f t="shared" si="93"/>
        <v>-5.8627588235294148</v>
      </c>
      <c r="Q1167" s="17">
        <v>25.13</v>
      </c>
      <c r="R1167" s="9">
        <v>20220802</v>
      </c>
      <c r="S1167" s="9">
        <v>9.15</v>
      </c>
      <c r="T1167" s="9">
        <v>11.41</v>
      </c>
      <c r="U1167" s="9">
        <v>2665.5200100000002</v>
      </c>
      <c r="V1167" s="45">
        <f t="shared" si="94"/>
        <v>-0.99571940936207792</v>
      </c>
      <c r="W1167" s="12">
        <v>7.23</v>
      </c>
      <c r="X1167" s="12">
        <v>1.73</v>
      </c>
      <c r="Y1167" s="62">
        <v>10.98</v>
      </c>
    </row>
    <row r="1168" spans="1:25" x14ac:dyDescent="0.2">
      <c r="A1168" s="3" t="s">
        <v>3450</v>
      </c>
      <c r="B1168" s="3" t="s">
        <v>1237</v>
      </c>
      <c r="C1168" s="6" t="s">
        <v>355</v>
      </c>
      <c r="D1168" s="6" t="s">
        <v>160</v>
      </c>
      <c r="E1168" s="6" t="s">
        <v>146</v>
      </c>
      <c r="F1168" s="6">
        <v>55696.37</v>
      </c>
      <c r="G1168" s="2">
        <v>12</v>
      </c>
      <c r="H1168" s="61">
        <v>2.88</v>
      </c>
      <c r="I1168" s="61">
        <v>5.97</v>
      </c>
      <c r="J1168" s="47">
        <f t="shared" si="90"/>
        <v>-0.76000000000000012</v>
      </c>
      <c r="K1168" s="47">
        <f t="shared" si="91"/>
        <v>1.0729166666666667</v>
      </c>
      <c r="L1168" s="8">
        <v>7.31</v>
      </c>
      <c r="M1168" s="8">
        <v>39.299999999999997</v>
      </c>
      <c r="N1168" s="8">
        <v>28.51</v>
      </c>
      <c r="O1168" s="17">
        <f t="shared" si="92"/>
        <v>-0.51710526315789462</v>
      </c>
      <c r="P1168" s="17">
        <f t="shared" si="93"/>
        <v>0.26572427184466019</v>
      </c>
      <c r="Q1168" s="17">
        <v>23.29</v>
      </c>
      <c r="R1168" s="9">
        <v>20220802</v>
      </c>
      <c r="S1168" s="9">
        <v>116.74</v>
      </c>
      <c r="T1168" s="9">
        <v>-15.31</v>
      </c>
      <c r="U1168" s="9">
        <v>19798.507809999999</v>
      </c>
      <c r="V1168" s="45">
        <f t="shared" si="94"/>
        <v>-1.0007732906008335</v>
      </c>
      <c r="W1168" s="12">
        <v>31.58</v>
      </c>
      <c r="X1168" s="12">
        <v>0.71</v>
      </c>
      <c r="Y1168" s="62"/>
    </row>
    <row r="1169" spans="1:25" x14ac:dyDescent="0.2">
      <c r="A1169" s="3" t="s">
        <v>3451</v>
      </c>
      <c r="B1169" s="3" t="s">
        <v>1238</v>
      </c>
      <c r="C1169" s="6" t="s">
        <v>356</v>
      </c>
      <c r="D1169" s="6" t="s">
        <v>590</v>
      </c>
      <c r="E1169" s="6" t="s">
        <v>589</v>
      </c>
      <c r="F1169" s="6">
        <v>18905.919999999998</v>
      </c>
      <c r="G1169" s="2">
        <v>3</v>
      </c>
      <c r="H1169" s="61">
        <v>18.82</v>
      </c>
      <c r="I1169" s="61">
        <v>24.85</v>
      </c>
      <c r="J1169" s="47">
        <f t="shared" si="90"/>
        <v>5.2733333333333334</v>
      </c>
      <c r="K1169" s="47">
        <f t="shared" si="91"/>
        <v>0.32040382571732207</v>
      </c>
      <c r="L1169" s="8">
        <v>19.05</v>
      </c>
      <c r="M1169" s="8">
        <v>5.03</v>
      </c>
      <c r="N1169" s="8">
        <v>4.38</v>
      </c>
      <c r="O1169" s="17">
        <f t="shared" si="92"/>
        <v>9.5385587863463968E-3</v>
      </c>
      <c r="P1169" s="17">
        <f t="shared" si="93"/>
        <v>0.136702487562189</v>
      </c>
      <c r="Q1169" s="17">
        <v>5.71</v>
      </c>
      <c r="R1169" s="9">
        <v>20220802</v>
      </c>
      <c r="S1169" s="9">
        <v>20.83</v>
      </c>
      <c r="T1169" s="9">
        <v>0.13</v>
      </c>
      <c r="V1169" s="45" t="e">
        <f t="shared" si="94"/>
        <v>#DIV/0!</v>
      </c>
      <c r="X1169" s="12">
        <v>3.42</v>
      </c>
      <c r="Y1169" s="62">
        <v>0.18</v>
      </c>
    </row>
    <row r="1170" spans="1:25" x14ac:dyDescent="0.2">
      <c r="A1170" s="3" t="s">
        <v>3452</v>
      </c>
      <c r="B1170" s="3" t="s">
        <v>1239</v>
      </c>
      <c r="C1170" s="6" t="s">
        <v>354</v>
      </c>
      <c r="D1170" s="6" t="s">
        <v>121</v>
      </c>
      <c r="E1170" s="6" t="s">
        <v>140</v>
      </c>
      <c r="F1170" s="6">
        <v>13474.56</v>
      </c>
      <c r="G1170" s="2">
        <v>12</v>
      </c>
      <c r="H1170" s="61">
        <v>3.74</v>
      </c>
      <c r="I1170" s="61">
        <v>4.26</v>
      </c>
      <c r="J1170" s="47">
        <f t="shared" si="90"/>
        <v>-0.68833333333333335</v>
      </c>
      <c r="K1170" s="47">
        <f t="shared" si="91"/>
        <v>0.1390374331550801</v>
      </c>
      <c r="L1170" s="8">
        <v>4.57</v>
      </c>
      <c r="M1170" s="8">
        <v>15.23</v>
      </c>
      <c r="N1170" s="8">
        <v>13.42</v>
      </c>
      <c r="O1170" s="17">
        <f t="shared" si="92"/>
        <v>-0.22125907990314772</v>
      </c>
      <c r="P1170" s="17">
        <f t="shared" si="93"/>
        <v>0.9652076923076931</v>
      </c>
      <c r="Q1170" s="17">
        <v>12.5</v>
      </c>
      <c r="R1170" s="9">
        <v>20220804</v>
      </c>
      <c r="S1170" s="9">
        <v>3870.83</v>
      </c>
      <c r="T1170" s="9">
        <v>0.46</v>
      </c>
      <c r="U1170" s="9">
        <v>9003.61816</v>
      </c>
      <c r="V1170" s="45">
        <f t="shared" si="94"/>
        <v>-0.99994890942820713</v>
      </c>
      <c r="W1170" s="12">
        <v>7.95</v>
      </c>
      <c r="X1170" s="12">
        <v>1.96</v>
      </c>
      <c r="Y1170" s="62">
        <v>1.1599999999999999</v>
      </c>
    </row>
    <row r="1171" spans="1:25" x14ac:dyDescent="0.2">
      <c r="A1171" s="3" t="s">
        <v>3453</v>
      </c>
      <c r="B1171" s="3" t="s">
        <v>1240</v>
      </c>
      <c r="C1171" s="6" t="s">
        <v>355</v>
      </c>
      <c r="D1171" s="6" t="s">
        <v>191</v>
      </c>
      <c r="E1171" s="6" t="s">
        <v>208</v>
      </c>
      <c r="F1171" s="6">
        <v>7733.98</v>
      </c>
      <c r="G1171" s="2">
        <v>12</v>
      </c>
      <c r="H1171" s="61">
        <v>3.88</v>
      </c>
      <c r="I1171" s="61">
        <v>4.6100000000000003</v>
      </c>
      <c r="J1171" s="47">
        <f t="shared" si="90"/>
        <v>-0.67666666666666675</v>
      </c>
      <c r="K1171" s="47">
        <f t="shared" si="91"/>
        <v>0.18814432989690733</v>
      </c>
      <c r="L1171" s="8">
        <v>5.33</v>
      </c>
      <c r="M1171" s="8">
        <v>34.659999999999997</v>
      </c>
      <c r="N1171" s="8">
        <v>30.25</v>
      </c>
      <c r="O1171" s="17">
        <f t="shared" si="92"/>
        <v>-0.51221674876847278</v>
      </c>
      <c r="P1171" s="17">
        <f t="shared" si="93"/>
        <v>1.6078082191780811</v>
      </c>
      <c r="Q1171" s="17">
        <v>26.16</v>
      </c>
      <c r="R1171" s="9">
        <v>20220726</v>
      </c>
      <c r="S1171" s="9">
        <v>15.46</v>
      </c>
      <c r="T1171" s="9">
        <v>12.25</v>
      </c>
      <c r="U1171" s="9">
        <v>1808.1269500000001</v>
      </c>
      <c r="V1171" s="45">
        <f t="shared" si="94"/>
        <v>-0.99322503323121203</v>
      </c>
      <c r="W1171" s="12">
        <v>1.0900000000000001</v>
      </c>
      <c r="X1171" s="12">
        <v>0</v>
      </c>
      <c r="Y1171" s="62"/>
    </row>
    <row r="1172" spans="1:25" x14ac:dyDescent="0.2">
      <c r="A1172" s="3" t="s">
        <v>3454</v>
      </c>
      <c r="B1172" s="3" t="s">
        <v>1241</v>
      </c>
      <c r="C1172" s="6" t="s">
        <v>355</v>
      </c>
      <c r="D1172" s="6" t="s">
        <v>234</v>
      </c>
      <c r="E1172" s="6" t="s">
        <v>146</v>
      </c>
      <c r="F1172" s="6">
        <v>8445.75</v>
      </c>
      <c r="G1172" s="2">
        <v>12</v>
      </c>
      <c r="H1172" s="61">
        <v>1.1200000000000001</v>
      </c>
      <c r="I1172" s="61">
        <v>1.48</v>
      </c>
      <c r="J1172" s="47">
        <f t="shared" si="90"/>
        <v>-0.90666666666666662</v>
      </c>
      <c r="K1172" s="47">
        <f t="shared" si="91"/>
        <v>0.32142857142857129</v>
      </c>
      <c r="L1172" s="8">
        <v>1.94</v>
      </c>
      <c r="M1172" s="8">
        <v>16.190000000000001</v>
      </c>
      <c r="N1172" s="8">
        <v>16.23</v>
      </c>
      <c r="O1172" s="17">
        <f t="shared" si="92"/>
        <v>-0.17856617647058826</v>
      </c>
      <c r="P1172" s="17">
        <f t="shared" si="93"/>
        <v>0.50493333333333357</v>
      </c>
      <c r="Q1172" s="17">
        <v>12.32</v>
      </c>
      <c r="R1172" s="9">
        <v>20220726</v>
      </c>
      <c r="S1172" s="9">
        <v>42.01</v>
      </c>
      <c r="T1172" s="9">
        <v>1.2</v>
      </c>
      <c r="U1172" s="9">
        <v>5900.8461900000002</v>
      </c>
      <c r="V1172" s="45">
        <f t="shared" si="94"/>
        <v>-0.99979663933589158</v>
      </c>
      <c r="W1172" s="12">
        <v>260</v>
      </c>
      <c r="X1172" s="12">
        <v>0</v>
      </c>
      <c r="Y1172" s="62"/>
    </row>
    <row r="1173" spans="1:25" x14ac:dyDescent="0.2">
      <c r="A1173" s="3" t="s">
        <v>3455</v>
      </c>
      <c r="B1173" s="3" t="s">
        <v>3456</v>
      </c>
      <c r="C1173" s="6" t="s">
        <v>354</v>
      </c>
      <c r="D1173" s="6" t="s">
        <v>240</v>
      </c>
      <c r="E1173" s="6" t="s">
        <v>237</v>
      </c>
      <c r="F1173" s="6">
        <v>3593.19</v>
      </c>
      <c r="G1173" s="2">
        <v>12</v>
      </c>
      <c r="H1173" s="61">
        <v>18.940000000000001</v>
      </c>
      <c r="I1173" s="61">
        <v>26.72</v>
      </c>
      <c r="J1173" s="47">
        <f t="shared" si="90"/>
        <v>0.57833333333333348</v>
      </c>
      <c r="K1173" s="47">
        <f t="shared" si="91"/>
        <v>0.41077085533262919</v>
      </c>
      <c r="L1173" s="8">
        <v>11.42</v>
      </c>
      <c r="M1173" s="8">
        <v>3.18</v>
      </c>
      <c r="N1173" s="8">
        <v>3.32</v>
      </c>
      <c r="O1173" s="17">
        <f t="shared" si="92"/>
        <v>5.4985590778097969E-2</v>
      </c>
      <c r="P1173" s="17">
        <f t="shared" si="93"/>
        <v>8.0823650385604143E-2</v>
      </c>
      <c r="Q1173" s="17">
        <v>7.76</v>
      </c>
      <c r="R1173" s="9">
        <v>20220804</v>
      </c>
      <c r="S1173" s="9">
        <v>77.39</v>
      </c>
      <c r="T1173" s="9">
        <v>12.91</v>
      </c>
      <c r="U1173" s="9">
        <v>4433.6201099999998</v>
      </c>
      <c r="V1173" s="45">
        <f t="shared" si="94"/>
        <v>-0.99708815828156283</v>
      </c>
      <c r="W1173" s="12">
        <v>1.23</v>
      </c>
      <c r="X1173" s="12">
        <v>1.35</v>
      </c>
      <c r="Y1173" s="62"/>
    </row>
    <row r="1174" spans="1:25" x14ac:dyDescent="0.2">
      <c r="A1174" s="3" t="s">
        <v>2211</v>
      </c>
      <c r="B1174" s="3" t="s">
        <v>2212</v>
      </c>
      <c r="C1174" s="6" t="s">
        <v>356</v>
      </c>
      <c r="D1174" s="6" t="s">
        <v>1171</v>
      </c>
      <c r="E1174" s="6" t="s">
        <v>231</v>
      </c>
      <c r="F1174" s="6">
        <v>3966.2</v>
      </c>
      <c r="G1174" s="2">
        <v>3</v>
      </c>
      <c r="H1174" s="61"/>
      <c r="I1174" s="61"/>
      <c r="J1174" s="47">
        <f t="shared" si="90"/>
        <v>-1</v>
      </c>
      <c r="K1174" s="47" t="e">
        <f t="shared" si="91"/>
        <v>#DIV/0!</v>
      </c>
      <c r="M1174" s="8">
        <v>100.34</v>
      </c>
      <c r="O1174" s="17">
        <f t="shared" si="92"/>
        <v>-1.0034000000000001</v>
      </c>
      <c r="P1174" s="17" t="e">
        <f t="shared" si="93"/>
        <v>#DIV/0!</v>
      </c>
      <c r="Q1174" s="17"/>
      <c r="R1174" s="9">
        <v>20220601</v>
      </c>
      <c r="S1174" s="9">
        <v>1.37</v>
      </c>
      <c r="V1174" s="45" t="e">
        <f t="shared" si="94"/>
        <v>#DIV/0!</v>
      </c>
      <c r="X1174" s="12">
        <v>1.76</v>
      </c>
      <c r="Y1174" s="62"/>
    </row>
    <row r="1175" spans="1:25" x14ac:dyDescent="0.2">
      <c r="A1175" s="3" t="s">
        <v>3457</v>
      </c>
      <c r="B1175" s="3" t="s">
        <v>2213</v>
      </c>
      <c r="C1175" s="6" t="s">
        <v>356</v>
      </c>
      <c r="D1175" s="6" t="s">
        <v>156</v>
      </c>
      <c r="E1175" s="6" t="s">
        <v>146</v>
      </c>
      <c r="F1175" s="6">
        <v>3814.65</v>
      </c>
      <c r="G1175" s="2">
        <v>3</v>
      </c>
      <c r="H1175" s="61"/>
      <c r="I1175" s="61"/>
      <c r="J1175" s="47">
        <f t="shared" si="90"/>
        <v>-1</v>
      </c>
      <c r="K1175" s="47" t="e">
        <f t="shared" si="91"/>
        <v>#DIV/0!</v>
      </c>
      <c r="O1175" s="17">
        <f t="shared" si="92"/>
        <v>0</v>
      </c>
      <c r="P1175" s="17" t="e">
        <f t="shared" si="93"/>
        <v>#DIV/0!</v>
      </c>
      <c r="Q1175" s="17"/>
      <c r="R1175" s="9">
        <v>20220527</v>
      </c>
      <c r="V1175" s="45" t="e">
        <f t="shared" si="94"/>
        <v>#DIV/0!</v>
      </c>
      <c r="X1175" s="12">
        <v>3.02</v>
      </c>
      <c r="Y1175" s="62"/>
    </row>
    <row r="1176" spans="1:25" x14ac:dyDescent="0.2">
      <c r="B1176" s="3" t="s">
        <v>2214</v>
      </c>
      <c r="C1176" s="6" t="s">
        <v>355</v>
      </c>
      <c r="D1176" s="6" t="s">
        <v>519</v>
      </c>
      <c r="E1176" s="6" t="s">
        <v>163</v>
      </c>
      <c r="F1176" s="6">
        <v>21484.21</v>
      </c>
      <c r="G1176" s="2">
        <v>12</v>
      </c>
      <c r="H1176" s="61"/>
      <c r="I1176" s="61"/>
      <c r="J1176" s="47">
        <f t="shared" si="90"/>
        <v>-1</v>
      </c>
      <c r="K1176" s="47" t="e">
        <f t="shared" si="91"/>
        <v>#DIV/0!</v>
      </c>
      <c r="O1176" s="17">
        <f t="shared" si="92"/>
        <v>0</v>
      </c>
      <c r="P1176" s="17" t="e">
        <f t="shared" si="93"/>
        <v>#DIV/0!</v>
      </c>
      <c r="Q1176" s="17"/>
      <c r="V1176" s="45" t="e">
        <f t="shared" si="94"/>
        <v>#DIV/0!</v>
      </c>
      <c r="X1176" s="12">
        <v>0.99</v>
      </c>
      <c r="Y1176" s="62"/>
    </row>
    <row r="1177" spans="1:25" x14ac:dyDescent="0.2">
      <c r="A1177" s="3" t="s">
        <v>3458</v>
      </c>
      <c r="B1177" s="3" t="s">
        <v>3459</v>
      </c>
      <c r="C1177" s="6" t="s">
        <v>354</v>
      </c>
      <c r="D1177" s="6" t="s">
        <v>278</v>
      </c>
      <c r="E1177" s="6" t="s">
        <v>119</v>
      </c>
      <c r="F1177" s="6">
        <v>5495.55</v>
      </c>
      <c r="G1177" s="2">
        <v>12</v>
      </c>
      <c r="H1177" s="61">
        <v>0.82</v>
      </c>
      <c r="I1177" s="61"/>
      <c r="J1177" s="47">
        <f t="shared" si="90"/>
        <v>-0.93166666666666664</v>
      </c>
      <c r="K1177" s="47">
        <f t="shared" si="91"/>
        <v>-1</v>
      </c>
      <c r="M1177" s="8">
        <v>6.55</v>
      </c>
      <c r="O1177" s="17">
        <f t="shared" si="92"/>
        <v>-7.030411449016101E-2</v>
      </c>
      <c r="P1177" s="17">
        <f t="shared" si="93"/>
        <v>0</v>
      </c>
      <c r="Q1177" s="17"/>
      <c r="R1177" s="9">
        <v>20220818</v>
      </c>
      <c r="S1177" s="9">
        <v>469.07</v>
      </c>
      <c r="T1177" s="9">
        <v>-0.73</v>
      </c>
      <c r="V1177" s="45" t="e">
        <f t="shared" si="94"/>
        <v>#DIV/0!</v>
      </c>
      <c r="W1177" s="12">
        <v>10</v>
      </c>
      <c r="X1177" s="12">
        <v>15.08</v>
      </c>
      <c r="Y1177" s="62"/>
    </row>
    <row r="1178" spans="1:25" x14ac:dyDescent="0.2">
      <c r="A1178" s="3" t="s">
        <v>1242</v>
      </c>
      <c r="B1178" s="3" t="s">
        <v>1243</v>
      </c>
      <c r="C1178" s="6" t="s">
        <v>354</v>
      </c>
      <c r="D1178" s="6" t="s">
        <v>885</v>
      </c>
      <c r="E1178" s="6" t="s">
        <v>163</v>
      </c>
      <c r="F1178" s="6">
        <v>3185.09</v>
      </c>
      <c r="G1178" s="2">
        <v>12</v>
      </c>
      <c r="H1178" s="61">
        <v>5.48</v>
      </c>
      <c r="I1178" s="61">
        <v>3.73</v>
      </c>
      <c r="J1178" s="47">
        <f t="shared" si="90"/>
        <v>-0.54333333333333333</v>
      </c>
      <c r="K1178" s="47">
        <f t="shared" si="91"/>
        <v>-0.31934306569343074</v>
      </c>
      <c r="L1178" s="8">
        <v>3.76</v>
      </c>
      <c r="M1178" s="8">
        <v>8.6</v>
      </c>
      <c r="N1178" s="8">
        <v>12.28</v>
      </c>
      <c r="O1178" s="17">
        <f t="shared" si="92"/>
        <v>-0.15828220858895703</v>
      </c>
      <c r="P1178" s="17">
        <f t="shared" si="93"/>
        <v>-0.38453942857142842</v>
      </c>
      <c r="Q1178" s="17">
        <v>12.2</v>
      </c>
      <c r="R1178" s="9">
        <v>20220720</v>
      </c>
      <c r="S1178" s="9">
        <v>89.78</v>
      </c>
      <c r="T1178" s="9">
        <v>16.5</v>
      </c>
      <c r="U1178" s="9">
        <v>1273.4119800000001</v>
      </c>
      <c r="V1178" s="45">
        <f t="shared" si="94"/>
        <v>-0.98704268511750615</v>
      </c>
      <c r="W1178" s="12">
        <v>28.38</v>
      </c>
      <c r="X1178" s="12">
        <v>5.24</v>
      </c>
      <c r="Y1178" s="62"/>
    </row>
    <row r="1179" spans="1:25" x14ac:dyDescent="0.2">
      <c r="A1179" s="3" t="s">
        <v>3460</v>
      </c>
      <c r="B1179" s="3" t="s">
        <v>1244</v>
      </c>
      <c r="C1179" s="6" t="s">
        <v>354</v>
      </c>
      <c r="D1179" s="6" t="s">
        <v>223</v>
      </c>
      <c r="E1179" s="6" t="s">
        <v>231</v>
      </c>
      <c r="F1179" s="6">
        <v>183474.2</v>
      </c>
      <c r="G1179" s="2">
        <v>12</v>
      </c>
      <c r="H1179" s="61">
        <v>9.41</v>
      </c>
      <c r="I1179" s="61">
        <v>9.8000000000000007</v>
      </c>
      <c r="J1179" s="47">
        <f t="shared" si="90"/>
        <v>-0.21583333333333332</v>
      </c>
      <c r="K1179" s="47">
        <f t="shared" si="91"/>
        <v>4.144527098831037E-2</v>
      </c>
      <c r="L1179" s="8">
        <v>10.74</v>
      </c>
      <c r="M1179" s="8">
        <v>25.74</v>
      </c>
      <c r="N1179" s="8">
        <v>25.32</v>
      </c>
      <c r="O1179" s="17">
        <f t="shared" si="92"/>
        <v>-1.1925868725868727</v>
      </c>
      <c r="P1179" s="17">
        <f t="shared" si="93"/>
        <v>6.1092615384615296</v>
      </c>
      <c r="Q1179" s="17">
        <v>23.11</v>
      </c>
      <c r="R1179" s="9">
        <v>20220727</v>
      </c>
      <c r="S1179" s="9">
        <v>-131.19999999999999</v>
      </c>
      <c r="T1179" s="9">
        <v>-1.19</v>
      </c>
      <c r="U1179" s="9">
        <v>23473.496090000001</v>
      </c>
      <c r="V1179" s="45">
        <f t="shared" si="94"/>
        <v>-1.0000506954735433</v>
      </c>
      <c r="W1179" s="12">
        <v>4.59</v>
      </c>
      <c r="X1179" s="12">
        <v>2.2200000000000002</v>
      </c>
      <c r="Y1179" s="62">
        <v>3.16</v>
      </c>
    </row>
    <row r="1180" spans="1:25" x14ac:dyDescent="0.2">
      <c r="A1180" s="3" t="s">
        <v>3461</v>
      </c>
      <c r="B1180" s="3" t="s">
        <v>1245</v>
      </c>
      <c r="C1180" s="6" t="s">
        <v>355</v>
      </c>
      <c r="D1180" s="6" t="s">
        <v>227</v>
      </c>
      <c r="E1180" s="6" t="s">
        <v>119</v>
      </c>
      <c r="F1180" s="6">
        <v>38848.36</v>
      </c>
      <c r="G1180" s="2">
        <v>3</v>
      </c>
      <c r="H1180" s="61">
        <v>4.51</v>
      </c>
      <c r="I1180" s="61">
        <v>5.45</v>
      </c>
      <c r="J1180" s="47">
        <f t="shared" si="90"/>
        <v>0.5033333333333333</v>
      </c>
      <c r="K1180" s="47">
        <f t="shared" si="91"/>
        <v>0.20842572062084266</v>
      </c>
      <c r="L1180" s="8">
        <v>5.74</v>
      </c>
      <c r="M1180" s="8">
        <v>15.2</v>
      </c>
      <c r="N1180" s="8">
        <v>12.85</v>
      </c>
      <c r="O1180" s="17">
        <f t="shared" si="92"/>
        <v>0.30198675496688743</v>
      </c>
      <c r="P1180" s="17">
        <f t="shared" si="93"/>
        <v>0.61652659574468061</v>
      </c>
      <c r="Q1180" s="17">
        <v>12.2</v>
      </c>
      <c r="R1180" s="9">
        <v>20220802</v>
      </c>
      <c r="S1180" s="9">
        <v>41.89</v>
      </c>
      <c r="T1180" s="9">
        <v>11.75</v>
      </c>
      <c r="U1180" s="9">
        <v>7908.1767499999996</v>
      </c>
      <c r="V1180" s="45">
        <f t="shared" si="94"/>
        <v>-0.99851419608192238</v>
      </c>
      <c r="W1180" s="12">
        <v>8</v>
      </c>
      <c r="X1180" s="12">
        <v>1.58</v>
      </c>
      <c r="Y1180" s="62">
        <v>0.59</v>
      </c>
    </row>
    <row r="1181" spans="1:25" x14ac:dyDescent="0.2">
      <c r="A1181" s="3" t="s">
        <v>3462</v>
      </c>
      <c r="B1181" s="3" t="s">
        <v>1246</v>
      </c>
      <c r="C1181" s="6" t="s">
        <v>354</v>
      </c>
      <c r="D1181" s="6" t="s">
        <v>186</v>
      </c>
      <c r="E1181" s="6" t="s">
        <v>208</v>
      </c>
      <c r="F1181" s="6">
        <v>48903.8</v>
      </c>
      <c r="G1181" s="2">
        <v>3</v>
      </c>
      <c r="H1181" s="61">
        <v>23.91</v>
      </c>
      <c r="I1181" s="61">
        <v>23.18</v>
      </c>
      <c r="J1181" s="47">
        <f t="shared" si="90"/>
        <v>6.97</v>
      </c>
      <c r="K1181" s="47">
        <f t="shared" si="91"/>
        <v>-3.0531158511083248E-2</v>
      </c>
      <c r="L1181" s="8">
        <v>25.39</v>
      </c>
      <c r="M1181" s="8">
        <v>14.2</v>
      </c>
      <c r="N1181" s="8">
        <v>14.51</v>
      </c>
      <c r="O1181" s="17">
        <f t="shared" si="92"/>
        <v>2.0373027259684359E-2</v>
      </c>
      <c r="P1181" s="17">
        <f t="shared" si="93"/>
        <v>-4.7525219178082159</v>
      </c>
      <c r="Q1181" s="17">
        <v>13.25</v>
      </c>
      <c r="R1181" s="9">
        <v>20220803</v>
      </c>
      <c r="S1181" s="9">
        <v>-538.84</v>
      </c>
      <c r="T1181" s="9">
        <v>5.62</v>
      </c>
      <c r="U1181" s="9">
        <v>257200.1875</v>
      </c>
      <c r="V1181" s="45">
        <f t="shared" si="94"/>
        <v>-0.99997814931608475</v>
      </c>
      <c r="W1181" s="12">
        <v>-3.8</v>
      </c>
      <c r="X1181" s="12">
        <v>0.56000000000000005</v>
      </c>
      <c r="Y1181" s="62">
        <v>1.54</v>
      </c>
    </row>
    <row r="1182" spans="1:25" x14ac:dyDescent="0.2">
      <c r="A1182" s="3" t="s">
        <v>3463</v>
      </c>
      <c r="B1182" s="3" t="s">
        <v>1247</v>
      </c>
      <c r="C1182" s="6" t="s">
        <v>354</v>
      </c>
      <c r="D1182" s="6" t="s">
        <v>151</v>
      </c>
      <c r="E1182" s="6" t="s">
        <v>163</v>
      </c>
      <c r="F1182" s="6">
        <v>55246.68</v>
      </c>
      <c r="G1182" s="2">
        <v>12</v>
      </c>
      <c r="H1182" s="61">
        <v>12.34</v>
      </c>
      <c r="I1182" s="61">
        <v>11.2</v>
      </c>
      <c r="J1182" s="47">
        <f t="shared" si="90"/>
        <v>2.8333333333333321E-2</v>
      </c>
      <c r="K1182" s="47">
        <f t="shared" si="91"/>
        <v>-9.238249594813619E-2</v>
      </c>
      <c r="L1182" s="8">
        <v>12.92</v>
      </c>
      <c r="M1182" s="8">
        <v>26.9</v>
      </c>
      <c r="N1182" s="8">
        <v>26.73</v>
      </c>
      <c r="O1182" s="17">
        <f t="shared" si="92"/>
        <v>9.4941176470588271</v>
      </c>
      <c r="P1182" s="17">
        <f t="shared" si="93"/>
        <v>-2.8934052631578933</v>
      </c>
      <c r="Q1182" s="17">
        <v>23.18</v>
      </c>
      <c r="R1182" s="9">
        <v>20220727</v>
      </c>
      <c r="S1182" s="9">
        <v>79.22</v>
      </c>
      <c r="T1182" s="9">
        <v>10.050000000000001</v>
      </c>
      <c r="U1182" s="9">
        <v>6237.08007</v>
      </c>
      <c r="V1182" s="45">
        <f t="shared" si="94"/>
        <v>-0.99838866907475821</v>
      </c>
      <c r="W1182" s="12">
        <v>-0.34</v>
      </c>
      <c r="X1182" s="12">
        <v>0.94</v>
      </c>
      <c r="Y1182" s="62">
        <v>2.4300000000000002</v>
      </c>
    </row>
    <row r="1183" spans="1:25" x14ac:dyDescent="0.2">
      <c r="A1183" s="3" t="s">
        <v>3464</v>
      </c>
      <c r="B1183" s="3" t="s">
        <v>3465</v>
      </c>
      <c r="C1183" s="6" t="s">
        <v>354</v>
      </c>
      <c r="D1183" s="6" t="s">
        <v>305</v>
      </c>
      <c r="E1183" s="6" t="s">
        <v>146</v>
      </c>
      <c r="F1183" s="6">
        <v>3557.75</v>
      </c>
      <c r="G1183" s="2">
        <v>12</v>
      </c>
      <c r="H1183" s="61">
        <v>0.42</v>
      </c>
      <c r="I1183" s="61">
        <v>0.46</v>
      </c>
      <c r="J1183" s="47">
        <f t="shared" si="90"/>
        <v>-0.96499999999999997</v>
      </c>
      <c r="K1183" s="47">
        <f t="shared" si="91"/>
        <v>9.523809523809533E-2</v>
      </c>
      <c r="L1183" s="8">
        <v>0.54</v>
      </c>
      <c r="M1183" s="8">
        <v>25.59</v>
      </c>
      <c r="N1183" s="8">
        <v>25.7</v>
      </c>
      <c r="O1183" s="17">
        <f t="shared" si="92"/>
        <v>-0.26518134715025904</v>
      </c>
      <c r="P1183" s="17">
        <f t="shared" si="93"/>
        <v>2.6984999999999975</v>
      </c>
      <c r="Q1183" s="17">
        <v>21.88</v>
      </c>
      <c r="R1183" s="9">
        <v>20220811</v>
      </c>
      <c r="S1183" s="9">
        <v>-3.66</v>
      </c>
      <c r="U1183" s="9">
        <v>888.54900999999995</v>
      </c>
      <c r="V1183" s="45">
        <f t="shared" si="94"/>
        <v>-1</v>
      </c>
      <c r="W1183" s="12">
        <v>0</v>
      </c>
      <c r="X1183" s="12">
        <v>0</v>
      </c>
      <c r="Y1183" s="62">
        <v>1.52</v>
      </c>
    </row>
    <row r="1184" spans="1:25" x14ac:dyDescent="0.2">
      <c r="A1184" s="3" t="s">
        <v>3466</v>
      </c>
      <c r="B1184" s="3" t="s">
        <v>1248</v>
      </c>
      <c r="C1184" s="6" t="s">
        <v>355</v>
      </c>
      <c r="D1184" s="6" t="s">
        <v>177</v>
      </c>
      <c r="E1184" s="6" t="s">
        <v>119</v>
      </c>
      <c r="F1184" s="6">
        <v>15747.01</v>
      </c>
      <c r="G1184" s="2">
        <v>1</v>
      </c>
      <c r="H1184" s="61">
        <v>-0.73</v>
      </c>
      <c r="I1184" s="61">
        <v>-0.39</v>
      </c>
      <c r="J1184" s="47">
        <f t="shared" si="90"/>
        <v>-1.73</v>
      </c>
      <c r="K1184" s="47">
        <f t="shared" si="91"/>
        <v>0.46575342465753422</v>
      </c>
      <c r="L1184" s="8">
        <v>0.04</v>
      </c>
      <c r="O1184" s="17">
        <f t="shared" si="92"/>
        <v>0</v>
      </c>
      <c r="P1184" s="17">
        <f t="shared" si="93"/>
        <v>0</v>
      </c>
      <c r="Q1184" s="17">
        <v>5296.82</v>
      </c>
      <c r="R1184" s="9">
        <v>20220601</v>
      </c>
      <c r="S1184" s="9">
        <v>-66.7</v>
      </c>
      <c r="T1184" s="9">
        <v>53.68</v>
      </c>
      <c r="U1184" s="9">
        <v>1170.8110300000001</v>
      </c>
      <c r="V1184" s="45">
        <f t="shared" si="94"/>
        <v>-0.95415143979297834</v>
      </c>
      <c r="W1184" s="12">
        <v>60.87</v>
      </c>
      <c r="X1184" s="12">
        <v>0</v>
      </c>
      <c r="Y1184" s="62"/>
    </row>
    <row r="1185" spans="1:25" x14ac:dyDescent="0.2">
      <c r="A1185" s="3" t="s">
        <v>3467</v>
      </c>
      <c r="B1185" s="3" t="s">
        <v>1249</v>
      </c>
      <c r="C1185" s="6" t="s">
        <v>355</v>
      </c>
      <c r="D1185" s="6" t="s">
        <v>155</v>
      </c>
      <c r="E1185" s="6" t="s">
        <v>154</v>
      </c>
      <c r="F1185" s="6">
        <v>86495.23</v>
      </c>
      <c r="G1185" s="2">
        <v>12</v>
      </c>
      <c r="H1185" s="61">
        <v>2.88</v>
      </c>
      <c r="I1185" s="61">
        <v>2.98</v>
      </c>
      <c r="J1185" s="47">
        <f t="shared" si="90"/>
        <v>-0.76000000000000012</v>
      </c>
      <c r="K1185" s="47">
        <f t="shared" si="91"/>
        <v>3.4722222222222252E-2</v>
      </c>
      <c r="L1185" s="8">
        <v>3.22</v>
      </c>
      <c r="M1185" s="8">
        <v>21.4</v>
      </c>
      <c r="N1185" s="8">
        <v>20.99</v>
      </c>
      <c r="O1185" s="17">
        <f t="shared" si="92"/>
        <v>-0.28157894736842098</v>
      </c>
      <c r="P1185" s="17">
        <f t="shared" si="93"/>
        <v>6.0451199999999945</v>
      </c>
      <c r="Q1185" s="17">
        <v>19.399999999999999</v>
      </c>
      <c r="R1185" s="9">
        <v>20220726</v>
      </c>
      <c r="S1185" s="9">
        <v>14.72</v>
      </c>
      <c r="T1185" s="9">
        <v>2.1800000000000002</v>
      </c>
      <c r="U1185" s="9">
        <v>29940.76367</v>
      </c>
      <c r="V1185" s="45">
        <f t="shared" si="94"/>
        <v>-0.99992718956590332</v>
      </c>
      <c r="W1185" s="12">
        <v>13.51</v>
      </c>
      <c r="X1185" s="12">
        <v>2.2400000000000002</v>
      </c>
      <c r="Y1185" s="62">
        <v>3.09</v>
      </c>
    </row>
    <row r="1186" spans="1:25" x14ac:dyDescent="0.2">
      <c r="A1186" s="3" t="s">
        <v>3468</v>
      </c>
      <c r="B1186" s="3" t="s">
        <v>1250</v>
      </c>
      <c r="C1186" s="6" t="s">
        <v>354</v>
      </c>
      <c r="D1186" s="6" t="s">
        <v>193</v>
      </c>
      <c r="E1186" s="6" t="s">
        <v>208</v>
      </c>
      <c r="F1186" s="6">
        <v>133402.66</v>
      </c>
      <c r="G1186" s="2">
        <v>4</v>
      </c>
      <c r="H1186" s="61">
        <v>5.66</v>
      </c>
      <c r="I1186" s="61">
        <v>5.76</v>
      </c>
      <c r="J1186" s="47">
        <f t="shared" si="90"/>
        <v>0.41500000000000004</v>
      </c>
      <c r="K1186" s="47">
        <f t="shared" si="91"/>
        <v>1.7667844522968136E-2</v>
      </c>
      <c r="L1186" s="8">
        <v>6.31</v>
      </c>
      <c r="M1186" s="8">
        <v>17.690000000000001</v>
      </c>
      <c r="N1186" s="8">
        <v>17.27</v>
      </c>
      <c r="O1186" s="17">
        <f t="shared" si="92"/>
        <v>0.42626506024096389</v>
      </c>
      <c r="P1186" s="17">
        <f t="shared" si="93"/>
        <v>9.7748200000000338</v>
      </c>
      <c r="Q1186" s="17">
        <v>15.77</v>
      </c>
      <c r="R1186" s="9">
        <v>20220823</v>
      </c>
      <c r="S1186" s="9">
        <v>14.5</v>
      </c>
      <c r="T1186" s="9">
        <v>0.37</v>
      </c>
      <c r="U1186" s="9">
        <v>33177.125</v>
      </c>
      <c r="V1186" s="45">
        <f t="shared" si="94"/>
        <v>-0.9999888477377108</v>
      </c>
      <c r="W1186" s="12">
        <v>-2.56</v>
      </c>
      <c r="X1186" s="12">
        <v>2.5299999999999998</v>
      </c>
      <c r="Y1186" s="62">
        <v>2.2799999999999998</v>
      </c>
    </row>
    <row r="1187" spans="1:25" x14ac:dyDescent="0.2">
      <c r="A1187" s="3" t="s">
        <v>3469</v>
      </c>
      <c r="B1187" s="3" t="s">
        <v>1251</v>
      </c>
      <c r="C1187" s="6" t="s">
        <v>354</v>
      </c>
      <c r="D1187" s="6" t="s">
        <v>264</v>
      </c>
      <c r="E1187" s="6" t="s">
        <v>250</v>
      </c>
      <c r="F1187" s="6">
        <v>5520.97</v>
      </c>
      <c r="G1187" s="2">
        <v>12</v>
      </c>
      <c r="H1187" s="61">
        <v>1.99</v>
      </c>
      <c r="I1187" s="61">
        <v>2.0499999999999998</v>
      </c>
      <c r="J1187" s="47">
        <f t="shared" si="90"/>
        <v>-0.83416666666666661</v>
      </c>
      <c r="K1187" s="47">
        <f t="shared" si="91"/>
        <v>3.0150753768844137E-2</v>
      </c>
      <c r="L1187" s="8">
        <v>2.23</v>
      </c>
      <c r="M1187" s="8">
        <v>15.43</v>
      </c>
      <c r="N1187" s="8">
        <v>13.28</v>
      </c>
      <c r="O1187" s="17">
        <f t="shared" si="92"/>
        <v>-0.18497502497502499</v>
      </c>
      <c r="P1187" s="17">
        <f t="shared" si="93"/>
        <v>4.4045333333333456</v>
      </c>
      <c r="Q1187" s="17">
        <v>12.18</v>
      </c>
      <c r="R1187" s="9">
        <v>20220803</v>
      </c>
      <c r="S1187" s="9">
        <v>10.77</v>
      </c>
      <c r="T1187" s="9">
        <v>7.59</v>
      </c>
      <c r="V1187" s="45" t="e">
        <f t="shared" si="94"/>
        <v>#DIV/0!</v>
      </c>
      <c r="W1187" s="12">
        <v>-5.88</v>
      </c>
      <c r="X1187" s="12">
        <v>3.2</v>
      </c>
      <c r="Y1187" s="62">
        <v>1.93</v>
      </c>
    </row>
    <row r="1188" spans="1:25" x14ac:dyDescent="0.2">
      <c r="A1188" s="3" t="s">
        <v>3470</v>
      </c>
      <c r="B1188" s="3" t="s">
        <v>1252</v>
      </c>
      <c r="C1188" s="6" t="s">
        <v>355</v>
      </c>
      <c r="D1188" s="6" t="s">
        <v>195</v>
      </c>
      <c r="E1188" s="6" t="s">
        <v>208</v>
      </c>
      <c r="F1188" s="6">
        <v>4560.53</v>
      </c>
      <c r="G1188" s="2">
        <v>12</v>
      </c>
      <c r="H1188" s="61">
        <v>4.75</v>
      </c>
      <c r="I1188" s="61">
        <v>5.87</v>
      </c>
      <c r="J1188" s="47">
        <f t="shared" si="90"/>
        <v>-0.60416666666666663</v>
      </c>
      <c r="K1188" s="47">
        <f t="shared" si="91"/>
        <v>0.23578947368421055</v>
      </c>
      <c r="L1188" s="8">
        <v>6.39</v>
      </c>
      <c r="M1188" s="8">
        <v>25.29</v>
      </c>
      <c r="N1188" s="8">
        <v>23.1</v>
      </c>
      <c r="O1188" s="17">
        <f t="shared" si="92"/>
        <v>-0.41859310344827588</v>
      </c>
      <c r="P1188" s="17">
        <f t="shared" si="93"/>
        <v>0.97968749999999993</v>
      </c>
      <c r="Q1188" s="17">
        <v>21.21</v>
      </c>
      <c r="R1188" s="9">
        <v>20220725</v>
      </c>
      <c r="S1188" s="9">
        <v>24.17</v>
      </c>
      <c r="T1188" s="9">
        <v>25.3</v>
      </c>
      <c r="U1188" s="9">
        <v>1406.39294</v>
      </c>
      <c r="V1188" s="45">
        <f t="shared" si="94"/>
        <v>-0.98201071743150248</v>
      </c>
      <c r="W1188" s="12">
        <v>34.130000000000003</v>
      </c>
      <c r="X1188" s="12">
        <v>0</v>
      </c>
      <c r="Y1188" s="62"/>
    </row>
    <row r="1189" spans="1:25" x14ac:dyDescent="0.2">
      <c r="A1189" s="3" t="s">
        <v>3471</v>
      </c>
      <c r="B1189" s="3" t="s">
        <v>1879</v>
      </c>
      <c r="C1189" s="6" t="s">
        <v>356</v>
      </c>
      <c r="D1189" s="6" t="s">
        <v>24</v>
      </c>
      <c r="E1189" s="6" t="s">
        <v>10</v>
      </c>
      <c r="F1189" s="6">
        <v>7578.12</v>
      </c>
      <c r="G1189" s="2">
        <v>12</v>
      </c>
      <c r="H1189" s="61"/>
      <c r="I1189" s="61"/>
      <c r="J1189" s="47">
        <f t="shared" si="90"/>
        <v>-1</v>
      </c>
      <c r="K1189" s="47" t="e">
        <f t="shared" si="91"/>
        <v>#DIV/0!</v>
      </c>
      <c r="O1189" s="17">
        <f t="shared" si="92"/>
        <v>0</v>
      </c>
      <c r="P1189" s="17" t="e">
        <f t="shared" si="93"/>
        <v>#DIV/0!</v>
      </c>
      <c r="Q1189" s="17"/>
      <c r="R1189" s="9">
        <v>20220602</v>
      </c>
      <c r="V1189" s="45" t="e">
        <f t="shared" si="94"/>
        <v>#DIV/0!</v>
      </c>
      <c r="X1189" s="12">
        <v>0</v>
      </c>
      <c r="Y1189" s="62"/>
    </row>
    <row r="1190" spans="1:25" x14ac:dyDescent="0.2">
      <c r="A1190" s="3" t="s">
        <v>3472</v>
      </c>
      <c r="B1190" s="3" t="s">
        <v>1253</v>
      </c>
      <c r="C1190" s="6" t="s">
        <v>355</v>
      </c>
      <c r="D1190" s="6" t="s">
        <v>174</v>
      </c>
      <c r="E1190" s="6" t="s">
        <v>231</v>
      </c>
      <c r="F1190" s="6">
        <v>39468.129999999997</v>
      </c>
      <c r="G1190" s="2">
        <v>12</v>
      </c>
      <c r="H1190" s="61">
        <v>3.49</v>
      </c>
      <c r="I1190" s="61">
        <v>6.78</v>
      </c>
      <c r="J1190" s="47">
        <f t="shared" si="90"/>
        <v>-0.70916666666666661</v>
      </c>
      <c r="K1190" s="47">
        <f t="shared" si="91"/>
        <v>0.94269340974212035</v>
      </c>
      <c r="L1190" s="8">
        <v>13.52</v>
      </c>
      <c r="M1190" s="8">
        <v>213.47</v>
      </c>
      <c r="N1190" s="8">
        <v>115.47</v>
      </c>
      <c r="O1190" s="17">
        <f t="shared" si="92"/>
        <v>-3.0101527614571095</v>
      </c>
      <c r="P1190" s="17">
        <f t="shared" si="93"/>
        <v>1.2248945288753801</v>
      </c>
      <c r="Q1190" s="17">
        <v>57.92</v>
      </c>
      <c r="R1190" s="9">
        <v>20220803</v>
      </c>
      <c r="S1190" s="9">
        <v>21.93</v>
      </c>
      <c r="T1190" s="9">
        <v>52.1</v>
      </c>
      <c r="U1190" s="9">
        <v>10529.5</v>
      </c>
      <c r="V1190" s="45">
        <f t="shared" si="94"/>
        <v>-0.99505199677097678</v>
      </c>
      <c r="W1190" s="12">
        <v>-21.69</v>
      </c>
      <c r="X1190" s="12">
        <v>0</v>
      </c>
      <c r="Y1190" s="62"/>
    </row>
    <row r="1191" spans="1:25" x14ac:dyDescent="0.2">
      <c r="A1191" s="3" t="s">
        <v>3473</v>
      </c>
      <c r="B1191" s="3" t="s">
        <v>3474</v>
      </c>
      <c r="C1191" s="6" t="s">
        <v>355</v>
      </c>
      <c r="D1191" s="6" t="s">
        <v>126</v>
      </c>
      <c r="E1191" s="6" t="s">
        <v>60</v>
      </c>
      <c r="F1191" s="6">
        <v>3553.11</v>
      </c>
      <c r="G1191" s="2">
        <v>12</v>
      </c>
      <c r="H1191" s="61">
        <v>6.16</v>
      </c>
      <c r="I1191" s="61">
        <v>6.49</v>
      </c>
      <c r="J1191" s="47">
        <f t="shared" si="90"/>
        <v>-0.48666666666666664</v>
      </c>
      <c r="K1191" s="47">
        <f t="shared" si="91"/>
        <v>5.3571428571428582E-2</v>
      </c>
      <c r="L1191" s="8">
        <v>4.88</v>
      </c>
      <c r="M1191" s="8">
        <v>6.89</v>
      </c>
      <c r="N1191" s="8">
        <v>7.57</v>
      </c>
      <c r="O1191" s="17">
        <f t="shared" si="92"/>
        <v>-0.14157534246575343</v>
      </c>
      <c r="P1191" s="17">
        <f t="shared" si="93"/>
        <v>1.4130666666666662</v>
      </c>
      <c r="Q1191" s="17">
        <v>10.050000000000001</v>
      </c>
      <c r="R1191" s="9">
        <v>20220727</v>
      </c>
      <c r="S1191" s="9">
        <v>27.41</v>
      </c>
      <c r="T1191" s="9">
        <v>3.88</v>
      </c>
      <c r="U1191" s="9">
        <v>4672</v>
      </c>
      <c r="V1191" s="45">
        <f t="shared" si="94"/>
        <v>-0.99916952054794517</v>
      </c>
      <c r="W1191" s="12">
        <v>3.35</v>
      </c>
      <c r="X1191" s="12">
        <v>1.02</v>
      </c>
      <c r="Y1191" s="62"/>
    </row>
    <row r="1192" spans="1:25" x14ac:dyDescent="0.2">
      <c r="A1192" s="3" t="s">
        <v>3475</v>
      </c>
      <c r="B1192" s="3" t="s">
        <v>1254</v>
      </c>
      <c r="C1192" s="6" t="s">
        <v>354</v>
      </c>
      <c r="D1192" s="6" t="s">
        <v>172</v>
      </c>
      <c r="E1192" s="6" t="s">
        <v>163</v>
      </c>
      <c r="F1192" s="6">
        <v>54411.61</v>
      </c>
      <c r="G1192" s="2">
        <v>12</v>
      </c>
      <c r="H1192" s="61">
        <v>8.42</v>
      </c>
      <c r="I1192" s="61">
        <v>7.5</v>
      </c>
      <c r="J1192" s="47">
        <f t="shared" si="90"/>
        <v>-0.29833333333333334</v>
      </c>
      <c r="K1192" s="47">
        <f t="shared" si="91"/>
        <v>-0.10926365795724464</v>
      </c>
      <c r="L1192" s="8">
        <v>8.1999999999999993</v>
      </c>
      <c r="M1192" s="8">
        <v>7.43</v>
      </c>
      <c r="N1192" s="8">
        <v>8.92</v>
      </c>
      <c r="O1192" s="17">
        <f t="shared" si="92"/>
        <v>-0.24905027932960891</v>
      </c>
      <c r="P1192" s="17">
        <f t="shared" si="93"/>
        <v>-0.81637391304347828</v>
      </c>
      <c r="Q1192" s="17">
        <v>8.16</v>
      </c>
      <c r="R1192" s="9">
        <v>20220803</v>
      </c>
      <c r="S1192" s="9">
        <v>12.04</v>
      </c>
      <c r="T1192" s="9">
        <v>1.74</v>
      </c>
      <c r="U1192" s="9">
        <v>68760.242180000001</v>
      </c>
      <c r="V1192" s="45">
        <f t="shared" si="94"/>
        <v>-0.99997469467900579</v>
      </c>
      <c r="W1192" s="12">
        <v>27.61</v>
      </c>
      <c r="X1192" s="12">
        <v>2.99</v>
      </c>
      <c r="Y1192" s="62">
        <v>1.2</v>
      </c>
    </row>
    <row r="1193" spans="1:25" x14ac:dyDescent="0.2">
      <c r="A1193" s="3" t="s">
        <v>1255</v>
      </c>
      <c r="B1193" s="3" t="s">
        <v>1256</v>
      </c>
      <c r="C1193" s="6" t="s">
        <v>354</v>
      </c>
      <c r="D1193" s="6" t="s">
        <v>170</v>
      </c>
      <c r="E1193" s="6" t="s">
        <v>163</v>
      </c>
      <c r="F1193" s="6">
        <v>34813.79</v>
      </c>
      <c r="G1193" s="2">
        <v>12</v>
      </c>
      <c r="H1193" s="61">
        <v>2.57</v>
      </c>
      <c r="I1193" s="61">
        <v>2.56</v>
      </c>
      <c r="J1193" s="47">
        <f t="shared" si="90"/>
        <v>-0.78583333333333327</v>
      </c>
      <c r="K1193" s="47">
        <f t="shared" si="91"/>
        <v>-3.8910505836575048E-3</v>
      </c>
      <c r="L1193" s="8">
        <v>2.73</v>
      </c>
      <c r="M1193" s="8">
        <v>7.07</v>
      </c>
      <c r="N1193" s="8">
        <v>7.06</v>
      </c>
      <c r="O1193" s="17">
        <f t="shared" si="92"/>
        <v>-8.9968186638388126E-2</v>
      </c>
      <c r="P1193" s="17">
        <f t="shared" si="93"/>
        <v>-18.144200000000385</v>
      </c>
      <c r="Q1193" s="17">
        <v>6.62</v>
      </c>
      <c r="R1193" s="9">
        <v>20220803</v>
      </c>
      <c r="S1193" s="9">
        <v>12.78</v>
      </c>
      <c r="U1193" s="9">
        <v>21566.460930000001</v>
      </c>
      <c r="V1193" s="45">
        <f t="shared" si="94"/>
        <v>-1</v>
      </c>
      <c r="W1193" s="12">
        <v>-7.58</v>
      </c>
      <c r="X1193" s="12">
        <v>5.67</v>
      </c>
      <c r="Y1193" s="62">
        <v>0.71</v>
      </c>
    </row>
    <row r="1194" spans="1:25" x14ac:dyDescent="0.2">
      <c r="A1194" s="3" t="s">
        <v>3476</v>
      </c>
      <c r="B1194" s="3" t="s">
        <v>1257</v>
      </c>
      <c r="C1194" s="6" t="s">
        <v>354</v>
      </c>
      <c r="D1194" s="6" t="s">
        <v>69</v>
      </c>
      <c r="E1194" s="6" t="s">
        <v>163</v>
      </c>
      <c r="F1194" s="6">
        <v>30432</v>
      </c>
      <c r="G1194" s="2">
        <v>3</v>
      </c>
      <c r="H1194" s="61">
        <v>0.35</v>
      </c>
      <c r="I1194" s="61">
        <v>0.36</v>
      </c>
      <c r="J1194" s="47">
        <f t="shared" si="90"/>
        <v>-0.8833333333333333</v>
      </c>
      <c r="K1194" s="47">
        <f t="shared" si="91"/>
        <v>2.8571428571428598E-2</v>
      </c>
      <c r="L1194" s="8">
        <v>0.39</v>
      </c>
      <c r="M1194" s="8">
        <v>6.86</v>
      </c>
      <c r="N1194" s="8">
        <v>6.67</v>
      </c>
      <c r="O1194" s="17">
        <f t="shared" si="92"/>
        <v>-7.7660377358490573E-2</v>
      </c>
      <c r="P1194" s="17">
        <f t="shared" si="93"/>
        <v>2.3344999999999976</v>
      </c>
      <c r="Q1194" s="17">
        <v>6.15</v>
      </c>
      <c r="R1194" s="9">
        <v>20220729</v>
      </c>
      <c r="S1194" s="9">
        <v>5.17</v>
      </c>
      <c r="T1194" s="9">
        <v>-0.72</v>
      </c>
      <c r="V1194" s="45" t="e">
        <f t="shared" si="94"/>
        <v>#DIV/0!</v>
      </c>
      <c r="W1194" s="12">
        <v>12.5</v>
      </c>
      <c r="X1194" s="12">
        <v>4.46</v>
      </c>
      <c r="Y1194" s="62">
        <v>0.74</v>
      </c>
    </row>
    <row r="1195" spans="1:25" x14ac:dyDescent="0.2">
      <c r="A1195" s="3" t="s">
        <v>3477</v>
      </c>
      <c r="B1195" s="3" t="s">
        <v>1258</v>
      </c>
      <c r="C1195" s="6" t="s">
        <v>354</v>
      </c>
      <c r="D1195" s="6" t="s">
        <v>54</v>
      </c>
      <c r="E1195" s="6" t="s">
        <v>35</v>
      </c>
      <c r="F1195" s="6">
        <v>18328.71</v>
      </c>
      <c r="G1195" s="2">
        <v>12</v>
      </c>
      <c r="H1195" s="61">
        <v>4.76</v>
      </c>
      <c r="I1195" s="61">
        <v>5.0199999999999996</v>
      </c>
      <c r="J1195" s="47">
        <f t="shared" si="90"/>
        <v>-0.60333333333333339</v>
      </c>
      <c r="K1195" s="47">
        <f t="shared" si="91"/>
        <v>5.4621848739495757E-2</v>
      </c>
      <c r="L1195" s="8">
        <v>7.42</v>
      </c>
      <c r="M1195" s="8">
        <v>13.81</v>
      </c>
      <c r="N1195" s="8">
        <v>12.49</v>
      </c>
      <c r="O1195" s="17">
        <f t="shared" si="92"/>
        <v>-0.22889502762430938</v>
      </c>
      <c r="P1195" s="17">
        <f t="shared" si="93"/>
        <v>2.2866307692307712</v>
      </c>
      <c r="Q1195" s="17">
        <v>8.4499999999999993</v>
      </c>
      <c r="R1195" s="9">
        <v>20220805</v>
      </c>
      <c r="S1195" s="9">
        <v>11.21</v>
      </c>
      <c r="T1195" s="9">
        <v>-2.91</v>
      </c>
      <c r="U1195" s="9">
        <v>38192.835930000001</v>
      </c>
      <c r="V1195" s="45">
        <f t="shared" si="94"/>
        <v>-1.0000761922996591</v>
      </c>
      <c r="W1195" s="12">
        <v>21.9</v>
      </c>
      <c r="X1195" s="12">
        <v>2.87</v>
      </c>
      <c r="Y1195" s="62">
        <v>0.68</v>
      </c>
    </row>
    <row r="1196" spans="1:25" x14ac:dyDescent="0.2">
      <c r="A1196" s="3" t="s">
        <v>1259</v>
      </c>
      <c r="B1196" s="3" t="s">
        <v>1260</v>
      </c>
      <c r="C1196" s="6" t="s">
        <v>356</v>
      </c>
      <c r="D1196" s="6" t="s">
        <v>559</v>
      </c>
      <c r="E1196" s="6" t="s">
        <v>35</v>
      </c>
      <c r="F1196" s="6">
        <v>22950.080000000002</v>
      </c>
      <c r="G1196" s="2">
        <v>12</v>
      </c>
      <c r="H1196" s="61">
        <v>2.1</v>
      </c>
      <c r="I1196" s="61">
        <v>2.6</v>
      </c>
      <c r="J1196" s="47">
        <f t="shared" si="90"/>
        <v>-0.82500000000000007</v>
      </c>
      <c r="K1196" s="47">
        <f t="shared" si="91"/>
        <v>0.23809523809523808</v>
      </c>
      <c r="L1196" s="8">
        <v>2.96</v>
      </c>
      <c r="N1196" s="8">
        <v>9.89</v>
      </c>
      <c r="O1196" s="17">
        <f t="shared" si="92"/>
        <v>0</v>
      </c>
      <c r="P1196" s="17">
        <f t="shared" si="93"/>
        <v>0.41538000000000008</v>
      </c>
      <c r="Q1196" s="17">
        <v>8.69</v>
      </c>
      <c r="U1196" s="9">
        <v>29370.28515</v>
      </c>
      <c r="V1196" s="45">
        <f t="shared" si="94"/>
        <v>-1</v>
      </c>
      <c r="X1196" s="12">
        <v>2.91</v>
      </c>
      <c r="Y1196" s="62"/>
    </row>
    <row r="1197" spans="1:25" x14ac:dyDescent="0.2">
      <c r="A1197" s="3" t="s">
        <v>1261</v>
      </c>
      <c r="B1197" s="3" t="s">
        <v>1262</v>
      </c>
      <c r="C1197" s="6" t="s">
        <v>354</v>
      </c>
      <c r="D1197" s="6" t="s">
        <v>157</v>
      </c>
      <c r="E1197" s="6" t="s">
        <v>146</v>
      </c>
      <c r="F1197" s="6">
        <v>14690.28</v>
      </c>
      <c r="G1197" s="2">
        <v>12</v>
      </c>
      <c r="H1197" s="61">
        <v>-0.76</v>
      </c>
      <c r="I1197" s="61">
        <v>0.8</v>
      </c>
      <c r="J1197" s="47">
        <f t="shared" si="90"/>
        <v>-1.0633333333333332</v>
      </c>
      <c r="K1197" s="47">
        <f t="shared" si="91"/>
        <v>2.0526315789473686</v>
      </c>
      <c r="L1197" s="8">
        <v>1.59</v>
      </c>
      <c r="M1197" s="8">
        <v>1149.33</v>
      </c>
      <c r="N1197" s="8">
        <v>43.37</v>
      </c>
      <c r="O1197" s="17">
        <f t="shared" si="92"/>
        <v>-10.808746081504703</v>
      </c>
      <c r="P1197" s="17">
        <f t="shared" si="93"/>
        <v>0.21128974358974356</v>
      </c>
      <c r="Q1197" s="17">
        <v>21.63</v>
      </c>
      <c r="R1197" s="9">
        <v>20220803</v>
      </c>
      <c r="S1197" s="9">
        <v>0.81</v>
      </c>
      <c r="T1197" s="9">
        <v>-10.01</v>
      </c>
      <c r="U1197" s="9">
        <v>12400.434569999999</v>
      </c>
      <c r="V1197" s="45">
        <f t="shared" si="94"/>
        <v>-1.0008072297743675</v>
      </c>
      <c r="W1197" s="12">
        <v>111.11</v>
      </c>
      <c r="X1197" s="12">
        <v>0.03</v>
      </c>
      <c r="Y1197" s="62"/>
    </row>
    <row r="1198" spans="1:25" x14ac:dyDescent="0.2">
      <c r="A1198" s="3" t="s">
        <v>1880</v>
      </c>
      <c r="B1198" s="3" t="s">
        <v>1881</v>
      </c>
      <c r="C1198" s="6" t="s">
        <v>354</v>
      </c>
      <c r="D1198" s="6" t="s">
        <v>200</v>
      </c>
      <c r="E1198" s="6" t="s">
        <v>218</v>
      </c>
      <c r="F1198" s="6">
        <v>6104.18</v>
      </c>
      <c r="G1198" s="2">
        <v>12</v>
      </c>
      <c r="H1198" s="61">
        <v>2.33</v>
      </c>
      <c r="I1198" s="61">
        <v>4.24</v>
      </c>
      <c r="J1198" s="47">
        <f t="shared" si="90"/>
        <v>-0.80583333333333329</v>
      </c>
      <c r="K1198" s="47">
        <f t="shared" si="91"/>
        <v>0.81974248927038629</v>
      </c>
      <c r="L1198" s="8">
        <v>3.98</v>
      </c>
      <c r="M1198" s="8">
        <v>9.1300000000000008</v>
      </c>
      <c r="N1198" s="8">
        <v>6.35</v>
      </c>
      <c r="O1198" s="17">
        <f t="shared" si="92"/>
        <v>-0.11329886246122028</v>
      </c>
      <c r="P1198" s="17">
        <f t="shared" si="93"/>
        <v>7.7463350785340307E-2</v>
      </c>
      <c r="Q1198" s="17">
        <v>6.77</v>
      </c>
      <c r="R1198" s="9">
        <v>20220801</v>
      </c>
      <c r="S1198" s="9">
        <v>55.08</v>
      </c>
      <c r="T1198" s="9">
        <v>1.91</v>
      </c>
      <c r="U1198" s="9">
        <v>1715.01403</v>
      </c>
      <c r="V1198" s="45">
        <f t="shared" si="94"/>
        <v>-0.99888630648695043</v>
      </c>
      <c r="W1198" s="12">
        <v>0</v>
      </c>
      <c r="X1198" s="12">
        <v>1.48</v>
      </c>
      <c r="Y1198" s="62"/>
    </row>
    <row r="1199" spans="1:25" x14ac:dyDescent="0.2">
      <c r="A1199" s="3" t="s">
        <v>2215</v>
      </c>
      <c r="B1199" s="3" t="s">
        <v>2216</v>
      </c>
      <c r="C1199" s="6" t="s">
        <v>356</v>
      </c>
      <c r="D1199" s="6" t="s">
        <v>155</v>
      </c>
      <c r="E1199" s="6" t="s">
        <v>154</v>
      </c>
      <c r="F1199" s="6">
        <v>13555.55</v>
      </c>
      <c r="G1199" s="2">
        <v>12</v>
      </c>
      <c r="H1199" s="61"/>
      <c r="I1199" s="61">
        <v>1.43</v>
      </c>
      <c r="J1199" s="47">
        <f t="shared" si="90"/>
        <v>-1</v>
      </c>
      <c r="K1199" s="47" t="e">
        <f t="shared" si="91"/>
        <v>#DIV/0!</v>
      </c>
      <c r="L1199" s="8">
        <v>1.5</v>
      </c>
      <c r="M1199" s="8">
        <v>26.21</v>
      </c>
      <c r="N1199" s="8">
        <v>18.329999999999998</v>
      </c>
      <c r="O1199" s="17">
        <f t="shared" si="92"/>
        <v>-0.2621</v>
      </c>
      <c r="P1199" s="17" t="e">
        <f t="shared" si="93"/>
        <v>#DIV/0!</v>
      </c>
      <c r="Q1199" s="17">
        <v>17.48</v>
      </c>
      <c r="R1199" s="9">
        <v>20220824</v>
      </c>
      <c r="S1199" s="9">
        <v>13.7</v>
      </c>
      <c r="T1199" s="9">
        <v>3.47</v>
      </c>
      <c r="V1199" s="45" t="e">
        <f t="shared" si="94"/>
        <v>#DIV/0!</v>
      </c>
      <c r="W1199" s="12">
        <v>3.13</v>
      </c>
      <c r="X1199" s="12">
        <v>2.31</v>
      </c>
      <c r="Y1199" s="62">
        <v>0.69</v>
      </c>
    </row>
    <row r="1200" spans="1:25" x14ac:dyDescent="0.2">
      <c r="A1200" s="3" t="s">
        <v>3478</v>
      </c>
      <c r="B1200" s="3" t="s">
        <v>1263</v>
      </c>
      <c r="C1200" s="6" t="s">
        <v>354</v>
      </c>
      <c r="D1200" s="6" t="s">
        <v>802</v>
      </c>
      <c r="E1200" s="6" t="s">
        <v>146</v>
      </c>
      <c r="F1200" s="6">
        <v>8857.4</v>
      </c>
      <c r="G1200" s="2">
        <v>12</v>
      </c>
      <c r="H1200" s="61">
        <v>14.81</v>
      </c>
      <c r="I1200" s="61">
        <v>15.52</v>
      </c>
      <c r="J1200" s="47">
        <f t="shared" si="90"/>
        <v>0.23416666666666672</v>
      </c>
      <c r="K1200" s="47">
        <f t="shared" si="91"/>
        <v>4.7940580688723769E-2</v>
      </c>
      <c r="L1200" s="8">
        <v>16.190000000000001</v>
      </c>
      <c r="M1200" s="8">
        <v>9.2100000000000009</v>
      </c>
      <c r="N1200" s="8">
        <v>8.98</v>
      </c>
      <c r="O1200" s="17">
        <f t="shared" si="92"/>
        <v>0.39330960854092523</v>
      </c>
      <c r="P1200" s="17">
        <f t="shared" si="93"/>
        <v>1.8731521126760591</v>
      </c>
      <c r="Q1200" s="17">
        <v>8.61</v>
      </c>
      <c r="R1200" s="9">
        <v>20220804</v>
      </c>
      <c r="S1200" s="9">
        <v>12</v>
      </c>
      <c r="T1200" s="9">
        <v>3.14</v>
      </c>
      <c r="U1200" s="9">
        <v>12258.809569999999</v>
      </c>
      <c r="V1200" s="45">
        <f t="shared" si="94"/>
        <v>-0.99974385767377583</v>
      </c>
      <c r="W1200" s="12">
        <v>30.8</v>
      </c>
      <c r="X1200" s="12">
        <v>0</v>
      </c>
      <c r="Y1200" s="62">
        <v>2.16</v>
      </c>
    </row>
    <row r="1201" spans="1:25" x14ac:dyDescent="0.2">
      <c r="A1201" s="3" t="s">
        <v>3479</v>
      </c>
      <c r="B1201" s="3" t="s">
        <v>1264</v>
      </c>
      <c r="C1201" s="6" t="s">
        <v>356</v>
      </c>
      <c r="D1201" s="6" t="s">
        <v>183</v>
      </c>
      <c r="E1201" s="6" t="s">
        <v>201</v>
      </c>
      <c r="F1201" s="6">
        <v>12975.18</v>
      </c>
      <c r="G1201" s="2">
        <v>3</v>
      </c>
      <c r="H1201" s="61">
        <v>2.9</v>
      </c>
      <c r="I1201" s="61">
        <v>3.35</v>
      </c>
      <c r="J1201" s="47">
        <f t="shared" si="90"/>
        <v>-3.3333333333333361E-2</v>
      </c>
      <c r="K1201" s="47">
        <f t="shared" si="91"/>
        <v>0.15517241379310351</v>
      </c>
      <c r="L1201" s="8">
        <v>3.81</v>
      </c>
      <c r="M1201" s="8">
        <v>13.14</v>
      </c>
      <c r="N1201" s="8">
        <v>11.55</v>
      </c>
      <c r="O1201" s="17">
        <f t="shared" si="92"/>
        <v>-3.9419999999999971</v>
      </c>
      <c r="P1201" s="17">
        <f t="shared" si="93"/>
        <v>0.74433333333333307</v>
      </c>
      <c r="Q1201" s="17">
        <v>10.15</v>
      </c>
      <c r="R1201" s="9">
        <v>20220801</v>
      </c>
      <c r="S1201" s="9">
        <v>7.57</v>
      </c>
      <c r="T1201" s="9">
        <v>-2.16</v>
      </c>
      <c r="U1201" s="9">
        <v>34117.460930000001</v>
      </c>
      <c r="V1201" s="45">
        <f t="shared" si="94"/>
        <v>-1.0000633106902193</v>
      </c>
      <c r="W1201" s="12">
        <v>7.24</v>
      </c>
      <c r="X1201" s="12">
        <v>0</v>
      </c>
      <c r="Y1201" s="62"/>
    </row>
    <row r="1202" spans="1:25" x14ac:dyDescent="0.2">
      <c r="A1202" s="3" t="s">
        <v>3480</v>
      </c>
      <c r="B1202" s="3" t="s">
        <v>403</v>
      </c>
      <c r="C1202" s="6" t="s">
        <v>355</v>
      </c>
      <c r="D1202" s="6" t="s">
        <v>183</v>
      </c>
      <c r="E1202" s="6" t="s">
        <v>201</v>
      </c>
      <c r="F1202" s="6">
        <v>7885.44</v>
      </c>
      <c r="G1202" s="2">
        <v>12</v>
      </c>
      <c r="H1202" s="61">
        <v>7.9</v>
      </c>
      <c r="I1202" s="61">
        <v>9.56</v>
      </c>
      <c r="J1202" s="47">
        <f t="shared" si="90"/>
        <v>-0.34166666666666662</v>
      </c>
      <c r="K1202" s="47">
        <f t="shared" si="91"/>
        <v>0.21012658227848102</v>
      </c>
      <c r="L1202" s="8">
        <v>10.55</v>
      </c>
      <c r="M1202" s="8">
        <v>17.53</v>
      </c>
      <c r="N1202" s="8">
        <v>15.16</v>
      </c>
      <c r="O1202" s="17">
        <f t="shared" si="92"/>
        <v>-0.51307317073170744</v>
      </c>
      <c r="P1202" s="17">
        <f t="shared" si="93"/>
        <v>0.72146987951807229</v>
      </c>
      <c r="Q1202" s="17">
        <v>13.74</v>
      </c>
      <c r="R1202" s="9">
        <v>20220811</v>
      </c>
      <c r="S1202" s="9">
        <v>19.53</v>
      </c>
      <c r="T1202" s="9">
        <v>6.35</v>
      </c>
      <c r="U1202" s="9">
        <v>4078.22192</v>
      </c>
      <c r="V1202" s="45">
        <f t="shared" si="94"/>
        <v>-0.99844294888199714</v>
      </c>
      <c r="W1202" s="12">
        <v>0.47</v>
      </c>
      <c r="X1202" s="12">
        <v>0</v>
      </c>
      <c r="Y1202" s="62"/>
    </row>
    <row r="1203" spans="1:25" x14ac:dyDescent="0.2">
      <c r="A1203" s="3" t="s">
        <v>1265</v>
      </c>
      <c r="B1203" s="3" t="s">
        <v>1266</v>
      </c>
      <c r="C1203" s="6" t="s">
        <v>356</v>
      </c>
      <c r="D1203" s="6" t="s">
        <v>357</v>
      </c>
      <c r="E1203" s="6" t="s">
        <v>163</v>
      </c>
      <c r="F1203" s="6">
        <v>21651.41</v>
      </c>
      <c r="G1203" s="2">
        <v>3</v>
      </c>
      <c r="H1203" s="61">
        <v>1.17</v>
      </c>
      <c r="I1203" s="61">
        <v>1.23</v>
      </c>
      <c r="J1203" s="47">
        <f t="shared" si="90"/>
        <v>-0.61</v>
      </c>
      <c r="K1203" s="47">
        <f t="shared" si="91"/>
        <v>5.1282051282051329E-2</v>
      </c>
      <c r="L1203" s="8">
        <v>1.26</v>
      </c>
      <c r="M1203" s="8">
        <v>15.56</v>
      </c>
      <c r="N1203" s="8">
        <v>12.65</v>
      </c>
      <c r="O1203" s="17">
        <f t="shared" si="92"/>
        <v>-0.25508196721311477</v>
      </c>
      <c r="P1203" s="17">
        <f t="shared" si="93"/>
        <v>2.4667499999999976</v>
      </c>
      <c r="Q1203" s="17">
        <v>12.35</v>
      </c>
      <c r="R1203" s="9">
        <v>20220805</v>
      </c>
      <c r="S1203" s="9">
        <v>6.99</v>
      </c>
      <c r="T1203" s="9">
        <v>3.37</v>
      </c>
      <c r="U1203" s="9">
        <v>12232.730460000001</v>
      </c>
      <c r="V1203" s="45">
        <f t="shared" si="94"/>
        <v>-0.99972450958426495</v>
      </c>
      <c r="X1203" s="12">
        <v>1.23</v>
      </c>
      <c r="Y1203" s="62"/>
    </row>
    <row r="1204" spans="1:25" x14ac:dyDescent="0.2">
      <c r="A1204" s="3" t="s">
        <v>1882</v>
      </c>
      <c r="B1204" s="3" t="s">
        <v>1883</v>
      </c>
      <c r="C1204" s="6" t="s">
        <v>356</v>
      </c>
      <c r="D1204" s="6" t="s">
        <v>311</v>
      </c>
      <c r="E1204" s="6" t="s">
        <v>201</v>
      </c>
      <c r="F1204" s="6">
        <v>41209.39</v>
      </c>
      <c r="G1204" s="2">
        <v>3</v>
      </c>
      <c r="H1204" s="61">
        <v>95.64</v>
      </c>
      <c r="I1204" s="61">
        <v>95.55</v>
      </c>
      <c r="J1204" s="47">
        <f t="shared" si="90"/>
        <v>30.88</v>
      </c>
      <c r="K1204" s="47">
        <f t="shared" si="91"/>
        <v>-9.4102885821835435E-4</v>
      </c>
      <c r="L1204" s="8">
        <v>77.040000000000006</v>
      </c>
      <c r="M1204" s="8">
        <v>5.05</v>
      </c>
      <c r="N1204" s="8">
        <v>5.27</v>
      </c>
      <c r="O1204" s="17">
        <f t="shared" si="92"/>
        <v>1.6353626943005181E-3</v>
      </c>
      <c r="P1204" s="17">
        <f t="shared" si="93"/>
        <v>-56.002533333331208</v>
      </c>
      <c r="Q1204" s="17">
        <v>6.53</v>
      </c>
      <c r="R1204" s="9">
        <v>20220802</v>
      </c>
      <c r="S1204" s="9">
        <v>17.690000000000001</v>
      </c>
      <c r="T1204" s="9">
        <v>20.14</v>
      </c>
      <c r="U1204" s="9">
        <v>95030.90625</v>
      </c>
      <c r="V1204" s="45">
        <f t="shared" si="94"/>
        <v>-0.99978806894730632</v>
      </c>
      <c r="W1204" s="12">
        <v>6.3</v>
      </c>
      <c r="X1204" s="12">
        <v>2.67</v>
      </c>
      <c r="Y1204" s="62"/>
    </row>
    <row r="1205" spans="1:25" x14ac:dyDescent="0.2">
      <c r="A1205" s="3" t="s">
        <v>3481</v>
      </c>
      <c r="B1205" s="3" t="s">
        <v>1268</v>
      </c>
      <c r="C1205" s="6" t="s">
        <v>354</v>
      </c>
      <c r="D1205" s="6" t="s">
        <v>155</v>
      </c>
      <c r="E1205" s="6" t="s">
        <v>154</v>
      </c>
      <c r="F1205" s="6">
        <v>24652.31</v>
      </c>
      <c r="G1205" s="2">
        <v>11</v>
      </c>
      <c r="H1205" s="61">
        <v>3.01</v>
      </c>
      <c r="I1205" s="61">
        <v>3.17</v>
      </c>
      <c r="J1205" s="47">
        <f t="shared" si="90"/>
        <v>-0.72636363636363643</v>
      </c>
      <c r="K1205" s="47">
        <f t="shared" si="91"/>
        <v>5.3156146179402043E-2</v>
      </c>
      <c r="L1205" s="8">
        <v>3.42</v>
      </c>
      <c r="M1205" s="8">
        <v>31.07</v>
      </c>
      <c r="N1205" s="8">
        <v>28.99</v>
      </c>
      <c r="O1205" s="17">
        <f t="shared" si="92"/>
        <v>-0.42774718397997497</v>
      </c>
      <c r="P1205" s="17">
        <f t="shared" si="93"/>
        <v>5.4537437499999948</v>
      </c>
      <c r="Q1205" s="17">
        <v>26.92</v>
      </c>
      <c r="R1205" s="9">
        <v>20220707</v>
      </c>
      <c r="S1205" s="9">
        <v>18</v>
      </c>
      <c r="T1205" s="9">
        <v>6.15</v>
      </c>
      <c r="U1205" s="9">
        <v>6631.0698199999997</v>
      </c>
      <c r="V1205" s="45">
        <f t="shared" si="94"/>
        <v>-0.99907254784417276</v>
      </c>
      <c r="W1205" s="12">
        <v>6.78</v>
      </c>
      <c r="X1205" s="12">
        <v>1.61</v>
      </c>
      <c r="Y1205" s="62">
        <v>4.76</v>
      </c>
    </row>
    <row r="1206" spans="1:25" x14ac:dyDescent="0.2">
      <c r="A1206" s="3" t="s">
        <v>1267</v>
      </c>
      <c r="B1206" s="3" t="s">
        <v>3482</v>
      </c>
      <c r="C1206" s="6" t="s">
        <v>354</v>
      </c>
      <c r="D1206" s="6" t="s">
        <v>155</v>
      </c>
      <c r="E1206" s="6" t="s">
        <v>154</v>
      </c>
      <c r="F1206" s="6">
        <v>25172.38</v>
      </c>
      <c r="G1206" s="2">
        <v>11</v>
      </c>
      <c r="H1206" s="61"/>
      <c r="I1206" s="61"/>
      <c r="J1206" s="47">
        <f t="shared" si="90"/>
        <v>-1</v>
      </c>
      <c r="K1206" s="47" t="e">
        <f t="shared" si="91"/>
        <v>#DIV/0!</v>
      </c>
      <c r="M1206" s="8">
        <v>31.72</v>
      </c>
      <c r="O1206" s="17">
        <f t="shared" si="92"/>
        <v>-0.31719999999999998</v>
      </c>
      <c r="P1206" s="17" t="e">
        <f t="shared" si="93"/>
        <v>#DIV/0!</v>
      </c>
      <c r="Q1206" s="17"/>
      <c r="R1206" s="9">
        <v>20220707</v>
      </c>
      <c r="S1206" s="9">
        <v>18</v>
      </c>
      <c r="T1206" s="9">
        <v>6.15</v>
      </c>
      <c r="V1206" s="45" t="e">
        <f t="shared" si="94"/>
        <v>#DIV/0!</v>
      </c>
      <c r="X1206" s="12">
        <v>1.58</v>
      </c>
      <c r="Y1206" s="62"/>
    </row>
    <row r="1207" spans="1:25" x14ac:dyDescent="0.2">
      <c r="A1207" s="3" t="s">
        <v>2217</v>
      </c>
      <c r="B1207" s="3" t="s">
        <v>2218</v>
      </c>
      <c r="C1207" s="6" t="s">
        <v>356</v>
      </c>
      <c r="D1207" s="6" t="s">
        <v>187</v>
      </c>
      <c r="E1207" s="6" t="s">
        <v>208</v>
      </c>
      <c r="F1207" s="6">
        <v>24083.88</v>
      </c>
      <c r="G1207" s="2">
        <v>12</v>
      </c>
      <c r="H1207" s="61"/>
      <c r="I1207" s="61"/>
      <c r="J1207" s="47">
        <f t="shared" si="90"/>
        <v>-1</v>
      </c>
      <c r="K1207" s="47" t="e">
        <f t="shared" si="91"/>
        <v>#DIV/0!</v>
      </c>
      <c r="M1207" s="8">
        <v>18.940000000000001</v>
      </c>
      <c r="O1207" s="17">
        <f t="shared" si="92"/>
        <v>-0.18940000000000001</v>
      </c>
      <c r="P1207" s="17" t="e">
        <f t="shared" si="93"/>
        <v>#DIV/0!</v>
      </c>
      <c r="Q1207" s="17"/>
      <c r="R1207" s="9">
        <v>20220804</v>
      </c>
      <c r="S1207" s="9">
        <v>19.010000000000002</v>
      </c>
      <c r="V1207" s="45" t="e">
        <f t="shared" si="94"/>
        <v>#DIV/0!</v>
      </c>
      <c r="X1207" s="12">
        <v>0</v>
      </c>
      <c r="Y1207" s="62"/>
    </row>
    <row r="1208" spans="1:25" x14ac:dyDescent="0.2">
      <c r="A1208" s="3" t="s">
        <v>3483</v>
      </c>
      <c r="B1208" s="3" t="s">
        <v>1269</v>
      </c>
      <c r="C1208" s="6" t="s">
        <v>354</v>
      </c>
      <c r="D1208" s="6" t="s">
        <v>173</v>
      </c>
      <c r="E1208" s="6" t="s">
        <v>163</v>
      </c>
      <c r="F1208" s="6">
        <v>18683.96</v>
      </c>
      <c r="G1208" s="2">
        <v>12</v>
      </c>
      <c r="H1208" s="61">
        <v>58.75</v>
      </c>
      <c r="I1208" s="61">
        <v>72.959999999999994</v>
      </c>
      <c r="J1208" s="47">
        <f t="shared" si="90"/>
        <v>3.8958333333333335</v>
      </c>
      <c r="K1208" s="47">
        <f t="shared" si="91"/>
        <v>0.2418723404255318</v>
      </c>
      <c r="L1208" s="8">
        <v>86.99</v>
      </c>
      <c r="M1208" s="8">
        <v>22.97</v>
      </c>
      <c r="N1208" s="8">
        <v>18.87</v>
      </c>
      <c r="O1208" s="17">
        <f t="shared" si="92"/>
        <v>5.8960427807486622E-2</v>
      </c>
      <c r="P1208" s="17">
        <f t="shared" si="93"/>
        <v>0.7801636171710068</v>
      </c>
      <c r="Q1208" s="17">
        <v>15.83</v>
      </c>
      <c r="R1208" s="9">
        <v>20220802</v>
      </c>
      <c r="S1208" s="9">
        <v>6.3</v>
      </c>
      <c r="T1208" s="9">
        <v>19.52</v>
      </c>
      <c r="U1208" s="9">
        <v>12445.476559999999</v>
      </c>
      <c r="V1208" s="45">
        <f t="shared" si="94"/>
        <v>-0.99843155865459277</v>
      </c>
      <c r="W1208" s="12">
        <v>-32.520000000000003</v>
      </c>
      <c r="X1208" s="12">
        <v>0</v>
      </c>
      <c r="Y1208" s="62"/>
    </row>
    <row r="1209" spans="1:25" x14ac:dyDescent="0.2">
      <c r="A1209" s="3" t="s">
        <v>3484</v>
      </c>
      <c r="B1209" s="3" t="s">
        <v>1270</v>
      </c>
      <c r="C1209" s="6" t="s">
        <v>355</v>
      </c>
      <c r="D1209" s="6" t="s">
        <v>527</v>
      </c>
      <c r="E1209" s="6" t="s">
        <v>119</v>
      </c>
      <c r="F1209" s="6">
        <v>6646.84</v>
      </c>
      <c r="G1209" s="2">
        <v>12</v>
      </c>
      <c r="H1209" s="61">
        <v>11.11</v>
      </c>
      <c r="I1209" s="61">
        <v>10.5</v>
      </c>
      <c r="J1209" s="47">
        <f t="shared" si="90"/>
        <v>-7.4166666666666714E-2</v>
      </c>
      <c r="K1209" s="47">
        <f t="shared" si="91"/>
        <v>-5.4905490549054858E-2</v>
      </c>
      <c r="L1209" s="8">
        <v>11.77</v>
      </c>
      <c r="M1209" s="8">
        <v>10.35</v>
      </c>
      <c r="N1209" s="8">
        <v>11.37</v>
      </c>
      <c r="O1209" s="17">
        <f t="shared" si="92"/>
        <v>-1.3955056179775271</v>
      </c>
      <c r="P1209" s="17">
        <f t="shared" si="93"/>
        <v>-2.0708311475409853</v>
      </c>
      <c r="Q1209" s="17">
        <v>10.15</v>
      </c>
      <c r="R1209" s="9">
        <v>20220727</v>
      </c>
      <c r="S1209" s="9">
        <v>22.81</v>
      </c>
      <c r="T1209" s="9">
        <v>10.039999999999999</v>
      </c>
      <c r="U1209" s="9">
        <v>3025.1369599999998</v>
      </c>
      <c r="V1209" s="45">
        <f t="shared" si="94"/>
        <v>-0.9966811420002617</v>
      </c>
      <c r="W1209" s="12">
        <v>4.63</v>
      </c>
      <c r="X1209" s="12">
        <v>0.74</v>
      </c>
      <c r="Y1209" s="62"/>
    </row>
    <row r="1210" spans="1:25" x14ac:dyDescent="0.2">
      <c r="A1210" s="3" t="s">
        <v>3485</v>
      </c>
      <c r="B1210" s="3" t="s">
        <v>1271</v>
      </c>
      <c r="C1210" s="6" t="s">
        <v>356</v>
      </c>
      <c r="D1210" s="6" t="s">
        <v>1272</v>
      </c>
      <c r="E1210" s="6" t="s">
        <v>146</v>
      </c>
      <c r="F1210" s="6">
        <v>7491.43</v>
      </c>
      <c r="G1210" s="2">
        <v>3</v>
      </c>
      <c r="H1210" s="61">
        <v>2.13</v>
      </c>
      <c r="I1210" s="61">
        <v>2.2400000000000002</v>
      </c>
      <c r="J1210" s="47">
        <f t="shared" si="90"/>
        <v>-0.29000000000000004</v>
      </c>
      <c r="K1210" s="47">
        <f t="shared" si="91"/>
        <v>5.1643192488263066E-2</v>
      </c>
      <c r="L1210" s="8">
        <v>2.52</v>
      </c>
      <c r="M1210" s="8">
        <v>12.89</v>
      </c>
      <c r="N1210" s="8">
        <v>12.29</v>
      </c>
      <c r="O1210" s="17">
        <f t="shared" si="92"/>
        <v>-0.44448275862068964</v>
      </c>
      <c r="P1210" s="17">
        <f t="shared" si="93"/>
        <v>2.3797909090909015</v>
      </c>
      <c r="Q1210" s="17">
        <v>10.97</v>
      </c>
      <c r="R1210" s="9">
        <v>20220729</v>
      </c>
      <c r="S1210" s="9">
        <v>9.3000000000000007</v>
      </c>
      <c r="T1210" s="9">
        <v>11.42</v>
      </c>
      <c r="U1210" s="9">
        <v>6761.2202100000004</v>
      </c>
      <c r="V1210" s="45">
        <f t="shared" si="94"/>
        <v>-0.99831095576755369</v>
      </c>
      <c r="W1210" s="12">
        <v>10.26</v>
      </c>
      <c r="X1210" s="12">
        <v>0.46</v>
      </c>
      <c r="Y1210" s="62"/>
    </row>
    <row r="1211" spans="1:25" x14ac:dyDescent="0.2">
      <c r="A1211" s="3" t="s">
        <v>3486</v>
      </c>
      <c r="B1211" s="3" t="s">
        <v>1273</v>
      </c>
      <c r="C1211" s="6" t="s">
        <v>355</v>
      </c>
      <c r="D1211" s="6" t="s">
        <v>610</v>
      </c>
      <c r="E1211" s="6" t="s">
        <v>163</v>
      </c>
      <c r="F1211" s="6">
        <v>10565.74</v>
      </c>
      <c r="G1211" s="2">
        <v>12</v>
      </c>
      <c r="H1211" s="61">
        <v>6.83</v>
      </c>
      <c r="I1211" s="61">
        <v>7.04</v>
      </c>
      <c r="J1211" s="47">
        <f t="shared" si="90"/>
        <v>-0.43083333333333335</v>
      </c>
      <c r="K1211" s="47">
        <f t="shared" si="91"/>
        <v>3.0746705710102483E-2</v>
      </c>
      <c r="L1211" s="8">
        <v>8</v>
      </c>
      <c r="M1211" s="8">
        <v>44.15</v>
      </c>
      <c r="N1211" s="8">
        <v>40.1</v>
      </c>
      <c r="O1211" s="17">
        <f t="shared" si="92"/>
        <v>-1.0247582205029013</v>
      </c>
      <c r="P1211" s="17">
        <f t="shared" si="93"/>
        <v>13.042047619047622</v>
      </c>
      <c r="Q1211" s="17">
        <v>35.26</v>
      </c>
      <c r="R1211" s="9">
        <v>20220720</v>
      </c>
      <c r="S1211" s="9">
        <v>23.46</v>
      </c>
      <c r="T1211" s="9">
        <v>16.88</v>
      </c>
      <c r="U1211" s="9">
        <v>754.47398999999996</v>
      </c>
      <c r="V1211" s="45">
        <f t="shared" si="94"/>
        <v>-0.97762679665073682</v>
      </c>
      <c r="W1211" s="12">
        <v>1.76</v>
      </c>
      <c r="X1211" s="12">
        <v>0.99</v>
      </c>
      <c r="Y1211" s="62"/>
    </row>
    <row r="1212" spans="1:25" x14ac:dyDescent="0.2">
      <c r="A1212" s="3" t="s">
        <v>3487</v>
      </c>
      <c r="B1212" s="3" t="s">
        <v>3488</v>
      </c>
      <c r="C1212" s="6" t="s">
        <v>354</v>
      </c>
      <c r="D1212" s="6" t="s">
        <v>1344</v>
      </c>
      <c r="E1212" s="6" t="s">
        <v>201</v>
      </c>
      <c r="F1212" s="6">
        <v>3063.08</v>
      </c>
      <c r="G1212" s="2">
        <v>12</v>
      </c>
      <c r="H1212" s="61">
        <v>6.25</v>
      </c>
      <c r="I1212" s="61">
        <v>6.6</v>
      </c>
      <c r="J1212" s="47">
        <f t="shared" si="90"/>
        <v>-0.47916666666666669</v>
      </c>
      <c r="K1212" s="47">
        <f t="shared" si="91"/>
        <v>5.5999999999999946E-2</v>
      </c>
      <c r="M1212" s="8">
        <v>5.88</v>
      </c>
      <c r="N1212" s="8">
        <v>8.16</v>
      </c>
      <c r="O1212" s="17">
        <f t="shared" si="92"/>
        <v>-0.12271304347826086</v>
      </c>
      <c r="P1212" s="17">
        <f t="shared" si="93"/>
        <v>1.4571428571428586</v>
      </c>
      <c r="Q1212" s="17"/>
      <c r="R1212" s="9">
        <v>20220719</v>
      </c>
      <c r="S1212" s="9">
        <v>43.71</v>
      </c>
      <c r="T1212" s="9">
        <v>9.5299999999999994</v>
      </c>
      <c r="V1212" s="45" t="e">
        <f t="shared" si="94"/>
        <v>#DIV/0!</v>
      </c>
      <c r="X1212" s="12">
        <v>1.86</v>
      </c>
      <c r="Y1212" s="62"/>
    </row>
    <row r="1213" spans="1:25" x14ac:dyDescent="0.2">
      <c r="A1213" s="3" t="s">
        <v>3489</v>
      </c>
      <c r="B1213" s="3" t="s">
        <v>1274</v>
      </c>
      <c r="C1213" s="6" t="s">
        <v>354</v>
      </c>
      <c r="D1213" s="6" t="s">
        <v>118</v>
      </c>
      <c r="E1213" s="6" t="s">
        <v>140</v>
      </c>
      <c r="F1213" s="6">
        <v>20833.189999999999</v>
      </c>
      <c r="G1213" s="2">
        <v>12</v>
      </c>
      <c r="H1213" s="61">
        <v>12.01</v>
      </c>
      <c r="I1213" s="61">
        <v>13.31</v>
      </c>
      <c r="J1213" s="47">
        <f t="shared" si="90"/>
        <v>8.3333333333331561E-4</v>
      </c>
      <c r="K1213" s="47">
        <f t="shared" si="91"/>
        <v>0.1082431307243964</v>
      </c>
      <c r="L1213" s="8">
        <v>16.98</v>
      </c>
      <c r="M1213" s="8">
        <v>28.8</v>
      </c>
      <c r="N1213" s="8">
        <v>25.11</v>
      </c>
      <c r="O1213" s="17">
        <f t="shared" si="92"/>
        <v>345.60000000000736</v>
      </c>
      <c r="P1213" s="17">
        <f t="shared" si="93"/>
        <v>2.3197776923076909</v>
      </c>
      <c r="Q1213" s="17">
        <v>19.670000000000002</v>
      </c>
      <c r="R1213" s="9">
        <v>20220804</v>
      </c>
      <c r="S1213" s="9">
        <v>11.42</v>
      </c>
      <c r="T1213" s="9">
        <v>7.1</v>
      </c>
      <c r="U1213" s="9">
        <v>5895.0400300000001</v>
      </c>
      <c r="V1213" s="45">
        <f t="shared" si="94"/>
        <v>-0.99879559766110693</v>
      </c>
      <c r="W1213" s="12">
        <v>-45.07</v>
      </c>
      <c r="X1213" s="12">
        <v>0.73</v>
      </c>
      <c r="Y1213" s="62">
        <v>1.49</v>
      </c>
    </row>
    <row r="1214" spans="1:25" x14ac:dyDescent="0.2">
      <c r="A1214" s="3" t="s">
        <v>3490</v>
      </c>
      <c r="B1214" s="3" t="s">
        <v>1275</v>
      </c>
      <c r="C1214" s="6" t="s">
        <v>354</v>
      </c>
      <c r="D1214" s="6" t="s">
        <v>169</v>
      </c>
      <c r="E1214" s="6" t="s">
        <v>163</v>
      </c>
      <c r="F1214" s="6">
        <v>78845.63</v>
      </c>
      <c r="G1214" s="2">
        <v>12</v>
      </c>
      <c r="H1214" s="61">
        <v>6.13</v>
      </c>
      <c r="I1214" s="61">
        <v>6.82</v>
      </c>
      <c r="J1214" s="47">
        <f t="shared" si="90"/>
        <v>-0.48916666666666669</v>
      </c>
      <c r="K1214" s="47">
        <f t="shared" si="91"/>
        <v>0.11256117455138669</v>
      </c>
      <c r="L1214" s="8">
        <v>7.47</v>
      </c>
      <c r="M1214" s="8">
        <v>24.2</v>
      </c>
      <c r="N1214" s="8">
        <v>23.04</v>
      </c>
      <c r="O1214" s="17">
        <f t="shared" si="92"/>
        <v>-0.49471890971039179</v>
      </c>
      <c r="P1214" s="17">
        <f t="shared" si="93"/>
        <v>2.046886956521738</v>
      </c>
      <c r="Q1214" s="17">
        <v>21.03</v>
      </c>
      <c r="R1214" s="9">
        <v>20220728</v>
      </c>
      <c r="S1214" s="9">
        <v>31.17</v>
      </c>
      <c r="T1214" s="9">
        <v>8.44</v>
      </c>
      <c r="U1214" s="9">
        <v>21153.140619999998</v>
      </c>
      <c r="V1214" s="45">
        <f t="shared" si="94"/>
        <v>-0.99960100487432968</v>
      </c>
      <c r="W1214" s="12">
        <v>7.98</v>
      </c>
      <c r="X1214" s="12">
        <v>1.36</v>
      </c>
      <c r="Y1214" s="62">
        <v>2.67</v>
      </c>
    </row>
    <row r="1215" spans="1:25" x14ac:dyDescent="0.2">
      <c r="A1215" s="3" t="s">
        <v>3491</v>
      </c>
      <c r="B1215" s="3" t="s">
        <v>1276</v>
      </c>
      <c r="C1215" s="6" t="s">
        <v>354</v>
      </c>
      <c r="D1215" s="6" t="s">
        <v>590</v>
      </c>
      <c r="E1215" s="6" t="s">
        <v>589</v>
      </c>
      <c r="F1215" s="6">
        <v>83674.41</v>
      </c>
      <c r="G1215" s="2">
        <v>12</v>
      </c>
      <c r="H1215" s="61">
        <v>9.84</v>
      </c>
      <c r="I1215" s="61">
        <v>10.85</v>
      </c>
      <c r="J1215" s="47">
        <f t="shared" si="90"/>
        <v>-0.18000000000000002</v>
      </c>
      <c r="K1215" s="47">
        <f t="shared" si="91"/>
        <v>0.1026422764227642</v>
      </c>
      <c r="L1215" s="8">
        <v>11.37</v>
      </c>
      <c r="M1215" s="8">
        <v>14.7</v>
      </c>
      <c r="N1215" s="8">
        <v>13.55</v>
      </c>
      <c r="O1215" s="17">
        <f t="shared" si="92"/>
        <v>-0.81666666666666643</v>
      </c>
      <c r="P1215" s="17">
        <f t="shared" si="93"/>
        <v>1.3201188118811884</v>
      </c>
      <c r="Q1215" s="17">
        <v>12.93</v>
      </c>
      <c r="R1215" s="9">
        <v>20220726</v>
      </c>
      <c r="S1215" s="9">
        <v>39.35</v>
      </c>
      <c r="T1215" s="9">
        <v>2.17</v>
      </c>
      <c r="U1215" s="9">
        <v>35926.964840000001</v>
      </c>
      <c r="V1215" s="45">
        <f t="shared" si="94"/>
        <v>-0.99993959968481438</v>
      </c>
      <c r="W1215" s="12">
        <v>13.73</v>
      </c>
      <c r="X1215" s="12">
        <v>4.05</v>
      </c>
      <c r="Y1215" s="62">
        <v>1.43</v>
      </c>
    </row>
    <row r="1216" spans="1:25" x14ac:dyDescent="0.2">
      <c r="A1216" s="3" t="s">
        <v>3492</v>
      </c>
      <c r="B1216" s="3" t="s">
        <v>1277</v>
      </c>
      <c r="C1216" s="6" t="s">
        <v>354</v>
      </c>
      <c r="D1216" s="6" t="s">
        <v>861</v>
      </c>
      <c r="E1216" s="6" t="s">
        <v>218</v>
      </c>
      <c r="F1216" s="6">
        <v>10652.11</v>
      </c>
      <c r="G1216" s="2">
        <v>12</v>
      </c>
      <c r="H1216" s="61">
        <v>4.3899999999999997</v>
      </c>
      <c r="I1216" s="61">
        <v>4.22</v>
      </c>
      <c r="J1216" s="47">
        <f t="shared" si="90"/>
        <v>-0.63416666666666666</v>
      </c>
      <c r="K1216" s="47">
        <f t="shared" si="91"/>
        <v>-3.8724373576309784E-2</v>
      </c>
      <c r="L1216" s="8">
        <v>4.5999999999999996</v>
      </c>
      <c r="M1216" s="8">
        <v>10.51</v>
      </c>
      <c r="N1216" s="8">
        <v>11.93</v>
      </c>
      <c r="O1216" s="17">
        <f t="shared" si="92"/>
        <v>-0.1657293035479632</v>
      </c>
      <c r="P1216" s="17">
        <f t="shared" si="93"/>
        <v>-3.0807470588235302</v>
      </c>
      <c r="Q1216" s="17">
        <v>10.94</v>
      </c>
      <c r="R1216" s="9">
        <v>20220804</v>
      </c>
      <c r="S1216" s="9">
        <v>51.92</v>
      </c>
      <c r="T1216" s="9">
        <v>0.53</v>
      </c>
      <c r="U1216" s="9">
        <v>3014.58007</v>
      </c>
      <c r="V1216" s="45">
        <f t="shared" si="94"/>
        <v>-0.99982418778480142</v>
      </c>
      <c r="W1216" s="12">
        <v>2.86</v>
      </c>
      <c r="X1216" s="12">
        <v>8.24</v>
      </c>
      <c r="Y1216" s="62">
        <v>4.5</v>
      </c>
    </row>
    <row r="1217" spans="1:25" x14ac:dyDescent="0.2">
      <c r="A1217" s="3" t="s">
        <v>3493</v>
      </c>
      <c r="B1217" s="3" t="s">
        <v>1278</v>
      </c>
      <c r="C1217" s="6" t="s">
        <v>354</v>
      </c>
      <c r="D1217" s="6" t="s">
        <v>159</v>
      </c>
      <c r="E1217" s="6" t="s">
        <v>108</v>
      </c>
      <c r="F1217" s="6">
        <v>3951.91</v>
      </c>
      <c r="G1217" s="2">
        <v>9</v>
      </c>
      <c r="H1217" s="61">
        <v>4.72</v>
      </c>
      <c r="I1217" s="61">
        <v>4.18</v>
      </c>
      <c r="J1217" s="47">
        <f t="shared" si="90"/>
        <v>-0.47555555555555556</v>
      </c>
      <c r="K1217" s="47">
        <f t="shared" si="91"/>
        <v>-0.11440677966101696</v>
      </c>
      <c r="L1217" s="8">
        <v>5.25</v>
      </c>
      <c r="M1217" s="8">
        <v>13.05</v>
      </c>
      <c r="N1217" s="8">
        <v>15.4</v>
      </c>
      <c r="O1217" s="17">
        <f t="shared" si="92"/>
        <v>-0.27441588785046728</v>
      </c>
      <c r="P1217" s="17">
        <f t="shared" si="93"/>
        <v>-1.346074074074074</v>
      </c>
      <c r="Q1217" s="17">
        <v>12.26</v>
      </c>
      <c r="R1217" s="9">
        <v>20220804</v>
      </c>
      <c r="S1217" s="9">
        <v>20.46</v>
      </c>
      <c r="T1217" s="9">
        <v>16.11</v>
      </c>
      <c r="U1217" s="9">
        <v>4496.8598599999996</v>
      </c>
      <c r="V1217" s="45">
        <f t="shared" si="94"/>
        <v>-0.99641750009972518</v>
      </c>
      <c r="W1217" s="12">
        <v>9.18</v>
      </c>
      <c r="X1217" s="12">
        <v>1.74</v>
      </c>
      <c r="Y1217" s="62"/>
    </row>
    <row r="1218" spans="1:25" x14ac:dyDescent="0.2">
      <c r="A1218" s="3" t="s">
        <v>3494</v>
      </c>
      <c r="B1218" s="3" t="s">
        <v>1998</v>
      </c>
      <c r="C1218" s="6" t="s">
        <v>355</v>
      </c>
      <c r="D1218" s="6" t="s">
        <v>186</v>
      </c>
      <c r="E1218" s="6" t="s">
        <v>208</v>
      </c>
      <c r="F1218" s="6">
        <v>3445.61</v>
      </c>
      <c r="G1218" s="2">
        <v>12</v>
      </c>
      <c r="H1218" s="61">
        <v>2.16</v>
      </c>
      <c r="I1218" s="61">
        <v>2.4900000000000002</v>
      </c>
      <c r="J1218" s="47">
        <f t="shared" si="90"/>
        <v>-0.82</v>
      </c>
      <c r="K1218" s="47">
        <f t="shared" si="91"/>
        <v>0.15277777777777779</v>
      </c>
      <c r="L1218" s="8">
        <v>2.78</v>
      </c>
      <c r="M1218" s="8">
        <v>25.54</v>
      </c>
      <c r="N1218" s="8">
        <v>24.36</v>
      </c>
      <c r="O1218" s="17">
        <f t="shared" si="92"/>
        <v>-0.31146341463414634</v>
      </c>
      <c r="P1218" s="17">
        <f t="shared" si="93"/>
        <v>1.5944727272727273</v>
      </c>
      <c r="Q1218" s="17">
        <v>21.87</v>
      </c>
      <c r="R1218" s="9">
        <v>20220804</v>
      </c>
      <c r="S1218" s="9">
        <v>13.33</v>
      </c>
      <c r="T1218" s="9">
        <v>9.68</v>
      </c>
      <c r="U1218" s="9">
        <v>1128.98803</v>
      </c>
      <c r="V1218" s="45">
        <f t="shared" si="94"/>
        <v>-0.99142594983934407</v>
      </c>
      <c r="W1218" s="12">
        <v>12.77</v>
      </c>
      <c r="X1218" s="12">
        <v>0</v>
      </c>
      <c r="Y1218" s="62">
        <v>2.3199999999999998</v>
      </c>
    </row>
    <row r="1219" spans="1:25" x14ac:dyDescent="0.2">
      <c r="A1219" s="3" t="s">
        <v>2219</v>
      </c>
      <c r="B1219" s="3" t="s">
        <v>2220</v>
      </c>
      <c r="C1219" s="6" t="s">
        <v>356</v>
      </c>
      <c r="D1219" s="6" t="s">
        <v>141</v>
      </c>
      <c r="E1219" s="6" t="s">
        <v>119</v>
      </c>
      <c r="F1219" s="6">
        <v>7755.78</v>
      </c>
      <c r="G1219" s="2">
        <v>3</v>
      </c>
      <c r="H1219" s="61"/>
      <c r="I1219" s="61"/>
      <c r="J1219" s="47">
        <f t="shared" ref="J1219:J1282" si="95">(H1219-G1219)/ABS(G1219)</f>
        <v>-1</v>
      </c>
      <c r="K1219" s="47" t="e">
        <f t="shared" ref="K1219:K1282" si="96">(I1219-H1219)/ABS(H1219)</f>
        <v>#DIV/0!</v>
      </c>
      <c r="M1219" s="8">
        <v>16.14</v>
      </c>
      <c r="O1219" s="17">
        <f t="shared" ref="O1219:O1282" si="97">M1219/(J1219*100)</f>
        <v>-0.16140000000000002</v>
      </c>
      <c r="P1219" s="17" t="e">
        <f t="shared" ref="P1219:P1282" si="98">N1219/(K1219*100)</f>
        <v>#DIV/0!</v>
      </c>
      <c r="Q1219" s="17"/>
      <c r="R1219" s="9">
        <v>20220803</v>
      </c>
      <c r="S1219" s="9">
        <v>14.58</v>
      </c>
      <c r="T1219" s="9">
        <v>7.5</v>
      </c>
      <c r="V1219" s="45" t="e">
        <f t="shared" ref="V1219:V1282" si="99">(T1219-U1219)/U1219</f>
        <v>#DIV/0!</v>
      </c>
      <c r="X1219" s="12">
        <v>1.37</v>
      </c>
      <c r="Y1219" s="62"/>
    </row>
    <row r="1220" spans="1:25" x14ac:dyDescent="0.2">
      <c r="A1220" s="3" t="s">
        <v>3495</v>
      </c>
      <c r="B1220" s="3" t="s">
        <v>3496</v>
      </c>
      <c r="C1220" s="6" t="s">
        <v>355</v>
      </c>
      <c r="D1220" s="6" t="s">
        <v>307</v>
      </c>
      <c r="E1220" s="6" t="s">
        <v>119</v>
      </c>
      <c r="F1220" s="6">
        <v>5161.6899999999996</v>
      </c>
      <c r="G1220" s="2">
        <v>12</v>
      </c>
      <c r="H1220" s="61">
        <v>-0.53</v>
      </c>
      <c r="I1220" s="61">
        <v>-0.37</v>
      </c>
      <c r="J1220" s="47">
        <f t="shared" si="95"/>
        <v>-1.0441666666666667</v>
      </c>
      <c r="K1220" s="47">
        <f t="shared" si="96"/>
        <v>0.30188679245283023</v>
      </c>
      <c r="L1220" s="8">
        <v>-0.05</v>
      </c>
      <c r="O1220" s="17">
        <f t="shared" si="97"/>
        <v>0</v>
      </c>
      <c r="P1220" s="17">
        <f t="shared" si="98"/>
        <v>0</v>
      </c>
      <c r="Q1220" s="17"/>
      <c r="R1220" s="9">
        <v>20220804</v>
      </c>
      <c r="S1220" s="9">
        <v>-16.05</v>
      </c>
      <c r="T1220" s="9">
        <v>-1.43</v>
      </c>
      <c r="U1220" s="9">
        <v>562.55400999999995</v>
      </c>
      <c r="V1220" s="45">
        <f t="shared" si="99"/>
        <v>-1.0025419781471292</v>
      </c>
      <c r="W1220" s="12">
        <v>-7.14</v>
      </c>
      <c r="X1220" s="12">
        <v>0</v>
      </c>
      <c r="Y1220" s="62"/>
    </row>
    <row r="1221" spans="1:25" x14ac:dyDescent="0.2">
      <c r="A1221" s="3" t="s">
        <v>3497</v>
      </c>
      <c r="B1221" s="3" t="s">
        <v>3498</v>
      </c>
      <c r="C1221" s="6" t="s">
        <v>355</v>
      </c>
      <c r="D1221" s="6" t="s">
        <v>177</v>
      </c>
      <c r="E1221" s="6" t="s">
        <v>119</v>
      </c>
      <c r="F1221" s="6">
        <v>4577.1000000000004</v>
      </c>
      <c r="G1221" s="2">
        <v>12</v>
      </c>
      <c r="H1221" s="61">
        <v>-1.63</v>
      </c>
      <c r="I1221" s="61">
        <v>-3.03</v>
      </c>
      <c r="J1221" s="47">
        <f t="shared" si="95"/>
        <v>-1.1358333333333333</v>
      </c>
      <c r="K1221" s="47">
        <f t="shared" si="96"/>
        <v>-0.85889570552147243</v>
      </c>
      <c r="L1221" s="8">
        <v>-2.38</v>
      </c>
      <c r="O1221" s="17">
        <f t="shared" si="97"/>
        <v>0</v>
      </c>
      <c r="P1221" s="17">
        <f t="shared" si="98"/>
        <v>0</v>
      </c>
      <c r="Q1221" s="17"/>
      <c r="R1221" s="9">
        <v>20220816</v>
      </c>
      <c r="S1221" s="9">
        <v>-22.46</v>
      </c>
      <c r="U1221" s="9">
        <v>490.46701000000002</v>
      </c>
      <c r="V1221" s="45">
        <f t="shared" si="99"/>
        <v>-1</v>
      </c>
      <c r="W1221" s="12">
        <v>4.95</v>
      </c>
      <c r="X1221" s="12">
        <v>0</v>
      </c>
      <c r="Y1221" s="62"/>
    </row>
    <row r="1222" spans="1:25" x14ac:dyDescent="0.2">
      <c r="A1222" s="3" t="s">
        <v>3499</v>
      </c>
      <c r="B1222" s="3" t="s">
        <v>1279</v>
      </c>
      <c r="C1222" s="6" t="s">
        <v>355</v>
      </c>
      <c r="D1222" s="6" t="s">
        <v>615</v>
      </c>
      <c r="E1222" s="6" t="s">
        <v>154</v>
      </c>
      <c r="F1222" s="6">
        <v>46997.74</v>
      </c>
      <c r="G1222" s="2">
        <v>12</v>
      </c>
      <c r="H1222" s="61">
        <v>2.57</v>
      </c>
      <c r="I1222" s="61">
        <v>2.68</v>
      </c>
      <c r="J1222" s="47">
        <f t="shared" si="95"/>
        <v>-0.78583333333333327</v>
      </c>
      <c r="K1222" s="47">
        <f t="shared" si="96"/>
        <v>4.2801556420233589E-2</v>
      </c>
      <c r="L1222" s="8">
        <v>3.21</v>
      </c>
      <c r="M1222" s="8">
        <v>35.07</v>
      </c>
      <c r="N1222" s="8">
        <v>33.15</v>
      </c>
      <c r="O1222" s="17">
        <f t="shared" si="97"/>
        <v>-0.44627783669141041</v>
      </c>
      <c r="P1222" s="17">
        <f t="shared" si="98"/>
        <v>7.7450454545454317</v>
      </c>
      <c r="Q1222" s="17">
        <v>27.6</v>
      </c>
      <c r="R1222" s="9">
        <v>20220804</v>
      </c>
      <c r="S1222" s="9">
        <v>21.21</v>
      </c>
      <c r="T1222" s="9">
        <v>12.45</v>
      </c>
      <c r="U1222" s="9">
        <v>6379.11816</v>
      </c>
      <c r="V1222" s="45">
        <f t="shared" si="99"/>
        <v>-0.99804831958152662</v>
      </c>
      <c r="W1222" s="12">
        <v>-8.33</v>
      </c>
      <c r="X1222" s="12">
        <v>0</v>
      </c>
      <c r="Y1222" s="62">
        <v>2.11</v>
      </c>
    </row>
    <row r="1223" spans="1:25" x14ac:dyDescent="0.2">
      <c r="A1223" s="3" t="s">
        <v>3500</v>
      </c>
      <c r="B1223" s="3" t="s">
        <v>1280</v>
      </c>
      <c r="C1223" s="6" t="s">
        <v>354</v>
      </c>
      <c r="D1223" s="6" t="s">
        <v>572</v>
      </c>
      <c r="E1223" s="6" t="s">
        <v>154</v>
      </c>
      <c r="F1223" s="6">
        <v>98675.37</v>
      </c>
      <c r="G1223" s="2">
        <v>12</v>
      </c>
      <c r="H1223" s="61">
        <v>4.6100000000000003</v>
      </c>
      <c r="I1223" s="61">
        <v>4.8499999999999996</v>
      </c>
      <c r="J1223" s="47">
        <f t="shared" si="95"/>
        <v>-0.61583333333333334</v>
      </c>
      <c r="K1223" s="47">
        <f t="shared" si="96"/>
        <v>5.206073752711482E-2</v>
      </c>
      <c r="L1223" s="8">
        <v>5.15</v>
      </c>
      <c r="M1223" s="8">
        <v>11.69</v>
      </c>
      <c r="N1223" s="8">
        <v>11.24</v>
      </c>
      <c r="O1223" s="17">
        <f t="shared" si="97"/>
        <v>-0.18982408660351827</v>
      </c>
      <c r="P1223" s="17">
        <f t="shared" si="98"/>
        <v>2.1590166666666728</v>
      </c>
      <c r="Q1223" s="17">
        <v>10.58</v>
      </c>
      <c r="R1223" s="9">
        <v>20220804</v>
      </c>
      <c r="S1223" s="9">
        <v>-2506.92</v>
      </c>
      <c r="T1223" s="9">
        <v>0.52</v>
      </c>
      <c r="U1223" s="9">
        <v>20991.671869999998</v>
      </c>
      <c r="V1223" s="45">
        <f t="shared" si="99"/>
        <v>-0.9999752282713249</v>
      </c>
      <c r="W1223" s="12">
        <v>2.75</v>
      </c>
      <c r="X1223" s="12">
        <v>6.61</v>
      </c>
      <c r="Y1223" s="62">
        <v>2.81</v>
      </c>
    </row>
    <row r="1224" spans="1:25" x14ac:dyDescent="0.2">
      <c r="A1224" s="3" t="s">
        <v>3501</v>
      </c>
      <c r="B1224" s="3" t="s">
        <v>1281</v>
      </c>
      <c r="C1224" s="6" t="s">
        <v>354</v>
      </c>
      <c r="D1224" s="6" t="s">
        <v>189</v>
      </c>
      <c r="E1224" s="6" t="s">
        <v>208</v>
      </c>
      <c r="F1224" s="6">
        <v>17552.47</v>
      </c>
      <c r="G1224" s="2">
        <v>12</v>
      </c>
      <c r="H1224" s="61">
        <v>13.37</v>
      </c>
      <c r="I1224" s="61">
        <v>17.3</v>
      </c>
      <c r="J1224" s="47">
        <f t="shared" si="95"/>
        <v>0.1141666666666666</v>
      </c>
      <c r="K1224" s="47">
        <f t="shared" si="96"/>
        <v>0.29394166043380715</v>
      </c>
      <c r="L1224" s="8">
        <v>19.57</v>
      </c>
      <c r="M1224" s="8">
        <v>21.34</v>
      </c>
      <c r="N1224" s="8">
        <v>17.28</v>
      </c>
      <c r="O1224" s="17">
        <f t="shared" si="97"/>
        <v>1.869197080291972</v>
      </c>
      <c r="P1224" s="17">
        <f t="shared" si="98"/>
        <v>0.58787175572519068</v>
      </c>
      <c r="Q1224" s="17">
        <v>15.28</v>
      </c>
      <c r="R1224" s="9">
        <v>20220727</v>
      </c>
      <c r="S1224" s="9">
        <v>31.85</v>
      </c>
      <c r="T1224" s="9">
        <v>6.55</v>
      </c>
      <c r="U1224" s="9">
        <v>30287.867180000001</v>
      </c>
      <c r="V1224" s="45">
        <f t="shared" si="99"/>
        <v>-0.99978374178805418</v>
      </c>
      <c r="W1224" s="12">
        <v>3.38</v>
      </c>
      <c r="X1224" s="12">
        <v>0</v>
      </c>
      <c r="Y1224" s="62">
        <v>1.05</v>
      </c>
    </row>
    <row r="1225" spans="1:25" x14ac:dyDescent="0.2">
      <c r="A1225" s="3" t="s">
        <v>1884</v>
      </c>
      <c r="B1225" s="3" t="s">
        <v>1885</v>
      </c>
      <c r="C1225" s="6" t="s">
        <v>356</v>
      </c>
      <c r="D1225" s="6" t="s">
        <v>174</v>
      </c>
      <c r="E1225" s="6" t="s">
        <v>231</v>
      </c>
      <c r="F1225" s="6">
        <v>7664.08</v>
      </c>
      <c r="G1225" s="2">
        <v>12</v>
      </c>
      <c r="H1225" s="61">
        <v>0.28999999999999998</v>
      </c>
      <c r="I1225" s="61">
        <v>0.32</v>
      </c>
      <c r="J1225" s="47">
        <f t="shared" si="95"/>
        <v>-0.97583333333333344</v>
      </c>
      <c r="K1225" s="47">
        <f t="shared" si="96"/>
        <v>0.10344827586206906</v>
      </c>
      <c r="L1225" s="8">
        <v>0.41</v>
      </c>
      <c r="M1225" s="8">
        <v>47.78</v>
      </c>
      <c r="N1225" s="8">
        <v>47.78</v>
      </c>
      <c r="O1225" s="17">
        <f t="shared" si="97"/>
        <v>-0.48963279248505548</v>
      </c>
      <c r="P1225" s="17">
        <f t="shared" si="98"/>
        <v>4.6187333333333296</v>
      </c>
      <c r="Q1225" s="17">
        <v>37.29</v>
      </c>
      <c r="R1225" s="9">
        <v>20220527</v>
      </c>
      <c r="S1225" s="9">
        <v>31.87</v>
      </c>
      <c r="T1225" s="9">
        <v>22.34</v>
      </c>
      <c r="U1225" s="9">
        <v>2052.6498999999999</v>
      </c>
      <c r="V1225" s="45">
        <f t="shared" si="99"/>
        <v>-0.98911650739855839</v>
      </c>
      <c r="X1225" s="12">
        <v>0.39</v>
      </c>
      <c r="Y1225" s="62"/>
    </row>
    <row r="1226" spans="1:25" x14ac:dyDescent="0.2">
      <c r="A1226" s="3" t="s">
        <v>3502</v>
      </c>
      <c r="B1226" s="3" t="s">
        <v>2221</v>
      </c>
      <c r="C1226" s="6" t="s">
        <v>355</v>
      </c>
      <c r="D1226" s="6" t="s">
        <v>123</v>
      </c>
      <c r="E1226" s="6" t="s">
        <v>108</v>
      </c>
      <c r="F1226" s="6">
        <v>10871.95</v>
      </c>
      <c r="G1226" s="2">
        <v>12</v>
      </c>
      <c r="H1226" s="61"/>
      <c r="I1226" s="61"/>
      <c r="J1226" s="47">
        <f t="shared" si="95"/>
        <v>-1</v>
      </c>
      <c r="K1226" s="47" t="e">
        <f t="shared" si="96"/>
        <v>#DIV/0!</v>
      </c>
      <c r="M1226" s="8">
        <v>42.06</v>
      </c>
      <c r="O1226" s="17">
        <f t="shared" si="97"/>
        <v>-0.42060000000000003</v>
      </c>
      <c r="P1226" s="17" t="e">
        <f t="shared" si="98"/>
        <v>#DIV/0!</v>
      </c>
      <c r="Q1226" s="17"/>
      <c r="R1226" s="9">
        <v>20220727</v>
      </c>
      <c r="S1226" s="9">
        <v>19.079999999999998</v>
      </c>
      <c r="T1226" s="9">
        <v>16.63</v>
      </c>
      <c r="V1226" s="45" t="e">
        <f t="shared" si="99"/>
        <v>#DIV/0!</v>
      </c>
      <c r="X1226" s="12">
        <v>0.56999999999999995</v>
      </c>
      <c r="Y1226" s="62"/>
    </row>
    <row r="1227" spans="1:25" x14ac:dyDescent="0.2">
      <c r="A1227" s="3" t="s">
        <v>1282</v>
      </c>
      <c r="B1227" s="3" t="s">
        <v>1283</v>
      </c>
      <c r="C1227" s="6" t="s">
        <v>354</v>
      </c>
      <c r="D1227" s="6" t="s">
        <v>315</v>
      </c>
      <c r="E1227" s="6" t="s">
        <v>60</v>
      </c>
      <c r="F1227" s="6">
        <v>21343.13</v>
      </c>
      <c r="G1227" s="2">
        <v>12</v>
      </c>
      <c r="H1227" s="61">
        <v>5.03</v>
      </c>
      <c r="I1227" s="61">
        <v>13.5</v>
      </c>
      <c r="J1227" s="47">
        <f t="shared" si="95"/>
        <v>-0.58083333333333331</v>
      </c>
      <c r="K1227" s="47">
        <f t="shared" si="96"/>
        <v>1.6838966202783296</v>
      </c>
      <c r="L1227" s="8">
        <v>11.31</v>
      </c>
      <c r="M1227" s="8">
        <v>8.57</v>
      </c>
      <c r="N1227" s="8">
        <v>4.37</v>
      </c>
      <c r="O1227" s="17">
        <f t="shared" si="97"/>
        <v>-0.14754662840746055</v>
      </c>
      <c r="P1227" s="17">
        <f t="shared" si="98"/>
        <v>2.5951711924439205E-2</v>
      </c>
      <c r="Q1227" s="17">
        <v>5.21</v>
      </c>
      <c r="R1227" s="9">
        <v>20220801</v>
      </c>
      <c r="S1227" s="9">
        <v>23.8</v>
      </c>
      <c r="T1227" s="9">
        <v>9.4600000000000009</v>
      </c>
      <c r="U1227" s="9">
        <v>21407.15625</v>
      </c>
      <c r="V1227" s="45">
        <f t="shared" si="99"/>
        <v>-0.99955809170122734</v>
      </c>
      <c r="W1227" s="12">
        <v>-1.23</v>
      </c>
      <c r="X1227" s="12">
        <v>0.76</v>
      </c>
      <c r="Y1227" s="62">
        <v>0.62</v>
      </c>
    </row>
    <row r="1228" spans="1:25" x14ac:dyDescent="0.2">
      <c r="A1228" s="3" t="s">
        <v>3503</v>
      </c>
      <c r="B1228" s="3" t="s">
        <v>1999</v>
      </c>
      <c r="C1228" s="6" t="s">
        <v>354</v>
      </c>
      <c r="D1228" s="6" t="s">
        <v>197</v>
      </c>
      <c r="E1228" s="6" t="s">
        <v>60</v>
      </c>
      <c r="F1228" s="6">
        <v>6994.56</v>
      </c>
      <c r="G1228" s="2">
        <v>12</v>
      </c>
      <c r="H1228" s="61">
        <v>0.84</v>
      </c>
      <c r="I1228" s="61">
        <v>1.39</v>
      </c>
      <c r="J1228" s="47">
        <f t="shared" si="95"/>
        <v>-0.93</v>
      </c>
      <c r="K1228" s="47">
        <f t="shared" si="96"/>
        <v>0.65476190476190466</v>
      </c>
      <c r="L1228" s="8">
        <v>1.77</v>
      </c>
      <c r="M1228" s="8">
        <v>32.03</v>
      </c>
      <c r="N1228" s="8">
        <v>28.38</v>
      </c>
      <c r="O1228" s="17">
        <f t="shared" si="97"/>
        <v>-0.34440860215053765</v>
      </c>
      <c r="P1228" s="17">
        <f t="shared" si="98"/>
        <v>0.43344000000000005</v>
      </c>
      <c r="Q1228" s="17">
        <v>22.24</v>
      </c>
      <c r="R1228" s="9">
        <v>20220804</v>
      </c>
      <c r="S1228" s="9">
        <v>21.91</v>
      </c>
      <c r="U1228" s="9">
        <v>503.09798999999998</v>
      </c>
      <c r="V1228" s="45">
        <f t="shared" si="99"/>
        <v>-1</v>
      </c>
      <c r="W1228" s="12">
        <v>31.58</v>
      </c>
      <c r="X1228" s="12">
        <v>0</v>
      </c>
      <c r="Y1228" s="62">
        <v>1.55</v>
      </c>
    </row>
    <row r="1229" spans="1:25" x14ac:dyDescent="0.2">
      <c r="A1229" s="3" t="s">
        <v>3504</v>
      </c>
      <c r="B1229" s="3" t="s">
        <v>1284</v>
      </c>
      <c r="C1229" s="6" t="s">
        <v>354</v>
      </c>
      <c r="D1229" s="6" t="s">
        <v>207</v>
      </c>
      <c r="E1229" s="6" t="s">
        <v>218</v>
      </c>
      <c r="F1229" s="6">
        <v>53818.18</v>
      </c>
      <c r="G1229" s="2">
        <v>12</v>
      </c>
      <c r="H1229" s="61">
        <v>1.69</v>
      </c>
      <c r="I1229" s="61">
        <v>10.93</v>
      </c>
      <c r="J1229" s="47">
        <f t="shared" si="95"/>
        <v>-0.85916666666666675</v>
      </c>
      <c r="K1229" s="47">
        <f t="shared" si="96"/>
        <v>5.4674556213017755</v>
      </c>
      <c r="L1229" s="8">
        <v>8.65</v>
      </c>
      <c r="M1229" s="8">
        <v>23.74</v>
      </c>
      <c r="N1229" s="8">
        <v>9.1</v>
      </c>
      <c r="O1229" s="17">
        <f t="shared" si="97"/>
        <v>-0.27631425800193982</v>
      </c>
      <c r="P1229" s="17">
        <f t="shared" si="98"/>
        <v>1.6643939393939391E-2</v>
      </c>
      <c r="Q1229" s="17">
        <v>11.51</v>
      </c>
      <c r="R1229" s="9">
        <v>20220803</v>
      </c>
      <c r="S1229" s="9">
        <v>7.6</v>
      </c>
      <c r="T1229" s="9">
        <v>7.88</v>
      </c>
      <c r="U1229" s="9">
        <v>131802.4375</v>
      </c>
      <c r="V1229" s="45">
        <f t="shared" si="99"/>
        <v>-0.99994021354878204</v>
      </c>
      <c r="W1229" s="12">
        <v>33.04</v>
      </c>
      <c r="X1229" s="12">
        <v>2.33</v>
      </c>
      <c r="Y1229" s="62">
        <v>0.49</v>
      </c>
    </row>
    <row r="1230" spans="1:25" x14ac:dyDescent="0.2">
      <c r="A1230" s="3" t="s">
        <v>3505</v>
      </c>
      <c r="B1230" s="3" t="s">
        <v>2000</v>
      </c>
      <c r="C1230" s="6" t="s">
        <v>354</v>
      </c>
      <c r="D1230" s="6" t="s">
        <v>195</v>
      </c>
      <c r="E1230" s="6" t="s">
        <v>208</v>
      </c>
      <c r="F1230" s="6">
        <v>3276</v>
      </c>
      <c r="G1230" s="2">
        <v>12</v>
      </c>
      <c r="H1230" s="61"/>
      <c r="I1230" s="61"/>
      <c r="J1230" s="47">
        <f t="shared" si="95"/>
        <v>-1</v>
      </c>
      <c r="K1230" s="47" t="e">
        <f t="shared" si="96"/>
        <v>#DIV/0!</v>
      </c>
      <c r="M1230" s="8">
        <v>19.73</v>
      </c>
      <c r="O1230" s="17">
        <f t="shared" si="97"/>
        <v>-0.1973</v>
      </c>
      <c r="P1230" s="17" t="e">
        <f t="shared" si="98"/>
        <v>#DIV/0!</v>
      </c>
      <c r="Q1230" s="17"/>
      <c r="R1230" s="9">
        <v>20220804</v>
      </c>
      <c r="S1230" s="9">
        <v>6.99</v>
      </c>
      <c r="V1230" s="45" t="e">
        <f t="shared" si="99"/>
        <v>#DIV/0!</v>
      </c>
      <c r="W1230" s="12">
        <v>50</v>
      </c>
      <c r="X1230" s="12">
        <v>0</v>
      </c>
      <c r="Y1230" s="62"/>
    </row>
    <row r="1231" spans="1:25" x14ac:dyDescent="0.2">
      <c r="A1231" s="3" t="s">
        <v>1285</v>
      </c>
      <c r="B1231" s="3" t="s">
        <v>1286</v>
      </c>
      <c r="C1231" s="6" t="s">
        <v>354</v>
      </c>
      <c r="D1231" s="6" t="s">
        <v>206</v>
      </c>
      <c r="E1231" s="6" t="s">
        <v>218</v>
      </c>
      <c r="F1231" s="6">
        <v>32393.72</v>
      </c>
      <c r="G1231" s="2">
        <v>12</v>
      </c>
      <c r="H1231" s="61">
        <v>2.83</v>
      </c>
      <c r="I1231" s="61">
        <v>3.19</v>
      </c>
      <c r="J1231" s="47">
        <f t="shared" si="95"/>
        <v>-0.76416666666666666</v>
      </c>
      <c r="K1231" s="47">
        <f t="shared" si="96"/>
        <v>0.12720848056537098</v>
      </c>
      <c r="L1231" s="8">
        <v>3.31</v>
      </c>
      <c r="M1231" s="8">
        <v>10.81</v>
      </c>
      <c r="N1231" s="8">
        <v>10.02</v>
      </c>
      <c r="O1231" s="17">
        <f t="shared" si="97"/>
        <v>-0.14146128680479825</v>
      </c>
      <c r="P1231" s="17">
        <f t="shared" si="98"/>
        <v>0.78768333333333351</v>
      </c>
      <c r="Q1231" s="17">
        <v>9.66</v>
      </c>
      <c r="R1231" s="9">
        <v>20220803</v>
      </c>
      <c r="S1231" s="9">
        <v>26.83</v>
      </c>
      <c r="T1231" s="9">
        <v>24.94</v>
      </c>
      <c r="U1231" s="9">
        <v>10037.0664</v>
      </c>
      <c r="V1231" s="45">
        <f t="shared" si="99"/>
        <v>-0.99751521022118572</v>
      </c>
      <c r="W1231" s="12">
        <v>1.3</v>
      </c>
      <c r="X1231" s="12">
        <v>8.81</v>
      </c>
      <c r="Y1231" s="62"/>
    </row>
    <row r="1232" spans="1:25" x14ac:dyDescent="0.2">
      <c r="A1232" s="3" t="s">
        <v>3506</v>
      </c>
      <c r="B1232" s="3" t="s">
        <v>1287</v>
      </c>
      <c r="C1232" s="6" t="s">
        <v>354</v>
      </c>
      <c r="D1232" s="6" t="s">
        <v>215</v>
      </c>
      <c r="E1232" s="6" t="s">
        <v>163</v>
      </c>
      <c r="F1232" s="6">
        <v>11149.86</v>
      </c>
      <c r="G1232" s="2">
        <v>12</v>
      </c>
      <c r="H1232" s="61">
        <v>1.75</v>
      </c>
      <c r="I1232" s="61">
        <v>1.85</v>
      </c>
      <c r="J1232" s="47">
        <f t="shared" si="95"/>
        <v>-0.85416666666666663</v>
      </c>
      <c r="K1232" s="47">
        <f t="shared" si="96"/>
        <v>5.7142857142857197E-2</v>
      </c>
      <c r="L1232" s="8">
        <v>1.89</v>
      </c>
      <c r="M1232" s="8">
        <v>10.27</v>
      </c>
      <c r="N1232" s="8">
        <v>10.07</v>
      </c>
      <c r="O1232" s="17">
        <f t="shared" si="97"/>
        <v>-0.12023414634146343</v>
      </c>
      <c r="P1232" s="17">
        <f t="shared" si="98"/>
        <v>1.7622499999999983</v>
      </c>
      <c r="Q1232" s="17">
        <v>9.82</v>
      </c>
      <c r="R1232" s="9">
        <v>20220804</v>
      </c>
      <c r="S1232" s="9">
        <v>13.25</v>
      </c>
      <c r="T1232" s="9">
        <v>22.38</v>
      </c>
      <c r="U1232" s="9">
        <v>1618.94604</v>
      </c>
      <c r="V1232" s="45">
        <f t="shared" si="99"/>
        <v>-0.98617619151778513</v>
      </c>
      <c r="W1232" s="12">
        <v>0</v>
      </c>
      <c r="X1232" s="12">
        <v>6.24</v>
      </c>
      <c r="Y1232" s="62">
        <v>1.01</v>
      </c>
    </row>
    <row r="1233" spans="1:25" x14ac:dyDescent="0.2">
      <c r="A1233" s="3" t="s">
        <v>3507</v>
      </c>
      <c r="B1233" s="3" t="s">
        <v>1288</v>
      </c>
      <c r="C1233" s="6" t="s">
        <v>355</v>
      </c>
      <c r="D1233" s="6" t="s">
        <v>227</v>
      </c>
      <c r="E1233" s="6" t="s">
        <v>119</v>
      </c>
      <c r="F1233" s="6">
        <v>19667.96</v>
      </c>
      <c r="G1233" s="2">
        <v>12</v>
      </c>
      <c r="H1233" s="61">
        <v>7.2</v>
      </c>
      <c r="I1233" s="61">
        <v>11.61</v>
      </c>
      <c r="J1233" s="47">
        <f t="shared" si="95"/>
        <v>-0.39999999999999997</v>
      </c>
      <c r="K1233" s="47">
        <f t="shared" si="96"/>
        <v>0.61249999999999993</v>
      </c>
      <c r="L1233" s="8">
        <v>13.63</v>
      </c>
      <c r="M1233" s="8">
        <v>49.96</v>
      </c>
      <c r="N1233" s="8">
        <v>36.33</v>
      </c>
      <c r="O1233" s="17">
        <f t="shared" si="97"/>
        <v>-1.2490000000000001</v>
      </c>
      <c r="P1233" s="17">
        <f t="shared" si="98"/>
        <v>0.59314285714285719</v>
      </c>
      <c r="Q1233" s="17">
        <v>30.94</v>
      </c>
      <c r="R1233" s="9">
        <v>20220726</v>
      </c>
      <c r="S1233" s="9">
        <v>22.8</v>
      </c>
      <c r="T1233" s="9">
        <v>24.96</v>
      </c>
      <c r="U1233" s="9">
        <v>1731.2339999999999</v>
      </c>
      <c r="V1233" s="45">
        <f t="shared" si="99"/>
        <v>-0.98558253823573239</v>
      </c>
      <c r="W1233" s="12">
        <v>8.41</v>
      </c>
      <c r="X1233" s="12">
        <v>0.71</v>
      </c>
      <c r="Y1233" s="62">
        <v>1.45</v>
      </c>
    </row>
    <row r="1234" spans="1:25" x14ac:dyDescent="0.2">
      <c r="A1234" s="3" t="s">
        <v>3508</v>
      </c>
      <c r="B1234" s="3" t="s">
        <v>3509</v>
      </c>
      <c r="C1234" s="6" t="s">
        <v>355</v>
      </c>
      <c r="D1234" s="6" t="s">
        <v>153</v>
      </c>
      <c r="E1234" s="6" t="s">
        <v>108</v>
      </c>
      <c r="F1234" s="6">
        <v>5992.56</v>
      </c>
      <c r="G1234" s="2">
        <v>12</v>
      </c>
      <c r="H1234" s="61">
        <v>-0.41</v>
      </c>
      <c r="I1234" s="61">
        <v>-0.42</v>
      </c>
      <c r="J1234" s="47">
        <f t="shared" si="95"/>
        <v>-1.0341666666666667</v>
      </c>
      <c r="K1234" s="47">
        <f t="shared" si="96"/>
        <v>-2.4390243902439046E-2</v>
      </c>
      <c r="L1234" s="8">
        <v>-0.4</v>
      </c>
      <c r="O1234" s="17">
        <f t="shared" si="97"/>
        <v>0</v>
      </c>
      <c r="P1234" s="17">
        <f t="shared" si="98"/>
        <v>0</v>
      </c>
      <c r="Q1234" s="17"/>
      <c r="R1234" s="9">
        <v>20220810</v>
      </c>
      <c r="S1234" s="9">
        <v>-13.49</v>
      </c>
      <c r="U1234" s="9">
        <v>719.79498000000001</v>
      </c>
      <c r="V1234" s="45">
        <f t="shared" si="99"/>
        <v>-1</v>
      </c>
      <c r="W1234" s="12">
        <v>-22.22</v>
      </c>
      <c r="X1234" s="12">
        <v>0</v>
      </c>
      <c r="Y1234" s="62"/>
    </row>
    <row r="1235" spans="1:25" x14ac:dyDescent="0.2">
      <c r="A1235" s="3" t="s">
        <v>3510</v>
      </c>
      <c r="B1235" s="3" t="s">
        <v>1289</v>
      </c>
      <c r="C1235" s="6" t="s">
        <v>356</v>
      </c>
      <c r="D1235" s="6" t="s">
        <v>181</v>
      </c>
      <c r="E1235" s="6" t="s">
        <v>201</v>
      </c>
      <c r="F1235" s="6">
        <v>42792.56</v>
      </c>
      <c r="G1235" s="2">
        <v>3</v>
      </c>
      <c r="H1235" s="61"/>
      <c r="I1235" s="61"/>
      <c r="J1235" s="47">
        <f t="shared" si="95"/>
        <v>-1</v>
      </c>
      <c r="K1235" s="47" t="e">
        <f t="shared" si="96"/>
        <v>#DIV/0!</v>
      </c>
      <c r="M1235" s="8">
        <v>14.26</v>
      </c>
      <c r="O1235" s="17">
        <f t="shared" si="97"/>
        <v>-0.1426</v>
      </c>
      <c r="P1235" s="17" t="e">
        <f t="shared" si="98"/>
        <v>#DIV/0!</v>
      </c>
      <c r="Q1235" s="17"/>
      <c r="R1235" s="9">
        <v>20220601</v>
      </c>
      <c r="S1235" s="9">
        <v>15.56</v>
      </c>
      <c r="T1235" s="9">
        <v>6.36</v>
      </c>
      <c r="V1235" s="45" t="e">
        <f t="shared" si="99"/>
        <v>#DIV/0!</v>
      </c>
      <c r="X1235" s="12">
        <v>1.05</v>
      </c>
      <c r="Y1235" s="62"/>
    </row>
    <row r="1236" spans="1:25" x14ac:dyDescent="0.2">
      <c r="A1236" s="3" t="s">
        <v>3511</v>
      </c>
      <c r="B1236" s="3" t="s">
        <v>1290</v>
      </c>
      <c r="C1236" s="6" t="s">
        <v>355</v>
      </c>
      <c r="D1236" s="6" t="s">
        <v>1206</v>
      </c>
      <c r="E1236" s="6" t="s">
        <v>119</v>
      </c>
      <c r="F1236" s="6">
        <v>3259.11</v>
      </c>
      <c r="G1236" s="2">
        <v>6</v>
      </c>
      <c r="H1236" s="61">
        <v>2.36</v>
      </c>
      <c r="I1236" s="61">
        <v>2.37</v>
      </c>
      <c r="J1236" s="47">
        <f t="shared" si="95"/>
        <v>-0.60666666666666669</v>
      </c>
      <c r="K1236" s="47">
        <f t="shared" si="96"/>
        <v>4.2372881355933183E-3</v>
      </c>
      <c r="L1236" s="8">
        <v>2.62</v>
      </c>
      <c r="M1236" s="8">
        <v>26.91</v>
      </c>
      <c r="N1236" s="8">
        <v>23.84</v>
      </c>
      <c r="O1236" s="17">
        <f t="shared" si="97"/>
        <v>-0.44357142857142856</v>
      </c>
      <c r="P1236" s="17">
        <f t="shared" si="98"/>
        <v>56.262399999998699</v>
      </c>
      <c r="Q1236" s="17">
        <v>21.55</v>
      </c>
      <c r="R1236" s="9">
        <v>20220802</v>
      </c>
      <c r="S1236" s="9">
        <v>6.12</v>
      </c>
      <c r="T1236" s="9">
        <v>21.56</v>
      </c>
      <c r="U1236" s="9">
        <v>1004.4169900000001</v>
      </c>
      <c r="V1236" s="45">
        <f t="shared" si="99"/>
        <v>-0.97853481152285171</v>
      </c>
      <c r="W1236" s="12">
        <v>1.79</v>
      </c>
      <c r="X1236" s="12">
        <v>0</v>
      </c>
      <c r="Y1236" s="62">
        <v>14.03</v>
      </c>
    </row>
    <row r="1237" spans="1:25" x14ac:dyDescent="0.2">
      <c r="A1237" s="3" t="s">
        <v>3512</v>
      </c>
      <c r="B1237" s="3" t="s">
        <v>1291</v>
      </c>
      <c r="C1237" s="6" t="s">
        <v>354</v>
      </c>
      <c r="D1237" s="6" t="s">
        <v>179</v>
      </c>
      <c r="E1237" s="6" t="s">
        <v>208</v>
      </c>
      <c r="F1237" s="6">
        <v>233434</v>
      </c>
      <c r="G1237" s="2">
        <v>12</v>
      </c>
      <c r="H1237" s="61">
        <v>5.76</v>
      </c>
      <c r="I1237" s="61">
        <v>7.28</v>
      </c>
      <c r="J1237" s="47">
        <f t="shared" si="95"/>
        <v>-0.52</v>
      </c>
      <c r="K1237" s="47">
        <f t="shared" si="96"/>
        <v>0.26388888888888901</v>
      </c>
      <c r="L1237" s="8">
        <v>7.21</v>
      </c>
      <c r="M1237" s="8">
        <v>13.19</v>
      </c>
      <c r="N1237" s="8">
        <v>12.68</v>
      </c>
      <c r="O1237" s="17">
        <f t="shared" si="97"/>
        <v>-0.25365384615384612</v>
      </c>
      <c r="P1237" s="17">
        <f t="shared" si="98"/>
        <v>0.48050526315789455</v>
      </c>
      <c r="Q1237" s="17">
        <v>12.81</v>
      </c>
      <c r="R1237" s="9">
        <v>20220804</v>
      </c>
      <c r="S1237" s="9">
        <v>47.86</v>
      </c>
      <c r="T1237" s="9">
        <v>6</v>
      </c>
      <c r="U1237" s="9">
        <v>57993.246090000001</v>
      </c>
      <c r="V1237" s="45">
        <f t="shared" si="99"/>
        <v>-0.99989653967652214</v>
      </c>
      <c r="W1237" s="12">
        <v>18.23</v>
      </c>
      <c r="X1237" s="12">
        <v>2.99</v>
      </c>
      <c r="Y1237" s="62">
        <v>1.25</v>
      </c>
    </row>
    <row r="1238" spans="1:25" x14ac:dyDescent="0.2">
      <c r="A1238" s="3" t="s">
        <v>3513</v>
      </c>
      <c r="B1238" s="3" t="s">
        <v>1292</v>
      </c>
      <c r="C1238" s="6" t="s">
        <v>355</v>
      </c>
      <c r="D1238" s="6" t="s">
        <v>185</v>
      </c>
      <c r="E1238" s="6" t="s">
        <v>208</v>
      </c>
      <c r="F1238" s="6">
        <v>54015.75</v>
      </c>
      <c r="G1238" s="2">
        <v>12</v>
      </c>
      <c r="H1238" s="61">
        <v>26.88</v>
      </c>
      <c r="I1238" s="61">
        <v>27.21</v>
      </c>
      <c r="J1238" s="47">
        <f t="shared" si="95"/>
        <v>1.24</v>
      </c>
      <c r="K1238" s="47">
        <f t="shared" si="96"/>
        <v>1.2276785714285783E-2</v>
      </c>
      <c r="L1238" s="8">
        <v>7.82</v>
      </c>
      <c r="M1238" s="8">
        <v>3.99</v>
      </c>
      <c r="N1238" s="8">
        <v>4.99</v>
      </c>
      <c r="O1238" s="17">
        <f t="shared" si="97"/>
        <v>3.2177419354838713E-2</v>
      </c>
      <c r="P1238" s="17">
        <f t="shared" si="98"/>
        <v>4.0645818181817956</v>
      </c>
      <c r="Q1238" s="17">
        <v>17.36</v>
      </c>
      <c r="R1238" s="9">
        <v>20220804</v>
      </c>
      <c r="S1238" s="9">
        <v>121.86</v>
      </c>
      <c r="T1238" s="9">
        <v>613.19000000000005</v>
      </c>
      <c r="U1238" s="9">
        <v>22367.537100000001</v>
      </c>
      <c r="V1238" s="45">
        <f t="shared" si="99"/>
        <v>-0.97258571664557569</v>
      </c>
      <c r="W1238" s="12">
        <v>65.64</v>
      </c>
      <c r="X1238" s="12">
        <v>0</v>
      </c>
      <c r="Y1238" s="62">
        <v>0.77</v>
      </c>
    </row>
    <row r="1239" spans="1:25" x14ac:dyDescent="0.2">
      <c r="A1239" s="3" t="s">
        <v>3514</v>
      </c>
      <c r="B1239" s="3" t="s">
        <v>1293</v>
      </c>
      <c r="C1239" s="6" t="s">
        <v>354</v>
      </c>
      <c r="D1239" s="6" t="s">
        <v>205</v>
      </c>
      <c r="E1239" s="6" t="s">
        <v>218</v>
      </c>
      <c r="F1239" s="6">
        <v>21053.8</v>
      </c>
      <c r="G1239" s="2">
        <v>12</v>
      </c>
      <c r="H1239" s="61">
        <v>1.33</v>
      </c>
      <c r="I1239" s="61">
        <v>4.9400000000000004</v>
      </c>
      <c r="J1239" s="47">
        <f t="shared" si="95"/>
        <v>-0.88916666666666666</v>
      </c>
      <c r="K1239" s="47">
        <f t="shared" si="96"/>
        <v>2.7142857142857144</v>
      </c>
      <c r="L1239" s="8">
        <v>4.46</v>
      </c>
      <c r="M1239" s="8">
        <v>12.4</v>
      </c>
      <c r="N1239" s="8">
        <v>6.03</v>
      </c>
      <c r="O1239" s="17">
        <f t="shared" si="97"/>
        <v>-0.13945641986879101</v>
      </c>
      <c r="P1239" s="17">
        <f t="shared" si="98"/>
        <v>2.221578947368421E-2</v>
      </c>
      <c r="Q1239" s="17">
        <v>6.67</v>
      </c>
      <c r="R1239" s="9">
        <v>20220803</v>
      </c>
      <c r="S1239" s="9">
        <v>16.78</v>
      </c>
      <c r="T1239" s="9">
        <v>-5.57</v>
      </c>
      <c r="U1239" s="9">
        <v>7997.4379799999997</v>
      </c>
      <c r="V1239" s="45">
        <f t="shared" si="99"/>
        <v>-1.0006964730472345</v>
      </c>
      <c r="W1239" s="12">
        <v>4.08</v>
      </c>
      <c r="X1239" s="12">
        <v>1.08</v>
      </c>
      <c r="Y1239" s="62">
        <v>0.42</v>
      </c>
    </row>
    <row r="1240" spans="1:25" x14ac:dyDescent="0.2">
      <c r="A1240" s="3" t="s">
        <v>3515</v>
      </c>
      <c r="B1240" s="3" t="s">
        <v>1294</v>
      </c>
      <c r="C1240" s="6" t="s">
        <v>355</v>
      </c>
      <c r="D1240" s="6" t="s">
        <v>185</v>
      </c>
      <c r="E1240" s="6" t="s">
        <v>208</v>
      </c>
      <c r="F1240" s="6">
        <v>3246.1</v>
      </c>
      <c r="G1240" s="2">
        <v>12</v>
      </c>
      <c r="H1240" s="61">
        <v>-10.66</v>
      </c>
      <c r="I1240" s="61">
        <v>-14.37</v>
      </c>
      <c r="J1240" s="47">
        <f t="shared" si="95"/>
        <v>-1.8883333333333334</v>
      </c>
      <c r="K1240" s="47">
        <f t="shared" si="96"/>
        <v>-0.34803001876172601</v>
      </c>
      <c r="L1240" s="8">
        <v>-12.26</v>
      </c>
      <c r="O1240" s="17">
        <f t="shared" si="97"/>
        <v>0</v>
      </c>
      <c r="P1240" s="17">
        <f t="shared" si="98"/>
        <v>0</v>
      </c>
      <c r="Q1240" s="17"/>
      <c r="R1240" s="9">
        <v>20220804</v>
      </c>
      <c r="S1240" s="9">
        <v>-52.23</v>
      </c>
      <c r="U1240" s="9">
        <v>12.07999</v>
      </c>
      <c r="V1240" s="45">
        <f t="shared" si="99"/>
        <v>-1</v>
      </c>
      <c r="W1240" s="12">
        <v>-0.89</v>
      </c>
      <c r="X1240" s="12">
        <v>0</v>
      </c>
      <c r="Y1240" s="62"/>
    </row>
    <row r="1241" spans="1:25" x14ac:dyDescent="0.2">
      <c r="A1241" s="3" t="s">
        <v>3516</v>
      </c>
      <c r="B1241" s="3" t="s">
        <v>1295</v>
      </c>
      <c r="C1241" s="6" t="s">
        <v>355</v>
      </c>
      <c r="D1241" s="6" t="s">
        <v>193</v>
      </c>
      <c r="E1241" s="6" t="s">
        <v>208</v>
      </c>
      <c r="F1241" s="6">
        <v>8804.66</v>
      </c>
      <c r="G1241" s="2">
        <v>12</v>
      </c>
      <c r="H1241" s="61">
        <v>1.5</v>
      </c>
      <c r="I1241" s="61">
        <v>1.85</v>
      </c>
      <c r="J1241" s="47">
        <f t="shared" si="95"/>
        <v>-0.875</v>
      </c>
      <c r="K1241" s="47">
        <f t="shared" si="96"/>
        <v>0.23333333333333339</v>
      </c>
      <c r="L1241" s="8">
        <v>1.24</v>
      </c>
      <c r="M1241" s="8">
        <v>18.45</v>
      </c>
      <c r="N1241" s="8">
        <v>18.68</v>
      </c>
      <c r="O1241" s="17">
        <f t="shared" si="97"/>
        <v>-0.21085714285714285</v>
      </c>
      <c r="P1241" s="17">
        <f t="shared" si="98"/>
        <v>0.80057142857142838</v>
      </c>
      <c r="Q1241" s="17">
        <v>27.86</v>
      </c>
      <c r="R1241" s="9">
        <v>20220809</v>
      </c>
      <c r="S1241" s="9">
        <v>96.51</v>
      </c>
      <c r="U1241" s="9">
        <v>941.43597</v>
      </c>
      <c r="V1241" s="45">
        <f t="shared" si="99"/>
        <v>-1</v>
      </c>
      <c r="W1241" s="12">
        <v>25.58</v>
      </c>
      <c r="X1241" s="12">
        <v>0</v>
      </c>
      <c r="Y1241" s="62"/>
    </row>
    <row r="1242" spans="1:25" x14ac:dyDescent="0.2">
      <c r="A1242" s="3" t="s">
        <v>3517</v>
      </c>
      <c r="B1242" s="3" t="s">
        <v>1296</v>
      </c>
      <c r="C1242" s="6" t="s">
        <v>355</v>
      </c>
      <c r="D1242" s="6" t="s">
        <v>233</v>
      </c>
      <c r="E1242" s="6" t="s">
        <v>108</v>
      </c>
      <c r="F1242" s="6">
        <v>48480.98</v>
      </c>
      <c r="G1242" s="2">
        <v>1</v>
      </c>
      <c r="H1242" s="61">
        <v>1.55</v>
      </c>
      <c r="I1242" s="61">
        <v>2.29</v>
      </c>
      <c r="J1242" s="47">
        <f t="shared" si="95"/>
        <v>0.55000000000000004</v>
      </c>
      <c r="K1242" s="47">
        <f t="shared" si="96"/>
        <v>0.47741935483870968</v>
      </c>
      <c r="L1242" s="8">
        <v>2.85</v>
      </c>
      <c r="M1242" s="8">
        <v>31.84</v>
      </c>
      <c r="N1242" s="8">
        <v>24.91</v>
      </c>
      <c r="O1242" s="17">
        <f t="shared" si="97"/>
        <v>0.57890909090909082</v>
      </c>
      <c r="P1242" s="17">
        <f t="shared" si="98"/>
        <v>0.52176351351351347</v>
      </c>
      <c r="Q1242" s="17">
        <v>19.989999999999998</v>
      </c>
      <c r="R1242" s="9">
        <v>20220825</v>
      </c>
      <c r="S1242" s="9">
        <v>6.93</v>
      </c>
      <c r="T1242" s="9">
        <v>10.029999999999999</v>
      </c>
      <c r="U1242" s="9">
        <v>6096.2158200000003</v>
      </c>
      <c r="V1242" s="45">
        <f t="shared" si="99"/>
        <v>-0.99835471704149747</v>
      </c>
      <c r="W1242" s="12">
        <v>1.96</v>
      </c>
      <c r="X1242" s="12">
        <v>0.42</v>
      </c>
      <c r="Y1242" s="62">
        <v>1.42</v>
      </c>
    </row>
    <row r="1243" spans="1:25" x14ac:dyDescent="0.2">
      <c r="A1243" s="3" t="s">
        <v>1298</v>
      </c>
      <c r="B1243" s="3" t="s">
        <v>1299</v>
      </c>
      <c r="C1243" s="6" t="s">
        <v>354</v>
      </c>
      <c r="D1243" s="6" t="s">
        <v>885</v>
      </c>
      <c r="E1243" s="6" t="s">
        <v>163</v>
      </c>
      <c r="F1243" s="6">
        <v>148689.14000000001</v>
      </c>
      <c r="G1243" s="2">
        <v>12</v>
      </c>
      <c r="H1243" s="61">
        <v>7.95</v>
      </c>
      <c r="I1243" s="61">
        <v>7.31</v>
      </c>
      <c r="J1243" s="47">
        <f t="shared" si="95"/>
        <v>-0.33749999999999997</v>
      </c>
      <c r="K1243" s="47">
        <f t="shared" si="96"/>
        <v>-8.0503144654088116E-2</v>
      </c>
      <c r="L1243" s="8">
        <v>8.1</v>
      </c>
      <c r="M1243" s="8">
        <v>10.53</v>
      </c>
      <c r="N1243" s="8">
        <v>11.62</v>
      </c>
      <c r="O1243" s="17">
        <f t="shared" si="97"/>
        <v>-0.312</v>
      </c>
      <c r="P1243" s="17">
        <f t="shared" si="98"/>
        <v>-1.4434218749999985</v>
      </c>
      <c r="Q1243" s="17">
        <v>10.49</v>
      </c>
      <c r="R1243" s="9">
        <v>20220714</v>
      </c>
      <c r="S1243" s="9">
        <v>15.15</v>
      </c>
      <c r="T1243" s="9">
        <v>7.4</v>
      </c>
      <c r="U1243" s="9">
        <v>57658.75</v>
      </c>
      <c r="V1243" s="45">
        <f t="shared" si="99"/>
        <v>-0.99987165868146632</v>
      </c>
      <c r="W1243" s="12">
        <v>21.89</v>
      </c>
      <c r="X1243" s="12">
        <v>3.29</v>
      </c>
      <c r="Y1243" s="62">
        <v>1.45</v>
      </c>
    </row>
    <row r="1244" spans="1:25" x14ac:dyDescent="0.2">
      <c r="A1244" s="3" t="s">
        <v>1300</v>
      </c>
      <c r="B1244" s="3" t="s">
        <v>1301</v>
      </c>
      <c r="C1244" s="6" t="s">
        <v>354</v>
      </c>
      <c r="D1244" s="6" t="s">
        <v>226</v>
      </c>
      <c r="E1244" s="6" t="s">
        <v>201</v>
      </c>
      <c r="F1244" s="6">
        <v>4954.75</v>
      </c>
      <c r="G1244" s="2">
        <v>12</v>
      </c>
      <c r="H1244" s="61">
        <v>4.24</v>
      </c>
      <c r="I1244" s="61">
        <v>5.22</v>
      </c>
      <c r="J1244" s="47">
        <f t="shared" si="95"/>
        <v>-0.64666666666666661</v>
      </c>
      <c r="K1244" s="47">
        <f t="shared" si="96"/>
        <v>0.23113207547169801</v>
      </c>
      <c r="L1244" s="8">
        <v>5.68</v>
      </c>
      <c r="M1244" s="8">
        <v>26.41</v>
      </c>
      <c r="N1244" s="8">
        <v>24.13</v>
      </c>
      <c r="O1244" s="17">
        <f t="shared" si="97"/>
        <v>-0.40840206185567018</v>
      </c>
      <c r="P1244" s="17">
        <f t="shared" si="98"/>
        <v>1.0439918367346943</v>
      </c>
      <c r="Q1244" s="17">
        <v>22.18</v>
      </c>
      <c r="R1244" s="9">
        <v>20220727</v>
      </c>
      <c r="S1244" s="9">
        <v>22.48</v>
      </c>
      <c r="T1244" s="9">
        <v>3.35</v>
      </c>
      <c r="U1244" s="9">
        <v>1514.6999499999999</v>
      </c>
      <c r="V1244" s="45">
        <f t="shared" si="99"/>
        <v>-0.99778834085258938</v>
      </c>
      <c r="W1244" s="12">
        <v>15.79</v>
      </c>
      <c r="X1244" s="12">
        <v>1.46</v>
      </c>
      <c r="Y1244" s="62"/>
    </row>
    <row r="1245" spans="1:25" x14ac:dyDescent="0.2">
      <c r="A1245" s="3" t="s">
        <v>3518</v>
      </c>
      <c r="B1245" s="3" t="s">
        <v>2222</v>
      </c>
      <c r="C1245" s="6" t="s">
        <v>356</v>
      </c>
      <c r="D1245" s="6" t="s">
        <v>590</v>
      </c>
      <c r="E1245" s="6" t="s">
        <v>589</v>
      </c>
      <c r="F1245" s="6">
        <v>26338.16</v>
      </c>
      <c r="G1245" s="2">
        <v>3</v>
      </c>
      <c r="H1245" s="61">
        <v>5.57</v>
      </c>
      <c r="I1245" s="61">
        <v>6.57</v>
      </c>
      <c r="J1245" s="47">
        <f t="shared" si="95"/>
        <v>0.8566666666666668</v>
      </c>
      <c r="K1245" s="47">
        <f t="shared" si="96"/>
        <v>0.17953321364452424</v>
      </c>
      <c r="L1245" s="8">
        <v>5.59</v>
      </c>
      <c r="M1245" s="8">
        <v>13.48</v>
      </c>
      <c r="N1245" s="8">
        <v>5.4</v>
      </c>
      <c r="O1245" s="17">
        <f t="shared" si="97"/>
        <v>0.15735408560311281</v>
      </c>
      <c r="P1245" s="17">
        <f t="shared" si="98"/>
        <v>0.30077999999999999</v>
      </c>
      <c r="Q1245" s="17">
        <v>6.34</v>
      </c>
      <c r="R1245" s="9">
        <v>20220802</v>
      </c>
      <c r="U1245" s="9">
        <v>123061.79687000001</v>
      </c>
      <c r="V1245" s="45">
        <f t="shared" si="99"/>
        <v>-1</v>
      </c>
      <c r="W1245" s="12">
        <v>2.5</v>
      </c>
      <c r="X1245" s="12">
        <v>0</v>
      </c>
      <c r="Y1245" s="62"/>
    </row>
    <row r="1246" spans="1:25" x14ac:dyDescent="0.2">
      <c r="A1246" s="3" t="s">
        <v>1302</v>
      </c>
      <c r="B1246" s="3" t="s">
        <v>1302</v>
      </c>
      <c r="C1246" s="6" t="s">
        <v>354</v>
      </c>
      <c r="D1246" s="6" t="s">
        <v>125</v>
      </c>
      <c r="E1246" s="6" t="s">
        <v>119</v>
      </c>
      <c r="F1246" s="6">
        <v>35171.129999999997</v>
      </c>
      <c r="G1246" s="2">
        <v>12</v>
      </c>
      <c r="H1246" s="61">
        <v>9.9600000000000009</v>
      </c>
      <c r="I1246" s="61">
        <v>11.41</v>
      </c>
      <c r="J1246" s="47">
        <f t="shared" si="95"/>
        <v>-0.16999999999999993</v>
      </c>
      <c r="K1246" s="47">
        <f t="shared" si="96"/>
        <v>0.145582329317269</v>
      </c>
      <c r="L1246" s="8">
        <v>12.95</v>
      </c>
      <c r="M1246" s="8">
        <v>41.33</v>
      </c>
      <c r="N1246" s="8">
        <v>37.909999999999997</v>
      </c>
      <c r="O1246" s="17">
        <f t="shared" si="97"/>
        <v>-2.4311764705882362</v>
      </c>
      <c r="P1246" s="17">
        <f t="shared" si="98"/>
        <v>2.6040248275862079</v>
      </c>
      <c r="Q1246" s="17">
        <v>33.409999999999997</v>
      </c>
      <c r="R1246" s="9">
        <v>20220726</v>
      </c>
      <c r="S1246" s="9">
        <v>-205.88</v>
      </c>
      <c r="T1246" s="9">
        <v>11.55</v>
      </c>
      <c r="U1246" s="9">
        <v>2301.2880799999998</v>
      </c>
      <c r="V1246" s="45">
        <f t="shared" si="99"/>
        <v>-0.99498107164401595</v>
      </c>
      <c r="W1246" s="12">
        <v>8.76</v>
      </c>
      <c r="X1246" s="12">
        <v>0.96</v>
      </c>
      <c r="Y1246" s="62"/>
    </row>
    <row r="1247" spans="1:25" x14ac:dyDescent="0.2">
      <c r="A1247" s="3" t="s">
        <v>3519</v>
      </c>
      <c r="B1247" s="3" t="s">
        <v>1303</v>
      </c>
      <c r="C1247" s="6" t="s">
        <v>355</v>
      </c>
      <c r="D1247" s="6" t="s">
        <v>132</v>
      </c>
      <c r="E1247" s="6" t="s">
        <v>119</v>
      </c>
      <c r="F1247" s="6">
        <v>1988674.88</v>
      </c>
      <c r="G1247" s="2">
        <v>6</v>
      </c>
      <c r="H1247" s="61">
        <v>7.8</v>
      </c>
      <c r="I1247" s="61">
        <v>9.32</v>
      </c>
      <c r="J1247" s="47">
        <f t="shared" si="95"/>
        <v>0.3</v>
      </c>
      <c r="K1247" s="47">
        <f t="shared" si="96"/>
        <v>0.19487179487179493</v>
      </c>
      <c r="L1247" s="8">
        <v>10.62</v>
      </c>
      <c r="M1247" s="8">
        <v>29.09</v>
      </c>
      <c r="N1247" s="8">
        <v>28.52</v>
      </c>
      <c r="O1247" s="17">
        <f t="shared" si="97"/>
        <v>0.96966666666666668</v>
      </c>
      <c r="P1247" s="17">
        <f t="shared" si="98"/>
        <v>1.4635263157894733</v>
      </c>
      <c r="Q1247" s="17">
        <v>25.03</v>
      </c>
      <c r="R1247" s="9">
        <v>20220726</v>
      </c>
      <c r="S1247" s="9">
        <v>44.85</v>
      </c>
      <c r="T1247" s="9">
        <v>16.309999999999999</v>
      </c>
      <c r="U1247" s="9">
        <v>198857.17186999999</v>
      </c>
      <c r="V1247" s="45">
        <f t="shared" si="99"/>
        <v>-0.99991798133380549</v>
      </c>
      <c r="W1247" s="12">
        <v>1.83</v>
      </c>
      <c r="X1247" s="12">
        <v>0.93</v>
      </c>
      <c r="Y1247" s="62">
        <v>2.2599999999999998</v>
      </c>
    </row>
    <row r="1248" spans="1:25" x14ac:dyDescent="0.2">
      <c r="A1248" s="3" t="s">
        <v>1304</v>
      </c>
      <c r="B1248" s="3" t="s">
        <v>1305</v>
      </c>
      <c r="C1248" s="6" t="s">
        <v>354</v>
      </c>
      <c r="D1248" s="6" t="s">
        <v>621</v>
      </c>
      <c r="E1248" s="6" t="s">
        <v>146</v>
      </c>
      <c r="F1248" s="6">
        <v>3958.34</v>
      </c>
      <c r="G1248" s="2">
        <v>6</v>
      </c>
      <c r="H1248" s="61">
        <v>-3.34</v>
      </c>
      <c r="I1248" s="61">
        <v>0</v>
      </c>
      <c r="J1248" s="47">
        <f t="shared" si="95"/>
        <v>-1.5566666666666666</v>
      </c>
      <c r="K1248" s="47">
        <f t="shared" si="96"/>
        <v>1</v>
      </c>
      <c r="L1248" s="8">
        <v>1.1000000000000001</v>
      </c>
      <c r="M1248" s="8">
        <v>54.46</v>
      </c>
      <c r="O1248" s="17">
        <f t="shared" si="97"/>
        <v>-0.3498501070663812</v>
      </c>
      <c r="P1248" s="17">
        <f t="shared" si="98"/>
        <v>0</v>
      </c>
      <c r="Q1248" s="17">
        <v>148.54</v>
      </c>
      <c r="R1248" s="9">
        <v>20220818</v>
      </c>
      <c r="S1248" s="9">
        <v>-35.82</v>
      </c>
      <c r="T1248" s="9">
        <v>-21.42</v>
      </c>
      <c r="U1248" s="9">
        <v>725.89000999999996</v>
      </c>
      <c r="V1248" s="45">
        <f t="shared" si="99"/>
        <v>-1.0295086028253784</v>
      </c>
      <c r="W1248" s="12">
        <v>-25.37</v>
      </c>
      <c r="X1248" s="12">
        <v>0</v>
      </c>
      <c r="Y1248" s="62"/>
    </row>
    <row r="1249" spans="1:25" x14ac:dyDescent="0.2">
      <c r="A1249" s="3" t="s">
        <v>3520</v>
      </c>
      <c r="B1249" s="3" t="s">
        <v>1306</v>
      </c>
      <c r="C1249" s="6" t="s">
        <v>354</v>
      </c>
      <c r="D1249" s="6" t="s">
        <v>869</v>
      </c>
      <c r="E1249" s="6" t="s">
        <v>119</v>
      </c>
      <c r="F1249" s="6">
        <v>36450.67</v>
      </c>
      <c r="G1249" s="2">
        <v>12</v>
      </c>
      <c r="H1249" s="61">
        <v>9.0399999999999991</v>
      </c>
      <c r="I1249" s="61">
        <v>9.85</v>
      </c>
      <c r="J1249" s="47">
        <f t="shared" si="95"/>
        <v>-0.24666666666666673</v>
      </c>
      <c r="K1249" s="47">
        <f t="shared" si="96"/>
        <v>8.9601769911504495E-2</v>
      </c>
      <c r="L1249" s="8">
        <v>10.99</v>
      </c>
      <c r="M1249" s="8">
        <v>24.29</v>
      </c>
      <c r="N1249" s="8">
        <v>22.12</v>
      </c>
      <c r="O1249" s="17">
        <f t="shared" si="97"/>
        <v>-0.9847297297297295</v>
      </c>
      <c r="P1249" s="17">
        <f t="shared" si="98"/>
        <v>2.4687012345678996</v>
      </c>
      <c r="Q1249" s="17">
        <v>19.829999999999998</v>
      </c>
      <c r="R1249" s="9">
        <v>20220804</v>
      </c>
      <c r="S1249" s="9">
        <v>-633.02</v>
      </c>
      <c r="T1249" s="9">
        <v>5.51</v>
      </c>
      <c r="U1249" s="9">
        <v>8744.3857399999997</v>
      </c>
      <c r="V1249" s="45">
        <f t="shared" si="99"/>
        <v>-0.99936988141147576</v>
      </c>
      <c r="W1249" s="12">
        <v>7.59</v>
      </c>
      <c r="X1249" s="12">
        <v>1.45</v>
      </c>
      <c r="Y1249" s="62">
        <v>2.46</v>
      </c>
    </row>
    <row r="1250" spans="1:25" x14ac:dyDescent="0.2">
      <c r="A1250" s="3" t="s">
        <v>3521</v>
      </c>
      <c r="B1250" s="3" t="s">
        <v>1307</v>
      </c>
      <c r="C1250" s="6" t="s">
        <v>354</v>
      </c>
      <c r="D1250" s="6" t="s">
        <v>162</v>
      </c>
      <c r="E1250" s="6" t="s">
        <v>201</v>
      </c>
      <c r="F1250" s="6">
        <v>4686.78</v>
      </c>
      <c r="G1250" s="2">
        <v>8</v>
      </c>
      <c r="H1250" s="61">
        <v>4.8</v>
      </c>
      <c r="I1250" s="61">
        <v>6.02</v>
      </c>
      <c r="J1250" s="47">
        <f t="shared" si="95"/>
        <v>-0.4</v>
      </c>
      <c r="K1250" s="47">
        <f t="shared" si="96"/>
        <v>0.25416666666666665</v>
      </c>
      <c r="L1250" s="8">
        <v>6.37</v>
      </c>
      <c r="M1250" s="8">
        <v>16.079999999999998</v>
      </c>
      <c r="N1250" s="8">
        <v>13.95</v>
      </c>
      <c r="O1250" s="17">
        <f t="shared" si="97"/>
        <v>-0.40199999999999997</v>
      </c>
      <c r="P1250" s="17">
        <f t="shared" si="98"/>
        <v>0.54885245901639346</v>
      </c>
      <c r="Q1250" s="17">
        <v>13.17</v>
      </c>
      <c r="R1250" s="9">
        <v>20220706</v>
      </c>
      <c r="S1250" s="9">
        <v>24.7</v>
      </c>
      <c r="T1250" s="9">
        <v>2.13</v>
      </c>
      <c r="U1250" s="9">
        <v>3655.3000400000001</v>
      </c>
      <c r="V1250" s="45">
        <f t="shared" si="99"/>
        <v>-0.99941728449738965</v>
      </c>
      <c r="W1250" s="12">
        <v>3.2</v>
      </c>
      <c r="X1250" s="12">
        <v>3.57</v>
      </c>
      <c r="Y1250" s="62"/>
    </row>
    <row r="1251" spans="1:25" x14ac:dyDescent="0.2">
      <c r="A1251" s="3" t="s">
        <v>3522</v>
      </c>
      <c r="B1251" s="3" t="s">
        <v>1308</v>
      </c>
      <c r="C1251" s="6" t="s">
        <v>354</v>
      </c>
      <c r="D1251" s="6" t="s">
        <v>177</v>
      </c>
      <c r="E1251" s="6" t="s">
        <v>119</v>
      </c>
      <c r="F1251" s="6">
        <v>5777.45</v>
      </c>
      <c r="G1251" s="2">
        <v>12</v>
      </c>
      <c r="H1251" s="61">
        <v>0.64</v>
      </c>
      <c r="I1251" s="61">
        <v>0.56999999999999995</v>
      </c>
      <c r="J1251" s="47">
        <f t="shared" si="95"/>
        <v>-0.94666666666666666</v>
      </c>
      <c r="K1251" s="47">
        <f t="shared" si="96"/>
        <v>-0.1093750000000001</v>
      </c>
      <c r="L1251" s="8">
        <v>0.7</v>
      </c>
      <c r="M1251" s="8">
        <v>57.33</v>
      </c>
      <c r="N1251" s="8">
        <v>61.35</v>
      </c>
      <c r="O1251" s="17">
        <f t="shared" si="97"/>
        <v>-0.60559859154929574</v>
      </c>
      <c r="P1251" s="17">
        <f t="shared" si="98"/>
        <v>-5.609142857142853</v>
      </c>
      <c r="Q1251" s="17">
        <v>49.6</v>
      </c>
      <c r="R1251" s="9">
        <v>20220810</v>
      </c>
      <c r="S1251" s="9">
        <v>3.65</v>
      </c>
      <c r="U1251" s="9">
        <v>726.44299000000001</v>
      </c>
      <c r="V1251" s="45">
        <f t="shared" si="99"/>
        <v>-1</v>
      </c>
      <c r="W1251" s="12">
        <v>7.69</v>
      </c>
      <c r="X1251" s="12">
        <v>0</v>
      </c>
      <c r="Y1251" s="62">
        <v>8.27</v>
      </c>
    </row>
    <row r="1252" spans="1:25" x14ac:dyDescent="0.2">
      <c r="A1252" s="3" t="s">
        <v>1309</v>
      </c>
      <c r="B1252" s="3" t="s">
        <v>1310</v>
      </c>
      <c r="C1252" s="6" t="s">
        <v>354</v>
      </c>
      <c r="D1252" s="6" t="s">
        <v>232</v>
      </c>
      <c r="E1252" s="6" t="s">
        <v>60</v>
      </c>
      <c r="F1252" s="6">
        <v>29859.87</v>
      </c>
      <c r="G1252" s="2">
        <v>12</v>
      </c>
      <c r="H1252" s="61">
        <v>13.04</v>
      </c>
      <c r="I1252" s="61">
        <v>13.21</v>
      </c>
      <c r="J1252" s="47">
        <f t="shared" si="95"/>
        <v>8.66666666666666E-2</v>
      </c>
      <c r="K1252" s="47">
        <f t="shared" si="96"/>
        <v>1.3036809815951051E-2</v>
      </c>
      <c r="L1252" s="8">
        <v>9.3000000000000007</v>
      </c>
      <c r="M1252" s="8">
        <v>2.0299999999999998</v>
      </c>
      <c r="N1252" s="8">
        <v>2.41</v>
      </c>
      <c r="O1252" s="17">
        <f t="shared" si="97"/>
        <v>0.23423076923076938</v>
      </c>
      <c r="P1252" s="17">
        <f t="shared" si="98"/>
        <v>1.8486117647058637</v>
      </c>
      <c r="Q1252" s="17">
        <v>3.43</v>
      </c>
      <c r="R1252" s="9">
        <v>20220804</v>
      </c>
      <c r="S1252" s="9">
        <v>32.880000000000003</v>
      </c>
      <c r="T1252" s="9">
        <v>-1.18</v>
      </c>
      <c r="U1252" s="9">
        <v>82136.125</v>
      </c>
      <c r="V1252" s="45">
        <f t="shared" si="99"/>
        <v>-1.0000143663948109</v>
      </c>
      <c r="W1252" s="12">
        <v>31.38</v>
      </c>
      <c r="X1252" s="12">
        <v>1.01</v>
      </c>
      <c r="Y1252" s="62"/>
    </row>
    <row r="1253" spans="1:25" x14ac:dyDescent="0.2">
      <c r="A1253" s="3" t="s">
        <v>3523</v>
      </c>
      <c r="B1253" s="3" t="s">
        <v>1311</v>
      </c>
      <c r="C1253" s="6" t="s">
        <v>354</v>
      </c>
      <c r="D1253" s="6" t="s">
        <v>97</v>
      </c>
      <c r="E1253" s="6" t="s">
        <v>163</v>
      </c>
      <c r="F1253" s="6">
        <v>31891.45</v>
      </c>
      <c r="G1253" s="2">
        <v>12</v>
      </c>
      <c r="H1253" s="61">
        <v>13.7</v>
      </c>
      <c r="I1253" s="61">
        <v>13.18</v>
      </c>
      <c r="J1253" s="47">
        <f t="shared" si="95"/>
        <v>0.14166666666666661</v>
      </c>
      <c r="K1253" s="47">
        <f t="shared" si="96"/>
        <v>-3.7956204379562014E-2</v>
      </c>
      <c r="L1253" s="8">
        <v>16.84</v>
      </c>
      <c r="M1253" s="8">
        <v>13.23</v>
      </c>
      <c r="N1253" s="8">
        <v>13.49</v>
      </c>
      <c r="O1253" s="17">
        <f t="shared" si="97"/>
        <v>0.93388235294117694</v>
      </c>
      <c r="P1253" s="17">
        <f t="shared" si="98"/>
        <v>-3.5540961538461566</v>
      </c>
      <c r="Q1253" s="17">
        <v>10.56</v>
      </c>
      <c r="R1253" s="9">
        <v>20220720</v>
      </c>
      <c r="S1253" s="9">
        <v>11.45</v>
      </c>
      <c r="T1253" s="9">
        <v>0.42</v>
      </c>
      <c r="U1253" s="9">
        <v>7450.2758700000004</v>
      </c>
      <c r="V1253" s="45">
        <f t="shared" si="99"/>
        <v>-0.99994362624856736</v>
      </c>
      <c r="W1253" s="12">
        <v>20.8</v>
      </c>
      <c r="X1253" s="12">
        <v>2.7</v>
      </c>
      <c r="Y1253" s="62">
        <v>1.1000000000000001</v>
      </c>
    </row>
    <row r="1254" spans="1:25" x14ac:dyDescent="0.2">
      <c r="A1254" s="3" t="s">
        <v>3524</v>
      </c>
      <c r="B1254" s="3" t="s">
        <v>1312</v>
      </c>
      <c r="C1254" s="6" t="s">
        <v>355</v>
      </c>
      <c r="D1254" s="6" t="s">
        <v>174</v>
      </c>
      <c r="E1254" s="6" t="s">
        <v>231</v>
      </c>
      <c r="F1254" s="6">
        <v>22241.96</v>
      </c>
      <c r="G1254" s="2">
        <v>12</v>
      </c>
      <c r="H1254" s="61">
        <v>2.4900000000000002</v>
      </c>
      <c r="I1254" s="61">
        <v>3.03</v>
      </c>
      <c r="J1254" s="47">
        <f t="shared" si="95"/>
        <v>-0.79249999999999998</v>
      </c>
      <c r="K1254" s="47">
        <f t="shared" si="96"/>
        <v>0.21686746987951788</v>
      </c>
      <c r="L1254" s="8">
        <v>3.42</v>
      </c>
      <c r="M1254" s="8">
        <v>56.03</v>
      </c>
      <c r="N1254" s="8">
        <v>25.72</v>
      </c>
      <c r="O1254" s="17">
        <f t="shared" si="97"/>
        <v>-0.70700315457413254</v>
      </c>
      <c r="P1254" s="17">
        <f t="shared" si="98"/>
        <v>1.1859777777777787</v>
      </c>
      <c r="Q1254" s="17">
        <v>22.75</v>
      </c>
      <c r="R1254" s="9">
        <v>20220802</v>
      </c>
      <c r="S1254" s="9">
        <v>-220.83</v>
      </c>
      <c r="T1254" s="9">
        <v>-4.47</v>
      </c>
      <c r="U1254" s="9">
        <v>3433.0449199999998</v>
      </c>
      <c r="V1254" s="45">
        <f t="shared" si="99"/>
        <v>-1.0013020511249238</v>
      </c>
      <c r="W1254" s="12">
        <v>12.12</v>
      </c>
      <c r="X1254" s="12">
        <v>0</v>
      </c>
      <c r="Y1254" s="62">
        <v>0.63</v>
      </c>
    </row>
    <row r="1255" spans="1:25" x14ac:dyDescent="0.2">
      <c r="A1255" s="3" t="s">
        <v>3525</v>
      </c>
      <c r="B1255" s="3" t="s">
        <v>1313</v>
      </c>
      <c r="C1255" s="6" t="s">
        <v>354</v>
      </c>
      <c r="D1255" s="6" t="s">
        <v>166</v>
      </c>
      <c r="E1255" s="6" t="s">
        <v>119</v>
      </c>
      <c r="F1255" s="6">
        <v>28612.06</v>
      </c>
      <c r="G1255" s="2">
        <v>12</v>
      </c>
      <c r="H1255" s="61">
        <v>33.42</v>
      </c>
      <c r="I1255" s="61">
        <v>38.35</v>
      </c>
      <c r="J1255" s="47">
        <f t="shared" si="95"/>
        <v>1.7850000000000001</v>
      </c>
      <c r="K1255" s="47">
        <f t="shared" si="96"/>
        <v>0.14751645721125073</v>
      </c>
      <c r="L1255" s="8">
        <v>42.68</v>
      </c>
      <c r="M1255" s="8">
        <v>35.729999999999997</v>
      </c>
      <c r="N1255" s="8">
        <v>32.82</v>
      </c>
      <c r="O1255" s="17">
        <f t="shared" si="97"/>
        <v>0.20016806722689073</v>
      </c>
      <c r="P1255" s="17">
        <f t="shared" si="98"/>
        <v>2.224836511156187</v>
      </c>
      <c r="Q1255" s="17">
        <v>29.49</v>
      </c>
      <c r="R1255" s="9">
        <v>20220804</v>
      </c>
      <c r="S1255" s="9">
        <v>540.97</v>
      </c>
      <c r="T1255" s="9">
        <v>6.87</v>
      </c>
      <c r="U1255" s="9">
        <v>3901.2629299999999</v>
      </c>
      <c r="V1255" s="45">
        <f t="shared" si="99"/>
        <v>-0.99823903178963647</v>
      </c>
      <c r="W1255" s="12">
        <v>7.51</v>
      </c>
      <c r="X1255" s="12">
        <v>0</v>
      </c>
      <c r="Y1255" s="62">
        <v>1.72</v>
      </c>
    </row>
    <row r="1256" spans="1:25" x14ac:dyDescent="0.2">
      <c r="A1256" s="3" t="s">
        <v>3526</v>
      </c>
      <c r="B1256" s="3" t="s">
        <v>2001</v>
      </c>
      <c r="C1256" s="6" t="s">
        <v>354</v>
      </c>
      <c r="D1256" s="6" t="s">
        <v>200</v>
      </c>
      <c r="E1256" s="6" t="s">
        <v>218</v>
      </c>
      <c r="F1256" s="6">
        <v>6866.63</v>
      </c>
      <c r="G1256" s="2">
        <v>12</v>
      </c>
      <c r="H1256" s="61">
        <v>4.01</v>
      </c>
      <c r="I1256" s="61">
        <v>10.9</v>
      </c>
      <c r="J1256" s="47">
        <f t="shared" si="95"/>
        <v>-0.66583333333333339</v>
      </c>
      <c r="K1256" s="47">
        <f t="shared" si="96"/>
        <v>1.7182044887780552</v>
      </c>
      <c r="L1256" s="8">
        <v>9.61</v>
      </c>
      <c r="M1256" s="8">
        <v>9.94</v>
      </c>
      <c r="N1256" s="8">
        <v>5.33</v>
      </c>
      <c r="O1256" s="17">
        <f t="shared" si="97"/>
        <v>-0.14928660826032539</v>
      </c>
      <c r="P1256" s="17">
        <f t="shared" si="98"/>
        <v>3.1020754716981128E-2</v>
      </c>
      <c r="Q1256" s="17">
        <v>6.05</v>
      </c>
      <c r="R1256" s="9">
        <v>20220726</v>
      </c>
      <c r="S1256" s="9">
        <v>34.630000000000003</v>
      </c>
      <c r="T1256" s="9">
        <v>24.67</v>
      </c>
      <c r="U1256" s="9">
        <v>2884.1330499999999</v>
      </c>
      <c r="V1256" s="45">
        <f t="shared" si="99"/>
        <v>-0.99144630307537296</v>
      </c>
      <c r="W1256" s="12">
        <v>13.17</v>
      </c>
      <c r="X1256" s="12">
        <v>0.34</v>
      </c>
      <c r="Y1256" s="62"/>
    </row>
    <row r="1257" spans="1:25" x14ac:dyDescent="0.2">
      <c r="A1257" s="3" t="s">
        <v>3527</v>
      </c>
      <c r="B1257" s="3" t="s">
        <v>1314</v>
      </c>
      <c r="C1257" s="6" t="s">
        <v>354</v>
      </c>
      <c r="D1257" s="6" t="s">
        <v>172</v>
      </c>
      <c r="E1257" s="6" t="s">
        <v>163</v>
      </c>
      <c r="F1257" s="6">
        <v>4232.25</v>
      </c>
      <c r="G1257" s="2">
        <v>12</v>
      </c>
      <c r="H1257" s="61">
        <v>1.76</v>
      </c>
      <c r="I1257" s="61">
        <v>2.27</v>
      </c>
      <c r="J1257" s="47">
        <f t="shared" si="95"/>
        <v>-0.85333333333333339</v>
      </c>
      <c r="K1257" s="47">
        <f t="shared" si="96"/>
        <v>0.28977272727272729</v>
      </c>
      <c r="L1257" s="8">
        <v>2.2400000000000002</v>
      </c>
      <c r="M1257" s="8">
        <v>6.48</v>
      </c>
      <c r="N1257" s="8">
        <v>6.02</v>
      </c>
      <c r="O1257" s="17">
        <f t="shared" si="97"/>
        <v>-7.5937499999999991E-2</v>
      </c>
      <c r="P1257" s="17">
        <f t="shared" si="98"/>
        <v>0.20774901960784309</v>
      </c>
      <c r="Q1257" s="17">
        <v>6.1</v>
      </c>
      <c r="R1257" s="9">
        <v>20220803</v>
      </c>
      <c r="S1257" s="9">
        <v>14.61</v>
      </c>
      <c r="T1257" s="9">
        <v>2.96</v>
      </c>
      <c r="V1257" s="45" t="e">
        <f t="shared" si="99"/>
        <v>#DIV/0!</v>
      </c>
      <c r="W1257" s="12">
        <v>3.45</v>
      </c>
      <c r="X1257" s="12">
        <v>2.34</v>
      </c>
      <c r="Y1257" s="62">
        <v>1.2</v>
      </c>
    </row>
    <row r="1258" spans="1:25" x14ac:dyDescent="0.2">
      <c r="A1258" s="3" t="s">
        <v>3528</v>
      </c>
      <c r="B1258" s="3" t="s">
        <v>1315</v>
      </c>
      <c r="C1258" s="6" t="s">
        <v>354</v>
      </c>
      <c r="D1258" s="6" t="s">
        <v>784</v>
      </c>
      <c r="E1258" s="6" t="s">
        <v>140</v>
      </c>
      <c r="F1258" s="6">
        <v>3104.4</v>
      </c>
      <c r="G1258" s="2">
        <v>12</v>
      </c>
      <c r="H1258" s="61">
        <v>19.149999999999999</v>
      </c>
      <c r="I1258" s="61">
        <v>27.14</v>
      </c>
      <c r="J1258" s="47">
        <f t="shared" si="95"/>
        <v>0.59583333333333321</v>
      </c>
      <c r="K1258" s="47">
        <f t="shared" si="96"/>
        <v>0.41723237597911239</v>
      </c>
      <c r="L1258" s="8">
        <v>25.13</v>
      </c>
      <c r="M1258" s="8">
        <v>3.91</v>
      </c>
      <c r="N1258" s="8">
        <v>3.12</v>
      </c>
      <c r="O1258" s="17">
        <f t="shared" si="97"/>
        <v>6.5622377622377631E-2</v>
      </c>
      <c r="P1258" s="17">
        <f t="shared" si="98"/>
        <v>7.4778473091364192E-2</v>
      </c>
      <c r="Q1258" s="17">
        <v>3.37</v>
      </c>
      <c r="R1258" s="9">
        <v>20220727</v>
      </c>
      <c r="S1258" s="9">
        <v>28.21</v>
      </c>
      <c r="T1258" s="9">
        <v>12.38</v>
      </c>
      <c r="U1258" s="9">
        <v>6699.8989199999996</v>
      </c>
      <c r="V1258" s="45">
        <f t="shared" si="99"/>
        <v>-0.99815221092917616</v>
      </c>
      <c r="W1258" s="12">
        <v>23.72</v>
      </c>
      <c r="X1258" s="12">
        <v>0</v>
      </c>
      <c r="Y1258" s="62"/>
    </row>
    <row r="1259" spans="1:25" x14ac:dyDescent="0.2">
      <c r="A1259" s="3" t="s">
        <v>3529</v>
      </c>
      <c r="B1259" s="3" t="s">
        <v>1316</v>
      </c>
      <c r="C1259" s="6" t="s">
        <v>354</v>
      </c>
      <c r="D1259" s="6" t="s">
        <v>621</v>
      </c>
      <c r="E1259" s="6" t="s">
        <v>146</v>
      </c>
      <c r="F1259" s="6">
        <v>10286.81</v>
      </c>
      <c r="G1259" s="2">
        <v>7</v>
      </c>
      <c r="H1259" s="61">
        <v>2.98</v>
      </c>
      <c r="I1259" s="61">
        <v>8.39</v>
      </c>
      <c r="J1259" s="47">
        <f t="shared" si="95"/>
        <v>-0.57428571428571418</v>
      </c>
      <c r="K1259" s="47">
        <f t="shared" si="96"/>
        <v>1.8154362416107384</v>
      </c>
      <c r="L1259" s="8">
        <v>9.01</v>
      </c>
      <c r="M1259" s="8">
        <v>48.22</v>
      </c>
      <c r="N1259" s="8">
        <v>30.24</v>
      </c>
      <c r="O1259" s="17">
        <f t="shared" si="97"/>
        <v>-0.83965174129353248</v>
      </c>
      <c r="P1259" s="17">
        <f t="shared" si="98"/>
        <v>0.16657153419593343</v>
      </c>
      <c r="Q1259" s="17">
        <v>28.14</v>
      </c>
      <c r="R1259" s="9">
        <v>20220609</v>
      </c>
      <c r="S1259" s="9">
        <v>11.91</v>
      </c>
      <c r="T1259" s="9">
        <v>-0.52</v>
      </c>
      <c r="U1259" s="9">
        <v>2485.2338800000002</v>
      </c>
      <c r="V1259" s="45">
        <f t="shared" si="99"/>
        <v>-1.0002092358406123</v>
      </c>
      <c r="W1259" s="12">
        <v>-4.04</v>
      </c>
      <c r="X1259" s="12">
        <v>3.01</v>
      </c>
      <c r="Y1259" s="62"/>
    </row>
    <row r="1260" spans="1:25" x14ac:dyDescent="0.2">
      <c r="A1260" s="3" t="s">
        <v>3530</v>
      </c>
      <c r="B1260" s="3" t="s">
        <v>3531</v>
      </c>
      <c r="C1260" s="6" t="s">
        <v>356</v>
      </c>
      <c r="D1260" s="6" t="s">
        <v>278</v>
      </c>
      <c r="E1260" s="6" t="s">
        <v>119</v>
      </c>
      <c r="F1260" s="6">
        <v>19619.02</v>
      </c>
      <c r="G1260" s="2">
        <v>12</v>
      </c>
      <c r="H1260" s="61"/>
      <c r="I1260" s="61"/>
      <c r="J1260" s="47">
        <f t="shared" si="95"/>
        <v>-1</v>
      </c>
      <c r="K1260" s="47" t="e">
        <f t="shared" si="96"/>
        <v>#DIV/0!</v>
      </c>
      <c r="O1260" s="17">
        <f t="shared" si="97"/>
        <v>0</v>
      </c>
      <c r="P1260" s="17" t="e">
        <f t="shared" si="98"/>
        <v>#DIV/0!</v>
      </c>
      <c r="Q1260" s="17"/>
      <c r="V1260" s="45" t="e">
        <f t="shared" si="99"/>
        <v>#DIV/0!</v>
      </c>
      <c r="X1260" s="12">
        <v>1.39</v>
      </c>
      <c r="Y1260" s="62"/>
    </row>
    <row r="1261" spans="1:25" x14ac:dyDescent="0.2">
      <c r="A1261" s="3" t="s">
        <v>3532</v>
      </c>
      <c r="B1261" s="3" t="s">
        <v>1317</v>
      </c>
      <c r="C1261" s="6" t="s">
        <v>355</v>
      </c>
      <c r="D1261" s="6" t="s">
        <v>227</v>
      </c>
      <c r="E1261" s="6" t="s">
        <v>119</v>
      </c>
      <c r="F1261" s="6">
        <v>3680.44</v>
      </c>
      <c r="G1261" s="2">
        <v>9</v>
      </c>
      <c r="H1261" s="61">
        <v>2.12</v>
      </c>
      <c r="I1261" s="61">
        <v>2.75</v>
      </c>
      <c r="J1261" s="47">
        <f t="shared" si="95"/>
        <v>-0.76444444444444448</v>
      </c>
      <c r="K1261" s="47">
        <f t="shared" si="96"/>
        <v>0.29716981132075465</v>
      </c>
      <c r="L1261" s="8">
        <v>3.04</v>
      </c>
      <c r="M1261" s="8">
        <v>21.06</v>
      </c>
      <c r="N1261" s="8">
        <v>19.13</v>
      </c>
      <c r="O1261" s="17">
        <f t="shared" si="97"/>
        <v>-0.2754941860465116</v>
      </c>
      <c r="P1261" s="17">
        <f t="shared" si="98"/>
        <v>0.64373968253968272</v>
      </c>
      <c r="Q1261" s="17">
        <v>17.329999999999998</v>
      </c>
      <c r="R1261" s="9">
        <v>20220804</v>
      </c>
      <c r="S1261" s="9">
        <v>27.62</v>
      </c>
      <c r="T1261" s="9">
        <v>-2.4700000000000002</v>
      </c>
      <c r="U1261" s="9">
        <v>671.35198000000003</v>
      </c>
      <c r="V1261" s="45">
        <f t="shared" si="99"/>
        <v>-1.0036791430927188</v>
      </c>
      <c r="W1261" s="12">
        <v>3.03</v>
      </c>
      <c r="X1261" s="12">
        <v>0</v>
      </c>
      <c r="Y1261" s="62">
        <v>1.2</v>
      </c>
    </row>
    <row r="1262" spans="1:25" x14ac:dyDescent="0.2">
      <c r="A1262" s="3" t="s">
        <v>3533</v>
      </c>
      <c r="B1262" s="3" t="s">
        <v>2223</v>
      </c>
      <c r="C1262" s="6" t="s">
        <v>356</v>
      </c>
      <c r="D1262" s="6" t="s">
        <v>16</v>
      </c>
      <c r="E1262" s="6" t="s">
        <v>10</v>
      </c>
      <c r="F1262" s="6">
        <v>10613.47</v>
      </c>
      <c r="G1262" s="2">
        <v>12</v>
      </c>
      <c r="H1262" s="61">
        <v>3.43</v>
      </c>
      <c r="I1262" s="61">
        <v>4.49</v>
      </c>
      <c r="J1262" s="47">
        <f t="shared" si="95"/>
        <v>-0.71416666666666673</v>
      </c>
      <c r="K1262" s="47">
        <f t="shared" si="96"/>
        <v>0.30903790087463556</v>
      </c>
      <c r="L1262" s="8">
        <v>5.28</v>
      </c>
      <c r="M1262" s="8">
        <v>27.82</v>
      </c>
      <c r="N1262" s="8">
        <v>22.12</v>
      </c>
      <c r="O1262" s="17">
        <f t="shared" si="97"/>
        <v>-0.38954492415402564</v>
      </c>
      <c r="P1262" s="17">
        <f t="shared" si="98"/>
        <v>0.71576981132075479</v>
      </c>
      <c r="Q1262" s="17">
        <v>18.809999999999999</v>
      </c>
      <c r="R1262" s="9">
        <v>20220527</v>
      </c>
      <c r="S1262" s="9">
        <v>12.42</v>
      </c>
      <c r="T1262" s="9">
        <v>-4.29</v>
      </c>
      <c r="U1262" s="9">
        <v>5736.5</v>
      </c>
      <c r="V1262" s="45">
        <f t="shared" si="99"/>
        <v>-1.0007478427612655</v>
      </c>
      <c r="X1262" s="12">
        <v>0.77</v>
      </c>
      <c r="Y1262" s="62"/>
    </row>
    <row r="1263" spans="1:25" x14ac:dyDescent="0.2">
      <c r="A1263" s="3" t="s">
        <v>3534</v>
      </c>
      <c r="B1263" s="3" t="s">
        <v>1318</v>
      </c>
      <c r="C1263" s="6" t="s">
        <v>354</v>
      </c>
      <c r="D1263" s="6" t="s">
        <v>525</v>
      </c>
      <c r="E1263" s="6" t="s">
        <v>140</v>
      </c>
      <c r="F1263" s="6">
        <v>6306.52</v>
      </c>
      <c r="G1263" s="2">
        <v>12</v>
      </c>
      <c r="H1263" s="61">
        <v>5.55</v>
      </c>
      <c r="I1263" s="61">
        <v>4.67</v>
      </c>
      <c r="J1263" s="47">
        <f t="shared" si="95"/>
        <v>-0.53749999999999998</v>
      </c>
      <c r="K1263" s="47">
        <f t="shared" si="96"/>
        <v>-0.15855855855855855</v>
      </c>
      <c r="L1263" s="8">
        <v>6.41</v>
      </c>
      <c r="M1263" s="8">
        <v>20.12</v>
      </c>
      <c r="N1263" s="8">
        <v>17.8</v>
      </c>
      <c r="O1263" s="17">
        <f t="shared" si="97"/>
        <v>-0.37432558139534888</v>
      </c>
      <c r="P1263" s="17">
        <f t="shared" si="98"/>
        <v>-1.1226136363636365</v>
      </c>
      <c r="Q1263" s="17">
        <v>12.97</v>
      </c>
      <c r="R1263" s="9">
        <v>20220804</v>
      </c>
      <c r="S1263" s="9">
        <v>12.91</v>
      </c>
      <c r="T1263" s="9">
        <v>3.5</v>
      </c>
      <c r="U1263" s="9">
        <v>9355.89257</v>
      </c>
      <c r="V1263" s="45">
        <f t="shared" si="99"/>
        <v>-0.9996259042123653</v>
      </c>
      <c r="W1263" s="12">
        <v>76.92</v>
      </c>
      <c r="X1263" s="12">
        <v>0</v>
      </c>
      <c r="Y1263" s="62"/>
    </row>
    <row r="1264" spans="1:25" x14ac:dyDescent="0.2">
      <c r="A1264" s="3" t="s">
        <v>3535</v>
      </c>
      <c r="B1264" s="3" t="s">
        <v>1319</v>
      </c>
      <c r="C1264" s="6" t="s">
        <v>355</v>
      </c>
      <c r="D1264" s="6" t="s">
        <v>1320</v>
      </c>
      <c r="E1264" s="6" t="s">
        <v>119</v>
      </c>
      <c r="F1264" s="6">
        <v>78836.679999999993</v>
      </c>
      <c r="G1264" s="2">
        <v>8</v>
      </c>
      <c r="H1264" s="61">
        <v>5.97</v>
      </c>
      <c r="I1264" s="61">
        <v>9.5399999999999991</v>
      </c>
      <c r="J1264" s="47">
        <f t="shared" si="95"/>
        <v>-0.25375000000000003</v>
      </c>
      <c r="K1264" s="47">
        <f t="shared" si="96"/>
        <v>0.59798994974874364</v>
      </c>
      <c r="L1264" s="8">
        <v>11.67</v>
      </c>
      <c r="M1264" s="8">
        <v>8.2100000000000009</v>
      </c>
      <c r="N1264" s="8">
        <v>7.4</v>
      </c>
      <c r="O1264" s="17">
        <f t="shared" si="97"/>
        <v>-0.32354679802955666</v>
      </c>
      <c r="P1264" s="17">
        <f t="shared" si="98"/>
        <v>0.12374789915966389</v>
      </c>
      <c r="Q1264" s="17">
        <v>6.05</v>
      </c>
      <c r="R1264" s="9">
        <v>20220629</v>
      </c>
      <c r="S1264" s="9">
        <v>21.15</v>
      </c>
      <c r="T1264" s="9">
        <v>2.87</v>
      </c>
      <c r="U1264" s="9">
        <v>33550.265619999998</v>
      </c>
      <c r="V1264" s="45">
        <f t="shared" si="99"/>
        <v>-0.99991445671302548</v>
      </c>
      <c r="W1264" s="12">
        <v>9.74</v>
      </c>
      <c r="X1264" s="12">
        <v>0.56999999999999995</v>
      </c>
      <c r="Y1264" s="62">
        <v>0.23</v>
      </c>
    </row>
    <row r="1265" spans="1:25" x14ac:dyDescent="0.2">
      <c r="B1265" s="3" t="s">
        <v>2224</v>
      </c>
      <c r="C1265" s="6" t="s">
        <v>354</v>
      </c>
      <c r="D1265" s="6" t="s">
        <v>519</v>
      </c>
      <c r="E1265" s="6" t="s">
        <v>163</v>
      </c>
      <c r="F1265" s="6">
        <v>28631.35</v>
      </c>
      <c r="G1265" s="2">
        <v>12</v>
      </c>
      <c r="H1265" s="61"/>
      <c r="I1265" s="61"/>
      <c r="J1265" s="47">
        <f t="shared" si="95"/>
        <v>-1</v>
      </c>
      <c r="K1265" s="47" t="e">
        <f t="shared" si="96"/>
        <v>#DIV/0!</v>
      </c>
      <c r="O1265" s="17">
        <f t="shared" si="97"/>
        <v>0</v>
      </c>
      <c r="P1265" s="17" t="e">
        <f t="shared" si="98"/>
        <v>#DIV/0!</v>
      </c>
      <c r="Q1265" s="17"/>
      <c r="V1265" s="45" t="e">
        <f t="shared" si="99"/>
        <v>#DIV/0!</v>
      </c>
      <c r="X1265" s="12">
        <v>1.88</v>
      </c>
      <c r="Y1265" s="62"/>
    </row>
    <row r="1266" spans="1:25" x14ac:dyDescent="0.2">
      <c r="A1266" s="3" t="s">
        <v>3536</v>
      </c>
      <c r="B1266" s="3" t="s">
        <v>1321</v>
      </c>
      <c r="C1266" s="6" t="s">
        <v>354</v>
      </c>
      <c r="D1266" s="6" t="s">
        <v>69</v>
      </c>
      <c r="E1266" s="6" t="s">
        <v>163</v>
      </c>
      <c r="F1266" s="6">
        <v>75315.72</v>
      </c>
      <c r="G1266" s="2">
        <v>3</v>
      </c>
      <c r="H1266" s="61">
        <v>0.73</v>
      </c>
      <c r="I1266" s="61">
        <v>0.7</v>
      </c>
      <c r="J1266" s="47">
        <f t="shared" si="95"/>
        <v>-0.75666666666666671</v>
      </c>
      <c r="K1266" s="47">
        <f t="shared" si="96"/>
        <v>-4.1095890410958943E-2</v>
      </c>
      <c r="L1266" s="8">
        <v>0.78</v>
      </c>
      <c r="M1266" s="8">
        <v>7.13</v>
      </c>
      <c r="N1266" s="8">
        <v>8.4</v>
      </c>
      <c r="O1266" s="17">
        <f t="shared" si="97"/>
        <v>-9.4229074889867828E-2</v>
      </c>
      <c r="P1266" s="17">
        <f t="shared" si="98"/>
        <v>-2.0439999999999983</v>
      </c>
      <c r="Q1266" s="17">
        <v>7.59</v>
      </c>
      <c r="R1266" s="9">
        <v>20220801</v>
      </c>
      <c r="S1266" s="9">
        <v>6.39</v>
      </c>
      <c r="T1266" s="9">
        <v>0.01</v>
      </c>
      <c r="V1266" s="45" t="e">
        <f t="shared" si="99"/>
        <v>#DIV/0!</v>
      </c>
      <c r="W1266" s="12">
        <v>30</v>
      </c>
      <c r="X1266" s="12">
        <v>3.3</v>
      </c>
      <c r="Y1266" s="62">
        <v>0.6</v>
      </c>
    </row>
    <row r="1267" spans="1:25" x14ac:dyDescent="0.2">
      <c r="A1267" s="3" t="s">
        <v>3537</v>
      </c>
      <c r="B1267" s="3" t="s">
        <v>2002</v>
      </c>
      <c r="C1267" s="6" t="s">
        <v>354</v>
      </c>
      <c r="D1267" s="6" t="s">
        <v>200</v>
      </c>
      <c r="E1267" s="6" t="s">
        <v>218</v>
      </c>
      <c r="F1267" s="6">
        <v>6356.27</v>
      </c>
      <c r="G1267" s="2">
        <v>12</v>
      </c>
      <c r="H1267" s="61">
        <v>1.36</v>
      </c>
      <c r="I1267" s="61">
        <v>5.2</v>
      </c>
      <c r="J1267" s="47">
        <f t="shared" si="95"/>
        <v>-0.88666666666666671</v>
      </c>
      <c r="K1267" s="47">
        <f t="shared" si="96"/>
        <v>2.8235294117647056</v>
      </c>
      <c r="L1267" s="8">
        <v>8.1999999999999993</v>
      </c>
      <c r="M1267" s="8">
        <v>20.87</v>
      </c>
      <c r="N1267" s="8">
        <v>7.87</v>
      </c>
      <c r="O1267" s="17">
        <f t="shared" si="97"/>
        <v>-0.23537593984962407</v>
      </c>
      <c r="P1267" s="17">
        <f t="shared" si="98"/>
        <v>2.7872916666666671E-2</v>
      </c>
      <c r="Q1267" s="17">
        <v>4.99</v>
      </c>
      <c r="R1267" s="9">
        <v>20220804</v>
      </c>
      <c r="S1267" s="9">
        <v>7.27</v>
      </c>
      <c r="T1267" s="9">
        <v>-2.62</v>
      </c>
      <c r="U1267" s="9">
        <v>3201.6079100000002</v>
      </c>
      <c r="V1267" s="45">
        <f t="shared" si="99"/>
        <v>-1.0008183388077649</v>
      </c>
      <c r="W1267" s="12">
        <v>23.73</v>
      </c>
      <c r="X1267" s="12">
        <v>1.71</v>
      </c>
      <c r="Y1267" s="62"/>
    </row>
    <row r="1268" spans="1:25" x14ac:dyDescent="0.2">
      <c r="A1268" s="3" t="s">
        <v>2225</v>
      </c>
      <c r="B1268" s="3" t="s">
        <v>2226</v>
      </c>
      <c r="C1268" s="6" t="s">
        <v>356</v>
      </c>
      <c r="D1268" s="6" t="s">
        <v>172</v>
      </c>
      <c r="E1268" s="6" t="s">
        <v>163</v>
      </c>
      <c r="F1268" s="6">
        <v>33847.9</v>
      </c>
      <c r="G1268" s="2">
        <v>12</v>
      </c>
      <c r="H1268" s="61"/>
      <c r="I1268" s="61"/>
      <c r="J1268" s="47">
        <f t="shared" si="95"/>
        <v>-1</v>
      </c>
      <c r="K1268" s="47" t="e">
        <f t="shared" si="96"/>
        <v>#DIV/0!</v>
      </c>
      <c r="M1268" s="8">
        <v>9.82</v>
      </c>
      <c r="O1268" s="17">
        <f t="shared" si="97"/>
        <v>-9.820000000000001E-2</v>
      </c>
      <c r="P1268" s="17" t="e">
        <f t="shared" si="98"/>
        <v>#DIV/0!</v>
      </c>
      <c r="Q1268" s="17"/>
      <c r="R1268" s="9">
        <v>20220809</v>
      </c>
      <c r="S1268" s="9">
        <v>9.4600000000000009</v>
      </c>
      <c r="T1268" s="9">
        <v>5.28</v>
      </c>
      <c r="V1268" s="45" t="e">
        <f t="shared" si="99"/>
        <v>#DIV/0!</v>
      </c>
      <c r="X1268" s="12">
        <v>3.32</v>
      </c>
      <c r="Y1268" s="62"/>
    </row>
    <row r="1269" spans="1:25" x14ac:dyDescent="0.2">
      <c r="A1269" s="3" t="s">
        <v>3538</v>
      </c>
      <c r="B1269" s="3" t="s">
        <v>1322</v>
      </c>
      <c r="C1269" s="6" t="s">
        <v>354</v>
      </c>
      <c r="D1269" s="6" t="s">
        <v>207</v>
      </c>
      <c r="E1269" s="6" t="s">
        <v>218</v>
      </c>
      <c r="F1269" s="6">
        <v>6031.52</v>
      </c>
      <c r="G1269" s="2">
        <v>12</v>
      </c>
      <c r="H1269" s="61">
        <v>14.35</v>
      </c>
      <c r="I1269" s="61">
        <v>16.82</v>
      </c>
      <c r="J1269" s="47">
        <f t="shared" si="95"/>
        <v>0.1958333333333333</v>
      </c>
      <c r="K1269" s="47">
        <f t="shared" si="96"/>
        <v>0.17212543554006973</v>
      </c>
      <c r="L1269" s="8">
        <v>12.82</v>
      </c>
      <c r="M1269" s="8">
        <v>13.06</v>
      </c>
      <c r="N1269" s="8">
        <v>14.82</v>
      </c>
      <c r="O1269" s="17">
        <f t="shared" si="97"/>
        <v>0.66689361702127681</v>
      </c>
      <c r="P1269" s="17">
        <f t="shared" si="98"/>
        <v>0.86099999999999977</v>
      </c>
      <c r="Q1269" s="17">
        <v>19.440000000000001</v>
      </c>
      <c r="R1269" s="9">
        <v>20220727</v>
      </c>
      <c r="S1269" s="9">
        <v>62.11</v>
      </c>
      <c r="T1269" s="9">
        <v>3.46</v>
      </c>
      <c r="U1269" s="9">
        <v>22515.679680000001</v>
      </c>
      <c r="V1269" s="45">
        <f t="shared" si="99"/>
        <v>-0.99984632931143214</v>
      </c>
      <c r="W1269" s="12">
        <v>129.43</v>
      </c>
      <c r="X1269" s="12">
        <v>0.5</v>
      </c>
      <c r="Y1269" s="62"/>
    </row>
    <row r="1270" spans="1:25" x14ac:dyDescent="0.2">
      <c r="A1270" s="3" t="s">
        <v>3539</v>
      </c>
      <c r="B1270" s="3" t="s">
        <v>3540</v>
      </c>
      <c r="C1270" s="6" t="s">
        <v>356</v>
      </c>
      <c r="D1270" s="6" t="s">
        <v>128</v>
      </c>
      <c r="E1270" s="6" t="s">
        <v>60</v>
      </c>
      <c r="F1270" s="6">
        <v>5718.45</v>
      </c>
      <c r="G1270" s="2">
        <v>12</v>
      </c>
      <c r="H1270" s="61">
        <v>0.37</v>
      </c>
      <c r="I1270" s="61">
        <v>0.44</v>
      </c>
      <c r="J1270" s="47">
        <f t="shared" si="95"/>
        <v>-0.96916666666666673</v>
      </c>
      <c r="K1270" s="47">
        <f t="shared" si="96"/>
        <v>0.1891891891891892</v>
      </c>
      <c r="L1270" s="8">
        <v>0.48</v>
      </c>
      <c r="N1270" s="8">
        <v>12.79</v>
      </c>
      <c r="O1270" s="17">
        <f t="shared" si="97"/>
        <v>0</v>
      </c>
      <c r="P1270" s="17">
        <f t="shared" si="98"/>
        <v>0.67604285714285706</v>
      </c>
      <c r="Q1270" s="17">
        <v>11.85</v>
      </c>
      <c r="S1270" s="9">
        <v>23.72</v>
      </c>
      <c r="T1270" s="9">
        <v>4.6900000000000004</v>
      </c>
      <c r="U1270" s="9">
        <v>8194.3652299999994</v>
      </c>
      <c r="V1270" s="45">
        <f t="shared" si="99"/>
        <v>-0.99942765548418211</v>
      </c>
      <c r="X1270" s="12">
        <v>4.1100000000000003</v>
      </c>
      <c r="Y1270" s="62"/>
    </row>
    <row r="1271" spans="1:25" x14ac:dyDescent="0.2">
      <c r="A1271" s="3" t="s">
        <v>3541</v>
      </c>
      <c r="B1271" s="3" t="s">
        <v>3542</v>
      </c>
      <c r="C1271" s="6" t="s">
        <v>355</v>
      </c>
      <c r="D1271" s="6" t="s">
        <v>227</v>
      </c>
      <c r="E1271" s="6" t="s">
        <v>119</v>
      </c>
      <c r="F1271" s="6">
        <v>3020.72</v>
      </c>
      <c r="G1271" s="2">
        <v>12</v>
      </c>
      <c r="H1271" s="61">
        <v>2.68</v>
      </c>
      <c r="I1271" s="61">
        <v>4.07</v>
      </c>
      <c r="J1271" s="47">
        <f t="shared" si="95"/>
        <v>-0.77666666666666673</v>
      </c>
      <c r="K1271" s="47">
        <f t="shared" si="96"/>
        <v>0.51865671641791045</v>
      </c>
      <c r="L1271" s="8">
        <v>4.38</v>
      </c>
      <c r="M1271" s="8">
        <v>12.44</v>
      </c>
      <c r="N1271" s="8">
        <v>9.59</v>
      </c>
      <c r="O1271" s="17">
        <f t="shared" si="97"/>
        <v>-0.16017167381974248</v>
      </c>
      <c r="P1271" s="17">
        <f t="shared" si="98"/>
        <v>0.18490071942446043</v>
      </c>
      <c r="Q1271" s="17">
        <v>8.91</v>
      </c>
      <c r="R1271" s="9">
        <v>20220727</v>
      </c>
      <c r="S1271" s="9">
        <v>40.53</v>
      </c>
      <c r="T1271" s="9">
        <v>16.87</v>
      </c>
      <c r="U1271" s="9">
        <v>1112.6999499999999</v>
      </c>
      <c r="V1271" s="45">
        <f t="shared" si="99"/>
        <v>-0.98483868000533303</v>
      </c>
      <c r="W1271" s="12">
        <v>9.89</v>
      </c>
      <c r="X1271" s="12">
        <v>0</v>
      </c>
      <c r="Y1271" s="62">
        <v>0.48</v>
      </c>
    </row>
    <row r="1272" spans="1:25" x14ac:dyDescent="0.2">
      <c r="A1272" s="3" t="s">
        <v>3543</v>
      </c>
      <c r="B1272" s="3" t="s">
        <v>3544</v>
      </c>
      <c r="C1272" s="6" t="s">
        <v>356</v>
      </c>
      <c r="D1272" s="6" t="s">
        <v>46</v>
      </c>
      <c r="E1272" s="6" t="s">
        <v>35</v>
      </c>
      <c r="F1272" s="6">
        <v>5458.79</v>
      </c>
      <c r="G1272" s="2">
        <v>3</v>
      </c>
      <c r="H1272" s="61">
        <v>0.32</v>
      </c>
      <c r="I1272" s="61">
        <v>0.44</v>
      </c>
      <c r="J1272" s="47">
        <f t="shared" si="95"/>
        <v>-0.89333333333333342</v>
      </c>
      <c r="K1272" s="47">
        <f t="shared" si="96"/>
        <v>0.375</v>
      </c>
      <c r="L1272" s="8">
        <v>0.55000000000000004</v>
      </c>
      <c r="M1272" s="8">
        <v>6.65</v>
      </c>
      <c r="N1272" s="8">
        <v>9.7100000000000009</v>
      </c>
      <c r="O1272" s="17">
        <f t="shared" si="97"/>
        <v>-7.4440298507462685E-2</v>
      </c>
      <c r="P1272" s="17">
        <f t="shared" si="98"/>
        <v>0.25893333333333335</v>
      </c>
      <c r="Q1272" s="17">
        <v>7.93</v>
      </c>
      <c r="R1272" s="9">
        <v>20220729</v>
      </c>
      <c r="S1272" s="9">
        <v>7.68</v>
      </c>
      <c r="T1272" s="9">
        <v>-2.44</v>
      </c>
      <c r="U1272" s="9">
        <v>31419.529289999999</v>
      </c>
      <c r="V1272" s="45">
        <f t="shared" si="99"/>
        <v>-1.0000776587063887</v>
      </c>
      <c r="W1272" s="12">
        <v>147.37</v>
      </c>
      <c r="X1272" s="12">
        <v>0</v>
      </c>
      <c r="Y1272" s="62"/>
    </row>
    <row r="1273" spans="1:25" x14ac:dyDescent="0.2">
      <c r="A1273" s="3" t="s">
        <v>3545</v>
      </c>
      <c r="B1273" s="3" t="s">
        <v>3546</v>
      </c>
      <c r="C1273" s="6" t="s">
        <v>356</v>
      </c>
      <c r="D1273" s="6" t="s">
        <v>69</v>
      </c>
      <c r="E1273" s="6" t="s">
        <v>163</v>
      </c>
      <c r="F1273" s="6">
        <v>74627.23</v>
      </c>
      <c r="G1273" s="2">
        <v>9</v>
      </c>
      <c r="H1273" s="61">
        <v>0.71</v>
      </c>
      <c r="I1273" s="61">
        <v>0.79</v>
      </c>
      <c r="J1273" s="47">
        <f t="shared" si="95"/>
        <v>-0.92111111111111099</v>
      </c>
      <c r="K1273" s="47">
        <f t="shared" si="96"/>
        <v>0.11267605633802827</v>
      </c>
      <c r="L1273" s="8">
        <v>0.87</v>
      </c>
      <c r="N1273" s="8">
        <v>14.51</v>
      </c>
      <c r="O1273" s="17">
        <f t="shared" si="97"/>
        <v>0</v>
      </c>
      <c r="P1273" s="17">
        <f t="shared" si="98"/>
        <v>1.2877624999999988</v>
      </c>
      <c r="Q1273" s="17">
        <v>13.17</v>
      </c>
      <c r="U1273" s="9">
        <v>13183.089840000001</v>
      </c>
      <c r="V1273" s="45">
        <f t="shared" si="99"/>
        <v>-1</v>
      </c>
      <c r="X1273" s="12">
        <v>4.41</v>
      </c>
      <c r="Y1273" s="62">
        <v>1.2</v>
      </c>
    </row>
    <row r="1274" spans="1:25" x14ac:dyDescent="0.2">
      <c r="A1274" s="3" t="s">
        <v>3547</v>
      </c>
      <c r="B1274" s="3" t="s">
        <v>1323</v>
      </c>
      <c r="C1274" s="6" t="s">
        <v>355</v>
      </c>
      <c r="D1274" s="6" t="s">
        <v>191</v>
      </c>
      <c r="E1274" s="6" t="s">
        <v>208</v>
      </c>
      <c r="F1274" s="6">
        <v>3404.81</v>
      </c>
      <c r="G1274" s="2">
        <v>12</v>
      </c>
      <c r="H1274" s="61">
        <v>0.19</v>
      </c>
      <c r="I1274" s="61">
        <v>-0.78</v>
      </c>
      <c r="J1274" s="47">
        <f t="shared" si="95"/>
        <v>-0.98416666666666675</v>
      </c>
      <c r="K1274" s="47">
        <f t="shared" si="96"/>
        <v>-5.1052631578947363</v>
      </c>
      <c r="L1274" s="8">
        <v>0.03</v>
      </c>
      <c r="O1274" s="17">
        <f t="shared" si="97"/>
        <v>0</v>
      </c>
      <c r="P1274" s="17">
        <f t="shared" si="98"/>
        <v>0</v>
      </c>
      <c r="Q1274" s="17">
        <v>2136.33</v>
      </c>
      <c r="R1274" s="9">
        <v>20220809</v>
      </c>
      <c r="S1274" s="9">
        <v>-0.27</v>
      </c>
      <c r="U1274" s="9">
        <v>364.47500000000002</v>
      </c>
      <c r="V1274" s="45">
        <f t="shared" si="99"/>
        <v>-1</v>
      </c>
      <c r="W1274" s="12">
        <v>25</v>
      </c>
      <c r="X1274" s="12">
        <v>0</v>
      </c>
      <c r="Y1274" s="62"/>
    </row>
    <row r="1275" spans="1:25" x14ac:dyDescent="0.2">
      <c r="A1275" s="3" t="s">
        <v>3548</v>
      </c>
      <c r="B1275" s="3" t="s">
        <v>1324</v>
      </c>
      <c r="C1275" s="6" t="s">
        <v>355</v>
      </c>
      <c r="D1275" s="6" t="s">
        <v>144</v>
      </c>
      <c r="E1275" s="6" t="s">
        <v>119</v>
      </c>
      <c r="F1275" s="6">
        <v>4549.1099999999997</v>
      </c>
      <c r="G1275" s="2">
        <v>12</v>
      </c>
      <c r="H1275" s="61">
        <v>1.65</v>
      </c>
      <c r="I1275" s="61">
        <v>2.04</v>
      </c>
      <c r="J1275" s="47">
        <f t="shared" si="95"/>
        <v>-0.86249999999999993</v>
      </c>
      <c r="K1275" s="47">
        <f t="shared" si="96"/>
        <v>0.23636363636363644</v>
      </c>
      <c r="L1275" s="8">
        <v>2.35</v>
      </c>
      <c r="M1275" s="8">
        <v>19.48</v>
      </c>
      <c r="N1275" s="8">
        <v>17.04</v>
      </c>
      <c r="O1275" s="17">
        <f t="shared" si="97"/>
        <v>-0.22585507246376813</v>
      </c>
      <c r="P1275" s="17">
        <f t="shared" si="98"/>
        <v>0.72092307692307667</v>
      </c>
      <c r="Q1275" s="17">
        <v>14.79</v>
      </c>
      <c r="R1275" s="9">
        <v>20220804</v>
      </c>
      <c r="S1275" s="9">
        <v>15.52</v>
      </c>
      <c r="T1275" s="9">
        <v>2.15</v>
      </c>
      <c r="U1275" s="9">
        <v>1671.0849599999999</v>
      </c>
      <c r="V1275" s="45">
        <f t="shared" si="99"/>
        <v>-0.99871341071731023</v>
      </c>
      <c r="W1275" s="12">
        <v>-6.82</v>
      </c>
      <c r="X1275" s="12">
        <v>3.23</v>
      </c>
      <c r="Y1275" s="62"/>
    </row>
    <row r="1276" spans="1:25" x14ac:dyDescent="0.2">
      <c r="A1276" s="3" t="s">
        <v>3549</v>
      </c>
      <c r="B1276" s="3" t="s">
        <v>1325</v>
      </c>
      <c r="C1276" s="6" t="s">
        <v>355</v>
      </c>
      <c r="D1276" s="6" t="s">
        <v>187</v>
      </c>
      <c r="E1276" s="6" t="s">
        <v>208</v>
      </c>
      <c r="F1276" s="6">
        <v>8586.61</v>
      </c>
      <c r="G1276" s="2">
        <v>12</v>
      </c>
      <c r="H1276" s="61">
        <v>1.63</v>
      </c>
      <c r="I1276" s="61">
        <v>1.91</v>
      </c>
      <c r="J1276" s="47">
        <f t="shared" si="95"/>
        <v>-0.86416666666666675</v>
      </c>
      <c r="K1276" s="47">
        <f t="shared" si="96"/>
        <v>0.17177914110429451</v>
      </c>
      <c r="L1276" s="8">
        <v>3.3</v>
      </c>
      <c r="M1276" s="8">
        <v>124.78</v>
      </c>
      <c r="N1276" s="8">
        <v>47.14</v>
      </c>
      <c r="O1276" s="17">
        <f t="shared" si="97"/>
        <v>-1.4439344262295082</v>
      </c>
      <c r="P1276" s="17">
        <f t="shared" si="98"/>
        <v>2.7442214285714281</v>
      </c>
      <c r="Q1276" s="17">
        <v>27.24</v>
      </c>
      <c r="R1276" s="9">
        <v>20220802</v>
      </c>
      <c r="S1276" s="9">
        <v>5.3</v>
      </c>
      <c r="T1276" s="9">
        <v>44.2</v>
      </c>
      <c r="U1276" s="9">
        <v>1373.76098</v>
      </c>
      <c r="V1276" s="45">
        <f t="shared" si="99"/>
        <v>-0.96782555288475292</v>
      </c>
      <c r="W1276" s="12">
        <v>-57.58</v>
      </c>
      <c r="X1276" s="12">
        <v>0</v>
      </c>
      <c r="Y1276" s="62"/>
    </row>
    <row r="1277" spans="1:25" x14ac:dyDescent="0.2">
      <c r="A1277" s="3" t="s">
        <v>3550</v>
      </c>
      <c r="B1277" s="3" t="s">
        <v>1326</v>
      </c>
      <c r="C1277" s="6" t="s">
        <v>354</v>
      </c>
      <c r="D1277" s="6" t="s">
        <v>621</v>
      </c>
      <c r="E1277" s="6" t="s">
        <v>146</v>
      </c>
      <c r="F1277" s="6">
        <v>6449.97</v>
      </c>
      <c r="G1277" s="2">
        <v>12</v>
      </c>
      <c r="H1277" s="61">
        <v>-7.95</v>
      </c>
      <c r="I1277" s="61">
        <v>-2.15</v>
      </c>
      <c r="J1277" s="47">
        <f t="shared" si="95"/>
        <v>-1.6624999999999999</v>
      </c>
      <c r="K1277" s="47">
        <f t="shared" si="96"/>
        <v>0.72955974842767302</v>
      </c>
      <c r="L1277" s="8">
        <v>1.63</v>
      </c>
      <c r="O1277" s="17">
        <f t="shared" si="97"/>
        <v>0</v>
      </c>
      <c r="P1277" s="17">
        <f t="shared" si="98"/>
        <v>0</v>
      </c>
      <c r="Q1277" s="17">
        <v>9.43</v>
      </c>
      <c r="R1277" s="9">
        <v>20220805</v>
      </c>
      <c r="S1277" s="9">
        <v>-116.65</v>
      </c>
      <c r="T1277" s="9">
        <v>-54.65</v>
      </c>
      <c r="U1277" s="9">
        <v>5336.5419899999997</v>
      </c>
      <c r="V1277" s="45">
        <f t="shared" si="99"/>
        <v>-1.0102407139496714</v>
      </c>
      <c r="W1277" s="12">
        <v>-5.2</v>
      </c>
      <c r="X1277" s="12">
        <v>0</v>
      </c>
      <c r="Y1277" s="62"/>
    </row>
    <row r="1278" spans="1:25" x14ac:dyDescent="0.2">
      <c r="A1278" s="3" t="s">
        <v>3551</v>
      </c>
      <c r="B1278" s="3" t="s">
        <v>2227</v>
      </c>
      <c r="C1278" s="6" t="s">
        <v>356</v>
      </c>
      <c r="D1278" s="6" t="s">
        <v>196</v>
      </c>
      <c r="E1278" s="6" t="s">
        <v>60</v>
      </c>
      <c r="F1278" s="6">
        <v>15611.79</v>
      </c>
      <c r="G1278" s="2">
        <v>6</v>
      </c>
      <c r="H1278" s="61"/>
      <c r="I1278" s="61">
        <v>0.89</v>
      </c>
      <c r="J1278" s="47">
        <f t="shared" si="95"/>
        <v>-1</v>
      </c>
      <c r="K1278" s="47" t="e">
        <f t="shared" si="96"/>
        <v>#DIV/0!</v>
      </c>
      <c r="L1278" s="8">
        <v>0.89</v>
      </c>
      <c r="N1278" s="8">
        <v>19.64</v>
      </c>
      <c r="O1278" s="17">
        <f t="shared" si="97"/>
        <v>0</v>
      </c>
      <c r="P1278" s="17" t="e">
        <f t="shared" si="98"/>
        <v>#DIV/0!</v>
      </c>
      <c r="Q1278" s="17">
        <v>19.64</v>
      </c>
      <c r="U1278" s="9">
        <v>4141</v>
      </c>
      <c r="V1278" s="45">
        <f t="shared" si="99"/>
        <v>-1</v>
      </c>
      <c r="X1278" s="12">
        <v>0.76</v>
      </c>
      <c r="Y1278" s="62"/>
    </row>
    <row r="1279" spans="1:25" x14ac:dyDescent="0.2">
      <c r="A1279" s="3" t="s">
        <v>3552</v>
      </c>
      <c r="B1279" s="3" t="s">
        <v>1327</v>
      </c>
      <c r="C1279" s="6" t="s">
        <v>355</v>
      </c>
      <c r="D1279" s="6" t="s">
        <v>177</v>
      </c>
      <c r="E1279" s="6" t="s">
        <v>119</v>
      </c>
      <c r="F1279" s="6">
        <v>3634.24</v>
      </c>
      <c r="G1279" s="2">
        <v>1</v>
      </c>
      <c r="H1279" s="61">
        <v>-0.2</v>
      </c>
      <c r="I1279" s="61">
        <v>-0.32</v>
      </c>
      <c r="J1279" s="47">
        <f t="shared" si="95"/>
        <v>-1.2</v>
      </c>
      <c r="K1279" s="47">
        <f t="shared" si="96"/>
        <v>-0.6</v>
      </c>
      <c r="L1279" s="8">
        <v>-0.01</v>
      </c>
      <c r="O1279" s="17">
        <f t="shared" si="97"/>
        <v>0</v>
      </c>
      <c r="P1279" s="17">
        <f t="shared" si="98"/>
        <v>0</v>
      </c>
      <c r="Q1279" s="17"/>
      <c r="R1279" s="9">
        <v>20220601</v>
      </c>
      <c r="S1279" s="9">
        <v>-11.43</v>
      </c>
      <c r="U1279" s="9">
        <v>398.17401000000001</v>
      </c>
      <c r="V1279" s="45">
        <f t="shared" si="99"/>
        <v>-1</v>
      </c>
      <c r="W1279" s="12">
        <v>0</v>
      </c>
      <c r="X1279" s="12">
        <v>0</v>
      </c>
      <c r="Y1279" s="62"/>
    </row>
    <row r="1280" spans="1:25" x14ac:dyDescent="0.2">
      <c r="A1280" s="3" t="s">
        <v>1328</v>
      </c>
      <c r="B1280" s="3" t="s">
        <v>1328</v>
      </c>
      <c r="C1280" s="6" t="s">
        <v>354</v>
      </c>
      <c r="D1280" s="6" t="s">
        <v>130</v>
      </c>
      <c r="E1280" s="6" t="s">
        <v>119</v>
      </c>
      <c r="F1280" s="6">
        <v>4651.2299999999996</v>
      </c>
      <c r="G1280" s="2">
        <v>12</v>
      </c>
      <c r="H1280" s="61">
        <v>2.52</v>
      </c>
      <c r="I1280" s="61">
        <v>2.79</v>
      </c>
      <c r="J1280" s="47">
        <f t="shared" si="95"/>
        <v>-0.79</v>
      </c>
      <c r="K1280" s="47">
        <f t="shared" si="96"/>
        <v>0.10714285714285715</v>
      </c>
      <c r="L1280" s="8">
        <v>3.71</v>
      </c>
      <c r="M1280" s="8">
        <v>14.19</v>
      </c>
      <c r="N1280" s="8">
        <v>12.2</v>
      </c>
      <c r="O1280" s="17">
        <f t="shared" si="97"/>
        <v>-0.17962025316455696</v>
      </c>
      <c r="P1280" s="17">
        <f t="shared" si="98"/>
        <v>1.1386666666666665</v>
      </c>
      <c r="Q1280" s="17">
        <v>9.18</v>
      </c>
      <c r="R1280" s="9">
        <v>20220802</v>
      </c>
      <c r="S1280" s="9">
        <v>26.82</v>
      </c>
      <c r="T1280" s="9">
        <v>1.23</v>
      </c>
      <c r="U1280" s="9">
        <v>7994.5068300000003</v>
      </c>
      <c r="V1280" s="45">
        <f t="shared" si="99"/>
        <v>-0.99984614435559882</v>
      </c>
      <c r="W1280" s="12">
        <v>-48.44</v>
      </c>
      <c r="X1280" s="12">
        <v>0</v>
      </c>
      <c r="Y1280" s="62"/>
    </row>
    <row r="1281" spans="1:25" x14ac:dyDescent="0.2">
      <c r="A1281" s="3" t="s">
        <v>3553</v>
      </c>
      <c r="B1281" s="3" t="s">
        <v>1329</v>
      </c>
      <c r="C1281" s="6" t="s">
        <v>355</v>
      </c>
      <c r="D1281" s="6" t="s">
        <v>610</v>
      </c>
      <c r="E1281" s="6" t="s">
        <v>163</v>
      </c>
      <c r="F1281" s="6">
        <v>24854.82</v>
      </c>
      <c r="G1281" s="2">
        <v>12</v>
      </c>
      <c r="H1281" s="61">
        <v>7.41</v>
      </c>
      <c r="I1281" s="61">
        <v>7.94</v>
      </c>
      <c r="J1281" s="47">
        <f t="shared" si="95"/>
        <v>-0.38250000000000001</v>
      </c>
      <c r="K1281" s="47">
        <f t="shared" si="96"/>
        <v>7.1524966261808404E-2</v>
      </c>
      <c r="L1281" s="8">
        <v>8.5399999999999991</v>
      </c>
      <c r="M1281" s="8">
        <v>19.91</v>
      </c>
      <c r="N1281" s="8">
        <v>19.010000000000002</v>
      </c>
      <c r="O1281" s="17">
        <f t="shared" si="97"/>
        <v>-0.52052287581699341</v>
      </c>
      <c r="P1281" s="17">
        <f t="shared" si="98"/>
        <v>2.6578132075471688</v>
      </c>
      <c r="Q1281" s="17">
        <v>17.670000000000002</v>
      </c>
      <c r="R1281" s="9">
        <v>20220720</v>
      </c>
      <c r="S1281" s="9">
        <v>20.05</v>
      </c>
      <c r="T1281" s="9">
        <v>10.82</v>
      </c>
      <c r="U1281" s="9">
        <v>3610.5061000000001</v>
      </c>
      <c r="V1281" s="45">
        <f t="shared" si="99"/>
        <v>-0.99700319021757089</v>
      </c>
      <c r="W1281" s="12">
        <v>2.0699999999999998</v>
      </c>
      <c r="X1281" s="12">
        <v>1.43</v>
      </c>
      <c r="Y1281" s="62">
        <v>1.94</v>
      </c>
    </row>
    <row r="1282" spans="1:25" x14ac:dyDescent="0.2">
      <c r="A1282" s="3" t="s">
        <v>3554</v>
      </c>
      <c r="B1282" s="3" t="s">
        <v>1330</v>
      </c>
      <c r="C1282" s="6" t="s">
        <v>356</v>
      </c>
      <c r="D1282" s="6" t="s">
        <v>524</v>
      </c>
      <c r="E1282" s="6" t="s">
        <v>119</v>
      </c>
      <c r="F1282" s="6">
        <v>10761.64</v>
      </c>
      <c r="G1282" s="2">
        <v>3</v>
      </c>
      <c r="H1282" s="61">
        <v>2.9</v>
      </c>
      <c r="I1282" s="61">
        <v>3.42</v>
      </c>
      <c r="J1282" s="47">
        <f t="shared" si="95"/>
        <v>-3.3333333333333361E-2</v>
      </c>
      <c r="K1282" s="47">
        <f t="shared" si="96"/>
        <v>0.17931034482758623</v>
      </c>
      <c r="L1282" s="8">
        <v>3.33</v>
      </c>
      <c r="M1282" s="8">
        <v>12.26</v>
      </c>
      <c r="N1282" s="8">
        <v>10.51</v>
      </c>
      <c r="O1282" s="17">
        <f t="shared" si="97"/>
        <v>-3.6779999999999968</v>
      </c>
      <c r="P1282" s="17">
        <f t="shared" si="98"/>
        <v>0.58613461538461531</v>
      </c>
      <c r="Q1282" s="17">
        <v>10.79</v>
      </c>
      <c r="R1282" s="9">
        <v>20220725</v>
      </c>
      <c r="S1282" s="9">
        <v>12.55</v>
      </c>
      <c r="T1282" s="9">
        <v>-0.2</v>
      </c>
      <c r="U1282" s="9">
        <v>8290.9101499999997</v>
      </c>
      <c r="V1282" s="45">
        <f t="shared" si="99"/>
        <v>-1.0000241228039362</v>
      </c>
      <c r="X1282" s="12">
        <v>1.99</v>
      </c>
      <c r="Y1282" s="62"/>
    </row>
    <row r="1283" spans="1:25" x14ac:dyDescent="0.2">
      <c r="A1283" s="3" t="s">
        <v>3555</v>
      </c>
      <c r="B1283" s="3" t="s">
        <v>321</v>
      </c>
      <c r="C1283" s="6" t="s">
        <v>355</v>
      </c>
      <c r="D1283" s="6" t="s">
        <v>183</v>
      </c>
      <c r="E1283" s="6" t="s">
        <v>201</v>
      </c>
      <c r="F1283" s="6">
        <v>12485.03</v>
      </c>
      <c r="G1283" s="2">
        <v>10</v>
      </c>
      <c r="H1283" s="61">
        <v>7.96</v>
      </c>
      <c r="I1283" s="61">
        <v>9.2100000000000009</v>
      </c>
      <c r="J1283" s="47">
        <f t="shared" ref="J1283:J1346" si="100">(H1283-G1283)/ABS(G1283)</f>
        <v>-0.20400000000000001</v>
      </c>
      <c r="K1283" s="47">
        <f t="shared" ref="K1283:K1346" si="101">(I1283-H1283)/ABS(H1283)</f>
        <v>0.15703517587939711</v>
      </c>
      <c r="L1283" s="8">
        <v>9.8699999999999992</v>
      </c>
      <c r="M1283" s="8">
        <v>24.49</v>
      </c>
      <c r="N1283" s="8">
        <v>23.41</v>
      </c>
      <c r="O1283" s="17">
        <f t="shared" ref="O1283:O1346" si="102">M1283/(J1283*100)</f>
        <v>-1.2004901960784311</v>
      </c>
      <c r="P1283" s="17">
        <f t="shared" ref="P1283:P1346" si="103">N1283/(K1283*100)</f>
        <v>1.4907487999999989</v>
      </c>
      <c r="Q1283" s="17">
        <v>21.83</v>
      </c>
      <c r="R1283" s="9">
        <v>20220829</v>
      </c>
      <c r="S1283" s="9">
        <v>23.93</v>
      </c>
      <c r="T1283" s="9">
        <v>2.37</v>
      </c>
      <c r="U1283" s="9">
        <v>2569.2919900000002</v>
      </c>
      <c r="V1283" s="45">
        <f t="shared" ref="V1283:V1346" si="104">(T1283-U1283)/U1283</f>
        <v>-0.99907756689032456</v>
      </c>
      <c r="W1283" s="12">
        <v>7.05</v>
      </c>
      <c r="X1283" s="12">
        <v>0.95</v>
      </c>
      <c r="Y1283" s="62">
        <v>1.8</v>
      </c>
    </row>
    <row r="1284" spans="1:25" x14ac:dyDescent="0.2">
      <c r="A1284" s="3" t="s">
        <v>3556</v>
      </c>
      <c r="B1284" s="3" t="s">
        <v>1331</v>
      </c>
      <c r="C1284" s="6" t="s">
        <v>354</v>
      </c>
      <c r="D1284" s="6" t="s">
        <v>246</v>
      </c>
      <c r="E1284" s="6" t="s">
        <v>250</v>
      </c>
      <c r="F1284" s="6">
        <v>147416.06</v>
      </c>
      <c r="G1284" s="2">
        <v>12</v>
      </c>
      <c r="H1284" s="61">
        <v>2.5299999999999998</v>
      </c>
      <c r="I1284" s="61">
        <v>2.81</v>
      </c>
      <c r="J1284" s="47">
        <f t="shared" si="100"/>
        <v>-0.78916666666666668</v>
      </c>
      <c r="K1284" s="47">
        <f t="shared" si="101"/>
        <v>0.11067193675889339</v>
      </c>
      <c r="L1284" s="8">
        <v>3.04</v>
      </c>
      <c r="M1284" s="8">
        <v>28.75</v>
      </c>
      <c r="N1284" s="8">
        <v>26.67</v>
      </c>
      <c r="O1284" s="17">
        <f t="shared" si="102"/>
        <v>-0.36430834213305174</v>
      </c>
      <c r="P1284" s="17">
        <f t="shared" si="103"/>
        <v>2.4098249999999979</v>
      </c>
      <c r="Q1284" s="17">
        <v>24.67</v>
      </c>
      <c r="R1284" s="9">
        <v>20220722</v>
      </c>
      <c r="S1284" s="9">
        <v>11.49</v>
      </c>
      <c r="T1284" s="9">
        <v>0.33</v>
      </c>
      <c r="U1284" s="9">
        <v>21096.089840000001</v>
      </c>
      <c r="V1284" s="45">
        <f t="shared" si="104"/>
        <v>-0.99998435729073465</v>
      </c>
      <c r="W1284" s="12">
        <v>7.25</v>
      </c>
      <c r="X1284" s="12">
        <v>2.27</v>
      </c>
      <c r="Y1284" s="62">
        <v>3.02</v>
      </c>
    </row>
    <row r="1285" spans="1:25" x14ac:dyDescent="0.2">
      <c r="A1285" s="3" t="s">
        <v>3557</v>
      </c>
      <c r="B1285" s="3" t="s">
        <v>1332</v>
      </c>
      <c r="C1285" s="6" t="s">
        <v>354</v>
      </c>
      <c r="D1285" s="6" t="s">
        <v>197</v>
      </c>
      <c r="E1285" s="6" t="s">
        <v>60</v>
      </c>
      <c r="F1285" s="6">
        <v>54531.77</v>
      </c>
      <c r="G1285" s="2">
        <v>12</v>
      </c>
      <c r="H1285" s="61">
        <v>2.94</v>
      </c>
      <c r="I1285" s="61">
        <v>3.46</v>
      </c>
      <c r="J1285" s="47">
        <f t="shared" si="100"/>
        <v>-0.755</v>
      </c>
      <c r="K1285" s="47">
        <f t="shared" si="101"/>
        <v>0.17687074829931973</v>
      </c>
      <c r="L1285" s="8">
        <v>3.29</v>
      </c>
      <c r="M1285" s="8">
        <v>23.69</v>
      </c>
      <c r="N1285" s="8">
        <v>19.84</v>
      </c>
      <c r="O1285" s="17">
        <f t="shared" si="102"/>
        <v>-0.31377483443708609</v>
      </c>
      <c r="P1285" s="17">
        <f t="shared" si="103"/>
        <v>1.1217230769230768</v>
      </c>
      <c r="Q1285" s="17">
        <v>20.88</v>
      </c>
      <c r="R1285" s="9">
        <v>20220728</v>
      </c>
      <c r="S1285" s="9">
        <v>10.24</v>
      </c>
      <c r="T1285" s="9">
        <v>15.94</v>
      </c>
      <c r="U1285" s="9">
        <v>13002.333000000001</v>
      </c>
      <c r="V1285" s="45">
        <f t="shared" si="104"/>
        <v>-0.99877406616181874</v>
      </c>
      <c r="W1285" s="12">
        <v>-2.82</v>
      </c>
      <c r="X1285" s="12">
        <v>3.2</v>
      </c>
      <c r="Y1285" s="62"/>
    </row>
    <row r="1286" spans="1:25" x14ac:dyDescent="0.2">
      <c r="A1286" s="3" t="s">
        <v>3558</v>
      </c>
      <c r="B1286" s="3" t="s">
        <v>1333</v>
      </c>
      <c r="C1286" s="6" t="s">
        <v>354</v>
      </c>
      <c r="D1286" s="6" t="s">
        <v>306</v>
      </c>
      <c r="E1286" s="6" t="s">
        <v>218</v>
      </c>
      <c r="F1286" s="6">
        <v>5850.72</v>
      </c>
      <c r="G1286" s="2">
        <v>12</v>
      </c>
      <c r="H1286" s="61">
        <v>2.59</v>
      </c>
      <c r="I1286" s="61">
        <v>2.62</v>
      </c>
      <c r="J1286" s="47">
        <f t="shared" si="100"/>
        <v>-0.78416666666666668</v>
      </c>
      <c r="K1286" s="47">
        <f t="shared" si="101"/>
        <v>1.158301158301168E-2</v>
      </c>
      <c r="L1286" s="8">
        <v>2.54</v>
      </c>
      <c r="M1286" s="8">
        <v>80.150000000000006</v>
      </c>
      <c r="N1286" s="8">
        <v>26.67</v>
      </c>
      <c r="O1286" s="17">
        <f t="shared" si="102"/>
        <v>-1.0221041445270989</v>
      </c>
      <c r="P1286" s="17">
        <f t="shared" si="103"/>
        <v>23.02509999999981</v>
      </c>
      <c r="Q1286" s="17">
        <v>27.48</v>
      </c>
      <c r="R1286" s="9">
        <v>20220722</v>
      </c>
      <c r="S1286" s="9">
        <v>1.58</v>
      </c>
      <c r="T1286" s="9">
        <v>7.15</v>
      </c>
      <c r="U1286" s="9">
        <v>1599.7199700000001</v>
      </c>
      <c r="V1286" s="45">
        <f t="shared" si="104"/>
        <v>-0.99553046774805209</v>
      </c>
      <c r="W1286" s="12">
        <v>309.52</v>
      </c>
      <c r="X1286" s="12">
        <v>4.2</v>
      </c>
      <c r="Y1286" s="62">
        <v>2.67</v>
      </c>
    </row>
    <row r="1287" spans="1:25" x14ac:dyDescent="0.2">
      <c r="A1287" s="3" t="s">
        <v>3559</v>
      </c>
      <c r="B1287" s="3" t="s">
        <v>1334</v>
      </c>
      <c r="C1287" s="6" t="s">
        <v>354</v>
      </c>
      <c r="D1287" s="6" t="s">
        <v>177</v>
      </c>
      <c r="E1287" s="6" t="s">
        <v>119</v>
      </c>
      <c r="F1287" s="6">
        <v>18285.580000000002</v>
      </c>
      <c r="G1287" s="2">
        <v>12</v>
      </c>
      <c r="H1287" s="61">
        <v>-0.05</v>
      </c>
      <c r="I1287" s="61">
        <v>0.03</v>
      </c>
      <c r="J1287" s="47">
        <f t="shared" si="100"/>
        <v>-1.0041666666666667</v>
      </c>
      <c r="K1287" s="47">
        <f t="shared" si="101"/>
        <v>1.5999999999999999</v>
      </c>
      <c r="L1287" s="8">
        <v>0.09</v>
      </c>
      <c r="N1287" s="8">
        <v>2101.88</v>
      </c>
      <c r="O1287" s="17">
        <f t="shared" si="102"/>
        <v>0</v>
      </c>
      <c r="P1287" s="17">
        <f t="shared" si="103"/>
        <v>13.136750000000001</v>
      </c>
      <c r="Q1287" s="17">
        <v>646.73</v>
      </c>
      <c r="R1287" s="9">
        <v>20220804</v>
      </c>
      <c r="S1287" s="9">
        <v>-17.739999999999998</v>
      </c>
      <c r="U1287" s="9">
        <v>953.63800000000003</v>
      </c>
      <c r="V1287" s="45">
        <f t="shared" si="104"/>
        <v>-1</v>
      </c>
      <c r="W1287" s="12">
        <v>-33.33</v>
      </c>
      <c r="X1287" s="12">
        <v>0</v>
      </c>
      <c r="Y1287" s="62">
        <v>84.07</v>
      </c>
    </row>
    <row r="1288" spans="1:25" x14ac:dyDescent="0.2">
      <c r="A1288" s="3" t="s">
        <v>3560</v>
      </c>
      <c r="B1288" s="3" t="s">
        <v>2228</v>
      </c>
      <c r="C1288" s="6" t="s">
        <v>354</v>
      </c>
      <c r="D1288" s="6" t="s">
        <v>128</v>
      </c>
      <c r="E1288" s="6" t="s">
        <v>60</v>
      </c>
      <c r="F1288" s="6">
        <v>3429.89</v>
      </c>
      <c r="G1288" s="2">
        <v>12</v>
      </c>
      <c r="H1288" s="61"/>
      <c r="I1288" s="61"/>
      <c r="J1288" s="47">
        <f t="shared" si="100"/>
        <v>-1</v>
      </c>
      <c r="K1288" s="47" t="e">
        <f t="shared" si="101"/>
        <v>#DIV/0!</v>
      </c>
      <c r="M1288" s="8">
        <v>19.079999999999998</v>
      </c>
      <c r="O1288" s="17">
        <f t="shared" si="102"/>
        <v>-0.19079999999999997</v>
      </c>
      <c r="P1288" s="17" t="e">
        <f t="shared" si="103"/>
        <v>#DIV/0!</v>
      </c>
      <c r="Q1288" s="17"/>
      <c r="R1288" s="9">
        <v>20220727</v>
      </c>
      <c r="S1288" s="9">
        <v>23.72</v>
      </c>
      <c r="T1288" s="9">
        <v>0.3</v>
      </c>
      <c r="V1288" s="45" t="e">
        <f t="shared" si="104"/>
        <v>#DIV/0!</v>
      </c>
      <c r="X1288" s="12">
        <v>2.5099999999999998</v>
      </c>
      <c r="Y1288" s="62"/>
    </row>
    <row r="1289" spans="1:25" x14ac:dyDescent="0.2">
      <c r="A1289" s="3" t="s">
        <v>3561</v>
      </c>
      <c r="B1289" s="3" t="s">
        <v>1335</v>
      </c>
      <c r="C1289" s="6" t="s">
        <v>354</v>
      </c>
      <c r="D1289" s="6" t="s">
        <v>177</v>
      </c>
      <c r="E1289" s="6" t="s">
        <v>119</v>
      </c>
      <c r="F1289" s="6">
        <v>3194.1</v>
      </c>
      <c r="G1289" s="2">
        <v>3</v>
      </c>
      <c r="H1289" s="61">
        <v>-0.74</v>
      </c>
      <c r="I1289" s="61">
        <v>-0.3</v>
      </c>
      <c r="J1289" s="47">
        <f t="shared" si="100"/>
        <v>-1.2466666666666668</v>
      </c>
      <c r="K1289" s="47">
        <f t="shared" si="101"/>
        <v>0.59459459459459463</v>
      </c>
      <c r="L1289" s="8">
        <v>0.45</v>
      </c>
      <c r="O1289" s="17">
        <f t="shared" si="102"/>
        <v>0</v>
      </c>
      <c r="P1289" s="17">
        <f t="shared" si="103"/>
        <v>0</v>
      </c>
      <c r="Q1289" s="17">
        <v>106.07</v>
      </c>
      <c r="R1289" s="9">
        <v>20220802</v>
      </c>
      <c r="S1289" s="9">
        <v>-74.08</v>
      </c>
      <c r="T1289" s="9">
        <v>23.18</v>
      </c>
      <c r="U1289" s="9">
        <v>924.20001000000002</v>
      </c>
      <c r="V1289" s="45">
        <f t="shared" si="104"/>
        <v>-0.97491884900542258</v>
      </c>
      <c r="W1289" s="12">
        <v>-14.29</v>
      </c>
      <c r="X1289" s="12">
        <v>0</v>
      </c>
      <c r="Y1289" s="62"/>
    </row>
    <row r="1290" spans="1:25" x14ac:dyDescent="0.2">
      <c r="A1290" s="3" t="s">
        <v>3562</v>
      </c>
      <c r="B1290" s="3" t="s">
        <v>1336</v>
      </c>
      <c r="C1290" s="6" t="s">
        <v>355</v>
      </c>
      <c r="D1290" s="6" t="s">
        <v>204</v>
      </c>
      <c r="E1290" s="6" t="s">
        <v>218</v>
      </c>
      <c r="F1290" s="6">
        <v>9596.39</v>
      </c>
      <c r="G1290" s="2">
        <v>12</v>
      </c>
      <c r="H1290" s="61">
        <v>0.68</v>
      </c>
      <c r="I1290" s="61">
        <v>2.0299999999999998</v>
      </c>
      <c r="J1290" s="47">
        <f t="shared" si="100"/>
        <v>-0.94333333333333336</v>
      </c>
      <c r="K1290" s="47">
        <f t="shared" si="101"/>
        <v>1.9852941176470582</v>
      </c>
      <c r="L1290" s="8">
        <v>3.16</v>
      </c>
      <c r="M1290" s="8">
        <v>20.170000000000002</v>
      </c>
      <c r="N1290" s="8">
        <v>22.85</v>
      </c>
      <c r="O1290" s="17">
        <f t="shared" si="102"/>
        <v>-0.21381625441696112</v>
      </c>
      <c r="P1290" s="17">
        <f t="shared" si="103"/>
        <v>0.11509629629629634</v>
      </c>
      <c r="Q1290" s="17">
        <v>14.68</v>
      </c>
      <c r="R1290" s="9">
        <v>20220803</v>
      </c>
      <c r="S1290" s="9">
        <v>23.65</v>
      </c>
      <c r="T1290" s="9">
        <v>132.75</v>
      </c>
      <c r="U1290" s="9">
        <v>2333.1398899999999</v>
      </c>
      <c r="V1290" s="45">
        <f t="shared" si="104"/>
        <v>-0.94310242580439529</v>
      </c>
      <c r="W1290" s="12">
        <v>73.849999999999994</v>
      </c>
      <c r="X1290" s="12">
        <v>0.86</v>
      </c>
      <c r="Y1290" s="62"/>
    </row>
    <row r="1291" spans="1:25" x14ac:dyDescent="0.2">
      <c r="A1291" s="3" t="s">
        <v>1337</v>
      </c>
      <c r="B1291" s="3" t="s">
        <v>1338</v>
      </c>
      <c r="C1291" s="6" t="s">
        <v>354</v>
      </c>
      <c r="D1291" s="6" t="s">
        <v>264</v>
      </c>
      <c r="E1291" s="6" t="s">
        <v>250</v>
      </c>
      <c r="F1291" s="6">
        <v>6636.02</v>
      </c>
      <c r="G1291" s="2">
        <v>9</v>
      </c>
      <c r="H1291" s="61">
        <v>4.12</v>
      </c>
      <c r="I1291" s="61">
        <v>5.9</v>
      </c>
      <c r="J1291" s="47">
        <f t="shared" si="100"/>
        <v>-0.54222222222222216</v>
      </c>
      <c r="K1291" s="47">
        <f t="shared" si="101"/>
        <v>0.43203883495145634</v>
      </c>
      <c r="L1291" s="8">
        <v>6.99</v>
      </c>
      <c r="M1291" s="8">
        <v>14.4</v>
      </c>
      <c r="N1291" s="8">
        <v>12.31</v>
      </c>
      <c r="O1291" s="17">
        <f t="shared" si="102"/>
        <v>-0.26557377049180331</v>
      </c>
      <c r="P1291" s="17">
        <f t="shared" si="103"/>
        <v>0.28492808988764046</v>
      </c>
      <c r="Q1291" s="17">
        <v>10.38</v>
      </c>
      <c r="R1291" s="9">
        <v>20220804</v>
      </c>
      <c r="S1291" s="9">
        <v>23.85</v>
      </c>
      <c r="T1291" s="9">
        <v>2.4</v>
      </c>
      <c r="U1291" s="9">
        <v>2315.7890600000001</v>
      </c>
      <c r="V1291" s="45">
        <f t="shared" si="104"/>
        <v>-0.99896363617850403</v>
      </c>
      <c r="W1291" s="12">
        <v>0</v>
      </c>
      <c r="X1291" s="12">
        <v>2.5099999999999998</v>
      </c>
      <c r="Y1291" s="62">
        <v>1.23</v>
      </c>
    </row>
    <row r="1292" spans="1:25" x14ac:dyDescent="0.2">
      <c r="A1292" s="3" t="s">
        <v>3563</v>
      </c>
      <c r="B1292" s="3" t="s">
        <v>1339</v>
      </c>
      <c r="C1292" s="6" t="s">
        <v>355</v>
      </c>
      <c r="D1292" s="6" t="s">
        <v>789</v>
      </c>
      <c r="E1292" s="6" t="s">
        <v>146</v>
      </c>
      <c r="F1292" s="6">
        <v>85034.02</v>
      </c>
      <c r="G1292" s="2">
        <v>12</v>
      </c>
      <c r="H1292" s="61">
        <v>10.7</v>
      </c>
      <c r="I1292" s="61">
        <v>11.07</v>
      </c>
      <c r="J1292" s="47">
        <f t="shared" si="100"/>
        <v>-0.10833333333333339</v>
      </c>
      <c r="K1292" s="47">
        <f t="shared" si="101"/>
        <v>3.4579439252336544E-2</v>
      </c>
      <c r="L1292" s="8">
        <v>12.1</v>
      </c>
      <c r="M1292" s="8">
        <v>17.37</v>
      </c>
      <c r="N1292" s="8">
        <v>17.28</v>
      </c>
      <c r="O1292" s="17">
        <f t="shared" si="102"/>
        <v>-1.6033846153846145</v>
      </c>
      <c r="P1292" s="17">
        <f t="shared" si="103"/>
        <v>4.997189189189176</v>
      </c>
      <c r="Q1292" s="17">
        <v>15.81</v>
      </c>
      <c r="R1292" s="9">
        <v>20220719</v>
      </c>
      <c r="S1292" s="9">
        <v>32.01</v>
      </c>
      <c r="T1292" s="9">
        <v>26.47</v>
      </c>
      <c r="U1292" s="9">
        <v>32622.158200000002</v>
      </c>
      <c r="V1292" s="45">
        <f t="shared" si="104"/>
        <v>-0.99918858832583302</v>
      </c>
      <c r="W1292" s="12">
        <v>20.89</v>
      </c>
      <c r="X1292" s="12">
        <v>0</v>
      </c>
      <c r="Y1292" s="62">
        <v>0.98</v>
      </c>
    </row>
    <row r="1293" spans="1:25" x14ac:dyDescent="0.2">
      <c r="A1293" s="3" t="s">
        <v>3564</v>
      </c>
      <c r="B1293" s="3" t="s">
        <v>1340</v>
      </c>
      <c r="C1293" s="6" t="s">
        <v>354</v>
      </c>
      <c r="D1293" s="6" t="s">
        <v>246</v>
      </c>
      <c r="E1293" s="6" t="s">
        <v>250</v>
      </c>
      <c r="F1293" s="6">
        <v>54702.81</v>
      </c>
      <c r="G1293" s="2">
        <v>3</v>
      </c>
      <c r="H1293" s="61">
        <v>4.1399999999999997</v>
      </c>
      <c r="I1293" s="61"/>
      <c r="J1293" s="47">
        <f t="shared" si="100"/>
        <v>0.37999999999999989</v>
      </c>
      <c r="K1293" s="47">
        <f t="shared" si="101"/>
        <v>-1</v>
      </c>
      <c r="O1293" s="17">
        <f t="shared" si="102"/>
        <v>0</v>
      </c>
      <c r="P1293" s="17">
        <f t="shared" si="103"/>
        <v>0</v>
      </c>
      <c r="Q1293" s="17"/>
      <c r="V1293" s="45" t="e">
        <f t="shared" si="104"/>
        <v>#DIV/0!</v>
      </c>
      <c r="X1293" s="12">
        <v>3.06</v>
      </c>
      <c r="Y1293" s="62"/>
    </row>
    <row r="1294" spans="1:25" x14ac:dyDescent="0.2">
      <c r="A1294" s="3" t="s">
        <v>3565</v>
      </c>
      <c r="B1294" s="3" t="s">
        <v>1341</v>
      </c>
      <c r="C1294" s="6" t="s">
        <v>356</v>
      </c>
      <c r="D1294" s="6" t="s">
        <v>197</v>
      </c>
      <c r="E1294" s="6" t="s">
        <v>60</v>
      </c>
      <c r="F1294" s="6">
        <v>64016.480000000003</v>
      </c>
      <c r="G1294" s="2">
        <v>12</v>
      </c>
      <c r="H1294" s="61">
        <v>3.51</v>
      </c>
      <c r="I1294" s="61">
        <v>3.55</v>
      </c>
      <c r="J1294" s="47">
        <f t="shared" si="100"/>
        <v>-0.70750000000000002</v>
      </c>
      <c r="K1294" s="47">
        <f t="shared" si="101"/>
        <v>1.1396011396011407E-2</v>
      </c>
      <c r="L1294" s="8">
        <v>3.05</v>
      </c>
      <c r="N1294" s="8">
        <v>6.73</v>
      </c>
      <c r="O1294" s="17">
        <f t="shared" si="102"/>
        <v>0</v>
      </c>
      <c r="P1294" s="17">
        <f t="shared" si="103"/>
        <v>5.9055749999999945</v>
      </c>
      <c r="Q1294" s="17">
        <v>7.84</v>
      </c>
      <c r="U1294" s="9">
        <v>44673.191400000003</v>
      </c>
      <c r="V1294" s="45">
        <f t="shared" si="104"/>
        <v>-1</v>
      </c>
      <c r="X1294" s="12">
        <v>4.7699999999999996</v>
      </c>
      <c r="Y1294" s="62"/>
    </row>
    <row r="1295" spans="1:25" x14ac:dyDescent="0.2">
      <c r="A1295" s="3" t="s">
        <v>1342</v>
      </c>
      <c r="B1295" s="3" t="s">
        <v>1343</v>
      </c>
      <c r="C1295" s="6" t="s">
        <v>356</v>
      </c>
      <c r="D1295" s="6" t="s">
        <v>1344</v>
      </c>
      <c r="E1295" s="6" t="s">
        <v>201</v>
      </c>
      <c r="F1295" s="6">
        <v>16010.5</v>
      </c>
      <c r="G1295" s="2">
        <v>12</v>
      </c>
      <c r="H1295" s="61">
        <v>0.6</v>
      </c>
      <c r="I1295" s="61">
        <v>1.3</v>
      </c>
      <c r="J1295" s="47">
        <f t="shared" si="100"/>
        <v>-0.95000000000000007</v>
      </c>
      <c r="K1295" s="47">
        <f t="shared" si="101"/>
        <v>1.1666666666666667</v>
      </c>
      <c r="L1295" s="8">
        <v>1.61</v>
      </c>
      <c r="M1295" s="8">
        <v>7.81</v>
      </c>
      <c r="N1295" s="8">
        <v>6.01</v>
      </c>
      <c r="O1295" s="17">
        <f t="shared" si="102"/>
        <v>-8.221052631578947E-2</v>
      </c>
      <c r="P1295" s="17">
        <f t="shared" si="103"/>
        <v>5.1514285714285707E-2</v>
      </c>
      <c r="Q1295" s="17">
        <v>4.8499999999999996</v>
      </c>
      <c r="R1295" s="9">
        <v>20220722</v>
      </c>
      <c r="S1295" s="9">
        <v>22.35</v>
      </c>
      <c r="T1295" s="9">
        <v>4.41</v>
      </c>
      <c r="V1295" s="45" t="e">
        <f t="shared" si="104"/>
        <v>#DIV/0!</v>
      </c>
      <c r="W1295" s="12">
        <v>33.33</v>
      </c>
      <c r="X1295" s="12">
        <v>4.93</v>
      </c>
      <c r="Y1295" s="62">
        <v>0.32</v>
      </c>
    </row>
    <row r="1296" spans="1:25" x14ac:dyDescent="0.2">
      <c r="A1296" s="3" t="s">
        <v>3566</v>
      </c>
      <c r="B1296" s="3" t="s">
        <v>1345</v>
      </c>
      <c r="C1296" s="6" t="s">
        <v>354</v>
      </c>
      <c r="D1296" s="6" t="s">
        <v>246</v>
      </c>
      <c r="E1296" s="6" t="s">
        <v>250</v>
      </c>
      <c r="F1296" s="6">
        <v>12798.87</v>
      </c>
      <c r="G1296" s="2">
        <v>12</v>
      </c>
      <c r="H1296" s="61">
        <v>1.35</v>
      </c>
      <c r="I1296" s="61">
        <v>1.45</v>
      </c>
      <c r="J1296" s="47">
        <f t="shared" si="100"/>
        <v>-0.88750000000000007</v>
      </c>
      <c r="K1296" s="47">
        <f t="shared" si="101"/>
        <v>7.4074074074073973E-2</v>
      </c>
      <c r="L1296" s="8">
        <v>1.54</v>
      </c>
      <c r="M1296" s="8">
        <v>22.85</v>
      </c>
      <c r="N1296" s="8">
        <v>21.8</v>
      </c>
      <c r="O1296" s="17">
        <f t="shared" si="102"/>
        <v>-0.25746478873239437</v>
      </c>
      <c r="P1296" s="17">
        <f t="shared" si="103"/>
        <v>2.9430000000000041</v>
      </c>
      <c r="Q1296" s="17">
        <v>20.52</v>
      </c>
      <c r="R1296" s="9">
        <v>20220803</v>
      </c>
      <c r="S1296" s="9">
        <v>11.34</v>
      </c>
      <c r="T1296" s="9">
        <v>-0.55000000000000004</v>
      </c>
      <c r="U1296" s="9">
        <v>5491.3701099999998</v>
      </c>
      <c r="V1296" s="45">
        <f t="shared" si="104"/>
        <v>-1.0001001571536763</v>
      </c>
      <c r="W1296" s="12">
        <v>-1.32</v>
      </c>
      <c r="X1296" s="12">
        <v>2.98</v>
      </c>
      <c r="Y1296" s="62">
        <v>3.03</v>
      </c>
    </row>
    <row r="1297" spans="1:25" x14ac:dyDescent="0.2">
      <c r="A1297" s="3" t="s">
        <v>3567</v>
      </c>
      <c r="B1297" s="3" t="s">
        <v>1346</v>
      </c>
      <c r="C1297" s="6" t="s">
        <v>355</v>
      </c>
      <c r="D1297" s="6" t="s">
        <v>177</v>
      </c>
      <c r="E1297" s="6" t="s">
        <v>119</v>
      </c>
      <c r="F1297" s="6">
        <v>12624.91</v>
      </c>
      <c r="G1297" s="2">
        <v>12</v>
      </c>
      <c r="H1297" s="61">
        <v>6.49</v>
      </c>
      <c r="I1297" s="61">
        <v>7.36</v>
      </c>
      <c r="J1297" s="47">
        <f t="shared" si="100"/>
        <v>-0.45916666666666667</v>
      </c>
      <c r="K1297" s="47">
        <f t="shared" si="101"/>
        <v>0.13405238828967644</v>
      </c>
      <c r="L1297" s="8">
        <v>8.0399999999999991</v>
      </c>
      <c r="M1297" s="8">
        <v>29.33</v>
      </c>
      <c r="N1297" s="8">
        <v>27.03</v>
      </c>
      <c r="O1297" s="17">
        <f t="shared" si="102"/>
        <v>-0.6387658802177858</v>
      </c>
      <c r="P1297" s="17">
        <f t="shared" si="103"/>
        <v>2.0163758620689656</v>
      </c>
      <c r="Q1297" s="17">
        <v>24.73</v>
      </c>
      <c r="R1297" s="9">
        <v>20220804</v>
      </c>
      <c r="S1297" s="9">
        <v>11.43</v>
      </c>
      <c r="T1297" s="9">
        <v>9.48</v>
      </c>
      <c r="U1297" s="9">
        <v>2171.2758699999999</v>
      </c>
      <c r="V1297" s="45">
        <f t="shared" si="104"/>
        <v>-0.995633903489196</v>
      </c>
      <c r="W1297" s="12">
        <v>5.88</v>
      </c>
      <c r="X1297" s="12">
        <v>0</v>
      </c>
      <c r="Y1297" s="62">
        <v>1.94</v>
      </c>
    </row>
    <row r="1298" spans="1:25" x14ac:dyDescent="0.2">
      <c r="A1298" s="3" t="s">
        <v>2229</v>
      </c>
      <c r="B1298" s="3" t="s">
        <v>2230</v>
      </c>
      <c r="C1298" s="6" t="s">
        <v>356</v>
      </c>
      <c r="D1298" s="6" t="s">
        <v>197</v>
      </c>
      <c r="E1298" s="6" t="s">
        <v>60</v>
      </c>
      <c r="F1298" s="6">
        <v>4640.37</v>
      </c>
      <c r="G1298" s="2">
        <v>12</v>
      </c>
      <c r="H1298" s="61"/>
      <c r="I1298" s="61"/>
      <c r="J1298" s="47">
        <f t="shared" si="100"/>
        <v>-1</v>
      </c>
      <c r="K1298" s="47" t="e">
        <f t="shared" si="101"/>
        <v>#DIV/0!</v>
      </c>
      <c r="O1298" s="17">
        <f t="shared" si="102"/>
        <v>0</v>
      </c>
      <c r="P1298" s="17" t="e">
        <f t="shared" si="103"/>
        <v>#DIV/0!</v>
      </c>
      <c r="Q1298" s="17"/>
      <c r="V1298" s="45" t="e">
        <f t="shared" si="104"/>
        <v>#DIV/0!</v>
      </c>
      <c r="X1298" s="12">
        <v>107.41</v>
      </c>
      <c r="Y1298" s="62"/>
    </row>
    <row r="1299" spans="1:25" x14ac:dyDescent="0.2">
      <c r="A1299" s="3" t="s">
        <v>3568</v>
      </c>
      <c r="B1299" s="3" t="s">
        <v>1886</v>
      </c>
      <c r="C1299" s="6" t="s">
        <v>356</v>
      </c>
      <c r="D1299" s="6" t="s">
        <v>527</v>
      </c>
      <c r="E1299" s="6" t="s">
        <v>119</v>
      </c>
      <c r="F1299" s="6">
        <v>4456.8</v>
      </c>
      <c r="G1299" s="2">
        <v>3</v>
      </c>
      <c r="H1299" s="61">
        <v>0.92</v>
      </c>
      <c r="I1299" s="61">
        <v>0.95</v>
      </c>
      <c r="J1299" s="47">
        <f t="shared" si="100"/>
        <v>-0.69333333333333336</v>
      </c>
      <c r="K1299" s="47">
        <f t="shared" si="101"/>
        <v>3.2608695652173822E-2</v>
      </c>
      <c r="L1299" s="8">
        <v>0.99</v>
      </c>
      <c r="M1299" s="8">
        <v>11.44</v>
      </c>
      <c r="N1299" s="8">
        <v>12.4</v>
      </c>
      <c r="O1299" s="17">
        <f t="shared" si="102"/>
        <v>-0.16499999999999998</v>
      </c>
      <c r="P1299" s="17">
        <f t="shared" si="103"/>
        <v>3.8026666666666773</v>
      </c>
      <c r="Q1299" s="17">
        <v>11.9</v>
      </c>
      <c r="R1299" s="9">
        <v>20220804</v>
      </c>
      <c r="S1299" s="9">
        <v>7.42</v>
      </c>
      <c r="T1299" s="9">
        <v>-9.11</v>
      </c>
      <c r="U1299" s="9">
        <v>5413.6499000000003</v>
      </c>
      <c r="V1299" s="45">
        <f t="shared" si="104"/>
        <v>-1.0016827833658026</v>
      </c>
      <c r="W1299" s="12">
        <v>900</v>
      </c>
      <c r="X1299" s="12">
        <v>2.0299999999999998</v>
      </c>
      <c r="Y1299" s="62">
        <v>0.32</v>
      </c>
    </row>
    <row r="1300" spans="1:25" x14ac:dyDescent="0.2">
      <c r="A1300" s="3" t="s">
        <v>1887</v>
      </c>
      <c r="B1300" s="3" t="s">
        <v>1887</v>
      </c>
      <c r="C1300" s="6" t="s">
        <v>354</v>
      </c>
      <c r="D1300" s="6" t="s">
        <v>46</v>
      </c>
      <c r="E1300" s="6" t="s">
        <v>35</v>
      </c>
      <c r="F1300" s="6">
        <v>26754.17</v>
      </c>
      <c r="G1300" s="2">
        <v>12</v>
      </c>
      <c r="H1300" s="61">
        <v>-0.97</v>
      </c>
      <c r="I1300" s="61">
        <v>-0.63</v>
      </c>
      <c r="J1300" s="47">
        <f t="shared" si="100"/>
        <v>-1.0808333333333333</v>
      </c>
      <c r="K1300" s="47">
        <f t="shared" si="101"/>
        <v>0.35051546391752575</v>
      </c>
      <c r="L1300" s="8">
        <v>-0.12</v>
      </c>
      <c r="O1300" s="17">
        <f t="shared" si="102"/>
        <v>0</v>
      </c>
      <c r="P1300" s="17">
        <f t="shared" si="103"/>
        <v>0</v>
      </c>
      <c r="Q1300" s="17"/>
      <c r="R1300" s="9">
        <v>20220609</v>
      </c>
      <c r="S1300" s="9">
        <v>-37.299999999999997</v>
      </c>
      <c r="T1300" s="9">
        <v>109.3</v>
      </c>
      <c r="U1300" s="9">
        <v>9838.0849600000001</v>
      </c>
      <c r="V1300" s="45">
        <f t="shared" si="104"/>
        <v>-0.98889011424028206</v>
      </c>
      <c r="X1300" s="12">
        <v>0</v>
      </c>
      <c r="Y1300" s="62"/>
    </row>
    <row r="1301" spans="1:25" x14ac:dyDescent="0.2">
      <c r="A1301" s="3" t="s">
        <v>3569</v>
      </c>
      <c r="B1301" s="3" t="s">
        <v>1347</v>
      </c>
      <c r="C1301" s="6" t="s">
        <v>356</v>
      </c>
      <c r="D1301" s="6" t="s">
        <v>141</v>
      </c>
      <c r="E1301" s="6" t="s">
        <v>119</v>
      </c>
      <c r="F1301" s="6">
        <v>38567.71</v>
      </c>
      <c r="G1301" s="2">
        <v>3</v>
      </c>
      <c r="H1301" s="61"/>
      <c r="I1301" s="61"/>
      <c r="J1301" s="47">
        <f t="shared" si="100"/>
        <v>-1</v>
      </c>
      <c r="K1301" s="47" t="e">
        <f t="shared" si="101"/>
        <v>#DIV/0!</v>
      </c>
      <c r="M1301" s="8">
        <v>31.71</v>
      </c>
      <c r="O1301" s="17">
        <f t="shared" si="102"/>
        <v>-0.31709999999999999</v>
      </c>
      <c r="P1301" s="17" t="e">
        <f t="shared" si="103"/>
        <v>#DIV/0!</v>
      </c>
      <c r="Q1301" s="17"/>
      <c r="R1301" s="9">
        <v>20220720</v>
      </c>
      <c r="S1301" s="9">
        <v>11.23</v>
      </c>
      <c r="T1301" s="9">
        <v>6.5</v>
      </c>
      <c r="V1301" s="45" t="e">
        <f t="shared" si="104"/>
        <v>#DIV/0!</v>
      </c>
      <c r="X1301" s="12">
        <v>0.53</v>
      </c>
      <c r="Y1301" s="62"/>
    </row>
    <row r="1302" spans="1:25" x14ac:dyDescent="0.2">
      <c r="A1302" s="3" t="s">
        <v>3570</v>
      </c>
      <c r="B1302" s="3" t="s">
        <v>1348</v>
      </c>
      <c r="C1302" s="6" t="s">
        <v>354</v>
      </c>
      <c r="D1302" s="6" t="s">
        <v>264</v>
      </c>
      <c r="E1302" s="6" t="s">
        <v>250</v>
      </c>
      <c r="F1302" s="6">
        <v>4441.29</v>
      </c>
      <c r="G1302" s="2">
        <v>9</v>
      </c>
      <c r="H1302" s="61">
        <v>2.16</v>
      </c>
      <c r="I1302" s="61">
        <v>2.33</v>
      </c>
      <c r="J1302" s="47">
        <f t="shared" si="100"/>
        <v>-0.76</v>
      </c>
      <c r="K1302" s="47">
        <f t="shared" si="101"/>
        <v>7.8703703703703665E-2</v>
      </c>
      <c r="L1302" s="8">
        <v>2.44</v>
      </c>
      <c r="M1302" s="8">
        <v>23.45</v>
      </c>
      <c r="N1302" s="8">
        <v>19.82</v>
      </c>
      <c r="O1302" s="17">
        <f t="shared" si="102"/>
        <v>-0.30855263157894736</v>
      </c>
      <c r="P1302" s="17">
        <f t="shared" si="103"/>
        <v>2.5183058823529425</v>
      </c>
      <c r="Q1302" s="17">
        <v>18.93</v>
      </c>
      <c r="R1302" s="9">
        <v>20220804</v>
      </c>
      <c r="S1302" s="9">
        <v>11.06</v>
      </c>
      <c r="T1302" s="9">
        <v>-4.82</v>
      </c>
      <c r="U1302" s="9">
        <v>2586.32006</v>
      </c>
      <c r="V1302" s="45">
        <f t="shared" si="104"/>
        <v>-1.0018636517863919</v>
      </c>
      <c r="W1302" s="12">
        <v>7.09</v>
      </c>
      <c r="X1302" s="12">
        <v>3.14</v>
      </c>
      <c r="Y1302" s="62">
        <v>3.3</v>
      </c>
    </row>
    <row r="1303" spans="1:25" x14ac:dyDescent="0.2">
      <c r="A1303" s="3" t="s">
        <v>3571</v>
      </c>
      <c r="B1303" s="3" t="s">
        <v>1349</v>
      </c>
      <c r="C1303" s="6" t="s">
        <v>354</v>
      </c>
      <c r="D1303" s="6" t="s">
        <v>230</v>
      </c>
      <c r="E1303" s="6" t="s">
        <v>146</v>
      </c>
      <c r="F1303" s="6">
        <v>177741.3</v>
      </c>
      <c r="G1303" s="2">
        <v>5</v>
      </c>
      <c r="H1303" s="61">
        <v>3.14</v>
      </c>
      <c r="I1303" s="61">
        <v>3.7</v>
      </c>
      <c r="J1303" s="47">
        <f t="shared" si="100"/>
        <v>-0.372</v>
      </c>
      <c r="K1303" s="47">
        <f t="shared" si="101"/>
        <v>0.178343949044586</v>
      </c>
      <c r="L1303" s="8">
        <v>4.51</v>
      </c>
      <c r="M1303" s="8">
        <v>29.8</v>
      </c>
      <c r="N1303" s="8">
        <v>30.48</v>
      </c>
      <c r="O1303" s="17">
        <f t="shared" si="102"/>
        <v>-0.80107526881720426</v>
      </c>
      <c r="P1303" s="17">
        <f t="shared" si="103"/>
        <v>1.7090571428571426</v>
      </c>
      <c r="Q1303" s="17">
        <v>25.03</v>
      </c>
      <c r="R1303" s="9">
        <v>20220627</v>
      </c>
      <c r="S1303" s="9">
        <v>43.04</v>
      </c>
      <c r="T1303" s="9">
        <v>5.88</v>
      </c>
      <c r="U1303" s="9">
        <v>46783.222650000003</v>
      </c>
      <c r="V1303" s="45">
        <f t="shared" si="104"/>
        <v>-0.99987431391710679</v>
      </c>
      <c r="W1303" s="12">
        <v>19.18</v>
      </c>
      <c r="X1303" s="12">
        <v>1.08</v>
      </c>
      <c r="Y1303" s="62">
        <v>2.1800000000000002</v>
      </c>
    </row>
    <row r="1304" spans="1:25" x14ac:dyDescent="0.2">
      <c r="A1304" s="3" t="s">
        <v>3572</v>
      </c>
      <c r="B1304" s="3" t="s">
        <v>1350</v>
      </c>
      <c r="C1304" s="6" t="s">
        <v>355</v>
      </c>
      <c r="D1304" s="6" t="s">
        <v>226</v>
      </c>
      <c r="E1304" s="6" t="s">
        <v>201</v>
      </c>
      <c r="F1304" s="6">
        <v>14443.6</v>
      </c>
      <c r="G1304" s="2">
        <v>3</v>
      </c>
      <c r="H1304" s="61">
        <v>1.74</v>
      </c>
      <c r="I1304" s="61">
        <v>1.85</v>
      </c>
      <c r="J1304" s="47">
        <f t="shared" si="100"/>
        <v>-0.42</v>
      </c>
      <c r="K1304" s="47">
        <f t="shared" si="101"/>
        <v>6.3218390804597763E-2</v>
      </c>
      <c r="L1304" s="8">
        <v>1.98</v>
      </c>
      <c r="M1304" s="8">
        <v>14.23</v>
      </c>
      <c r="N1304" s="8">
        <v>13.46</v>
      </c>
      <c r="O1304" s="17">
        <f t="shared" si="102"/>
        <v>-0.33880952380952384</v>
      </c>
      <c r="P1304" s="17">
        <f t="shared" si="103"/>
        <v>2.1291272727272705</v>
      </c>
      <c r="Q1304" s="17">
        <v>12.58</v>
      </c>
      <c r="R1304" s="9">
        <v>20220726</v>
      </c>
      <c r="S1304" s="9">
        <v>-444.77</v>
      </c>
      <c r="T1304" s="9">
        <v>-15.38</v>
      </c>
      <c r="U1304" s="9">
        <v>2915.9099099999999</v>
      </c>
      <c r="V1304" s="45">
        <f t="shared" si="104"/>
        <v>-1.0052745113788513</v>
      </c>
      <c r="W1304" s="12">
        <v>2.2200000000000002</v>
      </c>
      <c r="X1304" s="12">
        <v>2.0099999999999998</v>
      </c>
      <c r="Y1304" s="62"/>
    </row>
    <row r="1305" spans="1:25" x14ac:dyDescent="0.2">
      <c r="A1305" s="3" t="s">
        <v>3573</v>
      </c>
      <c r="B1305" s="3" t="s">
        <v>1351</v>
      </c>
      <c r="C1305" s="6" t="s">
        <v>354</v>
      </c>
      <c r="D1305" s="6" t="s">
        <v>123</v>
      </c>
      <c r="E1305" s="6" t="s">
        <v>108</v>
      </c>
      <c r="F1305" s="6">
        <v>9240.52</v>
      </c>
      <c r="G1305" s="2">
        <v>12</v>
      </c>
      <c r="H1305" s="61">
        <v>1.71</v>
      </c>
      <c r="I1305" s="61">
        <v>1.88</v>
      </c>
      <c r="J1305" s="47">
        <f t="shared" si="100"/>
        <v>-0.85749999999999993</v>
      </c>
      <c r="K1305" s="47">
        <f t="shared" si="101"/>
        <v>9.941520467836254E-2</v>
      </c>
      <c r="L1305" s="8">
        <v>2.0299999999999998</v>
      </c>
      <c r="M1305" s="8">
        <v>14.35</v>
      </c>
      <c r="N1305" s="8">
        <v>13.66</v>
      </c>
      <c r="O1305" s="17">
        <f t="shared" si="102"/>
        <v>-0.16734693877551021</v>
      </c>
      <c r="P1305" s="17">
        <f t="shared" si="103"/>
        <v>1.3740352941176475</v>
      </c>
      <c r="Q1305" s="17">
        <v>12.68</v>
      </c>
      <c r="R1305" s="9">
        <v>20220804</v>
      </c>
      <c r="S1305" s="9">
        <v>17.989999999999998</v>
      </c>
      <c r="T1305" s="9">
        <v>-9.92</v>
      </c>
      <c r="U1305" s="9">
        <v>3605.7670800000001</v>
      </c>
      <c r="V1305" s="45">
        <f t="shared" si="104"/>
        <v>-1.0027511483076716</v>
      </c>
      <c r="W1305" s="12">
        <v>7.14</v>
      </c>
      <c r="X1305" s="12">
        <v>0.93</v>
      </c>
      <c r="Y1305" s="62"/>
    </row>
    <row r="1306" spans="1:25" x14ac:dyDescent="0.2">
      <c r="A1306" s="3" t="s">
        <v>3574</v>
      </c>
      <c r="B1306" s="3" t="s">
        <v>1352</v>
      </c>
      <c r="C1306" s="6" t="s">
        <v>354</v>
      </c>
      <c r="D1306" s="6" t="s">
        <v>214</v>
      </c>
      <c r="E1306" s="6" t="s">
        <v>163</v>
      </c>
      <c r="F1306" s="6">
        <v>9496.58</v>
      </c>
      <c r="G1306" s="2">
        <v>12</v>
      </c>
      <c r="H1306" s="61">
        <v>1.1399999999999999</v>
      </c>
      <c r="I1306" s="61">
        <v>0.98</v>
      </c>
      <c r="J1306" s="47">
        <f t="shared" si="100"/>
        <v>-0.90499999999999992</v>
      </c>
      <c r="K1306" s="47">
        <f t="shared" si="101"/>
        <v>-0.14035087719298239</v>
      </c>
      <c r="L1306" s="8">
        <v>0.94</v>
      </c>
      <c r="M1306" s="8">
        <v>5.7</v>
      </c>
      <c r="N1306" s="8">
        <v>6.66</v>
      </c>
      <c r="O1306" s="17">
        <f t="shared" si="102"/>
        <v>-6.2983425414364649E-2</v>
      </c>
      <c r="P1306" s="17">
        <f t="shared" si="103"/>
        <v>-0.4745250000000002</v>
      </c>
      <c r="Q1306" s="17">
        <v>6.91</v>
      </c>
      <c r="R1306" s="9">
        <v>20220727</v>
      </c>
      <c r="S1306" s="9">
        <v>15.45</v>
      </c>
      <c r="T1306" s="9">
        <v>-3.99</v>
      </c>
      <c r="U1306" s="9">
        <v>1485</v>
      </c>
      <c r="V1306" s="45">
        <f t="shared" si="104"/>
        <v>-1.0026868686868686</v>
      </c>
      <c r="W1306" s="12">
        <v>21.74</v>
      </c>
      <c r="X1306" s="12">
        <v>13.54</v>
      </c>
      <c r="Y1306" s="62">
        <v>1.33</v>
      </c>
    </row>
    <row r="1307" spans="1:25" x14ac:dyDescent="0.2">
      <c r="A1307" s="3" t="s">
        <v>3575</v>
      </c>
      <c r="B1307" s="3" t="s">
        <v>1353</v>
      </c>
      <c r="C1307" s="6" t="s">
        <v>354</v>
      </c>
      <c r="D1307" s="6" t="s">
        <v>885</v>
      </c>
      <c r="E1307" s="6" t="s">
        <v>163</v>
      </c>
      <c r="F1307" s="6">
        <v>11986.59</v>
      </c>
      <c r="G1307" s="2">
        <v>3</v>
      </c>
      <c r="H1307" s="61">
        <v>0.52</v>
      </c>
      <c r="I1307" s="61">
        <v>0.61</v>
      </c>
      <c r="J1307" s="47">
        <f t="shared" si="100"/>
        <v>-0.82666666666666666</v>
      </c>
      <c r="K1307" s="47">
        <f t="shared" si="101"/>
        <v>0.17307692307692302</v>
      </c>
      <c r="L1307" s="8">
        <v>0.67</v>
      </c>
      <c r="M1307" s="8">
        <v>9.56</v>
      </c>
      <c r="N1307" s="8">
        <v>6.48</v>
      </c>
      <c r="O1307" s="17">
        <f t="shared" si="102"/>
        <v>-0.11564516129032258</v>
      </c>
      <c r="P1307" s="17">
        <f t="shared" si="103"/>
        <v>0.37440000000000012</v>
      </c>
      <c r="Q1307" s="17">
        <v>5.85</v>
      </c>
      <c r="R1307" s="9">
        <v>20220729</v>
      </c>
      <c r="S1307" s="9">
        <v>4.9400000000000004</v>
      </c>
      <c r="T1307" s="9">
        <v>-2.12</v>
      </c>
      <c r="U1307" s="9">
        <v>12336.360350000001</v>
      </c>
      <c r="V1307" s="45">
        <f t="shared" si="104"/>
        <v>-1.0001718497141663</v>
      </c>
      <c r="W1307" s="12">
        <v>-60.87</v>
      </c>
      <c r="X1307" s="12">
        <v>3.06</v>
      </c>
      <c r="Y1307" s="62">
        <v>0.6</v>
      </c>
    </row>
    <row r="1308" spans="1:25" x14ac:dyDescent="0.2">
      <c r="A1308" s="3" t="s">
        <v>3576</v>
      </c>
      <c r="B1308" s="3" t="s">
        <v>1354</v>
      </c>
      <c r="C1308" s="6" t="s">
        <v>356</v>
      </c>
      <c r="D1308" s="6" t="s">
        <v>128</v>
      </c>
      <c r="E1308" s="6" t="s">
        <v>60</v>
      </c>
      <c r="F1308" s="6">
        <v>8324.0400000000009</v>
      </c>
      <c r="G1308" s="2">
        <v>3</v>
      </c>
      <c r="H1308" s="61"/>
      <c r="I1308" s="61">
        <v>2.76</v>
      </c>
      <c r="J1308" s="47">
        <f t="shared" si="100"/>
        <v>-1</v>
      </c>
      <c r="K1308" s="47" t="e">
        <f t="shared" si="101"/>
        <v>#DIV/0!</v>
      </c>
      <c r="L1308" s="8">
        <v>3.01</v>
      </c>
      <c r="M1308" s="8">
        <v>22.9</v>
      </c>
      <c r="N1308" s="8">
        <v>21.24</v>
      </c>
      <c r="O1308" s="17">
        <f t="shared" si="102"/>
        <v>-0.22899999999999998</v>
      </c>
      <c r="P1308" s="17" t="e">
        <f t="shared" si="103"/>
        <v>#DIV/0!</v>
      </c>
      <c r="Q1308" s="17">
        <v>19.48</v>
      </c>
      <c r="R1308" s="9">
        <v>20220527</v>
      </c>
      <c r="S1308" s="9">
        <v>20.309999999999999</v>
      </c>
      <c r="T1308" s="9">
        <v>3.67</v>
      </c>
      <c r="U1308" s="9">
        <v>2045.4499499999999</v>
      </c>
      <c r="V1308" s="45">
        <f t="shared" si="104"/>
        <v>-0.99820577374674946</v>
      </c>
      <c r="X1308" s="12">
        <v>1.1100000000000001</v>
      </c>
      <c r="Y1308" s="62"/>
    </row>
    <row r="1309" spans="1:25" x14ac:dyDescent="0.2">
      <c r="A1309" s="3" t="s">
        <v>3577</v>
      </c>
      <c r="B1309" s="3" t="s">
        <v>2231</v>
      </c>
      <c r="C1309" s="6" t="s">
        <v>356</v>
      </c>
      <c r="D1309" s="6" t="s">
        <v>170</v>
      </c>
      <c r="E1309" s="6" t="s">
        <v>163</v>
      </c>
      <c r="F1309" s="6">
        <v>15388.4</v>
      </c>
      <c r="G1309" s="2">
        <v>12</v>
      </c>
      <c r="H1309" s="61"/>
      <c r="I1309" s="61"/>
      <c r="J1309" s="47">
        <f t="shared" si="100"/>
        <v>-1</v>
      </c>
      <c r="K1309" s="47" t="e">
        <f t="shared" si="101"/>
        <v>#DIV/0!</v>
      </c>
      <c r="O1309" s="17">
        <f t="shared" si="102"/>
        <v>0</v>
      </c>
      <c r="P1309" s="17" t="e">
        <f t="shared" si="103"/>
        <v>#DIV/0!</v>
      </c>
      <c r="Q1309" s="17"/>
      <c r="V1309" s="45" t="e">
        <f t="shared" si="104"/>
        <v>#DIV/0!</v>
      </c>
      <c r="X1309" s="12">
        <v>5.4</v>
      </c>
      <c r="Y1309" s="62"/>
    </row>
    <row r="1310" spans="1:25" x14ac:dyDescent="0.2">
      <c r="A1310" s="3" t="s">
        <v>3578</v>
      </c>
      <c r="B1310" s="3" t="s">
        <v>3579</v>
      </c>
      <c r="C1310" s="6" t="s">
        <v>354</v>
      </c>
      <c r="D1310" s="6" t="s">
        <v>148</v>
      </c>
      <c r="E1310" s="6" t="s">
        <v>163</v>
      </c>
      <c r="F1310" s="6">
        <v>3167.13</v>
      </c>
      <c r="G1310" s="2">
        <v>12</v>
      </c>
      <c r="H1310" s="61"/>
      <c r="I1310" s="61"/>
      <c r="J1310" s="47">
        <f t="shared" si="100"/>
        <v>-1</v>
      </c>
      <c r="K1310" s="47" t="e">
        <f t="shared" si="101"/>
        <v>#DIV/0!</v>
      </c>
      <c r="M1310" s="8">
        <v>10.59</v>
      </c>
      <c r="O1310" s="17">
        <f t="shared" si="102"/>
        <v>-0.10589999999999999</v>
      </c>
      <c r="P1310" s="17" t="e">
        <f t="shared" si="103"/>
        <v>#DIV/0!</v>
      </c>
      <c r="Q1310" s="17"/>
      <c r="R1310" s="9">
        <v>20220804</v>
      </c>
      <c r="S1310" s="9">
        <v>10.39</v>
      </c>
      <c r="T1310" s="9">
        <v>4.8099999999999996</v>
      </c>
      <c r="V1310" s="45" t="e">
        <f t="shared" si="104"/>
        <v>#DIV/0!</v>
      </c>
      <c r="X1310" s="12">
        <v>1.1399999999999999</v>
      </c>
      <c r="Y1310" s="62"/>
    </row>
    <row r="1311" spans="1:25" x14ac:dyDescent="0.2">
      <c r="A1311" s="3" t="s">
        <v>1355</v>
      </c>
      <c r="B1311" s="3" t="s">
        <v>1356</v>
      </c>
      <c r="C1311" s="6" t="s">
        <v>354</v>
      </c>
      <c r="D1311" s="6" t="s">
        <v>217</v>
      </c>
      <c r="E1311" s="6" t="s">
        <v>163</v>
      </c>
      <c r="F1311" s="6">
        <v>7646.84</v>
      </c>
      <c r="G1311" s="2">
        <v>12</v>
      </c>
      <c r="H1311" s="61">
        <v>3.04</v>
      </c>
      <c r="I1311" s="61">
        <v>3.13</v>
      </c>
      <c r="J1311" s="47">
        <f t="shared" si="100"/>
        <v>-0.7466666666666667</v>
      </c>
      <c r="K1311" s="47">
        <f t="shared" si="101"/>
        <v>2.960526315789469E-2</v>
      </c>
      <c r="L1311" s="8">
        <v>3.19</v>
      </c>
      <c r="M1311" s="8">
        <v>14.11</v>
      </c>
      <c r="N1311" s="8">
        <v>13.9</v>
      </c>
      <c r="O1311" s="17">
        <f t="shared" si="102"/>
        <v>-0.18897321428571426</v>
      </c>
      <c r="P1311" s="17">
        <f t="shared" si="103"/>
        <v>4.6951111111111183</v>
      </c>
      <c r="Q1311" s="17">
        <v>13.62</v>
      </c>
      <c r="R1311" s="9">
        <v>20220802</v>
      </c>
      <c r="S1311" s="9">
        <v>8.0500000000000007</v>
      </c>
      <c r="T1311" s="9">
        <v>5.0199999999999996</v>
      </c>
      <c r="U1311" s="9">
        <v>763.68798000000004</v>
      </c>
      <c r="V1311" s="45">
        <f t="shared" si="104"/>
        <v>-0.99342663478872617</v>
      </c>
      <c r="W1311" s="12">
        <v>2.6</v>
      </c>
      <c r="X1311" s="12">
        <v>4.88</v>
      </c>
      <c r="Y1311" s="62">
        <v>3.44</v>
      </c>
    </row>
    <row r="1312" spans="1:25" x14ac:dyDescent="0.2">
      <c r="A1312" s="3" t="s">
        <v>3580</v>
      </c>
      <c r="B1312" s="3" t="s">
        <v>1357</v>
      </c>
      <c r="C1312" s="6" t="s">
        <v>354</v>
      </c>
      <c r="D1312" s="6" t="s">
        <v>16</v>
      </c>
      <c r="E1312" s="6" t="s">
        <v>10</v>
      </c>
      <c r="F1312" s="6">
        <v>72659.48</v>
      </c>
      <c r="G1312" s="2">
        <v>12</v>
      </c>
      <c r="H1312" s="61">
        <v>25.58</v>
      </c>
      <c r="I1312" s="61">
        <v>24.84</v>
      </c>
      <c r="J1312" s="47">
        <f t="shared" si="100"/>
        <v>1.1316666666666666</v>
      </c>
      <c r="K1312" s="47">
        <f t="shared" si="101"/>
        <v>-2.8928850664581646E-2</v>
      </c>
      <c r="L1312" s="8">
        <v>27.23</v>
      </c>
      <c r="M1312" s="8">
        <v>18.59</v>
      </c>
      <c r="N1312" s="8">
        <v>18.82</v>
      </c>
      <c r="O1312" s="17">
        <f t="shared" si="102"/>
        <v>0.16427098674521357</v>
      </c>
      <c r="P1312" s="17">
        <f t="shared" si="103"/>
        <v>-6.5056162162162297</v>
      </c>
      <c r="Q1312" s="17">
        <v>17.170000000000002</v>
      </c>
      <c r="R1312" s="9">
        <v>20220804</v>
      </c>
      <c r="S1312" s="9">
        <v>32.82</v>
      </c>
      <c r="T1312" s="9">
        <v>9.3800000000000008</v>
      </c>
      <c r="U1312" s="9">
        <v>36702.804680000001</v>
      </c>
      <c r="V1312" s="45">
        <f t="shared" si="104"/>
        <v>-0.99974443369977362</v>
      </c>
      <c r="W1312" s="12">
        <v>2.52</v>
      </c>
      <c r="X1312" s="12">
        <v>1.34</v>
      </c>
      <c r="Y1312" s="62">
        <v>3.09</v>
      </c>
    </row>
    <row r="1313" spans="1:25" x14ac:dyDescent="0.2">
      <c r="A1313" s="3" t="s">
        <v>3581</v>
      </c>
      <c r="B1313" s="3" t="s">
        <v>1358</v>
      </c>
      <c r="C1313" s="6" t="s">
        <v>354</v>
      </c>
      <c r="D1313" s="6" t="s">
        <v>869</v>
      </c>
      <c r="E1313" s="6" t="s">
        <v>119</v>
      </c>
      <c r="F1313" s="6">
        <v>28682.12</v>
      </c>
      <c r="G1313" s="2">
        <v>12</v>
      </c>
      <c r="H1313" s="61">
        <v>0.4</v>
      </c>
      <c r="I1313" s="61">
        <v>0.42</v>
      </c>
      <c r="J1313" s="47">
        <f t="shared" si="100"/>
        <v>-0.96666666666666667</v>
      </c>
      <c r="K1313" s="47">
        <f t="shared" si="101"/>
        <v>4.9999999999999906E-2</v>
      </c>
      <c r="L1313" s="8">
        <v>0.47</v>
      </c>
      <c r="M1313" s="8">
        <v>11.84</v>
      </c>
      <c r="N1313" s="8">
        <v>12.02</v>
      </c>
      <c r="O1313" s="17">
        <f t="shared" si="102"/>
        <v>-0.12248275862068965</v>
      </c>
      <c r="P1313" s="17">
        <f t="shared" si="103"/>
        <v>2.4040000000000048</v>
      </c>
      <c r="Q1313" s="17">
        <v>10.88</v>
      </c>
      <c r="R1313" s="9">
        <v>20220804</v>
      </c>
      <c r="S1313" s="9">
        <v>12.81</v>
      </c>
      <c r="T1313" s="9">
        <v>-0.19</v>
      </c>
      <c r="U1313" s="9">
        <v>25270.931639999999</v>
      </c>
      <c r="V1313" s="45">
        <f t="shared" si="104"/>
        <v>-1.0000075185198039</v>
      </c>
      <c r="W1313" s="12">
        <v>14.29</v>
      </c>
      <c r="X1313" s="12">
        <v>0.26</v>
      </c>
      <c r="Y1313" s="62"/>
    </row>
    <row r="1314" spans="1:25" x14ac:dyDescent="0.2">
      <c r="A1314" s="3" t="s">
        <v>1359</v>
      </c>
      <c r="B1314" s="3" t="s">
        <v>1360</v>
      </c>
      <c r="C1314" s="6" t="s">
        <v>354</v>
      </c>
      <c r="D1314" s="6" t="s">
        <v>155</v>
      </c>
      <c r="E1314" s="6" t="s">
        <v>154</v>
      </c>
      <c r="F1314" s="6">
        <v>3640.52</v>
      </c>
      <c r="G1314" s="2">
        <v>12</v>
      </c>
      <c r="H1314" s="61">
        <v>1.78</v>
      </c>
      <c r="I1314" s="61">
        <v>1.79</v>
      </c>
      <c r="J1314" s="47">
        <f t="shared" si="100"/>
        <v>-0.85166666666666668</v>
      </c>
      <c r="K1314" s="47">
        <f t="shared" si="101"/>
        <v>5.6179775280898927E-3</v>
      </c>
      <c r="L1314" s="8">
        <v>1.97</v>
      </c>
      <c r="M1314" s="8">
        <v>12.13</v>
      </c>
      <c r="N1314" s="8">
        <v>11.76</v>
      </c>
      <c r="O1314" s="17">
        <f t="shared" si="102"/>
        <v>-0.142426614481409</v>
      </c>
      <c r="P1314" s="17">
        <f t="shared" si="103"/>
        <v>20.932799999999983</v>
      </c>
      <c r="Q1314" s="17">
        <v>10.74</v>
      </c>
      <c r="R1314" s="9">
        <v>20220804</v>
      </c>
      <c r="S1314" s="9">
        <v>11.55</v>
      </c>
      <c r="T1314" s="9">
        <v>8.26</v>
      </c>
      <c r="U1314" s="9">
        <v>2988.45507</v>
      </c>
      <c r="V1314" s="45">
        <f t="shared" si="104"/>
        <v>-0.99723603005348171</v>
      </c>
      <c r="W1314" s="12">
        <v>23.08</v>
      </c>
      <c r="X1314" s="12">
        <v>0</v>
      </c>
      <c r="Y1314" s="62"/>
    </row>
    <row r="1315" spans="1:25" x14ac:dyDescent="0.2">
      <c r="A1315" s="3" t="s">
        <v>1361</v>
      </c>
      <c r="B1315" s="3" t="s">
        <v>1361</v>
      </c>
      <c r="C1315" s="6" t="s">
        <v>354</v>
      </c>
      <c r="D1315" s="6" t="s">
        <v>233</v>
      </c>
      <c r="E1315" s="6" t="s">
        <v>108</v>
      </c>
      <c r="F1315" s="6">
        <v>7769.54</v>
      </c>
      <c r="G1315" s="2">
        <v>12</v>
      </c>
      <c r="H1315" s="61">
        <v>-0.53</v>
      </c>
      <c r="I1315" s="61">
        <v>0.32</v>
      </c>
      <c r="J1315" s="47">
        <f t="shared" si="100"/>
        <v>-1.0441666666666667</v>
      </c>
      <c r="K1315" s="47">
        <f t="shared" si="101"/>
        <v>1.6037735849056605</v>
      </c>
      <c r="L1315" s="8">
        <v>0.84</v>
      </c>
      <c r="N1315" s="8">
        <v>62.03</v>
      </c>
      <c r="O1315" s="17">
        <f t="shared" si="102"/>
        <v>0</v>
      </c>
      <c r="P1315" s="17">
        <f t="shared" si="103"/>
        <v>0.38677529411764705</v>
      </c>
      <c r="Q1315" s="17">
        <v>23.55</v>
      </c>
      <c r="R1315" s="9">
        <v>20220726</v>
      </c>
      <c r="S1315" s="9">
        <v>-2.54</v>
      </c>
      <c r="T1315" s="9">
        <v>-6.98</v>
      </c>
      <c r="U1315" s="9">
        <v>6727.6747999999998</v>
      </c>
      <c r="V1315" s="45">
        <f t="shared" si="104"/>
        <v>-1.001037505558384</v>
      </c>
      <c r="W1315" s="12">
        <v>-116.67</v>
      </c>
      <c r="X1315" s="12">
        <v>1.01</v>
      </c>
      <c r="Y1315" s="62"/>
    </row>
    <row r="1316" spans="1:25" x14ac:dyDescent="0.2">
      <c r="A1316" s="3" t="s">
        <v>3582</v>
      </c>
      <c r="B1316" s="3" t="s">
        <v>1362</v>
      </c>
      <c r="C1316" s="6" t="s">
        <v>355</v>
      </c>
      <c r="D1316" s="6" t="s">
        <v>141</v>
      </c>
      <c r="E1316" s="6" t="s">
        <v>119</v>
      </c>
      <c r="F1316" s="6">
        <v>4465.53</v>
      </c>
      <c r="G1316" s="2">
        <v>12</v>
      </c>
      <c r="H1316" s="61">
        <v>2.58</v>
      </c>
      <c r="I1316" s="61">
        <v>3</v>
      </c>
      <c r="J1316" s="47">
        <f t="shared" si="100"/>
        <v>-0.78500000000000003</v>
      </c>
      <c r="K1316" s="47">
        <f t="shared" si="101"/>
        <v>0.16279069767441856</v>
      </c>
      <c r="L1316" s="8">
        <v>3.55</v>
      </c>
      <c r="M1316" s="8">
        <v>45.15</v>
      </c>
      <c r="N1316" s="8">
        <v>41.69</v>
      </c>
      <c r="O1316" s="17">
        <f t="shared" si="102"/>
        <v>-0.57515923566878979</v>
      </c>
      <c r="P1316" s="17">
        <f t="shared" si="103"/>
        <v>2.5609571428571432</v>
      </c>
      <c r="Q1316" s="17">
        <v>35.229999999999997</v>
      </c>
      <c r="R1316" s="9">
        <v>20220809</v>
      </c>
      <c r="S1316" s="9">
        <v>19.41</v>
      </c>
      <c r="T1316" s="9">
        <v>6.85</v>
      </c>
      <c r="U1316" s="9">
        <v>844.82097999999996</v>
      </c>
      <c r="V1316" s="45">
        <f t="shared" si="104"/>
        <v>-0.99189177333167078</v>
      </c>
      <c r="W1316" s="12">
        <v>15.87</v>
      </c>
      <c r="X1316" s="12">
        <v>0</v>
      </c>
      <c r="Y1316" s="62"/>
    </row>
    <row r="1317" spans="1:25" x14ac:dyDescent="0.2">
      <c r="A1317" s="3" t="s">
        <v>3583</v>
      </c>
      <c r="B1317" s="3" t="s">
        <v>1363</v>
      </c>
      <c r="C1317" s="6" t="s">
        <v>354</v>
      </c>
      <c r="D1317" s="6" t="s">
        <v>134</v>
      </c>
      <c r="E1317" s="6" t="s">
        <v>119</v>
      </c>
      <c r="F1317" s="6">
        <v>91183.19</v>
      </c>
      <c r="G1317" s="2">
        <v>12</v>
      </c>
      <c r="H1317" s="61">
        <v>5.92</v>
      </c>
      <c r="I1317" s="61">
        <v>7.36</v>
      </c>
      <c r="J1317" s="47">
        <f t="shared" si="100"/>
        <v>-0.50666666666666671</v>
      </c>
      <c r="K1317" s="47">
        <f t="shared" si="101"/>
        <v>0.24324324324324331</v>
      </c>
      <c r="L1317" s="8">
        <v>9.43</v>
      </c>
      <c r="M1317" s="8">
        <v>73.84</v>
      </c>
      <c r="N1317" s="8">
        <v>61.77</v>
      </c>
      <c r="O1317" s="17">
        <f t="shared" si="102"/>
        <v>-1.4573684210526314</v>
      </c>
      <c r="P1317" s="17">
        <f t="shared" si="103"/>
        <v>2.5394333333333328</v>
      </c>
      <c r="Q1317" s="17">
        <v>48.25</v>
      </c>
      <c r="R1317" s="9">
        <v>20220727</v>
      </c>
      <c r="S1317" s="9">
        <v>8.66</v>
      </c>
      <c r="T1317" s="9">
        <v>32.31</v>
      </c>
      <c r="U1317" s="9">
        <v>7418.7451099999998</v>
      </c>
      <c r="V1317" s="45">
        <f t="shared" si="104"/>
        <v>-0.99564481600042454</v>
      </c>
      <c r="W1317" s="12">
        <v>2.37</v>
      </c>
      <c r="X1317" s="12">
        <v>0</v>
      </c>
      <c r="Y1317" s="62">
        <v>2.16</v>
      </c>
    </row>
    <row r="1318" spans="1:25" x14ac:dyDescent="0.2">
      <c r="A1318" s="3" t="s">
        <v>3584</v>
      </c>
      <c r="B1318" s="3" t="s">
        <v>3585</v>
      </c>
      <c r="C1318" s="6" t="s">
        <v>356</v>
      </c>
      <c r="D1318" s="6" t="s">
        <v>1364</v>
      </c>
      <c r="E1318" s="6" t="s">
        <v>140</v>
      </c>
      <c r="F1318" s="6">
        <v>18556.04</v>
      </c>
      <c r="G1318" s="2">
        <v>12</v>
      </c>
      <c r="H1318" s="61">
        <v>0.24</v>
      </c>
      <c r="I1318" s="61"/>
      <c r="J1318" s="47">
        <f t="shared" si="100"/>
        <v>-0.98</v>
      </c>
      <c r="K1318" s="47">
        <f t="shared" si="101"/>
        <v>-1</v>
      </c>
      <c r="M1318" s="8">
        <v>28.43</v>
      </c>
      <c r="O1318" s="17">
        <f t="shared" si="102"/>
        <v>-0.29010204081632651</v>
      </c>
      <c r="P1318" s="17">
        <f t="shared" si="103"/>
        <v>0</v>
      </c>
      <c r="Q1318" s="17"/>
      <c r="R1318" s="9">
        <v>20220809</v>
      </c>
      <c r="S1318" s="9">
        <v>6.97</v>
      </c>
      <c r="V1318" s="45" t="e">
        <f t="shared" si="104"/>
        <v>#DIV/0!</v>
      </c>
      <c r="X1318" s="12">
        <v>0</v>
      </c>
      <c r="Y1318" s="62"/>
    </row>
    <row r="1319" spans="1:25" x14ac:dyDescent="0.2">
      <c r="A1319" s="3" t="s">
        <v>2232</v>
      </c>
      <c r="B1319" s="3" t="s">
        <v>2233</v>
      </c>
      <c r="C1319" s="6" t="s">
        <v>356</v>
      </c>
      <c r="D1319" s="6" t="s">
        <v>242</v>
      </c>
      <c r="E1319" s="6" t="s">
        <v>237</v>
      </c>
      <c r="F1319" s="6">
        <v>14709.77</v>
      </c>
      <c r="G1319" s="2">
        <v>3</v>
      </c>
      <c r="H1319" s="61">
        <v>10.220000000000001</v>
      </c>
      <c r="I1319" s="61">
        <v>12.2</v>
      </c>
      <c r="J1319" s="47">
        <f t="shared" si="100"/>
        <v>2.4066666666666667</v>
      </c>
      <c r="K1319" s="47">
        <f t="shared" si="101"/>
        <v>0.19373776908023468</v>
      </c>
      <c r="L1319" s="8">
        <v>7.81</v>
      </c>
      <c r="M1319" s="8">
        <v>2.2000000000000002</v>
      </c>
      <c r="N1319" s="8">
        <v>1.42</v>
      </c>
      <c r="O1319" s="17">
        <f t="shared" si="102"/>
        <v>9.1412742382271477E-3</v>
      </c>
      <c r="P1319" s="17">
        <f t="shared" si="103"/>
        <v>7.3294949494949552E-2</v>
      </c>
      <c r="Q1319" s="17">
        <v>2.2200000000000002</v>
      </c>
      <c r="R1319" s="9">
        <v>20220530</v>
      </c>
      <c r="S1319" s="9">
        <v>75.97</v>
      </c>
      <c r="T1319" s="9">
        <v>-1.75</v>
      </c>
      <c r="U1319" s="9">
        <v>22314.339840000001</v>
      </c>
      <c r="V1319" s="45">
        <f t="shared" si="104"/>
        <v>-1.0000784249058026</v>
      </c>
      <c r="X1319" s="12">
        <v>3.23</v>
      </c>
      <c r="Y1319" s="62"/>
    </row>
    <row r="1320" spans="1:25" x14ac:dyDescent="0.2">
      <c r="A1320" s="3" t="s">
        <v>3586</v>
      </c>
      <c r="B1320" s="3" t="s">
        <v>2234</v>
      </c>
      <c r="C1320" s="6" t="s">
        <v>356</v>
      </c>
      <c r="D1320" s="6" t="s">
        <v>593</v>
      </c>
      <c r="E1320" s="6" t="s">
        <v>146</v>
      </c>
      <c r="F1320" s="6">
        <v>44073.71</v>
      </c>
      <c r="G1320" s="2">
        <v>3</v>
      </c>
      <c r="H1320" s="61">
        <v>1.56</v>
      </c>
      <c r="I1320" s="61">
        <v>1.52</v>
      </c>
      <c r="J1320" s="47">
        <f t="shared" si="100"/>
        <v>-0.48</v>
      </c>
      <c r="K1320" s="47">
        <f t="shared" si="101"/>
        <v>-2.5641025641025664E-2</v>
      </c>
      <c r="N1320" s="8">
        <v>13.32</v>
      </c>
      <c r="O1320" s="17">
        <f t="shared" si="102"/>
        <v>0</v>
      </c>
      <c r="P1320" s="17">
        <f t="shared" si="103"/>
        <v>-5.1947999999999954</v>
      </c>
      <c r="Q1320" s="17"/>
      <c r="R1320" s="9">
        <v>20220620</v>
      </c>
      <c r="V1320" s="45" t="e">
        <f t="shared" si="104"/>
        <v>#DIV/0!</v>
      </c>
      <c r="X1320" s="12">
        <v>0.28999999999999998</v>
      </c>
      <c r="Y1320" s="62"/>
    </row>
    <row r="1321" spans="1:25" x14ac:dyDescent="0.2">
      <c r="A1321" s="3" t="s">
        <v>3587</v>
      </c>
      <c r="B1321" s="3" t="s">
        <v>2235</v>
      </c>
      <c r="C1321" s="6" t="s">
        <v>356</v>
      </c>
      <c r="D1321" s="6" t="s">
        <v>69</v>
      </c>
      <c r="E1321" s="6" t="s">
        <v>163</v>
      </c>
      <c r="F1321" s="6">
        <v>40024.86</v>
      </c>
      <c r="G1321" s="2">
        <v>12</v>
      </c>
      <c r="H1321" s="61"/>
      <c r="I1321" s="61">
        <v>0.93</v>
      </c>
      <c r="J1321" s="47">
        <f t="shared" si="100"/>
        <v>-1</v>
      </c>
      <c r="K1321" s="47" t="e">
        <f t="shared" si="101"/>
        <v>#DIV/0!</v>
      </c>
      <c r="L1321" s="8">
        <v>0.96</v>
      </c>
      <c r="M1321" s="8">
        <v>9.26</v>
      </c>
      <c r="N1321" s="8">
        <v>11.36</v>
      </c>
      <c r="O1321" s="17">
        <f t="shared" si="102"/>
        <v>-9.2600000000000002E-2</v>
      </c>
      <c r="P1321" s="17" t="e">
        <f t="shared" si="103"/>
        <v>#DIV/0!</v>
      </c>
      <c r="Q1321" s="17">
        <v>11</v>
      </c>
      <c r="R1321" s="9">
        <v>20220720</v>
      </c>
      <c r="S1321" s="9">
        <v>11.5</v>
      </c>
      <c r="T1321" s="9">
        <v>-3.29</v>
      </c>
      <c r="V1321" s="45" t="e">
        <f t="shared" si="104"/>
        <v>#DIV/0!</v>
      </c>
      <c r="W1321" s="12">
        <v>25</v>
      </c>
      <c r="X1321" s="12">
        <v>4.4800000000000004</v>
      </c>
      <c r="Y1321" s="62">
        <v>5.23</v>
      </c>
    </row>
    <row r="1322" spans="1:25" x14ac:dyDescent="0.2">
      <c r="A1322" s="3" t="s">
        <v>3588</v>
      </c>
      <c r="B1322" s="3" t="s">
        <v>2003</v>
      </c>
      <c r="C1322" s="6" t="s">
        <v>354</v>
      </c>
      <c r="D1322" s="6" t="s">
        <v>246</v>
      </c>
      <c r="E1322" s="6" t="s">
        <v>250</v>
      </c>
      <c r="F1322" s="6">
        <v>11083.52</v>
      </c>
      <c r="G1322" s="2">
        <v>12</v>
      </c>
      <c r="H1322" s="61">
        <v>4.32</v>
      </c>
      <c r="I1322" s="61">
        <v>3.31</v>
      </c>
      <c r="J1322" s="47">
        <f t="shared" si="100"/>
        <v>-0.64</v>
      </c>
      <c r="K1322" s="47">
        <f t="shared" si="101"/>
        <v>-0.23379629629629634</v>
      </c>
      <c r="L1322" s="8">
        <v>4.24</v>
      </c>
      <c r="M1322" s="8">
        <v>6.6</v>
      </c>
      <c r="N1322" s="8">
        <v>14.11</v>
      </c>
      <c r="O1322" s="17">
        <f t="shared" si="102"/>
        <v>-0.10312499999999999</v>
      </c>
      <c r="P1322" s="17">
        <f t="shared" si="103"/>
        <v>-0.60351683168316816</v>
      </c>
      <c r="Q1322" s="17">
        <v>11</v>
      </c>
      <c r="R1322" s="9">
        <v>20220804</v>
      </c>
      <c r="S1322" s="9">
        <v>45.51</v>
      </c>
      <c r="T1322" s="9">
        <v>15.47</v>
      </c>
      <c r="U1322" s="9">
        <v>28667.900389999999</v>
      </c>
      <c r="V1322" s="45">
        <f t="shared" si="104"/>
        <v>-0.99946037206110161</v>
      </c>
      <c r="W1322" s="12">
        <v>-54.55</v>
      </c>
      <c r="X1322" s="12">
        <v>3</v>
      </c>
      <c r="Y1322" s="62">
        <v>1.34</v>
      </c>
    </row>
    <row r="1323" spans="1:25" x14ac:dyDescent="0.2">
      <c r="A1323" s="3" t="s">
        <v>3589</v>
      </c>
      <c r="B1323" s="3" t="s">
        <v>1365</v>
      </c>
      <c r="C1323" s="6" t="s">
        <v>356</v>
      </c>
      <c r="D1323" s="6" t="s">
        <v>233</v>
      </c>
      <c r="E1323" s="6" t="s">
        <v>108</v>
      </c>
      <c r="F1323" s="6">
        <v>16489.419999999998</v>
      </c>
      <c r="G1323" s="2">
        <v>3</v>
      </c>
      <c r="H1323" s="61">
        <v>1.1000000000000001</v>
      </c>
      <c r="I1323" s="61">
        <v>1.22</v>
      </c>
      <c r="J1323" s="47">
        <f t="shared" si="100"/>
        <v>-0.6333333333333333</v>
      </c>
      <c r="K1323" s="47">
        <f t="shared" si="101"/>
        <v>0.10909090909090897</v>
      </c>
      <c r="L1323" s="8">
        <v>1.32</v>
      </c>
      <c r="M1323" s="8">
        <v>23.28</v>
      </c>
      <c r="N1323" s="8">
        <v>22.22</v>
      </c>
      <c r="O1323" s="17">
        <f t="shared" si="102"/>
        <v>-0.36757894736842112</v>
      </c>
      <c r="P1323" s="17">
        <f t="shared" si="103"/>
        <v>2.0368333333333353</v>
      </c>
      <c r="Q1323" s="17">
        <v>20.53</v>
      </c>
      <c r="R1323" s="9">
        <v>20220531</v>
      </c>
      <c r="U1323" s="9">
        <v>6043.3251899999996</v>
      </c>
      <c r="V1323" s="45">
        <f t="shared" si="104"/>
        <v>-1</v>
      </c>
      <c r="X1323" s="12">
        <v>0.9</v>
      </c>
      <c r="Y1323" s="62"/>
    </row>
    <row r="1324" spans="1:25" x14ac:dyDescent="0.2">
      <c r="A1324" s="3" t="s">
        <v>3590</v>
      </c>
      <c r="B1324" s="3" t="s">
        <v>1366</v>
      </c>
      <c r="C1324" s="6" t="s">
        <v>354</v>
      </c>
      <c r="D1324" s="6" t="s">
        <v>214</v>
      </c>
      <c r="E1324" s="6" t="s">
        <v>163</v>
      </c>
      <c r="F1324" s="6">
        <v>5186</v>
      </c>
      <c r="G1324" s="2">
        <v>12</v>
      </c>
      <c r="H1324" s="61">
        <v>1.47</v>
      </c>
      <c r="I1324" s="61">
        <v>1.38</v>
      </c>
      <c r="J1324" s="47">
        <f t="shared" si="100"/>
        <v>-0.87749999999999995</v>
      </c>
      <c r="K1324" s="47">
        <f t="shared" si="101"/>
        <v>-6.1224489795918421E-2</v>
      </c>
      <c r="L1324" s="8">
        <v>1.59</v>
      </c>
      <c r="M1324" s="8">
        <v>7.31</v>
      </c>
      <c r="N1324" s="8">
        <v>8.07</v>
      </c>
      <c r="O1324" s="17">
        <f t="shared" si="102"/>
        <v>-8.3304843304843307E-2</v>
      </c>
      <c r="P1324" s="17">
        <f t="shared" si="103"/>
        <v>-1.3180999999999989</v>
      </c>
      <c r="Q1324" s="17">
        <v>6.99</v>
      </c>
      <c r="R1324" s="9">
        <v>20220804</v>
      </c>
      <c r="S1324" s="9">
        <v>13.84</v>
      </c>
      <c r="T1324" s="9">
        <v>4.3499999999999996</v>
      </c>
      <c r="U1324" s="9">
        <v>1046.0500400000001</v>
      </c>
      <c r="V1324" s="45">
        <f t="shared" si="104"/>
        <v>-0.99584149913134179</v>
      </c>
      <c r="W1324" s="12">
        <v>8.82</v>
      </c>
      <c r="X1324" s="12">
        <v>9</v>
      </c>
      <c r="Y1324" s="62"/>
    </row>
    <row r="1325" spans="1:25" x14ac:dyDescent="0.2">
      <c r="A1325" s="3" t="s">
        <v>2004</v>
      </c>
      <c r="B1325" s="3" t="s">
        <v>2005</v>
      </c>
      <c r="C1325" s="6" t="s">
        <v>354</v>
      </c>
      <c r="D1325" s="6" t="s">
        <v>215</v>
      </c>
      <c r="E1325" s="6" t="s">
        <v>163</v>
      </c>
      <c r="F1325" s="6">
        <v>4731.04</v>
      </c>
      <c r="G1325" s="2">
        <v>12</v>
      </c>
      <c r="H1325" s="61">
        <v>2.2200000000000002</v>
      </c>
      <c r="I1325" s="61">
        <v>2.81</v>
      </c>
      <c r="J1325" s="47">
        <f t="shared" si="100"/>
        <v>-0.81499999999999995</v>
      </c>
      <c r="K1325" s="47">
        <f t="shared" si="101"/>
        <v>0.26576576576576566</v>
      </c>
      <c r="L1325" s="8">
        <v>2.98</v>
      </c>
      <c r="M1325" s="8">
        <v>21.18</v>
      </c>
      <c r="N1325" s="8">
        <v>18.399999999999999</v>
      </c>
      <c r="O1325" s="17">
        <f t="shared" si="102"/>
        <v>-0.25987730061349695</v>
      </c>
      <c r="P1325" s="17">
        <f t="shared" si="103"/>
        <v>0.69233898305084762</v>
      </c>
      <c r="Q1325" s="17">
        <v>17.350000000000001</v>
      </c>
      <c r="R1325" s="9">
        <v>20220802</v>
      </c>
      <c r="S1325" s="9">
        <v>5.45</v>
      </c>
      <c r="T1325" s="9">
        <v>20.010000000000002</v>
      </c>
      <c r="U1325" s="9">
        <v>776.22198000000003</v>
      </c>
      <c r="V1325" s="45">
        <f t="shared" si="104"/>
        <v>-0.97422129169802696</v>
      </c>
      <c r="W1325" s="12">
        <v>1.49</v>
      </c>
      <c r="X1325" s="12">
        <v>3.87</v>
      </c>
      <c r="Y1325" s="62">
        <v>2.04</v>
      </c>
    </row>
    <row r="1326" spans="1:25" x14ac:dyDescent="0.2">
      <c r="A1326" s="3" t="s">
        <v>3591</v>
      </c>
      <c r="B1326" s="3" t="s">
        <v>1367</v>
      </c>
      <c r="C1326" s="6" t="s">
        <v>354</v>
      </c>
      <c r="D1326" s="6" t="s">
        <v>239</v>
      </c>
      <c r="E1326" s="6" t="s">
        <v>237</v>
      </c>
      <c r="F1326" s="6">
        <v>56413.3</v>
      </c>
      <c r="G1326" s="2">
        <v>12</v>
      </c>
      <c r="H1326" s="61">
        <v>12</v>
      </c>
      <c r="I1326" s="61">
        <v>13.81</v>
      </c>
      <c r="J1326" s="47">
        <f t="shared" si="100"/>
        <v>0</v>
      </c>
      <c r="K1326" s="47">
        <f t="shared" si="101"/>
        <v>0.15083333333333337</v>
      </c>
      <c r="L1326" s="8">
        <v>15.12</v>
      </c>
      <c r="M1326" s="8">
        <v>19.100000000000001</v>
      </c>
      <c r="N1326" s="8">
        <v>17.14</v>
      </c>
      <c r="O1326" s="17" t="e">
        <f t="shared" si="102"/>
        <v>#DIV/0!</v>
      </c>
      <c r="P1326" s="17">
        <f t="shared" si="103"/>
        <v>1.1363535911602207</v>
      </c>
      <c r="Q1326" s="17">
        <v>15.66</v>
      </c>
      <c r="R1326" s="9">
        <v>20220727</v>
      </c>
      <c r="S1326" s="9">
        <v>21.95</v>
      </c>
      <c r="T1326" s="9">
        <v>-0.21</v>
      </c>
      <c r="U1326" s="9">
        <v>12282.492179999999</v>
      </c>
      <c r="V1326" s="45">
        <f t="shared" si="104"/>
        <v>-1.0000170975073235</v>
      </c>
      <c r="W1326" s="12">
        <v>0.69</v>
      </c>
      <c r="X1326" s="12">
        <v>2.1</v>
      </c>
      <c r="Y1326" s="62">
        <v>1.63</v>
      </c>
    </row>
    <row r="1327" spans="1:25" x14ac:dyDescent="0.2">
      <c r="A1327" s="3" t="s">
        <v>3592</v>
      </c>
      <c r="B1327" s="3" t="s">
        <v>2006</v>
      </c>
      <c r="C1327" s="6" t="s">
        <v>355</v>
      </c>
      <c r="D1327" s="6" t="s">
        <v>2007</v>
      </c>
      <c r="E1327" s="6" t="s">
        <v>231</v>
      </c>
      <c r="F1327" s="6">
        <v>3423.26</v>
      </c>
      <c r="G1327" s="2">
        <v>12</v>
      </c>
      <c r="H1327" s="61">
        <v>7.05</v>
      </c>
      <c r="I1327" s="61">
        <v>7.96</v>
      </c>
      <c r="J1327" s="47">
        <f t="shared" si="100"/>
        <v>-0.41250000000000003</v>
      </c>
      <c r="K1327" s="47">
        <f t="shared" si="101"/>
        <v>0.12907801418439718</v>
      </c>
      <c r="L1327" s="8">
        <v>8.73</v>
      </c>
      <c r="M1327" s="8">
        <v>12.81</v>
      </c>
      <c r="N1327" s="8">
        <v>12.26</v>
      </c>
      <c r="O1327" s="17">
        <f t="shared" si="102"/>
        <v>-0.31054545454545457</v>
      </c>
      <c r="P1327" s="17">
        <f t="shared" si="103"/>
        <v>0.94981318681318672</v>
      </c>
      <c r="Q1327" s="17">
        <v>11.18</v>
      </c>
      <c r="R1327" s="9">
        <v>20220804</v>
      </c>
      <c r="S1327" s="9">
        <v>18.239999999999998</v>
      </c>
      <c r="T1327" s="9">
        <v>9.19</v>
      </c>
      <c r="U1327" s="9">
        <v>10584.66015</v>
      </c>
      <c r="V1327" s="45">
        <f t="shared" si="104"/>
        <v>-0.99913176239295687</v>
      </c>
      <c r="W1327" s="12">
        <v>13.12</v>
      </c>
      <c r="X1327" s="12">
        <v>0</v>
      </c>
      <c r="Y1327" s="62">
        <v>1.02</v>
      </c>
    </row>
    <row r="1328" spans="1:25" x14ac:dyDescent="0.2">
      <c r="A1328" s="3" t="s">
        <v>3593</v>
      </c>
      <c r="B1328" s="3" t="s">
        <v>1368</v>
      </c>
      <c r="C1328" s="6" t="s">
        <v>354</v>
      </c>
      <c r="D1328" s="6" t="s">
        <v>1010</v>
      </c>
      <c r="E1328" s="6" t="s">
        <v>108</v>
      </c>
      <c r="F1328" s="6">
        <v>3768.74</v>
      </c>
      <c r="G1328" s="2">
        <v>12</v>
      </c>
      <c r="H1328" s="61">
        <v>4.3600000000000003</v>
      </c>
      <c r="I1328" s="61">
        <v>4.75</v>
      </c>
      <c r="J1328" s="47">
        <f t="shared" si="100"/>
        <v>-0.6366666666666666</v>
      </c>
      <c r="K1328" s="47">
        <f t="shared" si="101"/>
        <v>8.9449541284403591E-2</v>
      </c>
      <c r="L1328" s="8">
        <v>5.7</v>
      </c>
      <c r="M1328" s="8">
        <v>23.82</v>
      </c>
      <c r="N1328" s="8">
        <v>20.71</v>
      </c>
      <c r="O1328" s="17">
        <f t="shared" si="102"/>
        <v>-0.37413612565445031</v>
      </c>
      <c r="P1328" s="17">
        <f t="shared" si="103"/>
        <v>2.3152717948717969</v>
      </c>
      <c r="Q1328" s="17">
        <v>17.27</v>
      </c>
      <c r="R1328" s="9">
        <v>20220801</v>
      </c>
      <c r="S1328" s="9">
        <v>244.01</v>
      </c>
      <c r="T1328" s="9">
        <v>9.9700000000000006</v>
      </c>
      <c r="U1328" s="9">
        <v>5901.56005</v>
      </c>
      <c r="V1328" s="45">
        <f t="shared" si="104"/>
        <v>-0.99831061619037487</v>
      </c>
      <c r="W1328" s="12">
        <v>9.34</v>
      </c>
      <c r="X1328" s="12">
        <v>1.83</v>
      </c>
      <c r="Y1328" s="62">
        <v>1.38</v>
      </c>
    </row>
    <row r="1329" spans="1:25" x14ac:dyDescent="0.2">
      <c r="A1329" s="3" t="s">
        <v>3594</v>
      </c>
      <c r="B1329" s="3" t="s">
        <v>1369</v>
      </c>
      <c r="C1329" s="6" t="s">
        <v>356</v>
      </c>
      <c r="D1329" s="6" t="s">
        <v>155</v>
      </c>
      <c r="E1329" s="6" t="s">
        <v>154</v>
      </c>
      <c r="F1329" s="6">
        <v>336955.5</v>
      </c>
      <c r="G1329" s="2">
        <v>12</v>
      </c>
      <c r="H1329" s="61">
        <v>4.76</v>
      </c>
      <c r="I1329" s="61">
        <v>4.99</v>
      </c>
      <c r="J1329" s="47">
        <f t="shared" si="100"/>
        <v>-0.60333333333333339</v>
      </c>
      <c r="K1329" s="47">
        <f t="shared" si="101"/>
        <v>4.8319327731092529E-2</v>
      </c>
      <c r="L1329" s="8">
        <v>5.48</v>
      </c>
      <c r="N1329" s="8">
        <v>23.99</v>
      </c>
      <c r="O1329" s="17">
        <f t="shared" si="102"/>
        <v>0</v>
      </c>
      <c r="P1329" s="17">
        <f t="shared" si="103"/>
        <v>4.9648869565217293</v>
      </c>
      <c r="Q1329" s="17">
        <v>21.84</v>
      </c>
      <c r="U1329" s="9">
        <v>100854.99218</v>
      </c>
      <c r="V1329" s="45">
        <f t="shared" si="104"/>
        <v>-1</v>
      </c>
      <c r="X1329" s="12">
        <v>2.08</v>
      </c>
      <c r="Y1329" s="62">
        <v>2.62</v>
      </c>
    </row>
    <row r="1330" spans="1:25" x14ac:dyDescent="0.2">
      <c r="A1330" s="3" t="s">
        <v>3595</v>
      </c>
      <c r="B1330" s="3" t="s">
        <v>1370</v>
      </c>
      <c r="C1330" s="6" t="s">
        <v>355</v>
      </c>
      <c r="D1330" s="6" t="s">
        <v>133</v>
      </c>
      <c r="E1330" s="6" t="s">
        <v>119</v>
      </c>
      <c r="F1330" s="6">
        <v>15686.59</v>
      </c>
      <c r="G1330" s="2">
        <v>4</v>
      </c>
      <c r="H1330" s="61">
        <v>5.13</v>
      </c>
      <c r="I1330" s="61">
        <v>5.36</v>
      </c>
      <c r="J1330" s="47">
        <f t="shared" si="100"/>
        <v>0.28249999999999997</v>
      </c>
      <c r="K1330" s="47">
        <f t="shared" si="101"/>
        <v>4.483430799220281E-2</v>
      </c>
      <c r="L1330" s="8">
        <v>6.24</v>
      </c>
      <c r="M1330" s="8">
        <v>13.99</v>
      </c>
      <c r="N1330" s="8">
        <v>13.16</v>
      </c>
      <c r="O1330" s="17">
        <f t="shared" si="102"/>
        <v>0.49522123893805314</v>
      </c>
      <c r="P1330" s="17">
        <f t="shared" si="103"/>
        <v>2.9352521739130379</v>
      </c>
      <c r="Q1330" s="17">
        <v>11.31</v>
      </c>
      <c r="R1330" s="9">
        <v>20220601</v>
      </c>
      <c r="S1330" s="9">
        <v>126.47</v>
      </c>
      <c r="T1330" s="9">
        <v>0.33</v>
      </c>
      <c r="U1330" s="9">
        <v>6766.0200100000002</v>
      </c>
      <c r="V1330" s="45">
        <f t="shared" si="104"/>
        <v>-0.99995122686608784</v>
      </c>
      <c r="W1330" s="12">
        <v>12.5</v>
      </c>
      <c r="X1330" s="12">
        <v>2.84</v>
      </c>
      <c r="Y1330" s="62">
        <v>1.5</v>
      </c>
    </row>
    <row r="1331" spans="1:25" x14ac:dyDescent="0.2">
      <c r="A1331" s="3" t="s">
        <v>3596</v>
      </c>
      <c r="B1331" s="3" t="s">
        <v>1371</v>
      </c>
      <c r="C1331" s="6" t="s">
        <v>354</v>
      </c>
      <c r="D1331" s="6" t="s">
        <v>700</v>
      </c>
      <c r="E1331" s="6" t="s">
        <v>154</v>
      </c>
      <c r="F1331" s="6">
        <v>4964.5</v>
      </c>
      <c r="G1331" s="2">
        <v>12</v>
      </c>
      <c r="H1331" s="61">
        <v>0.17</v>
      </c>
      <c r="I1331" s="61">
        <v>-0.04</v>
      </c>
      <c r="J1331" s="47">
        <f t="shared" si="100"/>
        <v>-0.98583333333333334</v>
      </c>
      <c r="K1331" s="47">
        <f t="shared" si="101"/>
        <v>-1.2352941176470589</v>
      </c>
      <c r="L1331" s="8">
        <v>0.16</v>
      </c>
      <c r="O1331" s="17">
        <f t="shared" si="102"/>
        <v>0</v>
      </c>
      <c r="P1331" s="17">
        <f t="shared" si="103"/>
        <v>0</v>
      </c>
      <c r="Q1331" s="17">
        <v>44.94</v>
      </c>
      <c r="R1331" s="9">
        <v>20220811</v>
      </c>
      <c r="S1331" s="9">
        <v>2.59</v>
      </c>
      <c r="U1331" s="9">
        <v>8003.6000899999999</v>
      </c>
      <c r="V1331" s="45">
        <f t="shared" si="104"/>
        <v>-1</v>
      </c>
      <c r="W1331" s="12">
        <v>-1800</v>
      </c>
      <c r="X1331" s="12">
        <v>0.68</v>
      </c>
      <c r="Y1331" s="62"/>
    </row>
    <row r="1332" spans="1:25" x14ac:dyDescent="0.2">
      <c r="A1332" s="3" t="s">
        <v>3597</v>
      </c>
      <c r="B1332" s="3" t="s">
        <v>1372</v>
      </c>
      <c r="C1332" s="6" t="s">
        <v>356</v>
      </c>
      <c r="D1332" s="6" t="s">
        <v>234</v>
      </c>
      <c r="E1332" s="6" t="s">
        <v>146</v>
      </c>
      <c r="F1332" s="6">
        <v>59012.47</v>
      </c>
      <c r="G1332" s="2">
        <v>3</v>
      </c>
      <c r="H1332" s="61">
        <v>4.01</v>
      </c>
      <c r="I1332" s="61">
        <v>3.86</v>
      </c>
      <c r="J1332" s="47">
        <f t="shared" si="100"/>
        <v>0.33666666666666661</v>
      </c>
      <c r="K1332" s="47">
        <f t="shared" si="101"/>
        <v>-3.7406483790523672E-2</v>
      </c>
      <c r="L1332" s="8">
        <v>3.9</v>
      </c>
      <c r="M1332" s="8">
        <v>12.73</v>
      </c>
      <c r="N1332" s="8">
        <v>14.7</v>
      </c>
      <c r="O1332" s="17">
        <f t="shared" si="102"/>
        <v>0.37811881188118818</v>
      </c>
      <c r="P1332" s="17">
        <f t="shared" si="103"/>
        <v>-3.929800000000002</v>
      </c>
      <c r="Q1332" s="17">
        <v>14.55</v>
      </c>
      <c r="R1332" s="9">
        <v>20220804</v>
      </c>
      <c r="S1332" s="9">
        <v>25.41</v>
      </c>
      <c r="T1332" s="9">
        <v>20.86</v>
      </c>
      <c r="U1332" s="9">
        <v>15556.66699</v>
      </c>
      <c r="V1332" s="45">
        <f t="shared" si="104"/>
        <v>-0.99865909580674261</v>
      </c>
      <c r="W1332" s="12">
        <v>110.42</v>
      </c>
      <c r="X1332" s="12">
        <v>1.87</v>
      </c>
      <c r="Y1332" s="62"/>
    </row>
    <row r="1333" spans="1:25" x14ac:dyDescent="0.2">
      <c r="A1333" s="3" t="s">
        <v>3598</v>
      </c>
      <c r="B1333" s="3" t="s">
        <v>3599</v>
      </c>
      <c r="C1333" s="6" t="s">
        <v>356</v>
      </c>
      <c r="D1333" s="6" t="s">
        <v>233</v>
      </c>
      <c r="E1333" s="6" t="s">
        <v>108</v>
      </c>
      <c r="F1333" s="6">
        <v>22187.55</v>
      </c>
      <c r="G1333" s="2">
        <v>3</v>
      </c>
      <c r="H1333" s="61">
        <v>0.88</v>
      </c>
      <c r="I1333" s="61">
        <v>0.99</v>
      </c>
      <c r="J1333" s="47">
        <f t="shared" si="100"/>
        <v>-0.70666666666666667</v>
      </c>
      <c r="K1333" s="47">
        <f t="shared" si="101"/>
        <v>0.12499999999999999</v>
      </c>
      <c r="L1333" s="8">
        <v>1.08</v>
      </c>
      <c r="M1333" s="8">
        <v>17.579999999999998</v>
      </c>
      <c r="N1333" s="8">
        <v>16.059999999999999</v>
      </c>
      <c r="O1333" s="17">
        <f t="shared" si="102"/>
        <v>-0.24877358490566034</v>
      </c>
      <c r="P1333" s="17">
        <f t="shared" si="103"/>
        <v>1.2848000000000002</v>
      </c>
      <c r="Q1333" s="17">
        <v>14.72</v>
      </c>
      <c r="R1333" s="9">
        <v>20220804</v>
      </c>
      <c r="S1333" s="9">
        <v>11.68</v>
      </c>
      <c r="T1333" s="9">
        <v>5.68</v>
      </c>
      <c r="U1333" s="9">
        <v>24417.490229999999</v>
      </c>
      <c r="V1333" s="45">
        <f t="shared" si="104"/>
        <v>-0.999767379859826</v>
      </c>
      <c r="X1333" s="12">
        <v>0.73</v>
      </c>
      <c r="Y1333" s="62"/>
    </row>
    <row r="1334" spans="1:25" x14ac:dyDescent="0.2">
      <c r="A1334" s="3" t="s">
        <v>3600</v>
      </c>
      <c r="B1334" s="3" t="s">
        <v>1888</v>
      </c>
      <c r="C1334" s="6" t="s">
        <v>355</v>
      </c>
      <c r="D1334" s="6" t="s">
        <v>178</v>
      </c>
      <c r="E1334" s="6" t="s">
        <v>119</v>
      </c>
      <c r="F1334" s="6">
        <v>66452.31</v>
      </c>
      <c r="G1334" s="2">
        <v>12</v>
      </c>
      <c r="H1334" s="61">
        <v>3.33</v>
      </c>
      <c r="I1334" s="61">
        <v>4.3499999999999996</v>
      </c>
      <c r="J1334" s="47">
        <f t="shared" si="100"/>
        <v>-0.72250000000000003</v>
      </c>
      <c r="K1334" s="47">
        <f t="shared" si="101"/>
        <v>0.30630630630630618</v>
      </c>
      <c r="L1334" s="8">
        <v>5.13</v>
      </c>
      <c r="M1334" s="8">
        <v>24.75</v>
      </c>
      <c r="N1334" s="8">
        <v>23.33</v>
      </c>
      <c r="O1334" s="17">
        <f t="shared" si="102"/>
        <v>-0.34256055363321797</v>
      </c>
      <c r="P1334" s="17">
        <f t="shared" si="103"/>
        <v>0.76165588235294146</v>
      </c>
      <c r="Q1334" s="17">
        <v>19.78</v>
      </c>
      <c r="R1334" s="9">
        <v>20220830</v>
      </c>
      <c r="S1334" s="9">
        <v>18.63</v>
      </c>
      <c r="T1334" s="9">
        <v>12.44</v>
      </c>
      <c r="U1334" s="9">
        <v>14770.002920000001</v>
      </c>
      <c r="V1334" s="45">
        <f t="shared" si="104"/>
        <v>-0.99915775236691695</v>
      </c>
      <c r="W1334" s="12">
        <v>6.09</v>
      </c>
      <c r="X1334" s="12">
        <v>1.59</v>
      </c>
      <c r="Y1334" s="62">
        <v>1.48</v>
      </c>
    </row>
    <row r="1335" spans="1:25" x14ac:dyDescent="0.2">
      <c r="A1335" s="3" t="s">
        <v>2236</v>
      </c>
      <c r="B1335" s="3" t="s">
        <v>2237</v>
      </c>
      <c r="C1335" s="6" t="s">
        <v>356</v>
      </c>
      <c r="D1335" s="6" t="s">
        <v>69</v>
      </c>
      <c r="E1335" s="6" t="s">
        <v>163</v>
      </c>
      <c r="F1335" s="6">
        <v>24956.84</v>
      </c>
      <c r="G1335" s="2">
        <v>10</v>
      </c>
      <c r="H1335" s="61"/>
      <c r="I1335" s="61"/>
      <c r="J1335" s="47">
        <f t="shared" si="100"/>
        <v>-1</v>
      </c>
      <c r="K1335" s="47" t="e">
        <f t="shared" si="101"/>
        <v>#DIV/0!</v>
      </c>
      <c r="M1335" s="8">
        <v>9.81</v>
      </c>
      <c r="O1335" s="17">
        <f t="shared" si="102"/>
        <v>-9.8100000000000007E-2</v>
      </c>
      <c r="P1335" s="17" t="e">
        <f t="shared" si="103"/>
        <v>#DIV/0!</v>
      </c>
      <c r="Q1335" s="17"/>
      <c r="R1335" s="9">
        <v>20220527</v>
      </c>
      <c r="S1335" s="9">
        <v>21.16</v>
      </c>
      <c r="T1335" s="9">
        <v>5.81</v>
      </c>
      <c r="V1335" s="45" t="e">
        <f t="shared" si="104"/>
        <v>#DIV/0!</v>
      </c>
      <c r="X1335" s="12">
        <v>3.7</v>
      </c>
      <c r="Y1335" s="62"/>
    </row>
    <row r="1336" spans="1:25" x14ac:dyDescent="0.2">
      <c r="A1336" s="3" t="s">
        <v>3601</v>
      </c>
      <c r="B1336" s="3" t="s">
        <v>1373</v>
      </c>
      <c r="C1336" s="6" t="s">
        <v>355</v>
      </c>
      <c r="D1336" s="6" t="s">
        <v>185</v>
      </c>
      <c r="E1336" s="6" t="s">
        <v>208</v>
      </c>
      <c r="F1336" s="6">
        <v>3414.18</v>
      </c>
      <c r="G1336" s="2">
        <v>12</v>
      </c>
      <c r="H1336" s="61">
        <v>-3.62</v>
      </c>
      <c r="I1336" s="61">
        <v>-5.77</v>
      </c>
      <c r="J1336" s="47">
        <f t="shared" si="100"/>
        <v>-1.3016666666666667</v>
      </c>
      <c r="K1336" s="47">
        <f t="shared" si="101"/>
        <v>-0.59392265193370153</v>
      </c>
      <c r="L1336" s="8">
        <v>-5.85</v>
      </c>
      <c r="O1336" s="17">
        <f t="shared" si="102"/>
        <v>0</v>
      </c>
      <c r="P1336" s="17">
        <f t="shared" si="103"/>
        <v>0</v>
      </c>
      <c r="Q1336" s="17"/>
      <c r="R1336" s="9">
        <v>20220804</v>
      </c>
      <c r="S1336" s="9">
        <v>-41</v>
      </c>
      <c r="T1336" s="9">
        <v>13</v>
      </c>
      <c r="U1336" s="9">
        <v>54.344999999999999</v>
      </c>
      <c r="V1336" s="45">
        <f t="shared" si="104"/>
        <v>-0.76078756095316957</v>
      </c>
      <c r="W1336" s="12">
        <v>-76.58</v>
      </c>
      <c r="X1336" s="12">
        <v>0</v>
      </c>
      <c r="Y1336" s="62"/>
    </row>
    <row r="1337" spans="1:25" x14ac:dyDescent="0.2">
      <c r="A1337" s="3" t="s">
        <v>3602</v>
      </c>
      <c r="B1337" s="3" t="s">
        <v>1374</v>
      </c>
      <c r="C1337" s="6" t="s">
        <v>355</v>
      </c>
      <c r="D1337" s="6" t="s">
        <v>134</v>
      </c>
      <c r="E1337" s="6" t="s">
        <v>119</v>
      </c>
      <c r="F1337" s="6">
        <v>3639.34</v>
      </c>
      <c r="G1337" s="2">
        <v>7</v>
      </c>
      <c r="H1337" s="61">
        <v>-1.65</v>
      </c>
      <c r="I1337" s="61">
        <v>-0.67</v>
      </c>
      <c r="J1337" s="47">
        <f t="shared" si="100"/>
        <v>-1.2357142857142858</v>
      </c>
      <c r="K1337" s="47">
        <f t="shared" si="101"/>
        <v>0.59393939393939388</v>
      </c>
      <c r="L1337" s="8">
        <v>-0.2</v>
      </c>
      <c r="O1337" s="17">
        <f t="shared" si="102"/>
        <v>0</v>
      </c>
      <c r="P1337" s="17">
        <f t="shared" si="103"/>
        <v>0</v>
      </c>
      <c r="Q1337" s="17"/>
      <c r="R1337" s="9">
        <v>20220907</v>
      </c>
      <c r="T1337" s="9">
        <v>12.69</v>
      </c>
      <c r="U1337" s="9">
        <v>1628.46704</v>
      </c>
      <c r="V1337" s="45">
        <f t="shared" si="104"/>
        <v>-0.99220739524454848</v>
      </c>
      <c r="W1337" s="12">
        <v>77.27</v>
      </c>
      <c r="X1337" s="12">
        <v>0</v>
      </c>
      <c r="Y1337" s="62"/>
    </row>
    <row r="1338" spans="1:25" x14ac:dyDescent="0.2">
      <c r="A1338" s="3" t="s">
        <v>3603</v>
      </c>
      <c r="B1338" s="3" t="s">
        <v>1375</v>
      </c>
      <c r="C1338" s="6" t="s">
        <v>354</v>
      </c>
      <c r="D1338" s="6" t="s">
        <v>315</v>
      </c>
      <c r="E1338" s="6" t="s">
        <v>60</v>
      </c>
      <c r="F1338" s="6">
        <v>52850.92</v>
      </c>
      <c r="G1338" s="2">
        <v>12</v>
      </c>
      <c r="H1338" s="61">
        <v>6.07</v>
      </c>
      <c r="I1338" s="61">
        <v>16.399999999999999</v>
      </c>
      <c r="J1338" s="47">
        <f t="shared" si="100"/>
        <v>-0.49416666666666664</v>
      </c>
      <c r="K1338" s="47">
        <f t="shared" si="101"/>
        <v>1.7018121911037887</v>
      </c>
      <c r="L1338" s="8">
        <v>14.19</v>
      </c>
      <c r="M1338" s="8">
        <v>11.1</v>
      </c>
      <c r="N1338" s="8">
        <v>5.84</v>
      </c>
      <c r="O1338" s="17">
        <f t="shared" si="102"/>
        <v>-0.22462057335581787</v>
      </c>
      <c r="P1338" s="17">
        <f t="shared" si="103"/>
        <v>3.4316360116166518E-2</v>
      </c>
      <c r="Q1338" s="17">
        <v>6.75</v>
      </c>
      <c r="R1338" s="9">
        <v>20220808</v>
      </c>
      <c r="S1338" s="9">
        <v>20.55</v>
      </c>
      <c r="T1338" s="9">
        <v>41.18</v>
      </c>
      <c r="U1338" s="9">
        <v>39986.160150000003</v>
      </c>
      <c r="V1338" s="45">
        <f t="shared" si="104"/>
        <v>-0.99897014367357306</v>
      </c>
      <c r="W1338" s="12">
        <v>4.25</v>
      </c>
      <c r="X1338" s="12">
        <v>2</v>
      </c>
      <c r="Y1338" s="62">
        <v>0.73</v>
      </c>
    </row>
    <row r="1339" spans="1:25" x14ac:dyDescent="0.2">
      <c r="A1339" s="3" t="s">
        <v>3604</v>
      </c>
      <c r="B1339" s="3" t="s">
        <v>1376</v>
      </c>
      <c r="C1339" s="6" t="s">
        <v>355</v>
      </c>
      <c r="D1339" s="6" t="s">
        <v>195</v>
      </c>
      <c r="E1339" s="6" t="s">
        <v>208</v>
      </c>
      <c r="F1339" s="6">
        <v>3767.8</v>
      </c>
      <c r="G1339" s="2">
        <v>12</v>
      </c>
      <c r="H1339" s="61">
        <v>-4.96</v>
      </c>
      <c r="I1339" s="61">
        <v>-5.82</v>
      </c>
      <c r="J1339" s="47">
        <f t="shared" si="100"/>
        <v>-1.4133333333333333</v>
      </c>
      <c r="K1339" s="47">
        <f t="shared" si="101"/>
        <v>-0.17338709677419362</v>
      </c>
      <c r="L1339" s="8">
        <v>-4.9000000000000004</v>
      </c>
      <c r="O1339" s="17">
        <f t="shared" si="102"/>
        <v>0</v>
      </c>
      <c r="P1339" s="17">
        <f t="shared" si="103"/>
        <v>0</v>
      </c>
      <c r="Q1339" s="17"/>
      <c r="R1339" s="9">
        <v>20220804</v>
      </c>
      <c r="S1339" s="9">
        <v>-96.99</v>
      </c>
      <c r="T1339" s="9">
        <v>28.05</v>
      </c>
      <c r="U1339" s="9">
        <v>805.57299</v>
      </c>
      <c r="V1339" s="45">
        <f t="shared" si="104"/>
        <v>-0.96518006394429889</v>
      </c>
      <c r="W1339" s="12">
        <v>3.33</v>
      </c>
      <c r="X1339" s="12">
        <v>0</v>
      </c>
      <c r="Y1339" s="62"/>
    </row>
    <row r="1340" spans="1:25" x14ac:dyDescent="0.2">
      <c r="A1340" s="3" t="s">
        <v>3605</v>
      </c>
      <c r="B1340" s="3" t="s">
        <v>1377</v>
      </c>
      <c r="C1340" s="6" t="s">
        <v>355</v>
      </c>
      <c r="D1340" s="6" t="s">
        <v>97</v>
      </c>
      <c r="E1340" s="6" t="s">
        <v>163</v>
      </c>
      <c r="F1340" s="6">
        <v>22867.599999999999</v>
      </c>
      <c r="G1340" s="2">
        <v>12</v>
      </c>
      <c r="H1340" s="61">
        <v>7.03</v>
      </c>
      <c r="I1340" s="61">
        <v>7.8</v>
      </c>
      <c r="J1340" s="47">
        <f t="shared" si="100"/>
        <v>-0.41416666666666663</v>
      </c>
      <c r="K1340" s="47">
        <f t="shared" si="101"/>
        <v>0.10953058321479367</v>
      </c>
      <c r="L1340" s="8">
        <v>8.98</v>
      </c>
      <c r="M1340" s="8">
        <v>15.24</v>
      </c>
      <c r="N1340" s="8">
        <v>14.07</v>
      </c>
      <c r="O1340" s="17">
        <f t="shared" si="102"/>
        <v>-0.3679678068410463</v>
      </c>
      <c r="P1340" s="17">
        <f t="shared" si="103"/>
        <v>1.2845727272727283</v>
      </c>
      <c r="Q1340" s="17">
        <v>12.22</v>
      </c>
      <c r="R1340" s="9">
        <v>20220720</v>
      </c>
      <c r="S1340" s="9">
        <v>14.3</v>
      </c>
      <c r="T1340" s="9">
        <v>2.67</v>
      </c>
      <c r="U1340" s="9">
        <v>7094.5551699999996</v>
      </c>
      <c r="V1340" s="45">
        <f t="shared" si="104"/>
        <v>-0.99962365505151185</v>
      </c>
      <c r="W1340" s="12">
        <v>6.63</v>
      </c>
      <c r="X1340" s="12">
        <v>2.5499999999999998</v>
      </c>
      <c r="Y1340" s="62"/>
    </row>
    <row r="1341" spans="1:25" x14ac:dyDescent="0.2">
      <c r="A1341" s="3" t="s">
        <v>3606</v>
      </c>
      <c r="B1341" s="3" t="s">
        <v>2238</v>
      </c>
      <c r="C1341" s="6" t="s">
        <v>356</v>
      </c>
      <c r="D1341" s="6" t="s">
        <v>139</v>
      </c>
      <c r="E1341" s="6" t="s">
        <v>250</v>
      </c>
      <c r="F1341" s="6">
        <v>114121.98</v>
      </c>
      <c r="G1341" s="2">
        <v>3</v>
      </c>
      <c r="H1341" s="61"/>
      <c r="I1341" s="61"/>
      <c r="J1341" s="47">
        <f t="shared" si="100"/>
        <v>-1</v>
      </c>
      <c r="K1341" s="47" t="e">
        <f t="shared" si="101"/>
        <v>#DIV/0!</v>
      </c>
      <c r="M1341" s="8">
        <v>10.8</v>
      </c>
      <c r="O1341" s="17">
        <f t="shared" si="102"/>
        <v>-0.10800000000000001</v>
      </c>
      <c r="P1341" s="17" t="e">
        <f t="shared" si="103"/>
        <v>#DIV/0!</v>
      </c>
      <c r="Q1341" s="17"/>
      <c r="R1341" s="9">
        <v>20220805</v>
      </c>
      <c r="S1341" s="9">
        <v>13.84</v>
      </c>
      <c r="T1341" s="9">
        <v>1.35</v>
      </c>
      <c r="V1341" s="45" t="e">
        <f t="shared" si="104"/>
        <v>#DIV/0!</v>
      </c>
      <c r="X1341" s="12">
        <v>2.35</v>
      </c>
      <c r="Y1341" s="62"/>
    </row>
    <row r="1342" spans="1:25" x14ac:dyDescent="0.2">
      <c r="A1342" s="3" t="s">
        <v>3607</v>
      </c>
      <c r="B1342" s="3" t="s">
        <v>3608</v>
      </c>
      <c r="C1342" s="6" t="s">
        <v>354</v>
      </c>
      <c r="D1342" s="6" t="s">
        <v>233</v>
      </c>
      <c r="E1342" s="6" t="s">
        <v>108</v>
      </c>
      <c r="F1342" s="6">
        <v>16273.26</v>
      </c>
      <c r="G1342" s="2">
        <v>12</v>
      </c>
      <c r="H1342" s="61">
        <v>-0.01</v>
      </c>
      <c r="I1342" s="61">
        <v>0.02</v>
      </c>
      <c r="J1342" s="47">
        <f t="shared" si="100"/>
        <v>-1.0008333333333332</v>
      </c>
      <c r="K1342" s="47">
        <f t="shared" si="101"/>
        <v>3</v>
      </c>
      <c r="L1342" s="8">
        <v>0.1</v>
      </c>
      <c r="N1342" s="8">
        <v>176.5</v>
      </c>
      <c r="O1342" s="17">
        <f t="shared" si="102"/>
        <v>0</v>
      </c>
      <c r="P1342" s="17">
        <f t="shared" si="103"/>
        <v>0.58833333333333337</v>
      </c>
      <c r="Q1342" s="17">
        <v>35.299999999999997</v>
      </c>
      <c r="R1342" s="9">
        <v>20220815</v>
      </c>
      <c r="U1342" s="9">
        <v>3713.6369599999998</v>
      </c>
      <c r="V1342" s="45">
        <f t="shared" si="104"/>
        <v>-1</v>
      </c>
      <c r="W1342" s="12">
        <v>100</v>
      </c>
      <c r="X1342" s="12">
        <v>0</v>
      </c>
      <c r="Y1342" s="62"/>
    </row>
    <row r="1343" spans="1:25" x14ac:dyDescent="0.2">
      <c r="A1343" s="3" t="s">
        <v>3609</v>
      </c>
      <c r="B1343" s="3" t="s">
        <v>1378</v>
      </c>
      <c r="C1343" s="6" t="s">
        <v>354</v>
      </c>
      <c r="D1343" s="6" t="s">
        <v>232</v>
      </c>
      <c r="E1343" s="6" t="s">
        <v>60</v>
      </c>
      <c r="F1343" s="6">
        <v>35404.870000000003</v>
      </c>
      <c r="G1343" s="2">
        <v>12</v>
      </c>
      <c r="H1343" s="61">
        <v>23.22</v>
      </c>
      <c r="I1343" s="61">
        <v>27.18</v>
      </c>
      <c r="J1343" s="47">
        <f t="shared" si="100"/>
        <v>0.93499999999999994</v>
      </c>
      <c r="K1343" s="47">
        <f t="shared" si="101"/>
        <v>0.17054263565891478</v>
      </c>
      <c r="L1343" s="8">
        <v>14.18</v>
      </c>
      <c r="M1343" s="8">
        <v>4.76</v>
      </c>
      <c r="N1343" s="8">
        <v>4.9000000000000004</v>
      </c>
      <c r="O1343" s="17">
        <f t="shared" si="102"/>
        <v>5.0909090909090904E-2</v>
      </c>
      <c r="P1343" s="17">
        <f t="shared" si="103"/>
        <v>0.28731818181818175</v>
      </c>
      <c r="Q1343" s="17">
        <v>9.3800000000000008</v>
      </c>
      <c r="R1343" s="9">
        <v>20220728</v>
      </c>
      <c r="S1343" s="9">
        <v>55.61</v>
      </c>
      <c r="T1343" s="9">
        <v>9.52</v>
      </c>
      <c r="U1343" s="9">
        <v>43238.683590000001</v>
      </c>
      <c r="V1343" s="45">
        <f t="shared" si="104"/>
        <v>-0.99977982678450006</v>
      </c>
      <c r="W1343" s="12">
        <v>4.3499999999999996</v>
      </c>
      <c r="X1343" s="12">
        <v>1.5</v>
      </c>
      <c r="Y1343" s="62"/>
    </row>
    <row r="1344" spans="1:25" x14ac:dyDescent="0.2">
      <c r="A1344" s="3" t="s">
        <v>3610</v>
      </c>
      <c r="B1344" s="3" t="s">
        <v>1379</v>
      </c>
      <c r="C1344" s="6" t="s">
        <v>355</v>
      </c>
      <c r="D1344" s="6" t="s">
        <v>185</v>
      </c>
      <c r="E1344" s="6" t="s">
        <v>208</v>
      </c>
      <c r="F1344" s="6">
        <v>3677.79</v>
      </c>
      <c r="G1344" s="2">
        <v>12</v>
      </c>
      <c r="H1344" s="61">
        <v>-13.16</v>
      </c>
      <c r="I1344" s="61">
        <v>25.01</v>
      </c>
      <c r="J1344" s="47">
        <f t="shared" si="100"/>
        <v>-2.0966666666666667</v>
      </c>
      <c r="K1344" s="47">
        <f t="shared" si="101"/>
        <v>2.9004559270516719</v>
      </c>
      <c r="L1344" s="8">
        <v>8.85</v>
      </c>
      <c r="N1344" s="8">
        <v>1.88</v>
      </c>
      <c r="O1344" s="17">
        <f t="shared" si="102"/>
        <v>0</v>
      </c>
      <c r="P1344" s="17">
        <f t="shared" si="103"/>
        <v>6.4817395860623525E-3</v>
      </c>
      <c r="Q1344" s="17">
        <v>5.32</v>
      </c>
      <c r="R1344" s="9">
        <v>20220804</v>
      </c>
      <c r="S1344" s="9">
        <v>-572.54</v>
      </c>
      <c r="T1344" s="9">
        <v>159.35</v>
      </c>
      <c r="U1344" s="9">
        <v>4423.56005</v>
      </c>
      <c r="V1344" s="45">
        <f t="shared" si="104"/>
        <v>-0.96397697822594264</v>
      </c>
      <c r="W1344" s="12">
        <v>-23.12</v>
      </c>
      <c r="X1344" s="12">
        <v>0</v>
      </c>
      <c r="Y1344" s="62">
        <v>0.05</v>
      </c>
    </row>
    <row r="1345" spans="1:25" x14ac:dyDescent="0.2">
      <c r="A1345" s="3" t="s">
        <v>1380</v>
      </c>
      <c r="B1345" s="3" t="s">
        <v>1381</v>
      </c>
      <c r="C1345" s="6" t="s">
        <v>355</v>
      </c>
      <c r="D1345" s="6" t="s">
        <v>195</v>
      </c>
      <c r="E1345" s="6" t="s">
        <v>208</v>
      </c>
      <c r="F1345" s="6">
        <v>8386.76</v>
      </c>
      <c r="G1345" s="2">
        <v>12</v>
      </c>
      <c r="H1345" s="61">
        <v>-0.41</v>
      </c>
      <c r="I1345" s="61">
        <v>-0.53</v>
      </c>
      <c r="J1345" s="47">
        <f t="shared" si="100"/>
        <v>-1.0341666666666667</v>
      </c>
      <c r="K1345" s="47">
        <f t="shared" si="101"/>
        <v>-0.29268292682926844</v>
      </c>
      <c r="L1345" s="8">
        <v>-0.53</v>
      </c>
      <c r="O1345" s="17">
        <f t="shared" si="102"/>
        <v>0</v>
      </c>
      <c r="P1345" s="17">
        <f t="shared" si="103"/>
        <v>0</v>
      </c>
      <c r="Q1345" s="17"/>
      <c r="R1345" s="9">
        <v>20220804</v>
      </c>
      <c r="S1345" s="9">
        <v>-14.21</v>
      </c>
      <c r="T1345" s="9">
        <v>36.26</v>
      </c>
      <c r="U1345" s="9">
        <v>551.55798000000004</v>
      </c>
      <c r="V1345" s="45">
        <f t="shared" si="104"/>
        <v>-0.93425895134361037</v>
      </c>
      <c r="W1345" s="12">
        <v>76.47</v>
      </c>
      <c r="X1345" s="12">
        <v>0</v>
      </c>
      <c r="Y1345" s="62"/>
    </row>
    <row r="1346" spans="1:25" x14ac:dyDescent="0.2">
      <c r="A1346" s="3" t="s">
        <v>3611</v>
      </c>
      <c r="B1346" s="3" t="s">
        <v>1382</v>
      </c>
      <c r="C1346" s="6" t="s">
        <v>355</v>
      </c>
      <c r="D1346" s="6" t="s">
        <v>1093</v>
      </c>
      <c r="E1346" s="6" t="s">
        <v>119</v>
      </c>
      <c r="F1346" s="6">
        <v>519955.94</v>
      </c>
      <c r="G1346" s="2">
        <v>1</v>
      </c>
      <c r="H1346" s="61">
        <v>4.3499999999999996</v>
      </c>
      <c r="I1346" s="61">
        <v>5.56</v>
      </c>
      <c r="J1346" s="47">
        <f t="shared" si="100"/>
        <v>3.3499999999999996</v>
      </c>
      <c r="K1346" s="47">
        <f t="shared" si="101"/>
        <v>0.27816091954022992</v>
      </c>
      <c r="L1346" s="8">
        <v>6.31</v>
      </c>
      <c r="M1346" s="8">
        <v>36.51</v>
      </c>
      <c r="N1346" s="8">
        <v>32.130000000000003</v>
      </c>
      <c r="O1346" s="17">
        <f t="shared" si="102"/>
        <v>0.10898507462686569</v>
      </c>
      <c r="P1346" s="17">
        <f t="shared" si="103"/>
        <v>1.1550867768595039</v>
      </c>
      <c r="Q1346" s="17">
        <v>28.28</v>
      </c>
      <c r="R1346" s="9">
        <v>20220817</v>
      </c>
      <c r="S1346" s="9">
        <v>43.81</v>
      </c>
      <c r="T1346" s="9">
        <v>24.02</v>
      </c>
      <c r="U1346" s="9">
        <v>34192.675779999998</v>
      </c>
      <c r="V1346" s="45">
        <f t="shared" si="104"/>
        <v>-0.99929751037460346</v>
      </c>
      <c r="W1346" s="12">
        <v>4.62</v>
      </c>
      <c r="X1346" s="12">
        <v>0.09</v>
      </c>
      <c r="Y1346" s="62">
        <v>1.91</v>
      </c>
    </row>
    <row r="1347" spans="1:25" x14ac:dyDescent="0.2">
      <c r="A1347" s="3" t="s">
        <v>3612</v>
      </c>
      <c r="B1347" s="3" t="s">
        <v>3613</v>
      </c>
      <c r="C1347" s="6" t="s">
        <v>355</v>
      </c>
      <c r="D1347" s="6" t="s">
        <v>153</v>
      </c>
      <c r="E1347" s="6" t="s">
        <v>108</v>
      </c>
      <c r="F1347" s="6">
        <v>7195.43</v>
      </c>
      <c r="G1347" s="2">
        <v>12</v>
      </c>
      <c r="H1347" s="61">
        <v>1.68</v>
      </c>
      <c r="I1347" s="61">
        <v>2.14</v>
      </c>
      <c r="J1347" s="47">
        <f t="shared" ref="J1347:J1410" si="105">(H1347-G1347)/ABS(G1347)</f>
        <v>-0.86</v>
      </c>
      <c r="K1347" s="47">
        <f t="shared" ref="K1347:K1410" si="106">(I1347-H1347)/ABS(H1347)</f>
        <v>0.27380952380952395</v>
      </c>
      <c r="L1347" s="8">
        <v>2.79</v>
      </c>
      <c r="N1347" s="8">
        <v>23.83</v>
      </c>
      <c r="O1347" s="17">
        <f t="shared" ref="O1347:O1410" si="107">M1347/(J1347*100)</f>
        <v>0</v>
      </c>
      <c r="P1347" s="17">
        <f t="shared" ref="P1347:P1410" si="108">N1347/(K1347*100)</f>
        <v>0.87031304347826044</v>
      </c>
      <c r="Q1347" s="17">
        <v>18.25</v>
      </c>
      <c r="R1347" s="9">
        <v>20220809</v>
      </c>
      <c r="U1347" s="9">
        <v>959.66197999999997</v>
      </c>
      <c r="V1347" s="45">
        <f t="shared" ref="V1347:V1410" si="109">(T1347-U1347)/U1347</f>
        <v>-1</v>
      </c>
      <c r="W1347" s="12">
        <v>15</v>
      </c>
      <c r="X1347" s="12">
        <v>0</v>
      </c>
      <c r="Y1347" s="62">
        <v>0.99</v>
      </c>
    </row>
    <row r="1348" spans="1:25" x14ac:dyDescent="0.2">
      <c r="A1348" s="3" t="s">
        <v>3614</v>
      </c>
      <c r="B1348" s="3" t="s">
        <v>3615</v>
      </c>
      <c r="C1348" s="6" t="s">
        <v>355</v>
      </c>
      <c r="D1348" s="6" t="s">
        <v>143</v>
      </c>
      <c r="E1348" s="6" t="s">
        <v>119</v>
      </c>
      <c r="F1348" s="6">
        <v>3062.74</v>
      </c>
      <c r="G1348" s="2">
        <v>12</v>
      </c>
      <c r="H1348" s="61">
        <v>3.81</v>
      </c>
      <c r="I1348" s="61">
        <v>4.68</v>
      </c>
      <c r="J1348" s="47">
        <f t="shared" si="105"/>
        <v>-0.6825</v>
      </c>
      <c r="K1348" s="47">
        <f t="shared" si="106"/>
        <v>0.22834645669291329</v>
      </c>
      <c r="L1348" s="8">
        <v>4.97</v>
      </c>
      <c r="M1348" s="8">
        <v>24.05</v>
      </c>
      <c r="N1348" s="8">
        <v>22.8</v>
      </c>
      <c r="O1348" s="17">
        <f t="shared" si="107"/>
        <v>-0.35238095238095241</v>
      </c>
      <c r="P1348" s="17">
        <f t="shared" si="108"/>
        <v>0.99848275862069003</v>
      </c>
      <c r="Q1348" s="17">
        <v>21.47</v>
      </c>
      <c r="R1348" s="9">
        <v>20220804</v>
      </c>
      <c r="S1348" s="9">
        <v>27.51</v>
      </c>
      <c r="T1348" s="9">
        <v>13.59</v>
      </c>
      <c r="U1348" s="9">
        <v>542</v>
      </c>
      <c r="V1348" s="45">
        <f t="shared" si="109"/>
        <v>-0.97492619926199253</v>
      </c>
      <c r="W1348" s="12">
        <v>23.81</v>
      </c>
      <c r="X1348" s="12">
        <v>0</v>
      </c>
      <c r="Y1348" s="62">
        <v>2.5099999999999998</v>
      </c>
    </row>
    <row r="1349" spans="1:25" x14ac:dyDescent="0.2">
      <c r="A1349" s="3" t="s">
        <v>1383</v>
      </c>
      <c r="B1349" s="3" t="s">
        <v>1383</v>
      </c>
      <c r="C1349" s="6" t="s">
        <v>354</v>
      </c>
      <c r="D1349" s="6" t="s">
        <v>784</v>
      </c>
      <c r="E1349" s="6" t="s">
        <v>140</v>
      </c>
      <c r="F1349" s="6">
        <v>14310.11</v>
      </c>
      <c r="G1349" s="2">
        <v>12</v>
      </c>
      <c r="H1349" s="61">
        <v>331.52</v>
      </c>
      <c r="I1349" s="61">
        <v>539.63</v>
      </c>
      <c r="J1349" s="47">
        <f t="shared" si="105"/>
        <v>26.626666666666665</v>
      </c>
      <c r="K1349" s="47">
        <f t="shared" si="106"/>
        <v>0.62774493243243246</v>
      </c>
      <c r="L1349" s="8">
        <v>509.89</v>
      </c>
      <c r="M1349" s="8">
        <v>11.61</v>
      </c>
      <c r="N1349" s="8">
        <v>8.06</v>
      </c>
      <c r="O1349" s="17">
        <f t="shared" si="107"/>
        <v>4.3602904356534805E-3</v>
      </c>
      <c r="P1349" s="17">
        <f t="shared" si="108"/>
        <v>0.12839609821728895</v>
      </c>
      <c r="Q1349" s="17">
        <v>8.5299999999999994</v>
      </c>
      <c r="R1349" s="9">
        <v>20220720</v>
      </c>
      <c r="S1349" s="9">
        <v>47.99</v>
      </c>
      <c r="T1349" s="9">
        <v>7.73</v>
      </c>
      <c r="U1349" s="9">
        <v>10411.815420000001</v>
      </c>
      <c r="V1349" s="45">
        <f t="shared" si="109"/>
        <v>-0.99925757423771155</v>
      </c>
      <c r="W1349" s="12">
        <v>16.010000000000002</v>
      </c>
      <c r="X1349" s="12">
        <v>0</v>
      </c>
      <c r="Y1349" s="62"/>
    </row>
    <row r="1350" spans="1:25" x14ac:dyDescent="0.2">
      <c r="A1350" s="3" t="s">
        <v>3616</v>
      </c>
      <c r="B1350" s="3" t="s">
        <v>1384</v>
      </c>
      <c r="C1350" s="6" t="s">
        <v>354</v>
      </c>
      <c r="D1350" s="6" t="s">
        <v>179</v>
      </c>
      <c r="E1350" s="6" t="s">
        <v>208</v>
      </c>
      <c r="F1350" s="6">
        <v>204124.81</v>
      </c>
      <c r="G1350" s="2">
        <v>12</v>
      </c>
      <c r="H1350" s="61">
        <v>6.31</v>
      </c>
      <c r="I1350" s="61">
        <v>6.1</v>
      </c>
      <c r="J1350" s="47">
        <f t="shared" si="105"/>
        <v>-0.47416666666666668</v>
      </c>
      <c r="K1350" s="47">
        <f t="shared" si="106"/>
        <v>-3.328050713153724E-2</v>
      </c>
      <c r="L1350" s="8">
        <v>6.73</v>
      </c>
      <c r="M1350" s="8">
        <v>14.7</v>
      </c>
      <c r="N1350" s="8">
        <v>14.97</v>
      </c>
      <c r="O1350" s="17">
        <f t="shared" si="107"/>
        <v>-0.31001757469244284</v>
      </c>
      <c r="P1350" s="17">
        <f t="shared" si="108"/>
        <v>-4.4981285714285724</v>
      </c>
      <c r="Q1350" s="17">
        <v>13.57</v>
      </c>
      <c r="R1350" s="9">
        <v>20220720</v>
      </c>
      <c r="S1350" s="9">
        <v>23.16</v>
      </c>
      <c r="T1350" s="9">
        <v>0.44</v>
      </c>
      <c r="U1350" s="9">
        <v>52853.40625</v>
      </c>
      <c r="V1350" s="45">
        <f t="shared" si="109"/>
        <v>-0.99999167508716613</v>
      </c>
      <c r="W1350" s="12">
        <v>1.39</v>
      </c>
      <c r="X1350" s="12">
        <v>2.37</v>
      </c>
      <c r="Y1350" s="62">
        <v>2.66</v>
      </c>
    </row>
    <row r="1351" spans="1:25" x14ac:dyDescent="0.2">
      <c r="A1351" s="3" t="s">
        <v>3617</v>
      </c>
      <c r="B1351" s="3" t="s">
        <v>1385</v>
      </c>
      <c r="C1351" s="6" t="s">
        <v>354</v>
      </c>
      <c r="D1351" s="6" t="s">
        <v>193</v>
      </c>
      <c r="E1351" s="6" t="s">
        <v>208</v>
      </c>
      <c r="F1351" s="6">
        <v>6829.94</v>
      </c>
      <c r="G1351" s="2">
        <v>12</v>
      </c>
      <c r="H1351" s="61">
        <v>1.8</v>
      </c>
      <c r="I1351" s="61">
        <v>2.02</v>
      </c>
      <c r="J1351" s="47">
        <f t="shared" si="105"/>
        <v>-0.85</v>
      </c>
      <c r="K1351" s="47">
        <f t="shared" si="106"/>
        <v>0.1222222222222222</v>
      </c>
      <c r="L1351" s="8">
        <v>2.27</v>
      </c>
      <c r="M1351" s="8">
        <v>21.99</v>
      </c>
      <c r="N1351" s="8">
        <v>20.79</v>
      </c>
      <c r="O1351" s="17">
        <f t="shared" si="107"/>
        <v>-0.25870588235294117</v>
      </c>
      <c r="P1351" s="17">
        <f t="shared" si="108"/>
        <v>1.7010000000000003</v>
      </c>
      <c r="Q1351" s="17">
        <v>18.510000000000002</v>
      </c>
      <c r="R1351" s="9">
        <v>20220802</v>
      </c>
      <c r="S1351" s="9">
        <v>8.5399999999999991</v>
      </c>
      <c r="U1351" s="9">
        <v>2658.7319299999999</v>
      </c>
      <c r="V1351" s="45">
        <f t="shared" si="109"/>
        <v>-1</v>
      </c>
      <c r="W1351" s="12">
        <v>6.82</v>
      </c>
      <c r="X1351" s="12">
        <v>0</v>
      </c>
      <c r="Y1351" s="62">
        <v>1.58</v>
      </c>
    </row>
    <row r="1352" spans="1:25" x14ac:dyDescent="0.2">
      <c r="A1352" s="3" t="s">
        <v>3618</v>
      </c>
      <c r="B1352" s="3" t="s">
        <v>1386</v>
      </c>
      <c r="C1352" s="6" t="s">
        <v>354</v>
      </c>
      <c r="D1352" s="6" t="s">
        <v>141</v>
      </c>
      <c r="E1352" s="6" t="s">
        <v>119</v>
      </c>
      <c r="F1352" s="6">
        <v>5830.46</v>
      </c>
      <c r="G1352" s="2">
        <v>12</v>
      </c>
      <c r="H1352" s="61">
        <v>1.95</v>
      </c>
      <c r="I1352" s="61">
        <v>2.21</v>
      </c>
      <c r="J1352" s="47">
        <f t="shared" si="105"/>
        <v>-0.83750000000000002</v>
      </c>
      <c r="K1352" s="47">
        <f t="shared" si="106"/>
        <v>0.13333333333333333</v>
      </c>
      <c r="L1352" s="8">
        <v>2.41</v>
      </c>
      <c r="M1352" s="8">
        <v>17.27</v>
      </c>
      <c r="N1352" s="8">
        <v>15.82</v>
      </c>
      <c r="O1352" s="17">
        <f t="shared" si="107"/>
        <v>-0.20620895522388058</v>
      </c>
      <c r="P1352" s="17">
        <f t="shared" si="108"/>
        <v>1.1864999999999999</v>
      </c>
      <c r="Q1352" s="17">
        <v>14.54</v>
      </c>
      <c r="R1352" s="9">
        <v>20220802</v>
      </c>
      <c r="S1352" s="9">
        <v>13.68</v>
      </c>
      <c r="T1352" s="9">
        <v>1.92</v>
      </c>
      <c r="U1352" s="9">
        <v>2767.8500899999999</v>
      </c>
      <c r="V1352" s="45">
        <f t="shared" si="109"/>
        <v>-0.99930632081306103</v>
      </c>
      <c r="W1352" s="12">
        <v>13.64</v>
      </c>
      <c r="X1352" s="12">
        <v>2</v>
      </c>
      <c r="Y1352" s="62"/>
    </row>
    <row r="1353" spans="1:25" x14ac:dyDescent="0.2">
      <c r="A1353" s="3" t="s">
        <v>3619</v>
      </c>
      <c r="B1353" s="3" t="s">
        <v>1889</v>
      </c>
      <c r="C1353" s="6" t="s">
        <v>356</v>
      </c>
      <c r="D1353" s="6" t="s">
        <v>128</v>
      </c>
      <c r="E1353" s="6" t="s">
        <v>60</v>
      </c>
      <c r="F1353" s="6">
        <v>14079.67</v>
      </c>
      <c r="G1353" s="2">
        <v>12</v>
      </c>
      <c r="H1353" s="61">
        <v>1.71</v>
      </c>
      <c r="I1353" s="61">
        <v>1.66</v>
      </c>
      <c r="J1353" s="47">
        <f t="shared" si="105"/>
        <v>-0.85749999999999993</v>
      </c>
      <c r="K1353" s="47">
        <f t="shared" si="106"/>
        <v>-2.9239766081871371E-2</v>
      </c>
      <c r="L1353" s="8">
        <v>1.84</v>
      </c>
      <c r="M1353" s="8">
        <v>35.61</v>
      </c>
      <c r="N1353" s="8">
        <v>37.21</v>
      </c>
      <c r="O1353" s="17">
        <f t="shared" si="107"/>
        <v>-0.41527696793002916</v>
      </c>
      <c r="P1353" s="17">
        <f t="shared" si="108"/>
        <v>-12.725819999999988</v>
      </c>
      <c r="Q1353" s="17">
        <v>33.76</v>
      </c>
      <c r="R1353" s="9">
        <v>20220531</v>
      </c>
      <c r="S1353" s="9">
        <v>27.43</v>
      </c>
      <c r="T1353" s="9">
        <v>0.92</v>
      </c>
      <c r="U1353" s="9">
        <v>2476.3500899999999</v>
      </c>
      <c r="V1353" s="45">
        <f t="shared" si="109"/>
        <v>-0.99962848548607275</v>
      </c>
      <c r="W1353" s="12">
        <v>12.2</v>
      </c>
      <c r="X1353" s="12">
        <v>0.88</v>
      </c>
      <c r="Y1353" s="62">
        <v>8.1999999999999993</v>
      </c>
    </row>
    <row r="1354" spans="1:25" x14ac:dyDescent="0.2">
      <c r="A1354" s="3" t="s">
        <v>3620</v>
      </c>
      <c r="B1354" s="3" t="s">
        <v>2008</v>
      </c>
      <c r="C1354" s="6" t="s">
        <v>355</v>
      </c>
      <c r="D1354" s="6" t="s">
        <v>246</v>
      </c>
      <c r="E1354" s="6" t="s">
        <v>250</v>
      </c>
      <c r="F1354" s="6">
        <v>3372.31</v>
      </c>
      <c r="G1354" s="2">
        <v>12</v>
      </c>
      <c r="H1354" s="61">
        <v>3.55</v>
      </c>
      <c r="I1354" s="61">
        <v>3.32</v>
      </c>
      <c r="J1354" s="47">
        <f t="shared" si="105"/>
        <v>-0.70416666666666661</v>
      </c>
      <c r="K1354" s="47">
        <f t="shared" si="106"/>
        <v>-6.4788732394366194E-2</v>
      </c>
      <c r="L1354" s="8">
        <v>3.56</v>
      </c>
      <c r="M1354" s="8">
        <v>17.8</v>
      </c>
      <c r="N1354" s="8">
        <v>18.760000000000002</v>
      </c>
      <c r="O1354" s="17">
        <f t="shared" si="107"/>
        <v>-0.25278106508875742</v>
      </c>
      <c r="P1354" s="17">
        <f t="shared" si="108"/>
        <v>-2.8955652173913049</v>
      </c>
      <c r="Q1354" s="17">
        <v>17.5</v>
      </c>
      <c r="R1354" s="9">
        <v>20220726</v>
      </c>
      <c r="S1354" s="9">
        <v>8.15</v>
      </c>
      <c r="T1354" s="9">
        <v>0.76</v>
      </c>
      <c r="U1354" s="9">
        <v>1410.5</v>
      </c>
      <c r="V1354" s="45">
        <f t="shared" si="109"/>
        <v>-0.99946118397731298</v>
      </c>
      <c r="W1354" s="12">
        <v>-9.92</v>
      </c>
      <c r="X1354" s="12">
        <v>4.05</v>
      </c>
      <c r="Y1354" s="62">
        <v>6.87</v>
      </c>
    </row>
    <row r="1355" spans="1:25" x14ac:dyDescent="0.2">
      <c r="A1355" s="3" t="s">
        <v>3621</v>
      </c>
      <c r="B1355" s="3" t="s">
        <v>2239</v>
      </c>
      <c r="C1355" s="6" t="s">
        <v>354</v>
      </c>
      <c r="D1355" s="6" t="s">
        <v>69</v>
      </c>
      <c r="E1355" s="6" t="s">
        <v>163</v>
      </c>
      <c r="F1355" s="6">
        <v>30319.97</v>
      </c>
      <c r="G1355" s="2">
        <v>12</v>
      </c>
      <c r="H1355" s="61">
        <v>0.76</v>
      </c>
      <c r="I1355" s="61">
        <v>0.56000000000000005</v>
      </c>
      <c r="J1355" s="47">
        <f t="shared" si="105"/>
        <v>-0.93666666666666665</v>
      </c>
      <c r="K1355" s="47">
        <f t="shared" si="106"/>
        <v>-0.26315789473684204</v>
      </c>
      <c r="L1355" s="8">
        <v>0.81</v>
      </c>
      <c r="M1355" s="8">
        <v>7.85</v>
      </c>
      <c r="N1355" s="8">
        <v>10.14</v>
      </c>
      <c r="O1355" s="17">
        <f t="shared" si="107"/>
        <v>-8.3807829181494653E-2</v>
      </c>
      <c r="P1355" s="17">
        <f t="shared" si="108"/>
        <v>-0.38532000000000011</v>
      </c>
      <c r="Q1355" s="17">
        <v>7.07</v>
      </c>
      <c r="R1355" s="9">
        <v>20220729</v>
      </c>
      <c r="S1355" s="9">
        <v>7.26</v>
      </c>
      <c r="T1355" s="9">
        <v>-4.29</v>
      </c>
      <c r="U1355" s="9">
        <v>14518.815420000001</v>
      </c>
      <c r="V1355" s="45">
        <f t="shared" si="109"/>
        <v>-1.0002954786513845</v>
      </c>
      <c r="W1355" s="12">
        <v>-27.27</v>
      </c>
      <c r="X1355" s="12">
        <v>6.67</v>
      </c>
      <c r="Y1355" s="62">
        <v>0.95</v>
      </c>
    </row>
    <row r="1356" spans="1:25" x14ac:dyDescent="0.2">
      <c r="A1356" s="3" t="s">
        <v>3622</v>
      </c>
      <c r="B1356" s="3" t="s">
        <v>1387</v>
      </c>
      <c r="C1356" s="6" t="s">
        <v>355</v>
      </c>
      <c r="D1356" s="6" t="s">
        <v>136</v>
      </c>
      <c r="E1356" s="6" t="s">
        <v>154</v>
      </c>
      <c r="F1356" s="6">
        <v>8770.33</v>
      </c>
      <c r="G1356" s="2">
        <v>12</v>
      </c>
      <c r="H1356" s="61">
        <v>1.72</v>
      </c>
      <c r="I1356" s="61">
        <v>1.92</v>
      </c>
      <c r="J1356" s="47">
        <f t="shared" si="105"/>
        <v>-0.85666666666666658</v>
      </c>
      <c r="K1356" s="47">
        <f t="shared" si="106"/>
        <v>0.11627906976744183</v>
      </c>
      <c r="L1356" s="8">
        <v>2.13</v>
      </c>
      <c r="M1356" s="8">
        <v>11.28</v>
      </c>
      <c r="N1356" s="8">
        <v>11.04</v>
      </c>
      <c r="O1356" s="17">
        <f t="shared" si="107"/>
        <v>-0.13167315175097277</v>
      </c>
      <c r="P1356" s="17">
        <f t="shared" si="108"/>
        <v>0.94944000000000017</v>
      </c>
      <c r="Q1356" s="17">
        <v>9.9499999999999993</v>
      </c>
      <c r="R1356" s="9">
        <v>20220729</v>
      </c>
      <c r="S1356" s="9">
        <v>19.95</v>
      </c>
      <c r="T1356" s="9">
        <v>-7.73</v>
      </c>
      <c r="U1356" s="9">
        <v>10178.78515</v>
      </c>
      <c r="V1356" s="45">
        <f t="shared" si="109"/>
        <v>-1.0007594226507472</v>
      </c>
      <c r="W1356" s="12">
        <v>33.33</v>
      </c>
      <c r="X1356" s="12">
        <v>4.34</v>
      </c>
      <c r="Y1356" s="62"/>
    </row>
    <row r="1357" spans="1:25" x14ac:dyDescent="0.2">
      <c r="A1357" s="3" t="s">
        <v>2009</v>
      </c>
      <c r="B1357" s="3" t="s">
        <v>2240</v>
      </c>
      <c r="C1357" s="6" t="s">
        <v>355</v>
      </c>
      <c r="D1357" s="6" t="s">
        <v>147</v>
      </c>
      <c r="E1357" s="6" t="s">
        <v>146</v>
      </c>
      <c r="F1357" s="6">
        <v>10191.9</v>
      </c>
      <c r="G1357" s="2">
        <v>6</v>
      </c>
      <c r="H1357" s="61"/>
      <c r="I1357" s="61"/>
      <c r="J1357" s="47">
        <f t="shared" si="105"/>
        <v>-1</v>
      </c>
      <c r="K1357" s="47" t="e">
        <f t="shared" si="106"/>
        <v>#DIV/0!</v>
      </c>
      <c r="M1357" s="8">
        <v>17.579999999999998</v>
      </c>
      <c r="O1357" s="17">
        <f t="shared" si="107"/>
        <v>-0.17579999999999998</v>
      </c>
      <c r="P1357" s="17" t="e">
        <f t="shared" si="108"/>
        <v>#DIV/0!</v>
      </c>
      <c r="Q1357" s="17"/>
      <c r="R1357" s="9">
        <v>20220804</v>
      </c>
      <c r="S1357" s="9">
        <v>6.35</v>
      </c>
      <c r="T1357" s="9">
        <v>2.66</v>
      </c>
      <c r="V1357" s="45" t="e">
        <f t="shared" si="109"/>
        <v>#DIV/0!</v>
      </c>
      <c r="X1357" s="12">
        <v>1.1499999999999999</v>
      </c>
      <c r="Y1357" s="62"/>
    </row>
    <row r="1358" spans="1:25" x14ac:dyDescent="0.2">
      <c r="A1358" s="3" t="s">
        <v>2009</v>
      </c>
      <c r="B1358" s="3" t="s">
        <v>2010</v>
      </c>
      <c r="C1358" s="6" t="s">
        <v>355</v>
      </c>
      <c r="D1358" s="6" t="s">
        <v>147</v>
      </c>
      <c r="E1358" s="6" t="s">
        <v>146</v>
      </c>
      <c r="F1358" s="6">
        <v>10092.33</v>
      </c>
      <c r="G1358" s="2">
        <v>6</v>
      </c>
      <c r="H1358" s="61">
        <v>0.45</v>
      </c>
      <c r="I1358" s="61">
        <v>0.74</v>
      </c>
      <c r="J1358" s="47">
        <f t="shared" si="105"/>
        <v>-0.92499999999999993</v>
      </c>
      <c r="K1358" s="47">
        <f t="shared" si="106"/>
        <v>0.64444444444444438</v>
      </c>
      <c r="L1358" s="8">
        <v>0.74</v>
      </c>
      <c r="M1358" s="8">
        <v>17.399999999999999</v>
      </c>
      <c r="N1358" s="8">
        <v>23.28</v>
      </c>
      <c r="O1358" s="17">
        <f t="shared" si="107"/>
        <v>-0.1881081081081081</v>
      </c>
      <c r="P1358" s="17">
        <f t="shared" si="108"/>
        <v>0.36124137931034483</v>
      </c>
      <c r="Q1358" s="17">
        <v>23.28</v>
      </c>
      <c r="R1358" s="9">
        <v>20220804</v>
      </c>
      <c r="S1358" s="9">
        <v>6.35</v>
      </c>
      <c r="T1358" s="9">
        <v>2.66</v>
      </c>
      <c r="U1358" s="9">
        <v>10078.565420000001</v>
      </c>
      <c r="V1358" s="45">
        <f t="shared" si="109"/>
        <v>-0.99973607354924532</v>
      </c>
      <c r="W1358" s="12">
        <v>-15.79</v>
      </c>
      <c r="X1358" s="12">
        <v>1.1599999999999999</v>
      </c>
      <c r="Y1358" s="62"/>
    </row>
    <row r="1359" spans="1:25" x14ac:dyDescent="0.2">
      <c r="A1359" s="3" t="s">
        <v>3623</v>
      </c>
      <c r="B1359" s="3" t="s">
        <v>1388</v>
      </c>
      <c r="C1359" s="6" t="s">
        <v>356</v>
      </c>
      <c r="D1359" s="6" t="s">
        <v>219</v>
      </c>
      <c r="E1359" s="6" t="s">
        <v>231</v>
      </c>
      <c r="F1359" s="6">
        <v>10903.94</v>
      </c>
      <c r="G1359" s="2">
        <v>1</v>
      </c>
      <c r="H1359" s="61">
        <v>3.51</v>
      </c>
      <c r="I1359" s="61">
        <v>3.53</v>
      </c>
      <c r="J1359" s="47">
        <f t="shared" si="105"/>
        <v>2.5099999999999998</v>
      </c>
      <c r="K1359" s="47">
        <f t="shared" si="106"/>
        <v>5.6980056980057035E-3</v>
      </c>
      <c r="L1359" s="8">
        <v>3.64</v>
      </c>
      <c r="N1359" s="8">
        <v>11.78</v>
      </c>
      <c r="O1359" s="17">
        <f t="shared" si="107"/>
        <v>0</v>
      </c>
      <c r="P1359" s="17">
        <f t="shared" si="108"/>
        <v>20.673899999999978</v>
      </c>
      <c r="Q1359" s="17">
        <v>11.42</v>
      </c>
      <c r="U1359" s="9">
        <v>6453.1059500000001</v>
      </c>
      <c r="V1359" s="45">
        <f t="shared" si="109"/>
        <v>-1</v>
      </c>
      <c r="X1359" s="12">
        <v>4.16</v>
      </c>
      <c r="Y1359" s="62"/>
    </row>
    <row r="1360" spans="1:25" x14ac:dyDescent="0.2">
      <c r="A1360" s="3" t="s">
        <v>3624</v>
      </c>
      <c r="B1360" s="3" t="s">
        <v>1389</v>
      </c>
      <c r="C1360" s="6" t="s">
        <v>355</v>
      </c>
      <c r="D1360" s="6" t="s">
        <v>227</v>
      </c>
      <c r="E1360" s="6" t="s">
        <v>119</v>
      </c>
      <c r="F1360" s="6">
        <v>50577.86</v>
      </c>
      <c r="G1360" s="2">
        <v>12</v>
      </c>
      <c r="H1360" s="61">
        <v>10.59</v>
      </c>
      <c r="I1360" s="61">
        <v>13.73</v>
      </c>
      <c r="J1360" s="47">
        <f t="shared" si="105"/>
        <v>-0.11750000000000001</v>
      </c>
      <c r="K1360" s="47">
        <f t="shared" si="106"/>
        <v>0.29650613786591129</v>
      </c>
      <c r="L1360" s="8">
        <v>14.51</v>
      </c>
      <c r="M1360" s="8">
        <v>16.420000000000002</v>
      </c>
      <c r="N1360" s="8">
        <v>14.03</v>
      </c>
      <c r="O1360" s="17">
        <f t="shared" si="107"/>
        <v>-1.3974468085106384</v>
      </c>
      <c r="P1360" s="17">
        <f t="shared" si="108"/>
        <v>0.47317738853503172</v>
      </c>
      <c r="Q1360" s="17">
        <v>13.27</v>
      </c>
      <c r="R1360" s="9">
        <v>20220801</v>
      </c>
      <c r="S1360" s="9">
        <v>40.21</v>
      </c>
      <c r="T1360" s="9">
        <v>2.29</v>
      </c>
      <c r="U1360" s="9">
        <v>13148.56835</v>
      </c>
      <c r="V1360" s="45">
        <f t="shared" si="109"/>
        <v>-0.99982583655200752</v>
      </c>
      <c r="W1360" s="12">
        <v>8.49</v>
      </c>
      <c r="X1360" s="12">
        <v>1.75</v>
      </c>
      <c r="Y1360" s="62">
        <v>0.64</v>
      </c>
    </row>
    <row r="1361" spans="1:25" x14ac:dyDescent="0.2">
      <c r="A1361" s="3" t="s">
        <v>3625</v>
      </c>
      <c r="B1361" s="3" t="s">
        <v>1390</v>
      </c>
      <c r="C1361" s="6" t="s">
        <v>355</v>
      </c>
      <c r="D1361" s="6" t="s">
        <v>789</v>
      </c>
      <c r="E1361" s="6" t="s">
        <v>146</v>
      </c>
      <c r="F1361" s="6">
        <v>6917.61</v>
      </c>
      <c r="G1361" s="2">
        <v>12</v>
      </c>
      <c r="H1361" s="61">
        <v>17.579999999999998</v>
      </c>
      <c r="I1361" s="61">
        <v>25.9</v>
      </c>
      <c r="J1361" s="47">
        <f t="shared" si="105"/>
        <v>0.46499999999999986</v>
      </c>
      <c r="K1361" s="47">
        <f t="shared" si="106"/>
        <v>0.47326507394766787</v>
      </c>
      <c r="L1361" s="8">
        <v>21.82</v>
      </c>
      <c r="M1361" s="8">
        <v>8.32</v>
      </c>
      <c r="N1361" s="8">
        <v>6.61</v>
      </c>
      <c r="O1361" s="17">
        <f t="shared" si="107"/>
        <v>0.17892473118279575</v>
      </c>
      <c r="P1361" s="17">
        <f t="shared" si="108"/>
        <v>0.13966802884615384</v>
      </c>
      <c r="Q1361" s="17">
        <v>7.85</v>
      </c>
      <c r="R1361" s="9">
        <v>20220803</v>
      </c>
      <c r="S1361" s="9">
        <v>32.08</v>
      </c>
      <c r="T1361" s="9">
        <v>22.49</v>
      </c>
      <c r="U1361" s="9">
        <v>5309.2900300000001</v>
      </c>
      <c r="V1361" s="45">
        <f t="shared" si="109"/>
        <v>-0.99576402873587233</v>
      </c>
      <c r="W1361" s="12">
        <v>38.340000000000003</v>
      </c>
      <c r="X1361" s="12">
        <v>2.1</v>
      </c>
      <c r="Y1361" s="62">
        <v>0.66</v>
      </c>
    </row>
    <row r="1362" spans="1:25" x14ac:dyDescent="0.2">
      <c r="A1362" s="3" t="s">
        <v>3626</v>
      </c>
      <c r="B1362" s="3" t="s">
        <v>1391</v>
      </c>
      <c r="C1362" s="6" t="s">
        <v>354</v>
      </c>
      <c r="D1362" s="6" t="s">
        <v>637</v>
      </c>
      <c r="E1362" s="6" t="s">
        <v>163</v>
      </c>
      <c r="F1362" s="6">
        <v>4628.3500000000004</v>
      </c>
      <c r="G1362" s="2">
        <v>12</v>
      </c>
      <c r="H1362" s="61">
        <v>1.24</v>
      </c>
      <c r="I1362" s="61">
        <v>1.34</v>
      </c>
      <c r="J1362" s="47">
        <f t="shared" si="105"/>
        <v>-0.89666666666666661</v>
      </c>
      <c r="K1362" s="47">
        <f t="shared" si="106"/>
        <v>8.0645161290322648E-2</v>
      </c>
      <c r="L1362" s="8">
        <v>1.39</v>
      </c>
      <c r="M1362" s="8">
        <v>7.8</v>
      </c>
      <c r="N1362" s="8">
        <v>7.41</v>
      </c>
      <c r="O1362" s="17">
        <f t="shared" si="107"/>
        <v>-8.6988847583643128E-2</v>
      </c>
      <c r="P1362" s="17">
        <f t="shared" si="108"/>
        <v>0.91883999999999921</v>
      </c>
      <c r="Q1362" s="17">
        <v>7.15</v>
      </c>
      <c r="R1362" s="9">
        <v>20220727</v>
      </c>
      <c r="S1362" s="9">
        <v>9.8000000000000007</v>
      </c>
      <c r="T1362" s="9">
        <v>-0.48</v>
      </c>
      <c r="U1362" s="9">
        <v>1432.1949400000001</v>
      </c>
      <c r="V1362" s="45">
        <f t="shared" si="109"/>
        <v>-1.0003351499063389</v>
      </c>
      <c r="W1362" s="12">
        <v>0</v>
      </c>
      <c r="X1362" s="12">
        <v>6.86</v>
      </c>
      <c r="Y1362" s="62">
        <v>0.74</v>
      </c>
    </row>
    <row r="1363" spans="1:25" x14ac:dyDescent="0.2">
      <c r="A1363" s="3" t="s">
        <v>1392</v>
      </c>
      <c r="B1363" s="3" t="s">
        <v>1393</v>
      </c>
      <c r="C1363" s="6" t="s">
        <v>354</v>
      </c>
      <c r="D1363" s="6" t="s">
        <v>1394</v>
      </c>
      <c r="E1363" s="6" t="s">
        <v>154</v>
      </c>
      <c r="F1363" s="6">
        <v>5562.05</v>
      </c>
      <c r="G1363" s="2">
        <v>12</v>
      </c>
      <c r="H1363" s="61">
        <v>1.2</v>
      </c>
      <c r="I1363" s="61">
        <v>1.17</v>
      </c>
      <c r="J1363" s="47">
        <f t="shared" si="105"/>
        <v>-0.9</v>
      </c>
      <c r="K1363" s="47">
        <f t="shared" si="106"/>
        <v>-2.5000000000000022E-2</v>
      </c>
      <c r="L1363" s="8">
        <v>1.34</v>
      </c>
      <c r="M1363" s="8">
        <v>27.45</v>
      </c>
      <c r="N1363" s="8">
        <v>28.39</v>
      </c>
      <c r="O1363" s="17">
        <f t="shared" si="107"/>
        <v>-0.30499999999999999</v>
      </c>
      <c r="P1363" s="17">
        <f t="shared" si="108"/>
        <v>-11.355999999999991</v>
      </c>
      <c r="Q1363" s="17">
        <v>24.88</v>
      </c>
      <c r="R1363" s="9">
        <v>20220803</v>
      </c>
      <c r="S1363" s="9">
        <v>13.87</v>
      </c>
      <c r="T1363" s="9">
        <v>4.5599999999999996</v>
      </c>
      <c r="U1363" s="9">
        <v>2321.75</v>
      </c>
      <c r="V1363" s="45">
        <f t="shared" si="109"/>
        <v>-0.99803596425110375</v>
      </c>
      <c r="W1363" s="12">
        <v>0</v>
      </c>
      <c r="X1363" s="12">
        <v>1.08</v>
      </c>
      <c r="Y1363" s="62"/>
    </row>
    <row r="1364" spans="1:25" x14ac:dyDescent="0.2">
      <c r="A1364" s="3" t="s">
        <v>3627</v>
      </c>
      <c r="B1364" s="3" t="s">
        <v>1395</v>
      </c>
      <c r="C1364" s="6" t="s">
        <v>354</v>
      </c>
      <c r="D1364" s="6" t="s">
        <v>217</v>
      </c>
      <c r="E1364" s="6" t="s">
        <v>163</v>
      </c>
      <c r="F1364" s="6">
        <v>40950.800000000003</v>
      </c>
      <c r="G1364" s="2">
        <v>12</v>
      </c>
      <c r="H1364" s="61">
        <v>3.58</v>
      </c>
      <c r="I1364" s="61">
        <v>3.91</v>
      </c>
      <c r="J1364" s="47">
        <f t="shared" si="105"/>
        <v>-0.70166666666666666</v>
      </c>
      <c r="K1364" s="47">
        <f t="shared" si="106"/>
        <v>9.2178770949720684E-2</v>
      </c>
      <c r="L1364" s="8">
        <v>4.04</v>
      </c>
      <c r="M1364" s="8">
        <v>18.350000000000001</v>
      </c>
      <c r="N1364" s="8">
        <v>17.399999999999999</v>
      </c>
      <c r="O1364" s="17">
        <f t="shared" si="107"/>
        <v>-0.26152019002375299</v>
      </c>
      <c r="P1364" s="17">
        <f t="shared" si="108"/>
        <v>1.8876363636363631</v>
      </c>
      <c r="Q1364" s="17">
        <v>16.84</v>
      </c>
      <c r="R1364" s="9">
        <v>20220801</v>
      </c>
      <c r="S1364" s="9">
        <v>2.44</v>
      </c>
      <c r="T1364" s="9">
        <v>13.43</v>
      </c>
      <c r="U1364" s="9">
        <v>3289.6230399999999</v>
      </c>
      <c r="V1364" s="45">
        <f t="shared" si="109"/>
        <v>-0.9959174653640559</v>
      </c>
      <c r="W1364" s="12">
        <v>1.03</v>
      </c>
      <c r="X1364" s="12">
        <v>4.3499999999999996</v>
      </c>
      <c r="Y1364" s="62">
        <v>4.92</v>
      </c>
    </row>
    <row r="1365" spans="1:25" x14ac:dyDescent="0.2">
      <c r="A1365" s="3" t="s">
        <v>3628</v>
      </c>
      <c r="B1365" s="3" t="s">
        <v>2011</v>
      </c>
      <c r="C1365" s="6" t="s">
        <v>356</v>
      </c>
      <c r="D1365" s="6" t="s">
        <v>596</v>
      </c>
      <c r="E1365" s="6" t="s">
        <v>119</v>
      </c>
      <c r="F1365" s="6">
        <v>13898.44</v>
      </c>
      <c r="G1365" s="2">
        <v>3</v>
      </c>
      <c r="H1365" s="61">
        <v>4.28</v>
      </c>
      <c r="I1365" s="61">
        <v>4.91</v>
      </c>
      <c r="J1365" s="47">
        <f t="shared" si="105"/>
        <v>0.42666666666666675</v>
      </c>
      <c r="K1365" s="47">
        <f t="shared" si="106"/>
        <v>0.14719626168224295</v>
      </c>
      <c r="L1365" s="8">
        <v>5.43</v>
      </c>
      <c r="M1365" s="8">
        <v>35.51</v>
      </c>
      <c r="N1365" s="8">
        <v>31.82</v>
      </c>
      <c r="O1365" s="17">
        <f t="shared" si="107"/>
        <v>0.8322656249999999</v>
      </c>
      <c r="P1365" s="17">
        <f t="shared" si="108"/>
        <v>2.1617396825396833</v>
      </c>
      <c r="Q1365" s="17">
        <v>28.77</v>
      </c>
      <c r="R1365" s="9">
        <v>20220720</v>
      </c>
      <c r="S1365" s="9">
        <v>15.58</v>
      </c>
      <c r="U1365" s="9">
        <v>893.22997999999995</v>
      </c>
      <c r="V1365" s="45">
        <f t="shared" si="109"/>
        <v>-1</v>
      </c>
      <c r="X1365" s="12">
        <v>0</v>
      </c>
      <c r="Y1365" s="62"/>
    </row>
    <row r="1366" spans="1:25" x14ac:dyDescent="0.2">
      <c r="A1366" s="3" t="s">
        <v>3629</v>
      </c>
      <c r="B1366" s="3" t="s">
        <v>2241</v>
      </c>
      <c r="C1366" s="6" t="s">
        <v>356</v>
      </c>
      <c r="D1366" s="6" t="s">
        <v>121</v>
      </c>
      <c r="E1366" s="6" t="s">
        <v>140</v>
      </c>
      <c r="F1366" s="6">
        <v>5195.79</v>
      </c>
      <c r="G1366" s="2">
        <v>3</v>
      </c>
      <c r="H1366" s="61"/>
      <c r="I1366" s="61"/>
      <c r="J1366" s="47">
        <f t="shared" si="105"/>
        <v>-1</v>
      </c>
      <c r="K1366" s="47" t="e">
        <f t="shared" si="106"/>
        <v>#DIV/0!</v>
      </c>
      <c r="M1366" s="8">
        <v>8.6199999999999992</v>
      </c>
      <c r="O1366" s="17">
        <f t="shared" si="107"/>
        <v>-8.6199999999999999E-2</v>
      </c>
      <c r="P1366" s="17" t="e">
        <f t="shared" si="108"/>
        <v>#DIV/0!</v>
      </c>
      <c r="Q1366" s="17"/>
      <c r="R1366" s="9">
        <v>20220601</v>
      </c>
      <c r="S1366" s="9">
        <v>6.81</v>
      </c>
      <c r="V1366" s="45" t="e">
        <f t="shared" si="109"/>
        <v>#DIV/0!</v>
      </c>
      <c r="X1366" s="12">
        <v>0</v>
      </c>
      <c r="Y1366" s="62"/>
    </row>
    <row r="1367" spans="1:25" x14ac:dyDescent="0.2">
      <c r="A1367" s="3" t="s">
        <v>3630</v>
      </c>
      <c r="B1367" s="3" t="s">
        <v>1396</v>
      </c>
      <c r="C1367" s="6" t="s">
        <v>354</v>
      </c>
      <c r="D1367" s="6" t="s">
        <v>121</v>
      </c>
      <c r="E1367" s="6" t="s">
        <v>140</v>
      </c>
      <c r="F1367" s="6">
        <v>9252.52</v>
      </c>
      <c r="G1367" s="2">
        <v>12</v>
      </c>
      <c r="H1367" s="61">
        <v>8.74</v>
      </c>
      <c r="I1367" s="61">
        <v>11.65</v>
      </c>
      <c r="J1367" s="47">
        <f t="shared" si="105"/>
        <v>-0.27166666666666667</v>
      </c>
      <c r="K1367" s="47">
        <f t="shared" si="106"/>
        <v>0.33295194508009152</v>
      </c>
      <c r="L1367" s="8">
        <v>11.44</v>
      </c>
      <c r="M1367" s="8">
        <v>9.3800000000000008</v>
      </c>
      <c r="N1367" s="8">
        <v>8.18</v>
      </c>
      <c r="O1367" s="17">
        <f t="shared" si="107"/>
        <v>-0.34527607361963192</v>
      </c>
      <c r="P1367" s="17">
        <f t="shared" si="108"/>
        <v>0.24568109965635737</v>
      </c>
      <c r="Q1367" s="17">
        <v>8.33</v>
      </c>
      <c r="R1367" s="9">
        <v>20220727</v>
      </c>
      <c r="S1367" s="9">
        <v>24.44</v>
      </c>
      <c r="T1367" s="9">
        <v>6.22</v>
      </c>
      <c r="U1367" s="9">
        <v>9701.5253900000007</v>
      </c>
      <c r="V1367" s="45">
        <f t="shared" si="109"/>
        <v>-0.99935886370957594</v>
      </c>
      <c r="W1367" s="12">
        <v>17.36</v>
      </c>
      <c r="X1367" s="12">
        <v>1.47</v>
      </c>
      <c r="Y1367" s="62">
        <v>0.64</v>
      </c>
    </row>
    <row r="1368" spans="1:25" x14ac:dyDescent="0.2">
      <c r="A1368" s="3" t="s">
        <v>3631</v>
      </c>
      <c r="B1368" s="3" t="s">
        <v>1397</v>
      </c>
      <c r="C1368" s="6" t="s">
        <v>356</v>
      </c>
      <c r="D1368" s="6" t="s">
        <v>174</v>
      </c>
      <c r="E1368" s="6" t="s">
        <v>231</v>
      </c>
      <c r="F1368" s="6">
        <v>8019.16</v>
      </c>
      <c r="G1368" s="2">
        <v>11</v>
      </c>
      <c r="H1368" s="61">
        <v>-1.17</v>
      </c>
      <c r="I1368" s="61">
        <v>-1.52</v>
      </c>
      <c r="J1368" s="47">
        <f t="shared" si="105"/>
        <v>-1.1063636363636364</v>
      </c>
      <c r="K1368" s="47">
        <f t="shared" si="106"/>
        <v>-0.29914529914529925</v>
      </c>
      <c r="L1368" s="8">
        <v>-1.34</v>
      </c>
      <c r="O1368" s="17">
        <f t="shared" si="107"/>
        <v>0</v>
      </c>
      <c r="P1368" s="17">
        <f t="shared" si="108"/>
        <v>0</v>
      </c>
      <c r="Q1368" s="17"/>
      <c r="U1368" s="9">
        <v>4030.7949199999998</v>
      </c>
      <c r="V1368" s="45">
        <f t="shared" si="109"/>
        <v>-1</v>
      </c>
      <c r="X1368" s="12">
        <v>0</v>
      </c>
      <c r="Y1368" s="62"/>
    </row>
    <row r="1369" spans="1:25" x14ac:dyDescent="0.2">
      <c r="A1369" s="3" t="s">
        <v>3632</v>
      </c>
      <c r="B1369" s="3" t="s">
        <v>1890</v>
      </c>
      <c r="C1369" s="6" t="s">
        <v>355</v>
      </c>
      <c r="D1369" s="6" t="s">
        <v>195</v>
      </c>
      <c r="E1369" s="6" t="s">
        <v>208</v>
      </c>
      <c r="F1369" s="6">
        <v>3924.17</v>
      </c>
      <c r="G1369" s="2">
        <v>12</v>
      </c>
      <c r="H1369" s="61">
        <v>0.77</v>
      </c>
      <c r="I1369" s="61">
        <v>0.88</v>
      </c>
      <c r="J1369" s="47">
        <f t="shared" si="105"/>
        <v>-0.93583333333333341</v>
      </c>
      <c r="K1369" s="47">
        <f t="shared" si="106"/>
        <v>0.14285714285714285</v>
      </c>
      <c r="L1369" s="8">
        <v>1.06</v>
      </c>
      <c r="M1369" s="8">
        <v>22.6</v>
      </c>
      <c r="N1369" s="8">
        <v>19.98</v>
      </c>
      <c r="O1369" s="17">
        <f t="shared" si="107"/>
        <v>-0.24149599287622439</v>
      </c>
      <c r="P1369" s="17">
        <f t="shared" si="108"/>
        <v>1.3986000000000001</v>
      </c>
      <c r="Q1369" s="17">
        <v>16.68</v>
      </c>
      <c r="R1369" s="9">
        <v>20220803</v>
      </c>
      <c r="S1369" s="9">
        <v>41.71</v>
      </c>
      <c r="U1369" s="9">
        <v>2086.2099600000001</v>
      </c>
      <c r="V1369" s="45">
        <f t="shared" si="109"/>
        <v>-1</v>
      </c>
      <c r="W1369" s="12">
        <v>15</v>
      </c>
      <c r="X1369" s="12">
        <v>0</v>
      </c>
      <c r="Y1369" s="62">
        <v>1.55</v>
      </c>
    </row>
    <row r="1370" spans="1:25" x14ac:dyDescent="0.2">
      <c r="A1370" s="3" t="s">
        <v>3633</v>
      </c>
      <c r="B1370" s="3" t="s">
        <v>1398</v>
      </c>
      <c r="C1370" s="6" t="s">
        <v>356</v>
      </c>
      <c r="D1370" s="6" t="s">
        <v>191</v>
      </c>
      <c r="E1370" s="6" t="s">
        <v>208</v>
      </c>
      <c r="F1370" s="6">
        <v>28181.69</v>
      </c>
      <c r="G1370" s="2">
        <v>3</v>
      </c>
      <c r="H1370" s="61">
        <v>0.72</v>
      </c>
      <c r="I1370" s="61">
        <v>0.84</v>
      </c>
      <c r="J1370" s="47">
        <f t="shared" si="105"/>
        <v>-0.76000000000000012</v>
      </c>
      <c r="K1370" s="47">
        <f t="shared" si="106"/>
        <v>0.16666666666666666</v>
      </c>
      <c r="L1370" s="8">
        <v>0.88</v>
      </c>
      <c r="M1370" s="8">
        <v>27.11</v>
      </c>
      <c r="N1370" s="8">
        <v>25.82</v>
      </c>
      <c r="O1370" s="17">
        <f t="shared" si="107"/>
        <v>-0.35671052631578942</v>
      </c>
      <c r="P1370" s="17">
        <f t="shared" si="108"/>
        <v>1.5492000000000001</v>
      </c>
      <c r="Q1370" s="17">
        <v>24.79</v>
      </c>
      <c r="R1370" s="9">
        <v>20220804</v>
      </c>
      <c r="S1370" s="9">
        <v>25.91</v>
      </c>
      <c r="U1370" s="9">
        <v>8164.9648399999996</v>
      </c>
      <c r="V1370" s="45">
        <f t="shared" si="109"/>
        <v>-1</v>
      </c>
      <c r="W1370" s="12">
        <v>111.11</v>
      </c>
      <c r="X1370" s="12">
        <v>0</v>
      </c>
      <c r="Y1370" s="62">
        <v>1.23</v>
      </c>
    </row>
    <row r="1371" spans="1:25" x14ac:dyDescent="0.2">
      <c r="A1371" s="3" t="s">
        <v>3634</v>
      </c>
      <c r="B1371" s="3" t="s">
        <v>1399</v>
      </c>
      <c r="C1371" s="6" t="s">
        <v>355</v>
      </c>
      <c r="D1371" s="6" t="s">
        <v>1120</v>
      </c>
      <c r="E1371" s="6" t="s">
        <v>237</v>
      </c>
      <c r="F1371" s="6">
        <v>29580.799999999999</v>
      </c>
      <c r="G1371" s="2">
        <v>12</v>
      </c>
      <c r="H1371" s="61">
        <v>8.7200000000000006</v>
      </c>
      <c r="I1371" s="61">
        <v>11.43</v>
      </c>
      <c r="J1371" s="47">
        <f t="shared" si="105"/>
        <v>-0.27333333333333326</v>
      </c>
      <c r="K1371" s="47">
        <f t="shared" si="106"/>
        <v>0.31077981651376135</v>
      </c>
      <c r="L1371" s="8">
        <v>12.04</v>
      </c>
      <c r="M1371" s="8">
        <v>26.66</v>
      </c>
      <c r="N1371" s="8">
        <v>22.82</v>
      </c>
      <c r="O1371" s="17">
        <f t="shared" si="107"/>
        <v>-0.9753658536585369</v>
      </c>
      <c r="P1371" s="17">
        <f t="shared" si="108"/>
        <v>0.73428191881918847</v>
      </c>
      <c r="Q1371" s="17">
        <v>21.68</v>
      </c>
      <c r="R1371" s="9">
        <v>20220727</v>
      </c>
      <c r="S1371" s="9">
        <v>32.409999999999997</v>
      </c>
      <c r="T1371" s="9">
        <v>9.35</v>
      </c>
      <c r="U1371" s="9">
        <v>6410.1660099999999</v>
      </c>
      <c r="V1371" s="45">
        <f t="shared" si="109"/>
        <v>-0.99854137942989085</v>
      </c>
      <c r="W1371" s="12">
        <v>9.6999999999999993</v>
      </c>
      <c r="X1371" s="12">
        <v>0.46</v>
      </c>
      <c r="Y1371" s="62">
        <v>1.32</v>
      </c>
    </row>
    <row r="1372" spans="1:25" x14ac:dyDescent="0.2">
      <c r="A1372" s="3" t="s">
        <v>2012</v>
      </c>
      <c r="B1372" s="3" t="s">
        <v>2013</v>
      </c>
      <c r="C1372" s="6" t="s">
        <v>354</v>
      </c>
      <c r="D1372" s="6" t="s">
        <v>215</v>
      </c>
      <c r="E1372" s="6" t="s">
        <v>163</v>
      </c>
      <c r="F1372" s="6">
        <v>3057.68</v>
      </c>
      <c r="G1372" s="2">
        <v>12</v>
      </c>
      <c r="H1372" s="61">
        <v>2.2799999999999998</v>
      </c>
      <c r="I1372" s="61">
        <v>2.34</v>
      </c>
      <c r="J1372" s="47">
        <f t="shared" si="105"/>
        <v>-0.81</v>
      </c>
      <c r="K1372" s="47">
        <f t="shared" si="106"/>
        <v>2.6315789473684237E-2</v>
      </c>
      <c r="L1372" s="8">
        <v>2.46</v>
      </c>
      <c r="M1372" s="8">
        <v>11.77</v>
      </c>
      <c r="N1372" s="8">
        <v>11.62</v>
      </c>
      <c r="O1372" s="17">
        <f t="shared" si="107"/>
        <v>-0.14530864197530863</v>
      </c>
      <c r="P1372" s="17">
        <f t="shared" si="108"/>
        <v>4.4155999999999951</v>
      </c>
      <c r="Q1372" s="17">
        <v>11.06</v>
      </c>
      <c r="R1372" s="9">
        <v>20220804</v>
      </c>
      <c r="S1372" s="9">
        <v>6.67</v>
      </c>
      <c r="T1372" s="9">
        <v>2.84</v>
      </c>
      <c r="U1372" s="9">
        <v>725.38702000000001</v>
      </c>
      <c r="V1372" s="45">
        <f t="shared" si="109"/>
        <v>-0.99608484860950497</v>
      </c>
      <c r="W1372" s="12">
        <v>1.75</v>
      </c>
      <c r="X1372" s="12">
        <v>4.04</v>
      </c>
      <c r="Y1372" s="62">
        <v>2.21</v>
      </c>
    </row>
    <row r="1373" spans="1:25" x14ac:dyDescent="0.2">
      <c r="A1373" s="3" t="s">
        <v>3635</v>
      </c>
      <c r="B1373" s="3" t="s">
        <v>1400</v>
      </c>
      <c r="C1373" s="6" t="s">
        <v>354</v>
      </c>
      <c r="D1373" s="6" t="s">
        <v>246</v>
      </c>
      <c r="E1373" s="6" t="s">
        <v>250</v>
      </c>
      <c r="F1373" s="6">
        <v>8210.31</v>
      </c>
      <c r="G1373" s="2">
        <v>12</v>
      </c>
      <c r="H1373" s="61">
        <v>2.2599999999999998</v>
      </c>
      <c r="I1373" s="61">
        <v>2.15</v>
      </c>
      <c r="J1373" s="47">
        <f t="shared" si="105"/>
        <v>-0.81166666666666665</v>
      </c>
      <c r="K1373" s="47">
        <f t="shared" si="106"/>
        <v>-4.8672566371681367E-2</v>
      </c>
      <c r="L1373" s="8">
        <v>2.0699999999999998</v>
      </c>
      <c r="M1373" s="8">
        <v>11.78</v>
      </c>
      <c r="N1373" s="8">
        <v>19.07</v>
      </c>
      <c r="O1373" s="17">
        <f t="shared" si="107"/>
        <v>-0.14513347022587267</v>
      </c>
      <c r="P1373" s="17">
        <f t="shared" si="108"/>
        <v>-3.9180181818181863</v>
      </c>
      <c r="Q1373" s="17">
        <v>19.86</v>
      </c>
      <c r="R1373" s="9">
        <v>20220804</v>
      </c>
      <c r="S1373" s="9">
        <v>17.73</v>
      </c>
      <c r="T1373" s="9">
        <v>7.76</v>
      </c>
      <c r="V1373" s="45" t="e">
        <f t="shared" si="109"/>
        <v>#DIV/0!</v>
      </c>
      <c r="W1373" s="12">
        <v>3.7</v>
      </c>
      <c r="X1373" s="12">
        <v>4</v>
      </c>
      <c r="Y1373" s="62">
        <v>5.5</v>
      </c>
    </row>
    <row r="1374" spans="1:25" x14ac:dyDescent="0.2">
      <c r="A1374" s="3" t="s">
        <v>3636</v>
      </c>
      <c r="B1374" s="3" t="s">
        <v>3637</v>
      </c>
      <c r="C1374" s="6" t="s">
        <v>354</v>
      </c>
      <c r="D1374" s="6" t="s">
        <v>195</v>
      </c>
      <c r="E1374" s="6" t="s">
        <v>208</v>
      </c>
      <c r="F1374" s="6">
        <v>9780.25</v>
      </c>
      <c r="G1374" s="2">
        <v>12</v>
      </c>
      <c r="H1374" s="61">
        <v>6.23</v>
      </c>
      <c r="I1374" s="61">
        <v>5.34</v>
      </c>
      <c r="J1374" s="47">
        <f t="shared" si="105"/>
        <v>-0.48083333333333328</v>
      </c>
      <c r="K1374" s="47">
        <f t="shared" si="106"/>
        <v>-0.14285714285714293</v>
      </c>
      <c r="L1374" s="8">
        <v>5.73</v>
      </c>
      <c r="M1374" s="8">
        <v>6.02</v>
      </c>
      <c r="N1374" s="8">
        <v>7.23</v>
      </c>
      <c r="O1374" s="17">
        <f t="shared" si="107"/>
        <v>-0.12519930675909879</v>
      </c>
      <c r="P1374" s="17">
        <f t="shared" si="108"/>
        <v>-0.50609999999999977</v>
      </c>
      <c r="Q1374" s="17">
        <v>6.73</v>
      </c>
      <c r="R1374" s="9">
        <v>20220811</v>
      </c>
      <c r="S1374" s="9">
        <v>-103.33</v>
      </c>
      <c r="U1374" s="9">
        <v>6200.9570299999996</v>
      </c>
      <c r="V1374" s="45">
        <f t="shared" si="109"/>
        <v>-1</v>
      </c>
      <c r="W1374" s="12">
        <v>25.95</v>
      </c>
      <c r="X1374" s="12">
        <v>2.9</v>
      </c>
      <c r="Y1374" s="62"/>
    </row>
    <row r="1375" spans="1:25" x14ac:dyDescent="0.2">
      <c r="A1375" s="3" t="s">
        <v>3638</v>
      </c>
      <c r="B1375" s="3" t="s">
        <v>1401</v>
      </c>
      <c r="C1375" s="6" t="s">
        <v>354</v>
      </c>
      <c r="D1375" s="6" t="s">
        <v>264</v>
      </c>
      <c r="E1375" s="6" t="s">
        <v>250</v>
      </c>
      <c r="F1375" s="6">
        <v>4771.2700000000004</v>
      </c>
      <c r="G1375" s="2">
        <v>12</v>
      </c>
      <c r="H1375" s="61">
        <v>3.85</v>
      </c>
      <c r="I1375" s="61">
        <v>4.08</v>
      </c>
      <c r="J1375" s="47">
        <f t="shared" si="105"/>
        <v>-0.6791666666666667</v>
      </c>
      <c r="K1375" s="47">
        <f t="shared" si="106"/>
        <v>5.9740259740259732E-2</v>
      </c>
      <c r="L1375" s="8">
        <v>4.3600000000000003</v>
      </c>
      <c r="M1375" s="8">
        <v>22.68</v>
      </c>
      <c r="N1375" s="8">
        <v>21.61</v>
      </c>
      <c r="O1375" s="17">
        <f t="shared" si="107"/>
        <v>-0.33393865030674846</v>
      </c>
      <c r="P1375" s="17">
        <f t="shared" si="108"/>
        <v>3.6173260869565222</v>
      </c>
      <c r="Q1375" s="17">
        <v>20.239999999999998</v>
      </c>
      <c r="R1375" s="9">
        <v>20220801</v>
      </c>
      <c r="S1375" s="9">
        <v>8.9</v>
      </c>
      <c r="T1375" s="9">
        <v>2.93</v>
      </c>
      <c r="U1375" s="9">
        <v>2095.00488</v>
      </c>
      <c r="V1375" s="45">
        <f t="shared" si="109"/>
        <v>-0.99860143523866163</v>
      </c>
      <c r="W1375" s="12">
        <v>-6.15</v>
      </c>
      <c r="X1375" s="12">
        <v>2.81</v>
      </c>
      <c r="Y1375" s="62">
        <v>4.32</v>
      </c>
    </row>
    <row r="1376" spans="1:25" x14ac:dyDescent="0.2">
      <c r="A1376" s="3" t="s">
        <v>3639</v>
      </c>
      <c r="B1376" s="3" t="s">
        <v>1402</v>
      </c>
      <c r="C1376" s="6" t="s">
        <v>354</v>
      </c>
      <c r="D1376" s="6" t="s">
        <v>215</v>
      </c>
      <c r="E1376" s="6" t="s">
        <v>163</v>
      </c>
      <c r="F1376" s="6">
        <v>6943.6</v>
      </c>
      <c r="G1376" s="2">
        <v>12</v>
      </c>
      <c r="H1376" s="61">
        <v>3.36</v>
      </c>
      <c r="I1376" s="61">
        <v>2.89</v>
      </c>
      <c r="J1376" s="47">
        <f t="shared" si="105"/>
        <v>-0.72000000000000008</v>
      </c>
      <c r="K1376" s="47">
        <f t="shared" si="106"/>
        <v>-0.1398809523809523</v>
      </c>
      <c r="L1376" s="8">
        <v>3.03</v>
      </c>
      <c r="M1376" s="8">
        <v>9.1999999999999993</v>
      </c>
      <c r="N1376" s="8">
        <v>10.210000000000001</v>
      </c>
      <c r="O1376" s="17">
        <f t="shared" si="107"/>
        <v>-0.12777777777777774</v>
      </c>
      <c r="P1376" s="17">
        <f t="shared" si="108"/>
        <v>-0.7299063829787239</v>
      </c>
      <c r="Q1376" s="17">
        <v>9.73</v>
      </c>
      <c r="R1376" s="9">
        <v>20220801</v>
      </c>
      <c r="S1376" s="9">
        <v>10.7</v>
      </c>
      <c r="T1376" s="9">
        <v>2.63</v>
      </c>
      <c r="U1376" s="9">
        <v>990.10400000000004</v>
      </c>
      <c r="V1376" s="45">
        <f t="shared" si="109"/>
        <v>-0.99734371338768457</v>
      </c>
      <c r="W1376" s="12">
        <v>8.82</v>
      </c>
      <c r="X1376" s="12">
        <v>9.08</v>
      </c>
      <c r="Y1376" s="62">
        <v>6.3</v>
      </c>
    </row>
    <row r="1377" spans="1:25" x14ac:dyDescent="0.2">
      <c r="B1377" s="3" t="s">
        <v>2242</v>
      </c>
      <c r="C1377" s="6" t="s">
        <v>354</v>
      </c>
      <c r="D1377" s="6" t="s">
        <v>519</v>
      </c>
      <c r="E1377" s="6" t="s">
        <v>163</v>
      </c>
      <c r="F1377" s="6">
        <v>3724.34</v>
      </c>
      <c r="G1377" s="2">
        <v>12</v>
      </c>
      <c r="H1377" s="61"/>
      <c r="I1377" s="61"/>
      <c r="J1377" s="47">
        <f t="shared" si="105"/>
        <v>-1</v>
      </c>
      <c r="K1377" s="47" t="e">
        <f t="shared" si="106"/>
        <v>#DIV/0!</v>
      </c>
      <c r="O1377" s="17">
        <f t="shared" si="107"/>
        <v>0</v>
      </c>
      <c r="P1377" s="17" t="e">
        <f t="shared" si="108"/>
        <v>#DIV/0!</v>
      </c>
      <c r="Q1377" s="17"/>
      <c r="V1377" s="45" t="e">
        <f t="shared" si="109"/>
        <v>#DIV/0!</v>
      </c>
      <c r="X1377" s="12">
        <v>0.61</v>
      </c>
      <c r="Y1377" s="62"/>
    </row>
    <row r="1378" spans="1:25" x14ac:dyDescent="0.2">
      <c r="A1378" s="3" t="s">
        <v>3640</v>
      </c>
      <c r="B1378" s="3" t="s">
        <v>1403</v>
      </c>
      <c r="C1378" s="6" t="s">
        <v>354</v>
      </c>
      <c r="D1378" s="6" t="s">
        <v>861</v>
      </c>
      <c r="E1378" s="6" t="s">
        <v>218</v>
      </c>
      <c r="F1378" s="6">
        <v>29396.27</v>
      </c>
      <c r="G1378" s="2">
        <v>12</v>
      </c>
      <c r="H1378" s="61">
        <v>3.39</v>
      </c>
      <c r="I1378" s="61">
        <v>3.89</v>
      </c>
      <c r="J1378" s="47">
        <f t="shared" si="105"/>
        <v>-0.71749999999999992</v>
      </c>
      <c r="K1378" s="47">
        <f t="shared" si="106"/>
        <v>0.14749262536873156</v>
      </c>
      <c r="L1378" s="8">
        <v>4.3099999999999996</v>
      </c>
      <c r="M1378" s="8">
        <v>19.53</v>
      </c>
      <c r="N1378" s="8">
        <v>16.93</v>
      </c>
      <c r="O1378" s="17">
        <f t="shared" si="107"/>
        <v>-0.27219512195121959</v>
      </c>
      <c r="P1378" s="17">
        <f t="shared" si="108"/>
        <v>1.1478539999999999</v>
      </c>
      <c r="Q1378" s="17">
        <v>15.26</v>
      </c>
      <c r="R1378" s="9">
        <v>20220802</v>
      </c>
      <c r="S1378" s="9">
        <v>25.33</v>
      </c>
      <c r="T1378" s="9">
        <v>1.91</v>
      </c>
      <c r="U1378" s="9">
        <v>23931.595700000002</v>
      </c>
      <c r="V1378" s="45">
        <f t="shared" si="109"/>
        <v>-0.99992018919156322</v>
      </c>
      <c r="W1378" s="12">
        <v>-2.25</v>
      </c>
      <c r="X1378" s="12">
        <v>5.68</v>
      </c>
      <c r="Y1378" s="62">
        <v>2.02</v>
      </c>
    </row>
    <row r="1379" spans="1:25" x14ac:dyDescent="0.2">
      <c r="A1379" s="3" t="s">
        <v>3641</v>
      </c>
      <c r="B1379" s="3" t="s">
        <v>1404</v>
      </c>
      <c r="C1379" s="6" t="s">
        <v>355</v>
      </c>
      <c r="D1379" s="6" t="s">
        <v>178</v>
      </c>
      <c r="E1379" s="6" t="s">
        <v>119</v>
      </c>
      <c r="F1379" s="6">
        <v>12725.29</v>
      </c>
      <c r="G1379" s="2">
        <v>1</v>
      </c>
      <c r="H1379" s="61">
        <v>-0.52</v>
      </c>
      <c r="I1379" s="61">
        <v>-1.26</v>
      </c>
      <c r="J1379" s="47">
        <f t="shared" si="105"/>
        <v>-1.52</v>
      </c>
      <c r="K1379" s="47">
        <f t="shared" si="106"/>
        <v>-1.4230769230769229</v>
      </c>
      <c r="L1379" s="8">
        <v>-0.67</v>
      </c>
      <c r="O1379" s="17">
        <f t="shared" si="107"/>
        <v>0</v>
      </c>
      <c r="P1379" s="17">
        <f t="shared" si="108"/>
        <v>0</v>
      </c>
      <c r="Q1379" s="17"/>
      <c r="R1379" s="9">
        <v>20220602</v>
      </c>
      <c r="S1379" s="9">
        <v>-13.61</v>
      </c>
      <c r="T1379" s="9">
        <v>48.93</v>
      </c>
      <c r="U1379" s="9">
        <v>1783.56799</v>
      </c>
      <c r="V1379" s="45">
        <f t="shared" si="109"/>
        <v>-0.97256622664550063</v>
      </c>
      <c r="W1379" s="12">
        <v>25</v>
      </c>
      <c r="X1379" s="12">
        <v>0</v>
      </c>
      <c r="Y1379" s="62"/>
    </row>
    <row r="1380" spans="1:25" x14ac:dyDescent="0.2">
      <c r="A1380" s="3" t="s">
        <v>3642</v>
      </c>
      <c r="B1380" s="3" t="s">
        <v>1405</v>
      </c>
      <c r="C1380" s="6" t="s">
        <v>356</v>
      </c>
      <c r="D1380" s="6" t="s">
        <v>160</v>
      </c>
      <c r="E1380" s="6" t="s">
        <v>146</v>
      </c>
      <c r="F1380" s="6">
        <v>56499.27</v>
      </c>
      <c r="G1380" s="2">
        <v>3</v>
      </c>
      <c r="H1380" s="61">
        <v>0</v>
      </c>
      <c r="I1380" s="61">
        <v>0.4</v>
      </c>
      <c r="J1380" s="47">
        <f t="shared" si="105"/>
        <v>-1</v>
      </c>
      <c r="K1380" s="47" t="e">
        <f t="shared" si="106"/>
        <v>#DIV/0!</v>
      </c>
      <c r="L1380" s="8">
        <v>0.6</v>
      </c>
      <c r="N1380" s="8">
        <v>77.680000000000007</v>
      </c>
      <c r="O1380" s="17">
        <f t="shared" si="107"/>
        <v>0</v>
      </c>
      <c r="P1380" s="17" t="e">
        <f t="shared" si="108"/>
        <v>#DIV/0!</v>
      </c>
      <c r="Q1380" s="17">
        <v>51.78</v>
      </c>
      <c r="R1380" s="9">
        <v>20220601</v>
      </c>
      <c r="S1380" s="9">
        <v>-5.05</v>
      </c>
      <c r="U1380" s="9">
        <v>4294.56005</v>
      </c>
      <c r="V1380" s="45">
        <f t="shared" si="109"/>
        <v>-1</v>
      </c>
      <c r="X1380" s="12">
        <v>0.11</v>
      </c>
      <c r="Y1380" s="62"/>
    </row>
    <row r="1381" spans="1:25" x14ac:dyDescent="0.2">
      <c r="A1381" s="3" t="s">
        <v>3643</v>
      </c>
      <c r="B1381" s="3" t="s">
        <v>1406</v>
      </c>
      <c r="C1381" s="6" t="s">
        <v>355</v>
      </c>
      <c r="D1381" s="6" t="s">
        <v>141</v>
      </c>
      <c r="E1381" s="6" t="s">
        <v>119</v>
      </c>
      <c r="F1381" s="6">
        <v>5842.77</v>
      </c>
      <c r="G1381" s="2">
        <v>12</v>
      </c>
      <c r="H1381" s="61">
        <v>3.85</v>
      </c>
      <c r="I1381" s="61">
        <v>4.5599999999999996</v>
      </c>
      <c r="J1381" s="47">
        <f t="shared" si="105"/>
        <v>-0.6791666666666667</v>
      </c>
      <c r="K1381" s="47">
        <f t="shared" si="106"/>
        <v>0.18441558441558428</v>
      </c>
      <c r="L1381" s="8">
        <v>5.57</v>
      </c>
      <c r="M1381" s="8">
        <v>32.31</v>
      </c>
      <c r="N1381" s="8">
        <v>27.14</v>
      </c>
      <c r="O1381" s="17">
        <f t="shared" si="107"/>
        <v>-0.47573006134969326</v>
      </c>
      <c r="P1381" s="17">
        <f t="shared" si="108"/>
        <v>1.4716760563380293</v>
      </c>
      <c r="Q1381" s="17">
        <v>22.2</v>
      </c>
      <c r="R1381" s="9">
        <v>20220804</v>
      </c>
      <c r="S1381" s="9">
        <v>17.14</v>
      </c>
      <c r="T1381" s="9">
        <v>17.22</v>
      </c>
      <c r="U1381" s="9">
        <v>640.375</v>
      </c>
      <c r="V1381" s="45">
        <f t="shared" si="109"/>
        <v>-0.97310950614874092</v>
      </c>
      <c r="W1381" s="12">
        <v>10.53</v>
      </c>
      <c r="X1381" s="12">
        <v>0.97</v>
      </c>
      <c r="Y1381" s="62">
        <v>1.1599999999999999</v>
      </c>
    </row>
    <row r="1382" spans="1:25" x14ac:dyDescent="0.2">
      <c r="A1382" s="3" t="s">
        <v>3644</v>
      </c>
      <c r="B1382" s="3" t="s">
        <v>1407</v>
      </c>
      <c r="C1382" s="6" t="s">
        <v>354</v>
      </c>
      <c r="D1382" s="6" t="s">
        <v>126</v>
      </c>
      <c r="E1382" s="6" t="s">
        <v>60</v>
      </c>
      <c r="F1382" s="6">
        <v>9794.7199999999993</v>
      </c>
      <c r="G1382" s="2">
        <v>12</v>
      </c>
      <c r="H1382" s="61">
        <v>8.6999999999999993</v>
      </c>
      <c r="I1382" s="61">
        <v>10.1</v>
      </c>
      <c r="J1382" s="47">
        <f t="shared" si="105"/>
        <v>-0.27500000000000008</v>
      </c>
      <c r="K1382" s="47">
        <f t="shared" si="106"/>
        <v>0.16091954022988511</v>
      </c>
      <c r="L1382" s="8">
        <v>9.7899999999999991</v>
      </c>
      <c r="M1382" s="8">
        <v>7.17</v>
      </c>
      <c r="N1382" s="8">
        <v>6.39</v>
      </c>
      <c r="O1382" s="17">
        <f t="shared" si="107"/>
        <v>-0.26072727272727264</v>
      </c>
      <c r="P1382" s="17">
        <f t="shared" si="108"/>
        <v>0.39709285714285703</v>
      </c>
      <c r="Q1382" s="17">
        <v>6.59</v>
      </c>
      <c r="R1382" s="9">
        <v>20220726</v>
      </c>
      <c r="S1382" s="9">
        <v>58.94</v>
      </c>
      <c r="T1382" s="9">
        <v>4.84</v>
      </c>
      <c r="U1382" s="9">
        <v>9818.2597600000008</v>
      </c>
      <c r="V1382" s="45">
        <f t="shared" si="109"/>
        <v>-0.99950704095040155</v>
      </c>
      <c r="W1382" s="12">
        <v>6.44</v>
      </c>
      <c r="X1382" s="12">
        <v>1.24</v>
      </c>
      <c r="Y1382" s="62"/>
    </row>
    <row r="1383" spans="1:25" x14ac:dyDescent="0.2">
      <c r="A1383" s="3" t="s">
        <v>3645</v>
      </c>
      <c r="B1383" s="3" t="s">
        <v>3646</v>
      </c>
      <c r="C1383" s="6" t="s">
        <v>355</v>
      </c>
      <c r="D1383" s="6" t="s">
        <v>700</v>
      </c>
      <c r="E1383" s="6" t="s">
        <v>154</v>
      </c>
      <c r="F1383" s="6">
        <v>10110.299999999999</v>
      </c>
      <c r="G1383" s="2">
        <v>12</v>
      </c>
      <c r="H1383" s="61">
        <v>0.39</v>
      </c>
      <c r="I1383" s="61">
        <v>0.54</v>
      </c>
      <c r="J1383" s="47">
        <f t="shared" si="105"/>
        <v>-0.96749999999999992</v>
      </c>
      <c r="K1383" s="47">
        <f t="shared" si="106"/>
        <v>0.38461538461538464</v>
      </c>
      <c r="L1383" s="8">
        <v>0.67</v>
      </c>
      <c r="N1383" s="8">
        <v>28.62</v>
      </c>
      <c r="O1383" s="17">
        <f t="shared" si="107"/>
        <v>0</v>
      </c>
      <c r="P1383" s="17">
        <f t="shared" si="108"/>
        <v>0.74411999999999989</v>
      </c>
      <c r="Q1383" s="17">
        <v>23.37</v>
      </c>
      <c r="R1383" s="9">
        <v>20220810</v>
      </c>
      <c r="U1383" s="9">
        <v>821.75298999999995</v>
      </c>
      <c r="V1383" s="45">
        <f t="shared" si="109"/>
        <v>-1</v>
      </c>
      <c r="W1383" s="12">
        <v>18.18</v>
      </c>
      <c r="X1383" s="12">
        <v>0</v>
      </c>
      <c r="Y1383" s="62">
        <v>0.94</v>
      </c>
    </row>
    <row r="1384" spans="1:25" x14ac:dyDescent="0.2">
      <c r="A1384" s="3" t="s">
        <v>3647</v>
      </c>
      <c r="B1384" s="3" t="s">
        <v>1408</v>
      </c>
      <c r="C1384" s="6" t="s">
        <v>354</v>
      </c>
      <c r="D1384" s="6" t="s">
        <v>9</v>
      </c>
      <c r="E1384" s="6" t="s">
        <v>108</v>
      </c>
      <c r="F1384" s="6">
        <v>15026.71</v>
      </c>
      <c r="G1384" s="2">
        <v>12</v>
      </c>
      <c r="H1384" s="61">
        <v>6.27</v>
      </c>
      <c r="I1384" s="61">
        <v>6.59</v>
      </c>
      <c r="J1384" s="47">
        <f t="shared" si="105"/>
        <v>-0.47750000000000004</v>
      </c>
      <c r="K1384" s="47">
        <f t="shared" si="106"/>
        <v>5.1036682615630033E-2</v>
      </c>
      <c r="L1384" s="8">
        <v>7.11</v>
      </c>
      <c r="M1384" s="8">
        <v>11.32</v>
      </c>
      <c r="N1384" s="8">
        <v>11.09</v>
      </c>
      <c r="O1384" s="17">
        <f t="shared" si="107"/>
        <v>-0.23706806282722515</v>
      </c>
      <c r="P1384" s="17">
        <f t="shared" si="108"/>
        <v>2.1729468749999978</v>
      </c>
      <c r="Q1384" s="17">
        <v>10.27</v>
      </c>
      <c r="R1384" s="9">
        <v>20220719</v>
      </c>
      <c r="S1384" s="9">
        <v>37.06</v>
      </c>
      <c r="T1384" s="9">
        <v>-2.76</v>
      </c>
      <c r="U1384" s="9">
        <v>14293.91015</v>
      </c>
      <c r="V1384" s="45">
        <f t="shared" si="109"/>
        <v>-1.0001930892226856</v>
      </c>
      <c r="W1384" s="12">
        <v>8.59</v>
      </c>
      <c r="X1384" s="12">
        <v>3.83</v>
      </c>
      <c r="Y1384" s="62">
        <v>2.09</v>
      </c>
    </row>
    <row r="1385" spans="1:25" x14ac:dyDescent="0.2">
      <c r="A1385" s="3" t="s">
        <v>3648</v>
      </c>
      <c r="B1385" s="3" t="s">
        <v>1409</v>
      </c>
      <c r="C1385" s="6" t="s">
        <v>355</v>
      </c>
      <c r="D1385" s="6" t="s">
        <v>194</v>
      </c>
      <c r="E1385" s="6" t="s">
        <v>208</v>
      </c>
      <c r="F1385" s="6">
        <v>4849.43</v>
      </c>
      <c r="G1385" s="2">
        <v>12</v>
      </c>
      <c r="H1385" s="61">
        <v>3.81</v>
      </c>
      <c r="I1385" s="61">
        <v>3.87</v>
      </c>
      <c r="J1385" s="47">
        <f t="shared" si="105"/>
        <v>-0.6825</v>
      </c>
      <c r="K1385" s="47">
        <f t="shared" si="106"/>
        <v>1.5748031496063006E-2</v>
      </c>
      <c r="L1385" s="8">
        <v>4.7</v>
      </c>
      <c r="M1385" s="8">
        <v>28.87</v>
      </c>
      <c r="N1385" s="8">
        <v>28.38</v>
      </c>
      <c r="O1385" s="17">
        <f t="shared" si="107"/>
        <v>-0.42300366300366304</v>
      </c>
      <c r="P1385" s="17">
        <f t="shared" si="108"/>
        <v>18.021299999999982</v>
      </c>
      <c r="Q1385" s="17">
        <v>23.34</v>
      </c>
      <c r="R1385" s="9">
        <v>20220804</v>
      </c>
      <c r="S1385" s="9">
        <v>11.35</v>
      </c>
      <c r="T1385" s="9">
        <v>10.76</v>
      </c>
      <c r="U1385" s="9">
        <v>1394.4949899999999</v>
      </c>
      <c r="V1385" s="45">
        <f t="shared" si="109"/>
        <v>-0.99228394502873041</v>
      </c>
      <c r="W1385" s="12">
        <v>16.899999999999999</v>
      </c>
      <c r="X1385" s="12">
        <v>0</v>
      </c>
      <c r="Y1385" s="62">
        <v>1.42</v>
      </c>
    </row>
    <row r="1386" spans="1:25" x14ac:dyDescent="0.2">
      <c r="A1386" s="3" t="s">
        <v>3649</v>
      </c>
      <c r="B1386" s="3" t="s">
        <v>1410</v>
      </c>
      <c r="C1386" s="6" t="s">
        <v>354</v>
      </c>
      <c r="D1386" s="6" t="s">
        <v>148</v>
      </c>
      <c r="E1386" s="6" t="s">
        <v>163</v>
      </c>
      <c r="F1386" s="6">
        <v>5367.8</v>
      </c>
      <c r="G1386" s="2">
        <v>12</v>
      </c>
      <c r="H1386" s="61">
        <v>10.75</v>
      </c>
      <c r="I1386" s="61">
        <v>8.7200000000000006</v>
      </c>
      <c r="J1386" s="47">
        <f t="shared" si="105"/>
        <v>-0.10416666666666667</v>
      </c>
      <c r="K1386" s="47">
        <f t="shared" si="106"/>
        <v>-0.18883720930232553</v>
      </c>
      <c r="L1386" s="8">
        <v>9.0500000000000007</v>
      </c>
      <c r="M1386" s="8">
        <v>4.3899999999999997</v>
      </c>
      <c r="N1386" s="8">
        <v>4.92</v>
      </c>
      <c r="O1386" s="17">
        <f t="shared" si="107"/>
        <v>-0.42143999999999993</v>
      </c>
      <c r="P1386" s="17">
        <f t="shared" si="108"/>
        <v>-0.26054187192118233</v>
      </c>
      <c r="Q1386" s="17">
        <v>4.74</v>
      </c>
      <c r="R1386" s="9">
        <v>20220720</v>
      </c>
      <c r="S1386" s="9">
        <v>40.03</v>
      </c>
      <c r="T1386" s="9">
        <v>6.98</v>
      </c>
      <c r="U1386" s="9">
        <v>3612.6669900000002</v>
      </c>
      <c r="V1386" s="45">
        <f t="shared" si="109"/>
        <v>-0.998067909381263</v>
      </c>
      <c r="W1386" s="12">
        <v>9.77</v>
      </c>
      <c r="X1386" s="12">
        <v>8.86</v>
      </c>
      <c r="Y1386" s="62"/>
    </row>
    <row r="1387" spans="1:25" x14ac:dyDescent="0.2">
      <c r="A1387" s="3" t="s">
        <v>3650</v>
      </c>
      <c r="B1387" s="3" t="s">
        <v>1411</v>
      </c>
      <c r="C1387" s="6" t="s">
        <v>356</v>
      </c>
      <c r="D1387" s="6" t="s">
        <v>141</v>
      </c>
      <c r="E1387" s="6" t="s">
        <v>119</v>
      </c>
      <c r="F1387" s="6">
        <v>11640.46</v>
      </c>
      <c r="G1387" s="2">
        <v>3</v>
      </c>
      <c r="H1387" s="61">
        <v>2.62</v>
      </c>
      <c r="I1387" s="61">
        <v>2.79</v>
      </c>
      <c r="J1387" s="47">
        <f t="shared" si="105"/>
        <v>-0.12666666666666662</v>
      </c>
      <c r="K1387" s="47">
        <f t="shared" si="106"/>
        <v>6.4885496183206076E-2</v>
      </c>
      <c r="L1387" s="8">
        <v>2.99</v>
      </c>
      <c r="N1387" s="8">
        <v>20.27</v>
      </c>
      <c r="O1387" s="17">
        <f t="shared" si="107"/>
        <v>0</v>
      </c>
      <c r="P1387" s="17">
        <f t="shared" si="108"/>
        <v>3.1239647058823543</v>
      </c>
      <c r="Q1387" s="17">
        <v>18.84</v>
      </c>
      <c r="R1387" s="9">
        <v>20220527</v>
      </c>
      <c r="U1387" s="9">
        <v>7636.3598599999996</v>
      </c>
      <c r="V1387" s="45">
        <f t="shared" si="109"/>
        <v>-1</v>
      </c>
      <c r="X1387" s="12">
        <v>1</v>
      </c>
      <c r="Y1387" s="62">
        <v>17.62</v>
      </c>
    </row>
    <row r="1388" spans="1:25" x14ac:dyDescent="0.2">
      <c r="A1388" s="3" t="s">
        <v>3651</v>
      </c>
      <c r="B1388" s="3" t="s">
        <v>3652</v>
      </c>
      <c r="C1388" s="6" t="s">
        <v>356</v>
      </c>
      <c r="D1388" s="6" t="s">
        <v>204</v>
      </c>
      <c r="E1388" s="6" t="s">
        <v>218</v>
      </c>
      <c r="F1388" s="6">
        <v>17296.97</v>
      </c>
      <c r="G1388" s="2">
        <v>12</v>
      </c>
      <c r="H1388" s="61">
        <v>9.66</v>
      </c>
      <c r="I1388" s="61">
        <v>12.48</v>
      </c>
      <c r="J1388" s="47">
        <f t="shared" si="105"/>
        <v>-0.19499999999999998</v>
      </c>
      <c r="K1388" s="47">
        <f t="shared" si="106"/>
        <v>0.29192546583850937</v>
      </c>
      <c r="L1388" s="8">
        <v>10.1</v>
      </c>
      <c r="M1388" s="8">
        <v>7</v>
      </c>
      <c r="N1388" s="8">
        <v>4.24</v>
      </c>
      <c r="O1388" s="17">
        <f t="shared" si="107"/>
        <v>-0.35897435897435903</v>
      </c>
      <c r="P1388" s="17">
        <f t="shared" si="108"/>
        <v>0.14524255319148935</v>
      </c>
      <c r="Q1388" s="17">
        <v>5.24</v>
      </c>
      <c r="R1388" s="9">
        <v>20220602</v>
      </c>
      <c r="S1388" s="9">
        <v>11.59</v>
      </c>
      <c r="T1388" s="9">
        <v>4.33</v>
      </c>
      <c r="U1388" s="9">
        <v>42969.140619999998</v>
      </c>
      <c r="V1388" s="45">
        <f t="shared" si="109"/>
        <v>-0.99989923000698822</v>
      </c>
      <c r="W1388" s="12">
        <v>1.81</v>
      </c>
      <c r="X1388" s="12">
        <v>0</v>
      </c>
      <c r="Y1388" s="62"/>
    </row>
    <row r="1389" spans="1:25" x14ac:dyDescent="0.2">
      <c r="A1389" s="3" t="s">
        <v>3653</v>
      </c>
      <c r="B1389" s="3" t="s">
        <v>1412</v>
      </c>
      <c r="C1389" s="6" t="s">
        <v>355</v>
      </c>
      <c r="D1389" s="6" t="s">
        <v>227</v>
      </c>
      <c r="E1389" s="6" t="s">
        <v>119</v>
      </c>
      <c r="F1389" s="6">
        <v>25779.22</v>
      </c>
      <c r="G1389" s="2">
        <v>12</v>
      </c>
      <c r="H1389" s="61">
        <v>2.8</v>
      </c>
      <c r="I1389" s="61">
        <v>4.91</v>
      </c>
      <c r="J1389" s="47">
        <f t="shared" si="105"/>
        <v>-0.76666666666666661</v>
      </c>
      <c r="K1389" s="47">
        <f t="shared" si="106"/>
        <v>0.75357142857142878</v>
      </c>
      <c r="L1389" s="8">
        <v>4.96</v>
      </c>
      <c r="M1389" s="8">
        <v>15.57</v>
      </c>
      <c r="N1389" s="8">
        <v>12.1</v>
      </c>
      <c r="O1389" s="17">
        <f t="shared" si="107"/>
        <v>-0.20308695652173916</v>
      </c>
      <c r="P1389" s="17">
        <f t="shared" si="108"/>
        <v>0.16056872037914688</v>
      </c>
      <c r="Q1389" s="17">
        <v>11.97</v>
      </c>
      <c r="R1389" s="9">
        <v>20220801</v>
      </c>
      <c r="S1389" s="9">
        <v>38.08</v>
      </c>
      <c r="T1389" s="9">
        <v>3.35</v>
      </c>
      <c r="U1389" s="9">
        <v>7991.1611300000004</v>
      </c>
      <c r="V1389" s="45">
        <f t="shared" si="109"/>
        <v>-0.99958078682865947</v>
      </c>
      <c r="W1389" s="12">
        <v>16.190000000000001</v>
      </c>
      <c r="X1389" s="12">
        <v>0</v>
      </c>
      <c r="Y1389" s="62"/>
    </row>
    <row r="1390" spans="1:25" x14ac:dyDescent="0.2">
      <c r="A1390" s="3" t="s">
        <v>1891</v>
      </c>
      <c r="B1390" s="3" t="s">
        <v>1892</v>
      </c>
      <c r="C1390" s="6" t="s">
        <v>355</v>
      </c>
      <c r="D1390" s="6" t="s">
        <v>103</v>
      </c>
      <c r="E1390" s="6" t="s">
        <v>163</v>
      </c>
      <c r="F1390" s="6">
        <v>4646.33</v>
      </c>
      <c r="G1390" s="2">
        <v>12</v>
      </c>
      <c r="H1390" s="61">
        <v>1.74</v>
      </c>
      <c r="I1390" s="61">
        <v>1.25</v>
      </c>
      <c r="J1390" s="47">
        <f t="shared" si="105"/>
        <v>-0.85499999999999998</v>
      </c>
      <c r="K1390" s="47">
        <f t="shared" si="106"/>
        <v>-0.28160919540229884</v>
      </c>
      <c r="L1390" s="8">
        <v>1.96</v>
      </c>
      <c r="M1390" s="8">
        <v>9.85</v>
      </c>
      <c r="N1390" s="8">
        <v>12.64</v>
      </c>
      <c r="O1390" s="17">
        <f t="shared" si="107"/>
        <v>-0.1152046783625731</v>
      </c>
      <c r="P1390" s="17">
        <f t="shared" si="108"/>
        <v>-0.44884897959183678</v>
      </c>
      <c r="Q1390" s="17">
        <v>8.09</v>
      </c>
      <c r="R1390" s="9">
        <v>20220719</v>
      </c>
      <c r="S1390" s="9">
        <v>8.31</v>
      </c>
      <c r="T1390" s="9">
        <v>6.49</v>
      </c>
      <c r="U1390" s="9">
        <v>1503.3330000000001</v>
      </c>
      <c r="V1390" s="45">
        <f t="shared" si="109"/>
        <v>-0.99568292587204565</v>
      </c>
      <c r="W1390" s="12">
        <v>17.649999999999999</v>
      </c>
      <c r="X1390" s="12">
        <v>3.53</v>
      </c>
      <c r="Y1390" s="62"/>
    </row>
    <row r="1391" spans="1:25" x14ac:dyDescent="0.2">
      <c r="A1391" s="3" t="s">
        <v>3654</v>
      </c>
      <c r="B1391" s="3" t="s">
        <v>2243</v>
      </c>
      <c r="C1391" s="6" t="s">
        <v>356</v>
      </c>
      <c r="D1391" s="6" t="s">
        <v>150</v>
      </c>
      <c r="E1391" s="6" t="s">
        <v>163</v>
      </c>
      <c r="F1391" s="6">
        <v>5007.87</v>
      </c>
      <c r="G1391" s="2">
        <v>12</v>
      </c>
      <c r="H1391" s="61"/>
      <c r="I1391" s="61"/>
      <c r="J1391" s="47">
        <f t="shared" si="105"/>
        <v>-1</v>
      </c>
      <c r="K1391" s="47" t="e">
        <f t="shared" si="106"/>
        <v>#DIV/0!</v>
      </c>
      <c r="M1391" s="8">
        <v>4.37</v>
      </c>
      <c r="O1391" s="17">
        <f t="shared" si="107"/>
        <v>-4.3700000000000003E-2</v>
      </c>
      <c r="P1391" s="17" t="e">
        <f t="shared" si="108"/>
        <v>#DIV/0!</v>
      </c>
      <c r="Q1391" s="17"/>
      <c r="R1391" s="9">
        <v>20220804</v>
      </c>
      <c r="S1391" s="9">
        <v>14.19</v>
      </c>
      <c r="T1391" s="9">
        <v>-49.57</v>
      </c>
      <c r="V1391" s="45" t="e">
        <f t="shared" si="109"/>
        <v>#DIV/0!</v>
      </c>
      <c r="X1391" s="12">
        <v>0.56000000000000005</v>
      </c>
      <c r="Y1391" s="62"/>
    </row>
    <row r="1392" spans="1:25" x14ac:dyDescent="0.2">
      <c r="A1392" s="3" t="s">
        <v>3655</v>
      </c>
      <c r="B1392" s="3" t="s">
        <v>3656</v>
      </c>
      <c r="C1392" s="6" t="s">
        <v>354</v>
      </c>
      <c r="D1392" s="6" t="s">
        <v>180</v>
      </c>
      <c r="E1392" s="6" t="s">
        <v>146</v>
      </c>
      <c r="F1392" s="6">
        <v>12259.33</v>
      </c>
      <c r="G1392" s="2">
        <v>12</v>
      </c>
      <c r="H1392" s="61">
        <v>0.17</v>
      </c>
      <c r="I1392" s="61">
        <v>0.03</v>
      </c>
      <c r="J1392" s="47">
        <f t="shared" si="105"/>
        <v>-0.98583333333333334</v>
      </c>
      <c r="K1392" s="47">
        <f t="shared" si="106"/>
        <v>-0.82352941176470595</v>
      </c>
      <c r="L1392" s="8">
        <v>0.28999999999999998</v>
      </c>
      <c r="N1392" s="8">
        <v>591</v>
      </c>
      <c r="O1392" s="17">
        <f t="shared" si="107"/>
        <v>0</v>
      </c>
      <c r="P1392" s="17">
        <f t="shared" si="108"/>
        <v>-7.1764285714285707</v>
      </c>
      <c r="Q1392" s="17">
        <v>67.930000000000007</v>
      </c>
      <c r="R1392" s="9">
        <v>20220816</v>
      </c>
      <c r="U1392" s="9">
        <v>1099.6169400000001</v>
      </c>
      <c r="V1392" s="45">
        <f t="shared" si="109"/>
        <v>-1</v>
      </c>
      <c r="W1392" s="12">
        <v>138.46</v>
      </c>
      <c r="X1392" s="12">
        <v>0</v>
      </c>
      <c r="Y1392" s="62">
        <v>11.94</v>
      </c>
    </row>
    <row r="1393" spans="1:25" x14ac:dyDescent="0.2">
      <c r="A1393" s="3" t="s">
        <v>3657</v>
      </c>
      <c r="B1393" s="3" t="s">
        <v>2014</v>
      </c>
      <c r="C1393" s="6" t="s">
        <v>354</v>
      </c>
      <c r="D1393" s="6" t="s">
        <v>2015</v>
      </c>
      <c r="E1393" s="6" t="s">
        <v>119</v>
      </c>
      <c r="F1393" s="6">
        <v>3857.99</v>
      </c>
      <c r="G1393" s="2">
        <v>12</v>
      </c>
      <c r="H1393" s="61">
        <v>3.74</v>
      </c>
      <c r="I1393" s="61">
        <v>5.16</v>
      </c>
      <c r="J1393" s="47">
        <f t="shared" si="105"/>
        <v>-0.68833333333333335</v>
      </c>
      <c r="K1393" s="47">
        <f t="shared" si="106"/>
        <v>0.3796791443850267</v>
      </c>
      <c r="L1393" s="8">
        <v>5.66</v>
      </c>
      <c r="M1393" s="8">
        <v>17.53</v>
      </c>
      <c r="N1393" s="8">
        <v>15.09</v>
      </c>
      <c r="O1393" s="17">
        <f t="shared" si="107"/>
        <v>-0.25467312348668286</v>
      </c>
      <c r="P1393" s="17">
        <f t="shared" si="108"/>
        <v>0.3974408450704226</v>
      </c>
      <c r="Q1393" s="17">
        <v>13.76</v>
      </c>
      <c r="R1393" s="9">
        <v>20220804</v>
      </c>
      <c r="S1393" s="9">
        <v>15.81</v>
      </c>
      <c r="T1393" s="9">
        <v>30.69</v>
      </c>
      <c r="U1393" s="9">
        <v>978.40002000000004</v>
      </c>
      <c r="V1393" s="45">
        <f t="shared" si="109"/>
        <v>-0.96863246180227991</v>
      </c>
      <c r="W1393" s="12">
        <v>12.93</v>
      </c>
      <c r="X1393" s="12">
        <v>0</v>
      </c>
      <c r="Y1393" s="62"/>
    </row>
    <row r="1394" spans="1:25" x14ac:dyDescent="0.2">
      <c r="A1394" s="3" t="s">
        <v>3658</v>
      </c>
      <c r="B1394" s="3" t="s">
        <v>1413</v>
      </c>
      <c r="C1394" s="6" t="s">
        <v>355</v>
      </c>
      <c r="D1394" s="6" t="s">
        <v>192</v>
      </c>
      <c r="E1394" s="6" t="s">
        <v>208</v>
      </c>
      <c r="F1394" s="6">
        <v>5234.1099999999997</v>
      </c>
      <c r="G1394" s="2">
        <v>12</v>
      </c>
      <c r="H1394" s="61">
        <v>0.6</v>
      </c>
      <c r="I1394" s="61">
        <v>0.89</v>
      </c>
      <c r="J1394" s="47">
        <f t="shared" si="105"/>
        <v>-0.95000000000000007</v>
      </c>
      <c r="K1394" s="47">
        <f t="shared" si="106"/>
        <v>0.48333333333333339</v>
      </c>
      <c r="L1394" s="8">
        <v>1.06</v>
      </c>
      <c r="M1394" s="8">
        <v>36.799999999999997</v>
      </c>
      <c r="N1394" s="8">
        <v>32.81</v>
      </c>
      <c r="O1394" s="17">
        <f t="shared" si="107"/>
        <v>-0.38736842105263153</v>
      </c>
      <c r="P1394" s="17">
        <f t="shared" si="108"/>
        <v>0.67882758620689643</v>
      </c>
      <c r="Q1394" s="17">
        <v>27.37</v>
      </c>
      <c r="R1394" s="9">
        <v>20220802</v>
      </c>
      <c r="S1394" s="9">
        <v>12.53</v>
      </c>
      <c r="T1394" s="9">
        <v>50.74</v>
      </c>
      <c r="U1394" s="9">
        <v>3852.58203</v>
      </c>
      <c r="V1394" s="45">
        <f t="shared" si="109"/>
        <v>-0.98682961203554187</v>
      </c>
      <c r="W1394" s="12">
        <v>30.77</v>
      </c>
      <c r="X1394" s="12">
        <v>0</v>
      </c>
      <c r="Y1394" s="62">
        <v>1.38</v>
      </c>
    </row>
    <row r="1395" spans="1:25" x14ac:dyDescent="0.2">
      <c r="A1395" s="3" t="s">
        <v>3659</v>
      </c>
      <c r="B1395" s="3" t="s">
        <v>2016</v>
      </c>
      <c r="C1395" s="6" t="s">
        <v>355</v>
      </c>
      <c r="D1395" s="6" t="s">
        <v>233</v>
      </c>
      <c r="E1395" s="6" t="s">
        <v>108</v>
      </c>
      <c r="F1395" s="6">
        <v>4073.38</v>
      </c>
      <c r="G1395" s="2">
        <v>12</v>
      </c>
      <c r="H1395" s="61">
        <v>-0.98</v>
      </c>
      <c r="I1395" s="61">
        <v>-0.28999999999999998</v>
      </c>
      <c r="J1395" s="47">
        <f t="shared" si="105"/>
        <v>-1.0816666666666668</v>
      </c>
      <c r="K1395" s="47">
        <f t="shared" si="106"/>
        <v>0.70408163265306123</v>
      </c>
      <c r="L1395" s="8">
        <v>-0.36</v>
      </c>
      <c r="M1395" s="8">
        <v>652</v>
      </c>
      <c r="O1395" s="17">
        <f t="shared" si="107"/>
        <v>-6.027734976887519</v>
      </c>
      <c r="P1395" s="17">
        <f t="shared" si="108"/>
        <v>0</v>
      </c>
      <c r="Q1395" s="17"/>
      <c r="R1395" s="9">
        <v>20220810</v>
      </c>
      <c r="S1395" s="9">
        <v>-14.72</v>
      </c>
      <c r="U1395" s="9">
        <v>18334.390619999998</v>
      </c>
      <c r="V1395" s="45">
        <f t="shared" si="109"/>
        <v>-1</v>
      </c>
      <c r="W1395" s="12">
        <v>215.38</v>
      </c>
      <c r="X1395" s="12">
        <v>0</v>
      </c>
      <c r="Y1395" s="62"/>
    </row>
    <row r="1396" spans="1:25" x14ac:dyDescent="0.2">
      <c r="A1396" s="3" t="s">
        <v>2017</v>
      </c>
      <c r="B1396" s="3" t="s">
        <v>2018</v>
      </c>
      <c r="C1396" s="6" t="s">
        <v>356</v>
      </c>
      <c r="D1396" s="6" t="s">
        <v>187</v>
      </c>
      <c r="E1396" s="6" t="s">
        <v>208</v>
      </c>
      <c r="F1396" s="6">
        <v>13919.8</v>
      </c>
      <c r="G1396" s="2">
        <v>3</v>
      </c>
      <c r="H1396" s="61">
        <v>1.71</v>
      </c>
      <c r="I1396" s="61">
        <v>2.23</v>
      </c>
      <c r="J1396" s="47">
        <f t="shared" si="105"/>
        <v>-0.43</v>
      </c>
      <c r="K1396" s="47">
        <f t="shared" si="106"/>
        <v>0.30409356725146203</v>
      </c>
      <c r="L1396" s="8">
        <v>2.62</v>
      </c>
      <c r="M1396" s="8">
        <v>17.809999999999999</v>
      </c>
      <c r="N1396" s="8">
        <v>12.14</v>
      </c>
      <c r="O1396" s="17">
        <f t="shared" si="107"/>
        <v>-0.41418604651162788</v>
      </c>
      <c r="P1396" s="17">
        <f t="shared" si="108"/>
        <v>0.39921923076923072</v>
      </c>
      <c r="Q1396" s="17">
        <v>10.33</v>
      </c>
      <c r="R1396" s="9">
        <v>20220531</v>
      </c>
      <c r="S1396" s="9">
        <v>12.6</v>
      </c>
      <c r="U1396" s="9">
        <v>3809.00488</v>
      </c>
      <c r="V1396" s="45">
        <f t="shared" si="109"/>
        <v>-1</v>
      </c>
      <c r="X1396" s="12">
        <v>0</v>
      </c>
      <c r="Y1396" s="62"/>
    </row>
    <row r="1397" spans="1:25" x14ac:dyDescent="0.2">
      <c r="A1397" s="3" t="s">
        <v>3660</v>
      </c>
      <c r="B1397" s="3" t="s">
        <v>1414</v>
      </c>
      <c r="C1397" s="6" t="s">
        <v>354</v>
      </c>
      <c r="D1397" s="6" t="s">
        <v>306</v>
      </c>
      <c r="E1397" s="6" t="s">
        <v>218</v>
      </c>
      <c r="F1397" s="6">
        <v>4584.9799999999996</v>
      </c>
      <c r="G1397" s="2">
        <v>12</v>
      </c>
      <c r="H1397" s="61">
        <v>1.26</v>
      </c>
      <c r="I1397" s="61">
        <v>1.27</v>
      </c>
      <c r="J1397" s="47">
        <f t="shared" si="105"/>
        <v>-0.89500000000000002</v>
      </c>
      <c r="K1397" s="47">
        <f t="shared" si="106"/>
        <v>7.936507936507943E-3</v>
      </c>
      <c r="L1397" s="8">
        <v>1.95</v>
      </c>
      <c r="M1397" s="8">
        <v>62.42</v>
      </c>
      <c r="N1397" s="8">
        <v>64.39</v>
      </c>
      <c r="O1397" s="17">
        <f t="shared" si="107"/>
        <v>-0.69743016759776533</v>
      </c>
      <c r="P1397" s="17">
        <f t="shared" si="108"/>
        <v>81.131399999999942</v>
      </c>
      <c r="Q1397" s="17">
        <v>41.85</v>
      </c>
      <c r="R1397" s="9">
        <v>20220803</v>
      </c>
      <c r="S1397" s="9">
        <v>3.7</v>
      </c>
      <c r="T1397" s="9">
        <v>-1.03</v>
      </c>
      <c r="U1397" s="9">
        <v>722.97698000000003</v>
      </c>
      <c r="V1397" s="45">
        <f t="shared" si="109"/>
        <v>-1.0014246650010903</v>
      </c>
      <c r="W1397" s="12">
        <v>9.3800000000000008</v>
      </c>
      <c r="X1397" s="12">
        <v>0.59</v>
      </c>
      <c r="Y1397" s="62">
        <v>4.05</v>
      </c>
    </row>
    <row r="1398" spans="1:25" x14ac:dyDescent="0.2">
      <c r="A1398" s="3" t="s">
        <v>1415</v>
      </c>
      <c r="B1398" s="3" t="s">
        <v>1416</v>
      </c>
      <c r="C1398" s="6" t="s">
        <v>354</v>
      </c>
      <c r="D1398" s="6" t="s">
        <v>278</v>
      </c>
      <c r="E1398" s="6" t="s">
        <v>119</v>
      </c>
      <c r="F1398" s="6">
        <v>33500.769999999997</v>
      </c>
      <c r="G1398" s="2">
        <v>12</v>
      </c>
      <c r="H1398" s="61">
        <v>-0.47</v>
      </c>
      <c r="I1398" s="61">
        <v>1.21</v>
      </c>
      <c r="J1398" s="47">
        <f t="shared" si="105"/>
        <v>-1.0391666666666668</v>
      </c>
      <c r="K1398" s="47">
        <f t="shared" si="106"/>
        <v>3.5744680851063833</v>
      </c>
      <c r="L1398" s="8">
        <v>1.33</v>
      </c>
      <c r="N1398" s="8">
        <v>10.39</v>
      </c>
      <c r="O1398" s="17">
        <f t="shared" si="107"/>
        <v>0</v>
      </c>
      <c r="P1398" s="17">
        <f t="shared" si="108"/>
        <v>2.9067261904761905E-2</v>
      </c>
      <c r="Q1398" s="17">
        <v>9.4700000000000006</v>
      </c>
      <c r="U1398" s="9">
        <v>46855.738279999998</v>
      </c>
      <c r="V1398" s="45">
        <f t="shared" si="109"/>
        <v>-1</v>
      </c>
      <c r="X1398" s="12">
        <v>4.08</v>
      </c>
      <c r="Y1398" s="62"/>
    </row>
    <row r="1399" spans="1:25" x14ac:dyDescent="0.2">
      <c r="A1399" s="3" t="s">
        <v>3661</v>
      </c>
      <c r="B1399" s="3" t="s">
        <v>1417</v>
      </c>
      <c r="C1399" s="6" t="s">
        <v>354</v>
      </c>
      <c r="D1399" s="6" t="s">
        <v>151</v>
      </c>
      <c r="E1399" s="6" t="s">
        <v>163</v>
      </c>
      <c r="F1399" s="6">
        <v>5259.76</v>
      </c>
      <c r="G1399" s="2">
        <v>12</v>
      </c>
      <c r="H1399" s="61">
        <v>1.23</v>
      </c>
      <c r="I1399" s="61">
        <v>1.27</v>
      </c>
      <c r="J1399" s="47">
        <f t="shared" si="105"/>
        <v>-0.89749999999999996</v>
      </c>
      <c r="K1399" s="47">
        <f t="shared" si="106"/>
        <v>3.2520325203252064E-2</v>
      </c>
      <c r="L1399" s="8">
        <v>1.41</v>
      </c>
      <c r="M1399" s="8">
        <v>10.33</v>
      </c>
      <c r="N1399" s="8">
        <v>10.46</v>
      </c>
      <c r="O1399" s="17">
        <f t="shared" si="107"/>
        <v>-0.1150974930362117</v>
      </c>
      <c r="P1399" s="17">
        <f t="shared" si="108"/>
        <v>3.2164499999999974</v>
      </c>
      <c r="Q1399" s="17">
        <v>9.43</v>
      </c>
      <c r="R1399" s="9">
        <v>20220803</v>
      </c>
      <c r="S1399" s="9">
        <v>8.67</v>
      </c>
      <c r="T1399" s="9">
        <v>61.85</v>
      </c>
      <c r="U1399" s="9">
        <v>1101.4150299999999</v>
      </c>
      <c r="V1399" s="45">
        <f t="shared" si="109"/>
        <v>-0.94384496459976586</v>
      </c>
      <c r="W1399" s="12">
        <v>-6.06</v>
      </c>
      <c r="X1399" s="12">
        <v>9.3000000000000007</v>
      </c>
      <c r="Y1399" s="62"/>
    </row>
    <row r="1400" spans="1:25" x14ac:dyDescent="0.2">
      <c r="A1400" s="3" t="s">
        <v>3662</v>
      </c>
      <c r="B1400" s="3" t="s">
        <v>1418</v>
      </c>
      <c r="C1400" s="6" t="s">
        <v>354</v>
      </c>
      <c r="D1400" s="6" t="s">
        <v>132</v>
      </c>
      <c r="E1400" s="6" t="s">
        <v>119</v>
      </c>
      <c r="F1400" s="6">
        <v>191200.14</v>
      </c>
      <c r="G1400" s="2">
        <v>5</v>
      </c>
      <c r="H1400" s="61">
        <v>4.46</v>
      </c>
      <c r="I1400" s="61">
        <v>4.76</v>
      </c>
      <c r="J1400" s="47">
        <f t="shared" si="105"/>
        <v>-0.10800000000000001</v>
      </c>
      <c r="K1400" s="47">
        <f t="shared" si="106"/>
        <v>6.7264573991031348E-2</v>
      </c>
      <c r="L1400" s="8">
        <v>5.19</v>
      </c>
      <c r="M1400" s="8">
        <v>14.6</v>
      </c>
      <c r="N1400" s="8">
        <v>15.04</v>
      </c>
      <c r="O1400" s="17">
        <f t="shared" si="107"/>
        <v>-1.3518518518518516</v>
      </c>
      <c r="P1400" s="17">
        <f t="shared" si="108"/>
        <v>2.2359466666666679</v>
      </c>
      <c r="Q1400" s="17">
        <v>13.81</v>
      </c>
      <c r="R1400" s="9">
        <v>20220621</v>
      </c>
      <c r="S1400" s="9">
        <v>-383.8</v>
      </c>
      <c r="T1400" s="9">
        <v>1.22</v>
      </c>
      <c r="U1400" s="9">
        <v>42244.484369999998</v>
      </c>
      <c r="V1400" s="45">
        <f t="shared" si="109"/>
        <v>-0.99997112049020853</v>
      </c>
      <c r="W1400" s="12">
        <v>-3.42</v>
      </c>
      <c r="X1400" s="12">
        <v>1.79</v>
      </c>
      <c r="Y1400" s="62">
        <v>1.88</v>
      </c>
    </row>
    <row r="1401" spans="1:25" x14ac:dyDescent="0.2">
      <c r="A1401" s="3" t="s">
        <v>3663</v>
      </c>
      <c r="B1401" s="3" t="s">
        <v>1419</v>
      </c>
      <c r="C1401" s="6" t="s">
        <v>354</v>
      </c>
      <c r="D1401" s="6" t="s">
        <v>172</v>
      </c>
      <c r="E1401" s="6" t="s">
        <v>163</v>
      </c>
      <c r="F1401" s="6">
        <v>7214.29</v>
      </c>
      <c r="G1401" s="2">
        <v>12</v>
      </c>
      <c r="H1401" s="61">
        <v>2.9</v>
      </c>
      <c r="I1401" s="61">
        <v>2.4</v>
      </c>
      <c r="J1401" s="47">
        <f t="shared" si="105"/>
        <v>-0.7583333333333333</v>
      </c>
      <c r="K1401" s="47">
        <f t="shared" si="106"/>
        <v>-0.17241379310344829</v>
      </c>
      <c r="L1401" s="8">
        <v>2.5</v>
      </c>
      <c r="M1401" s="8">
        <v>7.72</v>
      </c>
      <c r="N1401" s="8">
        <v>9.75</v>
      </c>
      <c r="O1401" s="17">
        <f t="shared" si="107"/>
        <v>-0.10180219780219781</v>
      </c>
      <c r="P1401" s="17">
        <f t="shared" si="108"/>
        <v>-0.5655</v>
      </c>
      <c r="Q1401" s="17">
        <v>9.36</v>
      </c>
      <c r="R1401" s="9">
        <v>20220728</v>
      </c>
      <c r="S1401" s="9">
        <v>13.79</v>
      </c>
      <c r="T1401" s="9">
        <v>9.5</v>
      </c>
      <c r="U1401" s="9">
        <v>7909</v>
      </c>
      <c r="V1401" s="45">
        <f t="shared" si="109"/>
        <v>-0.99879883676823866</v>
      </c>
      <c r="W1401" s="12">
        <v>-10</v>
      </c>
      <c r="X1401" s="12">
        <v>3.93</v>
      </c>
      <c r="Y1401" s="62"/>
    </row>
    <row r="1402" spans="1:25" x14ac:dyDescent="0.2">
      <c r="A1402" s="3" t="s">
        <v>3664</v>
      </c>
      <c r="B1402" s="3" t="s">
        <v>2244</v>
      </c>
      <c r="C1402" s="6" t="s">
        <v>356</v>
      </c>
      <c r="D1402" s="6" t="s">
        <v>187</v>
      </c>
      <c r="E1402" s="6" t="s">
        <v>208</v>
      </c>
      <c r="F1402" s="6">
        <v>5645.37</v>
      </c>
      <c r="G1402" s="2">
        <v>12</v>
      </c>
      <c r="H1402" s="61"/>
      <c r="I1402" s="61"/>
      <c r="J1402" s="47">
        <f t="shared" si="105"/>
        <v>-1</v>
      </c>
      <c r="K1402" s="47" t="e">
        <f t="shared" si="106"/>
        <v>#DIV/0!</v>
      </c>
      <c r="M1402" s="8">
        <v>24.69</v>
      </c>
      <c r="O1402" s="17">
        <f t="shared" si="107"/>
        <v>-0.24690000000000001</v>
      </c>
      <c r="P1402" s="17" t="e">
        <f t="shared" si="108"/>
        <v>#DIV/0!</v>
      </c>
      <c r="Q1402" s="17"/>
      <c r="R1402" s="9">
        <v>20220531</v>
      </c>
      <c r="S1402" s="9">
        <v>27.42</v>
      </c>
      <c r="T1402" s="9">
        <v>0.87</v>
      </c>
      <c r="V1402" s="45" t="e">
        <f t="shared" si="109"/>
        <v>#DIV/0!</v>
      </c>
      <c r="X1402" s="12">
        <v>2.44</v>
      </c>
      <c r="Y1402" s="62"/>
    </row>
    <row r="1403" spans="1:25" x14ac:dyDescent="0.2">
      <c r="A1403" s="3" t="s">
        <v>3665</v>
      </c>
      <c r="B1403" s="3" t="s">
        <v>3666</v>
      </c>
      <c r="C1403" s="6" t="s">
        <v>356</v>
      </c>
      <c r="D1403" s="6" t="s">
        <v>590</v>
      </c>
      <c r="E1403" s="6" t="s">
        <v>589</v>
      </c>
      <c r="F1403" s="6">
        <v>7608.87</v>
      </c>
      <c r="G1403" s="2">
        <v>12</v>
      </c>
      <c r="H1403" s="61"/>
      <c r="I1403" s="61"/>
      <c r="J1403" s="47">
        <f t="shared" si="105"/>
        <v>-1</v>
      </c>
      <c r="K1403" s="47" t="e">
        <f t="shared" si="106"/>
        <v>#DIV/0!</v>
      </c>
      <c r="M1403" s="8">
        <v>12.66</v>
      </c>
      <c r="O1403" s="17">
        <f t="shared" si="107"/>
        <v>-0.12659999999999999</v>
      </c>
      <c r="P1403" s="17" t="e">
        <f t="shared" si="108"/>
        <v>#DIV/0!</v>
      </c>
      <c r="Q1403" s="17"/>
      <c r="R1403" s="9">
        <v>20220721</v>
      </c>
      <c r="S1403" s="9">
        <v>13.32</v>
      </c>
      <c r="T1403" s="9">
        <v>3.91</v>
      </c>
      <c r="V1403" s="45" t="e">
        <f t="shared" si="109"/>
        <v>#DIV/0!</v>
      </c>
      <c r="X1403" s="12">
        <v>2.88</v>
      </c>
      <c r="Y1403" s="62"/>
    </row>
    <row r="1404" spans="1:25" x14ac:dyDescent="0.2">
      <c r="A1404" s="3" t="s">
        <v>3667</v>
      </c>
      <c r="B1404" s="3" t="s">
        <v>1420</v>
      </c>
      <c r="C1404" s="6" t="s">
        <v>355</v>
      </c>
      <c r="D1404" s="6" t="s">
        <v>67</v>
      </c>
      <c r="E1404" s="6" t="s">
        <v>231</v>
      </c>
      <c r="F1404" s="6">
        <v>42008.41</v>
      </c>
      <c r="G1404" s="2">
        <v>12</v>
      </c>
      <c r="H1404" s="61">
        <v>29.57</v>
      </c>
      <c r="I1404" s="61">
        <v>32.68</v>
      </c>
      <c r="J1404" s="47">
        <f t="shared" si="105"/>
        <v>1.4641666666666666</v>
      </c>
      <c r="K1404" s="47">
        <f t="shared" si="106"/>
        <v>0.10517416300304361</v>
      </c>
      <c r="L1404" s="8">
        <v>36.81</v>
      </c>
      <c r="M1404" s="8">
        <v>20.48</v>
      </c>
      <c r="N1404" s="8">
        <v>19.559999999999999</v>
      </c>
      <c r="O1404" s="17">
        <f t="shared" si="107"/>
        <v>0.13987478656801366</v>
      </c>
      <c r="P1404" s="17">
        <f t="shared" si="108"/>
        <v>1.859772347266881</v>
      </c>
      <c r="Q1404" s="17">
        <v>17.36</v>
      </c>
      <c r="R1404" s="9">
        <v>20220727</v>
      </c>
      <c r="S1404" s="9">
        <v>-2699.29</v>
      </c>
      <c r="T1404" s="9">
        <v>9.94</v>
      </c>
      <c r="U1404" s="9">
        <v>14296.521479999999</v>
      </c>
      <c r="V1404" s="45">
        <f t="shared" si="109"/>
        <v>-0.99930472597730113</v>
      </c>
      <c r="W1404" s="12">
        <v>-3.5</v>
      </c>
      <c r="X1404" s="12">
        <v>0</v>
      </c>
      <c r="Y1404" s="62">
        <v>1.55</v>
      </c>
    </row>
    <row r="1405" spans="1:25" x14ac:dyDescent="0.2">
      <c r="A1405" s="3" t="s">
        <v>3668</v>
      </c>
      <c r="B1405" s="3" t="s">
        <v>3669</v>
      </c>
      <c r="C1405" s="6" t="s">
        <v>356</v>
      </c>
      <c r="D1405" s="6" t="s">
        <v>128</v>
      </c>
      <c r="E1405" s="6" t="s">
        <v>60</v>
      </c>
      <c r="F1405" s="6">
        <v>3350.23</v>
      </c>
      <c r="G1405" s="2">
        <v>6</v>
      </c>
      <c r="H1405" s="61"/>
      <c r="I1405" s="61">
        <v>0.84</v>
      </c>
      <c r="J1405" s="47">
        <f t="shared" si="105"/>
        <v>-1</v>
      </c>
      <c r="K1405" s="47" t="e">
        <f t="shared" si="106"/>
        <v>#DIV/0!</v>
      </c>
      <c r="L1405" s="8">
        <v>0.74</v>
      </c>
      <c r="N1405" s="8">
        <v>11.59</v>
      </c>
      <c r="O1405" s="17">
        <f t="shared" si="107"/>
        <v>0</v>
      </c>
      <c r="P1405" s="17" t="e">
        <f t="shared" si="108"/>
        <v>#DIV/0!</v>
      </c>
      <c r="Q1405" s="17">
        <v>13.16</v>
      </c>
      <c r="V1405" s="45" t="e">
        <f t="shared" si="109"/>
        <v>#DIV/0!</v>
      </c>
      <c r="X1405" s="12">
        <v>0</v>
      </c>
      <c r="Y1405" s="62"/>
    </row>
    <row r="1406" spans="1:25" x14ac:dyDescent="0.2">
      <c r="A1406" s="3" t="s">
        <v>3670</v>
      </c>
      <c r="B1406" s="3" t="s">
        <v>1421</v>
      </c>
      <c r="C1406" s="6" t="s">
        <v>356</v>
      </c>
      <c r="D1406" s="6" t="s">
        <v>242</v>
      </c>
      <c r="E1406" s="6" t="s">
        <v>237</v>
      </c>
      <c r="F1406" s="6">
        <v>21197.98</v>
      </c>
      <c r="G1406" s="2">
        <v>12</v>
      </c>
      <c r="H1406" s="61">
        <v>55.4</v>
      </c>
      <c r="I1406" s="61">
        <v>67.7</v>
      </c>
      <c r="J1406" s="47">
        <f t="shared" si="105"/>
        <v>3.6166666666666667</v>
      </c>
      <c r="K1406" s="47">
        <f t="shared" si="106"/>
        <v>0.22202166064981957</v>
      </c>
      <c r="L1406" s="8">
        <v>40.200000000000003</v>
      </c>
      <c r="N1406" s="8">
        <v>2.37</v>
      </c>
      <c r="O1406" s="17">
        <f t="shared" si="107"/>
        <v>0</v>
      </c>
      <c r="P1406" s="17">
        <f t="shared" si="108"/>
        <v>0.10674634146341461</v>
      </c>
      <c r="Q1406" s="17">
        <v>3.99</v>
      </c>
      <c r="U1406" s="9">
        <v>19706</v>
      </c>
      <c r="V1406" s="45">
        <f t="shared" si="109"/>
        <v>-1</v>
      </c>
      <c r="X1406" s="12">
        <v>13.73</v>
      </c>
      <c r="Y1406" s="62"/>
    </row>
    <row r="1407" spans="1:25" x14ac:dyDescent="0.2">
      <c r="A1407" s="3" t="s">
        <v>3671</v>
      </c>
      <c r="B1407" s="3" t="s">
        <v>2245</v>
      </c>
      <c r="C1407" s="6" t="s">
        <v>356</v>
      </c>
      <c r="D1407" s="6" t="s">
        <v>522</v>
      </c>
      <c r="E1407" s="6" t="s">
        <v>119</v>
      </c>
      <c r="F1407" s="6">
        <v>5243</v>
      </c>
      <c r="G1407" s="2">
        <v>9</v>
      </c>
      <c r="H1407" s="61"/>
      <c r="I1407" s="61"/>
      <c r="J1407" s="47">
        <f t="shared" si="105"/>
        <v>-1</v>
      </c>
      <c r="K1407" s="47" t="e">
        <f t="shared" si="106"/>
        <v>#DIV/0!</v>
      </c>
      <c r="O1407" s="17">
        <f t="shared" si="107"/>
        <v>0</v>
      </c>
      <c r="P1407" s="17" t="e">
        <f t="shared" si="108"/>
        <v>#DIV/0!</v>
      </c>
      <c r="Q1407" s="17"/>
      <c r="V1407" s="45" t="e">
        <f t="shared" si="109"/>
        <v>#DIV/0!</v>
      </c>
      <c r="X1407" s="12">
        <v>0</v>
      </c>
      <c r="Y1407" s="62"/>
    </row>
    <row r="1408" spans="1:25" x14ac:dyDescent="0.2">
      <c r="A1408" s="3" t="s">
        <v>3672</v>
      </c>
      <c r="B1408" s="3" t="s">
        <v>1422</v>
      </c>
      <c r="C1408" s="6" t="s">
        <v>354</v>
      </c>
      <c r="D1408" s="6" t="s">
        <v>192</v>
      </c>
      <c r="E1408" s="6" t="s">
        <v>208</v>
      </c>
      <c r="F1408" s="6">
        <v>4399.6000000000004</v>
      </c>
      <c r="G1408" s="2">
        <v>12</v>
      </c>
      <c r="H1408" s="61">
        <v>-1.82</v>
      </c>
      <c r="I1408" s="61">
        <v>-2.2200000000000002</v>
      </c>
      <c r="J1408" s="47">
        <f t="shared" si="105"/>
        <v>-1.1516666666666666</v>
      </c>
      <c r="K1408" s="47">
        <f t="shared" si="106"/>
        <v>-0.21978021978021983</v>
      </c>
      <c r="L1408" s="8">
        <v>-1.61</v>
      </c>
      <c r="O1408" s="17">
        <f t="shared" si="107"/>
        <v>0</v>
      </c>
      <c r="P1408" s="17">
        <f t="shared" si="108"/>
        <v>0</v>
      </c>
      <c r="Q1408" s="17"/>
      <c r="R1408" s="9">
        <v>20220808</v>
      </c>
      <c r="S1408" s="9">
        <v>-413.94</v>
      </c>
      <c r="U1408" s="9">
        <v>2130.7160600000002</v>
      </c>
      <c r="V1408" s="45">
        <f t="shared" si="109"/>
        <v>-1</v>
      </c>
      <c r="W1408" s="12">
        <v>-10.26</v>
      </c>
      <c r="X1408" s="12">
        <v>0</v>
      </c>
      <c r="Y1408" s="62"/>
    </row>
    <row r="1409" spans="1:25" x14ac:dyDescent="0.2">
      <c r="A1409" s="3" t="s">
        <v>3673</v>
      </c>
      <c r="B1409" s="3" t="s">
        <v>1423</v>
      </c>
      <c r="C1409" s="6" t="s">
        <v>354</v>
      </c>
      <c r="D1409" s="6" t="s">
        <v>54</v>
      </c>
      <c r="E1409" s="6" t="s">
        <v>35</v>
      </c>
      <c r="F1409" s="6">
        <v>6118.27</v>
      </c>
      <c r="G1409" s="2">
        <v>12</v>
      </c>
      <c r="H1409" s="61">
        <v>5.63</v>
      </c>
      <c r="I1409" s="61">
        <v>5.6</v>
      </c>
      <c r="J1409" s="47">
        <f t="shared" si="105"/>
        <v>-0.53083333333333338</v>
      </c>
      <c r="K1409" s="47">
        <f t="shared" si="106"/>
        <v>-5.3285968028419627E-3</v>
      </c>
      <c r="L1409" s="8">
        <v>8.6300000000000008</v>
      </c>
      <c r="M1409" s="8">
        <v>26.8</v>
      </c>
      <c r="N1409" s="8">
        <v>16.600000000000001</v>
      </c>
      <c r="O1409" s="17">
        <f t="shared" si="107"/>
        <v>-0.50486656200941915</v>
      </c>
      <c r="P1409" s="17">
        <f t="shared" si="108"/>
        <v>-31.152666666666409</v>
      </c>
      <c r="Q1409" s="17">
        <v>10.77</v>
      </c>
      <c r="R1409" s="9">
        <v>20220804</v>
      </c>
      <c r="S1409" s="9">
        <v>7.63</v>
      </c>
      <c r="T1409" s="9">
        <v>0.99</v>
      </c>
      <c r="U1409" s="9">
        <v>8415.2236300000004</v>
      </c>
      <c r="V1409" s="45">
        <f t="shared" si="109"/>
        <v>-0.99988235606758324</v>
      </c>
      <c r="W1409" s="12">
        <v>41.18</v>
      </c>
      <c r="X1409" s="12">
        <v>1.59</v>
      </c>
      <c r="Y1409" s="62">
        <v>0.59</v>
      </c>
    </row>
    <row r="1410" spans="1:25" x14ac:dyDescent="0.2">
      <c r="A1410" s="3" t="s">
        <v>3674</v>
      </c>
      <c r="B1410" s="3" t="s">
        <v>1424</v>
      </c>
      <c r="C1410" s="6" t="s">
        <v>355</v>
      </c>
      <c r="D1410" s="6" t="s">
        <v>132</v>
      </c>
      <c r="E1410" s="6" t="s">
        <v>119</v>
      </c>
      <c r="F1410" s="6">
        <v>10532.61</v>
      </c>
      <c r="G1410" s="2">
        <v>6</v>
      </c>
      <c r="H1410" s="61">
        <v>3.35</v>
      </c>
      <c r="I1410" s="61">
        <v>3.21</v>
      </c>
      <c r="J1410" s="47">
        <f t="shared" si="105"/>
        <v>-0.44166666666666665</v>
      </c>
      <c r="K1410" s="47">
        <f t="shared" si="106"/>
        <v>-4.1791044776119439E-2</v>
      </c>
      <c r="L1410" s="8">
        <v>3.54</v>
      </c>
      <c r="M1410" s="8">
        <v>12.09</v>
      </c>
      <c r="N1410" s="8">
        <v>12.13</v>
      </c>
      <c r="O1410" s="17">
        <f t="shared" si="107"/>
        <v>-0.27373584905660381</v>
      </c>
      <c r="P1410" s="17">
        <f t="shared" si="108"/>
        <v>-2.9025357142857122</v>
      </c>
      <c r="Q1410" s="17">
        <v>11.02</v>
      </c>
      <c r="R1410" s="9">
        <v>20220804</v>
      </c>
      <c r="S1410" s="9">
        <v>20.16</v>
      </c>
      <c r="T1410" s="9">
        <v>7.84</v>
      </c>
      <c r="U1410" s="9">
        <v>3503.8998999999999</v>
      </c>
      <c r="V1410" s="45">
        <f t="shared" si="109"/>
        <v>-0.99776249315798082</v>
      </c>
      <c r="W1410" s="12">
        <v>4.4800000000000004</v>
      </c>
      <c r="X1410" s="12">
        <v>2.27</v>
      </c>
      <c r="Y1410" s="62"/>
    </row>
    <row r="1411" spans="1:25" x14ac:dyDescent="0.2">
      <c r="A1411" s="3" t="s">
        <v>3675</v>
      </c>
      <c r="B1411" s="3" t="s">
        <v>1425</v>
      </c>
      <c r="C1411" s="6" t="s">
        <v>354</v>
      </c>
      <c r="D1411" s="6" t="s">
        <v>121</v>
      </c>
      <c r="E1411" s="6" t="s">
        <v>140</v>
      </c>
      <c r="F1411" s="6">
        <v>31743.41</v>
      </c>
      <c r="G1411" s="2">
        <v>12</v>
      </c>
      <c r="H1411" s="61">
        <v>2.97</v>
      </c>
      <c r="I1411" s="61">
        <v>3.25</v>
      </c>
      <c r="J1411" s="47">
        <f t="shared" ref="J1411:J1474" si="110">(H1411-G1411)/ABS(G1411)</f>
        <v>-0.75249999999999995</v>
      </c>
      <c r="K1411" s="47">
        <f t="shared" ref="K1411:K1474" si="111">(I1411-H1411)/ABS(H1411)</f>
        <v>9.4276094276094208E-2</v>
      </c>
      <c r="L1411" s="8">
        <v>3.65</v>
      </c>
      <c r="M1411" s="8">
        <v>24.62</v>
      </c>
      <c r="N1411" s="8">
        <v>23.08</v>
      </c>
      <c r="O1411" s="17">
        <f t="shared" ref="O1411:O1474" si="112">M1411/(J1411*100)</f>
        <v>-0.32717607973421931</v>
      </c>
      <c r="P1411" s="17">
        <f t="shared" ref="P1411:P1474" si="113">N1411/(K1411*100)</f>
        <v>2.448128571428573</v>
      </c>
      <c r="Q1411" s="17">
        <v>20.57</v>
      </c>
      <c r="R1411" s="9">
        <v>20220725</v>
      </c>
      <c r="S1411" s="9">
        <v>-35.81</v>
      </c>
      <c r="U1411" s="9">
        <v>14231.190420000001</v>
      </c>
      <c r="V1411" s="45">
        <f t="shared" ref="V1411:V1474" si="114">(T1411-U1411)/U1411</f>
        <v>-1</v>
      </c>
      <c r="W1411" s="12">
        <v>2.67</v>
      </c>
      <c r="X1411" s="12">
        <v>1.54</v>
      </c>
      <c r="Y1411" s="62"/>
    </row>
    <row r="1412" spans="1:25" x14ac:dyDescent="0.2">
      <c r="A1412" s="3" t="s">
        <v>3676</v>
      </c>
      <c r="B1412" s="3" t="s">
        <v>1893</v>
      </c>
      <c r="C1412" s="6" t="s">
        <v>354</v>
      </c>
      <c r="D1412" s="6" t="s">
        <v>215</v>
      </c>
      <c r="E1412" s="6" t="s">
        <v>163</v>
      </c>
      <c r="F1412" s="6">
        <v>3308.07</v>
      </c>
      <c r="G1412" s="2">
        <v>12</v>
      </c>
      <c r="H1412" s="61">
        <v>1.19</v>
      </c>
      <c r="I1412" s="61">
        <v>2.09</v>
      </c>
      <c r="J1412" s="47">
        <f t="shared" si="110"/>
        <v>-0.90083333333333337</v>
      </c>
      <c r="K1412" s="47">
        <f t="shared" si="111"/>
        <v>0.75630252100840334</v>
      </c>
      <c r="L1412" s="8">
        <v>2.5099999999999998</v>
      </c>
      <c r="M1412" s="8">
        <v>11.94</v>
      </c>
      <c r="N1412" s="8">
        <v>9.67</v>
      </c>
      <c r="O1412" s="17">
        <f t="shared" si="112"/>
        <v>-0.13254394079555964</v>
      </c>
      <c r="P1412" s="17">
        <f t="shared" si="113"/>
        <v>0.12785888888888888</v>
      </c>
      <c r="Q1412" s="17">
        <v>8.0500000000000007</v>
      </c>
      <c r="R1412" s="9">
        <v>20220804</v>
      </c>
      <c r="S1412" s="9">
        <v>10.09</v>
      </c>
      <c r="T1412" s="9">
        <v>-3.34</v>
      </c>
      <c r="U1412" s="9">
        <v>1784.15002</v>
      </c>
      <c r="V1412" s="45">
        <f t="shared" si="114"/>
        <v>-1.0018720398859733</v>
      </c>
      <c r="W1412" s="12">
        <v>5.91</v>
      </c>
      <c r="X1412" s="12">
        <v>5.95</v>
      </c>
      <c r="Y1412" s="62">
        <v>0.97</v>
      </c>
    </row>
    <row r="1413" spans="1:25" x14ac:dyDescent="0.2">
      <c r="A1413" s="3" t="s">
        <v>3677</v>
      </c>
      <c r="B1413" s="3" t="s">
        <v>1426</v>
      </c>
      <c r="C1413" s="6" t="s">
        <v>356</v>
      </c>
      <c r="D1413" s="6" t="s">
        <v>69</v>
      </c>
      <c r="E1413" s="6" t="s">
        <v>163</v>
      </c>
      <c r="F1413" s="6">
        <v>38330.94</v>
      </c>
      <c r="G1413" s="2">
        <v>12</v>
      </c>
      <c r="H1413" s="61">
        <v>1.66</v>
      </c>
      <c r="I1413" s="61">
        <v>1.73</v>
      </c>
      <c r="J1413" s="47">
        <f t="shared" si="110"/>
        <v>-0.86166666666666669</v>
      </c>
      <c r="K1413" s="47">
        <f t="shared" si="111"/>
        <v>4.2168674698795219E-2</v>
      </c>
      <c r="L1413" s="8">
        <v>2.0299999999999998</v>
      </c>
      <c r="N1413" s="8">
        <v>9.8800000000000008</v>
      </c>
      <c r="O1413" s="17">
        <f t="shared" si="112"/>
        <v>0</v>
      </c>
      <c r="P1413" s="17">
        <f t="shared" si="113"/>
        <v>2.3429714285714267</v>
      </c>
      <c r="Q1413" s="17">
        <v>8.39</v>
      </c>
      <c r="U1413" s="9">
        <v>8082.56005</v>
      </c>
      <c r="V1413" s="45">
        <f t="shared" si="114"/>
        <v>-1</v>
      </c>
      <c r="X1413" s="12">
        <v>4.1900000000000004</v>
      </c>
      <c r="Y1413" s="62"/>
    </row>
    <row r="1414" spans="1:25" x14ac:dyDescent="0.2">
      <c r="A1414" s="3" t="s">
        <v>3678</v>
      </c>
      <c r="B1414" s="3" t="s">
        <v>1427</v>
      </c>
      <c r="C1414" s="6" t="s">
        <v>354</v>
      </c>
      <c r="D1414" s="6" t="s">
        <v>684</v>
      </c>
      <c r="E1414" s="6" t="s">
        <v>218</v>
      </c>
      <c r="F1414" s="6">
        <v>13877.29</v>
      </c>
      <c r="G1414" s="2">
        <v>12</v>
      </c>
      <c r="H1414" s="61">
        <v>5.2</v>
      </c>
      <c r="I1414" s="61">
        <v>9.64</v>
      </c>
      <c r="J1414" s="47">
        <f t="shared" si="110"/>
        <v>-0.56666666666666665</v>
      </c>
      <c r="K1414" s="47">
        <f t="shared" si="111"/>
        <v>0.85384615384615392</v>
      </c>
      <c r="L1414" s="8">
        <v>14.85</v>
      </c>
      <c r="M1414" s="8">
        <v>12.19</v>
      </c>
      <c r="N1414" s="8">
        <v>5.58</v>
      </c>
      <c r="O1414" s="17">
        <f t="shared" si="112"/>
        <v>-0.21511764705882352</v>
      </c>
      <c r="P1414" s="17">
        <f t="shared" si="113"/>
        <v>6.5351351351351353E-2</v>
      </c>
      <c r="Q1414" s="17">
        <v>3.62</v>
      </c>
      <c r="R1414" s="9">
        <v>20220726</v>
      </c>
      <c r="S1414" s="9">
        <v>60.01</v>
      </c>
      <c r="T1414" s="9">
        <v>13.95</v>
      </c>
      <c r="U1414" s="9">
        <v>10579.214840000001</v>
      </c>
      <c r="V1414" s="45">
        <f t="shared" si="114"/>
        <v>-0.99868137662284207</v>
      </c>
      <c r="W1414" s="12">
        <v>-14.57</v>
      </c>
      <c r="X1414" s="12">
        <v>1.49</v>
      </c>
      <c r="Y1414" s="62"/>
    </row>
    <row r="1415" spans="1:25" x14ac:dyDescent="0.2">
      <c r="A1415" s="3" t="s">
        <v>3679</v>
      </c>
      <c r="B1415" s="3" t="s">
        <v>3680</v>
      </c>
      <c r="C1415" s="6" t="s">
        <v>354</v>
      </c>
      <c r="D1415" s="6" t="s">
        <v>150</v>
      </c>
      <c r="E1415" s="6" t="s">
        <v>163</v>
      </c>
      <c r="F1415" s="6">
        <v>16763.54</v>
      </c>
      <c r="G1415" s="2">
        <v>12</v>
      </c>
      <c r="H1415" s="61">
        <v>0.31</v>
      </c>
      <c r="I1415" s="61">
        <v>0.55000000000000004</v>
      </c>
      <c r="J1415" s="47">
        <f t="shared" si="110"/>
        <v>-0.97416666666666663</v>
      </c>
      <c r="K1415" s="47">
        <f t="shared" si="111"/>
        <v>0.77419354838709697</v>
      </c>
      <c r="L1415" s="8">
        <v>0.74</v>
      </c>
      <c r="N1415" s="8">
        <v>21.82</v>
      </c>
      <c r="O1415" s="17">
        <f t="shared" si="112"/>
        <v>0</v>
      </c>
      <c r="P1415" s="17">
        <f t="shared" si="113"/>
        <v>0.2818416666666666</v>
      </c>
      <c r="Q1415" s="17">
        <v>16.329999999999998</v>
      </c>
      <c r="R1415" s="9">
        <v>20220804</v>
      </c>
      <c r="S1415" s="9">
        <v>-21.35</v>
      </c>
      <c r="U1415" s="9">
        <v>1317.09997</v>
      </c>
      <c r="V1415" s="45">
        <f t="shared" si="114"/>
        <v>-1</v>
      </c>
      <c r="W1415" s="12">
        <v>-15.38</v>
      </c>
      <c r="X1415" s="12">
        <v>3.33</v>
      </c>
      <c r="Y1415" s="62">
        <v>0.49</v>
      </c>
    </row>
    <row r="1416" spans="1:25" x14ac:dyDescent="0.2">
      <c r="A1416" s="3" t="s">
        <v>3681</v>
      </c>
      <c r="B1416" s="3" t="s">
        <v>1428</v>
      </c>
      <c r="C1416" s="6" t="s">
        <v>354</v>
      </c>
      <c r="D1416" s="6" t="s">
        <v>205</v>
      </c>
      <c r="E1416" s="6" t="s">
        <v>218</v>
      </c>
      <c r="F1416" s="6">
        <v>64347.54</v>
      </c>
      <c r="G1416" s="2">
        <v>12</v>
      </c>
      <c r="H1416" s="61">
        <v>2.15</v>
      </c>
      <c r="I1416" s="61">
        <v>9.93</v>
      </c>
      <c r="J1416" s="47">
        <f t="shared" si="110"/>
        <v>-0.8208333333333333</v>
      </c>
      <c r="K1416" s="47">
        <f t="shared" si="111"/>
        <v>3.6186046511627907</v>
      </c>
      <c r="L1416" s="8">
        <v>8.0500000000000007</v>
      </c>
      <c r="M1416" s="8">
        <v>14.33</v>
      </c>
      <c r="N1416" s="8">
        <v>6.92</v>
      </c>
      <c r="O1416" s="17">
        <f t="shared" si="112"/>
        <v>-0.17457868020304571</v>
      </c>
      <c r="P1416" s="17">
        <f t="shared" si="113"/>
        <v>1.9123393316195371E-2</v>
      </c>
      <c r="Q1416" s="17">
        <v>8.5299999999999994</v>
      </c>
      <c r="R1416" s="9">
        <v>20220802</v>
      </c>
      <c r="S1416" s="9">
        <v>47.28</v>
      </c>
      <c r="T1416" s="9">
        <v>13.16</v>
      </c>
      <c r="U1416" s="9">
        <v>37335.105459999999</v>
      </c>
      <c r="V1416" s="45">
        <f t="shared" si="114"/>
        <v>-0.99964751673156238</v>
      </c>
      <c r="W1416" s="12">
        <v>7.61</v>
      </c>
      <c r="X1416" s="12">
        <v>0.76</v>
      </c>
      <c r="Y1416" s="62">
        <v>0.21</v>
      </c>
    </row>
    <row r="1417" spans="1:25" x14ac:dyDescent="0.2">
      <c r="A1417" s="3" t="s">
        <v>1429</v>
      </c>
      <c r="B1417" s="3" t="s">
        <v>1430</v>
      </c>
      <c r="C1417" s="6" t="s">
        <v>355</v>
      </c>
      <c r="D1417" s="6" t="s">
        <v>104</v>
      </c>
      <c r="E1417" s="6" t="s">
        <v>163</v>
      </c>
      <c r="F1417" s="6">
        <v>5134.41</v>
      </c>
      <c r="G1417" s="2">
        <v>12</v>
      </c>
      <c r="H1417" s="61">
        <v>4.28</v>
      </c>
      <c r="I1417" s="61">
        <v>4.17</v>
      </c>
      <c r="J1417" s="47">
        <f t="shared" si="110"/>
        <v>-0.64333333333333331</v>
      </c>
      <c r="K1417" s="47">
        <f t="shared" si="111"/>
        <v>-2.5700934579439325E-2</v>
      </c>
      <c r="L1417" s="8">
        <v>4.45</v>
      </c>
      <c r="M1417" s="8">
        <v>9.41</v>
      </c>
      <c r="N1417" s="8">
        <v>9.82</v>
      </c>
      <c r="O1417" s="17">
        <f t="shared" si="112"/>
        <v>-0.14626943005181348</v>
      </c>
      <c r="P1417" s="17">
        <f t="shared" si="113"/>
        <v>-3.8208727272727168</v>
      </c>
      <c r="Q1417" s="17">
        <v>9.1999999999999993</v>
      </c>
      <c r="R1417" s="9">
        <v>20220728</v>
      </c>
      <c r="S1417" s="9">
        <v>12.57</v>
      </c>
      <c r="T1417" s="9">
        <v>2.8</v>
      </c>
      <c r="U1417" s="9">
        <v>1152.3480199999999</v>
      </c>
      <c r="V1417" s="45">
        <f t="shared" si="114"/>
        <v>-0.99757017849520846</v>
      </c>
      <c r="W1417" s="12">
        <v>10.87</v>
      </c>
      <c r="X1417" s="12">
        <v>3.03</v>
      </c>
      <c r="Y1417" s="62"/>
    </row>
    <row r="1418" spans="1:25" x14ac:dyDescent="0.2">
      <c r="A1418" s="3" t="s">
        <v>3682</v>
      </c>
      <c r="B1418" s="3" t="s">
        <v>1431</v>
      </c>
      <c r="C1418" s="6" t="s">
        <v>355</v>
      </c>
      <c r="D1418" s="6" t="s">
        <v>861</v>
      </c>
      <c r="E1418" s="6" t="s">
        <v>218</v>
      </c>
      <c r="F1418" s="6">
        <v>7981.09</v>
      </c>
      <c r="G1418" s="2">
        <v>12</v>
      </c>
      <c r="H1418" s="61">
        <v>0.97</v>
      </c>
      <c r="I1418" s="61">
        <v>0.83</v>
      </c>
      <c r="J1418" s="47">
        <f t="shared" si="110"/>
        <v>-0.91916666666666658</v>
      </c>
      <c r="K1418" s="47">
        <f t="shared" si="111"/>
        <v>-0.14432989690721651</v>
      </c>
      <c r="L1418" s="8">
        <v>1.06</v>
      </c>
      <c r="M1418" s="8">
        <v>11.21</v>
      </c>
      <c r="N1418" s="8">
        <v>13.67</v>
      </c>
      <c r="O1418" s="17">
        <f t="shared" si="112"/>
        <v>-0.12195829555757029</v>
      </c>
      <c r="P1418" s="17">
        <f t="shared" si="113"/>
        <v>-0.94713571428571419</v>
      </c>
      <c r="Q1418" s="17">
        <v>10.7</v>
      </c>
      <c r="R1418" s="9">
        <v>20220802</v>
      </c>
      <c r="S1418" s="9">
        <v>9.8000000000000007</v>
      </c>
      <c r="T1418" s="9">
        <v>5.87</v>
      </c>
      <c r="U1418" s="9">
        <v>53453.175779999998</v>
      </c>
      <c r="V1418" s="45">
        <f t="shared" si="114"/>
        <v>-0.99989018426100329</v>
      </c>
      <c r="W1418" s="12">
        <v>-16.22</v>
      </c>
      <c r="X1418" s="12">
        <v>7.69</v>
      </c>
      <c r="Y1418" s="62"/>
    </row>
    <row r="1419" spans="1:25" x14ac:dyDescent="0.2">
      <c r="A1419" s="3" t="s">
        <v>3683</v>
      </c>
      <c r="B1419" s="3" t="s">
        <v>1432</v>
      </c>
      <c r="C1419" s="6" t="s">
        <v>355</v>
      </c>
      <c r="D1419" s="6" t="s">
        <v>1433</v>
      </c>
      <c r="E1419" s="6" t="s">
        <v>60</v>
      </c>
      <c r="F1419" s="6">
        <v>4765.97</v>
      </c>
      <c r="G1419" s="2">
        <v>12</v>
      </c>
      <c r="H1419" s="61">
        <v>0.84</v>
      </c>
      <c r="I1419" s="61">
        <v>0.97</v>
      </c>
      <c r="J1419" s="47">
        <f t="shared" si="110"/>
        <v>-0.93</v>
      </c>
      <c r="K1419" s="47">
        <f t="shared" si="111"/>
        <v>0.15476190476190477</v>
      </c>
      <c r="L1419" s="8">
        <v>1.31</v>
      </c>
      <c r="M1419" s="8">
        <v>30.59</v>
      </c>
      <c r="N1419" s="8">
        <v>23.28</v>
      </c>
      <c r="O1419" s="17">
        <f t="shared" si="112"/>
        <v>-0.32892473118279569</v>
      </c>
      <c r="P1419" s="17">
        <f t="shared" si="113"/>
        <v>1.504246153846154</v>
      </c>
      <c r="Q1419" s="17">
        <v>17.239999999999998</v>
      </c>
      <c r="R1419" s="9">
        <v>20220809</v>
      </c>
      <c r="S1419" s="9">
        <v>5.9</v>
      </c>
      <c r="T1419" s="9">
        <v>20.37</v>
      </c>
      <c r="U1419" s="9">
        <v>1709.55395</v>
      </c>
      <c r="V1419" s="45">
        <f t="shared" si="114"/>
        <v>-0.98808461119346369</v>
      </c>
      <c r="W1419" s="12">
        <v>-31.82</v>
      </c>
      <c r="X1419" s="12">
        <v>2.12</v>
      </c>
      <c r="Y1419" s="62">
        <v>3.32</v>
      </c>
    </row>
    <row r="1420" spans="1:25" x14ac:dyDescent="0.2">
      <c r="A1420" s="3" t="s">
        <v>3684</v>
      </c>
      <c r="B1420" s="3" t="s">
        <v>1434</v>
      </c>
      <c r="C1420" s="6" t="s">
        <v>354</v>
      </c>
      <c r="D1420" s="6" t="s">
        <v>240</v>
      </c>
      <c r="E1420" s="6" t="s">
        <v>237</v>
      </c>
      <c r="F1420" s="6">
        <v>7413</v>
      </c>
      <c r="G1420" s="2">
        <v>12</v>
      </c>
      <c r="H1420" s="61">
        <v>5.76</v>
      </c>
      <c r="I1420" s="61">
        <v>6.76</v>
      </c>
      <c r="J1420" s="47">
        <f t="shared" si="110"/>
        <v>-0.52</v>
      </c>
      <c r="K1420" s="47">
        <f t="shared" si="111"/>
        <v>0.1736111111111111</v>
      </c>
      <c r="L1420" s="8">
        <v>7.81</v>
      </c>
      <c r="M1420" s="8">
        <v>20.73</v>
      </c>
      <c r="N1420" s="8">
        <v>21.42</v>
      </c>
      <c r="O1420" s="17">
        <f t="shared" si="112"/>
        <v>-0.39865384615384614</v>
      </c>
      <c r="P1420" s="17">
        <f t="shared" si="113"/>
        <v>1.2337920000000002</v>
      </c>
      <c r="Q1420" s="17">
        <v>18.53</v>
      </c>
      <c r="R1420" s="9">
        <v>20220804</v>
      </c>
      <c r="S1420" s="9">
        <v>35.01</v>
      </c>
      <c r="T1420" s="9">
        <v>4.6399999999999997</v>
      </c>
      <c r="U1420" s="9">
        <v>1240.1199899999999</v>
      </c>
      <c r="V1420" s="45">
        <f t="shared" si="114"/>
        <v>-0.99625842657370589</v>
      </c>
      <c r="W1420" s="12">
        <v>60.14</v>
      </c>
      <c r="X1420" s="12">
        <v>4.8600000000000003</v>
      </c>
      <c r="Y1420" s="62">
        <v>1.52</v>
      </c>
    </row>
    <row r="1421" spans="1:25" x14ac:dyDescent="0.2">
      <c r="A1421" s="3" t="s">
        <v>1435</v>
      </c>
      <c r="B1421" s="3" t="s">
        <v>1436</v>
      </c>
      <c r="C1421" s="6" t="s">
        <v>355</v>
      </c>
      <c r="D1421" s="6" t="s">
        <v>113</v>
      </c>
      <c r="E1421" s="6" t="s">
        <v>163</v>
      </c>
      <c r="F1421" s="6">
        <v>3664.35</v>
      </c>
      <c r="G1421" s="2">
        <v>12</v>
      </c>
      <c r="H1421" s="61">
        <v>5</v>
      </c>
      <c r="I1421" s="61">
        <v>4.43</v>
      </c>
      <c r="J1421" s="47">
        <f t="shared" si="110"/>
        <v>-0.58333333333333337</v>
      </c>
      <c r="K1421" s="47">
        <f t="shared" si="111"/>
        <v>-0.11400000000000006</v>
      </c>
      <c r="L1421" s="8">
        <v>4.9800000000000004</v>
      </c>
      <c r="M1421" s="8">
        <v>6.45</v>
      </c>
      <c r="N1421" s="8">
        <v>7.04</v>
      </c>
      <c r="O1421" s="17">
        <f t="shared" si="112"/>
        <v>-0.11057142857142857</v>
      </c>
      <c r="P1421" s="17">
        <f t="shared" si="113"/>
        <v>-0.61754385964912251</v>
      </c>
      <c r="Q1421" s="17">
        <v>6.26</v>
      </c>
      <c r="R1421" s="9">
        <v>20220718</v>
      </c>
      <c r="S1421" s="9">
        <v>14.96</v>
      </c>
      <c r="T1421" s="9">
        <v>2.19</v>
      </c>
      <c r="U1421" s="9">
        <v>1411.43298</v>
      </c>
      <c r="V1421" s="45">
        <f t="shared" si="114"/>
        <v>-0.99844838541324143</v>
      </c>
      <c r="W1421" s="12">
        <v>-3.81</v>
      </c>
      <c r="X1421" s="12">
        <v>3.21</v>
      </c>
      <c r="Y1421" s="62"/>
    </row>
    <row r="1422" spans="1:25" x14ac:dyDescent="0.2">
      <c r="A1422" s="3" t="s">
        <v>3685</v>
      </c>
      <c r="B1422" s="3" t="s">
        <v>1437</v>
      </c>
      <c r="C1422" s="6" t="s">
        <v>354</v>
      </c>
      <c r="D1422" s="6" t="s">
        <v>412</v>
      </c>
      <c r="E1422" s="6" t="s">
        <v>231</v>
      </c>
      <c r="F1422" s="6">
        <v>8742.66</v>
      </c>
      <c r="G1422" s="2">
        <v>12</v>
      </c>
      <c r="H1422" s="61">
        <v>14.82</v>
      </c>
      <c r="I1422" s="61">
        <v>16.809999999999999</v>
      </c>
      <c r="J1422" s="47">
        <f t="shared" si="110"/>
        <v>0.23500000000000001</v>
      </c>
      <c r="K1422" s="47">
        <f t="shared" si="111"/>
        <v>0.13427800269905521</v>
      </c>
      <c r="L1422" s="8">
        <v>14.67</v>
      </c>
      <c r="M1422" s="8">
        <v>6.48</v>
      </c>
      <c r="N1422" s="8">
        <v>6.85</v>
      </c>
      <c r="O1422" s="17">
        <f t="shared" si="112"/>
        <v>0.27574468085106385</v>
      </c>
      <c r="P1422" s="17">
        <f t="shared" si="113"/>
        <v>0.51013567839196017</v>
      </c>
      <c r="Q1422" s="17">
        <v>7.85</v>
      </c>
      <c r="R1422" s="9">
        <v>20220727</v>
      </c>
      <c r="S1422" s="9">
        <v>35.33</v>
      </c>
      <c r="T1422" s="9">
        <v>2.88</v>
      </c>
      <c r="U1422" s="9">
        <v>28305.964840000001</v>
      </c>
      <c r="V1422" s="45">
        <f t="shared" si="114"/>
        <v>-0.99989825466058901</v>
      </c>
      <c r="W1422" s="12">
        <v>20.81</v>
      </c>
      <c r="X1422" s="12">
        <v>1.74</v>
      </c>
      <c r="Y1422" s="62"/>
    </row>
    <row r="1423" spans="1:25" x14ac:dyDescent="0.2">
      <c r="A1423" s="3" t="s">
        <v>3686</v>
      </c>
      <c r="B1423" s="3" t="s">
        <v>1438</v>
      </c>
      <c r="C1423" s="6" t="s">
        <v>354</v>
      </c>
      <c r="D1423" s="6" t="s">
        <v>153</v>
      </c>
      <c r="E1423" s="6" t="s">
        <v>108</v>
      </c>
      <c r="F1423" s="6">
        <v>4848.54</v>
      </c>
      <c r="G1423" s="2">
        <v>12</v>
      </c>
      <c r="H1423" s="61">
        <v>0.8</v>
      </c>
      <c r="I1423" s="61">
        <v>0.9</v>
      </c>
      <c r="J1423" s="47">
        <f t="shared" si="110"/>
        <v>-0.93333333333333324</v>
      </c>
      <c r="K1423" s="47">
        <f t="shared" si="111"/>
        <v>0.12499999999999997</v>
      </c>
      <c r="L1423" s="8">
        <v>1.33</v>
      </c>
      <c r="M1423" s="8">
        <v>17.100000000000001</v>
      </c>
      <c r="N1423" s="8">
        <v>16.420000000000002</v>
      </c>
      <c r="O1423" s="17">
        <f t="shared" si="112"/>
        <v>-0.18321428571428575</v>
      </c>
      <c r="P1423" s="17">
        <f t="shared" si="113"/>
        <v>1.3136000000000005</v>
      </c>
      <c r="Q1423" s="17">
        <v>11.03</v>
      </c>
      <c r="R1423" s="9">
        <v>20220601</v>
      </c>
      <c r="S1423" s="9">
        <v>14.79</v>
      </c>
      <c r="T1423" s="9">
        <v>11.58</v>
      </c>
      <c r="U1423" s="9">
        <v>2872.5219699999998</v>
      </c>
      <c r="V1423" s="45">
        <f t="shared" si="114"/>
        <v>-0.99596869924027076</v>
      </c>
      <c r="W1423" s="12">
        <v>9.52</v>
      </c>
      <c r="X1423" s="12">
        <v>0</v>
      </c>
      <c r="Y1423" s="62">
        <v>0.71</v>
      </c>
    </row>
    <row r="1424" spans="1:25" x14ac:dyDescent="0.2">
      <c r="A1424" s="3" t="s">
        <v>3687</v>
      </c>
      <c r="B1424" s="3" t="s">
        <v>1439</v>
      </c>
      <c r="C1424" s="6" t="s">
        <v>355</v>
      </c>
      <c r="D1424" s="6" t="s">
        <v>307</v>
      </c>
      <c r="E1424" s="6" t="s">
        <v>119</v>
      </c>
      <c r="F1424" s="6">
        <v>50025.93</v>
      </c>
      <c r="G1424" s="2">
        <v>7</v>
      </c>
      <c r="H1424" s="61">
        <v>5.99</v>
      </c>
      <c r="I1424" s="61">
        <v>7.44</v>
      </c>
      <c r="J1424" s="47">
        <f t="shared" si="110"/>
        <v>-0.14428571428571427</v>
      </c>
      <c r="K1424" s="47">
        <f t="shared" si="111"/>
        <v>0.24207011686143576</v>
      </c>
      <c r="L1424" s="8">
        <v>9.27</v>
      </c>
      <c r="M1424" s="8">
        <v>74.16</v>
      </c>
      <c r="N1424" s="8">
        <v>67.5</v>
      </c>
      <c r="O1424" s="17">
        <f t="shared" si="112"/>
        <v>-5.1398019801980199</v>
      </c>
      <c r="P1424" s="17">
        <f t="shared" si="113"/>
        <v>2.7884482758620686</v>
      </c>
      <c r="Q1424" s="17">
        <v>54.15</v>
      </c>
      <c r="R1424" s="9">
        <v>20220822</v>
      </c>
      <c r="S1424" s="9">
        <v>-57.5</v>
      </c>
      <c r="T1424" s="9">
        <v>24.21</v>
      </c>
      <c r="U1424" s="9">
        <v>5492.1718700000001</v>
      </c>
      <c r="V1424" s="45">
        <f t="shared" si="114"/>
        <v>-0.99559190779657813</v>
      </c>
      <c r="W1424" s="12">
        <v>7.19</v>
      </c>
      <c r="X1424" s="12">
        <v>0</v>
      </c>
      <c r="Y1424" s="62">
        <v>2.14</v>
      </c>
    </row>
    <row r="1425" spans="1:25" x14ac:dyDescent="0.2">
      <c r="A1425" s="3" t="s">
        <v>3688</v>
      </c>
      <c r="B1425" s="3" t="s">
        <v>3689</v>
      </c>
      <c r="C1425" s="6" t="s">
        <v>355</v>
      </c>
      <c r="D1425" s="6" t="s">
        <v>788</v>
      </c>
      <c r="E1425" s="6" t="s">
        <v>146</v>
      </c>
      <c r="F1425" s="6">
        <v>21030.86</v>
      </c>
      <c r="G1425" s="2">
        <v>12</v>
      </c>
      <c r="H1425" s="61">
        <v>3.62</v>
      </c>
      <c r="I1425" s="61">
        <v>2.66</v>
      </c>
      <c r="J1425" s="47">
        <f t="shared" si="110"/>
        <v>-0.69833333333333325</v>
      </c>
      <c r="K1425" s="47">
        <f t="shared" si="111"/>
        <v>-0.26519337016574585</v>
      </c>
      <c r="L1425" s="8">
        <v>2.19</v>
      </c>
      <c r="M1425" s="8">
        <v>12.51</v>
      </c>
      <c r="N1425" s="8">
        <v>12.17</v>
      </c>
      <c r="O1425" s="17">
        <f t="shared" si="112"/>
        <v>-0.17914081145584726</v>
      </c>
      <c r="P1425" s="17">
        <f t="shared" si="113"/>
        <v>-0.45891041666666665</v>
      </c>
      <c r="Q1425" s="17">
        <v>14.81</v>
      </c>
      <c r="R1425" s="9">
        <v>20220804</v>
      </c>
      <c r="S1425" s="9">
        <v>7.9</v>
      </c>
      <c r="T1425" s="9">
        <v>21.78</v>
      </c>
      <c r="U1425" s="9">
        <v>30667.408200000002</v>
      </c>
      <c r="V1425" s="45">
        <f t="shared" si="114"/>
        <v>-0.99928979978164578</v>
      </c>
      <c r="W1425" s="12">
        <v>27.66</v>
      </c>
      <c r="X1425" s="12">
        <v>2.96</v>
      </c>
      <c r="Y1425" s="62">
        <v>1.49</v>
      </c>
    </row>
    <row r="1426" spans="1:25" x14ac:dyDescent="0.2">
      <c r="A1426" s="3" t="s">
        <v>3690</v>
      </c>
      <c r="B1426" s="3" t="s">
        <v>3691</v>
      </c>
      <c r="C1426" s="6" t="s">
        <v>355</v>
      </c>
      <c r="D1426" s="6" t="s">
        <v>788</v>
      </c>
      <c r="E1426" s="6" t="s">
        <v>146</v>
      </c>
      <c r="F1426" s="6">
        <v>22666.59</v>
      </c>
      <c r="G1426" s="2">
        <v>12</v>
      </c>
      <c r="H1426" s="61"/>
      <c r="I1426" s="61"/>
      <c r="J1426" s="47">
        <f t="shared" si="110"/>
        <v>-1</v>
      </c>
      <c r="K1426" s="47" t="e">
        <f t="shared" si="111"/>
        <v>#DIV/0!</v>
      </c>
      <c r="M1426" s="8">
        <v>13.48</v>
      </c>
      <c r="O1426" s="17">
        <f t="shared" si="112"/>
        <v>-0.1348</v>
      </c>
      <c r="P1426" s="17" t="e">
        <f t="shared" si="113"/>
        <v>#DIV/0!</v>
      </c>
      <c r="Q1426" s="17"/>
      <c r="R1426" s="9">
        <v>20220804</v>
      </c>
      <c r="S1426" s="9">
        <v>7.9</v>
      </c>
      <c r="T1426" s="9">
        <v>21.78</v>
      </c>
      <c r="V1426" s="45" t="e">
        <f t="shared" si="114"/>
        <v>#DIV/0!</v>
      </c>
      <c r="X1426" s="12">
        <v>2.75</v>
      </c>
      <c r="Y1426" s="62"/>
    </row>
    <row r="1427" spans="1:25" x14ac:dyDescent="0.2">
      <c r="A1427" s="3" t="s">
        <v>3692</v>
      </c>
      <c r="B1427" s="3" t="s">
        <v>2019</v>
      </c>
      <c r="C1427" s="6" t="s">
        <v>354</v>
      </c>
      <c r="D1427" s="6" t="s">
        <v>233</v>
      </c>
      <c r="E1427" s="6" t="s">
        <v>108</v>
      </c>
      <c r="F1427" s="6">
        <v>9746.73</v>
      </c>
      <c r="G1427" s="2">
        <v>1</v>
      </c>
      <c r="H1427" s="61">
        <v>7.0000000000000007E-2</v>
      </c>
      <c r="I1427" s="61">
        <v>-0.02</v>
      </c>
      <c r="J1427" s="47">
        <f t="shared" si="110"/>
        <v>-0.92999999999999994</v>
      </c>
      <c r="K1427" s="47">
        <f t="shared" si="111"/>
        <v>-1.2857142857142858</v>
      </c>
      <c r="L1427" s="8">
        <v>0.1</v>
      </c>
      <c r="M1427" s="8">
        <v>224.75</v>
      </c>
      <c r="O1427" s="17">
        <f t="shared" si="112"/>
        <v>-2.4166666666666665</v>
      </c>
      <c r="P1427" s="17">
        <f t="shared" si="113"/>
        <v>0</v>
      </c>
      <c r="Q1427" s="17">
        <v>183.47</v>
      </c>
      <c r="R1427" s="9">
        <v>20220601</v>
      </c>
      <c r="S1427" s="9">
        <v>-21.2</v>
      </c>
      <c r="U1427" s="9">
        <v>1084.1800499999999</v>
      </c>
      <c r="V1427" s="45">
        <f t="shared" si="114"/>
        <v>-1</v>
      </c>
      <c r="W1427" s="12">
        <v>66.67</v>
      </c>
      <c r="X1427" s="12">
        <v>0</v>
      </c>
      <c r="Y1427" s="62"/>
    </row>
    <row r="1428" spans="1:25" x14ac:dyDescent="0.2">
      <c r="A1428" s="3" t="s">
        <v>3693</v>
      </c>
      <c r="B1428" s="3" t="s">
        <v>1440</v>
      </c>
      <c r="C1428" s="6" t="s">
        <v>354</v>
      </c>
      <c r="D1428" s="6" t="s">
        <v>177</v>
      </c>
      <c r="E1428" s="6" t="s">
        <v>119</v>
      </c>
      <c r="F1428" s="6">
        <v>16972.95</v>
      </c>
      <c r="G1428" s="2">
        <v>12</v>
      </c>
      <c r="H1428" s="61">
        <v>4.4400000000000004</v>
      </c>
      <c r="I1428" s="61">
        <v>5.53</v>
      </c>
      <c r="J1428" s="47">
        <f t="shared" si="110"/>
        <v>-0.63</v>
      </c>
      <c r="K1428" s="47">
        <f t="shared" si="111"/>
        <v>0.24549549549549543</v>
      </c>
      <c r="L1428" s="8">
        <v>6.92</v>
      </c>
      <c r="M1428" s="8">
        <v>57.49</v>
      </c>
      <c r="N1428" s="8">
        <v>50.94</v>
      </c>
      <c r="O1428" s="17">
        <f t="shared" si="112"/>
        <v>-0.91253968253968254</v>
      </c>
      <c r="P1428" s="17">
        <f t="shared" si="113"/>
        <v>2.0749871559633033</v>
      </c>
      <c r="Q1428" s="17">
        <v>40.71</v>
      </c>
      <c r="R1428" s="9">
        <v>20220802</v>
      </c>
      <c r="S1428" s="9">
        <v>25.12</v>
      </c>
      <c r="T1428" s="9">
        <v>24.56</v>
      </c>
      <c r="U1428" s="9">
        <v>1334.3909900000001</v>
      </c>
      <c r="V1428" s="45">
        <f t="shared" si="114"/>
        <v>-0.98159459994555276</v>
      </c>
      <c r="W1428" s="12">
        <v>7.95</v>
      </c>
      <c r="X1428" s="12">
        <v>0</v>
      </c>
      <c r="Y1428" s="62">
        <v>2.04</v>
      </c>
    </row>
    <row r="1429" spans="1:25" x14ac:dyDescent="0.2">
      <c r="A1429" s="3" t="s">
        <v>3694</v>
      </c>
      <c r="B1429" s="3" t="s">
        <v>1441</v>
      </c>
      <c r="C1429" s="6" t="s">
        <v>355</v>
      </c>
      <c r="D1429" s="6" t="s">
        <v>210</v>
      </c>
      <c r="E1429" s="6" t="s">
        <v>108</v>
      </c>
      <c r="F1429" s="6">
        <v>43755.3</v>
      </c>
      <c r="G1429" s="2">
        <v>5</v>
      </c>
      <c r="H1429" s="61">
        <v>3</v>
      </c>
      <c r="I1429" s="61">
        <v>3.75</v>
      </c>
      <c r="J1429" s="47">
        <f t="shared" si="110"/>
        <v>-0.4</v>
      </c>
      <c r="K1429" s="47">
        <f t="shared" si="111"/>
        <v>0.25</v>
      </c>
      <c r="L1429" s="8">
        <v>4.07</v>
      </c>
      <c r="M1429" s="8">
        <v>33.03</v>
      </c>
      <c r="N1429" s="8">
        <v>32.33</v>
      </c>
      <c r="O1429" s="17">
        <f t="shared" si="112"/>
        <v>-0.82574999999999998</v>
      </c>
      <c r="P1429" s="17">
        <f t="shared" si="113"/>
        <v>1.2931999999999999</v>
      </c>
      <c r="Q1429" s="17">
        <v>29.8</v>
      </c>
      <c r="R1429" s="9">
        <v>20220624</v>
      </c>
      <c r="S1429" s="9">
        <v>43.02</v>
      </c>
      <c r="T1429" s="9">
        <v>7.28</v>
      </c>
      <c r="U1429" s="9">
        <v>4579.0087800000001</v>
      </c>
      <c r="V1429" s="45">
        <f t="shared" si="114"/>
        <v>-0.99841013626534258</v>
      </c>
      <c r="W1429" s="12">
        <v>10.58</v>
      </c>
      <c r="X1429" s="12">
        <v>2.61</v>
      </c>
      <c r="Y1429" s="62">
        <v>4.3099999999999996</v>
      </c>
    </row>
    <row r="1430" spans="1:25" x14ac:dyDescent="0.2">
      <c r="A1430" s="3" t="s">
        <v>3695</v>
      </c>
      <c r="B1430" s="3" t="s">
        <v>1442</v>
      </c>
      <c r="C1430" s="6" t="s">
        <v>354</v>
      </c>
      <c r="D1430" s="6" t="s">
        <v>553</v>
      </c>
      <c r="E1430" s="6" t="s">
        <v>163</v>
      </c>
      <c r="F1430" s="6">
        <v>6583.66</v>
      </c>
      <c r="G1430" s="2">
        <v>12</v>
      </c>
      <c r="H1430" s="61">
        <v>5.6</v>
      </c>
      <c r="I1430" s="61">
        <v>5.66</v>
      </c>
      <c r="J1430" s="47">
        <f t="shared" si="110"/>
        <v>-0.53333333333333333</v>
      </c>
      <c r="K1430" s="47">
        <f t="shared" si="111"/>
        <v>1.0714285714285805E-2</v>
      </c>
      <c r="L1430" s="8">
        <v>6.04</v>
      </c>
      <c r="M1430" s="8">
        <v>12.96</v>
      </c>
      <c r="N1430" s="8">
        <v>12.61</v>
      </c>
      <c r="O1430" s="17">
        <f t="shared" si="112"/>
        <v>-0.24299999999999999</v>
      </c>
      <c r="P1430" s="17">
        <f t="shared" si="113"/>
        <v>11.769333333333233</v>
      </c>
      <c r="Q1430" s="17">
        <v>11.83</v>
      </c>
      <c r="R1430" s="9">
        <v>20220727</v>
      </c>
      <c r="S1430" s="9">
        <v>7.95</v>
      </c>
      <c r="T1430" s="9">
        <v>12.93</v>
      </c>
      <c r="U1430" s="9">
        <v>1142.4730199999999</v>
      </c>
      <c r="V1430" s="45">
        <f t="shared" si="114"/>
        <v>-0.98868244608524758</v>
      </c>
      <c r="W1430" s="12">
        <v>3.1</v>
      </c>
      <c r="X1430" s="12">
        <v>2.91</v>
      </c>
      <c r="Y1430" s="62">
        <v>1.26</v>
      </c>
    </row>
    <row r="1431" spans="1:25" x14ac:dyDescent="0.2">
      <c r="A1431" s="3" t="s">
        <v>3696</v>
      </c>
      <c r="B1431" s="3" t="s">
        <v>1443</v>
      </c>
      <c r="C1431" s="6" t="s">
        <v>354</v>
      </c>
      <c r="D1431" s="6" t="s">
        <v>206</v>
      </c>
      <c r="E1431" s="6" t="s">
        <v>218</v>
      </c>
      <c r="F1431" s="6">
        <v>22043.57</v>
      </c>
      <c r="G1431" s="2">
        <v>12</v>
      </c>
      <c r="H1431" s="61">
        <v>2.0699999999999998</v>
      </c>
      <c r="I1431" s="61">
        <v>2.31</v>
      </c>
      <c r="J1431" s="47">
        <f t="shared" si="110"/>
        <v>-0.82750000000000001</v>
      </c>
      <c r="K1431" s="47">
        <f t="shared" si="111"/>
        <v>0.11594202898550736</v>
      </c>
      <c r="L1431" s="8">
        <v>2.41</v>
      </c>
      <c r="M1431" s="8">
        <v>21.85</v>
      </c>
      <c r="N1431" s="8">
        <v>17.2</v>
      </c>
      <c r="O1431" s="17">
        <f t="shared" si="112"/>
        <v>-0.2640483383685801</v>
      </c>
      <c r="P1431" s="17">
        <f t="shared" si="113"/>
        <v>1.4834999999999985</v>
      </c>
      <c r="Q1431" s="17">
        <v>16.52</v>
      </c>
      <c r="R1431" s="9">
        <v>20220804</v>
      </c>
      <c r="S1431" s="9">
        <v>11.71</v>
      </c>
      <c r="T1431" s="9">
        <v>8.76</v>
      </c>
      <c r="U1431" s="9">
        <v>7640.1000899999999</v>
      </c>
      <c r="V1431" s="45">
        <f t="shared" si="114"/>
        <v>-0.99885341816248374</v>
      </c>
      <c r="W1431" s="12">
        <v>12.28</v>
      </c>
      <c r="X1431" s="12">
        <v>4.93</v>
      </c>
      <c r="Y1431" s="62">
        <v>5.73</v>
      </c>
    </row>
    <row r="1432" spans="1:25" x14ac:dyDescent="0.2">
      <c r="A1432" s="3" t="s">
        <v>3697</v>
      </c>
      <c r="B1432" s="3" t="s">
        <v>3698</v>
      </c>
      <c r="C1432" s="6" t="s">
        <v>354</v>
      </c>
      <c r="D1432" s="6" t="s">
        <v>207</v>
      </c>
      <c r="E1432" s="6" t="s">
        <v>218</v>
      </c>
      <c r="F1432" s="6">
        <v>3787.94</v>
      </c>
      <c r="G1432" s="2">
        <v>12</v>
      </c>
      <c r="H1432" s="61">
        <v>-3.06</v>
      </c>
      <c r="I1432" s="61">
        <v>6.3</v>
      </c>
      <c r="J1432" s="47">
        <f t="shared" si="110"/>
        <v>-1.2550000000000001</v>
      </c>
      <c r="K1432" s="47">
        <f t="shared" si="111"/>
        <v>3.0588235294117645</v>
      </c>
      <c r="L1432" s="8">
        <v>2.68</v>
      </c>
      <c r="M1432" s="8">
        <v>63.98</v>
      </c>
      <c r="N1432" s="8">
        <v>4.9800000000000004</v>
      </c>
      <c r="O1432" s="17">
        <f t="shared" si="112"/>
        <v>-0.50980079681274892</v>
      </c>
      <c r="P1432" s="17">
        <f t="shared" si="113"/>
        <v>1.6280769230769234E-2</v>
      </c>
      <c r="Q1432" s="17">
        <v>11.68</v>
      </c>
      <c r="R1432" s="9">
        <v>20220804</v>
      </c>
      <c r="S1432" s="9">
        <v>2.56</v>
      </c>
      <c r="T1432" s="9">
        <v>-0.77</v>
      </c>
      <c r="U1432" s="9">
        <v>37178.75</v>
      </c>
      <c r="V1432" s="45">
        <f t="shared" si="114"/>
        <v>-1.0000207107554717</v>
      </c>
      <c r="W1432" s="12">
        <v>34.619999999999997</v>
      </c>
      <c r="X1432" s="12">
        <v>0</v>
      </c>
      <c r="Y1432" s="62"/>
    </row>
    <row r="1433" spans="1:25" x14ac:dyDescent="0.2">
      <c r="A1433" s="3" t="s">
        <v>3699</v>
      </c>
      <c r="B1433" s="3" t="s">
        <v>1444</v>
      </c>
      <c r="C1433" s="6" t="s">
        <v>354</v>
      </c>
      <c r="D1433" s="6" t="s">
        <v>632</v>
      </c>
      <c r="E1433" s="6" t="s">
        <v>218</v>
      </c>
      <c r="F1433" s="6">
        <v>96527.09</v>
      </c>
      <c r="G1433" s="2">
        <v>12</v>
      </c>
      <c r="H1433" s="61">
        <v>3.09</v>
      </c>
      <c r="I1433" s="61">
        <v>4.45</v>
      </c>
      <c r="J1433" s="47">
        <f t="shared" si="110"/>
        <v>-0.74250000000000005</v>
      </c>
      <c r="K1433" s="47">
        <f t="shared" si="111"/>
        <v>0.4401294498381878</v>
      </c>
      <c r="L1433" s="8">
        <v>3.82</v>
      </c>
      <c r="M1433" s="8">
        <v>4.07</v>
      </c>
      <c r="N1433" s="8">
        <v>3.32</v>
      </c>
      <c r="O1433" s="17">
        <f t="shared" si="112"/>
        <v>-5.4814814814814816E-2</v>
      </c>
      <c r="P1433" s="17">
        <f t="shared" si="113"/>
        <v>7.543235294117645E-2</v>
      </c>
      <c r="Q1433" s="17">
        <v>3.87</v>
      </c>
      <c r="R1433" s="9">
        <v>20220803</v>
      </c>
      <c r="S1433" s="9">
        <v>31.27</v>
      </c>
      <c r="T1433" s="9">
        <v>-5.45</v>
      </c>
      <c r="U1433" s="9">
        <v>110898.64843</v>
      </c>
      <c r="V1433" s="45">
        <f t="shared" si="114"/>
        <v>-1.0000491439713393</v>
      </c>
      <c r="W1433" s="12">
        <v>19.440000000000001</v>
      </c>
      <c r="X1433" s="12">
        <v>20.91</v>
      </c>
      <c r="Y1433" s="62">
        <v>1.36</v>
      </c>
    </row>
    <row r="1434" spans="1:25" x14ac:dyDescent="0.2">
      <c r="A1434" s="3" t="s">
        <v>3699</v>
      </c>
      <c r="B1434" s="3" t="s">
        <v>2246</v>
      </c>
      <c r="C1434" s="6" t="s">
        <v>354</v>
      </c>
      <c r="D1434" s="6" t="s">
        <v>632</v>
      </c>
      <c r="E1434" s="6" t="s">
        <v>218</v>
      </c>
      <c r="F1434" s="6">
        <v>87526.59</v>
      </c>
      <c r="G1434" s="2">
        <v>12</v>
      </c>
      <c r="H1434" s="61"/>
      <c r="I1434" s="61"/>
      <c r="J1434" s="47">
        <f t="shared" si="110"/>
        <v>-1</v>
      </c>
      <c r="K1434" s="47" t="e">
        <f t="shared" si="111"/>
        <v>#DIV/0!</v>
      </c>
      <c r="M1434" s="8">
        <v>3.69</v>
      </c>
      <c r="O1434" s="17">
        <f t="shared" si="112"/>
        <v>-3.6900000000000002E-2</v>
      </c>
      <c r="P1434" s="17" t="e">
        <f t="shared" si="113"/>
        <v>#DIV/0!</v>
      </c>
      <c r="Q1434" s="17"/>
      <c r="R1434" s="9">
        <v>20220803</v>
      </c>
      <c r="S1434" s="9">
        <v>31.27</v>
      </c>
      <c r="T1434" s="9">
        <v>-5.45</v>
      </c>
      <c r="V1434" s="45" t="e">
        <f t="shared" si="114"/>
        <v>#DIV/0!</v>
      </c>
      <c r="X1434" s="12">
        <v>23.08</v>
      </c>
      <c r="Y1434" s="62"/>
    </row>
    <row r="1435" spans="1:25" x14ac:dyDescent="0.2">
      <c r="A1435" s="3" t="s">
        <v>3700</v>
      </c>
      <c r="B1435" s="3" t="s">
        <v>1445</v>
      </c>
      <c r="C1435" s="6" t="s">
        <v>355</v>
      </c>
      <c r="D1435" s="6" t="s">
        <v>44</v>
      </c>
      <c r="E1435" s="6" t="s">
        <v>35</v>
      </c>
      <c r="F1435" s="6">
        <v>29254.07</v>
      </c>
      <c r="G1435" s="2">
        <v>12</v>
      </c>
      <c r="H1435" s="61">
        <v>5.17</v>
      </c>
      <c r="I1435" s="61">
        <v>7.05</v>
      </c>
      <c r="J1435" s="47">
        <f t="shared" si="110"/>
        <v>-0.56916666666666671</v>
      </c>
      <c r="K1435" s="47">
        <f t="shared" si="111"/>
        <v>0.36363636363636365</v>
      </c>
      <c r="L1435" s="8">
        <v>7.88</v>
      </c>
      <c r="M1435" s="8">
        <v>14.81</v>
      </c>
      <c r="N1435" s="8">
        <v>11.94</v>
      </c>
      <c r="O1435" s="17">
        <f t="shared" si="112"/>
        <v>-0.26020497803806736</v>
      </c>
      <c r="P1435" s="17">
        <f t="shared" si="113"/>
        <v>0.32834999999999998</v>
      </c>
      <c r="Q1435" s="17">
        <v>10.68</v>
      </c>
      <c r="R1435" s="9">
        <v>20220726</v>
      </c>
      <c r="S1435" s="9">
        <v>17.2</v>
      </c>
      <c r="T1435" s="9">
        <v>2.66</v>
      </c>
      <c r="U1435" s="9">
        <v>26105.59765</v>
      </c>
      <c r="V1435" s="45">
        <f t="shared" si="114"/>
        <v>-0.99989810614429664</v>
      </c>
      <c r="W1435" s="12">
        <v>13.91</v>
      </c>
      <c r="X1435" s="12">
        <v>1.62</v>
      </c>
      <c r="Y1435" s="62">
        <v>1.19</v>
      </c>
    </row>
    <row r="1436" spans="1:25" x14ac:dyDescent="0.2">
      <c r="A1436" s="3" t="s">
        <v>3701</v>
      </c>
      <c r="B1436" s="3" t="s">
        <v>1446</v>
      </c>
      <c r="C1436" s="6" t="s">
        <v>354</v>
      </c>
      <c r="D1436" s="6" t="s">
        <v>246</v>
      </c>
      <c r="E1436" s="6" t="s">
        <v>250</v>
      </c>
      <c r="F1436" s="6">
        <v>29607.3</v>
      </c>
      <c r="G1436" s="2">
        <v>12</v>
      </c>
      <c r="H1436" s="61">
        <v>1</v>
      </c>
      <c r="I1436" s="61">
        <v>1.0900000000000001</v>
      </c>
      <c r="J1436" s="47">
        <f t="shared" si="110"/>
        <v>-0.91666666666666663</v>
      </c>
      <c r="K1436" s="47">
        <f t="shared" si="111"/>
        <v>9.000000000000008E-2</v>
      </c>
      <c r="L1436" s="8">
        <v>1.22</v>
      </c>
      <c r="M1436" s="8">
        <v>11.02</v>
      </c>
      <c r="N1436" s="8">
        <v>11.04</v>
      </c>
      <c r="O1436" s="17">
        <f t="shared" si="112"/>
        <v>-0.12021818181818182</v>
      </c>
      <c r="P1436" s="17">
        <f t="shared" si="113"/>
        <v>1.2266666666666657</v>
      </c>
      <c r="Q1436" s="17">
        <v>9.84</v>
      </c>
      <c r="R1436" s="9">
        <v>20220804</v>
      </c>
      <c r="S1436" s="9">
        <v>10.75</v>
      </c>
      <c r="T1436" s="9">
        <v>4.22</v>
      </c>
      <c r="U1436" s="9">
        <v>22068.304680000001</v>
      </c>
      <c r="V1436" s="45">
        <f t="shared" si="114"/>
        <v>-0.99980877552393843</v>
      </c>
      <c r="W1436" s="12">
        <v>15.38</v>
      </c>
      <c r="X1436" s="12">
        <v>0</v>
      </c>
      <c r="Y1436" s="62">
        <v>4.4000000000000004</v>
      </c>
    </row>
    <row r="1437" spans="1:25" x14ac:dyDescent="0.2">
      <c r="A1437" s="3" t="s">
        <v>3702</v>
      </c>
      <c r="B1437" s="3" t="s">
        <v>1447</v>
      </c>
      <c r="C1437" s="6" t="s">
        <v>355</v>
      </c>
      <c r="D1437" s="6" t="s">
        <v>122</v>
      </c>
      <c r="E1437" s="6" t="s">
        <v>140</v>
      </c>
      <c r="F1437" s="6">
        <v>3773.85</v>
      </c>
      <c r="G1437" s="2">
        <v>12</v>
      </c>
      <c r="H1437" s="61">
        <v>6.2</v>
      </c>
      <c r="I1437" s="61">
        <v>5.37</v>
      </c>
      <c r="J1437" s="47">
        <f t="shared" si="110"/>
        <v>-0.48333333333333334</v>
      </c>
      <c r="K1437" s="47">
        <f t="shared" si="111"/>
        <v>-0.13387096774193549</v>
      </c>
      <c r="L1437" s="8">
        <v>2.1</v>
      </c>
      <c r="M1437" s="8">
        <v>8.02</v>
      </c>
      <c r="N1437" s="8">
        <v>10.14</v>
      </c>
      <c r="O1437" s="17">
        <f t="shared" si="112"/>
        <v>-0.16593103448275862</v>
      </c>
      <c r="P1437" s="17">
        <f t="shared" si="113"/>
        <v>-0.75744578313253008</v>
      </c>
      <c r="Q1437" s="17">
        <v>25.91</v>
      </c>
      <c r="R1437" s="9">
        <v>20220725</v>
      </c>
      <c r="S1437" s="9">
        <v>28.56</v>
      </c>
      <c r="T1437" s="9">
        <v>16.32</v>
      </c>
      <c r="U1437" s="9">
        <v>1303.3000400000001</v>
      </c>
      <c r="V1437" s="45">
        <f t="shared" si="114"/>
        <v>-0.98747794099661046</v>
      </c>
      <c r="W1437" s="12">
        <v>16.82</v>
      </c>
      <c r="X1437" s="12">
        <v>3.24</v>
      </c>
      <c r="Y1437" s="62"/>
    </row>
    <row r="1438" spans="1:25" x14ac:dyDescent="0.2">
      <c r="A1438" s="3" t="s">
        <v>3703</v>
      </c>
      <c r="B1438" s="3" t="s">
        <v>2247</v>
      </c>
      <c r="C1438" s="6" t="s">
        <v>354</v>
      </c>
      <c r="D1438" s="6" t="s">
        <v>233</v>
      </c>
      <c r="E1438" s="6" t="s">
        <v>108</v>
      </c>
      <c r="F1438" s="6">
        <v>5891.61</v>
      </c>
      <c r="G1438" s="2">
        <v>12</v>
      </c>
      <c r="H1438" s="61">
        <v>-0.27</v>
      </c>
      <c r="I1438" s="61">
        <v>-0.71</v>
      </c>
      <c r="J1438" s="47">
        <f t="shared" si="110"/>
        <v>-1.0225</v>
      </c>
      <c r="K1438" s="47">
        <f t="shared" si="111"/>
        <v>-1.6296296296296293</v>
      </c>
      <c r="L1438" s="8">
        <v>-0.6</v>
      </c>
      <c r="O1438" s="17">
        <f t="shared" si="112"/>
        <v>0</v>
      </c>
      <c r="P1438" s="17">
        <f t="shared" si="113"/>
        <v>0</v>
      </c>
      <c r="Q1438" s="17"/>
      <c r="R1438" s="9">
        <v>20220804</v>
      </c>
      <c r="S1438" s="9">
        <v>-23.19</v>
      </c>
      <c r="U1438" s="9">
        <v>676.00598000000002</v>
      </c>
      <c r="V1438" s="45">
        <f t="shared" si="114"/>
        <v>-1</v>
      </c>
      <c r="W1438" s="12">
        <v>11.76</v>
      </c>
      <c r="X1438" s="12">
        <v>0</v>
      </c>
      <c r="Y1438" s="62"/>
    </row>
    <row r="1439" spans="1:25" x14ac:dyDescent="0.2">
      <c r="A1439" s="3" t="s">
        <v>3704</v>
      </c>
      <c r="B1439" s="3" t="s">
        <v>1448</v>
      </c>
      <c r="C1439" s="6" t="s">
        <v>355</v>
      </c>
      <c r="D1439" s="6" t="s">
        <v>177</v>
      </c>
      <c r="E1439" s="6" t="s">
        <v>119</v>
      </c>
      <c r="F1439" s="6">
        <v>9439.56</v>
      </c>
      <c r="G1439" s="2">
        <v>6</v>
      </c>
      <c r="H1439" s="61">
        <v>1.93</v>
      </c>
      <c r="I1439" s="61">
        <v>2.97</v>
      </c>
      <c r="J1439" s="47">
        <f t="shared" si="110"/>
        <v>-0.67833333333333334</v>
      </c>
      <c r="K1439" s="47">
        <f t="shared" si="111"/>
        <v>0.53886010362694314</v>
      </c>
      <c r="L1439" s="8">
        <v>3.14</v>
      </c>
      <c r="M1439" s="8">
        <v>58.85</v>
      </c>
      <c r="N1439" s="8">
        <v>57.66</v>
      </c>
      <c r="O1439" s="17">
        <f t="shared" si="112"/>
        <v>-0.8675675675675677</v>
      </c>
      <c r="P1439" s="17">
        <f t="shared" si="113"/>
        <v>1.0700365384615382</v>
      </c>
      <c r="Q1439" s="17">
        <v>54.56</v>
      </c>
      <c r="R1439" s="9">
        <v>20220804</v>
      </c>
      <c r="S1439" s="9">
        <v>17.32</v>
      </c>
      <c r="T1439" s="9">
        <v>21.01</v>
      </c>
      <c r="U1439" s="9">
        <v>841.60699</v>
      </c>
      <c r="V1439" s="45">
        <f t="shared" si="114"/>
        <v>-0.97503585373025481</v>
      </c>
      <c r="W1439" s="12">
        <v>34.07</v>
      </c>
      <c r="X1439" s="12">
        <v>0</v>
      </c>
      <c r="Y1439" s="62"/>
    </row>
    <row r="1440" spans="1:25" x14ac:dyDescent="0.2">
      <c r="A1440" s="3" t="s">
        <v>3705</v>
      </c>
      <c r="B1440" s="3" t="s">
        <v>1894</v>
      </c>
      <c r="C1440" s="6" t="s">
        <v>355</v>
      </c>
      <c r="D1440" s="6" t="s">
        <v>200</v>
      </c>
      <c r="E1440" s="6" t="s">
        <v>218</v>
      </c>
      <c r="F1440" s="6">
        <v>6847.06</v>
      </c>
      <c r="G1440" s="2">
        <v>12</v>
      </c>
      <c r="H1440" s="61">
        <v>7.81</v>
      </c>
      <c r="I1440" s="61">
        <v>17.84</v>
      </c>
      <c r="J1440" s="47">
        <f t="shared" si="110"/>
        <v>-0.34916666666666668</v>
      </c>
      <c r="K1440" s="47">
        <f t="shared" si="111"/>
        <v>1.2842509603072985</v>
      </c>
      <c r="L1440" s="8">
        <v>19.399999999999999</v>
      </c>
      <c r="M1440" s="8">
        <v>6.83</v>
      </c>
      <c r="N1440" s="8">
        <v>4.0199999999999996</v>
      </c>
      <c r="O1440" s="17">
        <f t="shared" si="112"/>
        <v>-0.1956085918854415</v>
      </c>
      <c r="P1440" s="17">
        <f t="shared" si="113"/>
        <v>3.1302293120638085E-2</v>
      </c>
      <c r="Q1440" s="17">
        <v>3.7</v>
      </c>
      <c r="R1440" s="9">
        <v>20220803</v>
      </c>
      <c r="S1440" s="9">
        <v>38.99</v>
      </c>
      <c r="T1440" s="9">
        <v>11.19</v>
      </c>
      <c r="U1440" s="9">
        <v>3983.2748999999999</v>
      </c>
      <c r="V1440" s="45">
        <f t="shared" si="114"/>
        <v>-0.99719075376896527</v>
      </c>
      <c r="W1440" s="12">
        <v>15.09</v>
      </c>
      <c r="X1440" s="12">
        <v>1.39</v>
      </c>
      <c r="Y1440" s="62"/>
    </row>
    <row r="1441" spans="1:25" x14ac:dyDescent="0.2">
      <c r="A1441" s="3" t="s">
        <v>3706</v>
      </c>
      <c r="B1441" s="3" t="s">
        <v>2020</v>
      </c>
      <c r="C1441" s="6" t="s">
        <v>355</v>
      </c>
      <c r="D1441" s="6" t="s">
        <v>186</v>
      </c>
      <c r="E1441" s="6" t="s">
        <v>208</v>
      </c>
      <c r="F1441" s="6">
        <v>3070.21</v>
      </c>
      <c r="G1441" s="2">
        <v>4</v>
      </c>
      <c r="H1441" s="61">
        <v>2.12</v>
      </c>
      <c r="I1441" s="61">
        <v>2.25</v>
      </c>
      <c r="J1441" s="47">
        <f t="shared" si="110"/>
        <v>-0.47</v>
      </c>
      <c r="K1441" s="47">
        <f t="shared" si="111"/>
        <v>6.1320754716981077E-2</v>
      </c>
      <c r="L1441" s="8">
        <v>2.42</v>
      </c>
      <c r="M1441" s="8">
        <v>16.21</v>
      </c>
      <c r="N1441" s="8">
        <v>13.97</v>
      </c>
      <c r="O1441" s="17">
        <f t="shared" si="112"/>
        <v>-0.34489361702127663</v>
      </c>
      <c r="P1441" s="17">
        <f t="shared" si="113"/>
        <v>2.2781846153846175</v>
      </c>
      <c r="Q1441" s="17">
        <v>13</v>
      </c>
      <c r="R1441" s="9">
        <v>20220622</v>
      </c>
      <c r="S1441" s="9">
        <v>18.989999999999998</v>
      </c>
      <c r="T1441" s="9">
        <v>2.44</v>
      </c>
      <c r="U1441" s="9">
        <v>6623.8671800000002</v>
      </c>
      <c r="V1441" s="45">
        <f t="shared" si="114"/>
        <v>-0.99963163512587228</v>
      </c>
      <c r="W1441" s="12">
        <v>10</v>
      </c>
      <c r="X1441" s="12">
        <v>3.31</v>
      </c>
      <c r="Y1441" s="62">
        <v>1.41</v>
      </c>
    </row>
    <row r="1442" spans="1:25" x14ac:dyDescent="0.2">
      <c r="A1442" s="3" t="s">
        <v>3707</v>
      </c>
      <c r="B1442" s="3" t="s">
        <v>1895</v>
      </c>
      <c r="C1442" s="6" t="s">
        <v>355</v>
      </c>
      <c r="D1442" s="6" t="s">
        <v>174</v>
      </c>
      <c r="E1442" s="6" t="s">
        <v>231</v>
      </c>
      <c r="F1442" s="6">
        <v>51938.8</v>
      </c>
      <c r="G1442" s="2">
        <v>12</v>
      </c>
      <c r="H1442" s="61">
        <v>0.69</v>
      </c>
      <c r="I1442" s="61">
        <v>1.65</v>
      </c>
      <c r="J1442" s="47">
        <f t="shared" si="110"/>
        <v>-0.9425</v>
      </c>
      <c r="K1442" s="47">
        <f t="shared" si="111"/>
        <v>1.3913043478260869</v>
      </c>
      <c r="L1442" s="8">
        <v>2.54</v>
      </c>
      <c r="M1442" s="8">
        <v>31.29</v>
      </c>
      <c r="N1442" s="8">
        <v>25.41</v>
      </c>
      <c r="O1442" s="17">
        <f t="shared" si="112"/>
        <v>-0.33198938992042437</v>
      </c>
      <c r="P1442" s="17">
        <f t="shared" si="113"/>
        <v>0.18263437500000002</v>
      </c>
      <c r="Q1442" s="17">
        <v>16.510000000000002</v>
      </c>
      <c r="R1442" s="9">
        <v>20220527</v>
      </c>
      <c r="S1442" s="9">
        <v>15.76</v>
      </c>
      <c r="T1442" s="9">
        <v>102.06</v>
      </c>
      <c r="U1442" s="9">
        <v>18633.22265</v>
      </c>
      <c r="V1442" s="45">
        <f t="shared" si="114"/>
        <v>-0.99452268660569021</v>
      </c>
      <c r="W1442" s="12">
        <v>360</v>
      </c>
      <c r="X1442" s="12">
        <v>0</v>
      </c>
      <c r="Y1442" s="62"/>
    </row>
    <row r="1443" spans="1:25" x14ac:dyDescent="0.2">
      <c r="A1443" s="3" t="s">
        <v>3708</v>
      </c>
      <c r="B1443" s="3" t="s">
        <v>1449</v>
      </c>
      <c r="C1443" s="6" t="s">
        <v>356</v>
      </c>
      <c r="D1443" s="6" t="s">
        <v>362</v>
      </c>
      <c r="E1443" s="6" t="s">
        <v>154</v>
      </c>
      <c r="F1443" s="6">
        <v>21016.25</v>
      </c>
      <c r="G1443" s="2">
        <v>12</v>
      </c>
      <c r="H1443" s="61">
        <v>1.88</v>
      </c>
      <c r="I1443" s="61">
        <v>1.93</v>
      </c>
      <c r="J1443" s="47">
        <f t="shared" si="110"/>
        <v>-0.84333333333333338</v>
      </c>
      <c r="K1443" s="47">
        <f t="shared" si="111"/>
        <v>2.6595744680851088E-2</v>
      </c>
      <c r="L1443" s="8">
        <v>3.48</v>
      </c>
      <c r="N1443" s="8">
        <v>30.89</v>
      </c>
      <c r="O1443" s="17">
        <f t="shared" si="112"/>
        <v>0</v>
      </c>
      <c r="P1443" s="17">
        <f t="shared" si="113"/>
        <v>11.614639999999989</v>
      </c>
      <c r="Q1443" s="17">
        <v>17.18</v>
      </c>
      <c r="R1443" s="9">
        <v>20220607</v>
      </c>
      <c r="U1443" s="9">
        <v>10451.70019</v>
      </c>
      <c r="V1443" s="45">
        <f t="shared" si="114"/>
        <v>-1</v>
      </c>
      <c r="X1443" s="12">
        <v>0</v>
      </c>
      <c r="Y1443" s="62">
        <v>0.77</v>
      </c>
    </row>
    <row r="1444" spans="1:25" x14ac:dyDescent="0.2">
      <c r="A1444" s="3" t="s">
        <v>3709</v>
      </c>
      <c r="B1444" s="3" t="s">
        <v>1450</v>
      </c>
      <c r="C1444" s="6" t="s">
        <v>354</v>
      </c>
      <c r="D1444" s="6" t="s">
        <v>215</v>
      </c>
      <c r="E1444" s="6" t="s">
        <v>163</v>
      </c>
      <c r="F1444" s="6">
        <v>15825.21</v>
      </c>
      <c r="G1444" s="2">
        <v>12</v>
      </c>
      <c r="H1444" s="61">
        <v>1.6</v>
      </c>
      <c r="I1444" s="61">
        <v>1.74</v>
      </c>
      <c r="J1444" s="47">
        <f t="shared" si="110"/>
        <v>-0.8666666666666667</v>
      </c>
      <c r="K1444" s="47">
        <f t="shared" si="111"/>
        <v>8.7499999999999939E-2</v>
      </c>
      <c r="L1444" s="8">
        <v>1.84</v>
      </c>
      <c r="M1444" s="8">
        <v>17.88</v>
      </c>
      <c r="N1444" s="8">
        <v>16.899999999999999</v>
      </c>
      <c r="O1444" s="17">
        <f t="shared" si="112"/>
        <v>-0.20630769230769228</v>
      </c>
      <c r="P1444" s="17">
        <f t="shared" si="113"/>
        <v>1.9314285714285724</v>
      </c>
      <c r="Q1444" s="17">
        <v>15.92</v>
      </c>
      <c r="R1444" s="9">
        <v>20220802</v>
      </c>
      <c r="S1444" s="9">
        <v>4.22</v>
      </c>
      <c r="T1444" s="9">
        <v>1.36</v>
      </c>
      <c r="U1444" s="9">
        <v>2004.01</v>
      </c>
      <c r="V1444" s="45">
        <f t="shared" si="114"/>
        <v>-0.99932136067185295</v>
      </c>
      <c r="W1444" s="12">
        <v>2.38</v>
      </c>
      <c r="X1444" s="12">
        <v>4.09</v>
      </c>
      <c r="Y1444" s="62">
        <v>3.18</v>
      </c>
    </row>
    <row r="1445" spans="1:25" x14ac:dyDescent="0.2">
      <c r="A1445" s="3" t="s">
        <v>3710</v>
      </c>
      <c r="B1445" s="3" t="s">
        <v>3711</v>
      </c>
      <c r="C1445" s="6" t="s">
        <v>355</v>
      </c>
      <c r="D1445" s="6" t="s">
        <v>217</v>
      </c>
      <c r="E1445" s="6" t="s">
        <v>163</v>
      </c>
      <c r="F1445" s="6">
        <v>4013.23</v>
      </c>
      <c r="G1445" s="2">
        <v>12</v>
      </c>
      <c r="H1445" s="61">
        <v>2.1</v>
      </c>
      <c r="I1445" s="61">
        <v>2.16</v>
      </c>
      <c r="J1445" s="47">
        <f t="shared" si="110"/>
        <v>-0.82500000000000007</v>
      </c>
      <c r="K1445" s="47">
        <f t="shared" si="111"/>
        <v>2.8571428571428595E-2</v>
      </c>
      <c r="L1445" s="8">
        <v>2.31</v>
      </c>
      <c r="M1445" s="8">
        <v>16.309999999999999</v>
      </c>
      <c r="N1445" s="8">
        <v>16.36</v>
      </c>
      <c r="O1445" s="17">
        <f t="shared" si="112"/>
        <v>-0.19769696969696968</v>
      </c>
      <c r="P1445" s="17">
        <f t="shared" si="113"/>
        <v>5.7259999999999955</v>
      </c>
      <c r="Q1445" s="17">
        <v>15.34</v>
      </c>
      <c r="R1445" s="9">
        <v>20220804</v>
      </c>
      <c r="S1445" s="9">
        <v>1.06</v>
      </c>
      <c r="U1445" s="9">
        <v>558.13</v>
      </c>
      <c r="V1445" s="45">
        <f t="shared" si="114"/>
        <v>-1</v>
      </c>
      <c r="W1445" s="12">
        <v>9.8000000000000007</v>
      </c>
      <c r="X1445" s="12">
        <v>3.05</v>
      </c>
      <c r="Y1445" s="62">
        <v>2.5499999999999998</v>
      </c>
    </row>
    <row r="1446" spans="1:25" x14ac:dyDescent="0.2">
      <c r="A1446" s="3" t="s">
        <v>3712</v>
      </c>
      <c r="B1446" s="3" t="s">
        <v>1451</v>
      </c>
      <c r="C1446" s="6" t="s">
        <v>354</v>
      </c>
      <c r="D1446" s="6" t="s">
        <v>246</v>
      </c>
      <c r="E1446" s="6" t="s">
        <v>250</v>
      </c>
      <c r="F1446" s="6">
        <v>33939.620000000003</v>
      </c>
      <c r="G1446" s="2">
        <v>12</v>
      </c>
      <c r="H1446" s="61">
        <v>3.65</v>
      </c>
      <c r="I1446" s="61">
        <v>3.48</v>
      </c>
      <c r="J1446" s="47">
        <f t="shared" si="110"/>
        <v>-0.6958333333333333</v>
      </c>
      <c r="K1446" s="47">
        <f t="shared" si="111"/>
        <v>-4.6575342465753407E-2</v>
      </c>
      <c r="L1446" s="8">
        <v>3.75</v>
      </c>
      <c r="M1446" s="8">
        <v>18.37</v>
      </c>
      <c r="N1446" s="8">
        <v>19.52</v>
      </c>
      <c r="O1446" s="17">
        <f t="shared" si="112"/>
        <v>-0.26400000000000001</v>
      </c>
      <c r="P1446" s="17">
        <f t="shared" si="113"/>
        <v>-4.1910588235294135</v>
      </c>
      <c r="Q1446" s="17">
        <v>18.12</v>
      </c>
      <c r="R1446" s="9">
        <v>20220802</v>
      </c>
      <c r="S1446" s="9">
        <v>12.94</v>
      </c>
      <c r="T1446" s="9">
        <v>0.56000000000000005</v>
      </c>
      <c r="U1446" s="9">
        <v>8814.7001899999996</v>
      </c>
      <c r="V1446" s="45">
        <f t="shared" si="114"/>
        <v>-0.99993646976211004</v>
      </c>
      <c r="W1446" s="12">
        <v>19.82</v>
      </c>
      <c r="X1446" s="12">
        <v>3.18</v>
      </c>
      <c r="Y1446" s="62">
        <v>3.37</v>
      </c>
    </row>
    <row r="1447" spans="1:25" x14ac:dyDescent="0.2">
      <c r="A1447" s="3" t="s">
        <v>3713</v>
      </c>
      <c r="B1447" s="3" t="s">
        <v>1452</v>
      </c>
      <c r="C1447" s="6" t="s">
        <v>355</v>
      </c>
      <c r="D1447" s="6" t="s">
        <v>132</v>
      </c>
      <c r="E1447" s="6" t="s">
        <v>119</v>
      </c>
      <c r="F1447" s="6">
        <v>3902.76</v>
      </c>
      <c r="G1447" s="2">
        <v>12</v>
      </c>
      <c r="H1447" s="61">
        <v>0.25</v>
      </c>
      <c r="I1447" s="61">
        <v>0.94</v>
      </c>
      <c r="J1447" s="47">
        <f t="shared" si="110"/>
        <v>-0.97916666666666663</v>
      </c>
      <c r="K1447" s="47">
        <f t="shared" si="111"/>
        <v>2.76</v>
      </c>
      <c r="L1447" s="8">
        <v>1.47</v>
      </c>
      <c r="M1447" s="8">
        <v>103.7</v>
      </c>
      <c r="N1447" s="8">
        <v>50.74</v>
      </c>
      <c r="O1447" s="17">
        <f t="shared" si="112"/>
        <v>-1.0590638297872341</v>
      </c>
      <c r="P1447" s="17">
        <f t="shared" si="113"/>
        <v>0.18384057971014495</v>
      </c>
      <c r="Q1447" s="17">
        <v>32.450000000000003</v>
      </c>
      <c r="R1447" s="9">
        <v>20220727</v>
      </c>
      <c r="S1447" s="9">
        <v>-10.050000000000001</v>
      </c>
      <c r="T1447" s="9">
        <v>9.66</v>
      </c>
      <c r="U1447" s="9">
        <v>1455.8680400000001</v>
      </c>
      <c r="V1447" s="45">
        <f t="shared" si="114"/>
        <v>-0.99336478325329536</v>
      </c>
      <c r="W1447" s="12">
        <v>436.36</v>
      </c>
      <c r="X1447" s="12">
        <v>0.25</v>
      </c>
      <c r="Y1447" s="62"/>
    </row>
    <row r="1448" spans="1:25" x14ac:dyDescent="0.2">
      <c r="A1448" s="3" t="s">
        <v>3714</v>
      </c>
      <c r="B1448" s="3" t="s">
        <v>1453</v>
      </c>
      <c r="C1448" s="6" t="s">
        <v>354</v>
      </c>
      <c r="D1448" s="6" t="s">
        <v>191</v>
      </c>
      <c r="E1448" s="6" t="s">
        <v>208</v>
      </c>
      <c r="F1448" s="6">
        <v>5347.21</v>
      </c>
      <c r="G1448" s="2">
        <v>12</v>
      </c>
      <c r="H1448" s="61">
        <v>0.79</v>
      </c>
      <c r="I1448" s="61">
        <v>0.2</v>
      </c>
      <c r="J1448" s="47">
        <f t="shared" si="110"/>
        <v>-0.9341666666666667</v>
      </c>
      <c r="K1448" s="47">
        <f t="shared" si="111"/>
        <v>-0.74683544303797478</v>
      </c>
      <c r="L1448" s="8">
        <v>1.23</v>
      </c>
      <c r="M1448" s="8">
        <v>337.9</v>
      </c>
      <c r="N1448" s="8">
        <v>700.84</v>
      </c>
      <c r="O1448" s="17">
        <f t="shared" si="112"/>
        <v>-3.6171275646743974</v>
      </c>
      <c r="P1448" s="17">
        <f t="shared" si="113"/>
        <v>-9.3841288135593217</v>
      </c>
      <c r="Q1448" s="17">
        <v>115.15</v>
      </c>
      <c r="R1448" s="9">
        <v>20220808</v>
      </c>
      <c r="S1448" s="9">
        <v>1.97</v>
      </c>
      <c r="T1448" s="9">
        <v>20.59</v>
      </c>
      <c r="U1448" s="9">
        <v>870.55200000000002</v>
      </c>
      <c r="V1448" s="45">
        <f t="shared" si="114"/>
        <v>-0.97634833990387704</v>
      </c>
      <c r="W1448" s="12">
        <v>-116.67</v>
      </c>
      <c r="X1448" s="12">
        <v>0</v>
      </c>
      <c r="Y1448" s="62"/>
    </row>
    <row r="1449" spans="1:25" x14ac:dyDescent="0.2">
      <c r="A1449" s="3" t="s">
        <v>3715</v>
      </c>
      <c r="B1449" s="3" t="s">
        <v>1454</v>
      </c>
      <c r="C1449" s="6" t="s">
        <v>355</v>
      </c>
      <c r="D1449" s="6" t="s">
        <v>157</v>
      </c>
      <c r="E1449" s="6" t="s">
        <v>146</v>
      </c>
      <c r="F1449" s="6">
        <v>5254.29</v>
      </c>
      <c r="G1449" s="2">
        <v>12</v>
      </c>
      <c r="H1449" s="61">
        <v>2.71</v>
      </c>
      <c r="I1449" s="61">
        <v>1.6</v>
      </c>
      <c r="J1449" s="47">
        <f t="shared" si="110"/>
        <v>-0.77416666666666656</v>
      </c>
      <c r="K1449" s="47">
        <f t="shared" si="111"/>
        <v>-0.40959409594095936</v>
      </c>
      <c r="L1449" s="8">
        <v>2.27</v>
      </c>
      <c r="M1449" s="8">
        <v>14.06</v>
      </c>
      <c r="N1449" s="8">
        <v>19.670000000000002</v>
      </c>
      <c r="O1449" s="17">
        <f t="shared" si="112"/>
        <v>-0.18161463939720132</v>
      </c>
      <c r="P1449" s="17">
        <f t="shared" si="113"/>
        <v>-0.48023153153153159</v>
      </c>
      <c r="Q1449" s="17">
        <v>13.9</v>
      </c>
      <c r="R1449" s="9">
        <v>20220804</v>
      </c>
      <c r="S1449" s="9">
        <v>10.91</v>
      </c>
      <c r="T1449" s="9">
        <v>13.32</v>
      </c>
      <c r="U1449" s="9">
        <v>6365.6757799999996</v>
      </c>
      <c r="V1449" s="45">
        <f t="shared" si="114"/>
        <v>-0.99790752773776992</v>
      </c>
      <c r="W1449" s="12">
        <v>-35.56</v>
      </c>
      <c r="X1449" s="12">
        <v>0</v>
      </c>
      <c r="Y1449" s="62"/>
    </row>
    <row r="1450" spans="1:25" x14ac:dyDescent="0.2">
      <c r="A1450" s="3" t="s">
        <v>3716</v>
      </c>
      <c r="B1450" s="3" t="s">
        <v>1455</v>
      </c>
      <c r="C1450" s="6" t="s">
        <v>355</v>
      </c>
      <c r="D1450" s="6" t="s">
        <v>615</v>
      </c>
      <c r="E1450" s="6" t="s">
        <v>154</v>
      </c>
      <c r="F1450" s="6">
        <v>235208.28</v>
      </c>
      <c r="G1450" s="2">
        <v>12</v>
      </c>
      <c r="H1450" s="61">
        <v>6.25</v>
      </c>
      <c r="I1450" s="61">
        <v>6.64</v>
      </c>
      <c r="J1450" s="47">
        <f t="shared" si="110"/>
        <v>-0.47916666666666669</v>
      </c>
      <c r="K1450" s="47">
        <f t="shared" si="111"/>
        <v>6.2399999999999949E-2</v>
      </c>
      <c r="L1450" s="8">
        <v>7.21</v>
      </c>
      <c r="M1450" s="8">
        <v>26.87</v>
      </c>
      <c r="N1450" s="8">
        <v>25.61</v>
      </c>
      <c r="O1450" s="17">
        <f t="shared" si="112"/>
        <v>-0.56076521739130436</v>
      </c>
      <c r="P1450" s="17">
        <f t="shared" si="113"/>
        <v>4.1041666666666696</v>
      </c>
      <c r="Q1450" s="17">
        <v>23.59</v>
      </c>
      <c r="R1450" s="9">
        <v>20220712</v>
      </c>
      <c r="S1450" s="9">
        <v>53.44</v>
      </c>
      <c r="T1450" s="9">
        <v>4.9000000000000004</v>
      </c>
      <c r="U1450" s="9">
        <v>83265.492180000001</v>
      </c>
      <c r="V1450" s="45">
        <f t="shared" si="114"/>
        <v>-0.99994115209228085</v>
      </c>
      <c r="W1450" s="12">
        <v>4.03</v>
      </c>
      <c r="X1450" s="12">
        <v>2.5299999999999998</v>
      </c>
      <c r="Y1450" s="62">
        <v>3.38</v>
      </c>
    </row>
    <row r="1451" spans="1:25" x14ac:dyDescent="0.2">
      <c r="A1451" s="3" t="s">
        <v>3717</v>
      </c>
      <c r="B1451" s="3" t="s">
        <v>1456</v>
      </c>
      <c r="C1451" s="6" t="s">
        <v>354</v>
      </c>
      <c r="D1451" s="6" t="s">
        <v>179</v>
      </c>
      <c r="E1451" s="6" t="s">
        <v>208</v>
      </c>
      <c r="F1451" s="6">
        <v>302932.28000000003</v>
      </c>
      <c r="G1451" s="2">
        <v>12</v>
      </c>
      <c r="H1451" s="61">
        <v>4.1900000000000004</v>
      </c>
      <c r="I1451" s="61">
        <v>6.68</v>
      </c>
      <c r="J1451" s="47">
        <f t="shared" si="110"/>
        <v>-0.65083333333333326</v>
      </c>
      <c r="K1451" s="47">
        <f t="shared" si="111"/>
        <v>0.59427207637231483</v>
      </c>
      <c r="L1451" s="8">
        <v>5.4</v>
      </c>
      <c r="M1451" s="8">
        <v>10.57</v>
      </c>
      <c r="N1451" s="8">
        <v>8.09</v>
      </c>
      <c r="O1451" s="17">
        <f t="shared" si="112"/>
        <v>-0.16240717029449425</v>
      </c>
      <c r="P1451" s="17">
        <f t="shared" si="113"/>
        <v>0.13613293172690769</v>
      </c>
      <c r="Q1451" s="17">
        <v>10</v>
      </c>
      <c r="R1451" s="9">
        <v>20220727</v>
      </c>
      <c r="S1451" s="9">
        <v>38.29</v>
      </c>
      <c r="T1451" s="9">
        <v>6.39</v>
      </c>
      <c r="U1451" s="9">
        <v>106139.17968</v>
      </c>
      <c r="V1451" s="45">
        <f t="shared" si="114"/>
        <v>-0.99993979602989902</v>
      </c>
      <c r="W1451" s="12">
        <v>-2.41</v>
      </c>
      <c r="X1451" s="12">
        <v>2.96</v>
      </c>
      <c r="Y1451" s="62">
        <v>0.65</v>
      </c>
    </row>
    <row r="1452" spans="1:25" x14ac:dyDescent="0.2">
      <c r="B1452" s="3" t="s">
        <v>2248</v>
      </c>
      <c r="C1452" s="6" t="s">
        <v>355</v>
      </c>
      <c r="D1452" s="6" t="s">
        <v>519</v>
      </c>
      <c r="E1452" s="6" t="s">
        <v>163</v>
      </c>
      <c r="F1452" s="6">
        <v>16056.4</v>
      </c>
      <c r="G1452" s="2">
        <v>12</v>
      </c>
      <c r="H1452" s="61"/>
      <c r="I1452" s="61"/>
      <c r="J1452" s="47">
        <f t="shared" si="110"/>
        <v>-1</v>
      </c>
      <c r="K1452" s="47" t="e">
        <f t="shared" si="111"/>
        <v>#DIV/0!</v>
      </c>
      <c r="O1452" s="17">
        <f t="shared" si="112"/>
        <v>0</v>
      </c>
      <c r="P1452" s="17" t="e">
        <f t="shared" si="113"/>
        <v>#DIV/0!</v>
      </c>
      <c r="Q1452" s="17"/>
      <c r="V1452" s="45" t="e">
        <f t="shared" si="114"/>
        <v>#DIV/0!</v>
      </c>
      <c r="X1452" s="12">
        <v>4.79</v>
      </c>
      <c r="Y1452" s="62"/>
    </row>
    <row r="1453" spans="1:25" x14ac:dyDescent="0.2">
      <c r="A1453" s="3" t="s">
        <v>3718</v>
      </c>
      <c r="B1453" s="3" t="s">
        <v>1457</v>
      </c>
      <c r="C1453" s="6" t="s">
        <v>355</v>
      </c>
      <c r="D1453" s="6" t="s">
        <v>150</v>
      </c>
      <c r="E1453" s="6" t="s">
        <v>163</v>
      </c>
      <c r="F1453" s="6">
        <v>18188.21</v>
      </c>
      <c r="G1453" s="2">
        <v>12</v>
      </c>
      <c r="H1453" s="61">
        <v>6.55</v>
      </c>
      <c r="I1453" s="61">
        <v>6.61</v>
      </c>
      <c r="J1453" s="47">
        <f t="shared" si="110"/>
        <v>-0.45416666666666666</v>
      </c>
      <c r="K1453" s="47">
        <f t="shared" si="111"/>
        <v>9.160305343511527E-3</v>
      </c>
      <c r="L1453" s="8">
        <v>7.64</v>
      </c>
      <c r="M1453" s="8">
        <v>10.48</v>
      </c>
      <c r="N1453" s="8">
        <v>10.88</v>
      </c>
      <c r="O1453" s="17">
        <f t="shared" si="112"/>
        <v>-0.23075229357798166</v>
      </c>
      <c r="P1453" s="17">
        <f t="shared" si="113"/>
        <v>11.877333333333235</v>
      </c>
      <c r="Q1453" s="17">
        <v>9.42</v>
      </c>
      <c r="R1453" s="9">
        <v>20220728</v>
      </c>
      <c r="S1453" s="9">
        <v>12.25</v>
      </c>
      <c r="T1453" s="9">
        <v>0.83</v>
      </c>
      <c r="U1453" s="9">
        <v>12937.52246</v>
      </c>
      <c r="V1453" s="45">
        <f t="shared" si="114"/>
        <v>-0.99993584552200265</v>
      </c>
      <c r="W1453" s="12">
        <v>7.95</v>
      </c>
      <c r="X1453" s="12">
        <v>3.56</v>
      </c>
      <c r="Y1453" s="62">
        <v>1.35</v>
      </c>
    </row>
    <row r="1454" spans="1:25" x14ac:dyDescent="0.2">
      <c r="A1454" s="3" t="s">
        <v>3719</v>
      </c>
      <c r="B1454" s="3" t="s">
        <v>1458</v>
      </c>
      <c r="C1454" s="6" t="s">
        <v>354</v>
      </c>
      <c r="D1454" s="6" t="s">
        <v>1297</v>
      </c>
      <c r="E1454" s="6" t="s">
        <v>231</v>
      </c>
      <c r="F1454" s="6">
        <v>6733.86</v>
      </c>
      <c r="G1454" s="2">
        <v>6</v>
      </c>
      <c r="H1454" s="61">
        <v>1.3</v>
      </c>
      <c r="I1454" s="61">
        <v>2.57</v>
      </c>
      <c r="J1454" s="47">
        <f t="shared" si="110"/>
        <v>-0.78333333333333333</v>
      </c>
      <c r="K1454" s="47">
        <f t="shared" si="111"/>
        <v>0.97692307692307678</v>
      </c>
      <c r="L1454" s="8">
        <v>3.29</v>
      </c>
      <c r="M1454" s="8">
        <v>21.01</v>
      </c>
      <c r="N1454" s="8">
        <v>16.96</v>
      </c>
      <c r="O1454" s="17">
        <f t="shared" si="112"/>
        <v>-0.26821276595744686</v>
      </c>
      <c r="P1454" s="17">
        <f t="shared" si="113"/>
        <v>0.17360629921259846</v>
      </c>
      <c r="Q1454" s="17">
        <v>13.22</v>
      </c>
      <c r="R1454" s="9">
        <v>20220818</v>
      </c>
      <c r="S1454" s="9">
        <v>10.51</v>
      </c>
      <c r="T1454" s="9">
        <v>21.11</v>
      </c>
      <c r="U1454" s="9">
        <v>50859.960930000001</v>
      </c>
      <c r="V1454" s="45">
        <f t="shared" si="114"/>
        <v>-0.99958493872952336</v>
      </c>
      <c r="W1454" s="12">
        <v>0</v>
      </c>
      <c r="X1454" s="12">
        <v>0</v>
      </c>
      <c r="Y1454" s="62">
        <v>1.1299999999999999</v>
      </c>
    </row>
    <row r="1455" spans="1:25" x14ac:dyDescent="0.2">
      <c r="A1455" s="3" t="s">
        <v>3720</v>
      </c>
      <c r="B1455" s="3" t="s">
        <v>1459</v>
      </c>
      <c r="C1455" s="6" t="s">
        <v>354</v>
      </c>
      <c r="D1455" s="6" t="s">
        <v>643</v>
      </c>
      <c r="E1455" s="6" t="s">
        <v>154</v>
      </c>
      <c r="F1455" s="6">
        <v>351449</v>
      </c>
      <c r="G1455" s="2">
        <v>6</v>
      </c>
      <c r="H1455" s="61">
        <v>5.63</v>
      </c>
      <c r="I1455" s="61">
        <v>5.84</v>
      </c>
      <c r="J1455" s="47">
        <f t="shared" si="110"/>
        <v>-6.1666666666666682E-2</v>
      </c>
      <c r="K1455" s="47">
        <f t="shared" si="111"/>
        <v>3.7300177619893425E-2</v>
      </c>
      <c r="L1455" s="8">
        <v>6.22</v>
      </c>
      <c r="M1455" s="8">
        <v>25.56</v>
      </c>
      <c r="N1455" s="8">
        <v>25.06</v>
      </c>
      <c r="O1455" s="17">
        <f t="shared" si="112"/>
        <v>-4.1448648648648643</v>
      </c>
      <c r="P1455" s="17">
        <f t="shared" si="113"/>
        <v>6.718466666666667</v>
      </c>
      <c r="Q1455" s="17">
        <v>23.55</v>
      </c>
      <c r="R1455" s="9">
        <v>20220729</v>
      </c>
      <c r="S1455" s="9">
        <v>32.39</v>
      </c>
      <c r="T1455" s="9">
        <v>4.38</v>
      </c>
      <c r="U1455" s="9">
        <v>80161.890620000006</v>
      </c>
      <c r="V1455" s="45">
        <f t="shared" si="114"/>
        <v>-0.99994536057013961</v>
      </c>
      <c r="W1455" s="12">
        <v>3.91</v>
      </c>
      <c r="X1455" s="12">
        <v>2.4900000000000002</v>
      </c>
      <c r="Y1455" s="62">
        <v>4.1399999999999997</v>
      </c>
    </row>
    <row r="1456" spans="1:25" x14ac:dyDescent="0.2">
      <c r="A1456" s="3" t="s">
        <v>3721</v>
      </c>
      <c r="B1456" s="3" t="s">
        <v>1460</v>
      </c>
      <c r="C1456" s="6" t="s">
        <v>355</v>
      </c>
      <c r="D1456" s="6" t="s">
        <v>195</v>
      </c>
      <c r="E1456" s="6" t="s">
        <v>208</v>
      </c>
      <c r="F1456" s="6">
        <v>3105.88</v>
      </c>
      <c r="G1456" s="2">
        <v>12</v>
      </c>
      <c r="H1456" s="61">
        <v>0.54</v>
      </c>
      <c r="I1456" s="61">
        <v>0.09</v>
      </c>
      <c r="J1456" s="47">
        <f t="shared" si="110"/>
        <v>-0.95500000000000007</v>
      </c>
      <c r="K1456" s="47">
        <f t="shared" si="111"/>
        <v>-0.83333333333333337</v>
      </c>
      <c r="L1456" s="8">
        <v>0.44</v>
      </c>
      <c r="M1456" s="8">
        <v>60.32</v>
      </c>
      <c r="N1456" s="8">
        <v>361.93</v>
      </c>
      <c r="O1456" s="17">
        <f t="shared" si="112"/>
        <v>-0.63162303664921471</v>
      </c>
      <c r="P1456" s="17">
        <f t="shared" si="113"/>
        <v>-4.3431599999999992</v>
      </c>
      <c r="Q1456" s="17">
        <v>76.34</v>
      </c>
      <c r="R1456" s="9">
        <v>20220804</v>
      </c>
      <c r="S1456" s="9">
        <v>23.15</v>
      </c>
      <c r="U1456" s="9">
        <v>759.07299</v>
      </c>
      <c r="V1456" s="45">
        <f t="shared" si="114"/>
        <v>-1</v>
      </c>
      <c r="W1456" s="12">
        <v>150</v>
      </c>
      <c r="X1456" s="12">
        <v>0</v>
      </c>
      <c r="Y1456" s="62">
        <v>17.190000000000001</v>
      </c>
    </row>
    <row r="1457" spans="1:25" x14ac:dyDescent="0.2">
      <c r="A1457" s="3" t="s">
        <v>3722</v>
      </c>
      <c r="B1457" s="3" t="s">
        <v>1461</v>
      </c>
      <c r="C1457" s="6" t="s">
        <v>354</v>
      </c>
      <c r="D1457" s="6" t="s">
        <v>173</v>
      </c>
      <c r="E1457" s="6" t="s">
        <v>163</v>
      </c>
      <c r="F1457" s="6">
        <v>68319.539999999994</v>
      </c>
      <c r="G1457" s="2">
        <v>12</v>
      </c>
      <c r="H1457" s="61">
        <v>3.57</v>
      </c>
      <c r="I1457" s="61">
        <v>4.76</v>
      </c>
      <c r="J1457" s="47">
        <f t="shared" si="110"/>
        <v>-0.70250000000000001</v>
      </c>
      <c r="K1457" s="47">
        <f t="shared" si="111"/>
        <v>0.33333333333333331</v>
      </c>
      <c r="L1457" s="8">
        <v>6.32</v>
      </c>
      <c r="M1457" s="8">
        <v>30.58</v>
      </c>
      <c r="N1457" s="8">
        <v>24.55</v>
      </c>
      <c r="O1457" s="17">
        <f t="shared" si="112"/>
        <v>-0.43530249110320285</v>
      </c>
      <c r="P1457" s="17">
        <f t="shared" si="113"/>
        <v>0.73650000000000015</v>
      </c>
      <c r="Q1457" s="17">
        <v>18.47</v>
      </c>
      <c r="R1457" s="9">
        <v>20220721</v>
      </c>
      <c r="S1457" s="9">
        <v>12.85</v>
      </c>
      <c r="T1457" s="9">
        <v>15.61</v>
      </c>
      <c r="U1457" s="9">
        <v>51502.011709999999</v>
      </c>
      <c r="V1457" s="45">
        <f t="shared" si="114"/>
        <v>-0.99969690504347875</v>
      </c>
      <c r="W1457" s="12">
        <v>-9.68</v>
      </c>
      <c r="X1457" s="12">
        <v>0.34</v>
      </c>
      <c r="Y1457" s="62">
        <v>1.42</v>
      </c>
    </row>
    <row r="1458" spans="1:25" x14ac:dyDescent="0.2">
      <c r="B1458" s="3" t="s">
        <v>2249</v>
      </c>
      <c r="C1458" s="6" t="s">
        <v>354</v>
      </c>
      <c r="D1458" s="6" t="s">
        <v>519</v>
      </c>
      <c r="E1458" s="6" t="s">
        <v>163</v>
      </c>
      <c r="F1458" s="6">
        <v>5706.25</v>
      </c>
      <c r="G1458" s="2">
        <v>12</v>
      </c>
      <c r="H1458" s="61"/>
      <c r="I1458" s="61"/>
      <c r="J1458" s="47">
        <f t="shared" si="110"/>
        <v>-1</v>
      </c>
      <c r="K1458" s="47" t="e">
        <f t="shared" si="111"/>
        <v>#DIV/0!</v>
      </c>
      <c r="O1458" s="17">
        <f t="shared" si="112"/>
        <v>0</v>
      </c>
      <c r="P1458" s="17" t="e">
        <f t="shared" si="113"/>
        <v>#DIV/0!</v>
      </c>
      <c r="Q1458" s="17"/>
      <c r="V1458" s="45" t="e">
        <f t="shared" si="114"/>
        <v>#DIV/0!</v>
      </c>
      <c r="X1458" s="12">
        <v>5.5</v>
      </c>
      <c r="Y1458" s="62"/>
    </row>
    <row r="1459" spans="1:25" x14ac:dyDescent="0.2">
      <c r="A1459" s="3" t="s">
        <v>3723</v>
      </c>
      <c r="B1459" s="3" t="s">
        <v>202</v>
      </c>
      <c r="C1459" s="6" t="s">
        <v>354</v>
      </c>
      <c r="D1459" s="6" t="s">
        <v>183</v>
      </c>
      <c r="E1459" s="6" t="s">
        <v>201</v>
      </c>
      <c r="F1459" s="6">
        <v>34404.980000000003</v>
      </c>
      <c r="G1459" s="2">
        <v>6</v>
      </c>
      <c r="H1459" s="61">
        <v>14.94</v>
      </c>
      <c r="I1459" s="61">
        <v>18.23</v>
      </c>
      <c r="J1459" s="47">
        <f t="shared" si="110"/>
        <v>1.49</v>
      </c>
      <c r="K1459" s="47">
        <f t="shared" si="111"/>
        <v>0.22021419009370824</v>
      </c>
      <c r="L1459" s="8">
        <v>19.57</v>
      </c>
      <c r="M1459" s="8">
        <v>14.95</v>
      </c>
      <c r="N1459" s="8">
        <v>14.7</v>
      </c>
      <c r="O1459" s="17">
        <f t="shared" si="112"/>
        <v>0.10033557046979866</v>
      </c>
      <c r="P1459" s="17">
        <f t="shared" si="113"/>
        <v>0.66753191489361674</v>
      </c>
      <c r="Q1459" s="17">
        <v>13.7</v>
      </c>
      <c r="R1459" s="9">
        <v>20220804</v>
      </c>
      <c r="S1459" s="9">
        <v>27.07</v>
      </c>
      <c r="T1459" s="9">
        <v>2.5099999999999998</v>
      </c>
      <c r="U1459" s="9">
        <v>15765.634760000001</v>
      </c>
      <c r="V1459" s="45">
        <f t="shared" si="114"/>
        <v>-0.99984079296278205</v>
      </c>
      <c r="W1459" s="12">
        <v>4.7699999999999996</v>
      </c>
      <c r="X1459" s="12">
        <v>1.99</v>
      </c>
      <c r="Y1459" s="62">
        <v>1.63</v>
      </c>
    </row>
    <row r="1460" spans="1:25" x14ac:dyDescent="0.2">
      <c r="A1460" s="3" t="s">
        <v>3724</v>
      </c>
      <c r="B1460" s="3" t="s">
        <v>1462</v>
      </c>
      <c r="C1460" s="6" t="s">
        <v>354</v>
      </c>
      <c r="D1460" s="6" t="s">
        <v>193</v>
      </c>
      <c r="E1460" s="6" t="s">
        <v>208</v>
      </c>
      <c r="F1460" s="6">
        <v>23066.76</v>
      </c>
      <c r="G1460" s="2">
        <v>12</v>
      </c>
      <c r="H1460" s="61">
        <v>1.92</v>
      </c>
      <c r="I1460" s="61">
        <v>1.73</v>
      </c>
      <c r="J1460" s="47">
        <f t="shared" si="110"/>
        <v>-0.84</v>
      </c>
      <c r="K1460" s="47">
        <f t="shared" si="111"/>
        <v>-9.8958333333333315E-2</v>
      </c>
      <c r="L1460" s="8">
        <v>1.99</v>
      </c>
      <c r="M1460" s="8">
        <v>15.83</v>
      </c>
      <c r="N1460" s="8">
        <v>14.7</v>
      </c>
      <c r="O1460" s="17">
        <f t="shared" si="112"/>
        <v>-0.18845238095238095</v>
      </c>
      <c r="P1460" s="17">
        <f t="shared" si="113"/>
        <v>-1.4854736842105265</v>
      </c>
      <c r="Q1460" s="17">
        <v>12.83</v>
      </c>
      <c r="R1460" s="9">
        <v>20220725</v>
      </c>
      <c r="S1460" s="9">
        <v>9.19</v>
      </c>
      <c r="T1460" s="9">
        <v>-1.94</v>
      </c>
      <c r="U1460" s="9">
        <v>19330.345700000002</v>
      </c>
      <c r="V1460" s="45">
        <f t="shared" si="114"/>
        <v>-1.0001003603365457</v>
      </c>
      <c r="W1460" s="12">
        <v>-52.55</v>
      </c>
      <c r="X1460" s="12">
        <v>3.22</v>
      </c>
      <c r="Y1460" s="62">
        <v>1.32</v>
      </c>
    </row>
    <row r="1461" spans="1:25" x14ac:dyDescent="0.2">
      <c r="A1461" s="3" t="s">
        <v>3725</v>
      </c>
      <c r="B1461" s="3" t="s">
        <v>3726</v>
      </c>
      <c r="C1461" s="6" t="s">
        <v>354</v>
      </c>
      <c r="D1461" s="6" t="s">
        <v>278</v>
      </c>
      <c r="E1461" s="6" t="s">
        <v>119</v>
      </c>
      <c r="F1461" s="6">
        <v>8171.23</v>
      </c>
      <c r="G1461" s="2">
        <v>12</v>
      </c>
      <c r="H1461" s="61">
        <v>2.61</v>
      </c>
      <c r="I1461" s="61">
        <v>2.7</v>
      </c>
      <c r="J1461" s="47">
        <f t="shared" si="110"/>
        <v>-0.78250000000000008</v>
      </c>
      <c r="K1461" s="47">
        <f t="shared" si="111"/>
        <v>3.4482758620689773E-2</v>
      </c>
      <c r="M1461" s="8">
        <v>13.51</v>
      </c>
      <c r="N1461" s="8">
        <v>14.01</v>
      </c>
      <c r="O1461" s="17">
        <f t="shared" si="112"/>
        <v>-0.17265175718849837</v>
      </c>
      <c r="P1461" s="17">
        <f t="shared" si="113"/>
        <v>4.0628999999999857</v>
      </c>
      <c r="Q1461" s="17"/>
      <c r="R1461" s="9">
        <v>20220804</v>
      </c>
      <c r="S1461" s="9">
        <v>24.66</v>
      </c>
      <c r="T1461" s="9">
        <v>5.27</v>
      </c>
      <c r="V1461" s="45" t="e">
        <f t="shared" si="114"/>
        <v>#DIV/0!</v>
      </c>
      <c r="X1461" s="12">
        <v>3.12</v>
      </c>
      <c r="Y1461" s="62">
        <v>2.6</v>
      </c>
    </row>
    <row r="1462" spans="1:25" x14ac:dyDescent="0.2">
      <c r="A1462" s="3" t="s">
        <v>3727</v>
      </c>
      <c r="B1462" s="3" t="s">
        <v>1463</v>
      </c>
      <c r="C1462" s="6" t="s">
        <v>354</v>
      </c>
      <c r="D1462" s="6" t="s">
        <v>784</v>
      </c>
      <c r="E1462" s="6" t="s">
        <v>140</v>
      </c>
      <c r="F1462" s="6">
        <v>10688.45</v>
      </c>
      <c r="G1462" s="2">
        <v>12</v>
      </c>
      <c r="H1462" s="61">
        <v>7.11</v>
      </c>
      <c r="I1462" s="61">
        <v>10.72</v>
      </c>
      <c r="J1462" s="47">
        <f t="shared" si="110"/>
        <v>-0.40749999999999997</v>
      </c>
      <c r="K1462" s="47">
        <f t="shared" si="111"/>
        <v>0.50773558368495075</v>
      </c>
      <c r="L1462" s="8">
        <v>11.14</v>
      </c>
      <c r="M1462" s="8">
        <v>5.71</v>
      </c>
      <c r="N1462" s="8">
        <v>4.2</v>
      </c>
      <c r="O1462" s="17">
        <f t="shared" si="112"/>
        <v>-0.14012269938650307</v>
      </c>
      <c r="P1462" s="17">
        <f t="shared" si="113"/>
        <v>8.2720221606648214E-2</v>
      </c>
      <c r="Q1462" s="17">
        <v>4.04</v>
      </c>
      <c r="R1462" s="9">
        <v>20220726</v>
      </c>
      <c r="S1462" s="9">
        <v>27.91</v>
      </c>
      <c r="T1462" s="9">
        <v>10.65</v>
      </c>
      <c r="U1462" s="9">
        <v>16750.650389999999</v>
      </c>
      <c r="V1462" s="45">
        <f t="shared" si="114"/>
        <v>-0.99936420379196977</v>
      </c>
      <c r="W1462" s="12">
        <v>7.65</v>
      </c>
      <c r="X1462" s="12">
        <v>1.33</v>
      </c>
      <c r="Y1462" s="62">
        <v>0.84</v>
      </c>
    </row>
    <row r="1463" spans="1:25" x14ac:dyDescent="0.2">
      <c r="A1463" s="3" t="s">
        <v>3728</v>
      </c>
      <c r="B1463" s="3" t="s">
        <v>1464</v>
      </c>
      <c r="C1463" s="6" t="s">
        <v>354</v>
      </c>
      <c r="D1463" s="6" t="s">
        <v>44</v>
      </c>
      <c r="E1463" s="6" t="s">
        <v>35</v>
      </c>
      <c r="F1463" s="6">
        <v>6257.33</v>
      </c>
      <c r="G1463" s="2">
        <v>12</v>
      </c>
      <c r="H1463" s="61">
        <v>9.02</v>
      </c>
      <c r="I1463" s="61">
        <v>10.15</v>
      </c>
      <c r="J1463" s="47">
        <f t="shared" si="110"/>
        <v>-0.24833333333333338</v>
      </c>
      <c r="K1463" s="47">
        <f t="shared" si="111"/>
        <v>0.1252771618625278</v>
      </c>
      <c r="L1463" s="8">
        <v>11.07</v>
      </c>
      <c r="M1463" s="8">
        <v>12.94</v>
      </c>
      <c r="N1463" s="8">
        <v>10.36</v>
      </c>
      <c r="O1463" s="17">
        <f t="shared" si="112"/>
        <v>-0.52107382550335557</v>
      </c>
      <c r="P1463" s="17">
        <f t="shared" si="113"/>
        <v>0.82696637168141529</v>
      </c>
      <c r="Q1463" s="17">
        <v>9.5</v>
      </c>
      <c r="R1463" s="9">
        <v>20220726</v>
      </c>
      <c r="S1463" s="9">
        <v>43.24</v>
      </c>
      <c r="T1463" s="9">
        <v>10.78</v>
      </c>
      <c r="U1463" s="9">
        <v>9268.8847600000008</v>
      </c>
      <c r="V1463" s="45">
        <f t="shared" si="114"/>
        <v>-0.99883696903358621</v>
      </c>
      <c r="W1463" s="12">
        <v>-26.7</v>
      </c>
      <c r="X1463" s="12">
        <v>2.4300000000000002</v>
      </c>
      <c r="Y1463" s="62"/>
    </row>
    <row r="1464" spans="1:25" x14ac:dyDescent="0.2">
      <c r="A1464" s="3" t="s">
        <v>3729</v>
      </c>
      <c r="B1464" s="3" t="s">
        <v>1465</v>
      </c>
      <c r="C1464" s="6" t="s">
        <v>355</v>
      </c>
      <c r="D1464" s="6" t="s">
        <v>195</v>
      </c>
      <c r="E1464" s="6" t="s">
        <v>208</v>
      </c>
      <c r="F1464" s="6">
        <v>4485.8500000000004</v>
      </c>
      <c r="G1464" s="2">
        <v>6</v>
      </c>
      <c r="H1464" s="61">
        <v>2.46</v>
      </c>
      <c r="I1464" s="61">
        <v>2.52</v>
      </c>
      <c r="J1464" s="47">
        <f t="shared" si="110"/>
        <v>-0.59</v>
      </c>
      <c r="K1464" s="47">
        <f t="shared" si="111"/>
        <v>2.4390243902439046E-2</v>
      </c>
      <c r="L1464" s="8">
        <v>2.68</v>
      </c>
      <c r="M1464" s="8">
        <v>15.03</v>
      </c>
      <c r="N1464" s="8">
        <v>15.06</v>
      </c>
      <c r="O1464" s="17">
        <f t="shared" si="112"/>
        <v>-0.25474576271186439</v>
      </c>
      <c r="P1464" s="17">
        <f t="shared" si="113"/>
        <v>6.1745999999999945</v>
      </c>
      <c r="Q1464" s="17">
        <v>14.21</v>
      </c>
      <c r="R1464" s="9">
        <v>20220816</v>
      </c>
      <c r="S1464" s="9">
        <v>12.13</v>
      </c>
      <c r="T1464" s="9">
        <v>-0.02</v>
      </c>
      <c r="U1464" s="9">
        <v>1428.1559999999999</v>
      </c>
      <c r="V1464" s="45">
        <f t="shared" si="114"/>
        <v>-1.0000140040723842</v>
      </c>
      <c r="W1464" s="12">
        <v>0</v>
      </c>
      <c r="X1464" s="12">
        <v>2.1</v>
      </c>
      <c r="Y1464" s="62">
        <v>1.51</v>
      </c>
    </row>
    <row r="1465" spans="1:25" x14ac:dyDescent="0.2">
      <c r="A1465" s="3" t="s">
        <v>3730</v>
      </c>
      <c r="B1465" s="3" t="s">
        <v>1466</v>
      </c>
      <c r="C1465" s="6" t="s">
        <v>354</v>
      </c>
      <c r="D1465" s="6" t="s">
        <v>177</v>
      </c>
      <c r="E1465" s="6" t="s">
        <v>119</v>
      </c>
      <c r="F1465" s="6">
        <v>12964.5</v>
      </c>
      <c r="G1465" s="2">
        <v>12</v>
      </c>
      <c r="H1465" s="61">
        <v>1.08</v>
      </c>
      <c r="I1465" s="61">
        <v>0.98</v>
      </c>
      <c r="J1465" s="47">
        <f t="shared" si="110"/>
        <v>-0.91</v>
      </c>
      <c r="K1465" s="47">
        <f t="shared" si="111"/>
        <v>-9.2592592592592671E-2</v>
      </c>
      <c r="L1465" s="8">
        <v>1.28</v>
      </c>
      <c r="M1465" s="8">
        <v>17.45</v>
      </c>
      <c r="N1465" s="8">
        <v>20.02</v>
      </c>
      <c r="O1465" s="17">
        <f t="shared" si="112"/>
        <v>-0.19175824175824174</v>
      </c>
      <c r="P1465" s="17">
        <f t="shared" si="113"/>
        <v>-2.1621599999999983</v>
      </c>
      <c r="Q1465" s="17">
        <v>15.27</v>
      </c>
      <c r="R1465" s="9">
        <v>20220804</v>
      </c>
      <c r="S1465" s="9">
        <v>12.69</v>
      </c>
      <c r="T1465" s="9">
        <v>50.96</v>
      </c>
      <c r="U1465" s="9">
        <v>3069.6100999999999</v>
      </c>
      <c r="V1465" s="45">
        <f t="shared" si="114"/>
        <v>-0.98339854302668606</v>
      </c>
      <c r="W1465" s="12">
        <v>150</v>
      </c>
      <c r="X1465" s="12">
        <v>0</v>
      </c>
      <c r="Y1465" s="62">
        <v>1.35</v>
      </c>
    </row>
    <row r="1466" spans="1:25" x14ac:dyDescent="0.2">
      <c r="A1466" s="3" t="s">
        <v>3731</v>
      </c>
      <c r="B1466" s="3" t="s">
        <v>1467</v>
      </c>
      <c r="C1466" s="6" t="s">
        <v>354</v>
      </c>
      <c r="D1466" s="6" t="s">
        <v>215</v>
      </c>
      <c r="E1466" s="6" t="s">
        <v>163</v>
      </c>
      <c r="F1466" s="6">
        <v>4123.6499999999996</v>
      </c>
      <c r="G1466" s="2">
        <v>12</v>
      </c>
      <c r="H1466" s="61">
        <v>-0.56999999999999995</v>
      </c>
      <c r="I1466" s="61">
        <v>1.23</v>
      </c>
      <c r="J1466" s="47">
        <f t="shared" si="110"/>
        <v>-1.0475000000000001</v>
      </c>
      <c r="K1466" s="47">
        <f t="shared" si="111"/>
        <v>3.1578947368421053</v>
      </c>
      <c r="L1466" s="8">
        <v>2.14</v>
      </c>
      <c r="N1466" s="8">
        <v>14.35</v>
      </c>
      <c r="O1466" s="17">
        <f t="shared" si="112"/>
        <v>0</v>
      </c>
      <c r="P1466" s="17">
        <f t="shared" si="113"/>
        <v>4.5441666666666665E-2</v>
      </c>
      <c r="Q1466" s="17">
        <v>8.26</v>
      </c>
      <c r="R1466" s="9">
        <v>20220804</v>
      </c>
      <c r="S1466" s="9">
        <v>-7.37</v>
      </c>
      <c r="T1466" s="9">
        <v>-23.93</v>
      </c>
      <c r="U1466" s="9">
        <v>2392.98803</v>
      </c>
      <c r="V1466" s="45">
        <f t="shared" si="114"/>
        <v>-1.0100000500211443</v>
      </c>
      <c r="W1466" s="12">
        <v>900</v>
      </c>
      <c r="X1466" s="12">
        <v>0.23</v>
      </c>
      <c r="Y1466" s="62"/>
    </row>
    <row r="1467" spans="1:25" x14ac:dyDescent="0.2">
      <c r="A1467" s="3" t="s">
        <v>1468</v>
      </c>
      <c r="B1467" s="3" t="s">
        <v>1469</v>
      </c>
      <c r="C1467" s="6" t="s">
        <v>354</v>
      </c>
      <c r="D1467" s="6" t="s">
        <v>137</v>
      </c>
      <c r="E1467" s="6" t="s">
        <v>201</v>
      </c>
      <c r="F1467" s="6">
        <v>14655.8</v>
      </c>
      <c r="G1467" s="2">
        <v>12</v>
      </c>
      <c r="H1467" s="61">
        <v>8.7100000000000009</v>
      </c>
      <c r="I1467" s="61">
        <v>11.66</v>
      </c>
      <c r="J1467" s="47">
        <f t="shared" si="110"/>
        <v>-0.27416666666666661</v>
      </c>
      <c r="K1467" s="47">
        <f t="shared" si="111"/>
        <v>0.33869115958668183</v>
      </c>
      <c r="L1467" s="8">
        <v>12.23</v>
      </c>
      <c r="M1467" s="8">
        <v>15.13</v>
      </c>
      <c r="N1467" s="8">
        <v>13.42</v>
      </c>
      <c r="O1467" s="17">
        <f t="shared" si="112"/>
        <v>-0.55185410334346519</v>
      </c>
      <c r="P1467" s="17">
        <f t="shared" si="113"/>
        <v>0.39623118644067812</v>
      </c>
      <c r="Q1467" s="17">
        <v>12.79</v>
      </c>
      <c r="R1467" s="9">
        <v>20220725</v>
      </c>
      <c r="S1467" s="9">
        <v>27.11</v>
      </c>
      <c r="T1467" s="9">
        <v>3.34</v>
      </c>
      <c r="U1467" s="9">
        <v>8640.2783199999994</v>
      </c>
      <c r="V1467" s="45">
        <f t="shared" si="114"/>
        <v>-0.99961343837822114</v>
      </c>
      <c r="W1467" s="12">
        <v>7.51</v>
      </c>
      <c r="X1467" s="12">
        <v>2.56</v>
      </c>
      <c r="Y1467" s="62">
        <v>2.68</v>
      </c>
    </row>
    <row r="1468" spans="1:25" x14ac:dyDescent="0.2">
      <c r="A1468" s="3" t="s">
        <v>3732</v>
      </c>
      <c r="B1468" s="3" t="s">
        <v>1470</v>
      </c>
      <c r="C1468" s="6" t="s">
        <v>354</v>
      </c>
      <c r="D1468" s="6" t="s">
        <v>166</v>
      </c>
      <c r="E1468" s="6" t="s">
        <v>119</v>
      </c>
      <c r="F1468" s="6">
        <v>18499.669999999998</v>
      </c>
      <c r="G1468" s="2">
        <v>12</v>
      </c>
      <c r="H1468" s="61">
        <v>10.92</v>
      </c>
      <c r="I1468" s="61">
        <v>7.34</v>
      </c>
      <c r="J1468" s="47">
        <f t="shared" si="110"/>
        <v>-9.0000000000000011E-2</v>
      </c>
      <c r="K1468" s="47">
        <f t="shared" si="111"/>
        <v>-0.32783882783882784</v>
      </c>
      <c r="L1468" s="8">
        <v>6.98</v>
      </c>
      <c r="M1468" s="8">
        <v>14.51</v>
      </c>
      <c r="N1468" s="8">
        <v>19.97</v>
      </c>
      <c r="O1468" s="17">
        <f t="shared" si="112"/>
        <v>-1.6122222222222218</v>
      </c>
      <c r="P1468" s="17">
        <f t="shared" si="113"/>
        <v>-0.60914078212290501</v>
      </c>
      <c r="Q1468" s="17">
        <v>21.01</v>
      </c>
      <c r="R1468" s="9">
        <v>20220725</v>
      </c>
      <c r="S1468" s="9">
        <v>18.98</v>
      </c>
      <c r="T1468" s="9">
        <v>20.62</v>
      </c>
      <c r="U1468" s="9">
        <v>4605.8969699999998</v>
      </c>
      <c r="V1468" s="45">
        <f t="shared" si="114"/>
        <v>-0.99552313042729657</v>
      </c>
      <c r="W1468" s="12">
        <v>15.87</v>
      </c>
      <c r="X1468" s="12">
        <v>0.19</v>
      </c>
      <c r="Y1468" s="62">
        <v>0.43</v>
      </c>
    </row>
    <row r="1469" spans="1:25" x14ac:dyDescent="0.2">
      <c r="A1469" s="3" t="s">
        <v>3733</v>
      </c>
      <c r="B1469" s="3" t="s">
        <v>1471</v>
      </c>
      <c r="C1469" s="6" t="s">
        <v>354</v>
      </c>
      <c r="D1469" s="6" t="s">
        <v>177</v>
      </c>
      <c r="E1469" s="6" t="s">
        <v>119</v>
      </c>
      <c r="F1469" s="6">
        <v>9844.74</v>
      </c>
      <c r="G1469" s="2">
        <v>1</v>
      </c>
      <c r="H1469" s="61">
        <v>-0.35</v>
      </c>
      <c r="I1469" s="61">
        <v>-0.24</v>
      </c>
      <c r="J1469" s="47">
        <f t="shared" si="110"/>
        <v>-1.35</v>
      </c>
      <c r="K1469" s="47">
        <f t="shared" si="111"/>
        <v>0.31428571428571428</v>
      </c>
      <c r="L1469" s="8">
        <v>-0.04</v>
      </c>
      <c r="O1469" s="17">
        <f t="shared" si="112"/>
        <v>0</v>
      </c>
      <c r="P1469" s="17">
        <f t="shared" si="113"/>
        <v>0</v>
      </c>
      <c r="Q1469" s="17"/>
      <c r="R1469" s="9">
        <v>20220830</v>
      </c>
      <c r="S1469" s="9">
        <v>-71.91</v>
      </c>
      <c r="T1469" s="9">
        <v>33.450000000000003</v>
      </c>
      <c r="U1469" s="9">
        <v>744.91601000000003</v>
      </c>
      <c r="V1469" s="45">
        <f t="shared" si="114"/>
        <v>-0.95509560869822085</v>
      </c>
      <c r="W1469" s="12">
        <v>77.78</v>
      </c>
      <c r="X1469" s="12">
        <v>0</v>
      </c>
      <c r="Y1469" s="62"/>
    </row>
    <row r="1470" spans="1:25" x14ac:dyDescent="0.2">
      <c r="A1470" s="3" t="s">
        <v>3734</v>
      </c>
      <c r="B1470" s="3" t="s">
        <v>1472</v>
      </c>
      <c r="C1470" s="6" t="s">
        <v>354</v>
      </c>
      <c r="D1470" s="6" t="s">
        <v>215</v>
      </c>
      <c r="E1470" s="6" t="s">
        <v>163</v>
      </c>
      <c r="F1470" s="6">
        <v>90579.07</v>
      </c>
      <c r="G1470" s="2">
        <v>12</v>
      </c>
      <c r="H1470" s="61">
        <v>4.12</v>
      </c>
      <c r="I1470" s="61">
        <v>5.15</v>
      </c>
      <c r="J1470" s="47">
        <f t="shared" si="110"/>
        <v>-0.65666666666666662</v>
      </c>
      <c r="K1470" s="47">
        <f t="shared" si="111"/>
        <v>0.25000000000000006</v>
      </c>
      <c r="L1470" s="8">
        <v>5.65</v>
      </c>
      <c r="M1470" s="8">
        <v>28.72</v>
      </c>
      <c r="N1470" s="8">
        <v>23.75</v>
      </c>
      <c r="O1470" s="17">
        <f t="shared" si="112"/>
        <v>-0.43736040609137061</v>
      </c>
      <c r="P1470" s="17">
        <f t="shared" si="113"/>
        <v>0.94999999999999973</v>
      </c>
      <c r="Q1470" s="17">
        <v>21.67</v>
      </c>
      <c r="R1470" s="9">
        <v>20220718</v>
      </c>
      <c r="S1470" s="9">
        <v>9.98</v>
      </c>
      <c r="T1470" s="9">
        <v>17.059999999999999</v>
      </c>
      <c r="U1470" s="9">
        <v>4521.1601499999997</v>
      </c>
      <c r="V1470" s="45">
        <f t="shared" si="114"/>
        <v>-0.99622663222845564</v>
      </c>
      <c r="W1470" s="12">
        <v>0.93</v>
      </c>
      <c r="X1470" s="12">
        <v>2.58</v>
      </c>
      <c r="Y1470" s="62">
        <v>2.4300000000000002</v>
      </c>
    </row>
    <row r="1471" spans="1:25" x14ac:dyDescent="0.2">
      <c r="A1471" s="3" t="s">
        <v>3735</v>
      </c>
      <c r="B1471" s="3" t="s">
        <v>1473</v>
      </c>
      <c r="C1471" s="6" t="s">
        <v>354</v>
      </c>
      <c r="D1471" s="6" t="s">
        <v>621</v>
      </c>
      <c r="E1471" s="6" t="s">
        <v>146</v>
      </c>
      <c r="F1471" s="6">
        <v>6117.83</v>
      </c>
      <c r="G1471" s="2">
        <v>12</v>
      </c>
      <c r="H1471" s="61">
        <v>0.82</v>
      </c>
      <c r="I1471" s="61">
        <v>1.54</v>
      </c>
      <c r="J1471" s="47">
        <f t="shared" si="110"/>
        <v>-0.93166666666666664</v>
      </c>
      <c r="K1471" s="47">
        <f t="shared" si="111"/>
        <v>0.87804878048780499</v>
      </c>
      <c r="L1471" s="8">
        <v>2.17</v>
      </c>
      <c r="M1471" s="8">
        <v>64.63</v>
      </c>
      <c r="N1471" s="8">
        <v>43.67</v>
      </c>
      <c r="O1471" s="17">
        <f t="shared" si="112"/>
        <v>-0.69370304114490167</v>
      </c>
      <c r="P1471" s="17">
        <f t="shared" si="113"/>
        <v>0.49735277777777775</v>
      </c>
      <c r="Q1471" s="17">
        <v>31.03</v>
      </c>
      <c r="R1471" s="9">
        <v>20220808</v>
      </c>
      <c r="S1471" s="9">
        <v>-16.39</v>
      </c>
      <c r="T1471" s="9">
        <v>3.87</v>
      </c>
      <c r="U1471" s="9">
        <v>913.43597</v>
      </c>
      <c r="V1471" s="45">
        <f t="shared" si="114"/>
        <v>-0.99576324983129361</v>
      </c>
      <c r="W1471" s="12">
        <v>18.52</v>
      </c>
      <c r="X1471" s="12">
        <v>0</v>
      </c>
      <c r="Y1471" s="62">
        <v>2.1800000000000002</v>
      </c>
    </row>
    <row r="1472" spans="1:25" x14ac:dyDescent="0.2">
      <c r="A1472" s="3" t="s">
        <v>3736</v>
      </c>
      <c r="B1472" s="3" t="s">
        <v>1896</v>
      </c>
      <c r="C1472" s="6" t="s">
        <v>355</v>
      </c>
      <c r="D1472" s="6" t="s">
        <v>157</v>
      </c>
      <c r="E1472" s="6" t="s">
        <v>146</v>
      </c>
      <c r="F1472" s="6">
        <v>6016.88</v>
      </c>
      <c r="G1472" s="2">
        <v>12</v>
      </c>
      <c r="H1472" s="61">
        <v>0.68</v>
      </c>
      <c r="I1472" s="61">
        <v>0.78</v>
      </c>
      <c r="J1472" s="47">
        <f t="shared" si="110"/>
        <v>-0.94333333333333336</v>
      </c>
      <c r="K1472" s="47">
        <f t="shared" si="111"/>
        <v>0.14705882352941171</v>
      </c>
      <c r="L1472" s="8">
        <v>0.99</v>
      </c>
      <c r="M1472" s="8">
        <v>16.77</v>
      </c>
      <c r="N1472" s="8">
        <v>18.78</v>
      </c>
      <c r="O1472" s="17">
        <f t="shared" si="112"/>
        <v>-0.17777385159010597</v>
      </c>
      <c r="P1472" s="17">
        <f t="shared" si="113"/>
        <v>1.2770400000000004</v>
      </c>
      <c r="Q1472" s="17">
        <v>14.69</v>
      </c>
      <c r="R1472" s="9">
        <v>20220803</v>
      </c>
      <c r="S1472" s="9">
        <v>-82.08</v>
      </c>
      <c r="U1472" s="9">
        <v>2742.9030699999998</v>
      </c>
      <c r="V1472" s="45">
        <f t="shared" si="114"/>
        <v>-1</v>
      </c>
      <c r="W1472" s="12">
        <v>-9.09</v>
      </c>
      <c r="X1472" s="12">
        <v>0</v>
      </c>
      <c r="Y1472" s="62"/>
    </row>
    <row r="1473" spans="1:25" x14ac:dyDescent="0.2">
      <c r="A1473" s="3" t="s">
        <v>3737</v>
      </c>
      <c r="B1473" s="3" t="s">
        <v>1474</v>
      </c>
      <c r="C1473" s="6" t="s">
        <v>354</v>
      </c>
      <c r="D1473" s="6" t="s">
        <v>233</v>
      </c>
      <c r="E1473" s="6" t="s">
        <v>108</v>
      </c>
      <c r="F1473" s="6">
        <v>16971.79</v>
      </c>
      <c r="G1473" s="2">
        <v>12</v>
      </c>
      <c r="H1473" s="61">
        <v>0.15</v>
      </c>
      <c r="I1473" s="61">
        <v>0.16</v>
      </c>
      <c r="J1473" s="47">
        <f t="shared" si="110"/>
        <v>-0.98749999999999993</v>
      </c>
      <c r="K1473" s="47">
        <f t="shared" si="111"/>
        <v>6.6666666666666735E-2</v>
      </c>
      <c r="L1473" s="8">
        <v>0.23</v>
      </c>
      <c r="M1473" s="8">
        <v>69.67</v>
      </c>
      <c r="N1473" s="8">
        <v>53.08</v>
      </c>
      <c r="O1473" s="17">
        <f t="shared" si="112"/>
        <v>-0.70551898734177221</v>
      </c>
      <c r="P1473" s="17">
        <f t="shared" si="113"/>
        <v>7.9619999999999918</v>
      </c>
      <c r="Q1473" s="17">
        <v>35.96</v>
      </c>
      <c r="R1473" s="9">
        <v>20220811</v>
      </c>
      <c r="S1473" s="9">
        <v>12.04</v>
      </c>
      <c r="U1473" s="9">
        <v>1981.0550499999999</v>
      </c>
      <c r="V1473" s="45">
        <f t="shared" si="114"/>
        <v>-1</v>
      </c>
      <c r="W1473" s="12">
        <v>-50</v>
      </c>
      <c r="X1473" s="12">
        <v>0</v>
      </c>
      <c r="Y1473" s="62"/>
    </row>
    <row r="1474" spans="1:25" x14ac:dyDescent="0.2">
      <c r="A1474" s="3" t="s">
        <v>3738</v>
      </c>
      <c r="B1474" s="3" t="s">
        <v>1475</v>
      </c>
      <c r="C1474" s="6" t="s">
        <v>355</v>
      </c>
      <c r="D1474" s="6" t="s">
        <v>181</v>
      </c>
      <c r="E1474" s="6" t="s">
        <v>201</v>
      </c>
      <c r="F1474" s="6">
        <v>9862.41</v>
      </c>
      <c r="G1474" s="2">
        <v>12</v>
      </c>
      <c r="H1474" s="61">
        <v>-0.6</v>
      </c>
      <c r="I1474" s="61">
        <v>-0.65</v>
      </c>
      <c r="J1474" s="47">
        <f t="shared" si="110"/>
        <v>-1.05</v>
      </c>
      <c r="K1474" s="47">
        <f t="shared" si="111"/>
        <v>-8.3333333333333412E-2</v>
      </c>
      <c r="L1474" s="8">
        <v>-0.28999999999999998</v>
      </c>
      <c r="O1474" s="17">
        <f t="shared" si="112"/>
        <v>0</v>
      </c>
      <c r="P1474" s="17">
        <f t="shared" si="113"/>
        <v>0</v>
      </c>
      <c r="Q1474" s="17"/>
      <c r="R1474" s="9">
        <v>20220804</v>
      </c>
      <c r="S1474" s="9">
        <v>-11.78</v>
      </c>
      <c r="T1474" s="9">
        <v>40.01</v>
      </c>
      <c r="U1474" s="9">
        <v>926.03197999999998</v>
      </c>
      <c r="V1474" s="45">
        <f t="shared" si="114"/>
        <v>-0.9567941487290752</v>
      </c>
      <c r="W1474" s="12">
        <v>-68.75</v>
      </c>
      <c r="X1474" s="12">
        <v>0</v>
      </c>
      <c r="Y1474" s="62"/>
    </row>
    <row r="1475" spans="1:25" x14ac:dyDescent="0.2">
      <c r="A1475" s="3" t="s">
        <v>3739</v>
      </c>
      <c r="B1475" s="3" t="s">
        <v>1476</v>
      </c>
      <c r="C1475" s="6" t="s">
        <v>354</v>
      </c>
      <c r="D1475" s="6" t="s">
        <v>572</v>
      </c>
      <c r="E1475" s="6" t="s">
        <v>154</v>
      </c>
      <c r="F1475" s="6">
        <v>167520.42000000001</v>
      </c>
      <c r="G1475" s="2">
        <v>12</v>
      </c>
      <c r="H1475" s="61">
        <v>6.03</v>
      </c>
      <c r="I1475" s="61">
        <v>5.5</v>
      </c>
      <c r="J1475" s="47">
        <f t="shared" ref="J1475:J1538" si="115">(H1475-G1475)/ABS(G1475)</f>
        <v>-0.4975</v>
      </c>
      <c r="K1475" s="47">
        <f t="shared" ref="K1475:K1538" si="116">(I1475-H1475)/ABS(H1475)</f>
        <v>-8.7893864013267042E-2</v>
      </c>
      <c r="L1475" s="8">
        <v>6.03</v>
      </c>
      <c r="M1475" s="8">
        <v>17.829999999999998</v>
      </c>
      <c r="N1475" s="8">
        <v>19.649999999999999</v>
      </c>
      <c r="O1475" s="17">
        <f t="shared" ref="O1475:O1538" si="117">M1475/(J1475*100)</f>
        <v>-0.35839195979899496</v>
      </c>
      <c r="P1475" s="17">
        <f t="shared" ref="P1475:P1538" si="118">N1475/(K1475*100)</f>
        <v>-2.2356509433962253</v>
      </c>
      <c r="Q1475" s="17">
        <v>17.93</v>
      </c>
      <c r="R1475" s="9">
        <v>20220719</v>
      </c>
      <c r="S1475" s="9">
        <v>-110.49</v>
      </c>
      <c r="T1475" s="9">
        <v>0.57999999999999996</v>
      </c>
      <c r="U1475" s="9">
        <v>28980.341789999999</v>
      </c>
      <c r="V1475" s="45">
        <f t="shared" ref="V1475:V1538" si="119">(T1475-U1475)/U1475</f>
        <v>-0.99997998643341734</v>
      </c>
      <c r="W1475" s="12">
        <v>5.41</v>
      </c>
      <c r="X1475" s="12">
        <v>4.63</v>
      </c>
      <c r="Y1475" s="62">
        <v>3.83</v>
      </c>
    </row>
    <row r="1476" spans="1:25" x14ac:dyDescent="0.2">
      <c r="A1476" s="3" t="s">
        <v>3740</v>
      </c>
      <c r="B1476" s="3" t="s">
        <v>1477</v>
      </c>
      <c r="C1476" s="6" t="s">
        <v>354</v>
      </c>
      <c r="D1476" s="6" t="s">
        <v>97</v>
      </c>
      <c r="E1476" s="6" t="s">
        <v>163</v>
      </c>
      <c r="F1476" s="6">
        <v>71528.800000000003</v>
      </c>
      <c r="G1476" s="2">
        <v>12</v>
      </c>
      <c r="H1476" s="61">
        <v>15.85</v>
      </c>
      <c r="I1476" s="61">
        <v>14.12</v>
      </c>
      <c r="J1476" s="47">
        <f t="shared" si="115"/>
        <v>0.3208333333333333</v>
      </c>
      <c r="K1476" s="47">
        <f t="shared" si="116"/>
        <v>-0.10914826498422715</v>
      </c>
      <c r="L1476" s="8">
        <v>16.420000000000002</v>
      </c>
      <c r="M1476" s="8">
        <v>11.36</v>
      </c>
      <c r="N1476" s="8">
        <v>12.25</v>
      </c>
      <c r="O1476" s="17">
        <f t="shared" si="117"/>
        <v>0.3540779220779221</v>
      </c>
      <c r="P1476" s="17">
        <f t="shared" si="118"/>
        <v>-1.1223265895953753</v>
      </c>
      <c r="Q1476" s="17">
        <v>10.53</v>
      </c>
      <c r="R1476" s="9">
        <v>20220718</v>
      </c>
      <c r="S1476" s="9">
        <v>12.43</v>
      </c>
      <c r="T1476" s="9">
        <v>1.23</v>
      </c>
      <c r="U1476" s="9">
        <v>20762.09375</v>
      </c>
      <c r="V1476" s="45">
        <f t="shared" si="119"/>
        <v>-0.99994075741999766</v>
      </c>
      <c r="W1476" s="12">
        <v>18.350000000000001</v>
      </c>
      <c r="X1476" s="12">
        <v>3.47</v>
      </c>
      <c r="Y1476" s="62">
        <v>2.4</v>
      </c>
    </row>
    <row r="1477" spans="1:25" x14ac:dyDescent="0.2">
      <c r="A1477" s="3" t="s">
        <v>3741</v>
      </c>
      <c r="B1477" s="3" t="s">
        <v>1478</v>
      </c>
      <c r="C1477" s="6" t="s">
        <v>355</v>
      </c>
      <c r="D1477" s="6" t="s">
        <v>106</v>
      </c>
      <c r="E1477" s="6" t="s">
        <v>163</v>
      </c>
      <c r="F1477" s="6">
        <v>6136.81</v>
      </c>
      <c r="G1477" s="2">
        <v>12</v>
      </c>
      <c r="H1477" s="61">
        <v>6.61</v>
      </c>
      <c r="I1477" s="61">
        <v>7.04</v>
      </c>
      <c r="J1477" s="47">
        <f t="shared" si="115"/>
        <v>-0.44916666666666666</v>
      </c>
      <c r="K1477" s="47">
        <f t="shared" si="116"/>
        <v>6.5052950075642921E-2</v>
      </c>
      <c r="L1477" s="8">
        <v>7.87</v>
      </c>
      <c r="M1477" s="8">
        <v>11.85</v>
      </c>
      <c r="N1477" s="8">
        <v>11.41</v>
      </c>
      <c r="O1477" s="17">
        <f t="shared" si="117"/>
        <v>-0.26382189239332099</v>
      </c>
      <c r="P1477" s="17">
        <f t="shared" si="118"/>
        <v>1.7539558139534897</v>
      </c>
      <c r="Q1477" s="17">
        <v>10.210000000000001</v>
      </c>
      <c r="R1477" s="9">
        <v>20220719</v>
      </c>
      <c r="S1477" s="9">
        <v>10.59</v>
      </c>
      <c r="T1477" s="9">
        <v>17.03</v>
      </c>
      <c r="U1477" s="9">
        <v>1483.76</v>
      </c>
      <c r="V1477" s="45">
        <f t="shared" si="119"/>
        <v>-0.98852240254488599</v>
      </c>
      <c r="W1477" s="12">
        <v>3.12</v>
      </c>
      <c r="X1477" s="12">
        <v>1.1000000000000001</v>
      </c>
      <c r="Y1477" s="62"/>
    </row>
    <row r="1478" spans="1:25" x14ac:dyDescent="0.2">
      <c r="A1478" s="3" t="s">
        <v>3742</v>
      </c>
      <c r="B1478" s="3" t="s">
        <v>1479</v>
      </c>
      <c r="C1478" s="6" t="s">
        <v>354</v>
      </c>
      <c r="D1478" s="6" t="s">
        <v>246</v>
      </c>
      <c r="E1478" s="6" t="s">
        <v>250</v>
      </c>
      <c r="F1478" s="6">
        <v>4066</v>
      </c>
      <c r="G1478" s="2">
        <v>12</v>
      </c>
      <c r="H1478" s="61">
        <v>2.39</v>
      </c>
      <c r="I1478" s="61">
        <v>2.5499999999999998</v>
      </c>
      <c r="J1478" s="47">
        <f t="shared" si="115"/>
        <v>-0.80083333333333329</v>
      </c>
      <c r="K1478" s="47">
        <f t="shared" si="116"/>
        <v>6.6945606694560539E-2</v>
      </c>
      <c r="L1478" s="8">
        <v>2.68</v>
      </c>
      <c r="M1478" s="8">
        <v>18.010000000000002</v>
      </c>
      <c r="N1478" s="8">
        <v>18.579999999999998</v>
      </c>
      <c r="O1478" s="17">
        <f t="shared" si="117"/>
        <v>-0.22489073881373572</v>
      </c>
      <c r="P1478" s="17">
        <f t="shared" si="118"/>
        <v>2.7753875000000052</v>
      </c>
      <c r="Q1478" s="17">
        <v>17.670000000000002</v>
      </c>
      <c r="R1478" s="9">
        <v>20220729</v>
      </c>
      <c r="S1478" s="9">
        <v>10.38</v>
      </c>
      <c r="T1478" s="9">
        <v>4.96</v>
      </c>
      <c r="V1478" s="45" t="e">
        <f t="shared" si="119"/>
        <v>#DIV/0!</v>
      </c>
      <c r="W1478" s="12">
        <v>11.11</v>
      </c>
      <c r="X1478" s="12">
        <v>2.93</v>
      </c>
      <c r="Y1478" s="62">
        <v>4.22</v>
      </c>
    </row>
    <row r="1479" spans="1:25" x14ac:dyDescent="0.2">
      <c r="A1479" s="3" t="s">
        <v>3743</v>
      </c>
      <c r="B1479" s="3" t="s">
        <v>203</v>
      </c>
      <c r="C1479" s="6" t="s">
        <v>354</v>
      </c>
      <c r="D1479" s="6" t="s">
        <v>184</v>
      </c>
      <c r="E1479" s="6" t="s">
        <v>201</v>
      </c>
      <c r="F1479" s="6">
        <v>8319.6</v>
      </c>
      <c r="G1479" s="2">
        <v>12</v>
      </c>
      <c r="H1479" s="61">
        <v>3.39</v>
      </c>
      <c r="I1479" s="61">
        <v>3.75</v>
      </c>
      <c r="J1479" s="47">
        <f t="shared" si="115"/>
        <v>-0.71749999999999992</v>
      </c>
      <c r="K1479" s="47">
        <f t="shared" si="116"/>
        <v>0.10619469026548668</v>
      </c>
      <c r="L1479" s="8">
        <v>3.9</v>
      </c>
      <c r="M1479" s="8">
        <v>14.58</v>
      </c>
      <c r="N1479" s="8">
        <v>13.4</v>
      </c>
      <c r="O1479" s="17">
        <f t="shared" si="117"/>
        <v>-0.20320557491289204</v>
      </c>
      <c r="P1479" s="17">
        <f t="shared" si="118"/>
        <v>1.261833333333334</v>
      </c>
      <c r="Q1479" s="17">
        <v>12.89</v>
      </c>
      <c r="R1479" s="9">
        <v>20220726</v>
      </c>
      <c r="S1479" s="9">
        <v>24.17</v>
      </c>
      <c r="T1479" s="9">
        <v>-7.54</v>
      </c>
      <c r="U1479" s="9">
        <v>4139.6669899999997</v>
      </c>
      <c r="V1479" s="45">
        <f t="shared" si="119"/>
        <v>-1.0018214025471648</v>
      </c>
      <c r="W1479" s="12">
        <v>4.9400000000000004</v>
      </c>
      <c r="X1479" s="12">
        <v>1.67</v>
      </c>
      <c r="Y1479" s="62">
        <v>1.28</v>
      </c>
    </row>
    <row r="1480" spans="1:25" x14ac:dyDescent="0.2">
      <c r="A1480" s="3" t="s">
        <v>3744</v>
      </c>
      <c r="B1480" s="3" t="s">
        <v>1480</v>
      </c>
      <c r="C1480" s="6" t="s">
        <v>354</v>
      </c>
      <c r="D1480" s="6" t="s">
        <v>246</v>
      </c>
      <c r="E1480" s="6" t="s">
        <v>250</v>
      </c>
      <c r="F1480" s="6">
        <v>8850.25</v>
      </c>
      <c r="G1480" s="2">
        <v>12</v>
      </c>
      <c r="H1480" s="61">
        <v>5.29</v>
      </c>
      <c r="I1480" s="61">
        <v>4.01</v>
      </c>
      <c r="J1480" s="47">
        <f t="shared" si="115"/>
        <v>-0.5591666666666667</v>
      </c>
      <c r="K1480" s="47">
        <f t="shared" si="116"/>
        <v>-0.24196597353497168</v>
      </c>
      <c r="L1480" s="8">
        <v>4.21</v>
      </c>
      <c r="M1480" s="8">
        <v>14.78</v>
      </c>
      <c r="N1480" s="8">
        <v>19.55</v>
      </c>
      <c r="O1480" s="17">
        <f t="shared" si="117"/>
        <v>-0.2643219076005961</v>
      </c>
      <c r="P1480" s="17">
        <f t="shared" si="118"/>
        <v>-0.80796484374999988</v>
      </c>
      <c r="Q1480" s="17">
        <v>18.59</v>
      </c>
      <c r="R1480" s="9">
        <v>20220804</v>
      </c>
      <c r="S1480" s="9">
        <v>9.9600000000000009</v>
      </c>
      <c r="T1480" s="9">
        <v>0.91</v>
      </c>
      <c r="U1480" s="9">
        <v>3823.7748999999999</v>
      </c>
      <c r="V1480" s="45">
        <f t="shared" si="119"/>
        <v>-0.99976201527971742</v>
      </c>
      <c r="W1480" s="12">
        <v>200</v>
      </c>
      <c r="X1480" s="12">
        <v>4.34</v>
      </c>
      <c r="Y1480" s="62"/>
    </row>
    <row r="1481" spans="1:25" x14ac:dyDescent="0.2">
      <c r="A1481" s="3" t="s">
        <v>3745</v>
      </c>
      <c r="B1481" s="3" t="s">
        <v>2250</v>
      </c>
      <c r="C1481" s="6" t="s">
        <v>356</v>
      </c>
      <c r="D1481" s="6" t="s">
        <v>46</v>
      </c>
      <c r="E1481" s="6" t="s">
        <v>35</v>
      </c>
      <c r="F1481" s="6">
        <v>23887.5</v>
      </c>
      <c r="G1481" s="2">
        <v>12</v>
      </c>
      <c r="H1481" s="61"/>
      <c r="I1481" s="61">
        <v>1.96</v>
      </c>
      <c r="J1481" s="47">
        <f t="shared" si="115"/>
        <v>-1</v>
      </c>
      <c r="K1481" s="47" t="e">
        <f t="shared" si="116"/>
        <v>#DIV/0!</v>
      </c>
      <c r="L1481" s="8">
        <v>1.86</v>
      </c>
      <c r="N1481" s="8">
        <v>3.98</v>
      </c>
      <c r="O1481" s="17">
        <f t="shared" si="117"/>
        <v>0</v>
      </c>
      <c r="P1481" s="17" t="e">
        <f t="shared" si="118"/>
        <v>#DIV/0!</v>
      </c>
      <c r="Q1481" s="17">
        <v>4.1900000000000004</v>
      </c>
      <c r="R1481" s="9">
        <v>20220705</v>
      </c>
      <c r="V1481" s="45" t="e">
        <f t="shared" si="119"/>
        <v>#DIV/0!</v>
      </c>
      <c r="X1481" s="12">
        <v>2.23</v>
      </c>
      <c r="Y1481" s="62">
        <v>2.78</v>
      </c>
    </row>
    <row r="1482" spans="1:25" x14ac:dyDescent="0.2">
      <c r="A1482" s="3" t="s">
        <v>3746</v>
      </c>
      <c r="B1482" s="3" t="s">
        <v>1481</v>
      </c>
      <c r="C1482" s="6" t="s">
        <v>355</v>
      </c>
      <c r="D1482" s="6" t="s">
        <v>193</v>
      </c>
      <c r="E1482" s="6" t="s">
        <v>208</v>
      </c>
      <c r="F1482" s="6">
        <v>15882.94</v>
      </c>
      <c r="G1482" s="2">
        <v>12</v>
      </c>
      <c r="H1482" s="61">
        <v>0.13</v>
      </c>
      <c r="I1482" s="61">
        <v>1.31</v>
      </c>
      <c r="J1482" s="47">
        <f t="shared" si="115"/>
        <v>-0.98916666666666664</v>
      </c>
      <c r="K1482" s="47">
        <f t="shared" si="116"/>
        <v>9.0769230769230784</v>
      </c>
      <c r="L1482" s="8">
        <v>1.79</v>
      </c>
      <c r="M1482" s="8">
        <v>204.52</v>
      </c>
      <c r="N1482" s="8">
        <v>175.1</v>
      </c>
      <c r="O1482" s="17">
        <f t="shared" si="117"/>
        <v>-2.0675989890480206</v>
      </c>
      <c r="P1482" s="17">
        <f t="shared" si="118"/>
        <v>0.19290677966101691</v>
      </c>
      <c r="Q1482" s="17">
        <v>128.03</v>
      </c>
      <c r="R1482" s="9">
        <v>20220804</v>
      </c>
      <c r="S1482" s="9">
        <v>15.81</v>
      </c>
      <c r="T1482" s="9">
        <v>24.83</v>
      </c>
      <c r="U1482" s="9">
        <v>1229.1989699999999</v>
      </c>
      <c r="V1482" s="45">
        <f t="shared" si="119"/>
        <v>-0.97979985290745897</v>
      </c>
      <c r="W1482" s="12">
        <v>73.91</v>
      </c>
      <c r="X1482" s="12">
        <v>0</v>
      </c>
      <c r="Y1482" s="62"/>
    </row>
    <row r="1483" spans="1:25" x14ac:dyDescent="0.2">
      <c r="A1483" s="3" t="s">
        <v>3747</v>
      </c>
      <c r="B1483" s="3" t="s">
        <v>1482</v>
      </c>
      <c r="C1483" s="6" t="s">
        <v>355</v>
      </c>
      <c r="D1483" s="6" t="s">
        <v>180</v>
      </c>
      <c r="E1483" s="6" t="s">
        <v>146</v>
      </c>
      <c r="F1483" s="6">
        <v>16063.94</v>
      </c>
      <c r="G1483" s="2">
        <v>12</v>
      </c>
      <c r="H1483" s="61">
        <v>15.17</v>
      </c>
      <c r="I1483" s="61">
        <v>18.54</v>
      </c>
      <c r="J1483" s="47">
        <f t="shared" si="115"/>
        <v>0.26416666666666666</v>
      </c>
      <c r="K1483" s="47">
        <f t="shared" si="116"/>
        <v>0.22214897824653917</v>
      </c>
      <c r="L1483" s="8">
        <v>19.84</v>
      </c>
      <c r="M1483" s="8">
        <v>22.79</v>
      </c>
      <c r="N1483" s="8">
        <v>21.62</v>
      </c>
      <c r="O1483" s="17">
        <f t="shared" si="117"/>
        <v>0.86271293375394331</v>
      </c>
      <c r="P1483" s="17">
        <f t="shared" si="118"/>
        <v>0.9732207715133534</v>
      </c>
      <c r="Q1483" s="17">
        <v>20.2</v>
      </c>
      <c r="R1483" s="9">
        <v>20220728</v>
      </c>
      <c r="S1483" s="9">
        <v>69.760000000000005</v>
      </c>
      <c r="T1483" s="9">
        <v>16.5</v>
      </c>
      <c r="U1483" s="9">
        <v>6327.9482399999997</v>
      </c>
      <c r="V1483" s="45">
        <f t="shared" si="119"/>
        <v>-0.99739251975929566</v>
      </c>
      <c r="W1483" s="12">
        <v>44.12</v>
      </c>
      <c r="X1483" s="12">
        <v>1</v>
      </c>
      <c r="Y1483" s="62">
        <v>2.16</v>
      </c>
    </row>
    <row r="1484" spans="1:25" x14ac:dyDescent="0.2">
      <c r="A1484" s="3" t="s">
        <v>3748</v>
      </c>
      <c r="B1484" s="3" t="s">
        <v>1483</v>
      </c>
      <c r="C1484" s="6" t="s">
        <v>354</v>
      </c>
      <c r="D1484" s="6" t="s">
        <v>246</v>
      </c>
      <c r="E1484" s="6" t="s">
        <v>250</v>
      </c>
      <c r="F1484" s="6">
        <v>4306.87</v>
      </c>
      <c r="G1484" s="2">
        <v>12</v>
      </c>
      <c r="H1484" s="61">
        <v>2.72</v>
      </c>
      <c r="I1484" s="61">
        <v>2.57</v>
      </c>
      <c r="J1484" s="47">
        <f t="shared" si="115"/>
        <v>-0.77333333333333332</v>
      </c>
      <c r="K1484" s="47">
        <f t="shared" si="116"/>
        <v>-5.5147058823529535E-2</v>
      </c>
      <c r="L1484" s="8">
        <v>2.87</v>
      </c>
      <c r="M1484" s="8">
        <v>20.81</v>
      </c>
      <c r="N1484" s="8">
        <v>18.82</v>
      </c>
      <c r="O1484" s="17">
        <f t="shared" si="117"/>
        <v>-0.2690948275862069</v>
      </c>
      <c r="P1484" s="17">
        <f t="shared" si="118"/>
        <v>-3.4126933333333258</v>
      </c>
      <c r="Q1484" s="17">
        <v>16.82</v>
      </c>
      <c r="R1484" s="9">
        <v>20220729</v>
      </c>
      <c r="S1484" s="9">
        <v>7.74</v>
      </c>
      <c r="T1484" s="9">
        <v>4.04</v>
      </c>
      <c r="U1484" s="9">
        <v>2548.8998999999999</v>
      </c>
      <c r="V1484" s="45">
        <f t="shared" si="119"/>
        <v>-0.99841500248793613</v>
      </c>
      <c r="W1484" s="12">
        <v>-21.18</v>
      </c>
      <c r="X1484" s="12">
        <v>3.56</v>
      </c>
      <c r="Y1484" s="62">
        <v>4.29</v>
      </c>
    </row>
    <row r="1485" spans="1:25" x14ac:dyDescent="0.2">
      <c r="A1485" s="3" t="s">
        <v>3749</v>
      </c>
      <c r="B1485" s="3" t="s">
        <v>1484</v>
      </c>
      <c r="C1485" s="6" t="s">
        <v>354</v>
      </c>
      <c r="D1485" s="6" t="s">
        <v>155</v>
      </c>
      <c r="E1485" s="6" t="s">
        <v>154</v>
      </c>
      <c r="F1485" s="6">
        <v>4952.51</v>
      </c>
      <c r="G1485" s="2">
        <v>9</v>
      </c>
      <c r="H1485" s="61">
        <v>2.73</v>
      </c>
      <c r="I1485" s="61">
        <v>1.85</v>
      </c>
      <c r="J1485" s="47">
        <f t="shared" si="115"/>
        <v>-0.69666666666666666</v>
      </c>
      <c r="K1485" s="47">
        <f t="shared" si="116"/>
        <v>-0.32234432234432231</v>
      </c>
      <c r="L1485" s="8">
        <v>2.54</v>
      </c>
      <c r="M1485" s="8">
        <v>42.91</v>
      </c>
      <c r="N1485" s="8">
        <v>44.07</v>
      </c>
      <c r="O1485" s="17">
        <f t="shared" si="117"/>
        <v>-0.61593301435406689</v>
      </c>
      <c r="P1485" s="17">
        <f t="shared" si="118"/>
        <v>-1.3671715909090909</v>
      </c>
      <c r="Q1485" s="17">
        <v>32.06</v>
      </c>
      <c r="R1485" s="9">
        <v>20220804</v>
      </c>
      <c r="S1485" s="9">
        <v>4.1900000000000004</v>
      </c>
      <c r="T1485" s="9">
        <v>2.42</v>
      </c>
      <c r="U1485" s="9">
        <v>5518.1000899999999</v>
      </c>
      <c r="V1485" s="45">
        <f t="shared" si="119"/>
        <v>-0.99956144325754703</v>
      </c>
      <c r="W1485" s="12">
        <v>14.29</v>
      </c>
      <c r="X1485" s="12">
        <v>0</v>
      </c>
      <c r="Y1485" s="62"/>
    </row>
    <row r="1486" spans="1:25" x14ac:dyDescent="0.2">
      <c r="A1486" s="3" t="s">
        <v>3750</v>
      </c>
      <c r="B1486" s="3" t="s">
        <v>1485</v>
      </c>
      <c r="C1486" s="6" t="s">
        <v>355</v>
      </c>
      <c r="D1486" s="6" t="s">
        <v>1486</v>
      </c>
      <c r="E1486" s="6" t="s">
        <v>119</v>
      </c>
      <c r="F1486" s="6">
        <v>4759.6499999999996</v>
      </c>
      <c r="G1486" s="2">
        <v>12</v>
      </c>
      <c r="H1486" s="61">
        <v>3.17</v>
      </c>
      <c r="I1486" s="61">
        <v>3.81</v>
      </c>
      <c r="J1486" s="47">
        <f t="shared" si="115"/>
        <v>-0.73583333333333334</v>
      </c>
      <c r="K1486" s="47">
        <f t="shared" si="116"/>
        <v>0.20189274447949532</v>
      </c>
      <c r="L1486" s="8">
        <v>3.93</v>
      </c>
      <c r="M1486" s="8">
        <v>23.8</v>
      </c>
      <c r="N1486" s="8">
        <v>21.45</v>
      </c>
      <c r="O1486" s="17">
        <f t="shared" si="117"/>
        <v>-0.32344280860702157</v>
      </c>
      <c r="P1486" s="17">
        <f t="shared" si="118"/>
        <v>1.0624453124999997</v>
      </c>
      <c r="Q1486" s="17">
        <v>20.77</v>
      </c>
      <c r="R1486" s="9">
        <v>20220804</v>
      </c>
      <c r="S1486" s="9">
        <v>19.88</v>
      </c>
      <c r="T1486" s="9">
        <v>11.35</v>
      </c>
      <c r="U1486" s="9">
        <v>764.06700999999998</v>
      </c>
      <c r="V1486" s="45">
        <f t="shared" si="119"/>
        <v>-0.98514528195635609</v>
      </c>
      <c r="W1486" s="12">
        <v>5.68</v>
      </c>
      <c r="X1486" s="12">
        <v>0.88</v>
      </c>
      <c r="Y1486" s="62"/>
    </row>
    <row r="1487" spans="1:25" x14ac:dyDescent="0.2">
      <c r="A1487" s="3" t="s">
        <v>3751</v>
      </c>
      <c r="B1487" s="3" t="s">
        <v>1487</v>
      </c>
      <c r="C1487" s="6" t="s">
        <v>355</v>
      </c>
      <c r="D1487" s="6" t="s">
        <v>637</v>
      </c>
      <c r="E1487" s="6" t="s">
        <v>163</v>
      </c>
      <c r="F1487" s="6">
        <v>3072.9</v>
      </c>
      <c r="G1487" s="2">
        <v>12</v>
      </c>
      <c r="H1487" s="61">
        <v>3.51</v>
      </c>
      <c r="I1487" s="61">
        <v>2.93</v>
      </c>
      <c r="J1487" s="47">
        <f t="shared" si="115"/>
        <v>-0.70750000000000002</v>
      </c>
      <c r="K1487" s="47">
        <f t="shared" si="116"/>
        <v>-0.16524216524216515</v>
      </c>
      <c r="L1487" s="8">
        <v>3.22</v>
      </c>
      <c r="M1487" s="8">
        <v>9.1199999999999992</v>
      </c>
      <c r="N1487" s="8">
        <v>11.05</v>
      </c>
      <c r="O1487" s="17">
        <f t="shared" si="117"/>
        <v>-0.12890459363957596</v>
      </c>
      <c r="P1487" s="17">
        <f t="shared" si="118"/>
        <v>-0.66871551724137979</v>
      </c>
      <c r="Q1487" s="17">
        <v>10.039999999999999</v>
      </c>
      <c r="R1487" s="9">
        <v>20220726</v>
      </c>
      <c r="S1487" s="9">
        <v>11.95</v>
      </c>
      <c r="T1487" s="9">
        <v>28.7</v>
      </c>
      <c r="U1487" s="9">
        <v>774.5</v>
      </c>
      <c r="V1487" s="45">
        <f t="shared" si="119"/>
        <v>-0.96294383473208511</v>
      </c>
      <c r="W1487" s="12">
        <v>-6.67</v>
      </c>
      <c r="X1487" s="12">
        <v>4.08</v>
      </c>
      <c r="Y1487" s="62"/>
    </row>
    <row r="1488" spans="1:25" x14ac:dyDescent="0.2">
      <c r="A1488" s="3" t="s">
        <v>3752</v>
      </c>
      <c r="B1488" s="3" t="s">
        <v>1488</v>
      </c>
      <c r="C1488" s="6" t="s">
        <v>355</v>
      </c>
      <c r="D1488" s="6" t="s">
        <v>587</v>
      </c>
      <c r="E1488" s="6" t="s">
        <v>154</v>
      </c>
      <c r="F1488" s="6">
        <v>7892.43</v>
      </c>
      <c r="G1488" s="2">
        <v>12</v>
      </c>
      <c r="H1488" s="61">
        <v>2.17</v>
      </c>
      <c r="I1488" s="61">
        <v>3.26</v>
      </c>
      <c r="J1488" s="47">
        <f t="shared" si="115"/>
        <v>-0.81916666666666671</v>
      </c>
      <c r="K1488" s="47">
        <f t="shared" si="116"/>
        <v>0.50230414746543772</v>
      </c>
      <c r="L1488" s="8">
        <v>3.14</v>
      </c>
      <c r="M1488" s="8">
        <v>10.8</v>
      </c>
      <c r="N1488" s="8">
        <v>10.09</v>
      </c>
      <c r="O1488" s="17">
        <f t="shared" si="117"/>
        <v>-0.1318413021363174</v>
      </c>
      <c r="P1488" s="17">
        <f t="shared" si="118"/>
        <v>0.20087431192660551</v>
      </c>
      <c r="Q1488" s="17">
        <v>10.46</v>
      </c>
      <c r="R1488" s="9">
        <v>20220727</v>
      </c>
      <c r="S1488" s="9">
        <v>28</v>
      </c>
      <c r="T1488" s="9">
        <v>10.130000000000001</v>
      </c>
      <c r="V1488" s="45" t="e">
        <f t="shared" si="119"/>
        <v>#DIV/0!</v>
      </c>
      <c r="W1488" s="12">
        <v>81.540000000000006</v>
      </c>
      <c r="X1488" s="12">
        <v>0</v>
      </c>
      <c r="Y1488" s="62">
        <v>0.68</v>
      </c>
    </row>
    <row r="1489" spans="1:25" x14ac:dyDescent="0.2">
      <c r="A1489" s="3" t="s">
        <v>3753</v>
      </c>
      <c r="B1489" s="3" t="s">
        <v>1489</v>
      </c>
      <c r="C1489" s="6" t="s">
        <v>354</v>
      </c>
      <c r="D1489" s="6" t="s">
        <v>126</v>
      </c>
      <c r="E1489" s="6" t="s">
        <v>60</v>
      </c>
      <c r="F1489" s="6">
        <v>29831.35</v>
      </c>
      <c r="G1489" s="2">
        <v>12</v>
      </c>
      <c r="H1489" s="61">
        <v>6.7</v>
      </c>
      <c r="I1489" s="61">
        <v>7.15</v>
      </c>
      <c r="J1489" s="47">
        <f t="shared" si="115"/>
        <v>-0.44166666666666665</v>
      </c>
      <c r="K1489" s="47">
        <f t="shared" si="116"/>
        <v>6.7164179104477639E-2</v>
      </c>
      <c r="L1489" s="8">
        <v>8.69</v>
      </c>
      <c r="M1489" s="8">
        <v>20.18</v>
      </c>
      <c r="N1489" s="8">
        <v>17.66</v>
      </c>
      <c r="O1489" s="17">
        <f t="shared" si="117"/>
        <v>-0.45690566037735852</v>
      </c>
      <c r="P1489" s="17">
        <f t="shared" si="118"/>
        <v>2.6293777777777767</v>
      </c>
      <c r="Q1489" s="17">
        <v>14.53</v>
      </c>
      <c r="R1489" s="9">
        <v>20220718</v>
      </c>
      <c r="S1489" s="9">
        <v>23.41</v>
      </c>
      <c r="T1489" s="9">
        <v>1.33</v>
      </c>
      <c r="U1489" s="9">
        <v>18616.03515</v>
      </c>
      <c r="V1489" s="45">
        <f t="shared" si="119"/>
        <v>-0.99992855621568799</v>
      </c>
      <c r="W1489" s="12">
        <v>22.32</v>
      </c>
      <c r="X1489" s="12">
        <v>1.87</v>
      </c>
      <c r="Y1489" s="62">
        <v>1.47</v>
      </c>
    </row>
    <row r="1490" spans="1:25" x14ac:dyDescent="0.2">
      <c r="A1490" s="3" t="s">
        <v>1897</v>
      </c>
      <c r="B1490" s="3" t="s">
        <v>1897</v>
      </c>
      <c r="C1490" s="6" t="s">
        <v>354</v>
      </c>
      <c r="D1490" s="6" t="s">
        <v>246</v>
      </c>
      <c r="E1490" s="6" t="s">
        <v>250</v>
      </c>
      <c r="F1490" s="6">
        <v>22253.71</v>
      </c>
      <c r="G1490" s="2">
        <v>12</v>
      </c>
      <c r="H1490" s="61">
        <v>1.1299999999999999</v>
      </c>
      <c r="I1490" s="61">
        <v>1.43</v>
      </c>
      <c r="J1490" s="47">
        <f t="shared" si="115"/>
        <v>-0.90583333333333338</v>
      </c>
      <c r="K1490" s="47">
        <f t="shared" si="116"/>
        <v>0.26548672566371689</v>
      </c>
      <c r="L1490" s="8">
        <v>1.65</v>
      </c>
      <c r="M1490" s="8">
        <v>25.63</v>
      </c>
      <c r="N1490" s="8">
        <v>21.1</v>
      </c>
      <c r="O1490" s="17">
        <f t="shared" si="117"/>
        <v>-0.28294388224471018</v>
      </c>
      <c r="P1490" s="17">
        <f t="shared" si="118"/>
        <v>0.79476666666666651</v>
      </c>
      <c r="Q1490" s="17">
        <v>18.36</v>
      </c>
      <c r="R1490" s="9">
        <v>20220804</v>
      </c>
      <c r="S1490" s="9">
        <v>6.25</v>
      </c>
      <c r="T1490" s="9">
        <v>-4.83</v>
      </c>
      <c r="U1490" s="9">
        <v>6433.9448199999997</v>
      </c>
      <c r="V1490" s="45">
        <f t="shared" si="119"/>
        <v>-1.0007507058476761</v>
      </c>
      <c r="W1490" s="12">
        <v>2.5</v>
      </c>
      <c r="X1490" s="12">
        <v>2.65</v>
      </c>
      <c r="Y1490" s="62"/>
    </row>
    <row r="1491" spans="1:25" x14ac:dyDescent="0.2">
      <c r="A1491" s="3" t="s">
        <v>3754</v>
      </c>
      <c r="B1491" s="3" t="s">
        <v>1490</v>
      </c>
      <c r="C1491" s="6" t="s">
        <v>356</v>
      </c>
      <c r="D1491" s="6" t="s">
        <v>219</v>
      </c>
      <c r="E1491" s="6" t="s">
        <v>231</v>
      </c>
      <c r="F1491" s="6">
        <v>62533.5</v>
      </c>
      <c r="G1491" s="2">
        <v>12</v>
      </c>
      <c r="H1491" s="61">
        <v>2.94</v>
      </c>
      <c r="I1491" s="61">
        <v>3.36</v>
      </c>
      <c r="J1491" s="47">
        <f t="shared" si="115"/>
        <v>-0.755</v>
      </c>
      <c r="K1491" s="47">
        <f t="shared" si="116"/>
        <v>0.14285714285714285</v>
      </c>
      <c r="L1491" s="8">
        <v>3.68</v>
      </c>
      <c r="N1491" s="8">
        <v>14.93</v>
      </c>
      <c r="O1491" s="17">
        <f t="shared" si="117"/>
        <v>0</v>
      </c>
      <c r="P1491" s="17">
        <f t="shared" si="118"/>
        <v>1.0451000000000001</v>
      </c>
      <c r="Q1491" s="17">
        <v>13.64</v>
      </c>
      <c r="U1491" s="9">
        <v>22093.980459999999</v>
      </c>
      <c r="V1491" s="45">
        <f t="shared" si="119"/>
        <v>-1</v>
      </c>
      <c r="X1491" s="12">
        <v>2.81</v>
      </c>
      <c r="Y1491" s="62">
        <v>2.25</v>
      </c>
    </row>
    <row r="1492" spans="1:25" x14ac:dyDescent="0.2">
      <c r="A1492" s="3" t="s">
        <v>3755</v>
      </c>
      <c r="B1492" s="3" t="s">
        <v>3756</v>
      </c>
      <c r="C1492" s="6" t="s">
        <v>355</v>
      </c>
      <c r="D1492" s="6" t="s">
        <v>596</v>
      </c>
      <c r="E1492" s="6" t="s">
        <v>119</v>
      </c>
      <c r="F1492" s="6">
        <v>3339.43</v>
      </c>
      <c r="G1492" s="2">
        <v>12</v>
      </c>
      <c r="H1492" s="61">
        <v>3.4</v>
      </c>
      <c r="I1492" s="61">
        <v>4.3099999999999996</v>
      </c>
      <c r="J1492" s="47">
        <f t="shared" si="115"/>
        <v>-0.71666666666666667</v>
      </c>
      <c r="K1492" s="47">
        <f t="shared" si="116"/>
        <v>0.26764705882352935</v>
      </c>
      <c r="L1492" s="8">
        <v>5.0599999999999996</v>
      </c>
      <c r="M1492" s="8">
        <v>26.05</v>
      </c>
      <c r="N1492" s="8">
        <v>22.38</v>
      </c>
      <c r="O1492" s="17">
        <f t="shared" si="117"/>
        <v>-0.36348837209302326</v>
      </c>
      <c r="P1492" s="17">
        <f t="shared" si="118"/>
        <v>0.83617582417582437</v>
      </c>
      <c r="Q1492" s="17">
        <v>19.05</v>
      </c>
      <c r="R1492" s="9">
        <v>20220804</v>
      </c>
      <c r="S1492" s="9">
        <v>27.6</v>
      </c>
      <c r="T1492" s="9">
        <v>11.1</v>
      </c>
      <c r="U1492" s="9">
        <v>933.08801000000005</v>
      </c>
      <c r="V1492" s="45">
        <f t="shared" si="119"/>
        <v>-0.98810401604024467</v>
      </c>
      <c r="W1492" s="12">
        <v>3.16</v>
      </c>
      <c r="X1492" s="12">
        <v>0</v>
      </c>
      <c r="Y1492" s="62">
        <v>1.24</v>
      </c>
    </row>
    <row r="1493" spans="1:25" x14ac:dyDescent="0.2">
      <c r="A1493" s="3" t="s">
        <v>3757</v>
      </c>
      <c r="B1493" s="3" t="s">
        <v>1491</v>
      </c>
      <c r="C1493" s="6" t="s">
        <v>354</v>
      </c>
      <c r="D1493" s="6" t="s">
        <v>193</v>
      </c>
      <c r="E1493" s="6" t="s">
        <v>208</v>
      </c>
      <c r="F1493" s="6">
        <v>5403.22</v>
      </c>
      <c r="G1493" s="2">
        <v>12</v>
      </c>
      <c r="H1493" s="61">
        <v>2.0099999999999998</v>
      </c>
      <c r="I1493" s="61">
        <v>2.2999999999999998</v>
      </c>
      <c r="J1493" s="47">
        <f t="shared" si="115"/>
        <v>-0.83250000000000002</v>
      </c>
      <c r="K1493" s="47">
        <f t="shared" si="116"/>
        <v>0.14427860696517417</v>
      </c>
      <c r="L1493" s="8">
        <v>3.22</v>
      </c>
      <c r="M1493" s="8">
        <v>21.36</v>
      </c>
      <c r="N1493" s="8">
        <v>17.489999999999998</v>
      </c>
      <c r="O1493" s="17">
        <f t="shared" si="117"/>
        <v>-0.25657657657657656</v>
      </c>
      <c r="P1493" s="17">
        <f t="shared" si="118"/>
        <v>1.2122379310344824</v>
      </c>
      <c r="Q1493" s="17">
        <v>12.47</v>
      </c>
      <c r="R1493" s="9">
        <v>20220810</v>
      </c>
      <c r="S1493" s="9">
        <v>4.88</v>
      </c>
      <c r="T1493" s="9">
        <v>-2.69</v>
      </c>
      <c r="U1493" s="9">
        <v>4513.0370999999996</v>
      </c>
      <c r="V1493" s="45">
        <f t="shared" si="119"/>
        <v>-1.0005960509387348</v>
      </c>
      <c r="W1493" s="12">
        <v>-21.43</v>
      </c>
      <c r="X1493" s="12">
        <v>2.59</v>
      </c>
      <c r="Y1493" s="62"/>
    </row>
    <row r="1494" spans="1:25" x14ac:dyDescent="0.2">
      <c r="A1494" s="3" t="s">
        <v>3758</v>
      </c>
      <c r="B1494" s="3" t="s">
        <v>1492</v>
      </c>
      <c r="C1494" s="6" t="s">
        <v>354</v>
      </c>
      <c r="D1494" s="6" t="s">
        <v>170</v>
      </c>
      <c r="E1494" s="6" t="s">
        <v>163</v>
      </c>
      <c r="F1494" s="6">
        <v>4865.8500000000004</v>
      </c>
      <c r="G1494" s="2">
        <v>12</v>
      </c>
      <c r="H1494" s="61">
        <v>11.85</v>
      </c>
      <c r="I1494" s="61">
        <v>12.1</v>
      </c>
      <c r="J1494" s="47">
        <f t="shared" si="115"/>
        <v>-1.250000000000003E-2</v>
      </c>
      <c r="K1494" s="47">
        <f t="shared" si="116"/>
        <v>2.1097046413502109E-2</v>
      </c>
      <c r="L1494" s="8">
        <v>14.13</v>
      </c>
      <c r="M1494" s="8">
        <v>11.08</v>
      </c>
      <c r="N1494" s="8">
        <v>10.33</v>
      </c>
      <c r="O1494" s="17">
        <f t="shared" si="117"/>
        <v>-8.8639999999999777</v>
      </c>
      <c r="P1494" s="17">
        <f t="shared" si="118"/>
        <v>4.89642</v>
      </c>
      <c r="Q1494" s="17">
        <v>8.85</v>
      </c>
      <c r="R1494" s="9">
        <v>20220804</v>
      </c>
      <c r="S1494" s="9">
        <v>22.07</v>
      </c>
      <c r="T1494" s="9">
        <v>11.35</v>
      </c>
      <c r="U1494" s="9">
        <v>2853.6201099999998</v>
      </c>
      <c r="V1494" s="45">
        <f t="shared" si="119"/>
        <v>-0.99602259601401533</v>
      </c>
      <c r="W1494" s="12">
        <v>-24.37</v>
      </c>
      <c r="X1494" s="12">
        <v>1.76</v>
      </c>
      <c r="Y1494" s="62"/>
    </row>
    <row r="1495" spans="1:25" x14ac:dyDescent="0.2">
      <c r="A1495" s="3" t="s">
        <v>3759</v>
      </c>
      <c r="B1495" s="3" t="s">
        <v>3760</v>
      </c>
      <c r="C1495" s="6" t="s">
        <v>356</v>
      </c>
      <c r="D1495" s="6" t="s">
        <v>684</v>
      </c>
      <c r="E1495" s="6" t="s">
        <v>218</v>
      </c>
      <c r="F1495" s="6">
        <v>4031.78</v>
      </c>
      <c r="G1495" s="2">
        <v>12</v>
      </c>
      <c r="H1495" s="61"/>
      <c r="I1495" s="61"/>
      <c r="J1495" s="47">
        <f t="shared" si="115"/>
        <v>-1</v>
      </c>
      <c r="K1495" s="47" t="e">
        <f t="shared" si="116"/>
        <v>#DIV/0!</v>
      </c>
      <c r="M1495" s="8">
        <v>16.739999999999998</v>
      </c>
      <c r="O1495" s="17">
        <f t="shared" si="117"/>
        <v>-0.16739999999999999</v>
      </c>
      <c r="P1495" s="17" t="e">
        <f t="shared" si="118"/>
        <v>#DIV/0!</v>
      </c>
      <c r="Q1495" s="17"/>
      <c r="R1495" s="9">
        <v>20220803</v>
      </c>
      <c r="S1495" s="9">
        <v>12.99</v>
      </c>
      <c r="T1495" s="9">
        <v>24.74</v>
      </c>
      <c r="V1495" s="45" t="e">
        <f t="shared" si="119"/>
        <v>#DIV/0!</v>
      </c>
      <c r="X1495" s="12">
        <v>3.28</v>
      </c>
      <c r="Y1495" s="62"/>
    </row>
    <row r="1496" spans="1:25" x14ac:dyDescent="0.2">
      <c r="A1496" s="3" t="s">
        <v>3761</v>
      </c>
      <c r="B1496" s="3" t="s">
        <v>2251</v>
      </c>
      <c r="C1496" s="6" t="s">
        <v>356</v>
      </c>
      <c r="D1496" s="6" t="s">
        <v>174</v>
      </c>
      <c r="E1496" s="6" t="s">
        <v>231</v>
      </c>
      <c r="F1496" s="6">
        <v>78430.44</v>
      </c>
      <c r="G1496" s="2">
        <v>3</v>
      </c>
      <c r="H1496" s="61">
        <v>0.74</v>
      </c>
      <c r="I1496" s="61">
        <v>0.76</v>
      </c>
      <c r="J1496" s="47">
        <f t="shared" si="115"/>
        <v>-0.7533333333333333</v>
      </c>
      <c r="K1496" s="47">
        <f t="shared" si="116"/>
        <v>2.7027027027027053E-2</v>
      </c>
      <c r="L1496" s="8">
        <v>0.75</v>
      </c>
      <c r="N1496" s="8">
        <v>12.77</v>
      </c>
      <c r="O1496" s="17">
        <f t="shared" si="117"/>
        <v>0</v>
      </c>
      <c r="P1496" s="17">
        <f t="shared" si="118"/>
        <v>4.7248999999999954</v>
      </c>
      <c r="Q1496" s="17">
        <v>12.94</v>
      </c>
      <c r="R1496" s="9">
        <v>20220620</v>
      </c>
      <c r="U1496" s="9">
        <v>7045</v>
      </c>
      <c r="V1496" s="45">
        <f t="shared" si="119"/>
        <v>-1</v>
      </c>
      <c r="X1496" s="12">
        <v>0</v>
      </c>
      <c r="Y1496" s="62"/>
    </row>
    <row r="1497" spans="1:25" x14ac:dyDescent="0.2">
      <c r="A1497" s="3" t="s">
        <v>3762</v>
      </c>
      <c r="B1497" s="3" t="s">
        <v>1493</v>
      </c>
      <c r="C1497" s="6" t="s">
        <v>354</v>
      </c>
      <c r="D1497" s="6" t="s">
        <v>172</v>
      </c>
      <c r="E1497" s="6" t="s">
        <v>163</v>
      </c>
      <c r="F1497" s="6">
        <v>39210</v>
      </c>
      <c r="G1497" s="2">
        <v>12</v>
      </c>
      <c r="H1497" s="61">
        <v>14.01</v>
      </c>
      <c r="I1497" s="61">
        <v>11.7</v>
      </c>
      <c r="J1497" s="47">
        <f t="shared" si="115"/>
        <v>0.16749999999999998</v>
      </c>
      <c r="K1497" s="47">
        <f t="shared" si="116"/>
        <v>-0.1648822269807281</v>
      </c>
      <c r="L1497" s="8">
        <v>13</v>
      </c>
      <c r="M1497" s="8">
        <v>7.51</v>
      </c>
      <c r="N1497" s="8">
        <v>8.94</v>
      </c>
      <c r="O1497" s="17">
        <f t="shared" si="117"/>
        <v>0.44835820895522388</v>
      </c>
      <c r="P1497" s="17">
        <f t="shared" si="118"/>
        <v>-0.54220519480519458</v>
      </c>
      <c r="Q1497" s="17">
        <v>8.0399999999999991</v>
      </c>
      <c r="R1497" s="9">
        <v>20220802</v>
      </c>
      <c r="S1497" s="9">
        <v>9.35</v>
      </c>
      <c r="T1497" s="9">
        <v>0.63</v>
      </c>
      <c r="U1497" s="9">
        <v>52525.4375</v>
      </c>
      <c r="V1497" s="45">
        <f t="shared" si="119"/>
        <v>-0.99998800581146996</v>
      </c>
      <c r="W1497" s="12">
        <v>18.73</v>
      </c>
      <c r="X1497" s="12">
        <v>4.59</v>
      </c>
      <c r="Y1497" s="62">
        <v>1</v>
      </c>
    </row>
    <row r="1498" spans="1:25" x14ac:dyDescent="0.2">
      <c r="A1498" s="3" t="s">
        <v>1494</v>
      </c>
      <c r="B1498" s="3" t="s">
        <v>1495</v>
      </c>
      <c r="C1498" s="6" t="s">
        <v>354</v>
      </c>
      <c r="D1498" s="6" t="s">
        <v>215</v>
      </c>
      <c r="E1498" s="6" t="s">
        <v>163</v>
      </c>
      <c r="F1498" s="6">
        <v>57183.14</v>
      </c>
      <c r="G1498" s="2">
        <v>12</v>
      </c>
      <c r="H1498" s="61">
        <v>12.82</v>
      </c>
      <c r="I1498" s="61">
        <v>15.53</v>
      </c>
      <c r="J1498" s="47">
        <f t="shared" si="115"/>
        <v>6.8333333333333357E-2</v>
      </c>
      <c r="K1498" s="47">
        <f t="shared" si="116"/>
        <v>0.21138845553822144</v>
      </c>
      <c r="L1498" s="8">
        <v>16.75</v>
      </c>
      <c r="M1498" s="8">
        <v>23.68</v>
      </c>
      <c r="N1498" s="8">
        <v>20.98</v>
      </c>
      <c r="O1498" s="17">
        <f t="shared" si="117"/>
        <v>3.4653658536585352</v>
      </c>
      <c r="P1498" s="17">
        <f t="shared" si="118"/>
        <v>0.99248560885608905</v>
      </c>
      <c r="Q1498" s="17">
        <v>19.45</v>
      </c>
      <c r="R1498" s="9">
        <v>20220802</v>
      </c>
      <c r="S1498" s="9">
        <v>38.01</v>
      </c>
      <c r="T1498" s="9">
        <v>5.29</v>
      </c>
      <c r="U1498" s="9">
        <v>4073.8378899999998</v>
      </c>
      <c r="V1498" s="45">
        <f t="shared" si="119"/>
        <v>-0.99870147017558419</v>
      </c>
      <c r="W1498" s="12">
        <v>1.67</v>
      </c>
      <c r="X1498" s="12">
        <v>2.4500000000000002</v>
      </c>
      <c r="Y1498" s="62">
        <v>2.97</v>
      </c>
    </row>
    <row r="1499" spans="1:25" x14ac:dyDescent="0.2">
      <c r="A1499" s="3" t="s">
        <v>3763</v>
      </c>
      <c r="B1499" s="3" t="s">
        <v>1496</v>
      </c>
      <c r="C1499" s="6" t="s">
        <v>354</v>
      </c>
      <c r="D1499" s="6" t="s">
        <v>215</v>
      </c>
      <c r="E1499" s="6" t="s">
        <v>163</v>
      </c>
      <c r="F1499" s="6">
        <v>5170.4799999999996</v>
      </c>
      <c r="G1499" s="2">
        <v>12</v>
      </c>
      <c r="H1499" s="61">
        <v>6.88</v>
      </c>
      <c r="I1499" s="61">
        <v>7.44</v>
      </c>
      <c r="J1499" s="47">
        <f t="shared" si="115"/>
        <v>-0.42666666666666669</v>
      </c>
      <c r="K1499" s="47">
        <f t="shared" si="116"/>
        <v>8.1395348837209378E-2</v>
      </c>
      <c r="L1499" s="8">
        <v>8.0500000000000007</v>
      </c>
      <c r="M1499" s="8">
        <v>26.28</v>
      </c>
      <c r="N1499" s="8">
        <v>25.16</v>
      </c>
      <c r="O1499" s="17">
        <f t="shared" si="117"/>
        <v>-0.61593749999999992</v>
      </c>
      <c r="P1499" s="17">
        <f t="shared" si="118"/>
        <v>3.0910857142857115</v>
      </c>
      <c r="Q1499" s="17">
        <v>23.25</v>
      </c>
      <c r="R1499" s="9">
        <v>20220802</v>
      </c>
      <c r="S1499" s="9">
        <v>42.01</v>
      </c>
      <c r="T1499" s="9">
        <v>1.83</v>
      </c>
      <c r="U1499" s="9">
        <v>445.27999</v>
      </c>
      <c r="V1499" s="45">
        <f t="shared" si="119"/>
        <v>-0.99589022628211976</v>
      </c>
      <c r="W1499" s="12">
        <v>-1.0900000000000001</v>
      </c>
      <c r="X1499" s="12">
        <v>2.2400000000000002</v>
      </c>
      <c r="Y1499" s="62"/>
    </row>
    <row r="1500" spans="1:25" x14ac:dyDescent="0.2">
      <c r="A1500" s="3" t="s">
        <v>3764</v>
      </c>
      <c r="B1500" s="3" t="s">
        <v>1497</v>
      </c>
      <c r="C1500" s="6" t="s">
        <v>356</v>
      </c>
      <c r="D1500" s="6" t="s">
        <v>784</v>
      </c>
      <c r="E1500" s="6" t="s">
        <v>140</v>
      </c>
      <c r="F1500" s="6">
        <v>9005.91</v>
      </c>
      <c r="G1500" s="2">
        <v>12</v>
      </c>
      <c r="H1500" s="61">
        <v>6.88</v>
      </c>
      <c r="I1500" s="61">
        <v>6.46</v>
      </c>
      <c r="J1500" s="47">
        <f t="shared" si="115"/>
        <v>-0.42666666666666669</v>
      </c>
      <c r="K1500" s="47">
        <f t="shared" si="116"/>
        <v>-6.1046511627906967E-2</v>
      </c>
      <c r="L1500" s="8">
        <v>6.23</v>
      </c>
      <c r="N1500" s="8">
        <v>8.74</v>
      </c>
      <c r="O1500" s="17">
        <f t="shared" si="117"/>
        <v>0</v>
      </c>
      <c r="P1500" s="17">
        <f t="shared" si="118"/>
        <v>-1.4316952380952384</v>
      </c>
      <c r="Q1500" s="17">
        <v>9.0500000000000007</v>
      </c>
      <c r="U1500" s="9">
        <v>5040.9750899999999</v>
      </c>
      <c r="V1500" s="45">
        <f t="shared" si="119"/>
        <v>-1</v>
      </c>
      <c r="X1500" s="12">
        <v>11.45</v>
      </c>
      <c r="Y1500" s="62"/>
    </row>
    <row r="1501" spans="1:25" x14ac:dyDescent="0.2">
      <c r="A1501" s="3" t="s">
        <v>3765</v>
      </c>
      <c r="B1501" s="3" t="s">
        <v>1498</v>
      </c>
      <c r="C1501" s="6" t="s">
        <v>354</v>
      </c>
      <c r="D1501" s="6" t="s">
        <v>233</v>
      </c>
      <c r="E1501" s="6" t="s">
        <v>108</v>
      </c>
      <c r="F1501" s="6">
        <v>3953.16</v>
      </c>
      <c r="G1501" s="2">
        <v>12</v>
      </c>
      <c r="H1501" s="61">
        <v>1.64</v>
      </c>
      <c r="I1501" s="61">
        <v>1.81</v>
      </c>
      <c r="J1501" s="47">
        <f t="shared" si="115"/>
        <v>-0.86333333333333329</v>
      </c>
      <c r="K1501" s="47">
        <f t="shared" si="116"/>
        <v>0.10365853658536595</v>
      </c>
      <c r="L1501" s="8">
        <v>2.1</v>
      </c>
      <c r="M1501" s="8">
        <v>22.29</v>
      </c>
      <c r="N1501" s="8">
        <v>21.04</v>
      </c>
      <c r="O1501" s="17">
        <f t="shared" si="117"/>
        <v>-0.25818532818532819</v>
      </c>
      <c r="P1501" s="17">
        <f t="shared" si="118"/>
        <v>2.0297411764705866</v>
      </c>
      <c r="Q1501" s="17">
        <v>18.12</v>
      </c>
      <c r="R1501" s="9">
        <v>20220803</v>
      </c>
      <c r="S1501" s="9">
        <v>8.66</v>
      </c>
      <c r="T1501" s="9">
        <v>-0.27</v>
      </c>
      <c r="U1501" s="9">
        <v>3808.7949199999998</v>
      </c>
      <c r="V1501" s="45">
        <f t="shared" si="119"/>
        <v>-1.0000708885633569</v>
      </c>
      <c r="W1501" s="12">
        <v>8.11</v>
      </c>
      <c r="X1501" s="12">
        <v>0</v>
      </c>
      <c r="Y1501" s="62">
        <v>1.76</v>
      </c>
    </row>
    <row r="1502" spans="1:25" x14ac:dyDescent="0.2">
      <c r="A1502" s="3" t="s">
        <v>3766</v>
      </c>
      <c r="B1502" s="3" t="s">
        <v>2021</v>
      </c>
      <c r="C1502" s="6" t="s">
        <v>354</v>
      </c>
      <c r="D1502" s="6" t="s">
        <v>788</v>
      </c>
      <c r="E1502" s="6" t="s">
        <v>146</v>
      </c>
      <c r="F1502" s="6">
        <v>7215.94</v>
      </c>
      <c r="G1502" s="2">
        <v>12</v>
      </c>
      <c r="H1502" s="61">
        <v>0.47</v>
      </c>
      <c r="I1502" s="61">
        <v>0.52</v>
      </c>
      <c r="J1502" s="47">
        <f t="shared" si="115"/>
        <v>-0.96083333333333332</v>
      </c>
      <c r="K1502" s="47">
        <f t="shared" si="116"/>
        <v>0.10638297872340435</v>
      </c>
      <c r="L1502" s="8">
        <v>0.6</v>
      </c>
      <c r="N1502" s="8">
        <v>18.54</v>
      </c>
      <c r="O1502" s="17">
        <f t="shared" si="117"/>
        <v>0</v>
      </c>
      <c r="P1502" s="17">
        <f t="shared" si="118"/>
        <v>1.7427599999999983</v>
      </c>
      <c r="Q1502" s="17">
        <v>16.07</v>
      </c>
      <c r="U1502" s="9">
        <v>4881.9101499999997</v>
      </c>
      <c r="V1502" s="45">
        <f t="shared" si="119"/>
        <v>-1</v>
      </c>
      <c r="X1502" s="12">
        <v>3.62</v>
      </c>
      <c r="Y1502" s="62">
        <v>1.5</v>
      </c>
    </row>
    <row r="1503" spans="1:25" x14ac:dyDescent="0.2">
      <c r="A1503" s="3" t="s">
        <v>3767</v>
      </c>
      <c r="B1503" s="3" t="s">
        <v>1499</v>
      </c>
      <c r="C1503" s="6" t="s">
        <v>354</v>
      </c>
      <c r="D1503" s="6" t="s">
        <v>133</v>
      </c>
      <c r="E1503" s="6" t="s">
        <v>119</v>
      </c>
      <c r="F1503" s="6">
        <v>6886.37</v>
      </c>
      <c r="G1503" s="2">
        <v>1</v>
      </c>
      <c r="H1503" s="61">
        <v>0.63</v>
      </c>
      <c r="I1503" s="61">
        <v>0.87</v>
      </c>
      <c r="J1503" s="47">
        <f t="shared" si="115"/>
        <v>-0.37</v>
      </c>
      <c r="K1503" s="47">
        <f t="shared" si="116"/>
        <v>0.38095238095238093</v>
      </c>
      <c r="L1503" s="8">
        <v>1.06</v>
      </c>
      <c r="M1503" s="8">
        <v>32.04</v>
      </c>
      <c r="N1503" s="8">
        <v>26.4</v>
      </c>
      <c r="O1503" s="17">
        <f t="shared" si="117"/>
        <v>-0.86594594594594587</v>
      </c>
      <c r="P1503" s="17">
        <f t="shared" si="118"/>
        <v>0.69299999999999995</v>
      </c>
      <c r="Q1503" s="17">
        <v>21.76</v>
      </c>
      <c r="R1503" s="9">
        <v>20220601</v>
      </c>
      <c r="S1503" s="9">
        <v>-4.9000000000000004</v>
      </c>
      <c r="T1503" s="9">
        <v>20.87</v>
      </c>
      <c r="U1503" s="9">
        <v>2608.4560499999998</v>
      </c>
      <c r="V1503" s="45">
        <f t="shared" si="119"/>
        <v>-0.99199909847053014</v>
      </c>
      <c r="W1503" s="12">
        <v>33.33</v>
      </c>
      <c r="X1503" s="12">
        <v>0</v>
      </c>
      <c r="Y1503" s="62">
        <v>0.84</v>
      </c>
    </row>
    <row r="1504" spans="1:25" x14ac:dyDescent="0.2">
      <c r="A1504" s="3" t="s">
        <v>3768</v>
      </c>
      <c r="B1504" s="3" t="s">
        <v>2252</v>
      </c>
      <c r="C1504" s="6" t="s">
        <v>354</v>
      </c>
      <c r="D1504" s="6" t="s">
        <v>2253</v>
      </c>
      <c r="E1504" s="6" t="s">
        <v>2253</v>
      </c>
      <c r="F1504" s="6">
        <v>3972</v>
      </c>
      <c r="G1504" s="2">
        <v>12</v>
      </c>
      <c r="H1504" s="61"/>
      <c r="I1504" s="61"/>
      <c r="J1504" s="47">
        <f t="shared" si="115"/>
        <v>-1</v>
      </c>
      <c r="K1504" s="47" t="e">
        <f t="shared" si="116"/>
        <v>#DIV/0!</v>
      </c>
      <c r="O1504" s="17">
        <f t="shared" si="117"/>
        <v>0</v>
      </c>
      <c r="P1504" s="17" t="e">
        <f t="shared" si="118"/>
        <v>#DIV/0!</v>
      </c>
      <c r="Q1504" s="17"/>
      <c r="S1504" s="9">
        <v>-141.52000000000001</v>
      </c>
      <c r="V1504" s="45" t="e">
        <f t="shared" si="119"/>
        <v>#DIV/0!</v>
      </c>
      <c r="X1504" s="12">
        <v>0</v>
      </c>
      <c r="Y1504" s="62"/>
    </row>
    <row r="1505" spans="1:25" x14ac:dyDescent="0.2">
      <c r="A1505" s="3" t="s">
        <v>1500</v>
      </c>
      <c r="B1505" s="3" t="s">
        <v>1501</v>
      </c>
      <c r="C1505" s="6" t="s">
        <v>354</v>
      </c>
      <c r="D1505" s="6" t="s">
        <v>207</v>
      </c>
      <c r="E1505" s="6" t="s">
        <v>218</v>
      </c>
      <c r="F1505" s="6">
        <v>47474.95</v>
      </c>
      <c r="G1505" s="2">
        <v>12</v>
      </c>
      <c r="H1505" s="61">
        <v>4.6900000000000004</v>
      </c>
      <c r="I1505" s="61">
        <v>9.44</v>
      </c>
      <c r="J1505" s="47">
        <f t="shared" si="115"/>
        <v>-0.60916666666666663</v>
      </c>
      <c r="K1505" s="47">
        <f t="shared" si="116"/>
        <v>1.0127931769722811</v>
      </c>
      <c r="L1505" s="8">
        <v>8.6</v>
      </c>
      <c r="M1505" s="8">
        <v>12.06</v>
      </c>
      <c r="N1505" s="8">
        <v>10.45</v>
      </c>
      <c r="O1505" s="17">
        <f t="shared" si="117"/>
        <v>-0.19797537619699043</v>
      </c>
      <c r="P1505" s="17">
        <f t="shared" si="118"/>
        <v>0.10318000000000004</v>
      </c>
      <c r="Q1505" s="17">
        <v>11.47</v>
      </c>
      <c r="R1505" s="9">
        <v>20220802</v>
      </c>
      <c r="S1505" s="9">
        <v>17.07</v>
      </c>
      <c r="T1505" s="9">
        <v>-2.92</v>
      </c>
      <c r="U1505" s="9">
        <v>135793.25</v>
      </c>
      <c r="V1505" s="45">
        <f t="shared" si="119"/>
        <v>-1.0000215032779614</v>
      </c>
      <c r="W1505" s="12">
        <v>15.79</v>
      </c>
      <c r="X1505" s="12">
        <v>3.93</v>
      </c>
      <c r="Y1505" s="62">
        <v>0.95</v>
      </c>
    </row>
    <row r="1506" spans="1:25" x14ac:dyDescent="0.2">
      <c r="A1506" s="3" t="s">
        <v>1502</v>
      </c>
      <c r="B1506" s="3" t="s">
        <v>1502</v>
      </c>
      <c r="C1506" s="6" t="s">
        <v>355</v>
      </c>
      <c r="D1506" s="6" t="s">
        <v>132</v>
      </c>
      <c r="E1506" s="6" t="s">
        <v>119</v>
      </c>
      <c r="F1506" s="6">
        <v>13120.02</v>
      </c>
      <c r="G1506" s="2">
        <v>9</v>
      </c>
      <c r="H1506" s="61">
        <v>3.53</v>
      </c>
      <c r="I1506" s="61">
        <v>4.46</v>
      </c>
      <c r="J1506" s="47">
        <f t="shared" si="115"/>
        <v>-0.60777777777777786</v>
      </c>
      <c r="K1506" s="47">
        <f t="shared" si="116"/>
        <v>0.26345609065155812</v>
      </c>
      <c r="L1506" s="8">
        <v>5.17</v>
      </c>
      <c r="M1506" s="8">
        <v>26.27</v>
      </c>
      <c r="N1506" s="8">
        <v>25.14</v>
      </c>
      <c r="O1506" s="17">
        <f t="shared" si="117"/>
        <v>-0.43223034734917726</v>
      </c>
      <c r="P1506" s="17">
        <f t="shared" si="118"/>
        <v>0.95423870967741919</v>
      </c>
      <c r="Q1506" s="17">
        <v>21.7</v>
      </c>
      <c r="R1506" s="9">
        <v>20220727</v>
      </c>
      <c r="S1506" s="9">
        <v>19.079999999999998</v>
      </c>
      <c r="T1506" s="9">
        <v>10.97</v>
      </c>
      <c r="U1506" s="9">
        <v>1935.37194</v>
      </c>
      <c r="V1506" s="45">
        <f t="shared" si="119"/>
        <v>-0.99433183887124044</v>
      </c>
      <c r="W1506" s="12">
        <v>26.36</v>
      </c>
      <c r="X1506" s="12">
        <v>0</v>
      </c>
      <c r="Y1506" s="62">
        <v>2.13</v>
      </c>
    </row>
    <row r="1507" spans="1:25" x14ac:dyDescent="0.2">
      <c r="A1507" s="3" t="s">
        <v>3769</v>
      </c>
      <c r="B1507" s="3" t="s">
        <v>3770</v>
      </c>
      <c r="C1507" s="6" t="s">
        <v>355</v>
      </c>
      <c r="D1507" s="6" t="s">
        <v>199</v>
      </c>
      <c r="E1507" s="6" t="s">
        <v>218</v>
      </c>
      <c r="F1507" s="6">
        <v>4215.75</v>
      </c>
      <c r="G1507" s="2">
        <v>12</v>
      </c>
      <c r="H1507" s="61">
        <v>-1.91</v>
      </c>
      <c r="I1507" s="61">
        <v>-0.06</v>
      </c>
      <c r="J1507" s="47">
        <f t="shared" si="115"/>
        <v>-1.1591666666666667</v>
      </c>
      <c r="K1507" s="47">
        <f t="shared" si="116"/>
        <v>0.96858638743455494</v>
      </c>
      <c r="L1507" s="8">
        <v>0.94</v>
      </c>
      <c r="O1507" s="17">
        <f t="shared" si="117"/>
        <v>0</v>
      </c>
      <c r="P1507" s="17">
        <f t="shared" si="118"/>
        <v>0</v>
      </c>
      <c r="Q1507" s="17">
        <v>20.84</v>
      </c>
      <c r="R1507" s="9">
        <v>20220804</v>
      </c>
      <c r="S1507" s="9">
        <v>-17.739999999999998</v>
      </c>
      <c r="T1507" s="9">
        <v>-16.52</v>
      </c>
      <c r="U1507" s="9">
        <v>2314.3159099999998</v>
      </c>
      <c r="V1507" s="45">
        <f t="shared" si="119"/>
        <v>-1.0071381784693343</v>
      </c>
      <c r="W1507" s="12">
        <v>38.1</v>
      </c>
      <c r="X1507" s="12">
        <v>0.82</v>
      </c>
      <c r="Y1507" s="62"/>
    </row>
    <row r="1508" spans="1:25" x14ac:dyDescent="0.2">
      <c r="A1508" s="3" t="s">
        <v>3771</v>
      </c>
      <c r="B1508" s="3" t="s">
        <v>1503</v>
      </c>
      <c r="C1508" s="6" t="s">
        <v>355</v>
      </c>
      <c r="D1508" s="6" t="s">
        <v>180</v>
      </c>
      <c r="E1508" s="6" t="s">
        <v>146</v>
      </c>
      <c r="F1508" s="6">
        <v>4609.24</v>
      </c>
      <c r="G1508" s="2">
        <v>6</v>
      </c>
      <c r="H1508" s="61">
        <v>-7.0000000000000007E-2</v>
      </c>
      <c r="I1508" s="61">
        <v>-5.57</v>
      </c>
      <c r="J1508" s="47">
        <f t="shared" si="115"/>
        <v>-1.0116666666666667</v>
      </c>
      <c r="K1508" s="47">
        <f t="shared" si="116"/>
        <v>-78.571428571428569</v>
      </c>
      <c r="L1508" s="8">
        <v>-1.76</v>
      </c>
      <c r="O1508" s="17">
        <f t="shared" si="117"/>
        <v>0</v>
      </c>
      <c r="P1508" s="17">
        <f t="shared" si="118"/>
        <v>0</v>
      </c>
      <c r="Q1508" s="17"/>
      <c r="R1508" s="9">
        <v>20220825</v>
      </c>
      <c r="S1508" s="9">
        <v>-78.790000000000006</v>
      </c>
      <c r="T1508" s="9">
        <v>85.31</v>
      </c>
      <c r="U1508" s="9">
        <v>3587.4829100000002</v>
      </c>
      <c r="V1508" s="45">
        <f t="shared" si="119"/>
        <v>-0.97622009577740398</v>
      </c>
      <c r="W1508" s="12">
        <v>-15.29</v>
      </c>
      <c r="X1508" s="12">
        <v>0</v>
      </c>
      <c r="Y1508" s="62"/>
    </row>
    <row r="1509" spans="1:25" x14ac:dyDescent="0.2">
      <c r="A1509" s="3" t="s">
        <v>3772</v>
      </c>
      <c r="B1509" s="3" t="s">
        <v>2022</v>
      </c>
      <c r="C1509" s="6" t="s">
        <v>356</v>
      </c>
      <c r="D1509" s="6" t="s">
        <v>9</v>
      </c>
      <c r="E1509" s="6" t="s">
        <v>108</v>
      </c>
      <c r="F1509" s="6">
        <v>13971.63</v>
      </c>
      <c r="G1509" s="2">
        <v>12</v>
      </c>
      <c r="H1509" s="61">
        <v>1.38</v>
      </c>
      <c r="I1509" s="61">
        <v>1.51</v>
      </c>
      <c r="J1509" s="47">
        <f t="shared" si="115"/>
        <v>-0.88500000000000012</v>
      </c>
      <c r="K1509" s="47">
        <f t="shared" si="116"/>
        <v>9.4202898550724723E-2</v>
      </c>
      <c r="L1509" s="8">
        <v>1.52</v>
      </c>
      <c r="N1509" s="8">
        <v>9.19</v>
      </c>
      <c r="O1509" s="17">
        <f t="shared" si="117"/>
        <v>0</v>
      </c>
      <c r="P1509" s="17">
        <f t="shared" si="118"/>
        <v>0.97555384615384522</v>
      </c>
      <c r="Q1509" s="17">
        <v>9.1300000000000008</v>
      </c>
      <c r="V1509" s="45" t="e">
        <f t="shared" si="119"/>
        <v>#DIV/0!</v>
      </c>
      <c r="X1509" s="12">
        <v>3.34</v>
      </c>
      <c r="Y1509" s="62">
        <v>2.13</v>
      </c>
    </row>
    <row r="1510" spans="1:25" x14ac:dyDescent="0.2">
      <c r="A1510" s="3" t="s">
        <v>3773</v>
      </c>
      <c r="B1510" s="3" t="s">
        <v>1504</v>
      </c>
      <c r="C1510" s="6" t="s">
        <v>354</v>
      </c>
      <c r="D1510" s="6" t="s">
        <v>172</v>
      </c>
      <c r="E1510" s="6" t="s">
        <v>163</v>
      </c>
      <c r="F1510" s="6">
        <v>35273.61</v>
      </c>
      <c r="G1510" s="2">
        <v>12</v>
      </c>
      <c r="H1510" s="61">
        <v>2.0499999999999998</v>
      </c>
      <c r="I1510" s="61">
        <v>2.2599999999999998</v>
      </c>
      <c r="J1510" s="47">
        <f t="shared" si="115"/>
        <v>-0.82916666666666661</v>
      </c>
      <c r="K1510" s="47">
        <f t="shared" si="116"/>
        <v>0.1024390243902439</v>
      </c>
      <c r="L1510" s="8">
        <v>2.58</v>
      </c>
      <c r="N1510" s="8">
        <v>11.34</v>
      </c>
      <c r="O1510" s="17">
        <f t="shared" si="117"/>
        <v>0</v>
      </c>
      <c r="P1510" s="17">
        <f t="shared" si="118"/>
        <v>1.107</v>
      </c>
      <c r="Q1510" s="17">
        <v>9.93</v>
      </c>
      <c r="V1510" s="45" t="e">
        <f t="shared" si="119"/>
        <v>#DIV/0!</v>
      </c>
      <c r="X1510" s="12">
        <v>1.85</v>
      </c>
      <c r="Y1510" s="62">
        <v>1.26</v>
      </c>
    </row>
    <row r="1511" spans="1:25" x14ac:dyDescent="0.2">
      <c r="A1511" s="3" t="s">
        <v>1505</v>
      </c>
      <c r="B1511" s="3" t="s">
        <v>1505</v>
      </c>
      <c r="C1511" s="6" t="s">
        <v>354</v>
      </c>
      <c r="D1511" s="6" t="s">
        <v>694</v>
      </c>
      <c r="E1511" s="6" t="s">
        <v>146</v>
      </c>
      <c r="F1511" s="6">
        <v>4759.13</v>
      </c>
      <c r="G1511" s="2">
        <v>1</v>
      </c>
      <c r="H1511" s="61">
        <v>9.3000000000000007</v>
      </c>
      <c r="I1511" s="61">
        <v>8.9499999999999993</v>
      </c>
      <c r="J1511" s="47">
        <f t="shared" si="115"/>
        <v>8.3000000000000007</v>
      </c>
      <c r="K1511" s="47">
        <f t="shared" si="116"/>
        <v>-3.7634408602150685E-2</v>
      </c>
      <c r="L1511" s="8">
        <v>10.63</v>
      </c>
      <c r="M1511" s="8">
        <v>6.89</v>
      </c>
      <c r="N1511" s="8">
        <v>7.81</v>
      </c>
      <c r="O1511" s="17">
        <f t="shared" si="117"/>
        <v>8.3012048192771075E-3</v>
      </c>
      <c r="P1511" s="17">
        <f t="shared" si="118"/>
        <v>-2.0752285714285632</v>
      </c>
      <c r="Q1511" s="17">
        <v>6.58</v>
      </c>
      <c r="R1511" s="9">
        <v>20220601</v>
      </c>
      <c r="S1511" s="9">
        <v>14.34</v>
      </c>
      <c r="T1511" s="9">
        <v>-1.54</v>
      </c>
      <c r="U1511" s="9">
        <v>9400.8798800000004</v>
      </c>
      <c r="V1511" s="45">
        <f t="shared" si="119"/>
        <v>-1.0001638144535041</v>
      </c>
      <c r="W1511" s="12">
        <v>43.43</v>
      </c>
      <c r="X1511" s="12">
        <v>0.21</v>
      </c>
      <c r="Y1511" s="62">
        <v>1.28</v>
      </c>
    </row>
    <row r="1512" spans="1:25" x14ac:dyDescent="0.2">
      <c r="A1512" s="3" t="s">
        <v>3774</v>
      </c>
      <c r="B1512" s="3" t="s">
        <v>1506</v>
      </c>
      <c r="C1512" s="6" t="s">
        <v>354</v>
      </c>
      <c r="D1512" s="6" t="s">
        <v>145</v>
      </c>
      <c r="E1512" s="6" t="s">
        <v>140</v>
      </c>
      <c r="F1512" s="6">
        <v>17335.62</v>
      </c>
      <c r="G1512" s="2">
        <v>12</v>
      </c>
      <c r="H1512" s="61">
        <v>4.8099999999999996</v>
      </c>
      <c r="I1512" s="61">
        <v>6.31</v>
      </c>
      <c r="J1512" s="47">
        <f t="shared" si="115"/>
        <v>-0.59916666666666674</v>
      </c>
      <c r="K1512" s="47">
        <f t="shared" si="116"/>
        <v>0.31185031185031187</v>
      </c>
      <c r="L1512" s="8">
        <v>6.99</v>
      </c>
      <c r="M1512" s="8">
        <v>22.13</v>
      </c>
      <c r="N1512" s="8">
        <v>19.11</v>
      </c>
      <c r="O1512" s="17">
        <f t="shared" si="117"/>
        <v>-0.36934631432545195</v>
      </c>
      <c r="P1512" s="17">
        <f t="shared" si="118"/>
        <v>0.61279399999999995</v>
      </c>
      <c r="Q1512" s="17">
        <v>17.25</v>
      </c>
      <c r="R1512" s="9">
        <v>20220804</v>
      </c>
      <c r="S1512" s="9">
        <v>14.98</v>
      </c>
      <c r="T1512" s="9">
        <v>7.34</v>
      </c>
      <c r="U1512" s="9">
        <v>16401.402340000001</v>
      </c>
      <c r="V1512" s="45">
        <f t="shared" si="119"/>
        <v>-0.99955247729140217</v>
      </c>
      <c r="W1512" s="12">
        <v>12.3</v>
      </c>
      <c r="X1512" s="12">
        <v>0.23</v>
      </c>
      <c r="Y1512" s="62"/>
    </row>
    <row r="1513" spans="1:25" x14ac:dyDescent="0.2">
      <c r="A1513" s="3" t="s">
        <v>3775</v>
      </c>
      <c r="B1513" s="3" t="s">
        <v>1507</v>
      </c>
      <c r="C1513" s="6" t="s">
        <v>354</v>
      </c>
      <c r="D1513" s="6" t="s">
        <v>200</v>
      </c>
      <c r="E1513" s="6" t="s">
        <v>218</v>
      </c>
      <c r="F1513" s="6">
        <v>67746.09</v>
      </c>
      <c r="G1513" s="2">
        <v>12</v>
      </c>
      <c r="H1513" s="61">
        <v>12.69</v>
      </c>
      <c r="I1513" s="61">
        <v>33.51</v>
      </c>
      <c r="J1513" s="47">
        <f t="shared" si="115"/>
        <v>5.7499999999999961E-2</v>
      </c>
      <c r="K1513" s="47">
        <f t="shared" si="116"/>
        <v>1.6406619385342791</v>
      </c>
      <c r="L1513" s="8">
        <v>29.87</v>
      </c>
      <c r="M1513" s="8">
        <v>14.74</v>
      </c>
      <c r="N1513" s="8">
        <v>8.36</v>
      </c>
      <c r="O1513" s="17">
        <f t="shared" si="117"/>
        <v>2.5634782608695668</v>
      </c>
      <c r="P1513" s="17">
        <f t="shared" si="118"/>
        <v>5.0955043227665697E-2</v>
      </c>
      <c r="Q1513" s="17">
        <v>9.3699999999999992</v>
      </c>
      <c r="R1513" s="9">
        <v>20220801</v>
      </c>
      <c r="S1513" s="9">
        <v>21.01</v>
      </c>
      <c r="T1513" s="9">
        <v>15.94</v>
      </c>
      <c r="U1513" s="9">
        <v>25593.632809999999</v>
      </c>
      <c r="V1513" s="45">
        <f t="shared" si="119"/>
        <v>-0.99937718884543147</v>
      </c>
      <c r="W1513" s="12">
        <v>5.74</v>
      </c>
      <c r="X1513" s="12">
        <v>0.89</v>
      </c>
      <c r="Y1513" s="62">
        <v>0.98</v>
      </c>
    </row>
    <row r="1514" spans="1:25" x14ac:dyDescent="0.2">
      <c r="A1514" s="3" t="s">
        <v>3776</v>
      </c>
      <c r="B1514" s="3" t="s">
        <v>3777</v>
      </c>
      <c r="C1514" s="6" t="s">
        <v>355</v>
      </c>
      <c r="D1514" s="6" t="s">
        <v>177</v>
      </c>
      <c r="E1514" s="6" t="s">
        <v>119</v>
      </c>
      <c r="F1514" s="6">
        <v>4280.04</v>
      </c>
      <c r="G1514" s="2">
        <v>6</v>
      </c>
      <c r="H1514" s="61">
        <v>0.36</v>
      </c>
      <c r="I1514" s="61">
        <v>0.19</v>
      </c>
      <c r="J1514" s="47">
        <f t="shared" si="115"/>
        <v>-0.94</v>
      </c>
      <c r="K1514" s="47">
        <f t="shared" si="116"/>
        <v>-0.47222222222222221</v>
      </c>
      <c r="L1514" s="8">
        <v>0.26</v>
      </c>
      <c r="M1514" s="8">
        <v>135.94</v>
      </c>
      <c r="N1514" s="8">
        <v>129.76</v>
      </c>
      <c r="O1514" s="17">
        <f t="shared" si="117"/>
        <v>-1.4461702127659575</v>
      </c>
      <c r="P1514" s="17">
        <f t="shared" si="118"/>
        <v>-2.7478588235294117</v>
      </c>
      <c r="Q1514" s="17">
        <v>93.09</v>
      </c>
      <c r="R1514" s="9">
        <v>20220830</v>
      </c>
      <c r="S1514" s="9">
        <v>-1.89</v>
      </c>
      <c r="U1514" s="9">
        <v>421.72600999999997</v>
      </c>
      <c r="V1514" s="45">
        <f t="shared" si="119"/>
        <v>-1</v>
      </c>
      <c r="W1514" s="12">
        <v>22.22</v>
      </c>
      <c r="X1514" s="12">
        <v>0</v>
      </c>
      <c r="Y1514" s="62"/>
    </row>
    <row r="1515" spans="1:25" x14ac:dyDescent="0.2">
      <c r="A1515" s="3" t="s">
        <v>3778</v>
      </c>
      <c r="B1515" s="3" t="s">
        <v>1508</v>
      </c>
      <c r="C1515" s="6" t="s">
        <v>355</v>
      </c>
      <c r="D1515" s="6" t="s">
        <v>177</v>
      </c>
      <c r="E1515" s="6" t="s">
        <v>119</v>
      </c>
      <c r="F1515" s="6">
        <v>93129.57</v>
      </c>
      <c r="G1515" s="2">
        <v>12</v>
      </c>
      <c r="H1515" s="61">
        <v>4.6100000000000003</v>
      </c>
      <c r="I1515" s="61">
        <v>4</v>
      </c>
      <c r="J1515" s="47">
        <f t="shared" si="115"/>
        <v>-0.61583333333333334</v>
      </c>
      <c r="K1515" s="47">
        <f t="shared" si="116"/>
        <v>-0.13232104121475061</v>
      </c>
      <c r="L1515" s="8">
        <v>4.84</v>
      </c>
      <c r="M1515" s="8">
        <v>18.920000000000002</v>
      </c>
      <c r="N1515" s="8">
        <v>20.079999999999998</v>
      </c>
      <c r="O1515" s="17">
        <f t="shared" si="117"/>
        <v>-0.30722598105548038</v>
      </c>
      <c r="P1515" s="17">
        <f t="shared" si="118"/>
        <v>-1.5175213114754089</v>
      </c>
      <c r="Q1515" s="17">
        <v>16.62</v>
      </c>
      <c r="R1515" s="9">
        <v>20220727</v>
      </c>
      <c r="S1515" s="9">
        <v>17.899999999999999</v>
      </c>
      <c r="T1515" s="9">
        <v>18.07</v>
      </c>
      <c r="U1515" s="9">
        <v>28283.216789999999</v>
      </c>
      <c r="V1515" s="45">
        <f t="shared" si="119"/>
        <v>-0.99936110520475208</v>
      </c>
      <c r="W1515" s="12">
        <v>0</v>
      </c>
      <c r="X1515" s="12">
        <v>0</v>
      </c>
      <c r="Y1515" s="62">
        <v>1.1599999999999999</v>
      </c>
    </row>
    <row r="1516" spans="1:25" x14ac:dyDescent="0.2">
      <c r="A1516" s="3" t="s">
        <v>3779</v>
      </c>
      <c r="B1516" s="3" t="s">
        <v>2023</v>
      </c>
      <c r="C1516" s="6" t="s">
        <v>355</v>
      </c>
      <c r="D1516" s="6" t="s">
        <v>223</v>
      </c>
      <c r="E1516" s="6" t="s">
        <v>231</v>
      </c>
      <c r="F1516" s="6">
        <v>3041.85</v>
      </c>
      <c r="G1516" s="2">
        <v>12</v>
      </c>
      <c r="H1516" s="61">
        <v>3.38</v>
      </c>
      <c r="I1516" s="61">
        <v>3.42</v>
      </c>
      <c r="J1516" s="47">
        <f t="shared" si="115"/>
        <v>-0.71833333333333338</v>
      </c>
      <c r="K1516" s="47">
        <f t="shared" si="116"/>
        <v>1.1834319526627229E-2</v>
      </c>
      <c r="L1516" s="8">
        <v>4</v>
      </c>
      <c r="M1516" s="8">
        <v>24.56</v>
      </c>
      <c r="N1516" s="8">
        <v>24.86</v>
      </c>
      <c r="O1516" s="17">
        <f t="shared" si="117"/>
        <v>-0.34190255220417626</v>
      </c>
      <c r="P1516" s="17">
        <f t="shared" si="118"/>
        <v>21.006699999999984</v>
      </c>
      <c r="Q1516" s="17">
        <v>21.26</v>
      </c>
      <c r="R1516" s="9">
        <v>20220804</v>
      </c>
      <c r="S1516" s="9">
        <v>-75.3</v>
      </c>
      <c r="T1516" s="9">
        <v>3.93</v>
      </c>
      <c r="U1516" s="9">
        <v>2149.9179600000002</v>
      </c>
      <c r="V1516" s="45">
        <f t="shared" si="119"/>
        <v>-0.9981720232710648</v>
      </c>
      <c r="W1516" s="12">
        <v>0</v>
      </c>
      <c r="X1516" s="12">
        <v>1.65</v>
      </c>
      <c r="Y1516" s="62">
        <v>1.66</v>
      </c>
    </row>
    <row r="1517" spans="1:25" x14ac:dyDescent="0.2">
      <c r="A1517" s="3" t="s">
        <v>3780</v>
      </c>
      <c r="B1517" s="3" t="s">
        <v>1509</v>
      </c>
      <c r="C1517" s="6" t="s">
        <v>355</v>
      </c>
      <c r="D1517" s="6" t="s">
        <v>869</v>
      </c>
      <c r="E1517" s="6" t="s">
        <v>119</v>
      </c>
      <c r="F1517" s="6">
        <v>151020.79999999999</v>
      </c>
      <c r="G1517" s="2">
        <v>9</v>
      </c>
      <c r="H1517" s="61">
        <v>8.25</v>
      </c>
      <c r="I1517" s="61">
        <v>12.54</v>
      </c>
      <c r="J1517" s="47">
        <f t="shared" si="115"/>
        <v>-8.3333333333333329E-2</v>
      </c>
      <c r="K1517" s="47">
        <f t="shared" si="116"/>
        <v>0.51999999999999991</v>
      </c>
      <c r="L1517" s="8">
        <v>13.25</v>
      </c>
      <c r="M1517" s="8">
        <v>12.36</v>
      </c>
      <c r="N1517" s="8">
        <v>10.76</v>
      </c>
      <c r="O1517" s="17">
        <f t="shared" si="117"/>
        <v>-1.4832000000000001</v>
      </c>
      <c r="P1517" s="17">
        <f t="shared" si="118"/>
        <v>0.20692307692307696</v>
      </c>
      <c r="Q1517" s="17">
        <v>10.18</v>
      </c>
      <c r="R1517" s="9">
        <v>20220727</v>
      </c>
      <c r="S1517" s="9">
        <v>103.73</v>
      </c>
      <c r="T1517" s="9">
        <v>10.78</v>
      </c>
      <c r="U1517" s="9">
        <v>44746.152340000001</v>
      </c>
      <c r="V1517" s="45">
        <f t="shared" si="119"/>
        <v>-0.99975908543112069</v>
      </c>
      <c r="W1517" s="12">
        <v>10.31</v>
      </c>
      <c r="X1517" s="12">
        <v>2.02</v>
      </c>
      <c r="Y1517" s="62">
        <v>0.66</v>
      </c>
    </row>
    <row r="1518" spans="1:25" x14ac:dyDescent="0.2">
      <c r="A1518" s="3" t="s">
        <v>3781</v>
      </c>
      <c r="B1518" s="3" t="s">
        <v>1510</v>
      </c>
      <c r="C1518" s="6" t="s">
        <v>355</v>
      </c>
      <c r="D1518" s="6" t="s">
        <v>193</v>
      </c>
      <c r="E1518" s="6" t="s">
        <v>208</v>
      </c>
      <c r="F1518" s="6">
        <v>4168.09</v>
      </c>
      <c r="G1518" s="2">
        <v>12</v>
      </c>
      <c r="H1518" s="61">
        <v>15.4</v>
      </c>
      <c r="I1518" s="61">
        <v>16.78</v>
      </c>
      <c r="J1518" s="47">
        <f t="shared" si="115"/>
        <v>0.28333333333333338</v>
      </c>
      <c r="K1518" s="47">
        <f t="shared" si="116"/>
        <v>8.9610389610389654E-2</v>
      </c>
      <c r="L1518" s="8">
        <v>4.92</v>
      </c>
      <c r="M1518" s="8">
        <v>3.97</v>
      </c>
      <c r="N1518" s="8">
        <v>5.94</v>
      </c>
      <c r="O1518" s="17">
        <f t="shared" si="117"/>
        <v>0.14011764705882351</v>
      </c>
      <c r="P1518" s="17">
        <f t="shared" si="118"/>
        <v>0.66286956521739093</v>
      </c>
      <c r="Q1518" s="17">
        <v>20.239999999999998</v>
      </c>
      <c r="R1518" s="9">
        <v>20220804</v>
      </c>
      <c r="S1518" s="9">
        <v>56.46</v>
      </c>
      <c r="T1518" s="9">
        <v>63.1</v>
      </c>
      <c r="U1518" s="9">
        <v>2129.2028799999998</v>
      </c>
      <c r="V1518" s="45">
        <f t="shared" si="119"/>
        <v>-0.97036449621935517</v>
      </c>
      <c r="W1518" s="12">
        <v>25.65</v>
      </c>
      <c r="X1518" s="12">
        <v>0</v>
      </c>
      <c r="Y1518" s="62"/>
    </row>
    <row r="1519" spans="1:25" x14ac:dyDescent="0.2">
      <c r="A1519" s="3" t="s">
        <v>3782</v>
      </c>
      <c r="B1519" s="3" t="s">
        <v>2024</v>
      </c>
      <c r="C1519" s="6" t="s">
        <v>354</v>
      </c>
      <c r="D1519" s="6" t="s">
        <v>185</v>
      </c>
      <c r="E1519" s="6" t="s">
        <v>208</v>
      </c>
      <c r="F1519" s="6">
        <v>10361.36</v>
      </c>
      <c r="G1519" s="2">
        <v>12</v>
      </c>
      <c r="H1519" s="61">
        <v>2.5</v>
      </c>
      <c r="I1519" s="61">
        <v>2.1</v>
      </c>
      <c r="J1519" s="47">
        <f t="shared" si="115"/>
        <v>-0.79166666666666663</v>
      </c>
      <c r="K1519" s="47">
        <f t="shared" si="116"/>
        <v>-0.15999999999999998</v>
      </c>
      <c r="L1519" s="8">
        <v>2.16</v>
      </c>
      <c r="M1519" s="8">
        <v>16.350000000000001</v>
      </c>
      <c r="N1519" s="8">
        <v>21.69</v>
      </c>
      <c r="O1519" s="17">
        <f t="shared" si="117"/>
        <v>-0.20652631578947372</v>
      </c>
      <c r="P1519" s="17">
        <f t="shared" si="118"/>
        <v>-1.3556250000000003</v>
      </c>
      <c r="Q1519" s="17">
        <v>21.15</v>
      </c>
      <c r="R1519" s="9">
        <v>20220804</v>
      </c>
      <c r="S1519" s="9">
        <v>20.92</v>
      </c>
      <c r="T1519" s="9">
        <v>11.94</v>
      </c>
      <c r="U1519" s="9">
        <v>2080.1730899999998</v>
      </c>
      <c r="V1519" s="45">
        <f t="shared" si="119"/>
        <v>-0.99426009303869989</v>
      </c>
      <c r="W1519" s="12">
        <v>12.68</v>
      </c>
      <c r="X1519" s="12">
        <v>0</v>
      </c>
      <c r="Y1519" s="62">
        <v>1.63</v>
      </c>
    </row>
    <row r="1520" spans="1:25" x14ac:dyDescent="0.2">
      <c r="A1520" s="3" t="s">
        <v>3783</v>
      </c>
      <c r="B1520" s="3" t="s">
        <v>1511</v>
      </c>
      <c r="C1520" s="6" t="s">
        <v>355</v>
      </c>
      <c r="D1520" s="6" t="s">
        <v>307</v>
      </c>
      <c r="E1520" s="6" t="s">
        <v>119</v>
      </c>
      <c r="F1520" s="6">
        <v>5085.71</v>
      </c>
      <c r="G1520" s="2">
        <v>12</v>
      </c>
      <c r="H1520" s="61">
        <v>3.18</v>
      </c>
      <c r="I1520" s="61">
        <v>3.13</v>
      </c>
      <c r="J1520" s="47">
        <f t="shared" si="115"/>
        <v>-0.73499999999999999</v>
      </c>
      <c r="K1520" s="47">
        <f t="shared" si="116"/>
        <v>-1.5723270440251656E-2</v>
      </c>
      <c r="L1520" s="8">
        <v>3.52</v>
      </c>
      <c r="M1520" s="8">
        <v>38.75</v>
      </c>
      <c r="N1520" s="8">
        <v>41.77</v>
      </c>
      <c r="O1520" s="17">
        <f t="shared" si="117"/>
        <v>-0.52721088435374153</v>
      </c>
      <c r="P1520" s="17">
        <f t="shared" si="118"/>
        <v>-26.56571999999986</v>
      </c>
      <c r="Q1520" s="17">
        <v>37.17</v>
      </c>
      <c r="R1520" s="9">
        <v>20220808</v>
      </c>
      <c r="S1520" s="9">
        <v>22.91</v>
      </c>
      <c r="T1520" s="9">
        <v>15.47</v>
      </c>
      <c r="U1520" s="9">
        <v>485.505</v>
      </c>
      <c r="V1520" s="45">
        <f t="shared" si="119"/>
        <v>-0.96813627048125139</v>
      </c>
      <c r="W1520" s="12">
        <v>9.8800000000000008</v>
      </c>
      <c r="X1520" s="12">
        <v>0</v>
      </c>
      <c r="Y1520" s="62"/>
    </row>
    <row r="1521" spans="1:25" x14ac:dyDescent="0.2">
      <c r="B1521" s="3" t="s">
        <v>2254</v>
      </c>
      <c r="C1521" s="6" t="s">
        <v>355</v>
      </c>
      <c r="D1521" s="6" t="s">
        <v>519</v>
      </c>
      <c r="E1521" s="6" t="s">
        <v>163</v>
      </c>
      <c r="F1521" s="6">
        <v>163164.78</v>
      </c>
      <c r="G1521" s="2">
        <v>12</v>
      </c>
      <c r="H1521" s="61"/>
      <c r="I1521" s="61"/>
      <c r="J1521" s="47">
        <f t="shared" si="115"/>
        <v>-1</v>
      </c>
      <c r="K1521" s="47" t="e">
        <f t="shared" si="116"/>
        <v>#DIV/0!</v>
      </c>
      <c r="O1521" s="17">
        <f t="shared" si="117"/>
        <v>0</v>
      </c>
      <c r="P1521" s="17" t="e">
        <f t="shared" si="118"/>
        <v>#DIV/0!</v>
      </c>
      <c r="Q1521" s="17"/>
      <c r="V1521" s="45" t="e">
        <f t="shared" si="119"/>
        <v>#DIV/0!</v>
      </c>
      <c r="X1521" s="12">
        <v>0.57999999999999996</v>
      </c>
      <c r="Y1521" s="62"/>
    </row>
    <row r="1522" spans="1:25" x14ac:dyDescent="0.2">
      <c r="A1522" s="3" t="s">
        <v>3784</v>
      </c>
      <c r="B1522" s="3" t="s">
        <v>1512</v>
      </c>
      <c r="C1522" s="6" t="s">
        <v>355</v>
      </c>
      <c r="D1522" s="6" t="s">
        <v>1513</v>
      </c>
      <c r="E1522" s="6" t="s">
        <v>119</v>
      </c>
      <c r="F1522" s="6">
        <v>11501.85</v>
      </c>
      <c r="G1522" s="2">
        <v>3</v>
      </c>
      <c r="H1522" s="61">
        <v>12.18</v>
      </c>
      <c r="I1522" s="61">
        <v>10.75</v>
      </c>
      <c r="J1522" s="47">
        <f t="shared" si="115"/>
        <v>3.06</v>
      </c>
      <c r="K1522" s="47">
        <f t="shared" si="116"/>
        <v>-0.11740558292282428</v>
      </c>
      <c r="L1522" s="8">
        <v>12.7</v>
      </c>
      <c r="M1522" s="8">
        <v>8.7799999999999994</v>
      </c>
      <c r="N1522" s="8">
        <v>10.09</v>
      </c>
      <c r="O1522" s="17">
        <f t="shared" si="117"/>
        <v>2.8692810457516336E-2</v>
      </c>
      <c r="P1522" s="17">
        <f t="shared" si="118"/>
        <v>-0.85941398601398622</v>
      </c>
      <c r="Q1522" s="17">
        <v>8.5399999999999991</v>
      </c>
      <c r="R1522" s="9">
        <v>20220803</v>
      </c>
      <c r="S1522" s="9">
        <v>28.07</v>
      </c>
      <c r="T1522" s="9">
        <v>10.55</v>
      </c>
      <c r="U1522" s="9">
        <v>4600.5</v>
      </c>
      <c r="V1522" s="45">
        <f t="shared" si="119"/>
        <v>-0.99770677100315175</v>
      </c>
      <c r="W1522" s="12">
        <v>6.12</v>
      </c>
      <c r="X1522" s="12">
        <v>0</v>
      </c>
      <c r="Y1522" s="62">
        <v>1.58</v>
      </c>
    </row>
    <row r="1523" spans="1:25" x14ac:dyDescent="0.2">
      <c r="A1523" s="3" t="s">
        <v>3785</v>
      </c>
      <c r="B1523" s="3" t="s">
        <v>2025</v>
      </c>
      <c r="C1523" s="6" t="s">
        <v>354</v>
      </c>
      <c r="D1523" s="6" t="s">
        <v>54</v>
      </c>
      <c r="E1523" s="6" t="s">
        <v>35</v>
      </c>
      <c r="F1523" s="6">
        <v>5239.74</v>
      </c>
      <c r="G1523" s="2">
        <v>12</v>
      </c>
      <c r="H1523" s="61">
        <v>-0.1</v>
      </c>
      <c r="I1523" s="61">
        <v>-0.85</v>
      </c>
      <c r="J1523" s="47">
        <f t="shared" si="115"/>
        <v>-1.0083333333333333</v>
      </c>
      <c r="K1523" s="47">
        <f t="shared" si="116"/>
        <v>-7.5</v>
      </c>
      <c r="L1523" s="8">
        <v>-0.95</v>
      </c>
      <c r="O1523" s="17">
        <f t="shared" si="117"/>
        <v>0</v>
      </c>
      <c r="P1523" s="17">
        <f t="shared" si="118"/>
        <v>0</v>
      </c>
      <c r="Q1523" s="17"/>
      <c r="R1523" s="9">
        <v>20220726</v>
      </c>
      <c r="S1523" s="9">
        <v>-16.54</v>
      </c>
      <c r="V1523" s="45" t="e">
        <f t="shared" si="119"/>
        <v>#DIV/0!</v>
      </c>
      <c r="W1523" s="12">
        <v>-23.53</v>
      </c>
      <c r="X1523" s="12">
        <v>0</v>
      </c>
      <c r="Y1523" s="62"/>
    </row>
    <row r="1524" spans="1:25" x14ac:dyDescent="0.2">
      <c r="A1524" s="3" t="s">
        <v>3786</v>
      </c>
      <c r="B1524" s="3" t="s">
        <v>1514</v>
      </c>
      <c r="C1524" s="6" t="s">
        <v>354</v>
      </c>
      <c r="D1524" s="6" t="s">
        <v>223</v>
      </c>
      <c r="E1524" s="6" t="s">
        <v>231</v>
      </c>
      <c r="F1524" s="6">
        <v>15692.83</v>
      </c>
      <c r="G1524" s="2">
        <v>12</v>
      </c>
      <c r="H1524" s="61">
        <v>2.78</v>
      </c>
      <c r="I1524" s="61">
        <v>2.96</v>
      </c>
      <c r="J1524" s="47">
        <f t="shared" si="115"/>
        <v>-0.76833333333333342</v>
      </c>
      <c r="K1524" s="47">
        <f t="shared" si="116"/>
        <v>6.4748201438848976E-2</v>
      </c>
      <c r="L1524" s="8">
        <v>3.26</v>
      </c>
      <c r="M1524" s="8">
        <v>17.45</v>
      </c>
      <c r="N1524" s="8">
        <v>17.170000000000002</v>
      </c>
      <c r="O1524" s="17">
        <f t="shared" si="117"/>
        <v>-0.22711496746203902</v>
      </c>
      <c r="P1524" s="17">
        <f t="shared" si="118"/>
        <v>2.6518111111111091</v>
      </c>
      <c r="Q1524" s="17">
        <v>15.56</v>
      </c>
      <c r="R1524" s="9">
        <v>20220729</v>
      </c>
      <c r="S1524" s="9">
        <v>30.02</v>
      </c>
      <c r="T1524" s="9">
        <v>4.22</v>
      </c>
      <c r="U1524" s="9">
        <v>6317.3798800000004</v>
      </c>
      <c r="V1524" s="45">
        <f t="shared" si="119"/>
        <v>-0.99933200154491897</v>
      </c>
      <c r="W1524" s="12">
        <v>4.92</v>
      </c>
      <c r="X1524" s="12">
        <v>4.25</v>
      </c>
      <c r="Y1524" s="62">
        <v>1.58</v>
      </c>
    </row>
    <row r="1525" spans="1:25" x14ac:dyDescent="0.2">
      <c r="A1525" s="3" t="s">
        <v>3787</v>
      </c>
      <c r="B1525" s="3" t="s">
        <v>1515</v>
      </c>
      <c r="C1525" s="6" t="s">
        <v>354</v>
      </c>
      <c r="D1525" s="6" t="s">
        <v>238</v>
      </c>
      <c r="E1525" s="6" t="s">
        <v>237</v>
      </c>
      <c r="F1525" s="6">
        <v>4013.72</v>
      </c>
      <c r="G1525" s="2">
        <v>12</v>
      </c>
      <c r="H1525" s="61">
        <v>8.5500000000000007</v>
      </c>
      <c r="I1525" s="61">
        <v>13.99</v>
      </c>
      <c r="J1525" s="47">
        <f t="shared" si="115"/>
        <v>-0.28749999999999992</v>
      </c>
      <c r="K1525" s="47">
        <f t="shared" si="116"/>
        <v>0.63625730994152041</v>
      </c>
      <c r="L1525" s="8">
        <v>10.88</v>
      </c>
      <c r="M1525" s="8">
        <v>6.51</v>
      </c>
      <c r="N1525" s="8">
        <v>5.61</v>
      </c>
      <c r="O1525" s="17">
        <f t="shared" si="117"/>
        <v>-0.22643478260869571</v>
      </c>
      <c r="P1525" s="17">
        <f t="shared" si="118"/>
        <v>8.8171875000000011E-2</v>
      </c>
      <c r="Q1525" s="17">
        <v>7.22</v>
      </c>
      <c r="R1525" s="9">
        <v>20220727</v>
      </c>
      <c r="S1525" s="9">
        <v>24.86</v>
      </c>
      <c r="T1525" s="9">
        <v>6.11</v>
      </c>
      <c r="U1525" s="9">
        <v>11448.71679</v>
      </c>
      <c r="V1525" s="45">
        <f t="shared" si="119"/>
        <v>-0.99946631573545974</v>
      </c>
      <c r="W1525" s="12">
        <v>50.84</v>
      </c>
      <c r="X1525" s="12">
        <v>2.96</v>
      </c>
      <c r="Y1525" s="62"/>
    </row>
    <row r="1526" spans="1:25" x14ac:dyDescent="0.2">
      <c r="A1526" s="3" t="s">
        <v>3788</v>
      </c>
      <c r="B1526" s="3" t="s">
        <v>1516</v>
      </c>
      <c r="C1526" s="6" t="s">
        <v>354</v>
      </c>
      <c r="D1526" s="6" t="s">
        <v>54</v>
      </c>
      <c r="E1526" s="6" t="s">
        <v>35</v>
      </c>
      <c r="F1526" s="6">
        <v>36399.03</v>
      </c>
      <c r="G1526" s="2">
        <v>12</v>
      </c>
      <c r="H1526" s="61">
        <v>4.6500000000000004</v>
      </c>
      <c r="I1526" s="61">
        <v>5.15</v>
      </c>
      <c r="J1526" s="47">
        <f t="shared" si="115"/>
        <v>-0.61249999999999993</v>
      </c>
      <c r="K1526" s="47">
        <f t="shared" si="116"/>
        <v>0.1075268817204301</v>
      </c>
      <c r="L1526" s="8">
        <v>5.98</v>
      </c>
      <c r="M1526" s="8">
        <v>36.28</v>
      </c>
      <c r="N1526" s="8">
        <v>38.28</v>
      </c>
      <c r="O1526" s="17">
        <f t="shared" si="117"/>
        <v>-0.59232653061224494</v>
      </c>
      <c r="P1526" s="17">
        <f t="shared" si="118"/>
        <v>3.5600400000000003</v>
      </c>
      <c r="Q1526" s="17">
        <v>32.96</v>
      </c>
      <c r="R1526" s="9">
        <v>20220801</v>
      </c>
      <c r="S1526" s="9">
        <v>40.26</v>
      </c>
      <c r="T1526" s="9">
        <v>5.13</v>
      </c>
      <c r="U1526" s="9">
        <v>5311.1699200000003</v>
      </c>
      <c r="V1526" s="45">
        <f t="shared" si="119"/>
        <v>-0.99903411111350771</v>
      </c>
      <c r="W1526" s="12">
        <v>15.08</v>
      </c>
      <c r="X1526" s="12">
        <v>0</v>
      </c>
      <c r="Y1526" s="62">
        <v>3.39</v>
      </c>
    </row>
    <row r="1527" spans="1:25" x14ac:dyDescent="0.2">
      <c r="A1527" s="3" t="s">
        <v>3789</v>
      </c>
      <c r="B1527" s="3" t="s">
        <v>1517</v>
      </c>
      <c r="C1527" s="6" t="s">
        <v>356</v>
      </c>
      <c r="D1527" s="6" t="s">
        <v>1010</v>
      </c>
      <c r="E1527" s="6" t="s">
        <v>108</v>
      </c>
      <c r="F1527" s="6">
        <v>10158.969999999999</v>
      </c>
      <c r="G1527" s="2">
        <v>12</v>
      </c>
      <c r="H1527" s="61">
        <v>2.4300000000000002</v>
      </c>
      <c r="I1527" s="61">
        <v>2.79</v>
      </c>
      <c r="J1527" s="47">
        <f t="shared" si="115"/>
        <v>-0.79749999999999999</v>
      </c>
      <c r="K1527" s="47">
        <f t="shared" si="116"/>
        <v>0.14814814814814808</v>
      </c>
      <c r="L1527" s="8">
        <v>2.94</v>
      </c>
      <c r="M1527" s="8">
        <v>10</v>
      </c>
      <c r="N1527" s="8">
        <v>9.9</v>
      </c>
      <c r="O1527" s="17">
        <f t="shared" si="117"/>
        <v>-0.12539184952978055</v>
      </c>
      <c r="P1527" s="17">
        <f t="shared" si="118"/>
        <v>0.66825000000000034</v>
      </c>
      <c r="Q1527" s="17">
        <v>9.39</v>
      </c>
      <c r="R1527" s="9">
        <v>20220726</v>
      </c>
      <c r="S1527" s="9">
        <v>19.18</v>
      </c>
      <c r="T1527" s="9">
        <v>0.59</v>
      </c>
      <c r="U1527" s="9">
        <v>29558.099600000001</v>
      </c>
      <c r="V1527" s="45">
        <f t="shared" si="119"/>
        <v>-0.99998003931213497</v>
      </c>
      <c r="X1527" s="12">
        <v>3.5</v>
      </c>
      <c r="Y1527" s="62"/>
    </row>
    <row r="1528" spans="1:25" x14ac:dyDescent="0.2">
      <c r="A1528" s="3" t="s">
        <v>3790</v>
      </c>
      <c r="B1528" s="3" t="s">
        <v>1518</v>
      </c>
      <c r="C1528" s="6" t="s">
        <v>355</v>
      </c>
      <c r="D1528" s="6" t="s">
        <v>185</v>
      </c>
      <c r="E1528" s="6" t="s">
        <v>208</v>
      </c>
      <c r="F1528" s="6">
        <v>3205.6</v>
      </c>
      <c r="G1528" s="2">
        <v>12</v>
      </c>
      <c r="H1528" s="61">
        <v>-6.29</v>
      </c>
      <c r="I1528" s="61">
        <v>-7.15</v>
      </c>
      <c r="J1528" s="47">
        <f t="shared" si="115"/>
        <v>-1.5241666666666667</v>
      </c>
      <c r="K1528" s="47">
        <f t="shared" si="116"/>
        <v>-0.13672496025437206</v>
      </c>
      <c r="L1528" s="8">
        <v>-5.34</v>
      </c>
      <c r="O1528" s="17">
        <f t="shared" si="117"/>
        <v>0</v>
      </c>
      <c r="P1528" s="17">
        <f t="shared" si="118"/>
        <v>0</v>
      </c>
      <c r="Q1528" s="17"/>
      <c r="R1528" s="9">
        <v>20220801</v>
      </c>
      <c r="S1528" s="9">
        <v>-49.18</v>
      </c>
      <c r="T1528" s="9">
        <v>107.42</v>
      </c>
      <c r="U1528" s="9">
        <v>377.65499</v>
      </c>
      <c r="V1528" s="45">
        <f t="shared" si="119"/>
        <v>-0.71556049080670159</v>
      </c>
      <c r="W1528" s="12">
        <v>-24.43</v>
      </c>
      <c r="X1528" s="12">
        <v>0</v>
      </c>
      <c r="Y1528" s="62"/>
    </row>
    <row r="1529" spans="1:25" x14ac:dyDescent="0.2">
      <c r="A1529" s="3" t="s">
        <v>3791</v>
      </c>
      <c r="B1529" s="3" t="s">
        <v>1519</v>
      </c>
      <c r="C1529" s="6" t="s">
        <v>354</v>
      </c>
      <c r="D1529" s="6" t="s">
        <v>586</v>
      </c>
      <c r="E1529" s="6" t="s">
        <v>108</v>
      </c>
      <c r="F1529" s="6">
        <v>6584.99</v>
      </c>
      <c r="G1529" s="2">
        <v>12</v>
      </c>
      <c r="H1529" s="61">
        <v>2.02</v>
      </c>
      <c r="I1529" s="61">
        <v>2.0099999999999998</v>
      </c>
      <c r="J1529" s="47">
        <f t="shared" si="115"/>
        <v>-0.83166666666666667</v>
      </c>
      <c r="K1529" s="47">
        <f t="shared" si="116"/>
        <v>-4.950495049505065E-3</v>
      </c>
      <c r="L1529" s="8">
        <v>2.31</v>
      </c>
      <c r="M1529" s="8">
        <v>30.51</v>
      </c>
      <c r="N1529" s="8">
        <v>29.6</v>
      </c>
      <c r="O1529" s="17">
        <f t="shared" si="117"/>
        <v>-0.36685370741482964</v>
      </c>
      <c r="P1529" s="17">
        <f t="shared" si="118"/>
        <v>-59.791999999998623</v>
      </c>
      <c r="Q1529" s="17">
        <v>25.8</v>
      </c>
      <c r="R1529" s="9">
        <v>20220804</v>
      </c>
      <c r="S1529" s="9">
        <v>28.84</v>
      </c>
      <c r="T1529" s="9">
        <v>21.32</v>
      </c>
      <c r="U1529" s="9">
        <v>1558.84899</v>
      </c>
      <c r="V1529" s="45">
        <f t="shared" si="119"/>
        <v>-0.98632324225324741</v>
      </c>
      <c r="W1529" s="12">
        <v>43.75</v>
      </c>
      <c r="X1529" s="12">
        <v>1.68</v>
      </c>
      <c r="Y1529" s="62">
        <v>4.2300000000000004</v>
      </c>
    </row>
    <row r="1530" spans="1:25" x14ac:dyDescent="0.2">
      <c r="A1530" s="3" t="s">
        <v>3792</v>
      </c>
      <c r="B1530" s="3" t="s">
        <v>1520</v>
      </c>
      <c r="C1530" s="6" t="s">
        <v>356</v>
      </c>
      <c r="D1530" s="6" t="s">
        <v>643</v>
      </c>
      <c r="E1530" s="6" t="s">
        <v>154</v>
      </c>
      <c r="F1530" s="6">
        <v>56517.32</v>
      </c>
      <c r="G1530" s="2">
        <v>12</v>
      </c>
      <c r="H1530" s="61">
        <v>0.78</v>
      </c>
      <c r="I1530" s="61">
        <v>0.8</v>
      </c>
      <c r="J1530" s="47">
        <f t="shared" si="115"/>
        <v>-0.93500000000000005</v>
      </c>
      <c r="K1530" s="47">
        <f t="shared" si="116"/>
        <v>2.5641025641025664E-2</v>
      </c>
      <c r="L1530" s="8">
        <v>0.85</v>
      </c>
      <c r="N1530" s="8">
        <v>19.760000000000002</v>
      </c>
      <c r="O1530" s="17">
        <f t="shared" si="117"/>
        <v>0</v>
      </c>
      <c r="P1530" s="17">
        <f t="shared" si="118"/>
        <v>7.7063999999999933</v>
      </c>
      <c r="Q1530" s="17">
        <v>18.71</v>
      </c>
      <c r="U1530" s="9">
        <v>17470.130850000001</v>
      </c>
      <c r="V1530" s="45">
        <f t="shared" si="119"/>
        <v>-1</v>
      </c>
      <c r="X1530" s="12">
        <v>3.08</v>
      </c>
      <c r="Y1530" s="62"/>
    </row>
    <row r="1531" spans="1:25" x14ac:dyDescent="0.2">
      <c r="A1531" s="3" t="s">
        <v>3793</v>
      </c>
      <c r="B1531" s="3" t="s">
        <v>2026</v>
      </c>
      <c r="C1531" s="6" t="s">
        <v>354</v>
      </c>
      <c r="D1531" s="6" t="s">
        <v>157</v>
      </c>
      <c r="E1531" s="6" t="s">
        <v>146</v>
      </c>
      <c r="F1531" s="6">
        <v>16575.38</v>
      </c>
      <c r="G1531" s="2">
        <v>12</v>
      </c>
      <c r="H1531" s="61">
        <v>-0.87</v>
      </c>
      <c r="I1531" s="61">
        <v>-1.08</v>
      </c>
      <c r="J1531" s="47">
        <f t="shared" si="115"/>
        <v>-1.0725</v>
      </c>
      <c r="K1531" s="47">
        <f t="shared" si="116"/>
        <v>-0.24137931034482768</v>
      </c>
      <c r="L1531" s="8">
        <v>-1.2</v>
      </c>
      <c r="O1531" s="17">
        <f t="shared" si="117"/>
        <v>0</v>
      </c>
      <c r="P1531" s="17">
        <f t="shared" si="118"/>
        <v>0</v>
      </c>
      <c r="Q1531" s="17"/>
      <c r="R1531" s="9">
        <v>20220815</v>
      </c>
      <c r="S1531" s="9">
        <v>-89.7</v>
      </c>
      <c r="U1531" s="9">
        <v>2837.85205</v>
      </c>
      <c r="V1531" s="45">
        <f t="shared" si="119"/>
        <v>-1</v>
      </c>
      <c r="W1531" s="12">
        <v>-28.57</v>
      </c>
      <c r="X1531" s="12">
        <v>0</v>
      </c>
      <c r="Y1531" s="62"/>
    </row>
    <row r="1532" spans="1:25" x14ac:dyDescent="0.2">
      <c r="A1532" s="3" t="s">
        <v>2255</v>
      </c>
      <c r="B1532" s="3" t="s">
        <v>2256</v>
      </c>
      <c r="C1532" s="6" t="s">
        <v>356</v>
      </c>
      <c r="D1532" s="6" t="s">
        <v>187</v>
      </c>
      <c r="E1532" s="6" t="s">
        <v>208</v>
      </c>
      <c r="F1532" s="6">
        <v>8669.9599999999991</v>
      </c>
      <c r="G1532" s="2">
        <v>12</v>
      </c>
      <c r="H1532" s="61"/>
      <c r="I1532" s="61">
        <v>2.19</v>
      </c>
      <c r="J1532" s="47">
        <f t="shared" si="115"/>
        <v>-1</v>
      </c>
      <c r="K1532" s="47" t="e">
        <f t="shared" si="116"/>
        <v>#DIV/0!</v>
      </c>
      <c r="L1532" s="8">
        <v>2.44</v>
      </c>
      <c r="M1532" s="8">
        <v>18.68</v>
      </c>
      <c r="N1532" s="8">
        <v>19.190000000000001</v>
      </c>
      <c r="O1532" s="17">
        <f t="shared" si="117"/>
        <v>-0.18679999999999999</v>
      </c>
      <c r="P1532" s="17" t="e">
        <f t="shared" si="118"/>
        <v>#DIV/0!</v>
      </c>
      <c r="Q1532" s="17">
        <v>17.22</v>
      </c>
      <c r="R1532" s="9">
        <v>20220602</v>
      </c>
      <c r="U1532" s="9">
        <v>1834.1400100000001</v>
      </c>
      <c r="V1532" s="45">
        <f t="shared" si="119"/>
        <v>-1</v>
      </c>
      <c r="X1532" s="12">
        <v>0</v>
      </c>
      <c r="Y1532" s="62"/>
    </row>
    <row r="1533" spans="1:25" x14ac:dyDescent="0.2">
      <c r="A1533" s="3" t="s">
        <v>3794</v>
      </c>
      <c r="B1533" s="3" t="s">
        <v>1521</v>
      </c>
      <c r="C1533" s="6" t="s">
        <v>354</v>
      </c>
      <c r="D1533" s="6" t="s">
        <v>593</v>
      </c>
      <c r="E1533" s="6" t="s">
        <v>146</v>
      </c>
      <c r="F1533" s="6">
        <v>26033.95</v>
      </c>
      <c r="G1533" s="2">
        <v>12</v>
      </c>
      <c r="H1533" s="61">
        <v>2.82</v>
      </c>
      <c r="I1533" s="61">
        <v>3.06</v>
      </c>
      <c r="J1533" s="47">
        <f t="shared" si="115"/>
        <v>-0.76500000000000001</v>
      </c>
      <c r="K1533" s="47">
        <f t="shared" si="116"/>
        <v>8.5106382978723485E-2</v>
      </c>
      <c r="L1533" s="8">
        <v>3.47</v>
      </c>
      <c r="M1533" s="8">
        <v>17.66</v>
      </c>
      <c r="N1533" s="8">
        <v>16.88</v>
      </c>
      <c r="O1533" s="17">
        <f t="shared" si="117"/>
        <v>-0.23084967320261437</v>
      </c>
      <c r="P1533" s="17">
        <f t="shared" si="118"/>
        <v>1.9833999999999978</v>
      </c>
      <c r="Q1533" s="17">
        <v>14.87</v>
      </c>
      <c r="R1533" s="9">
        <v>20220720</v>
      </c>
      <c r="S1533" s="9">
        <v>17.670000000000002</v>
      </c>
      <c r="T1533" s="9">
        <v>0.46</v>
      </c>
      <c r="U1533" s="9">
        <v>12450.221670000001</v>
      </c>
      <c r="V1533" s="45">
        <f t="shared" si="119"/>
        <v>-0.99996305286667242</v>
      </c>
      <c r="W1533" s="12">
        <v>14.29</v>
      </c>
      <c r="X1533" s="12">
        <v>3.06</v>
      </c>
      <c r="Y1533" s="62">
        <v>2.79</v>
      </c>
    </row>
    <row r="1534" spans="1:25" x14ac:dyDescent="0.2">
      <c r="A1534" s="3" t="s">
        <v>3795</v>
      </c>
      <c r="B1534" s="3" t="s">
        <v>1522</v>
      </c>
      <c r="C1534" s="6" t="s">
        <v>354</v>
      </c>
      <c r="D1534" s="6" t="s">
        <v>621</v>
      </c>
      <c r="E1534" s="6" t="s">
        <v>146</v>
      </c>
      <c r="F1534" s="6">
        <v>14157.72</v>
      </c>
      <c r="G1534" s="2">
        <v>12</v>
      </c>
      <c r="H1534" s="61">
        <v>-18.149999999999999</v>
      </c>
      <c r="I1534" s="61">
        <v>-6.07</v>
      </c>
      <c r="J1534" s="47">
        <f t="shared" si="115"/>
        <v>-2.5124999999999997</v>
      </c>
      <c r="K1534" s="47">
        <f t="shared" si="116"/>
        <v>0.66556473829201102</v>
      </c>
      <c r="L1534" s="8">
        <v>4.82</v>
      </c>
      <c r="O1534" s="17">
        <f t="shared" si="117"/>
        <v>0</v>
      </c>
      <c r="P1534" s="17">
        <f t="shared" si="118"/>
        <v>0</v>
      </c>
      <c r="Q1534" s="17">
        <v>11.53</v>
      </c>
      <c r="R1534" s="9">
        <v>20220803</v>
      </c>
      <c r="S1534" s="9">
        <v>-83.99</v>
      </c>
      <c r="T1534" s="9">
        <v>-33.119999999999997</v>
      </c>
      <c r="U1534" s="9">
        <v>9260.0429600000007</v>
      </c>
      <c r="V1534" s="45">
        <f t="shared" si="119"/>
        <v>-1.003576657272873</v>
      </c>
      <c r="W1534" s="12">
        <v>2.35</v>
      </c>
      <c r="X1534" s="12">
        <v>0</v>
      </c>
      <c r="Y1534" s="62"/>
    </row>
    <row r="1535" spans="1:25" x14ac:dyDescent="0.2">
      <c r="A1535" s="3" t="s">
        <v>3796</v>
      </c>
      <c r="B1535" s="3" t="s">
        <v>1898</v>
      </c>
      <c r="C1535" s="6" t="s">
        <v>355</v>
      </c>
      <c r="D1535" s="6" t="s">
        <v>151</v>
      </c>
      <c r="E1535" s="6" t="s">
        <v>163</v>
      </c>
      <c r="F1535" s="6">
        <v>5938.13</v>
      </c>
      <c r="G1535" s="2">
        <v>12</v>
      </c>
      <c r="H1535" s="61">
        <v>-1.92</v>
      </c>
      <c r="I1535" s="61">
        <v>0.47</v>
      </c>
      <c r="J1535" s="47">
        <f t="shared" si="115"/>
        <v>-1.1599999999999999</v>
      </c>
      <c r="K1535" s="47">
        <f t="shared" si="116"/>
        <v>1.2447916666666665</v>
      </c>
      <c r="L1535" s="8">
        <v>0.64</v>
      </c>
      <c r="M1535" s="8">
        <v>68.48</v>
      </c>
      <c r="N1535" s="8">
        <v>44.79</v>
      </c>
      <c r="O1535" s="17">
        <f t="shared" si="117"/>
        <v>-0.59034482758620699</v>
      </c>
      <c r="P1535" s="17">
        <f t="shared" si="118"/>
        <v>0.35981924686192468</v>
      </c>
      <c r="Q1535" s="17">
        <v>33.380000000000003</v>
      </c>
      <c r="R1535" s="9">
        <v>20220802</v>
      </c>
      <c r="S1535" s="9">
        <v>29.44</v>
      </c>
      <c r="T1535" s="9">
        <v>32.119999999999997</v>
      </c>
      <c r="U1535" s="9">
        <v>1703.3730399999999</v>
      </c>
      <c r="V1535" s="45">
        <f t="shared" si="119"/>
        <v>-0.98114329671438272</v>
      </c>
      <c r="W1535" s="12">
        <v>-10</v>
      </c>
      <c r="X1535" s="12">
        <v>0</v>
      </c>
      <c r="Y1535" s="62">
        <v>2.4300000000000002</v>
      </c>
    </row>
    <row r="1536" spans="1:25" x14ac:dyDescent="0.2">
      <c r="A1536" s="3" t="s">
        <v>3797</v>
      </c>
      <c r="B1536" s="3" t="s">
        <v>2257</v>
      </c>
      <c r="C1536" s="6" t="s">
        <v>356</v>
      </c>
      <c r="D1536" s="6" t="s">
        <v>246</v>
      </c>
      <c r="E1536" s="6" t="s">
        <v>250</v>
      </c>
      <c r="F1536" s="6">
        <v>11405.97</v>
      </c>
      <c r="G1536" s="2">
        <v>12</v>
      </c>
      <c r="H1536" s="61"/>
      <c r="I1536" s="61"/>
      <c r="J1536" s="47">
        <f t="shared" si="115"/>
        <v>-1</v>
      </c>
      <c r="K1536" s="47" t="e">
        <f t="shared" si="116"/>
        <v>#DIV/0!</v>
      </c>
      <c r="O1536" s="17">
        <f t="shared" si="117"/>
        <v>0</v>
      </c>
      <c r="P1536" s="17" t="e">
        <f t="shared" si="118"/>
        <v>#DIV/0!</v>
      </c>
      <c r="Q1536" s="17"/>
      <c r="R1536" s="9">
        <v>20220525</v>
      </c>
      <c r="V1536" s="45" t="e">
        <f t="shared" si="119"/>
        <v>#DIV/0!</v>
      </c>
      <c r="X1536" s="12">
        <v>2.09</v>
      </c>
      <c r="Y1536" s="62"/>
    </row>
    <row r="1537" spans="1:25" x14ac:dyDescent="0.2">
      <c r="A1537" s="3" t="s">
        <v>3798</v>
      </c>
      <c r="B1537" s="3" t="s">
        <v>1523</v>
      </c>
      <c r="C1537" s="6" t="s">
        <v>354</v>
      </c>
      <c r="D1537" s="6" t="s">
        <v>172</v>
      </c>
      <c r="E1537" s="6" t="s">
        <v>163</v>
      </c>
      <c r="F1537" s="6">
        <v>3647.86</v>
      </c>
      <c r="G1537" s="2">
        <v>12</v>
      </c>
      <c r="H1537" s="61">
        <v>2.83</v>
      </c>
      <c r="I1537" s="61">
        <v>3.6</v>
      </c>
      <c r="J1537" s="47">
        <f t="shared" si="115"/>
        <v>-0.76416666666666666</v>
      </c>
      <c r="K1537" s="47">
        <f t="shared" si="116"/>
        <v>0.27208480565371024</v>
      </c>
      <c r="L1537" s="8">
        <v>2.88</v>
      </c>
      <c r="M1537" s="8">
        <v>5.77</v>
      </c>
      <c r="N1537" s="8">
        <v>5.86</v>
      </c>
      <c r="O1537" s="17">
        <f t="shared" si="117"/>
        <v>-7.5507088331515801E-2</v>
      </c>
      <c r="P1537" s="17">
        <f t="shared" si="118"/>
        <v>0.215374025974026</v>
      </c>
      <c r="Q1537" s="17">
        <v>7.33</v>
      </c>
      <c r="R1537" s="9">
        <v>20220802</v>
      </c>
      <c r="S1537" s="9">
        <v>17.18</v>
      </c>
      <c r="T1537" s="9">
        <v>3.53</v>
      </c>
      <c r="V1537" s="45" t="e">
        <f t="shared" si="119"/>
        <v>#DIV/0!</v>
      </c>
      <c r="W1537" s="12">
        <v>28.57</v>
      </c>
      <c r="X1537" s="12">
        <v>3.79</v>
      </c>
      <c r="Y1537" s="62">
        <v>1.17</v>
      </c>
    </row>
    <row r="1538" spans="1:25" x14ac:dyDescent="0.2">
      <c r="A1538" s="3" t="s">
        <v>3799</v>
      </c>
      <c r="B1538" s="3" t="s">
        <v>1524</v>
      </c>
      <c r="C1538" s="6" t="s">
        <v>356</v>
      </c>
      <c r="D1538" s="6" t="s">
        <v>126</v>
      </c>
      <c r="E1538" s="6" t="s">
        <v>60</v>
      </c>
      <c r="F1538" s="6">
        <v>25987.19</v>
      </c>
      <c r="G1538" s="2">
        <v>12</v>
      </c>
      <c r="H1538" s="61">
        <v>1.43</v>
      </c>
      <c r="I1538" s="61">
        <v>1.37</v>
      </c>
      <c r="J1538" s="47">
        <f t="shared" si="115"/>
        <v>-0.88083333333333336</v>
      </c>
      <c r="K1538" s="47">
        <f t="shared" si="116"/>
        <v>-4.1958041958041842E-2</v>
      </c>
      <c r="L1538" s="8">
        <v>1.53</v>
      </c>
      <c r="N1538" s="8">
        <v>27.2</v>
      </c>
      <c r="O1538" s="17">
        <f t="shared" si="117"/>
        <v>0</v>
      </c>
      <c r="P1538" s="17">
        <f t="shared" si="118"/>
        <v>-6.4826666666666846</v>
      </c>
      <c r="Q1538" s="17">
        <v>24.29</v>
      </c>
      <c r="U1538" s="9">
        <v>10865.29003</v>
      </c>
      <c r="V1538" s="45">
        <f t="shared" si="119"/>
        <v>-1</v>
      </c>
      <c r="X1538" s="12">
        <v>1.93</v>
      </c>
      <c r="Y1538" s="62">
        <v>2.5299999999999998</v>
      </c>
    </row>
    <row r="1539" spans="1:25" x14ac:dyDescent="0.2">
      <c r="A1539" s="3" t="s">
        <v>3800</v>
      </c>
      <c r="B1539" s="3" t="s">
        <v>1525</v>
      </c>
      <c r="C1539" s="6" t="s">
        <v>354</v>
      </c>
      <c r="D1539" s="6" t="s">
        <v>188</v>
      </c>
      <c r="E1539" s="6" t="s">
        <v>208</v>
      </c>
      <c r="F1539" s="6">
        <v>9198.36</v>
      </c>
      <c r="G1539" s="2">
        <v>3</v>
      </c>
      <c r="H1539" s="61">
        <v>2.35</v>
      </c>
      <c r="I1539" s="61">
        <v>2.52</v>
      </c>
      <c r="J1539" s="47">
        <f t="shared" ref="J1539:J1602" si="120">(H1539-G1539)/ABS(G1539)</f>
        <v>-0.21666666666666665</v>
      </c>
      <c r="K1539" s="47">
        <f t="shared" ref="K1539:K1602" si="121">(I1539-H1539)/ABS(H1539)</f>
        <v>7.2340425531914859E-2</v>
      </c>
      <c r="L1539" s="8">
        <v>3.2</v>
      </c>
      <c r="M1539" s="8">
        <v>23.42</v>
      </c>
      <c r="N1539" s="8">
        <v>21.93</v>
      </c>
      <c r="O1539" s="17">
        <f t="shared" ref="O1539:O1602" si="122">M1539/(J1539*100)</f>
        <v>-1.0809230769230771</v>
      </c>
      <c r="P1539" s="17">
        <f t="shared" ref="P1539:P1602" si="123">N1539/(K1539*100)</f>
        <v>3.0315000000000012</v>
      </c>
      <c r="Q1539" s="17">
        <v>17.25</v>
      </c>
      <c r="R1539" s="9">
        <v>20220726</v>
      </c>
      <c r="S1539" s="9">
        <v>15.87</v>
      </c>
      <c r="T1539" s="9">
        <v>6.33</v>
      </c>
      <c r="U1539" s="9">
        <v>3074.1201099999998</v>
      </c>
      <c r="V1539" s="45">
        <f t="shared" ref="V1539:V1602" si="124">(T1539-U1539)/U1539</f>
        <v>-0.99794087421001909</v>
      </c>
      <c r="W1539" s="12">
        <v>-13.21</v>
      </c>
      <c r="X1539" s="12">
        <v>0.51</v>
      </c>
      <c r="Y1539" s="62"/>
    </row>
    <row r="1540" spans="1:25" x14ac:dyDescent="0.2">
      <c r="A1540" s="3" t="s">
        <v>3801</v>
      </c>
      <c r="B1540" s="3" t="s">
        <v>1526</v>
      </c>
      <c r="C1540" s="6" t="s">
        <v>354</v>
      </c>
      <c r="D1540" s="6" t="s">
        <v>173</v>
      </c>
      <c r="E1540" s="6" t="s">
        <v>163</v>
      </c>
      <c r="F1540" s="6">
        <v>11011.47</v>
      </c>
      <c r="G1540" s="2">
        <v>12</v>
      </c>
      <c r="H1540" s="61">
        <v>29.06</v>
      </c>
      <c r="I1540" s="61">
        <v>34.270000000000003</v>
      </c>
      <c r="J1540" s="47">
        <f t="shared" si="120"/>
        <v>1.4216666666666666</v>
      </c>
      <c r="K1540" s="47">
        <f t="shared" si="121"/>
        <v>0.17928423950447367</v>
      </c>
      <c r="L1540" s="8">
        <v>40.28</v>
      </c>
      <c r="M1540" s="8">
        <v>8.5299999999999994</v>
      </c>
      <c r="N1540" s="8">
        <v>8.15</v>
      </c>
      <c r="O1540" s="17">
        <f t="shared" si="122"/>
        <v>0.06</v>
      </c>
      <c r="P1540" s="17">
        <f t="shared" si="123"/>
        <v>0.45458541266794583</v>
      </c>
      <c r="Q1540" s="17">
        <v>6.93</v>
      </c>
      <c r="R1540" s="9">
        <v>20220727</v>
      </c>
      <c r="S1540" s="9">
        <v>12.97</v>
      </c>
      <c r="T1540" s="9">
        <v>15.02</v>
      </c>
      <c r="U1540" s="9">
        <v>12851.065420000001</v>
      </c>
      <c r="V1540" s="45">
        <f t="shared" si="124"/>
        <v>-0.99883122531018909</v>
      </c>
      <c r="W1540" s="12">
        <v>23.92</v>
      </c>
      <c r="X1540" s="12">
        <v>2.36</v>
      </c>
      <c r="Y1540" s="62">
        <v>0.82</v>
      </c>
    </row>
    <row r="1541" spans="1:25" x14ac:dyDescent="0.2">
      <c r="A1541" s="3" t="s">
        <v>3802</v>
      </c>
      <c r="B1541" s="3" t="s">
        <v>1527</v>
      </c>
      <c r="C1541" s="6" t="s">
        <v>355</v>
      </c>
      <c r="D1541" s="6" t="s">
        <v>217</v>
      </c>
      <c r="E1541" s="6" t="s">
        <v>163</v>
      </c>
      <c r="F1541" s="6">
        <v>11584.47</v>
      </c>
      <c r="G1541" s="2">
        <v>12</v>
      </c>
      <c r="H1541" s="61">
        <v>3.97</v>
      </c>
      <c r="I1541" s="61">
        <v>3.84</v>
      </c>
      <c r="J1541" s="47">
        <f t="shared" si="120"/>
        <v>-0.66916666666666658</v>
      </c>
      <c r="K1541" s="47">
        <f t="shared" si="121"/>
        <v>-3.2745591939546681E-2</v>
      </c>
      <c r="L1541" s="8">
        <v>4.01</v>
      </c>
      <c r="M1541" s="8">
        <v>16.84</v>
      </c>
      <c r="N1541" s="8">
        <v>17.489999999999998</v>
      </c>
      <c r="O1541" s="17">
        <f t="shared" si="122"/>
        <v>-0.25165628891656294</v>
      </c>
      <c r="P1541" s="17">
        <f t="shared" si="123"/>
        <v>-5.3411769230769091</v>
      </c>
      <c r="Q1541" s="17">
        <v>16.760000000000002</v>
      </c>
      <c r="R1541" s="9">
        <v>20220804</v>
      </c>
      <c r="S1541" s="9">
        <v>7.3</v>
      </c>
      <c r="T1541" s="9">
        <v>4.45</v>
      </c>
      <c r="U1541" s="9">
        <v>1193.4269999999999</v>
      </c>
      <c r="V1541" s="45">
        <f t="shared" si="124"/>
        <v>-0.99627124239689557</v>
      </c>
      <c r="W1541" s="12">
        <v>10.75</v>
      </c>
      <c r="X1541" s="12">
        <v>3.72</v>
      </c>
      <c r="Y1541" s="62">
        <v>6.5</v>
      </c>
    </row>
    <row r="1542" spans="1:25" x14ac:dyDescent="0.2">
      <c r="A1542" s="3" t="s">
        <v>3803</v>
      </c>
      <c r="B1542" s="3" t="s">
        <v>2027</v>
      </c>
      <c r="C1542" s="6" t="s">
        <v>355</v>
      </c>
      <c r="D1542" s="6" t="s">
        <v>2028</v>
      </c>
      <c r="E1542" s="6" t="s">
        <v>218</v>
      </c>
      <c r="F1542" s="6">
        <v>3088.06</v>
      </c>
      <c r="G1542" s="2">
        <v>12</v>
      </c>
      <c r="H1542" s="61">
        <v>4.18</v>
      </c>
      <c r="I1542" s="61">
        <v>3.75</v>
      </c>
      <c r="J1542" s="47">
        <f t="shared" si="120"/>
        <v>-0.65166666666666673</v>
      </c>
      <c r="K1542" s="47">
        <f t="shared" si="121"/>
        <v>-0.10287081339712913</v>
      </c>
      <c r="L1542" s="8">
        <v>3.29</v>
      </c>
      <c r="M1542" s="8">
        <v>16.45</v>
      </c>
      <c r="N1542" s="8">
        <v>16.37</v>
      </c>
      <c r="O1542" s="17">
        <f t="shared" si="122"/>
        <v>-0.25242966751918156</v>
      </c>
      <c r="P1542" s="17">
        <f t="shared" si="123"/>
        <v>-1.5913162790697686</v>
      </c>
      <c r="Q1542" s="17">
        <v>18.64</v>
      </c>
      <c r="R1542" s="9">
        <v>20220803</v>
      </c>
      <c r="S1542" s="9">
        <v>11</v>
      </c>
      <c r="T1542" s="9">
        <v>6.81</v>
      </c>
      <c r="U1542" s="9">
        <v>3841</v>
      </c>
      <c r="V1542" s="45">
        <f t="shared" si="124"/>
        <v>-0.99822702421244469</v>
      </c>
      <c r="W1542" s="12">
        <v>-70.930000000000007</v>
      </c>
      <c r="X1542" s="12">
        <v>0</v>
      </c>
      <c r="Y1542" s="62"/>
    </row>
    <row r="1543" spans="1:25" x14ac:dyDescent="0.2">
      <c r="A1543" s="3" t="s">
        <v>3804</v>
      </c>
      <c r="B1543" s="3" t="s">
        <v>1528</v>
      </c>
      <c r="C1543" s="6" t="s">
        <v>355</v>
      </c>
      <c r="D1543" s="6" t="s">
        <v>185</v>
      </c>
      <c r="E1543" s="6" t="s">
        <v>208</v>
      </c>
      <c r="F1543" s="6">
        <v>74180.09</v>
      </c>
      <c r="G1543" s="2">
        <v>12</v>
      </c>
      <c r="H1543" s="61">
        <v>70.790000000000006</v>
      </c>
      <c r="I1543" s="61">
        <v>42.01</v>
      </c>
      <c r="J1543" s="47">
        <f t="shared" si="120"/>
        <v>4.8991666666666669</v>
      </c>
      <c r="K1543" s="47">
        <f t="shared" si="121"/>
        <v>-0.40655459810707734</v>
      </c>
      <c r="L1543" s="8">
        <v>44.38</v>
      </c>
      <c r="M1543" s="8">
        <v>8.9499999999999993</v>
      </c>
      <c r="N1543" s="8">
        <v>16.27</v>
      </c>
      <c r="O1543" s="17">
        <f t="shared" si="122"/>
        <v>1.8268412995407379E-2</v>
      </c>
      <c r="P1543" s="17">
        <f t="shared" si="123"/>
        <v>-0.40019225156358573</v>
      </c>
      <c r="Q1543" s="17">
        <v>15.4</v>
      </c>
      <c r="R1543" s="9">
        <v>20220804</v>
      </c>
      <c r="S1543" s="9">
        <v>50.1</v>
      </c>
      <c r="T1543" s="9">
        <v>23.89</v>
      </c>
      <c r="U1543" s="9">
        <v>11755.221670000001</v>
      </c>
      <c r="V1543" s="45">
        <f t="shared" si="124"/>
        <v>-0.99796771165439035</v>
      </c>
      <c r="W1543" s="12">
        <v>22.63</v>
      </c>
      <c r="X1543" s="12">
        <v>0</v>
      </c>
      <c r="Y1543" s="62">
        <v>2.0299999999999998</v>
      </c>
    </row>
    <row r="1544" spans="1:25" x14ac:dyDescent="0.2">
      <c r="A1544" s="3" t="s">
        <v>2258</v>
      </c>
      <c r="B1544" s="3" t="s">
        <v>2258</v>
      </c>
      <c r="C1544" s="6" t="s">
        <v>354</v>
      </c>
      <c r="D1544" s="6" t="s">
        <v>175</v>
      </c>
      <c r="E1544" s="6" t="s">
        <v>119</v>
      </c>
      <c r="F1544" s="6">
        <v>55447.51</v>
      </c>
      <c r="G1544" s="2">
        <v>12</v>
      </c>
      <c r="H1544" s="61">
        <v>1.1599999999999999</v>
      </c>
      <c r="I1544" s="61">
        <v>1.31</v>
      </c>
      <c r="J1544" s="47">
        <f t="shared" si="120"/>
        <v>-0.90333333333333332</v>
      </c>
      <c r="K1544" s="47">
        <f t="shared" si="121"/>
        <v>0.12931034482758633</v>
      </c>
      <c r="L1544" s="8">
        <v>1.45</v>
      </c>
      <c r="N1544" s="8">
        <v>21.92</v>
      </c>
      <c r="O1544" s="17">
        <f t="shared" si="122"/>
        <v>0</v>
      </c>
      <c r="P1544" s="17">
        <f t="shared" si="123"/>
        <v>1.695146666666665</v>
      </c>
      <c r="Q1544" s="17">
        <v>19.809999999999999</v>
      </c>
      <c r="V1544" s="45" t="e">
        <f t="shared" si="124"/>
        <v>#DIV/0!</v>
      </c>
      <c r="X1544" s="12">
        <v>3.36</v>
      </c>
      <c r="Y1544" s="62">
        <v>2.14</v>
      </c>
    </row>
    <row r="1545" spans="1:25" x14ac:dyDescent="0.2">
      <c r="A1545" s="3" t="s">
        <v>3805</v>
      </c>
      <c r="B1545" s="3" t="s">
        <v>1529</v>
      </c>
      <c r="C1545" s="6" t="s">
        <v>356</v>
      </c>
      <c r="D1545" s="6" t="s">
        <v>116</v>
      </c>
      <c r="E1545" s="6" t="s">
        <v>154</v>
      </c>
      <c r="F1545" s="6">
        <v>9002.84</v>
      </c>
      <c r="G1545" s="2">
        <v>3</v>
      </c>
      <c r="H1545" s="61">
        <v>0.45</v>
      </c>
      <c r="I1545" s="61">
        <v>0.53</v>
      </c>
      <c r="J1545" s="47">
        <f t="shared" si="120"/>
        <v>-0.85</v>
      </c>
      <c r="K1545" s="47">
        <f t="shared" si="121"/>
        <v>0.17777777777777781</v>
      </c>
      <c r="L1545" s="8">
        <v>0.59</v>
      </c>
      <c r="N1545" s="8">
        <v>33.21</v>
      </c>
      <c r="O1545" s="17">
        <f t="shared" si="122"/>
        <v>0</v>
      </c>
      <c r="P1545" s="17">
        <f t="shared" si="123"/>
        <v>1.8680624999999995</v>
      </c>
      <c r="Q1545" s="17">
        <v>29.83</v>
      </c>
      <c r="R1545" s="9">
        <v>20220602</v>
      </c>
      <c r="U1545" s="9">
        <v>1617.48999</v>
      </c>
      <c r="V1545" s="45">
        <f t="shared" si="124"/>
        <v>-1</v>
      </c>
      <c r="X1545" s="12">
        <v>0.85</v>
      </c>
      <c r="Y1545" s="62"/>
    </row>
    <row r="1546" spans="1:25" x14ac:dyDescent="0.2">
      <c r="A1546" s="3" t="s">
        <v>3806</v>
      </c>
      <c r="B1546" s="3" t="s">
        <v>1530</v>
      </c>
      <c r="C1546" s="6" t="s">
        <v>356</v>
      </c>
      <c r="D1546" s="6" t="s">
        <v>204</v>
      </c>
      <c r="E1546" s="6" t="s">
        <v>218</v>
      </c>
      <c r="F1546" s="6">
        <v>24541.95</v>
      </c>
      <c r="G1546" s="2">
        <v>12</v>
      </c>
      <c r="H1546" s="61">
        <v>1.77</v>
      </c>
      <c r="I1546" s="61">
        <v>4.0599999999999996</v>
      </c>
      <c r="J1546" s="47">
        <f t="shared" si="120"/>
        <v>-0.85250000000000004</v>
      </c>
      <c r="K1546" s="47">
        <f t="shared" si="121"/>
        <v>1.293785310734463</v>
      </c>
      <c r="L1546" s="8">
        <v>3.07</v>
      </c>
      <c r="M1546" s="8">
        <v>6.9</v>
      </c>
      <c r="N1546" s="8">
        <v>3.96</v>
      </c>
      <c r="O1546" s="17">
        <f t="shared" si="122"/>
        <v>-8.0938416422287399E-2</v>
      </c>
      <c r="P1546" s="17">
        <f t="shared" si="123"/>
        <v>3.0607860262008738E-2</v>
      </c>
      <c r="Q1546" s="17">
        <v>5.23</v>
      </c>
      <c r="R1546" s="9">
        <v>20220804</v>
      </c>
      <c r="S1546" s="9">
        <v>13.33</v>
      </c>
      <c r="T1546" s="9">
        <v>0.66</v>
      </c>
      <c r="U1546" s="9">
        <v>71520.226559999996</v>
      </c>
      <c r="V1546" s="45">
        <f t="shared" si="124"/>
        <v>-0.99999077184131335</v>
      </c>
      <c r="W1546" s="12">
        <v>-4.76</v>
      </c>
      <c r="X1546" s="12">
        <v>3.29</v>
      </c>
      <c r="Y1546" s="62">
        <v>0.48</v>
      </c>
    </row>
    <row r="1547" spans="1:25" x14ac:dyDescent="0.2">
      <c r="A1547" s="3" t="s">
        <v>3807</v>
      </c>
      <c r="B1547" s="3" t="s">
        <v>1531</v>
      </c>
      <c r="C1547" s="6" t="s">
        <v>354</v>
      </c>
      <c r="D1547" s="6" t="s">
        <v>215</v>
      </c>
      <c r="E1547" s="6" t="s">
        <v>163</v>
      </c>
      <c r="F1547" s="6">
        <v>10404.57</v>
      </c>
      <c r="G1547" s="2">
        <v>12</v>
      </c>
      <c r="H1547" s="61">
        <v>1.62</v>
      </c>
      <c r="I1547" s="61">
        <v>1.93</v>
      </c>
      <c r="J1547" s="47">
        <f t="shared" si="120"/>
        <v>-0.86499999999999988</v>
      </c>
      <c r="K1547" s="47">
        <f t="shared" si="121"/>
        <v>0.1913580246913579</v>
      </c>
      <c r="L1547" s="8">
        <v>2.21</v>
      </c>
      <c r="M1547" s="8">
        <v>36.03</v>
      </c>
      <c r="N1547" s="8">
        <v>32.630000000000003</v>
      </c>
      <c r="O1547" s="17">
        <f t="shared" si="122"/>
        <v>-0.41653179190751455</v>
      </c>
      <c r="P1547" s="17">
        <f t="shared" si="123"/>
        <v>1.7051806451612916</v>
      </c>
      <c r="Q1547" s="17">
        <v>28.5</v>
      </c>
      <c r="R1547" s="9">
        <v>20220720</v>
      </c>
      <c r="S1547" s="9">
        <v>3.22</v>
      </c>
      <c r="T1547" s="9">
        <v>28.29</v>
      </c>
      <c r="U1547" s="9">
        <v>593.21501999999998</v>
      </c>
      <c r="V1547" s="45">
        <f t="shared" si="124"/>
        <v>-0.95231071526139044</v>
      </c>
      <c r="W1547" s="12">
        <v>6.67</v>
      </c>
      <c r="X1547" s="12">
        <v>2</v>
      </c>
      <c r="Y1547" s="62">
        <v>3.2</v>
      </c>
    </row>
    <row r="1548" spans="1:25" x14ac:dyDescent="0.2">
      <c r="A1548" s="3" t="s">
        <v>3808</v>
      </c>
      <c r="B1548" s="3" t="s">
        <v>1532</v>
      </c>
      <c r="C1548" s="6" t="s">
        <v>355</v>
      </c>
      <c r="D1548" s="6" t="s">
        <v>544</v>
      </c>
      <c r="E1548" s="6" t="s">
        <v>146</v>
      </c>
      <c r="F1548" s="6">
        <v>5712.46</v>
      </c>
      <c r="G1548" s="2">
        <v>12</v>
      </c>
      <c r="H1548" s="61">
        <v>1.57</v>
      </c>
      <c r="I1548" s="61">
        <v>1.59</v>
      </c>
      <c r="J1548" s="47">
        <f t="shared" si="120"/>
        <v>-0.86916666666666664</v>
      </c>
      <c r="K1548" s="47">
        <f t="shared" si="121"/>
        <v>1.2738853503184724E-2</v>
      </c>
      <c r="L1548" s="8">
        <v>1.8</v>
      </c>
      <c r="M1548" s="8">
        <v>18.27</v>
      </c>
      <c r="N1548" s="8">
        <v>17.16</v>
      </c>
      <c r="O1548" s="17">
        <f t="shared" si="122"/>
        <v>-0.2102013422818792</v>
      </c>
      <c r="P1548" s="17">
        <f t="shared" si="123"/>
        <v>13.470599999999989</v>
      </c>
      <c r="Q1548" s="17">
        <v>15.15</v>
      </c>
      <c r="R1548" s="9">
        <v>20220801</v>
      </c>
      <c r="S1548" s="9">
        <v>18.28</v>
      </c>
      <c r="U1548" s="9">
        <v>3959.6069299999999</v>
      </c>
      <c r="V1548" s="45">
        <f t="shared" si="124"/>
        <v>-1</v>
      </c>
      <c r="W1548" s="12">
        <v>4</v>
      </c>
      <c r="X1548" s="12">
        <v>3.38</v>
      </c>
      <c r="Y1548" s="62"/>
    </row>
    <row r="1549" spans="1:25" x14ac:dyDescent="0.2">
      <c r="A1549" s="3" t="s">
        <v>3809</v>
      </c>
      <c r="B1549" s="3" t="s">
        <v>1533</v>
      </c>
      <c r="C1549" s="6" t="s">
        <v>354</v>
      </c>
      <c r="D1549" s="6" t="s">
        <v>226</v>
      </c>
      <c r="E1549" s="6" t="s">
        <v>201</v>
      </c>
      <c r="F1549" s="6">
        <v>3445.99</v>
      </c>
      <c r="G1549" s="2">
        <v>12</v>
      </c>
      <c r="H1549" s="61">
        <v>1.55</v>
      </c>
      <c r="I1549" s="61">
        <v>2.39</v>
      </c>
      <c r="J1549" s="47">
        <f t="shared" si="120"/>
        <v>-0.87083333333333324</v>
      </c>
      <c r="K1549" s="47">
        <f t="shared" si="121"/>
        <v>0.54193548387096779</v>
      </c>
      <c r="L1549" s="8">
        <v>2.67</v>
      </c>
      <c r="M1549" s="8">
        <v>12.61</v>
      </c>
      <c r="N1549" s="8">
        <v>9.91</v>
      </c>
      <c r="O1549" s="17">
        <f t="shared" si="122"/>
        <v>-0.14480382775119618</v>
      </c>
      <c r="P1549" s="17">
        <f t="shared" si="123"/>
        <v>0.18286309523809521</v>
      </c>
      <c r="Q1549" s="17">
        <v>8.8699999999999992</v>
      </c>
      <c r="R1549" s="9">
        <v>20220804</v>
      </c>
      <c r="S1549" s="9">
        <v>12.62</v>
      </c>
      <c r="T1549" s="9">
        <v>7.06</v>
      </c>
      <c r="U1549" s="9">
        <v>6555.2148399999996</v>
      </c>
      <c r="V1549" s="45">
        <f t="shared" si="124"/>
        <v>-0.99892299487166769</v>
      </c>
      <c r="W1549" s="12">
        <v>38.1</v>
      </c>
      <c r="X1549" s="12">
        <v>0</v>
      </c>
      <c r="Y1549" s="62"/>
    </row>
    <row r="1550" spans="1:25" x14ac:dyDescent="0.2">
      <c r="A1550" s="3" t="s">
        <v>3810</v>
      </c>
      <c r="B1550" s="3" t="s">
        <v>1534</v>
      </c>
      <c r="C1550" s="6" t="s">
        <v>354</v>
      </c>
      <c r="D1550" s="6" t="s">
        <v>106</v>
      </c>
      <c r="E1550" s="6" t="s">
        <v>163</v>
      </c>
      <c r="F1550" s="6">
        <v>20194.54</v>
      </c>
      <c r="G1550" s="2">
        <v>12</v>
      </c>
      <c r="H1550" s="61">
        <v>2.5499999999999998</v>
      </c>
      <c r="I1550" s="61">
        <v>2.23</v>
      </c>
      <c r="J1550" s="47">
        <f t="shared" si="120"/>
        <v>-0.78749999999999998</v>
      </c>
      <c r="K1550" s="47">
        <f t="shared" si="121"/>
        <v>-0.12549019607843132</v>
      </c>
      <c r="L1550" s="8">
        <v>2.44</v>
      </c>
      <c r="M1550" s="8">
        <v>8.93</v>
      </c>
      <c r="N1550" s="8">
        <v>9.68</v>
      </c>
      <c r="O1550" s="17">
        <f t="shared" si="122"/>
        <v>-0.1133968253968254</v>
      </c>
      <c r="P1550" s="17">
        <f t="shared" si="123"/>
        <v>-0.77137500000000037</v>
      </c>
      <c r="Q1550" s="17">
        <v>8.86</v>
      </c>
      <c r="R1550" s="9">
        <v>20220722</v>
      </c>
      <c r="S1550" s="9">
        <v>14.96</v>
      </c>
      <c r="T1550" s="9">
        <v>2.2400000000000002</v>
      </c>
      <c r="U1550" s="9">
        <v>6789.375</v>
      </c>
      <c r="V1550" s="45">
        <f t="shared" si="124"/>
        <v>-0.99967007272392527</v>
      </c>
      <c r="W1550" s="12">
        <v>14.58</v>
      </c>
      <c r="X1550" s="12">
        <v>3.15</v>
      </c>
      <c r="Y1550" s="62">
        <v>0.6</v>
      </c>
    </row>
    <row r="1551" spans="1:25" x14ac:dyDescent="0.2">
      <c r="A1551" s="3" t="s">
        <v>3811</v>
      </c>
      <c r="B1551" s="3" t="s">
        <v>1535</v>
      </c>
      <c r="C1551" s="6" t="s">
        <v>354</v>
      </c>
      <c r="D1551" s="6" t="s">
        <v>170</v>
      </c>
      <c r="E1551" s="6" t="s">
        <v>163</v>
      </c>
      <c r="F1551" s="6">
        <v>8271.24</v>
      </c>
      <c r="G1551" s="2">
        <v>12</v>
      </c>
      <c r="H1551" s="61">
        <v>2.5099999999999998</v>
      </c>
      <c r="I1551" s="61">
        <v>9.76</v>
      </c>
      <c r="J1551" s="47">
        <f t="shared" si="120"/>
        <v>-0.79083333333333339</v>
      </c>
      <c r="K1551" s="47">
        <f t="shared" si="121"/>
        <v>2.8884462151394423</v>
      </c>
      <c r="L1551" s="8">
        <v>15.25</v>
      </c>
      <c r="M1551" s="8">
        <v>44.1</v>
      </c>
      <c r="N1551" s="8">
        <v>12.66</v>
      </c>
      <c r="O1551" s="17">
        <f t="shared" si="122"/>
        <v>-0.55763962065331929</v>
      </c>
      <c r="P1551" s="17">
        <f t="shared" si="123"/>
        <v>4.3829793103448277E-2</v>
      </c>
      <c r="Q1551" s="17">
        <v>8.1</v>
      </c>
      <c r="R1551" s="9">
        <v>20220802</v>
      </c>
      <c r="S1551" s="9">
        <v>1.59</v>
      </c>
      <c r="T1551" s="9">
        <v>7.06</v>
      </c>
      <c r="U1551" s="9">
        <v>16548.369139999999</v>
      </c>
      <c r="V1551" s="45">
        <f t="shared" si="124"/>
        <v>-0.99957337185675077</v>
      </c>
      <c r="W1551" s="12">
        <v>177.05</v>
      </c>
      <c r="X1551" s="12">
        <v>2.36</v>
      </c>
      <c r="Y1551" s="62"/>
    </row>
    <row r="1552" spans="1:25" x14ac:dyDescent="0.2">
      <c r="A1552" s="3" t="s">
        <v>3812</v>
      </c>
      <c r="B1552" s="3" t="s">
        <v>1536</v>
      </c>
      <c r="C1552" s="6" t="s">
        <v>355</v>
      </c>
      <c r="D1552" s="6" t="s">
        <v>185</v>
      </c>
      <c r="E1552" s="6" t="s">
        <v>208</v>
      </c>
      <c r="F1552" s="6">
        <v>8663.48</v>
      </c>
      <c r="G1552" s="2">
        <v>12</v>
      </c>
      <c r="H1552" s="61">
        <v>2.9</v>
      </c>
      <c r="I1552" s="61">
        <v>3.12</v>
      </c>
      <c r="J1552" s="47">
        <f t="shared" si="120"/>
        <v>-0.7583333333333333</v>
      </c>
      <c r="K1552" s="47">
        <f t="shared" si="121"/>
        <v>7.586206896551731E-2</v>
      </c>
      <c r="L1552" s="8">
        <v>3.64</v>
      </c>
      <c r="M1552" s="8">
        <v>48.23</v>
      </c>
      <c r="N1552" s="8">
        <v>50.99</v>
      </c>
      <c r="O1552" s="17">
        <f t="shared" si="122"/>
        <v>-0.63600000000000001</v>
      </c>
      <c r="P1552" s="17">
        <f t="shared" si="123"/>
        <v>6.7214090909090851</v>
      </c>
      <c r="Q1552" s="17">
        <v>43.74</v>
      </c>
      <c r="R1552" s="9">
        <v>20220726</v>
      </c>
      <c r="S1552" s="9">
        <v>11.13</v>
      </c>
      <c r="T1552" s="9">
        <v>45</v>
      </c>
      <c r="U1552" s="9">
        <v>786.72198000000003</v>
      </c>
      <c r="V1552" s="45">
        <f t="shared" si="124"/>
        <v>-0.94280063206064235</v>
      </c>
      <c r="W1552" s="12">
        <v>27.78</v>
      </c>
      <c r="X1552" s="12">
        <v>0</v>
      </c>
      <c r="Y1552" s="62"/>
    </row>
    <row r="1553" spans="1:25" x14ac:dyDescent="0.2">
      <c r="A1553" s="3" t="s">
        <v>3813</v>
      </c>
      <c r="B1553" s="3" t="s">
        <v>1537</v>
      </c>
      <c r="C1553" s="6" t="s">
        <v>355</v>
      </c>
      <c r="D1553" s="6" t="s">
        <v>196</v>
      </c>
      <c r="E1553" s="6" t="s">
        <v>60</v>
      </c>
      <c r="F1553" s="6">
        <v>7549.8</v>
      </c>
      <c r="G1553" s="2">
        <v>12</v>
      </c>
      <c r="H1553" s="61">
        <v>3.54</v>
      </c>
      <c r="I1553" s="61">
        <v>3.73</v>
      </c>
      <c r="J1553" s="47">
        <f t="shared" si="120"/>
        <v>-0.70500000000000007</v>
      </c>
      <c r="K1553" s="47">
        <f t="shared" si="121"/>
        <v>5.3672316384180775E-2</v>
      </c>
      <c r="L1553" s="8">
        <v>4.22</v>
      </c>
      <c r="M1553" s="8">
        <v>27.72</v>
      </c>
      <c r="N1553" s="8">
        <v>30.84</v>
      </c>
      <c r="O1553" s="17">
        <f t="shared" si="122"/>
        <v>-0.39319148936170212</v>
      </c>
      <c r="P1553" s="17">
        <f t="shared" si="123"/>
        <v>5.745978947368422</v>
      </c>
      <c r="Q1553" s="17">
        <v>27.26</v>
      </c>
      <c r="R1553" s="9">
        <v>20220810</v>
      </c>
      <c r="S1553" s="9">
        <v>10.61</v>
      </c>
      <c r="T1553" s="9">
        <v>10.02</v>
      </c>
      <c r="U1553" s="9">
        <v>646</v>
      </c>
      <c r="V1553" s="45">
        <f t="shared" si="124"/>
        <v>-0.9844891640866873</v>
      </c>
      <c r="W1553" s="12">
        <v>10.31</v>
      </c>
      <c r="X1553" s="12">
        <v>1.22</v>
      </c>
      <c r="Y1553" s="62">
        <v>3.08</v>
      </c>
    </row>
    <row r="1554" spans="1:25" x14ac:dyDescent="0.2">
      <c r="A1554" s="3" t="s">
        <v>1538</v>
      </c>
      <c r="B1554" s="3" t="s">
        <v>1538</v>
      </c>
      <c r="C1554" s="6" t="s">
        <v>354</v>
      </c>
      <c r="D1554" s="6" t="s">
        <v>408</v>
      </c>
      <c r="E1554" s="6" t="s">
        <v>231</v>
      </c>
      <c r="F1554" s="6">
        <v>6043.94</v>
      </c>
      <c r="G1554" s="2">
        <v>1</v>
      </c>
      <c r="H1554" s="61">
        <v>26.05</v>
      </c>
      <c r="I1554" s="61">
        <v>26.45</v>
      </c>
      <c r="J1554" s="47">
        <f t="shared" si="120"/>
        <v>25.05</v>
      </c>
      <c r="K1554" s="47">
        <f t="shared" si="121"/>
        <v>1.535508637236079E-2</v>
      </c>
      <c r="L1554" s="8">
        <v>28.44</v>
      </c>
      <c r="M1554" s="8">
        <v>10.68</v>
      </c>
      <c r="N1554" s="8">
        <v>10.52</v>
      </c>
      <c r="O1554" s="17">
        <f t="shared" si="122"/>
        <v>4.2634730538922156E-3</v>
      </c>
      <c r="P1554" s="17">
        <f t="shared" si="123"/>
        <v>6.8511500000000236</v>
      </c>
      <c r="Q1554" s="17">
        <v>9.7899999999999991</v>
      </c>
      <c r="R1554" s="9">
        <v>20220608</v>
      </c>
      <c r="S1554" s="9">
        <v>85.67</v>
      </c>
      <c r="T1554" s="9">
        <v>9.4700000000000006</v>
      </c>
      <c r="U1554" s="9">
        <v>4027.85302</v>
      </c>
      <c r="V1554" s="45">
        <f t="shared" si="124"/>
        <v>-0.99764887150723291</v>
      </c>
      <c r="W1554" s="12">
        <v>0.35</v>
      </c>
      <c r="X1554" s="12">
        <v>0</v>
      </c>
      <c r="Y1554" s="62">
        <v>0.93</v>
      </c>
    </row>
    <row r="1555" spans="1:25" x14ac:dyDescent="0.2">
      <c r="A1555" s="3" t="s">
        <v>3814</v>
      </c>
      <c r="B1555" s="3" t="s">
        <v>1539</v>
      </c>
      <c r="C1555" s="6" t="s">
        <v>356</v>
      </c>
      <c r="D1555" s="6" t="s">
        <v>179</v>
      </c>
      <c r="E1555" s="6" t="s">
        <v>208</v>
      </c>
      <c r="F1555" s="6">
        <v>295943.90999999997</v>
      </c>
      <c r="G1555" s="2">
        <v>12</v>
      </c>
      <c r="H1555" s="61">
        <v>2.79</v>
      </c>
      <c r="I1555" s="61">
        <v>2.73</v>
      </c>
      <c r="J1555" s="47">
        <f t="shared" si="120"/>
        <v>-0.76750000000000007</v>
      </c>
      <c r="K1555" s="47">
        <f t="shared" si="121"/>
        <v>-2.1505376344086041E-2</v>
      </c>
      <c r="L1555" s="8">
        <v>2.8</v>
      </c>
      <c r="N1555" s="8">
        <v>15.89</v>
      </c>
      <c r="O1555" s="17">
        <f t="shared" si="122"/>
        <v>0</v>
      </c>
      <c r="P1555" s="17">
        <f t="shared" si="123"/>
        <v>-7.3888499999999935</v>
      </c>
      <c r="Q1555" s="17">
        <v>15.48</v>
      </c>
      <c r="U1555" s="9">
        <v>70459.007809999996</v>
      </c>
      <c r="V1555" s="45">
        <f t="shared" si="124"/>
        <v>-1</v>
      </c>
      <c r="X1555" s="12">
        <v>1.79</v>
      </c>
      <c r="Y1555" s="62">
        <v>2.63</v>
      </c>
    </row>
    <row r="1556" spans="1:25" x14ac:dyDescent="0.2">
      <c r="A1556" s="3" t="s">
        <v>3815</v>
      </c>
      <c r="B1556" s="3" t="s">
        <v>1540</v>
      </c>
      <c r="C1556" s="6" t="s">
        <v>354</v>
      </c>
      <c r="D1556" s="6" t="s">
        <v>1010</v>
      </c>
      <c r="E1556" s="6" t="s">
        <v>108</v>
      </c>
      <c r="F1556" s="6">
        <v>9604.73</v>
      </c>
      <c r="G1556" s="2">
        <v>12</v>
      </c>
      <c r="H1556" s="61">
        <v>5.29</v>
      </c>
      <c r="I1556" s="61">
        <v>6.4</v>
      </c>
      <c r="J1556" s="47">
        <f t="shared" si="120"/>
        <v>-0.5591666666666667</v>
      </c>
      <c r="K1556" s="47">
        <f t="shared" si="121"/>
        <v>0.20982986767485828</v>
      </c>
      <c r="L1556" s="8">
        <v>6.87</v>
      </c>
      <c r="M1556" s="8">
        <v>14.76</v>
      </c>
      <c r="N1556" s="8">
        <v>13.58</v>
      </c>
      <c r="O1556" s="17">
        <f t="shared" si="122"/>
        <v>-0.26396423248882261</v>
      </c>
      <c r="P1556" s="17">
        <f t="shared" si="123"/>
        <v>0.64719099099099076</v>
      </c>
      <c r="Q1556" s="17">
        <v>12.65</v>
      </c>
      <c r="R1556" s="9">
        <v>20220728</v>
      </c>
      <c r="S1556" s="9">
        <v>48.53</v>
      </c>
      <c r="T1556" s="9">
        <v>2.62</v>
      </c>
      <c r="U1556" s="9">
        <v>7540.4868100000003</v>
      </c>
      <c r="V1556" s="45">
        <f t="shared" si="124"/>
        <v>-0.99965254232703848</v>
      </c>
      <c r="W1556" s="12">
        <v>3.4</v>
      </c>
      <c r="X1556" s="12">
        <v>1.98</v>
      </c>
      <c r="Y1556" s="62">
        <v>1.43</v>
      </c>
    </row>
    <row r="1557" spans="1:25" x14ac:dyDescent="0.2">
      <c r="A1557" s="3" t="s">
        <v>3816</v>
      </c>
      <c r="B1557" s="3" t="s">
        <v>1541</v>
      </c>
      <c r="C1557" s="6" t="s">
        <v>354</v>
      </c>
      <c r="D1557" s="6" t="s">
        <v>215</v>
      </c>
      <c r="E1557" s="6" t="s">
        <v>163</v>
      </c>
      <c r="F1557" s="6">
        <v>4788.87</v>
      </c>
      <c r="G1557" s="2">
        <v>12</v>
      </c>
      <c r="H1557" s="61">
        <v>0.87</v>
      </c>
      <c r="I1557" s="61">
        <v>5.91</v>
      </c>
      <c r="J1557" s="47">
        <f t="shared" si="120"/>
        <v>-0.9275000000000001</v>
      </c>
      <c r="K1557" s="47">
        <f t="shared" si="121"/>
        <v>5.7931034482758621</v>
      </c>
      <c r="L1557" s="8">
        <v>7.74</v>
      </c>
      <c r="M1557" s="8">
        <v>35.020000000000003</v>
      </c>
      <c r="N1557" s="8">
        <v>14.68</v>
      </c>
      <c r="O1557" s="17">
        <f t="shared" si="122"/>
        <v>-0.3775741239892183</v>
      </c>
      <c r="P1557" s="17">
        <f t="shared" si="123"/>
        <v>2.5340476190476191E-2</v>
      </c>
      <c r="Q1557" s="17">
        <v>11.22</v>
      </c>
      <c r="R1557" s="9">
        <v>20220802</v>
      </c>
      <c r="S1557" s="9">
        <v>-1684.43</v>
      </c>
      <c r="T1557" s="9">
        <v>-14.37</v>
      </c>
      <c r="U1557" s="9">
        <v>1606.8439900000001</v>
      </c>
      <c r="V1557" s="45">
        <f t="shared" si="124"/>
        <v>-1.0089429963888403</v>
      </c>
      <c r="W1557" s="12">
        <v>-28.41</v>
      </c>
      <c r="X1557" s="12">
        <v>0</v>
      </c>
      <c r="Y1557" s="62"/>
    </row>
    <row r="1558" spans="1:25" x14ac:dyDescent="0.2">
      <c r="A1558" s="3" t="s">
        <v>3817</v>
      </c>
      <c r="B1558" s="3" t="s">
        <v>3818</v>
      </c>
      <c r="C1558" s="6" t="s">
        <v>3819</v>
      </c>
      <c r="D1558" s="6" t="s">
        <v>600</v>
      </c>
      <c r="E1558" s="6" t="s">
        <v>119</v>
      </c>
      <c r="F1558" s="6">
        <v>5157.12</v>
      </c>
      <c r="G1558" s="2">
        <v>3</v>
      </c>
      <c r="H1558" s="61">
        <v>0.47</v>
      </c>
      <c r="I1558" s="61">
        <v>0.67</v>
      </c>
      <c r="J1558" s="47">
        <f t="shared" si="120"/>
        <v>-0.84333333333333338</v>
      </c>
      <c r="K1558" s="47">
        <f t="shared" si="121"/>
        <v>0.42553191489361719</v>
      </c>
      <c r="L1558" s="8">
        <v>0.76</v>
      </c>
      <c r="M1558" s="8">
        <v>20.23</v>
      </c>
      <c r="N1558" s="8">
        <v>12.07</v>
      </c>
      <c r="O1558" s="17">
        <f t="shared" si="122"/>
        <v>-0.23988142292490117</v>
      </c>
      <c r="P1558" s="17">
        <f t="shared" si="123"/>
        <v>0.28364499999999987</v>
      </c>
      <c r="Q1558" s="17">
        <v>10.57</v>
      </c>
      <c r="R1558" s="9">
        <v>20220803</v>
      </c>
      <c r="S1558" s="9">
        <v>3.41</v>
      </c>
      <c r="T1558" s="9">
        <v>-3.94</v>
      </c>
      <c r="U1558" s="9">
        <v>17473.359369999998</v>
      </c>
      <c r="V1558" s="45">
        <f t="shared" si="124"/>
        <v>-1.0002254861195587</v>
      </c>
      <c r="W1558" s="12">
        <v>-44.44</v>
      </c>
      <c r="X1558" s="12">
        <v>2.0699999999999998</v>
      </c>
      <c r="Y1558" s="62"/>
    </row>
    <row r="1559" spans="1:25" x14ac:dyDescent="0.2">
      <c r="A1559" s="3" t="s">
        <v>3820</v>
      </c>
      <c r="B1559" s="3" t="s">
        <v>1542</v>
      </c>
      <c r="C1559" s="6" t="s">
        <v>354</v>
      </c>
      <c r="D1559" s="6" t="s">
        <v>197</v>
      </c>
      <c r="E1559" s="6" t="s">
        <v>60</v>
      </c>
      <c r="F1559" s="6">
        <v>90580.479999999996</v>
      </c>
      <c r="G1559" s="2">
        <v>12</v>
      </c>
      <c r="H1559" s="61">
        <v>13.22</v>
      </c>
      <c r="I1559" s="61">
        <v>11.55</v>
      </c>
      <c r="J1559" s="47">
        <f t="shared" si="120"/>
        <v>0.10166666666666672</v>
      </c>
      <c r="K1559" s="47">
        <f t="shared" si="121"/>
        <v>-0.12632375189107412</v>
      </c>
      <c r="L1559" s="8">
        <v>9.11</v>
      </c>
      <c r="N1559" s="8">
        <v>6.25</v>
      </c>
      <c r="O1559" s="17">
        <f t="shared" si="122"/>
        <v>0</v>
      </c>
      <c r="P1559" s="17">
        <f t="shared" si="123"/>
        <v>-0.49476047904191622</v>
      </c>
      <c r="Q1559" s="17">
        <v>7.92</v>
      </c>
      <c r="U1559" s="9">
        <v>53986.398430000001</v>
      </c>
      <c r="V1559" s="45">
        <f t="shared" si="124"/>
        <v>-1</v>
      </c>
      <c r="X1559" s="12">
        <v>11.55</v>
      </c>
      <c r="Y1559" s="62">
        <v>1.95</v>
      </c>
    </row>
    <row r="1560" spans="1:25" x14ac:dyDescent="0.2">
      <c r="A1560" s="3" t="s">
        <v>3821</v>
      </c>
      <c r="B1560" s="3" t="s">
        <v>3822</v>
      </c>
      <c r="C1560" s="6" t="s">
        <v>355</v>
      </c>
      <c r="D1560" s="6" t="s">
        <v>44</v>
      </c>
      <c r="E1560" s="6" t="s">
        <v>35</v>
      </c>
      <c r="F1560" s="6">
        <v>26323.13</v>
      </c>
      <c r="G1560" s="2">
        <v>12</v>
      </c>
      <c r="H1560" s="61">
        <v>-5.25</v>
      </c>
      <c r="I1560" s="61">
        <v>-6.39</v>
      </c>
      <c r="J1560" s="47">
        <f t="shared" si="120"/>
        <v>-1.4375</v>
      </c>
      <c r="K1560" s="47">
        <f t="shared" si="121"/>
        <v>-0.21714285714285708</v>
      </c>
      <c r="L1560" s="8">
        <v>-5.31</v>
      </c>
      <c r="O1560" s="17">
        <f t="shared" si="122"/>
        <v>0</v>
      </c>
      <c r="P1560" s="17">
        <f t="shared" si="123"/>
        <v>0</v>
      </c>
      <c r="Q1560" s="17"/>
      <c r="R1560" s="9">
        <v>20220810</v>
      </c>
      <c r="U1560" s="9">
        <v>1664.31799</v>
      </c>
      <c r="V1560" s="45">
        <f t="shared" si="124"/>
        <v>-1</v>
      </c>
      <c r="W1560" s="12">
        <v>4.67</v>
      </c>
      <c r="X1560" s="12">
        <v>0</v>
      </c>
      <c r="Y1560" s="62"/>
    </row>
    <row r="1561" spans="1:25" x14ac:dyDescent="0.2">
      <c r="A1561" s="3" t="s">
        <v>3823</v>
      </c>
      <c r="B1561" s="3" t="s">
        <v>1543</v>
      </c>
      <c r="C1561" s="6" t="s">
        <v>354</v>
      </c>
      <c r="D1561" s="6" t="s">
        <v>885</v>
      </c>
      <c r="E1561" s="6" t="s">
        <v>163</v>
      </c>
      <c r="F1561" s="6">
        <v>20019.02</v>
      </c>
      <c r="G1561" s="2">
        <v>9</v>
      </c>
      <c r="H1561" s="61">
        <v>6.75</v>
      </c>
      <c r="I1561" s="61">
        <v>7.46</v>
      </c>
      <c r="J1561" s="47">
        <f t="shared" si="120"/>
        <v>-0.25</v>
      </c>
      <c r="K1561" s="47">
        <f t="shared" si="121"/>
        <v>0.10518518518518517</v>
      </c>
      <c r="L1561" s="8">
        <v>9.4700000000000006</v>
      </c>
      <c r="M1561" s="8">
        <v>12.72</v>
      </c>
      <c r="N1561" s="8">
        <v>12.89</v>
      </c>
      <c r="O1561" s="17">
        <f t="shared" si="122"/>
        <v>-0.50880000000000003</v>
      </c>
      <c r="P1561" s="17">
        <f t="shared" si="123"/>
        <v>1.2254577464788734</v>
      </c>
      <c r="Q1561" s="17">
        <v>10.15</v>
      </c>
      <c r="R1561" s="9">
        <v>20220727</v>
      </c>
      <c r="S1561" s="9">
        <v>19.170000000000002</v>
      </c>
      <c r="T1561" s="9">
        <v>9.91</v>
      </c>
      <c r="U1561" s="9">
        <v>11057.252920000001</v>
      </c>
      <c r="V1561" s="45">
        <f t="shared" si="124"/>
        <v>-0.99910375569124632</v>
      </c>
      <c r="W1561" s="12">
        <v>-4.32</v>
      </c>
      <c r="X1561" s="12">
        <v>1.41</v>
      </c>
      <c r="Y1561" s="62"/>
    </row>
    <row r="1562" spans="1:25" x14ac:dyDescent="0.2">
      <c r="A1562" s="3" t="s">
        <v>3824</v>
      </c>
      <c r="B1562" s="3" t="s">
        <v>1544</v>
      </c>
      <c r="C1562" s="6" t="s">
        <v>354</v>
      </c>
      <c r="D1562" s="6" t="s">
        <v>233</v>
      </c>
      <c r="E1562" s="6" t="s">
        <v>108</v>
      </c>
      <c r="F1562" s="6">
        <v>18123.59</v>
      </c>
      <c r="G1562" s="2">
        <v>12</v>
      </c>
      <c r="H1562" s="61">
        <v>2.29</v>
      </c>
      <c r="I1562" s="61">
        <v>0.38</v>
      </c>
      <c r="J1562" s="47">
        <f t="shared" si="120"/>
        <v>-0.8091666666666667</v>
      </c>
      <c r="K1562" s="47">
        <f t="shared" si="121"/>
        <v>-0.8340611353711791</v>
      </c>
      <c r="L1562" s="8">
        <v>0.88</v>
      </c>
      <c r="M1562" s="8">
        <v>6.13</v>
      </c>
      <c r="N1562" s="8">
        <v>24</v>
      </c>
      <c r="O1562" s="17">
        <f t="shared" si="122"/>
        <v>-7.5756951596292477E-2</v>
      </c>
      <c r="P1562" s="17">
        <f t="shared" si="123"/>
        <v>-0.28774869109947643</v>
      </c>
      <c r="Q1562" s="17">
        <v>10.41</v>
      </c>
      <c r="R1562" s="9">
        <v>20220811</v>
      </c>
      <c r="S1562" s="9">
        <v>31.45</v>
      </c>
      <c r="U1562" s="9">
        <v>7239.7299800000001</v>
      </c>
      <c r="V1562" s="45">
        <f t="shared" si="124"/>
        <v>-1</v>
      </c>
      <c r="W1562" s="12">
        <v>-16.670000000000002</v>
      </c>
      <c r="X1562" s="12">
        <v>0</v>
      </c>
      <c r="Y1562" s="62">
        <v>2.4</v>
      </c>
    </row>
    <row r="1563" spans="1:25" x14ac:dyDescent="0.2">
      <c r="A1563" s="3" t="s">
        <v>3825</v>
      </c>
      <c r="B1563" s="3" t="s">
        <v>2259</v>
      </c>
      <c r="C1563" s="6" t="s">
        <v>356</v>
      </c>
      <c r="D1563" s="6" t="s">
        <v>176</v>
      </c>
      <c r="E1563" s="6" t="s">
        <v>119</v>
      </c>
      <c r="F1563" s="6">
        <v>8931.8700000000008</v>
      </c>
      <c r="G1563" s="2">
        <v>12</v>
      </c>
      <c r="H1563" s="61">
        <v>-0.67</v>
      </c>
      <c r="I1563" s="61">
        <v>-0.78</v>
      </c>
      <c r="J1563" s="47">
        <f t="shared" si="120"/>
        <v>-1.0558333333333334</v>
      </c>
      <c r="K1563" s="47">
        <f t="shared" si="121"/>
        <v>-0.16417910447761191</v>
      </c>
      <c r="L1563" s="8">
        <v>-0.26</v>
      </c>
      <c r="O1563" s="17">
        <f t="shared" si="122"/>
        <v>0</v>
      </c>
      <c r="P1563" s="17">
        <f t="shared" si="123"/>
        <v>0</v>
      </c>
      <c r="Q1563" s="17"/>
      <c r="R1563" s="9">
        <v>20220602</v>
      </c>
      <c r="S1563" s="9">
        <v>-12.47</v>
      </c>
      <c r="T1563" s="9">
        <v>17.010000000000002</v>
      </c>
      <c r="U1563" s="9">
        <v>17147.880850000001</v>
      </c>
      <c r="V1563" s="45">
        <f t="shared" si="124"/>
        <v>-0.99900804069326166</v>
      </c>
      <c r="X1563" s="12">
        <v>0.56000000000000005</v>
      </c>
      <c r="Y1563" s="62"/>
    </row>
    <row r="1564" spans="1:25" x14ac:dyDescent="0.2">
      <c r="A1564" s="3" t="s">
        <v>3826</v>
      </c>
      <c r="B1564" s="3" t="s">
        <v>1545</v>
      </c>
      <c r="C1564" s="6" t="s">
        <v>354</v>
      </c>
      <c r="D1564" s="6" t="s">
        <v>694</v>
      </c>
      <c r="E1564" s="6" t="s">
        <v>146</v>
      </c>
      <c r="F1564" s="6">
        <v>7003.57</v>
      </c>
      <c r="G1564" s="2">
        <v>3</v>
      </c>
      <c r="H1564" s="61">
        <v>8.16</v>
      </c>
      <c r="I1564" s="61">
        <v>8.43</v>
      </c>
      <c r="J1564" s="47">
        <f t="shared" si="120"/>
        <v>1.72</v>
      </c>
      <c r="K1564" s="47">
        <f t="shared" si="121"/>
        <v>3.3088235294117592E-2</v>
      </c>
      <c r="L1564" s="8">
        <v>9.57</v>
      </c>
      <c r="M1564" s="8">
        <v>11.8</v>
      </c>
      <c r="N1564" s="8">
        <v>11.67</v>
      </c>
      <c r="O1564" s="17">
        <f t="shared" si="122"/>
        <v>6.86046511627907E-2</v>
      </c>
      <c r="P1564" s="17">
        <f t="shared" si="123"/>
        <v>3.5269333333333392</v>
      </c>
      <c r="Q1564" s="17">
        <v>10.29</v>
      </c>
      <c r="R1564" s="9">
        <v>20220802</v>
      </c>
      <c r="S1564" s="9">
        <v>23</v>
      </c>
      <c r="T1564" s="9">
        <v>-5.6</v>
      </c>
      <c r="U1564" s="9">
        <v>6437.2968700000001</v>
      </c>
      <c r="V1564" s="45">
        <f t="shared" si="124"/>
        <v>-1.0008699303625561</v>
      </c>
      <c r="W1564" s="12">
        <v>63.33</v>
      </c>
      <c r="X1564" s="12">
        <v>2.79</v>
      </c>
      <c r="Y1564" s="62">
        <v>1.3</v>
      </c>
    </row>
    <row r="1565" spans="1:25" x14ac:dyDescent="0.2">
      <c r="A1565" s="3" t="s">
        <v>1546</v>
      </c>
      <c r="B1565" s="3" t="s">
        <v>1546</v>
      </c>
      <c r="C1565" s="6" t="s">
        <v>354</v>
      </c>
      <c r="D1565" s="6" t="s">
        <v>173</v>
      </c>
      <c r="E1565" s="6" t="s">
        <v>163</v>
      </c>
      <c r="F1565" s="6">
        <v>5446.54</v>
      </c>
      <c r="G1565" s="2">
        <v>12</v>
      </c>
      <c r="H1565" s="61">
        <v>3.5</v>
      </c>
      <c r="I1565" s="61">
        <v>4.3499999999999996</v>
      </c>
      <c r="J1565" s="47">
        <f t="shared" si="120"/>
        <v>-0.70833333333333337</v>
      </c>
      <c r="K1565" s="47">
        <f t="shared" si="121"/>
        <v>0.24285714285714274</v>
      </c>
      <c r="L1565" s="8">
        <v>4.45</v>
      </c>
      <c r="M1565" s="8">
        <v>27.13</v>
      </c>
      <c r="N1565" s="8">
        <v>27.63</v>
      </c>
      <c r="O1565" s="17">
        <f t="shared" si="122"/>
        <v>-0.38301176470588227</v>
      </c>
      <c r="P1565" s="17">
        <f t="shared" si="123"/>
        <v>1.1377058823529418</v>
      </c>
      <c r="Q1565" s="17">
        <v>27.01</v>
      </c>
      <c r="R1565" s="9">
        <v>20220720</v>
      </c>
      <c r="S1565" s="9">
        <v>16.649999999999999</v>
      </c>
      <c r="T1565" s="9">
        <v>9.4700000000000006</v>
      </c>
      <c r="U1565" s="9">
        <v>1225.27001</v>
      </c>
      <c r="V1565" s="45">
        <f t="shared" si="124"/>
        <v>-0.99227109133275859</v>
      </c>
      <c r="W1565" s="12">
        <v>40.200000000000003</v>
      </c>
      <c r="X1565" s="12">
        <v>0.83</v>
      </c>
      <c r="Y1565" s="62"/>
    </row>
    <row r="1566" spans="1:25" x14ac:dyDescent="0.2">
      <c r="A1566" s="3" t="s">
        <v>3827</v>
      </c>
      <c r="B1566" s="3" t="s">
        <v>2260</v>
      </c>
      <c r="C1566" s="6" t="s">
        <v>354</v>
      </c>
      <c r="D1566" s="6" t="s">
        <v>544</v>
      </c>
      <c r="E1566" s="6" t="s">
        <v>146</v>
      </c>
      <c r="F1566" s="6">
        <v>3028.97</v>
      </c>
      <c r="G1566" s="2">
        <v>12</v>
      </c>
      <c r="H1566" s="61">
        <v>0.23</v>
      </c>
      <c r="I1566" s="61">
        <v>0.1</v>
      </c>
      <c r="J1566" s="47">
        <f t="shared" si="120"/>
        <v>-0.98083333333333333</v>
      </c>
      <c r="K1566" s="47">
        <f t="shared" si="121"/>
        <v>-0.56521739130434778</v>
      </c>
      <c r="L1566" s="8">
        <v>0.1</v>
      </c>
      <c r="M1566" s="8">
        <v>7.5</v>
      </c>
      <c r="N1566" s="8">
        <v>19.5</v>
      </c>
      <c r="O1566" s="17">
        <f t="shared" si="122"/>
        <v>-7.6465590484282073E-2</v>
      </c>
      <c r="P1566" s="17">
        <f t="shared" si="123"/>
        <v>-0.34500000000000003</v>
      </c>
      <c r="Q1566" s="17">
        <v>19.5</v>
      </c>
      <c r="R1566" s="9">
        <v>20220819</v>
      </c>
      <c r="S1566" s="9">
        <v>22.53</v>
      </c>
      <c r="V1566" s="45" t="e">
        <f t="shared" si="124"/>
        <v>#DIV/0!</v>
      </c>
      <c r="X1566" s="12">
        <v>0</v>
      </c>
      <c r="Y1566" s="62"/>
    </row>
    <row r="1567" spans="1:25" x14ac:dyDescent="0.2">
      <c r="A1567" s="3" t="s">
        <v>3828</v>
      </c>
      <c r="B1567" s="3" t="s">
        <v>1547</v>
      </c>
      <c r="C1567" s="6" t="s">
        <v>354</v>
      </c>
      <c r="D1567" s="6" t="s">
        <v>193</v>
      </c>
      <c r="E1567" s="6" t="s">
        <v>208</v>
      </c>
      <c r="F1567" s="6">
        <v>29558.28</v>
      </c>
      <c r="G1567" s="2">
        <v>6</v>
      </c>
      <c r="H1567" s="61">
        <v>5.3</v>
      </c>
      <c r="I1567" s="61">
        <v>5.73</v>
      </c>
      <c r="J1567" s="47">
        <f t="shared" si="120"/>
        <v>-0.1166666666666667</v>
      </c>
      <c r="K1567" s="47">
        <f t="shared" si="121"/>
        <v>8.1132075471698234E-2</v>
      </c>
      <c r="L1567" s="8">
        <v>6.64</v>
      </c>
      <c r="M1567" s="8">
        <v>35.76</v>
      </c>
      <c r="N1567" s="8">
        <v>35.24</v>
      </c>
      <c r="O1567" s="17">
        <f t="shared" si="122"/>
        <v>-3.0651428571428561</v>
      </c>
      <c r="P1567" s="17">
        <f t="shared" si="123"/>
        <v>4.343534883720924</v>
      </c>
      <c r="Q1567" s="17">
        <v>30.41</v>
      </c>
      <c r="R1567" s="9">
        <v>20220804</v>
      </c>
      <c r="S1567" s="9">
        <v>26.91</v>
      </c>
      <c r="T1567" s="9">
        <v>11.81</v>
      </c>
      <c r="U1567" s="9">
        <v>3576.0839799999999</v>
      </c>
      <c r="V1567" s="45">
        <f t="shared" si="124"/>
        <v>-0.99669750484998398</v>
      </c>
      <c r="W1567" s="12">
        <v>-8.33</v>
      </c>
      <c r="X1567" s="12">
        <v>0.83</v>
      </c>
      <c r="Y1567" s="62">
        <v>2.2400000000000002</v>
      </c>
    </row>
    <row r="1568" spans="1:25" x14ac:dyDescent="0.2">
      <c r="A1568" s="3" t="s">
        <v>3829</v>
      </c>
      <c r="B1568" s="3" t="s">
        <v>1548</v>
      </c>
      <c r="C1568" s="6" t="s">
        <v>354</v>
      </c>
      <c r="D1568" s="6" t="s">
        <v>178</v>
      </c>
      <c r="E1568" s="6" t="s">
        <v>119</v>
      </c>
      <c r="F1568" s="6">
        <v>5709.41</v>
      </c>
      <c r="G1568" s="2">
        <v>12</v>
      </c>
      <c r="H1568" s="61">
        <v>1.32</v>
      </c>
      <c r="I1568" s="61">
        <v>1.85</v>
      </c>
      <c r="J1568" s="47">
        <f t="shared" si="120"/>
        <v>-0.89</v>
      </c>
      <c r="K1568" s="47">
        <f t="shared" si="121"/>
        <v>0.40151515151515149</v>
      </c>
      <c r="L1568" s="8">
        <v>2.41</v>
      </c>
      <c r="M1568" s="8">
        <v>42.43</v>
      </c>
      <c r="N1568" s="8">
        <v>33.549999999999997</v>
      </c>
      <c r="O1568" s="17">
        <f t="shared" si="122"/>
        <v>-0.47674157303370784</v>
      </c>
      <c r="P1568" s="17">
        <f t="shared" si="123"/>
        <v>0.83558490566037735</v>
      </c>
      <c r="Q1568" s="17">
        <v>25.68</v>
      </c>
      <c r="R1568" s="9">
        <v>20220802</v>
      </c>
      <c r="S1568" s="9">
        <v>-183.51</v>
      </c>
      <c r="T1568" s="9">
        <v>33.33</v>
      </c>
      <c r="U1568" s="9">
        <v>2008.0970400000001</v>
      </c>
      <c r="V1568" s="45">
        <f t="shared" si="124"/>
        <v>-0.98340219653926686</v>
      </c>
      <c r="W1568" s="12">
        <v>14.71</v>
      </c>
      <c r="X1568" s="12">
        <v>0</v>
      </c>
      <c r="Y1568" s="62">
        <v>1.2</v>
      </c>
    </row>
    <row r="1569" spans="1:25" x14ac:dyDescent="0.2">
      <c r="A1569" s="3" t="s">
        <v>3830</v>
      </c>
      <c r="B1569" s="3" t="s">
        <v>3831</v>
      </c>
      <c r="C1569" s="6" t="s">
        <v>356</v>
      </c>
      <c r="D1569" s="6" t="s">
        <v>46</v>
      </c>
      <c r="E1569" s="6" t="s">
        <v>35</v>
      </c>
      <c r="F1569" s="6">
        <v>7969.71</v>
      </c>
      <c r="G1569" s="2">
        <v>12</v>
      </c>
      <c r="H1569" s="61">
        <v>0.77</v>
      </c>
      <c r="I1569" s="61">
        <v>0.65</v>
      </c>
      <c r="J1569" s="47">
        <f t="shared" si="120"/>
        <v>-0.93583333333333341</v>
      </c>
      <c r="K1569" s="47">
        <f t="shared" si="121"/>
        <v>-0.15584415584415584</v>
      </c>
      <c r="L1569" s="8">
        <v>2.27</v>
      </c>
      <c r="N1569" s="8">
        <v>8.23</v>
      </c>
      <c r="O1569" s="17">
        <f t="shared" si="122"/>
        <v>0</v>
      </c>
      <c r="P1569" s="17">
        <f t="shared" si="123"/>
        <v>-0.52809166666666674</v>
      </c>
      <c r="Q1569" s="17">
        <v>2.38</v>
      </c>
      <c r="U1569" s="9">
        <v>50092.144529999998</v>
      </c>
      <c r="V1569" s="45">
        <f t="shared" si="124"/>
        <v>-1</v>
      </c>
      <c r="X1569" s="12">
        <v>0</v>
      </c>
      <c r="Y1569" s="62"/>
    </row>
    <row r="1570" spans="1:25" x14ac:dyDescent="0.2">
      <c r="A1570" s="3" t="s">
        <v>3832</v>
      </c>
      <c r="B1570" s="3" t="s">
        <v>1549</v>
      </c>
      <c r="C1570" s="6" t="s">
        <v>354</v>
      </c>
      <c r="D1570" s="6" t="s">
        <v>173</v>
      </c>
      <c r="E1570" s="6" t="s">
        <v>163</v>
      </c>
      <c r="F1570" s="6">
        <v>6737.49</v>
      </c>
      <c r="G1570" s="2">
        <v>12</v>
      </c>
      <c r="H1570" s="61">
        <v>1.35</v>
      </c>
      <c r="I1570" s="61">
        <v>15.18</v>
      </c>
      <c r="J1570" s="47">
        <f t="shared" si="120"/>
        <v>-0.88750000000000007</v>
      </c>
      <c r="K1570" s="47">
        <f t="shared" si="121"/>
        <v>10.244444444444444</v>
      </c>
      <c r="L1570" s="8">
        <v>21.87</v>
      </c>
      <c r="M1570" s="8">
        <v>31.31</v>
      </c>
      <c r="N1570" s="8">
        <v>10.050000000000001</v>
      </c>
      <c r="O1570" s="17">
        <f t="shared" si="122"/>
        <v>-0.3527887323943662</v>
      </c>
      <c r="P1570" s="17">
        <f t="shared" si="123"/>
        <v>9.8101952277657289E-3</v>
      </c>
      <c r="Q1570" s="17">
        <v>6.97</v>
      </c>
      <c r="R1570" s="9">
        <v>20220728</v>
      </c>
      <c r="S1570" s="9">
        <v>4.25</v>
      </c>
      <c r="T1570" s="9">
        <v>31.86</v>
      </c>
      <c r="U1570" s="9">
        <v>6409.4301699999996</v>
      </c>
      <c r="V1570" s="45">
        <f t="shared" si="124"/>
        <v>-0.99502919929619893</v>
      </c>
      <c r="W1570" s="12">
        <v>-24.41</v>
      </c>
      <c r="X1570" s="12">
        <v>0.97</v>
      </c>
      <c r="Y1570" s="62"/>
    </row>
    <row r="1571" spans="1:25" x14ac:dyDescent="0.2">
      <c r="A1571" s="3" t="s">
        <v>3833</v>
      </c>
      <c r="B1571" s="3" t="s">
        <v>1550</v>
      </c>
      <c r="C1571" s="6" t="s">
        <v>354</v>
      </c>
      <c r="D1571" s="6" t="s">
        <v>141</v>
      </c>
      <c r="E1571" s="6" t="s">
        <v>119</v>
      </c>
      <c r="F1571" s="6">
        <v>4928.32</v>
      </c>
      <c r="G1571" s="2">
        <v>12</v>
      </c>
      <c r="H1571" s="61">
        <v>6.93</v>
      </c>
      <c r="I1571" s="61">
        <v>6.15</v>
      </c>
      <c r="J1571" s="47">
        <f t="shared" si="120"/>
        <v>-0.42250000000000004</v>
      </c>
      <c r="K1571" s="47">
        <f t="shared" si="121"/>
        <v>-0.11255411255411246</v>
      </c>
      <c r="M1571" s="8">
        <v>38.49</v>
      </c>
      <c r="N1571" s="8">
        <v>42.62</v>
      </c>
      <c r="O1571" s="17">
        <f t="shared" si="122"/>
        <v>-0.9110059171597632</v>
      </c>
      <c r="P1571" s="17">
        <f t="shared" si="123"/>
        <v>-3.7866230769230795</v>
      </c>
      <c r="Q1571" s="17"/>
      <c r="R1571" s="9">
        <v>20220804</v>
      </c>
      <c r="S1571" s="9">
        <v>11.68</v>
      </c>
      <c r="T1571" s="9">
        <v>2.2599999999999998</v>
      </c>
      <c r="U1571" s="9">
        <v>1010</v>
      </c>
      <c r="V1571" s="45">
        <f t="shared" si="124"/>
        <v>-0.99776237623762376</v>
      </c>
      <c r="W1571" s="12">
        <v>34.21</v>
      </c>
      <c r="X1571" s="12">
        <v>0</v>
      </c>
      <c r="Y1571" s="62"/>
    </row>
    <row r="1572" spans="1:25" x14ac:dyDescent="0.2">
      <c r="A1572" s="3" t="s">
        <v>2261</v>
      </c>
      <c r="B1572" s="3" t="s">
        <v>2262</v>
      </c>
      <c r="C1572" s="6" t="s">
        <v>356</v>
      </c>
      <c r="D1572" s="6" t="s">
        <v>143</v>
      </c>
      <c r="E1572" s="6" t="s">
        <v>119</v>
      </c>
      <c r="F1572" s="6">
        <v>8328.58</v>
      </c>
      <c r="G1572" s="2">
        <v>3</v>
      </c>
      <c r="H1572" s="61"/>
      <c r="I1572" s="61"/>
      <c r="J1572" s="47">
        <f t="shared" si="120"/>
        <v>-1</v>
      </c>
      <c r="K1572" s="47" t="e">
        <f t="shared" si="121"/>
        <v>#DIV/0!</v>
      </c>
      <c r="M1572" s="8">
        <v>14.14</v>
      </c>
      <c r="O1572" s="17">
        <f t="shared" si="122"/>
        <v>-0.1414</v>
      </c>
      <c r="P1572" s="17" t="e">
        <f t="shared" si="123"/>
        <v>#DIV/0!</v>
      </c>
      <c r="Q1572" s="17"/>
      <c r="R1572" s="9">
        <v>20220729</v>
      </c>
      <c r="S1572" s="9">
        <v>8.16</v>
      </c>
      <c r="T1572" s="9">
        <v>2.61</v>
      </c>
      <c r="V1572" s="45" t="e">
        <f t="shared" si="124"/>
        <v>#DIV/0!</v>
      </c>
      <c r="X1572" s="12">
        <v>1.17</v>
      </c>
      <c r="Y1572" s="62"/>
    </row>
    <row r="1573" spans="1:25" x14ac:dyDescent="0.2">
      <c r="A1573" s="3" t="s">
        <v>3834</v>
      </c>
      <c r="B1573" s="3" t="s">
        <v>1551</v>
      </c>
      <c r="C1573" s="6" t="s">
        <v>354</v>
      </c>
      <c r="D1573" s="6" t="s">
        <v>902</v>
      </c>
      <c r="E1573" s="6" t="s">
        <v>201</v>
      </c>
      <c r="F1573" s="6">
        <v>23803.39</v>
      </c>
      <c r="G1573" s="2">
        <v>9</v>
      </c>
      <c r="H1573" s="61">
        <v>9.2799999999999994</v>
      </c>
      <c r="I1573" s="61">
        <v>9.4700000000000006</v>
      </c>
      <c r="J1573" s="47">
        <f t="shared" si="120"/>
        <v>3.1111111111111041E-2</v>
      </c>
      <c r="K1573" s="47">
        <f t="shared" si="121"/>
        <v>2.0474137931034621E-2</v>
      </c>
      <c r="L1573" s="8">
        <v>10.99</v>
      </c>
      <c r="M1573" s="8">
        <v>24.26</v>
      </c>
      <c r="N1573" s="8">
        <v>21.62</v>
      </c>
      <c r="O1573" s="17">
        <f t="shared" si="122"/>
        <v>7.7978571428571613</v>
      </c>
      <c r="P1573" s="17">
        <f t="shared" si="123"/>
        <v>10.559663157894665</v>
      </c>
      <c r="Q1573" s="17">
        <v>18.64</v>
      </c>
      <c r="R1573" s="9">
        <v>20220726</v>
      </c>
      <c r="S1573" s="9">
        <v>35.96</v>
      </c>
      <c r="T1573" s="9">
        <v>1.75</v>
      </c>
      <c r="U1573" s="9">
        <v>7788.3540000000003</v>
      </c>
      <c r="V1573" s="45">
        <f t="shared" si="124"/>
        <v>-0.99977530553952731</v>
      </c>
      <c r="W1573" s="12">
        <v>-26.87</v>
      </c>
      <c r="X1573" s="12">
        <v>2.19</v>
      </c>
      <c r="Y1573" s="62">
        <v>2.5499999999999998</v>
      </c>
    </row>
    <row r="1574" spans="1:25" x14ac:dyDescent="0.2">
      <c r="A1574" s="3" t="s">
        <v>3835</v>
      </c>
      <c r="B1574" s="3" t="s">
        <v>1552</v>
      </c>
      <c r="C1574" s="6" t="s">
        <v>355</v>
      </c>
      <c r="D1574" s="6" t="s">
        <v>789</v>
      </c>
      <c r="E1574" s="6" t="s">
        <v>146</v>
      </c>
      <c r="F1574" s="6">
        <v>12038.84</v>
      </c>
      <c r="G1574" s="2">
        <v>12</v>
      </c>
      <c r="H1574" s="61">
        <v>1.59</v>
      </c>
      <c r="I1574" s="61">
        <v>-1.82</v>
      </c>
      <c r="J1574" s="47">
        <f t="shared" si="120"/>
        <v>-0.86750000000000005</v>
      </c>
      <c r="K1574" s="47">
        <f t="shared" si="121"/>
        <v>-2.1446540880503147</v>
      </c>
      <c r="L1574" s="8">
        <v>-1.04</v>
      </c>
      <c r="M1574" s="8">
        <v>90.35</v>
      </c>
      <c r="O1574" s="17">
        <f t="shared" si="122"/>
        <v>-1.0414985590778096</v>
      </c>
      <c r="P1574" s="17">
        <f t="shared" si="123"/>
        <v>0</v>
      </c>
      <c r="Q1574" s="17"/>
      <c r="R1574" s="9">
        <v>20220803</v>
      </c>
      <c r="S1574" s="9">
        <v>5.17</v>
      </c>
      <c r="T1574" s="9">
        <v>54.02</v>
      </c>
      <c r="U1574" s="9">
        <v>3719.7729399999998</v>
      </c>
      <c r="V1574" s="45">
        <f t="shared" si="124"/>
        <v>-0.98547760821121522</v>
      </c>
      <c r="W1574" s="12">
        <v>-11.76</v>
      </c>
      <c r="X1574" s="12">
        <v>0</v>
      </c>
      <c r="Y1574" s="62"/>
    </row>
    <row r="1575" spans="1:25" x14ac:dyDescent="0.2">
      <c r="A1575" s="3" t="s">
        <v>3836</v>
      </c>
      <c r="B1575" s="3" t="s">
        <v>1553</v>
      </c>
      <c r="C1575" s="6" t="s">
        <v>354</v>
      </c>
      <c r="D1575" s="6" t="s">
        <v>1554</v>
      </c>
      <c r="E1575" s="6" t="s">
        <v>108</v>
      </c>
      <c r="F1575" s="6">
        <v>17851.7</v>
      </c>
      <c r="G1575" s="2">
        <v>12</v>
      </c>
      <c r="H1575" s="61">
        <v>0.67</v>
      </c>
      <c r="I1575" s="61">
        <v>0.73</v>
      </c>
      <c r="J1575" s="47">
        <f t="shared" si="120"/>
        <v>-0.94416666666666671</v>
      </c>
      <c r="K1575" s="47">
        <f t="shared" si="121"/>
        <v>8.9552238805970061E-2</v>
      </c>
      <c r="L1575" s="8">
        <v>0.78</v>
      </c>
      <c r="M1575" s="8">
        <v>53.31</v>
      </c>
      <c r="N1575" s="8">
        <v>49.88</v>
      </c>
      <c r="O1575" s="17">
        <f t="shared" si="122"/>
        <v>-0.56462488967343338</v>
      </c>
      <c r="P1575" s="17">
        <f t="shared" si="123"/>
        <v>5.5699333333333394</v>
      </c>
      <c r="Q1575" s="17">
        <v>46.28</v>
      </c>
      <c r="R1575" s="9">
        <v>20220727</v>
      </c>
      <c r="S1575" s="9">
        <v>30.88</v>
      </c>
      <c r="T1575" s="9">
        <v>9.44</v>
      </c>
      <c r="U1575" s="9">
        <v>2604.8669399999999</v>
      </c>
      <c r="V1575" s="45">
        <f t="shared" si="124"/>
        <v>-0.99637601450767388</v>
      </c>
      <c r="W1575" s="12">
        <v>7.14</v>
      </c>
      <c r="X1575" s="12">
        <v>1.1000000000000001</v>
      </c>
      <c r="Y1575" s="62"/>
    </row>
    <row r="1576" spans="1:25" x14ac:dyDescent="0.2">
      <c r="A1576" s="3" t="s">
        <v>3837</v>
      </c>
      <c r="B1576" s="3" t="s">
        <v>361</v>
      </c>
      <c r="C1576" s="6" t="s">
        <v>355</v>
      </c>
      <c r="D1576" s="6" t="s">
        <v>183</v>
      </c>
      <c r="E1576" s="6" t="s">
        <v>201</v>
      </c>
      <c r="F1576" s="6">
        <v>4887.32</v>
      </c>
      <c r="G1576" s="2">
        <v>3</v>
      </c>
      <c r="H1576" s="61">
        <v>3.69</v>
      </c>
      <c r="I1576" s="61">
        <v>5.45</v>
      </c>
      <c r="J1576" s="47">
        <f t="shared" si="120"/>
        <v>0.22999999999999998</v>
      </c>
      <c r="K1576" s="47">
        <f t="shared" si="121"/>
        <v>0.47696476964769657</v>
      </c>
      <c r="L1576" s="8">
        <v>5.74</v>
      </c>
      <c r="M1576" s="8">
        <v>43.51</v>
      </c>
      <c r="N1576" s="8">
        <v>31.07</v>
      </c>
      <c r="O1576" s="17">
        <f t="shared" si="122"/>
        <v>1.8917391304347826</v>
      </c>
      <c r="P1576" s="17">
        <f t="shared" si="123"/>
        <v>0.65141079545454528</v>
      </c>
      <c r="Q1576" s="17">
        <v>29.47</v>
      </c>
      <c r="R1576" s="9">
        <v>20220804</v>
      </c>
      <c r="S1576" s="9">
        <v>5.66</v>
      </c>
      <c r="T1576" s="9">
        <v>0.41</v>
      </c>
      <c r="U1576" s="9">
        <v>1436.9630099999999</v>
      </c>
      <c r="V1576" s="45">
        <f t="shared" si="124"/>
        <v>-0.99971467602356723</v>
      </c>
      <c r="W1576" s="12">
        <v>18.87</v>
      </c>
      <c r="X1576" s="12">
        <v>0</v>
      </c>
      <c r="Y1576" s="62"/>
    </row>
    <row r="1577" spans="1:25" x14ac:dyDescent="0.2">
      <c r="A1577" s="3" t="s">
        <v>3838</v>
      </c>
      <c r="B1577" s="3" t="s">
        <v>212</v>
      </c>
      <c r="C1577" s="6" t="s">
        <v>354</v>
      </c>
      <c r="D1577" s="6" t="s">
        <v>134</v>
      </c>
      <c r="E1577" s="6" t="s">
        <v>119</v>
      </c>
      <c r="F1577" s="6">
        <v>45809.34</v>
      </c>
      <c r="G1577" s="2">
        <v>12</v>
      </c>
      <c r="H1577" s="61">
        <v>14.11</v>
      </c>
      <c r="I1577" s="61">
        <v>15.63</v>
      </c>
      <c r="J1577" s="47">
        <f t="shared" si="120"/>
        <v>0.17583333333333329</v>
      </c>
      <c r="K1577" s="47">
        <f t="shared" si="121"/>
        <v>0.10772501771793065</v>
      </c>
      <c r="L1577" s="8">
        <v>16.739999999999998</v>
      </c>
      <c r="M1577" s="8">
        <v>28.51</v>
      </c>
      <c r="N1577" s="8">
        <v>27.67</v>
      </c>
      <c r="O1577" s="17">
        <f t="shared" si="122"/>
        <v>1.6214218009478678</v>
      </c>
      <c r="P1577" s="17">
        <f t="shared" si="123"/>
        <v>2.5685769736842081</v>
      </c>
      <c r="Q1577" s="17">
        <v>25.84</v>
      </c>
      <c r="R1577" s="9">
        <v>20220722</v>
      </c>
      <c r="S1577" s="9">
        <v>13.36</v>
      </c>
      <c r="T1577" s="9">
        <v>7.16</v>
      </c>
      <c r="U1577" s="9">
        <v>6221.8271400000003</v>
      </c>
      <c r="V1577" s="45">
        <f t="shared" si="124"/>
        <v>-0.99884921264463167</v>
      </c>
      <c r="W1577" s="12">
        <v>2.17</v>
      </c>
      <c r="X1577" s="12">
        <v>0.56999999999999995</v>
      </c>
      <c r="Y1577" s="62">
        <v>2.64</v>
      </c>
    </row>
    <row r="1578" spans="1:25" x14ac:dyDescent="0.2">
      <c r="A1578" s="3" t="s">
        <v>3839</v>
      </c>
      <c r="B1578" s="3" t="s">
        <v>1555</v>
      </c>
      <c r="C1578" s="6" t="s">
        <v>355</v>
      </c>
      <c r="D1578" s="6" t="s">
        <v>577</v>
      </c>
      <c r="E1578" s="6" t="s">
        <v>231</v>
      </c>
      <c r="F1578" s="6">
        <v>30567.62</v>
      </c>
      <c r="G1578" s="2">
        <v>1</v>
      </c>
      <c r="H1578" s="61">
        <v>4.8</v>
      </c>
      <c r="I1578" s="61">
        <v>4.43</v>
      </c>
      <c r="J1578" s="47">
        <f t="shared" si="120"/>
        <v>3.8</v>
      </c>
      <c r="K1578" s="47">
        <f t="shared" si="121"/>
        <v>-7.7083333333333365E-2</v>
      </c>
      <c r="L1578" s="8">
        <v>5.0599999999999996</v>
      </c>
      <c r="M1578" s="8">
        <v>19.37</v>
      </c>
      <c r="N1578" s="8">
        <v>19.62</v>
      </c>
      <c r="O1578" s="17">
        <f t="shared" si="122"/>
        <v>5.0973684210526317E-2</v>
      </c>
      <c r="P1578" s="17">
        <f t="shared" si="123"/>
        <v>-2.5452972972972963</v>
      </c>
      <c r="Q1578" s="17">
        <v>17.2</v>
      </c>
      <c r="R1578" s="9">
        <v>20220818</v>
      </c>
      <c r="S1578" s="9">
        <v>39.61</v>
      </c>
      <c r="T1578" s="9">
        <v>4.53</v>
      </c>
      <c r="U1578" s="9">
        <v>18890.339840000001</v>
      </c>
      <c r="V1578" s="45">
        <f t="shared" si="124"/>
        <v>-0.9997601948912318</v>
      </c>
      <c r="W1578" s="12">
        <v>-2.02</v>
      </c>
      <c r="X1578" s="12">
        <v>1.43</v>
      </c>
      <c r="Y1578" s="62">
        <v>1.87</v>
      </c>
    </row>
    <row r="1579" spans="1:25" x14ac:dyDescent="0.2">
      <c r="A1579" s="3" t="s">
        <v>3840</v>
      </c>
      <c r="B1579" s="3" t="s">
        <v>3841</v>
      </c>
      <c r="C1579" s="6" t="s">
        <v>356</v>
      </c>
      <c r="D1579" s="6" t="s">
        <v>240</v>
      </c>
      <c r="E1579" s="6" t="s">
        <v>237</v>
      </c>
      <c r="F1579" s="6">
        <v>4125.9799999999996</v>
      </c>
      <c r="G1579" s="2">
        <v>3</v>
      </c>
      <c r="H1579" s="61">
        <v>1.51</v>
      </c>
      <c r="I1579" s="61">
        <v>0.89</v>
      </c>
      <c r="J1579" s="47">
        <f t="shared" si="120"/>
        <v>-0.49666666666666665</v>
      </c>
      <c r="K1579" s="47">
        <f t="shared" si="121"/>
        <v>-0.41059602649006621</v>
      </c>
      <c r="L1579" s="8">
        <v>1.37</v>
      </c>
      <c r="N1579" s="8">
        <v>9.6999999999999993</v>
      </c>
      <c r="O1579" s="17">
        <f t="shared" si="122"/>
        <v>0</v>
      </c>
      <c r="P1579" s="17">
        <f t="shared" si="123"/>
        <v>-0.23624193548387096</v>
      </c>
      <c r="Q1579" s="17">
        <v>6.3</v>
      </c>
      <c r="U1579" s="9">
        <v>15819.45996</v>
      </c>
      <c r="V1579" s="45">
        <f t="shared" si="124"/>
        <v>-1</v>
      </c>
      <c r="X1579" s="12">
        <v>3.09</v>
      </c>
      <c r="Y1579" s="62"/>
    </row>
    <row r="1580" spans="1:25" x14ac:dyDescent="0.2">
      <c r="A1580" s="3" t="s">
        <v>3842</v>
      </c>
      <c r="B1580" s="3" t="s">
        <v>1556</v>
      </c>
      <c r="C1580" s="6" t="s">
        <v>355</v>
      </c>
      <c r="D1580" s="6" t="s">
        <v>177</v>
      </c>
      <c r="E1580" s="6" t="s">
        <v>119</v>
      </c>
      <c r="F1580" s="6">
        <v>4110.5600000000004</v>
      </c>
      <c r="G1580" s="2">
        <v>12</v>
      </c>
      <c r="H1580" s="61">
        <v>-7.0000000000000007E-2</v>
      </c>
      <c r="I1580" s="61">
        <v>0.11</v>
      </c>
      <c r="J1580" s="47">
        <f t="shared" si="120"/>
        <v>-1.0058333333333334</v>
      </c>
      <c r="K1580" s="47">
        <f t="shared" si="121"/>
        <v>2.5714285714285712</v>
      </c>
      <c r="L1580" s="8">
        <v>0.52</v>
      </c>
      <c r="N1580" s="8">
        <v>641.36</v>
      </c>
      <c r="O1580" s="17">
        <f t="shared" si="122"/>
        <v>0</v>
      </c>
      <c r="P1580" s="17">
        <f t="shared" si="123"/>
        <v>2.4941777777777783</v>
      </c>
      <c r="Q1580" s="17">
        <v>134.93</v>
      </c>
      <c r="R1580" s="9">
        <v>20220803</v>
      </c>
      <c r="T1580" s="9">
        <v>28</v>
      </c>
      <c r="U1580" s="9">
        <v>689.51500999999996</v>
      </c>
      <c r="V1580" s="45">
        <f t="shared" si="124"/>
        <v>-0.95939174696138962</v>
      </c>
      <c r="W1580" s="12">
        <v>0</v>
      </c>
      <c r="X1580" s="12">
        <v>0</v>
      </c>
      <c r="Y1580" s="62"/>
    </row>
    <row r="1581" spans="1:25" x14ac:dyDescent="0.2">
      <c r="A1581" s="3" t="s">
        <v>3843</v>
      </c>
      <c r="B1581" s="3" t="s">
        <v>1557</v>
      </c>
      <c r="C1581" s="6" t="s">
        <v>354</v>
      </c>
      <c r="D1581" s="6" t="s">
        <v>1364</v>
      </c>
      <c r="E1581" s="6" t="s">
        <v>140</v>
      </c>
      <c r="F1581" s="6">
        <v>11508.28</v>
      </c>
      <c r="G1581" s="2">
        <v>5</v>
      </c>
      <c r="H1581" s="61">
        <v>4.1399999999999997</v>
      </c>
      <c r="I1581" s="61">
        <v>3.69</v>
      </c>
      <c r="J1581" s="47">
        <f t="shared" si="120"/>
        <v>-0.17200000000000007</v>
      </c>
      <c r="K1581" s="47">
        <f t="shared" si="121"/>
        <v>-0.10869565217391298</v>
      </c>
      <c r="L1581" s="8">
        <v>4.26</v>
      </c>
      <c r="M1581" s="8">
        <v>25.18</v>
      </c>
      <c r="N1581" s="8">
        <v>24.08</v>
      </c>
      <c r="O1581" s="17">
        <f t="shared" si="122"/>
        <v>-1.4639534883720924</v>
      </c>
      <c r="P1581" s="17">
        <f t="shared" si="123"/>
        <v>-2.2153600000000009</v>
      </c>
      <c r="Q1581" s="17">
        <v>20.84</v>
      </c>
      <c r="R1581" s="9">
        <v>20220725</v>
      </c>
      <c r="S1581" s="9">
        <v>25.48</v>
      </c>
      <c r="T1581" s="9">
        <v>4.63</v>
      </c>
      <c r="U1581" s="9">
        <v>6696.1328100000001</v>
      </c>
      <c r="V1581" s="45">
        <f t="shared" si="124"/>
        <v>-0.99930855612763747</v>
      </c>
      <c r="W1581" s="12">
        <v>26.67</v>
      </c>
      <c r="X1581" s="12">
        <v>1.8</v>
      </c>
      <c r="Y1581" s="62">
        <v>4.68</v>
      </c>
    </row>
    <row r="1582" spans="1:25" x14ac:dyDescent="0.2">
      <c r="A1582" s="3" t="s">
        <v>3844</v>
      </c>
      <c r="B1582" s="3" t="s">
        <v>1558</v>
      </c>
      <c r="C1582" s="6" t="s">
        <v>355</v>
      </c>
      <c r="D1582" s="6" t="s">
        <v>151</v>
      </c>
      <c r="E1582" s="6" t="s">
        <v>163</v>
      </c>
      <c r="F1582" s="6">
        <v>24293.119999999999</v>
      </c>
      <c r="G1582" s="2">
        <v>12</v>
      </c>
      <c r="H1582" s="61">
        <v>2.87</v>
      </c>
      <c r="I1582" s="61">
        <v>2.97</v>
      </c>
      <c r="J1582" s="47">
        <f t="shared" si="120"/>
        <v>-0.76083333333333325</v>
      </c>
      <c r="K1582" s="47">
        <f t="shared" si="121"/>
        <v>3.4843205574912925E-2</v>
      </c>
      <c r="L1582" s="8">
        <v>3.43</v>
      </c>
      <c r="M1582" s="8">
        <v>14.04</v>
      </c>
      <c r="N1582" s="8">
        <v>13.48</v>
      </c>
      <c r="O1582" s="17">
        <f t="shared" si="122"/>
        <v>-0.18453450164293539</v>
      </c>
      <c r="P1582" s="17">
        <f t="shared" si="123"/>
        <v>3.8687599999999964</v>
      </c>
      <c r="Q1582" s="17">
        <v>11.68</v>
      </c>
      <c r="R1582" s="9">
        <v>20220810</v>
      </c>
      <c r="S1582" s="9">
        <v>16.75</v>
      </c>
      <c r="U1582" s="9">
        <v>2270.48999</v>
      </c>
      <c r="V1582" s="45">
        <f t="shared" si="124"/>
        <v>-1</v>
      </c>
      <c r="W1582" s="12">
        <v>-15.28</v>
      </c>
      <c r="X1582" s="12">
        <v>1.9</v>
      </c>
      <c r="Y1582" s="62">
        <v>1.1000000000000001</v>
      </c>
    </row>
    <row r="1583" spans="1:25" x14ac:dyDescent="0.2">
      <c r="A1583" s="3" t="s">
        <v>3845</v>
      </c>
      <c r="B1583" s="3" t="s">
        <v>2029</v>
      </c>
      <c r="C1583" s="6" t="s">
        <v>354</v>
      </c>
      <c r="D1583" s="6" t="s">
        <v>200</v>
      </c>
      <c r="E1583" s="6" t="s">
        <v>218</v>
      </c>
      <c r="F1583" s="6">
        <v>9364.67</v>
      </c>
      <c r="G1583" s="2">
        <v>12</v>
      </c>
      <c r="H1583" s="61">
        <v>2.0699999999999998</v>
      </c>
      <c r="I1583" s="61">
        <v>4.3499999999999996</v>
      </c>
      <c r="J1583" s="47">
        <f t="shared" si="120"/>
        <v>-0.82750000000000001</v>
      </c>
      <c r="K1583" s="47">
        <f t="shared" si="121"/>
        <v>1.1014492753623188</v>
      </c>
      <c r="L1583" s="8">
        <v>4.47</v>
      </c>
      <c r="M1583" s="8">
        <v>11.97</v>
      </c>
      <c r="N1583" s="8">
        <v>7.98</v>
      </c>
      <c r="O1583" s="17">
        <f t="shared" si="122"/>
        <v>-0.14465256797583081</v>
      </c>
      <c r="P1583" s="17">
        <f t="shared" si="123"/>
        <v>7.2450000000000001E-2</v>
      </c>
      <c r="Q1583" s="17">
        <v>7.76</v>
      </c>
      <c r="R1583" s="9">
        <v>20220725</v>
      </c>
      <c r="S1583" s="9">
        <v>45.5</v>
      </c>
      <c r="T1583" s="9">
        <v>-3.75</v>
      </c>
      <c r="U1583" s="9">
        <v>3898.2890600000001</v>
      </c>
      <c r="V1583" s="45">
        <f t="shared" si="124"/>
        <v>-1.0009619604760658</v>
      </c>
      <c r="W1583" s="12">
        <v>2.61</v>
      </c>
      <c r="X1583" s="12">
        <v>0</v>
      </c>
      <c r="Y1583" s="62">
        <v>0.28000000000000003</v>
      </c>
    </row>
    <row r="1584" spans="1:25" x14ac:dyDescent="0.2">
      <c r="A1584" s="3" t="s">
        <v>3846</v>
      </c>
      <c r="B1584" s="3" t="s">
        <v>1899</v>
      </c>
      <c r="C1584" s="6" t="s">
        <v>355</v>
      </c>
      <c r="D1584" s="6" t="s">
        <v>157</v>
      </c>
      <c r="E1584" s="6" t="s">
        <v>146</v>
      </c>
      <c r="F1584" s="6">
        <v>4095.22</v>
      </c>
      <c r="G1584" s="2">
        <v>12</v>
      </c>
      <c r="H1584" s="61">
        <v>1.25</v>
      </c>
      <c r="I1584" s="61">
        <v>2.04</v>
      </c>
      <c r="J1584" s="47">
        <f t="shared" si="120"/>
        <v>-0.89583333333333337</v>
      </c>
      <c r="K1584" s="47">
        <f t="shared" si="121"/>
        <v>0.63200000000000001</v>
      </c>
      <c r="L1584" s="8">
        <v>2.33</v>
      </c>
      <c r="M1584" s="8">
        <v>11.31</v>
      </c>
      <c r="N1584" s="8">
        <v>18.72</v>
      </c>
      <c r="O1584" s="17">
        <f t="shared" si="122"/>
        <v>-0.12625116279069767</v>
      </c>
      <c r="P1584" s="17">
        <f t="shared" si="123"/>
        <v>0.29620253164556959</v>
      </c>
      <c r="Q1584" s="17">
        <v>16.329999999999998</v>
      </c>
      <c r="R1584" s="9">
        <v>20220727</v>
      </c>
      <c r="S1584" s="9">
        <v>81.97</v>
      </c>
      <c r="T1584" s="9">
        <v>-3</v>
      </c>
      <c r="U1584" s="9">
        <v>1612.4599599999999</v>
      </c>
      <c r="V1584" s="45">
        <f t="shared" si="124"/>
        <v>-1.0018605113146499</v>
      </c>
      <c r="W1584" s="12">
        <v>45.28</v>
      </c>
      <c r="X1584" s="12">
        <v>2.62</v>
      </c>
      <c r="Y1584" s="62"/>
    </row>
    <row r="1585" spans="1:25" x14ac:dyDescent="0.2">
      <c r="A1585" s="3" t="s">
        <v>3847</v>
      </c>
      <c r="B1585" s="3" t="s">
        <v>3848</v>
      </c>
      <c r="C1585" s="6" t="s">
        <v>354</v>
      </c>
      <c r="D1585" s="6" t="s">
        <v>181</v>
      </c>
      <c r="E1585" s="6" t="s">
        <v>201</v>
      </c>
      <c r="F1585" s="6">
        <v>8144.38</v>
      </c>
      <c r="G1585" s="2">
        <v>12</v>
      </c>
      <c r="H1585" s="61">
        <v>8.77</v>
      </c>
      <c r="I1585" s="61">
        <v>10.58</v>
      </c>
      <c r="J1585" s="47">
        <f t="shared" si="120"/>
        <v>-0.26916666666666672</v>
      </c>
      <c r="K1585" s="47">
        <f t="shared" si="121"/>
        <v>0.20638540478905365</v>
      </c>
      <c r="L1585" s="8">
        <v>11.74</v>
      </c>
      <c r="M1585" s="8">
        <v>12.85</v>
      </c>
      <c r="N1585" s="8">
        <v>11.49</v>
      </c>
      <c r="O1585" s="17">
        <f t="shared" si="122"/>
        <v>-0.47739938080495348</v>
      </c>
      <c r="P1585" s="17">
        <f t="shared" si="123"/>
        <v>0.55672541436464074</v>
      </c>
      <c r="Q1585" s="17">
        <v>10.36</v>
      </c>
      <c r="R1585" s="9">
        <v>20220727</v>
      </c>
      <c r="S1585" s="9">
        <v>11.36</v>
      </c>
      <c r="T1585" s="9">
        <v>0.05</v>
      </c>
      <c r="U1585" s="9">
        <v>5228.3329999999996</v>
      </c>
      <c r="V1585" s="45">
        <f t="shared" si="124"/>
        <v>-0.99999043672237398</v>
      </c>
      <c r="W1585" s="12">
        <v>9.84</v>
      </c>
      <c r="X1585" s="12">
        <v>1.0900000000000001</v>
      </c>
      <c r="Y1585" s="62">
        <v>1.1499999999999999</v>
      </c>
    </row>
    <row r="1586" spans="1:25" x14ac:dyDescent="0.2">
      <c r="A1586" s="3" t="s">
        <v>1559</v>
      </c>
      <c r="B1586" s="3" t="s">
        <v>1560</v>
      </c>
      <c r="C1586" s="6" t="s">
        <v>354</v>
      </c>
      <c r="D1586" s="6" t="s">
        <v>311</v>
      </c>
      <c r="E1586" s="6" t="s">
        <v>201</v>
      </c>
      <c r="F1586" s="6">
        <v>12335.73</v>
      </c>
      <c r="G1586" s="2">
        <v>12</v>
      </c>
      <c r="H1586" s="61">
        <v>20.49</v>
      </c>
      <c r="I1586" s="61">
        <v>27.9</v>
      </c>
      <c r="J1586" s="47">
        <f t="shared" si="120"/>
        <v>0.70749999999999991</v>
      </c>
      <c r="K1586" s="47">
        <f t="shared" si="121"/>
        <v>0.36163982430453884</v>
      </c>
      <c r="L1586" s="8">
        <v>20.93</v>
      </c>
      <c r="M1586" s="8">
        <v>7.53</v>
      </c>
      <c r="N1586" s="8">
        <v>7.14</v>
      </c>
      <c r="O1586" s="17">
        <f t="shared" si="122"/>
        <v>0.10643109540636045</v>
      </c>
      <c r="P1586" s="17">
        <f t="shared" si="123"/>
        <v>0.19743400809716596</v>
      </c>
      <c r="Q1586" s="17">
        <v>9.51</v>
      </c>
      <c r="R1586" s="9">
        <v>20220728</v>
      </c>
      <c r="S1586" s="9">
        <v>27.94</v>
      </c>
      <c r="T1586" s="9">
        <v>4.47</v>
      </c>
      <c r="U1586" s="9">
        <v>16431.09375</v>
      </c>
      <c r="V1586" s="45">
        <f t="shared" si="124"/>
        <v>-0.99972795481128574</v>
      </c>
      <c r="W1586" s="12">
        <v>16.940000000000001</v>
      </c>
      <c r="X1586" s="12">
        <v>1.76</v>
      </c>
      <c r="Y1586" s="62"/>
    </row>
    <row r="1587" spans="1:25" x14ac:dyDescent="0.2">
      <c r="A1587" s="3" t="s">
        <v>3849</v>
      </c>
      <c r="B1587" s="3" t="s">
        <v>1561</v>
      </c>
      <c r="C1587" s="6" t="s">
        <v>354</v>
      </c>
      <c r="D1587" s="6" t="s">
        <v>272</v>
      </c>
      <c r="E1587" s="6" t="s">
        <v>108</v>
      </c>
      <c r="F1587" s="6">
        <v>42373.61</v>
      </c>
      <c r="G1587" s="2">
        <v>12</v>
      </c>
      <c r="H1587" s="61">
        <v>4.1399999999999997</v>
      </c>
      <c r="I1587" s="61">
        <v>4.66</v>
      </c>
      <c r="J1587" s="47">
        <f t="shared" si="120"/>
        <v>-0.65500000000000003</v>
      </c>
      <c r="K1587" s="47">
        <f t="shared" si="121"/>
        <v>0.12560386473429963</v>
      </c>
      <c r="L1587" s="8">
        <v>5.18</v>
      </c>
      <c r="M1587" s="8">
        <v>30.77</v>
      </c>
      <c r="N1587" s="8">
        <v>28.79</v>
      </c>
      <c r="O1587" s="17">
        <f t="shared" si="122"/>
        <v>-0.46977099236641223</v>
      </c>
      <c r="P1587" s="17">
        <f t="shared" si="123"/>
        <v>2.2921269230769208</v>
      </c>
      <c r="Q1587" s="17">
        <v>25.89</v>
      </c>
      <c r="R1587" s="9">
        <v>20220804</v>
      </c>
      <c r="S1587" s="9">
        <v>15.6</v>
      </c>
      <c r="T1587" s="9">
        <v>2.46</v>
      </c>
      <c r="U1587" s="9">
        <v>13111.152340000001</v>
      </c>
      <c r="V1587" s="45">
        <f t="shared" si="124"/>
        <v>-0.99981237347136198</v>
      </c>
      <c r="W1587" s="12">
        <v>8.57</v>
      </c>
      <c r="X1587" s="12">
        <v>1.37</v>
      </c>
      <c r="Y1587" s="62">
        <v>2.73</v>
      </c>
    </row>
    <row r="1588" spans="1:25" x14ac:dyDescent="0.2">
      <c r="B1588" s="3" t="s">
        <v>2263</v>
      </c>
      <c r="C1588" s="6" t="s">
        <v>354</v>
      </c>
      <c r="D1588" s="6" t="s">
        <v>519</v>
      </c>
      <c r="E1588" s="6" t="s">
        <v>163</v>
      </c>
      <c r="F1588" s="6">
        <v>31780.79</v>
      </c>
      <c r="G1588" s="2">
        <v>12</v>
      </c>
      <c r="H1588" s="61"/>
      <c r="I1588" s="61"/>
      <c r="J1588" s="47">
        <f t="shared" si="120"/>
        <v>-1</v>
      </c>
      <c r="K1588" s="47" t="e">
        <f t="shared" si="121"/>
        <v>#DIV/0!</v>
      </c>
      <c r="O1588" s="17">
        <f t="shared" si="122"/>
        <v>0</v>
      </c>
      <c r="P1588" s="17" t="e">
        <f t="shared" si="123"/>
        <v>#DIV/0!</v>
      </c>
      <c r="Q1588" s="17"/>
      <c r="V1588" s="45" t="e">
        <f t="shared" si="124"/>
        <v>#DIV/0!</v>
      </c>
      <c r="X1588" s="12">
        <v>1.42</v>
      </c>
      <c r="Y1588" s="62"/>
    </row>
    <row r="1589" spans="1:25" x14ac:dyDescent="0.2">
      <c r="A1589" s="3" t="s">
        <v>3850</v>
      </c>
      <c r="B1589" s="3" t="s">
        <v>1562</v>
      </c>
      <c r="C1589" s="6" t="s">
        <v>356</v>
      </c>
      <c r="D1589" s="6" t="s">
        <v>124</v>
      </c>
      <c r="E1589" s="6" t="s">
        <v>108</v>
      </c>
      <c r="F1589" s="6">
        <v>11721.65</v>
      </c>
      <c r="G1589" s="2">
        <v>12</v>
      </c>
      <c r="H1589" s="61">
        <v>1.1499999999999999</v>
      </c>
      <c r="I1589" s="61">
        <v>1.26</v>
      </c>
      <c r="J1589" s="47">
        <f t="shared" si="120"/>
        <v>-0.90416666666666667</v>
      </c>
      <c r="K1589" s="47">
        <f t="shared" si="121"/>
        <v>9.5652173913043564E-2</v>
      </c>
      <c r="L1589" s="8">
        <v>1.37</v>
      </c>
      <c r="N1589" s="8">
        <v>24.96</v>
      </c>
      <c r="O1589" s="17">
        <f t="shared" si="122"/>
        <v>0</v>
      </c>
      <c r="P1589" s="17">
        <f t="shared" si="123"/>
        <v>2.6094545454545433</v>
      </c>
      <c r="Q1589" s="17">
        <v>22.9</v>
      </c>
      <c r="U1589" s="9">
        <v>4192.2099600000001</v>
      </c>
      <c r="V1589" s="45">
        <f t="shared" si="124"/>
        <v>-1</v>
      </c>
      <c r="X1589" s="12">
        <v>1.68</v>
      </c>
      <c r="Y1589" s="62"/>
    </row>
    <row r="1590" spans="1:25" x14ac:dyDescent="0.2">
      <c r="A1590" s="3" t="s">
        <v>3851</v>
      </c>
      <c r="B1590" s="3" t="s">
        <v>1563</v>
      </c>
      <c r="C1590" s="6" t="s">
        <v>354</v>
      </c>
      <c r="D1590" s="6" t="s">
        <v>24</v>
      </c>
      <c r="E1590" s="6" t="s">
        <v>10</v>
      </c>
      <c r="F1590" s="6">
        <v>141285.44</v>
      </c>
      <c r="G1590" s="2">
        <v>12</v>
      </c>
      <c r="H1590" s="61">
        <v>4.1900000000000004</v>
      </c>
      <c r="I1590" s="61">
        <v>4.7699999999999996</v>
      </c>
      <c r="J1590" s="47">
        <f t="shared" si="120"/>
        <v>-0.65083333333333326</v>
      </c>
      <c r="K1590" s="47">
        <f t="shared" si="121"/>
        <v>0.13842482100238643</v>
      </c>
      <c r="L1590" s="8">
        <v>5.75</v>
      </c>
      <c r="M1590" s="8">
        <v>21.02</v>
      </c>
      <c r="N1590" s="8">
        <v>19.91</v>
      </c>
      <c r="O1590" s="17">
        <f t="shared" si="122"/>
        <v>-0.3229705505761844</v>
      </c>
      <c r="P1590" s="17">
        <f t="shared" si="123"/>
        <v>1.4383258620689676</v>
      </c>
      <c r="Q1590" s="17">
        <v>16.53</v>
      </c>
      <c r="R1590" s="9">
        <v>20220726</v>
      </c>
      <c r="S1590" s="9">
        <v>9.24</v>
      </c>
      <c r="T1590" s="9">
        <v>1.4</v>
      </c>
      <c r="U1590" s="9">
        <v>68092.671870000006</v>
      </c>
      <c r="V1590" s="45">
        <f t="shared" si="124"/>
        <v>-0.99997943978461201</v>
      </c>
      <c r="W1590" s="12">
        <v>13.86</v>
      </c>
      <c r="X1590" s="12">
        <v>2.3199999999999998</v>
      </c>
      <c r="Y1590" s="62">
        <v>1.9</v>
      </c>
    </row>
    <row r="1591" spans="1:25" x14ac:dyDescent="0.2">
      <c r="A1591" s="3" t="s">
        <v>3852</v>
      </c>
      <c r="B1591" s="3" t="s">
        <v>1564</v>
      </c>
      <c r="C1591" s="6" t="s">
        <v>355</v>
      </c>
      <c r="D1591" s="6" t="s">
        <v>294</v>
      </c>
      <c r="E1591" s="6" t="s">
        <v>218</v>
      </c>
      <c r="F1591" s="6">
        <v>5019.59</v>
      </c>
      <c r="G1591" s="2">
        <v>12</v>
      </c>
      <c r="H1591" s="61">
        <v>-0.08</v>
      </c>
      <c r="I1591" s="61">
        <v>-1</v>
      </c>
      <c r="J1591" s="47">
        <f t="shared" si="120"/>
        <v>-1.0066666666666666</v>
      </c>
      <c r="K1591" s="47">
        <f t="shared" si="121"/>
        <v>-11.5</v>
      </c>
      <c r="L1591" s="8">
        <v>-0.98</v>
      </c>
      <c r="O1591" s="17">
        <f t="shared" si="122"/>
        <v>0</v>
      </c>
      <c r="P1591" s="17">
        <f t="shared" si="123"/>
        <v>0</v>
      </c>
      <c r="Q1591" s="17"/>
      <c r="R1591" s="9">
        <v>20220804</v>
      </c>
      <c r="S1591" s="9">
        <v>-1.64</v>
      </c>
      <c r="T1591" s="9">
        <v>27.51</v>
      </c>
      <c r="U1591" s="9">
        <v>1886.0309999999999</v>
      </c>
      <c r="V1591" s="45">
        <f t="shared" si="124"/>
        <v>-0.98541381345269508</v>
      </c>
      <c r="W1591" s="12">
        <v>-500</v>
      </c>
      <c r="X1591" s="12">
        <v>0</v>
      </c>
      <c r="Y1591" s="62"/>
    </row>
    <row r="1592" spans="1:25" x14ac:dyDescent="0.2">
      <c r="A1592" s="3" t="s">
        <v>1565</v>
      </c>
      <c r="B1592" s="3" t="s">
        <v>1566</v>
      </c>
      <c r="C1592" s="6" t="s">
        <v>354</v>
      </c>
      <c r="D1592" s="6" t="s">
        <v>69</v>
      </c>
      <c r="E1592" s="6" t="s">
        <v>163</v>
      </c>
      <c r="F1592" s="6">
        <v>141321.25</v>
      </c>
      <c r="G1592" s="2">
        <v>10</v>
      </c>
      <c r="H1592" s="61">
        <v>8.94</v>
      </c>
      <c r="I1592" s="61">
        <v>8.68</v>
      </c>
      <c r="J1592" s="47">
        <f t="shared" si="120"/>
        <v>-0.10600000000000005</v>
      </c>
      <c r="K1592" s="47">
        <f t="shared" si="121"/>
        <v>-2.908277404921698E-2</v>
      </c>
      <c r="L1592" s="8">
        <v>9.2799999999999994</v>
      </c>
      <c r="M1592" s="8">
        <v>10.9</v>
      </c>
      <c r="N1592" s="8">
        <v>11.6</v>
      </c>
      <c r="O1592" s="17">
        <f t="shared" si="122"/>
        <v>-1.0283018867924525</v>
      </c>
      <c r="P1592" s="17">
        <f t="shared" si="123"/>
        <v>-3.9886153846153878</v>
      </c>
      <c r="Q1592" s="17">
        <v>10.84</v>
      </c>
      <c r="R1592" s="9">
        <v>20220824</v>
      </c>
      <c r="S1592" s="9">
        <v>18.170000000000002</v>
      </c>
      <c r="T1592" s="9">
        <v>4.46</v>
      </c>
      <c r="U1592" s="9">
        <v>37021.140619999998</v>
      </c>
      <c r="V1592" s="45">
        <f t="shared" si="124"/>
        <v>-0.99987952829315074</v>
      </c>
      <c r="W1592" s="12">
        <v>13.46</v>
      </c>
      <c r="X1592" s="12">
        <v>3.81</v>
      </c>
      <c r="Y1592" s="62">
        <v>2.09</v>
      </c>
    </row>
    <row r="1593" spans="1:25" x14ac:dyDescent="0.2">
      <c r="A1593" s="3" t="s">
        <v>3853</v>
      </c>
      <c r="B1593" s="3" t="s">
        <v>1567</v>
      </c>
      <c r="C1593" s="6" t="s">
        <v>355</v>
      </c>
      <c r="D1593" s="6" t="s">
        <v>235</v>
      </c>
      <c r="E1593" s="6" t="s">
        <v>237</v>
      </c>
      <c r="F1593" s="6">
        <v>20194.61</v>
      </c>
      <c r="G1593" s="2">
        <v>3</v>
      </c>
      <c r="H1593" s="61">
        <v>-1.82</v>
      </c>
      <c r="I1593" s="61">
        <v>5.33</v>
      </c>
      <c r="J1593" s="47">
        <f t="shared" si="120"/>
        <v>-1.6066666666666667</v>
      </c>
      <c r="K1593" s="47">
        <f t="shared" si="121"/>
        <v>3.9285714285714288</v>
      </c>
      <c r="L1593" s="8">
        <v>7.39</v>
      </c>
      <c r="N1593" s="8">
        <v>16.71</v>
      </c>
      <c r="O1593" s="17">
        <f t="shared" si="122"/>
        <v>0</v>
      </c>
      <c r="P1593" s="17">
        <f t="shared" si="123"/>
        <v>4.253454545454545E-2</v>
      </c>
      <c r="Q1593" s="17">
        <v>12.05</v>
      </c>
      <c r="R1593" s="9">
        <v>20220725</v>
      </c>
      <c r="S1593" s="9">
        <v>-6.81</v>
      </c>
      <c r="T1593" s="9">
        <v>-21.06</v>
      </c>
      <c r="U1593" s="9">
        <v>10751.389639999999</v>
      </c>
      <c r="V1593" s="45">
        <f t="shared" si="124"/>
        <v>-1.0019588165535036</v>
      </c>
      <c r="W1593" s="12">
        <v>11.71</v>
      </c>
      <c r="X1593" s="12">
        <v>0</v>
      </c>
      <c r="Y1593" s="62"/>
    </row>
    <row r="1594" spans="1:25" x14ac:dyDescent="0.2">
      <c r="A1594" s="3" t="s">
        <v>3854</v>
      </c>
      <c r="B1594" s="3" t="s">
        <v>3855</v>
      </c>
      <c r="C1594" s="6" t="s">
        <v>354</v>
      </c>
      <c r="D1594" s="6" t="s">
        <v>169</v>
      </c>
      <c r="E1594" s="6" t="s">
        <v>163</v>
      </c>
      <c r="F1594" s="6">
        <v>9603.23</v>
      </c>
      <c r="G1594" s="2">
        <v>12</v>
      </c>
      <c r="H1594" s="61">
        <v>1.07</v>
      </c>
      <c r="I1594" s="61">
        <v>1.22</v>
      </c>
      <c r="J1594" s="47">
        <f t="shared" si="120"/>
        <v>-0.91083333333333327</v>
      </c>
      <c r="K1594" s="47">
        <f t="shared" si="121"/>
        <v>0.14018691588785037</v>
      </c>
      <c r="L1594" s="8">
        <v>1.46</v>
      </c>
      <c r="N1594" s="8">
        <v>30.37</v>
      </c>
      <c r="O1594" s="17">
        <f t="shared" si="122"/>
        <v>0</v>
      </c>
      <c r="P1594" s="17">
        <f t="shared" si="123"/>
        <v>2.1663933333333349</v>
      </c>
      <c r="Q1594" s="17">
        <v>25.46</v>
      </c>
      <c r="R1594" s="9">
        <v>20220811</v>
      </c>
      <c r="S1594" s="9">
        <v>61.16</v>
      </c>
      <c r="U1594" s="9">
        <v>1704.52502</v>
      </c>
      <c r="V1594" s="45">
        <f t="shared" si="124"/>
        <v>-1</v>
      </c>
      <c r="W1594" s="12">
        <v>14.29</v>
      </c>
      <c r="X1594" s="12">
        <v>0</v>
      </c>
      <c r="Y1594" s="62"/>
    </row>
    <row r="1595" spans="1:25" x14ac:dyDescent="0.2">
      <c r="A1595" s="3" t="s">
        <v>3856</v>
      </c>
      <c r="B1595" s="3" t="s">
        <v>1568</v>
      </c>
      <c r="C1595" s="6" t="s">
        <v>354</v>
      </c>
      <c r="D1595" s="6" t="s">
        <v>122</v>
      </c>
      <c r="E1595" s="6" t="s">
        <v>140</v>
      </c>
      <c r="F1595" s="6">
        <v>5958.5</v>
      </c>
      <c r="G1595" s="2">
        <v>12</v>
      </c>
      <c r="H1595" s="61">
        <v>0.65</v>
      </c>
      <c r="I1595" s="61">
        <v>0.65</v>
      </c>
      <c r="J1595" s="47">
        <f t="shared" si="120"/>
        <v>-0.9458333333333333</v>
      </c>
      <c r="K1595" s="47">
        <f t="shared" si="121"/>
        <v>0</v>
      </c>
      <c r="L1595" s="8">
        <v>0.66</v>
      </c>
      <c r="M1595" s="8">
        <v>52.22</v>
      </c>
      <c r="N1595" s="8">
        <v>62.34</v>
      </c>
      <c r="O1595" s="17">
        <f t="shared" si="122"/>
        <v>-0.55210572687224668</v>
      </c>
      <c r="P1595" s="17" t="e">
        <f t="shared" si="123"/>
        <v>#DIV/0!</v>
      </c>
      <c r="Q1595" s="17">
        <v>61.71</v>
      </c>
      <c r="R1595" s="9">
        <v>20220803</v>
      </c>
      <c r="S1595" s="9">
        <v>6.02</v>
      </c>
      <c r="T1595" s="9">
        <v>5.41</v>
      </c>
      <c r="U1595" s="9">
        <v>918.5</v>
      </c>
      <c r="V1595" s="45">
        <f t="shared" si="124"/>
        <v>-0.99410996189439305</v>
      </c>
      <c r="W1595" s="12">
        <v>33.33</v>
      </c>
      <c r="X1595" s="12">
        <v>2.65</v>
      </c>
      <c r="Y1595" s="62"/>
    </row>
    <row r="1596" spans="1:25" x14ac:dyDescent="0.2">
      <c r="A1596" s="3" t="s">
        <v>3857</v>
      </c>
      <c r="B1596" s="3" t="s">
        <v>3858</v>
      </c>
      <c r="C1596" s="6" t="s">
        <v>354</v>
      </c>
      <c r="D1596" s="6" t="s">
        <v>134</v>
      </c>
      <c r="E1596" s="6" t="s">
        <v>119</v>
      </c>
      <c r="F1596" s="6">
        <v>6725.95</v>
      </c>
      <c r="G1596" s="2">
        <v>1</v>
      </c>
      <c r="H1596" s="61">
        <v>-0.78</v>
      </c>
      <c r="I1596" s="61">
        <v>-0.75</v>
      </c>
      <c r="J1596" s="47">
        <f t="shared" si="120"/>
        <v>-1.78</v>
      </c>
      <c r="K1596" s="47">
        <f t="shared" si="121"/>
        <v>3.8461538461538491E-2</v>
      </c>
      <c r="L1596" s="8">
        <v>-0.44</v>
      </c>
      <c r="O1596" s="17">
        <f t="shared" si="122"/>
        <v>0</v>
      </c>
      <c r="P1596" s="17">
        <f t="shared" si="123"/>
        <v>0</v>
      </c>
      <c r="Q1596" s="17"/>
      <c r="R1596" s="9">
        <v>20220601</v>
      </c>
      <c r="S1596" s="9">
        <v>-22.36</v>
      </c>
      <c r="U1596" s="9">
        <v>376.79</v>
      </c>
      <c r="V1596" s="45">
        <f t="shared" si="124"/>
        <v>-1</v>
      </c>
      <c r="W1596" s="12">
        <v>5.56</v>
      </c>
      <c r="X1596" s="12">
        <v>0</v>
      </c>
      <c r="Y1596" s="62"/>
    </row>
    <row r="1597" spans="1:25" x14ac:dyDescent="0.2">
      <c r="A1597" s="3" t="s">
        <v>3859</v>
      </c>
      <c r="B1597" s="3" t="s">
        <v>1900</v>
      </c>
      <c r="C1597" s="6" t="s">
        <v>355</v>
      </c>
      <c r="D1597" s="6" t="s">
        <v>587</v>
      </c>
      <c r="E1597" s="6" t="s">
        <v>154</v>
      </c>
      <c r="F1597" s="6">
        <v>4341.62</v>
      </c>
      <c r="G1597" s="2">
        <v>10</v>
      </c>
      <c r="H1597" s="61">
        <v>29.04</v>
      </c>
      <c r="I1597" s="61">
        <v>31.89</v>
      </c>
      <c r="J1597" s="47">
        <f t="shared" si="120"/>
        <v>1.9039999999999999</v>
      </c>
      <c r="K1597" s="47">
        <f t="shared" si="121"/>
        <v>9.8140495867768643E-2</v>
      </c>
      <c r="L1597" s="8">
        <v>26.43</v>
      </c>
      <c r="M1597" s="8">
        <v>6.83</v>
      </c>
      <c r="N1597" s="8">
        <v>6.1</v>
      </c>
      <c r="O1597" s="17">
        <f t="shared" si="122"/>
        <v>3.5871848739495803E-2</v>
      </c>
      <c r="P1597" s="17">
        <f t="shared" si="123"/>
        <v>0.62155789473684175</v>
      </c>
      <c r="Q1597" s="17">
        <v>7.36</v>
      </c>
      <c r="R1597" s="9">
        <v>20220526</v>
      </c>
      <c r="S1597" s="9">
        <v>35.950000000000003</v>
      </c>
      <c r="T1597" s="9">
        <v>7.99</v>
      </c>
      <c r="U1597" s="9">
        <v>5836.8798800000004</v>
      </c>
      <c r="V1597" s="45">
        <f t="shared" si="124"/>
        <v>-0.99863111796640236</v>
      </c>
      <c r="W1597" s="12">
        <v>9.66</v>
      </c>
      <c r="X1597" s="12">
        <v>0.9</v>
      </c>
      <c r="Y1597" s="62"/>
    </row>
    <row r="1598" spans="1:25" x14ac:dyDescent="0.2">
      <c r="A1598" s="3" t="s">
        <v>3860</v>
      </c>
      <c r="B1598" s="3" t="s">
        <v>1569</v>
      </c>
      <c r="C1598" s="6" t="s">
        <v>356</v>
      </c>
      <c r="D1598" s="6" t="s">
        <v>16</v>
      </c>
      <c r="E1598" s="6" t="s">
        <v>10</v>
      </c>
      <c r="F1598" s="6">
        <v>45150.29</v>
      </c>
      <c r="G1598" s="2">
        <v>12</v>
      </c>
      <c r="H1598" s="61">
        <v>0.72</v>
      </c>
      <c r="I1598" s="61">
        <v>1.03</v>
      </c>
      <c r="J1598" s="47">
        <f t="shared" si="120"/>
        <v>-0.94</v>
      </c>
      <c r="K1598" s="47">
        <f t="shared" si="121"/>
        <v>0.43055555555555564</v>
      </c>
      <c r="L1598" s="8">
        <v>1.32</v>
      </c>
      <c r="N1598" s="8">
        <v>25.57</v>
      </c>
      <c r="O1598" s="17">
        <f t="shared" si="122"/>
        <v>0</v>
      </c>
      <c r="P1598" s="17">
        <f t="shared" si="123"/>
        <v>0.59388387096774187</v>
      </c>
      <c r="Q1598" s="17">
        <v>20.09</v>
      </c>
      <c r="U1598" s="9">
        <v>19146.33007</v>
      </c>
      <c r="V1598" s="45">
        <f t="shared" si="124"/>
        <v>-1</v>
      </c>
      <c r="X1598" s="12">
        <v>0.35</v>
      </c>
      <c r="Y1598" s="62">
        <v>0.79</v>
      </c>
    </row>
    <row r="1599" spans="1:25" x14ac:dyDescent="0.2">
      <c r="A1599" s="3" t="s">
        <v>3861</v>
      </c>
      <c r="B1599" s="3" t="s">
        <v>1570</v>
      </c>
      <c r="C1599" s="6" t="s">
        <v>355</v>
      </c>
      <c r="D1599" s="6" t="s">
        <v>1120</v>
      </c>
      <c r="E1599" s="6" t="s">
        <v>237</v>
      </c>
      <c r="F1599" s="6">
        <v>5183.4399999999996</v>
      </c>
      <c r="G1599" s="2">
        <v>12</v>
      </c>
      <c r="H1599" s="61">
        <v>9.25</v>
      </c>
      <c r="I1599" s="61">
        <v>12.72</v>
      </c>
      <c r="J1599" s="47">
        <f t="shared" si="120"/>
        <v>-0.22916666666666666</v>
      </c>
      <c r="K1599" s="47">
        <f t="shared" si="121"/>
        <v>0.37513513513513519</v>
      </c>
      <c r="L1599" s="8">
        <v>13.39</v>
      </c>
      <c r="M1599" s="8">
        <v>17.940000000000001</v>
      </c>
      <c r="N1599" s="8">
        <v>15.43</v>
      </c>
      <c r="O1599" s="17">
        <f t="shared" si="122"/>
        <v>-0.78283636363636377</v>
      </c>
      <c r="P1599" s="17">
        <f t="shared" si="123"/>
        <v>0.41131844380403454</v>
      </c>
      <c r="Q1599" s="17">
        <v>14.66</v>
      </c>
      <c r="R1599" s="9">
        <v>20220804</v>
      </c>
      <c r="S1599" s="9">
        <v>24.76</v>
      </c>
      <c r="T1599" s="9">
        <v>11.73</v>
      </c>
      <c r="U1599" s="9">
        <v>2772.8439899999998</v>
      </c>
      <c r="V1599" s="45">
        <f t="shared" si="124"/>
        <v>-0.99576968627073748</v>
      </c>
      <c r="W1599" s="12">
        <v>10.37</v>
      </c>
      <c r="X1599" s="12">
        <v>0</v>
      </c>
      <c r="Y1599" s="62">
        <v>0.7</v>
      </c>
    </row>
    <row r="1600" spans="1:25" x14ac:dyDescent="0.2">
      <c r="A1600" s="3" t="s">
        <v>3862</v>
      </c>
      <c r="B1600" s="3" t="s">
        <v>1571</v>
      </c>
      <c r="C1600" s="6" t="s">
        <v>354</v>
      </c>
      <c r="D1600" s="6" t="s">
        <v>134</v>
      </c>
      <c r="E1600" s="6" t="s">
        <v>119</v>
      </c>
      <c r="F1600" s="6">
        <v>4781.62</v>
      </c>
      <c r="G1600" s="2">
        <v>1</v>
      </c>
      <c r="H1600" s="61">
        <v>6.95</v>
      </c>
      <c r="I1600" s="61">
        <v>7.02</v>
      </c>
      <c r="J1600" s="47">
        <f t="shared" si="120"/>
        <v>5.95</v>
      </c>
      <c r="K1600" s="47">
        <f t="shared" si="121"/>
        <v>1.0071942446043078E-2</v>
      </c>
      <c r="L1600" s="8">
        <v>7.59</v>
      </c>
      <c r="M1600" s="8">
        <v>11.75</v>
      </c>
      <c r="N1600" s="8">
        <v>12.16</v>
      </c>
      <c r="O1600" s="17">
        <f t="shared" si="122"/>
        <v>1.9747899159663865E-2</v>
      </c>
      <c r="P1600" s="17">
        <f t="shared" si="123"/>
        <v>12.073142857142962</v>
      </c>
      <c r="Q1600" s="17">
        <v>11.24</v>
      </c>
      <c r="R1600" s="9">
        <v>20220606</v>
      </c>
      <c r="S1600" s="9">
        <v>25.99</v>
      </c>
      <c r="T1600" s="9">
        <v>15.05</v>
      </c>
      <c r="U1600" s="9">
        <v>7471.6347599999999</v>
      </c>
      <c r="V1600" s="45">
        <f t="shared" si="124"/>
        <v>-0.99798571524392876</v>
      </c>
      <c r="W1600" s="12">
        <v>27.12</v>
      </c>
      <c r="X1600" s="12">
        <v>1.73</v>
      </c>
      <c r="Y1600" s="62"/>
    </row>
    <row r="1601" spans="1:25" x14ac:dyDescent="0.2">
      <c r="A1601" s="3" t="s">
        <v>3863</v>
      </c>
      <c r="B1601" s="3" t="s">
        <v>2030</v>
      </c>
      <c r="C1601" s="6" t="s">
        <v>354</v>
      </c>
      <c r="D1601" s="6" t="s">
        <v>233</v>
      </c>
      <c r="E1601" s="6" t="s">
        <v>108</v>
      </c>
      <c r="F1601" s="6">
        <v>5973.38</v>
      </c>
      <c r="G1601" s="2">
        <v>12</v>
      </c>
      <c r="H1601" s="61">
        <v>-0.05</v>
      </c>
      <c r="I1601" s="61">
        <v>-0.24</v>
      </c>
      <c r="J1601" s="47">
        <f t="shared" si="120"/>
        <v>-1.0041666666666667</v>
      </c>
      <c r="K1601" s="47">
        <f t="shared" si="121"/>
        <v>-3.8</v>
      </c>
      <c r="L1601" s="8">
        <v>-0.01</v>
      </c>
      <c r="O1601" s="17">
        <f t="shared" si="122"/>
        <v>0</v>
      </c>
      <c r="P1601" s="17">
        <f t="shared" si="123"/>
        <v>0</v>
      </c>
      <c r="Q1601" s="17"/>
      <c r="R1601" s="9">
        <v>20220808</v>
      </c>
      <c r="S1601" s="9">
        <v>-13.41</v>
      </c>
      <c r="T1601" s="9">
        <v>22.36</v>
      </c>
      <c r="U1601" s="9">
        <v>521.15502000000004</v>
      </c>
      <c r="V1601" s="45">
        <f t="shared" si="124"/>
        <v>-0.95709529959051343</v>
      </c>
      <c r="W1601" s="12">
        <v>18.18</v>
      </c>
      <c r="X1601" s="12">
        <v>0</v>
      </c>
      <c r="Y1601" s="62"/>
    </row>
    <row r="1602" spans="1:25" x14ac:dyDescent="0.2">
      <c r="A1602" s="3" t="s">
        <v>3864</v>
      </c>
      <c r="B1602" s="3" t="s">
        <v>1572</v>
      </c>
      <c r="C1602" s="6" t="s">
        <v>354</v>
      </c>
      <c r="D1602" s="6" t="s">
        <v>116</v>
      </c>
      <c r="E1602" s="6" t="s">
        <v>154</v>
      </c>
      <c r="F1602" s="6">
        <v>4209.47</v>
      </c>
      <c r="G1602" s="2">
        <v>12</v>
      </c>
      <c r="H1602" s="61">
        <v>16.41</v>
      </c>
      <c r="I1602" s="61">
        <v>12.54</v>
      </c>
      <c r="J1602" s="47">
        <f t="shared" si="120"/>
        <v>0.36749999999999999</v>
      </c>
      <c r="K1602" s="47">
        <f t="shared" si="121"/>
        <v>-0.23583180987202931</v>
      </c>
      <c r="L1602" s="8">
        <v>15.17</v>
      </c>
      <c r="M1602" s="8">
        <v>46.06</v>
      </c>
      <c r="N1602" s="8">
        <v>27.32</v>
      </c>
      <c r="O1602" s="17">
        <f t="shared" si="122"/>
        <v>1.2533333333333334</v>
      </c>
      <c r="P1602" s="17">
        <f t="shared" si="123"/>
        <v>-1.1584527131782945</v>
      </c>
      <c r="Q1602" s="17">
        <v>22.59</v>
      </c>
      <c r="R1602" s="9">
        <v>20220728</v>
      </c>
      <c r="S1602" s="9">
        <v>9.0500000000000007</v>
      </c>
      <c r="T1602" s="9">
        <v>24.3</v>
      </c>
      <c r="U1602" s="9">
        <v>2246.1000899999999</v>
      </c>
      <c r="V1602" s="45">
        <f t="shared" si="124"/>
        <v>-0.98918124792916051</v>
      </c>
      <c r="W1602" s="12">
        <v>-107.8</v>
      </c>
      <c r="X1602" s="12">
        <v>0</v>
      </c>
      <c r="Y1602" s="62"/>
    </row>
    <row r="1603" spans="1:25" x14ac:dyDescent="0.2">
      <c r="A1603" s="3" t="s">
        <v>3865</v>
      </c>
      <c r="B1603" s="3" t="s">
        <v>1573</v>
      </c>
      <c r="C1603" s="6" t="s">
        <v>354</v>
      </c>
      <c r="D1603" s="6" t="s">
        <v>69</v>
      </c>
      <c r="E1603" s="6" t="s">
        <v>163</v>
      </c>
      <c r="F1603" s="6">
        <v>54969.83</v>
      </c>
      <c r="G1603" s="2">
        <v>12</v>
      </c>
      <c r="H1603" s="61">
        <v>0.53</v>
      </c>
      <c r="I1603" s="61">
        <v>0.56000000000000005</v>
      </c>
      <c r="J1603" s="47">
        <f t="shared" ref="J1603:J1666" si="125">(H1603-G1603)/ABS(G1603)</f>
        <v>-0.95583333333333342</v>
      </c>
      <c r="K1603" s="47">
        <f t="shared" ref="K1603:K1666" si="126">(I1603-H1603)/ABS(H1603)</f>
        <v>5.660377358490571E-2</v>
      </c>
      <c r="L1603" s="8">
        <v>0.54</v>
      </c>
      <c r="M1603" s="8">
        <v>5.56</v>
      </c>
      <c r="N1603" s="8">
        <v>5.61</v>
      </c>
      <c r="O1603" s="17">
        <f t="shared" ref="O1603:O1666" si="127">M1603/(J1603*100)</f>
        <v>-5.8169136878814288E-2</v>
      </c>
      <c r="P1603" s="17">
        <f t="shared" ref="P1603:P1666" si="128">N1603/(K1603*100)</f>
        <v>0.9910999999999992</v>
      </c>
      <c r="Q1603" s="17">
        <v>5.87</v>
      </c>
      <c r="R1603" s="9">
        <v>20220727</v>
      </c>
      <c r="S1603" s="9">
        <v>9.25</v>
      </c>
      <c r="T1603" s="9">
        <v>-0.57999999999999996</v>
      </c>
      <c r="U1603" s="9">
        <v>53031.125</v>
      </c>
      <c r="V1603" s="45">
        <f t="shared" ref="V1603:V1666" si="129">(T1603-U1603)/U1603</f>
        <v>-1.0000109369733341</v>
      </c>
      <c r="W1603" s="12">
        <v>14.29</v>
      </c>
      <c r="X1603" s="12">
        <v>2.29</v>
      </c>
      <c r="Y1603" s="62"/>
    </row>
    <row r="1604" spans="1:25" x14ac:dyDescent="0.2">
      <c r="A1604" s="3" t="s">
        <v>3866</v>
      </c>
      <c r="B1604" s="3" t="s">
        <v>1574</v>
      </c>
      <c r="C1604" s="6" t="s">
        <v>356</v>
      </c>
      <c r="D1604" s="6" t="s">
        <v>191</v>
      </c>
      <c r="E1604" s="6" t="s">
        <v>208</v>
      </c>
      <c r="F1604" s="6">
        <v>11415.71</v>
      </c>
      <c r="G1604" s="2">
        <v>12</v>
      </c>
      <c r="H1604" s="61">
        <v>9.34</v>
      </c>
      <c r="I1604" s="61">
        <v>10.37</v>
      </c>
      <c r="J1604" s="47">
        <f t="shared" si="125"/>
        <v>-0.22166666666666668</v>
      </c>
      <c r="K1604" s="47">
        <f t="shared" si="126"/>
        <v>0.11027837259100635</v>
      </c>
      <c r="L1604" s="8">
        <v>11.88</v>
      </c>
      <c r="M1604" s="8">
        <v>32.79</v>
      </c>
      <c r="N1604" s="8">
        <v>32.159999999999997</v>
      </c>
      <c r="O1604" s="17">
        <f t="shared" si="127"/>
        <v>-1.4792481203007517</v>
      </c>
      <c r="P1604" s="17">
        <f t="shared" si="128"/>
        <v>2.9162563106796129</v>
      </c>
      <c r="Q1604" s="17">
        <v>28.07</v>
      </c>
      <c r="R1604" s="9">
        <v>20220720</v>
      </c>
      <c r="S1604" s="9">
        <v>33.799999999999997</v>
      </c>
      <c r="T1604" s="9">
        <v>23.18</v>
      </c>
      <c r="U1604" s="9">
        <v>4324.1000899999999</v>
      </c>
      <c r="V1604" s="45">
        <f t="shared" si="129"/>
        <v>-0.99463934702769563</v>
      </c>
      <c r="W1604" s="12">
        <v>10.039999999999999</v>
      </c>
      <c r="X1604" s="12">
        <v>0</v>
      </c>
      <c r="Y1604" s="62"/>
    </row>
    <row r="1605" spans="1:25" x14ac:dyDescent="0.2">
      <c r="A1605" s="3" t="s">
        <v>3867</v>
      </c>
      <c r="B1605" s="3" t="s">
        <v>2031</v>
      </c>
      <c r="C1605" s="6" t="s">
        <v>356</v>
      </c>
      <c r="D1605" s="6" t="s">
        <v>186</v>
      </c>
      <c r="E1605" s="6" t="s">
        <v>208</v>
      </c>
      <c r="F1605" s="6">
        <v>17954.439999999999</v>
      </c>
      <c r="G1605" s="2">
        <v>12</v>
      </c>
      <c r="H1605" s="61">
        <v>3.28</v>
      </c>
      <c r="I1605" s="61">
        <v>3.46</v>
      </c>
      <c r="J1605" s="47">
        <f t="shared" si="125"/>
        <v>-0.72666666666666668</v>
      </c>
      <c r="K1605" s="47">
        <f t="shared" si="126"/>
        <v>5.4878048780487854E-2</v>
      </c>
      <c r="L1605" s="8">
        <v>4.16</v>
      </c>
      <c r="N1605" s="8">
        <v>32.619999999999997</v>
      </c>
      <c r="O1605" s="17">
        <f t="shared" si="127"/>
        <v>0</v>
      </c>
      <c r="P1605" s="17">
        <f t="shared" si="128"/>
        <v>5.9440888888888832</v>
      </c>
      <c r="Q1605" s="17">
        <v>27.11</v>
      </c>
      <c r="R1605" s="9">
        <v>20220531</v>
      </c>
      <c r="U1605" s="9">
        <v>2535.6550200000001</v>
      </c>
      <c r="V1605" s="45">
        <f t="shared" si="129"/>
        <v>-1</v>
      </c>
      <c r="X1605" s="12">
        <v>0</v>
      </c>
      <c r="Y1605" s="62"/>
    </row>
    <row r="1606" spans="1:25" x14ac:dyDescent="0.2">
      <c r="A1606" s="3" t="s">
        <v>3868</v>
      </c>
      <c r="B1606" s="3" t="s">
        <v>3869</v>
      </c>
      <c r="C1606" s="6" t="s">
        <v>356</v>
      </c>
      <c r="D1606" s="6" t="s">
        <v>173</v>
      </c>
      <c r="E1606" s="6" t="s">
        <v>163</v>
      </c>
      <c r="F1606" s="6">
        <v>24779.8</v>
      </c>
      <c r="G1606" s="2">
        <v>12</v>
      </c>
      <c r="H1606" s="61"/>
      <c r="I1606" s="61"/>
      <c r="J1606" s="47">
        <f t="shared" si="125"/>
        <v>-1</v>
      </c>
      <c r="K1606" s="47" t="e">
        <f t="shared" si="126"/>
        <v>#DIV/0!</v>
      </c>
      <c r="M1606" s="8">
        <v>11.74</v>
      </c>
      <c r="O1606" s="17">
        <f t="shared" si="127"/>
        <v>-0.1174</v>
      </c>
      <c r="P1606" s="17" t="e">
        <f t="shared" si="128"/>
        <v>#DIV/0!</v>
      </c>
      <c r="Q1606" s="17"/>
      <c r="R1606" s="9">
        <v>20220803</v>
      </c>
      <c r="S1606" s="9">
        <v>13.7</v>
      </c>
      <c r="V1606" s="45" t="e">
        <f t="shared" si="129"/>
        <v>#DIV/0!</v>
      </c>
      <c r="X1606" s="12">
        <v>6.07</v>
      </c>
      <c r="Y1606" s="62"/>
    </row>
    <row r="1607" spans="1:25" x14ac:dyDescent="0.2">
      <c r="A1607" s="3" t="s">
        <v>3870</v>
      </c>
      <c r="B1607" s="3" t="s">
        <v>1575</v>
      </c>
      <c r="C1607" s="6" t="s">
        <v>355</v>
      </c>
      <c r="D1607" s="6" t="s">
        <v>215</v>
      </c>
      <c r="E1607" s="6" t="s">
        <v>163</v>
      </c>
      <c r="F1607" s="6">
        <v>36494.74</v>
      </c>
      <c r="G1607" s="2">
        <v>12</v>
      </c>
      <c r="H1607" s="61">
        <v>10.72</v>
      </c>
      <c r="I1607" s="61">
        <v>11.97</v>
      </c>
      <c r="J1607" s="47">
        <f t="shared" si="125"/>
        <v>-0.10666666666666662</v>
      </c>
      <c r="K1607" s="47">
        <f t="shared" si="126"/>
        <v>0.11660447761194029</v>
      </c>
      <c r="L1607" s="8">
        <v>12.86</v>
      </c>
      <c r="M1607" s="8">
        <v>30.44</v>
      </c>
      <c r="N1607" s="8">
        <v>28.28</v>
      </c>
      <c r="O1607" s="17">
        <f t="shared" si="127"/>
        <v>-2.8537500000000011</v>
      </c>
      <c r="P1607" s="17">
        <f t="shared" si="128"/>
        <v>2.4252928000000002</v>
      </c>
      <c r="Q1607" s="17">
        <v>26.32</v>
      </c>
      <c r="R1607" s="9">
        <v>20220801</v>
      </c>
      <c r="S1607" s="9">
        <v>-8.5399999999999991</v>
      </c>
      <c r="T1607" s="9">
        <v>7.1</v>
      </c>
      <c r="U1607" s="9">
        <v>2511.9560499999998</v>
      </c>
      <c r="V1607" s="45">
        <f t="shared" si="129"/>
        <v>-0.99717351742678784</v>
      </c>
      <c r="W1607" s="12">
        <v>2.78</v>
      </c>
      <c r="X1607" s="12">
        <v>0.84</v>
      </c>
      <c r="Y1607" s="62"/>
    </row>
    <row r="1608" spans="1:25" x14ac:dyDescent="0.2">
      <c r="A1608" s="3" t="s">
        <v>3871</v>
      </c>
      <c r="B1608" s="3" t="s">
        <v>1576</v>
      </c>
      <c r="C1608" s="6" t="s">
        <v>356</v>
      </c>
      <c r="D1608" s="6" t="s">
        <v>181</v>
      </c>
      <c r="E1608" s="6" t="s">
        <v>201</v>
      </c>
      <c r="F1608" s="6">
        <v>76364.28</v>
      </c>
      <c r="G1608" s="2">
        <v>12</v>
      </c>
      <c r="H1608" s="61">
        <v>1.36</v>
      </c>
      <c r="I1608" s="61">
        <v>1.45</v>
      </c>
      <c r="J1608" s="47">
        <f t="shared" si="125"/>
        <v>-0.88666666666666671</v>
      </c>
      <c r="K1608" s="47">
        <f t="shared" si="126"/>
        <v>6.6176470588235184E-2</v>
      </c>
      <c r="L1608" s="8">
        <v>1.63</v>
      </c>
      <c r="N1608" s="8">
        <v>18.55</v>
      </c>
      <c r="O1608" s="17">
        <f t="shared" si="127"/>
        <v>0</v>
      </c>
      <c r="P1608" s="17">
        <f t="shared" si="128"/>
        <v>2.8031111111111158</v>
      </c>
      <c r="Q1608" s="17">
        <v>16.5</v>
      </c>
      <c r="U1608" s="9">
        <v>34053.464840000001</v>
      </c>
      <c r="V1608" s="45">
        <f t="shared" si="129"/>
        <v>-1</v>
      </c>
      <c r="X1608" s="12">
        <v>1.71</v>
      </c>
      <c r="Y1608" s="62">
        <v>4.88</v>
      </c>
    </row>
    <row r="1609" spans="1:25" x14ac:dyDescent="0.2">
      <c r="A1609" s="3" t="s">
        <v>3872</v>
      </c>
      <c r="B1609" s="3" t="s">
        <v>3873</v>
      </c>
      <c r="C1609" s="6" t="s">
        <v>355</v>
      </c>
      <c r="D1609" s="6" t="s">
        <v>242</v>
      </c>
      <c r="E1609" s="6" t="s">
        <v>237</v>
      </c>
      <c r="F1609" s="6">
        <v>3329.69</v>
      </c>
      <c r="G1609" s="2">
        <v>12</v>
      </c>
      <c r="H1609" s="61">
        <v>6.37</v>
      </c>
      <c r="I1609" s="61">
        <v>5.89</v>
      </c>
      <c r="J1609" s="47">
        <f t="shared" si="125"/>
        <v>-0.46916666666666668</v>
      </c>
      <c r="K1609" s="47">
        <f t="shared" si="126"/>
        <v>-7.5353218210361131E-2</v>
      </c>
      <c r="L1609" s="8">
        <v>3.68</v>
      </c>
      <c r="M1609" s="8">
        <v>4</v>
      </c>
      <c r="N1609" s="8">
        <v>5.53</v>
      </c>
      <c r="O1609" s="17">
        <f t="shared" si="127"/>
        <v>-8.5257548845470696E-2</v>
      </c>
      <c r="P1609" s="17">
        <f t="shared" si="128"/>
        <v>-0.73387708333333268</v>
      </c>
      <c r="Q1609" s="17">
        <v>8.85</v>
      </c>
      <c r="R1609" s="9">
        <v>20220804</v>
      </c>
      <c r="S1609" s="9">
        <v>42.24</v>
      </c>
      <c r="T1609" s="9">
        <v>35.520000000000003</v>
      </c>
      <c r="U1609" s="9">
        <v>1502.56005</v>
      </c>
      <c r="V1609" s="45">
        <f t="shared" si="129"/>
        <v>-0.97636034579782682</v>
      </c>
      <c r="W1609" s="12">
        <v>21.99</v>
      </c>
      <c r="X1609" s="12">
        <v>24.58</v>
      </c>
      <c r="Y1609" s="62"/>
    </row>
    <row r="1610" spans="1:25" x14ac:dyDescent="0.2">
      <c r="A1610" s="3" t="s">
        <v>1577</v>
      </c>
      <c r="B1610" s="3" t="s">
        <v>1578</v>
      </c>
      <c r="C1610" s="6" t="s">
        <v>355</v>
      </c>
      <c r="D1610" s="6" t="s">
        <v>104</v>
      </c>
      <c r="E1610" s="6" t="s">
        <v>163</v>
      </c>
      <c r="F1610" s="6">
        <v>12336.31</v>
      </c>
      <c r="G1610" s="2">
        <v>12</v>
      </c>
      <c r="H1610" s="61">
        <v>14.68</v>
      </c>
      <c r="I1610" s="61">
        <v>22.23</v>
      </c>
      <c r="J1610" s="47">
        <f t="shared" si="125"/>
        <v>0.2233333333333333</v>
      </c>
      <c r="K1610" s="47">
        <f t="shared" si="126"/>
        <v>0.51430517711171664</v>
      </c>
      <c r="L1610" s="8">
        <v>27.27</v>
      </c>
      <c r="M1610" s="8">
        <v>11.9</v>
      </c>
      <c r="N1610" s="8">
        <v>9.15</v>
      </c>
      <c r="O1610" s="17">
        <f t="shared" si="127"/>
        <v>0.53283582089552251</v>
      </c>
      <c r="P1610" s="17">
        <f t="shared" si="128"/>
        <v>0.17790993377483444</v>
      </c>
      <c r="Q1610" s="17">
        <v>7.46</v>
      </c>
      <c r="R1610" s="9">
        <v>20220719</v>
      </c>
      <c r="S1610" s="9">
        <v>13.97</v>
      </c>
      <c r="T1610" s="9">
        <v>10.62</v>
      </c>
      <c r="U1610" s="9">
        <v>2837.3229900000001</v>
      </c>
      <c r="V1610" s="45">
        <f t="shared" si="129"/>
        <v>-0.99625703522742048</v>
      </c>
      <c r="W1610" s="12">
        <v>22.97</v>
      </c>
      <c r="X1610" s="12">
        <v>1.1000000000000001</v>
      </c>
      <c r="Y1610" s="62">
        <v>0.96</v>
      </c>
    </row>
    <row r="1611" spans="1:25" x14ac:dyDescent="0.2">
      <c r="A1611" s="3" t="s">
        <v>3874</v>
      </c>
      <c r="B1611" s="3" t="s">
        <v>1579</v>
      </c>
      <c r="C1611" s="6" t="s">
        <v>355</v>
      </c>
      <c r="D1611" s="6" t="s">
        <v>215</v>
      </c>
      <c r="E1611" s="6" t="s">
        <v>163</v>
      </c>
      <c r="F1611" s="6">
        <v>3205.65</v>
      </c>
      <c r="G1611" s="2">
        <v>12</v>
      </c>
      <c r="H1611" s="61">
        <v>1.53</v>
      </c>
      <c r="I1611" s="61">
        <v>1.54</v>
      </c>
      <c r="J1611" s="47">
        <f t="shared" si="125"/>
        <v>-0.87250000000000005</v>
      </c>
      <c r="K1611" s="47">
        <f t="shared" si="126"/>
        <v>6.5359477124183061E-3</v>
      </c>
      <c r="L1611" s="8">
        <v>1.57</v>
      </c>
      <c r="M1611" s="8">
        <v>9.07</v>
      </c>
      <c r="N1611" s="8">
        <v>9.02</v>
      </c>
      <c r="O1611" s="17">
        <f t="shared" si="127"/>
        <v>-0.10395415472779369</v>
      </c>
      <c r="P1611" s="17">
        <f t="shared" si="128"/>
        <v>13.800599999999987</v>
      </c>
      <c r="Q1611" s="17">
        <v>8.83</v>
      </c>
      <c r="R1611" s="9">
        <v>20220803</v>
      </c>
      <c r="S1611" s="9">
        <v>-3.15</v>
      </c>
      <c r="T1611" s="9">
        <v>10.61</v>
      </c>
      <c r="U1611" s="9">
        <v>643.48297000000002</v>
      </c>
      <c r="V1611" s="45">
        <f t="shared" si="129"/>
        <v>-0.98351160715255603</v>
      </c>
      <c r="W1611" s="12">
        <v>2.63</v>
      </c>
      <c r="X1611" s="12">
        <v>8.65</v>
      </c>
      <c r="Y1611" s="62"/>
    </row>
    <row r="1612" spans="1:25" x14ac:dyDescent="0.2">
      <c r="A1612" s="3" t="s">
        <v>3875</v>
      </c>
      <c r="B1612" s="3" t="s">
        <v>2264</v>
      </c>
      <c r="C1612" s="6" t="s">
        <v>354</v>
      </c>
      <c r="D1612" s="6" t="s">
        <v>270</v>
      </c>
      <c r="E1612" s="6" t="s">
        <v>250</v>
      </c>
      <c r="F1612" s="6">
        <v>6876.11</v>
      </c>
      <c r="G1612" s="2">
        <v>12</v>
      </c>
      <c r="H1612" s="61"/>
      <c r="I1612" s="61"/>
      <c r="J1612" s="47">
        <f t="shared" si="125"/>
        <v>-1</v>
      </c>
      <c r="K1612" s="47" t="e">
        <f t="shared" si="126"/>
        <v>#DIV/0!</v>
      </c>
      <c r="M1612" s="8">
        <v>13.24</v>
      </c>
      <c r="O1612" s="17">
        <f t="shared" si="127"/>
        <v>-0.13239999999999999</v>
      </c>
      <c r="P1612" s="17" t="e">
        <f t="shared" si="128"/>
        <v>#DIV/0!</v>
      </c>
      <c r="Q1612" s="17"/>
      <c r="R1612" s="9">
        <v>20220811</v>
      </c>
      <c r="S1612" s="9">
        <v>11.14</v>
      </c>
      <c r="T1612" s="9">
        <v>-5.96</v>
      </c>
      <c r="V1612" s="45" t="e">
        <f t="shared" si="129"/>
        <v>#DIV/0!</v>
      </c>
      <c r="X1612" s="12">
        <v>1.87</v>
      </c>
      <c r="Y1612" s="62"/>
    </row>
    <row r="1613" spans="1:25" x14ac:dyDescent="0.2">
      <c r="A1613" s="3" t="s">
        <v>1580</v>
      </c>
      <c r="B1613" s="3" t="s">
        <v>1581</v>
      </c>
      <c r="C1613" s="6" t="s">
        <v>354</v>
      </c>
      <c r="D1613" s="6" t="s">
        <v>197</v>
      </c>
      <c r="E1613" s="6" t="s">
        <v>60</v>
      </c>
      <c r="F1613" s="6">
        <v>9140.2199999999993</v>
      </c>
      <c r="G1613" s="2">
        <v>12</v>
      </c>
      <c r="H1613" s="61">
        <v>3.64</v>
      </c>
      <c r="I1613" s="61">
        <v>3.34</v>
      </c>
      <c r="J1613" s="47">
        <f t="shared" si="125"/>
        <v>-0.69666666666666666</v>
      </c>
      <c r="K1613" s="47">
        <f t="shared" si="126"/>
        <v>-8.2417582417582486E-2</v>
      </c>
      <c r="L1613" s="8">
        <v>3.26</v>
      </c>
      <c r="N1613" s="8">
        <v>3.86</v>
      </c>
      <c r="O1613" s="17">
        <f t="shared" si="127"/>
        <v>0</v>
      </c>
      <c r="P1613" s="17">
        <f t="shared" si="128"/>
        <v>-0.4683466666666663</v>
      </c>
      <c r="Q1613" s="17">
        <v>3.96</v>
      </c>
      <c r="R1613" s="9">
        <v>20220602</v>
      </c>
      <c r="U1613" s="9">
        <v>9481.2304600000007</v>
      </c>
      <c r="V1613" s="45">
        <f t="shared" si="129"/>
        <v>-1</v>
      </c>
      <c r="X1613" s="12">
        <v>6.3</v>
      </c>
      <c r="Y1613" s="62"/>
    </row>
    <row r="1614" spans="1:25" x14ac:dyDescent="0.2">
      <c r="A1614" s="3" t="s">
        <v>3876</v>
      </c>
      <c r="B1614" s="3" t="s">
        <v>1582</v>
      </c>
      <c r="C1614" s="6" t="s">
        <v>355</v>
      </c>
      <c r="D1614" s="6" t="s">
        <v>223</v>
      </c>
      <c r="E1614" s="6" t="s">
        <v>231</v>
      </c>
      <c r="F1614" s="6">
        <v>85432.58</v>
      </c>
      <c r="G1614" s="2">
        <v>9</v>
      </c>
      <c r="H1614" s="61">
        <v>3.24</v>
      </c>
      <c r="I1614" s="61">
        <v>2.92</v>
      </c>
      <c r="J1614" s="47">
        <f t="shared" si="125"/>
        <v>-0.64</v>
      </c>
      <c r="K1614" s="47">
        <f t="shared" si="126"/>
        <v>-9.876543209876551E-2</v>
      </c>
      <c r="L1614" s="8">
        <v>3.52</v>
      </c>
      <c r="M1614" s="8">
        <v>22.44</v>
      </c>
      <c r="N1614" s="8">
        <v>25.49</v>
      </c>
      <c r="O1614" s="17">
        <f t="shared" si="127"/>
        <v>-0.35062500000000002</v>
      </c>
      <c r="P1614" s="17">
        <f t="shared" si="128"/>
        <v>-2.5808624999999976</v>
      </c>
      <c r="Q1614" s="17">
        <v>21.18</v>
      </c>
      <c r="R1614" s="9">
        <v>20220726</v>
      </c>
      <c r="S1614" s="9">
        <v>-53.43</v>
      </c>
      <c r="T1614" s="9">
        <v>4.83</v>
      </c>
      <c r="U1614" s="9">
        <v>32380.5</v>
      </c>
      <c r="V1614" s="45">
        <f t="shared" si="129"/>
        <v>-0.99985083615138737</v>
      </c>
      <c r="W1614" s="12">
        <v>-1.67</v>
      </c>
      <c r="X1614" s="12">
        <v>2.63</v>
      </c>
      <c r="Y1614" s="62">
        <v>2.17</v>
      </c>
    </row>
    <row r="1615" spans="1:25" x14ac:dyDescent="0.2">
      <c r="A1615" s="3" t="s">
        <v>3877</v>
      </c>
      <c r="B1615" s="3" t="s">
        <v>1583</v>
      </c>
      <c r="C1615" s="6" t="s">
        <v>356</v>
      </c>
      <c r="D1615" s="6" t="s">
        <v>69</v>
      </c>
      <c r="E1615" s="6" t="s">
        <v>163</v>
      </c>
      <c r="F1615" s="6">
        <v>24460.39</v>
      </c>
      <c r="G1615" s="2">
        <v>12</v>
      </c>
      <c r="H1615" s="61">
        <v>0.89</v>
      </c>
      <c r="I1615" s="61">
        <v>0.95</v>
      </c>
      <c r="J1615" s="47">
        <f t="shared" si="125"/>
        <v>-0.92583333333333329</v>
      </c>
      <c r="K1615" s="47">
        <f t="shared" si="126"/>
        <v>6.741573033707858E-2</v>
      </c>
      <c r="L1615" s="8">
        <v>1.17</v>
      </c>
      <c r="N1615" s="8">
        <v>8.1199999999999992</v>
      </c>
      <c r="O1615" s="17">
        <f t="shared" si="127"/>
        <v>0</v>
      </c>
      <c r="P1615" s="17">
        <f t="shared" si="128"/>
        <v>1.2044666666666679</v>
      </c>
      <c r="Q1615" s="17">
        <v>6.6</v>
      </c>
      <c r="R1615" s="9">
        <v>20220602</v>
      </c>
      <c r="U1615" s="9">
        <v>15831.400390000001</v>
      </c>
      <c r="V1615" s="45">
        <f t="shared" si="129"/>
        <v>-1</v>
      </c>
      <c r="X1615" s="12">
        <v>2.3199999999999998</v>
      </c>
      <c r="Y1615" s="62"/>
    </row>
    <row r="1616" spans="1:25" x14ac:dyDescent="0.2">
      <c r="A1616" s="3" t="s">
        <v>3878</v>
      </c>
      <c r="B1616" s="3" t="s">
        <v>1584</v>
      </c>
      <c r="C1616" s="6" t="s">
        <v>354</v>
      </c>
      <c r="D1616" s="6" t="s">
        <v>198</v>
      </c>
      <c r="E1616" s="6" t="s">
        <v>60</v>
      </c>
      <c r="F1616" s="6">
        <v>47297.45</v>
      </c>
      <c r="G1616" s="2">
        <v>12</v>
      </c>
      <c r="H1616" s="61">
        <v>4.41</v>
      </c>
      <c r="I1616" s="61">
        <v>4.1399999999999997</v>
      </c>
      <c r="J1616" s="47">
        <f t="shared" si="125"/>
        <v>-0.63249999999999995</v>
      </c>
      <c r="K1616" s="47">
        <f t="shared" si="126"/>
        <v>-6.122448979591847E-2</v>
      </c>
      <c r="L1616" s="8">
        <v>4.24</v>
      </c>
      <c r="M1616" s="8">
        <v>13.81</v>
      </c>
      <c r="N1616" s="8">
        <v>14.79</v>
      </c>
      <c r="O1616" s="17">
        <f t="shared" si="127"/>
        <v>-0.21833992094861662</v>
      </c>
      <c r="P1616" s="17">
        <f t="shared" si="128"/>
        <v>-2.4156999999999957</v>
      </c>
      <c r="Q1616" s="17">
        <v>14.43</v>
      </c>
      <c r="R1616" s="9">
        <v>20220725</v>
      </c>
      <c r="S1616" s="9">
        <v>42</v>
      </c>
      <c r="T1616" s="9">
        <v>11.74</v>
      </c>
      <c r="U1616" s="9">
        <v>11112.860350000001</v>
      </c>
      <c r="V1616" s="45">
        <f t="shared" si="129"/>
        <v>-0.9989435663159395</v>
      </c>
      <c r="W1616" s="12">
        <v>0.99</v>
      </c>
      <c r="X1616" s="12">
        <v>8.17</v>
      </c>
      <c r="Y1616" s="62">
        <v>1.79</v>
      </c>
    </row>
    <row r="1617" spans="1:25" x14ac:dyDescent="0.2">
      <c r="A1617" s="3" t="s">
        <v>1585</v>
      </c>
      <c r="B1617" s="3" t="s">
        <v>1586</v>
      </c>
      <c r="C1617" s="6" t="s">
        <v>356</v>
      </c>
      <c r="D1617" s="6" t="s">
        <v>69</v>
      </c>
      <c r="E1617" s="6" t="s">
        <v>163</v>
      </c>
      <c r="F1617" s="6">
        <v>22518.65</v>
      </c>
      <c r="G1617" s="2">
        <v>12</v>
      </c>
      <c r="H1617" s="61">
        <v>1.07</v>
      </c>
      <c r="I1617" s="61">
        <v>0.51</v>
      </c>
      <c r="J1617" s="47">
        <f t="shared" si="125"/>
        <v>-0.91083333333333327</v>
      </c>
      <c r="K1617" s="47">
        <f t="shared" si="126"/>
        <v>-0.52336448598130847</v>
      </c>
      <c r="L1617" s="8">
        <v>0.83</v>
      </c>
      <c r="M1617" s="8">
        <v>4.24</v>
      </c>
      <c r="N1617" s="8">
        <v>10.48</v>
      </c>
      <c r="O1617" s="17">
        <f t="shared" si="127"/>
        <v>-4.6550777676120772E-2</v>
      </c>
      <c r="P1617" s="17">
        <f t="shared" si="128"/>
        <v>-0.20024285714285714</v>
      </c>
      <c r="Q1617" s="17">
        <v>6.48</v>
      </c>
      <c r="R1617" s="9">
        <v>20220802</v>
      </c>
      <c r="S1617" s="9">
        <v>7.08</v>
      </c>
      <c r="T1617" s="9">
        <v>1.02</v>
      </c>
      <c r="U1617" s="9">
        <v>27240.085930000001</v>
      </c>
      <c r="V1617" s="45">
        <f t="shared" si="129"/>
        <v>-0.99996255518420085</v>
      </c>
      <c r="W1617" s="12">
        <v>450</v>
      </c>
      <c r="X1617" s="12">
        <v>5.01</v>
      </c>
      <c r="Y1617" s="62"/>
    </row>
    <row r="1618" spans="1:25" x14ac:dyDescent="0.2">
      <c r="A1618" s="3" t="s">
        <v>3879</v>
      </c>
      <c r="B1618" s="3" t="s">
        <v>1587</v>
      </c>
      <c r="C1618" s="6" t="s">
        <v>354</v>
      </c>
      <c r="D1618" s="6" t="s">
        <v>885</v>
      </c>
      <c r="E1618" s="6" t="s">
        <v>163</v>
      </c>
      <c r="F1618" s="6">
        <v>125049.88</v>
      </c>
      <c r="G1618" s="2">
        <v>12</v>
      </c>
      <c r="H1618" s="61">
        <v>3.27</v>
      </c>
      <c r="I1618" s="61">
        <v>3.86</v>
      </c>
      <c r="J1618" s="47">
        <f t="shared" si="125"/>
        <v>-0.72750000000000004</v>
      </c>
      <c r="K1618" s="47">
        <f t="shared" si="126"/>
        <v>0.18042813455657489</v>
      </c>
      <c r="L1618" s="8">
        <v>5.1100000000000003</v>
      </c>
      <c r="M1618" s="8">
        <v>21.71</v>
      </c>
      <c r="N1618" s="8">
        <v>17.809999999999999</v>
      </c>
      <c r="O1618" s="17">
        <f t="shared" si="127"/>
        <v>-0.2984192439862543</v>
      </c>
      <c r="P1618" s="17">
        <f t="shared" si="128"/>
        <v>0.98709661016949168</v>
      </c>
      <c r="Q1618" s="17">
        <v>13.48</v>
      </c>
      <c r="R1618" s="9">
        <v>20220715</v>
      </c>
      <c r="S1618" s="9">
        <v>14.42</v>
      </c>
      <c r="T1618" s="9">
        <v>17.52</v>
      </c>
      <c r="U1618" s="9">
        <v>20969.0625</v>
      </c>
      <c r="V1618" s="45">
        <f t="shared" si="129"/>
        <v>-0.99916448339070951</v>
      </c>
      <c r="W1618" s="12">
        <v>-9.41</v>
      </c>
      <c r="X1618" s="12">
        <v>1.1599999999999999</v>
      </c>
      <c r="Y1618" s="62">
        <v>0.79</v>
      </c>
    </row>
    <row r="1619" spans="1:25" x14ac:dyDescent="0.2">
      <c r="A1619" s="3" t="s">
        <v>3880</v>
      </c>
      <c r="B1619" s="3" t="s">
        <v>1588</v>
      </c>
      <c r="C1619" s="6" t="s">
        <v>356</v>
      </c>
      <c r="D1619" s="6" t="s">
        <v>160</v>
      </c>
      <c r="E1619" s="6" t="s">
        <v>146</v>
      </c>
      <c r="F1619" s="6">
        <v>14718.27</v>
      </c>
      <c r="G1619" s="2">
        <v>12</v>
      </c>
      <c r="H1619" s="61">
        <v>-1</v>
      </c>
      <c r="I1619" s="61">
        <v>-1.1000000000000001</v>
      </c>
      <c r="J1619" s="47">
        <f t="shared" si="125"/>
        <v>-1.0833333333333333</v>
      </c>
      <c r="K1619" s="47">
        <f t="shared" si="126"/>
        <v>-0.10000000000000009</v>
      </c>
      <c r="L1619" s="8">
        <v>0.6</v>
      </c>
      <c r="O1619" s="17">
        <f t="shared" si="127"/>
        <v>0</v>
      </c>
      <c r="P1619" s="17">
        <f t="shared" si="128"/>
        <v>0</v>
      </c>
      <c r="Q1619" s="17">
        <v>30.31</v>
      </c>
      <c r="U1619" s="9">
        <v>3344.1000899999999</v>
      </c>
      <c r="V1619" s="45">
        <f t="shared" si="129"/>
        <v>-1</v>
      </c>
      <c r="X1619" s="12">
        <v>0</v>
      </c>
      <c r="Y1619" s="62"/>
    </row>
    <row r="1620" spans="1:25" x14ac:dyDescent="0.2">
      <c r="A1620" s="3" t="s">
        <v>1589</v>
      </c>
      <c r="B1620" s="3" t="s">
        <v>1590</v>
      </c>
      <c r="C1620" s="6" t="s">
        <v>354</v>
      </c>
      <c r="D1620" s="6" t="s">
        <v>1024</v>
      </c>
      <c r="E1620" s="6" t="s">
        <v>154</v>
      </c>
      <c r="F1620" s="6">
        <v>10959.13</v>
      </c>
      <c r="G1620" s="2">
        <v>12</v>
      </c>
      <c r="H1620" s="61">
        <v>4.41</v>
      </c>
      <c r="I1620" s="61">
        <v>3.52</v>
      </c>
      <c r="J1620" s="47">
        <f t="shared" si="125"/>
        <v>-0.63249999999999995</v>
      </c>
      <c r="K1620" s="47">
        <f t="shared" si="126"/>
        <v>-0.20181405895691612</v>
      </c>
      <c r="L1620" s="8">
        <v>3.45</v>
      </c>
      <c r="M1620" s="8">
        <v>15.04</v>
      </c>
      <c r="N1620" s="8">
        <v>19.59</v>
      </c>
      <c r="O1620" s="17">
        <f t="shared" si="127"/>
        <v>-0.23778656126482214</v>
      </c>
      <c r="P1620" s="17">
        <f t="shared" si="128"/>
        <v>-0.97069550561797746</v>
      </c>
      <c r="Q1620" s="17">
        <v>20.010000000000002</v>
      </c>
      <c r="R1620" s="9">
        <v>20220727</v>
      </c>
      <c r="S1620" s="9">
        <v>40.43</v>
      </c>
      <c r="T1620" s="9">
        <v>6.68</v>
      </c>
      <c r="U1620" s="9">
        <v>3860.8998999999999</v>
      </c>
      <c r="V1620" s="45">
        <f t="shared" si="129"/>
        <v>-0.99826983341370756</v>
      </c>
      <c r="W1620" s="12">
        <v>35.35</v>
      </c>
      <c r="X1620" s="12">
        <v>1.45</v>
      </c>
      <c r="Y1620" s="62">
        <v>2.27</v>
      </c>
    </row>
    <row r="1621" spans="1:25" x14ac:dyDescent="0.2">
      <c r="A1621" s="3" t="s">
        <v>3881</v>
      </c>
      <c r="B1621" s="3" t="s">
        <v>3882</v>
      </c>
      <c r="C1621" s="6" t="s">
        <v>356</v>
      </c>
      <c r="D1621" s="6" t="s">
        <v>172</v>
      </c>
      <c r="E1621" s="6" t="s">
        <v>163</v>
      </c>
      <c r="F1621" s="6">
        <v>4934.0600000000004</v>
      </c>
      <c r="G1621" s="2">
        <v>12</v>
      </c>
      <c r="H1621" s="61">
        <v>0.28000000000000003</v>
      </c>
      <c r="I1621" s="61">
        <v>0.22</v>
      </c>
      <c r="J1621" s="47">
        <f t="shared" si="125"/>
        <v>-0.97666666666666668</v>
      </c>
      <c r="K1621" s="47">
        <f t="shared" si="126"/>
        <v>-0.21428571428571436</v>
      </c>
      <c r="L1621" s="8">
        <v>0.41</v>
      </c>
      <c r="M1621" s="8">
        <v>12.57</v>
      </c>
      <c r="N1621" s="8">
        <v>12</v>
      </c>
      <c r="O1621" s="17">
        <f t="shared" si="127"/>
        <v>-0.12870307167235495</v>
      </c>
      <c r="P1621" s="17">
        <f t="shared" si="128"/>
        <v>-0.55999999999999983</v>
      </c>
      <c r="Q1621" s="17">
        <v>6.44</v>
      </c>
      <c r="R1621" s="9">
        <v>20220727</v>
      </c>
      <c r="S1621" s="9">
        <v>5.27</v>
      </c>
      <c r="T1621" s="9">
        <v>2.48</v>
      </c>
      <c r="U1621" s="9">
        <v>15922.45996</v>
      </c>
      <c r="V1621" s="45">
        <f t="shared" si="129"/>
        <v>-0.99984424517277926</v>
      </c>
      <c r="X1621" s="12">
        <v>5.35</v>
      </c>
      <c r="Y1621" s="62"/>
    </row>
    <row r="1622" spans="1:25" x14ac:dyDescent="0.2">
      <c r="A1622" s="3" t="s">
        <v>3883</v>
      </c>
      <c r="B1622" s="3" t="s">
        <v>1591</v>
      </c>
      <c r="C1622" s="6" t="s">
        <v>356</v>
      </c>
      <c r="D1622" s="6" t="s">
        <v>521</v>
      </c>
      <c r="E1622" s="6" t="s">
        <v>201</v>
      </c>
      <c r="F1622" s="6">
        <v>24774.12</v>
      </c>
      <c r="G1622" s="2">
        <v>12</v>
      </c>
      <c r="H1622" s="61">
        <v>1.27</v>
      </c>
      <c r="I1622" s="61">
        <v>1.33</v>
      </c>
      <c r="J1622" s="47">
        <f t="shared" si="125"/>
        <v>-0.89416666666666667</v>
      </c>
      <c r="K1622" s="47">
        <f t="shared" si="126"/>
        <v>4.7244094488189017E-2</v>
      </c>
      <c r="L1622" s="8">
        <v>1.41</v>
      </c>
      <c r="M1622" s="8">
        <v>15.19</v>
      </c>
      <c r="N1622" s="8">
        <v>14.89</v>
      </c>
      <c r="O1622" s="17">
        <f t="shared" si="127"/>
        <v>-0.16987884436160297</v>
      </c>
      <c r="P1622" s="17">
        <f t="shared" si="128"/>
        <v>3.1517166666666641</v>
      </c>
      <c r="Q1622" s="17">
        <v>13.97</v>
      </c>
      <c r="R1622" s="9">
        <v>20220715</v>
      </c>
      <c r="S1622" s="9">
        <v>19.12</v>
      </c>
      <c r="T1622" s="9">
        <v>-6.65</v>
      </c>
      <c r="U1622" s="9">
        <v>11744.82519</v>
      </c>
      <c r="V1622" s="45">
        <f t="shared" si="129"/>
        <v>-1.0005662068095882</v>
      </c>
      <c r="W1622" s="12">
        <v>-9.3800000000000008</v>
      </c>
      <c r="X1622" s="12">
        <v>1.92</v>
      </c>
      <c r="Y1622" s="62">
        <v>6.89</v>
      </c>
    </row>
    <row r="1623" spans="1:25" x14ac:dyDescent="0.2">
      <c r="B1623" s="3" t="s">
        <v>2265</v>
      </c>
      <c r="C1623" s="6" t="s">
        <v>354</v>
      </c>
      <c r="D1623" s="6" t="s">
        <v>519</v>
      </c>
      <c r="E1623" s="6" t="s">
        <v>163</v>
      </c>
      <c r="F1623" s="6">
        <v>21434.09</v>
      </c>
      <c r="G1623" s="2">
        <v>12</v>
      </c>
      <c r="H1623" s="61"/>
      <c r="I1623" s="61"/>
      <c r="J1623" s="47">
        <f t="shared" si="125"/>
        <v>-1</v>
      </c>
      <c r="K1623" s="47" t="e">
        <f t="shared" si="126"/>
        <v>#DIV/0!</v>
      </c>
      <c r="O1623" s="17">
        <f t="shared" si="127"/>
        <v>0</v>
      </c>
      <c r="P1623" s="17" t="e">
        <f t="shared" si="128"/>
        <v>#DIV/0!</v>
      </c>
      <c r="Q1623" s="17"/>
      <c r="V1623" s="45" t="e">
        <f t="shared" si="129"/>
        <v>#DIV/0!</v>
      </c>
      <c r="X1623" s="12">
        <v>2.66</v>
      </c>
      <c r="Y1623" s="62"/>
    </row>
    <row r="1624" spans="1:25" x14ac:dyDescent="0.2">
      <c r="A1624" s="3" t="s">
        <v>3884</v>
      </c>
      <c r="B1624" s="3" t="s">
        <v>1592</v>
      </c>
      <c r="C1624" s="6" t="s">
        <v>354</v>
      </c>
      <c r="D1624" s="6" t="s">
        <v>177</v>
      </c>
      <c r="E1624" s="6" t="s">
        <v>119</v>
      </c>
      <c r="F1624" s="6">
        <v>44368.06</v>
      </c>
      <c r="G1624" s="2">
        <v>12</v>
      </c>
      <c r="H1624" s="61">
        <v>-3.11</v>
      </c>
      <c r="I1624" s="61">
        <v>-2.92</v>
      </c>
      <c r="J1624" s="47">
        <f t="shared" si="125"/>
        <v>-1.2591666666666665</v>
      </c>
      <c r="K1624" s="47">
        <f t="shared" si="126"/>
        <v>6.1093247588424424E-2</v>
      </c>
      <c r="L1624" s="8">
        <v>-1.81</v>
      </c>
      <c r="O1624" s="17">
        <f t="shared" si="127"/>
        <v>0</v>
      </c>
      <c r="P1624" s="17">
        <f t="shared" si="128"/>
        <v>0</v>
      </c>
      <c r="Q1624" s="17"/>
      <c r="R1624" s="9">
        <v>20220816</v>
      </c>
      <c r="S1624" s="9">
        <v>-35.06</v>
      </c>
      <c r="T1624" s="9">
        <v>124.88</v>
      </c>
      <c r="U1624" s="9">
        <v>13584.757809999999</v>
      </c>
      <c r="V1624" s="45">
        <f t="shared" si="129"/>
        <v>-0.99080734439681561</v>
      </c>
      <c r="W1624" s="12">
        <v>2.44</v>
      </c>
      <c r="X1624" s="12">
        <v>0</v>
      </c>
      <c r="Y1624" s="62"/>
    </row>
    <row r="1625" spans="1:25" x14ac:dyDescent="0.2">
      <c r="A1625" s="3" t="s">
        <v>3885</v>
      </c>
      <c r="B1625" s="3" t="s">
        <v>1901</v>
      </c>
      <c r="C1625" s="6" t="s">
        <v>354</v>
      </c>
      <c r="D1625" s="6" t="s">
        <v>621</v>
      </c>
      <c r="E1625" s="6" t="s">
        <v>146</v>
      </c>
      <c r="F1625" s="6">
        <v>3969.82</v>
      </c>
      <c r="G1625" s="2">
        <v>12</v>
      </c>
      <c r="H1625" s="61">
        <v>2.66</v>
      </c>
      <c r="I1625" s="61">
        <v>4.4400000000000004</v>
      </c>
      <c r="J1625" s="47">
        <f t="shared" si="125"/>
        <v>-0.77833333333333332</v>
      </c>
      <c r="K1625" s="47">
        <f t="shared" si="126"/>
        <v>0.66917293233082709</v>
      </c>
      <c r="L1625" s="8">
        <v>4.9400000000000004</v>
      </c>
      <c r="M1625" s="8">
        <v>12.86</v>
      </c>
      <c r="N1625" s="8">
        <v>12.32</v>
      </c>
      <c r="O1625" s="17">
        <f t="shared" si="127"/>
        <v>-0.16522483940042826</v>
      </c>
      <c r="P1625" s="17">
        <f t="shared" si="128"/>
        <v>0.18410786516853933</v>
      </c>
      <c r="Q1625" s="17">
        <v>11.05</v>
      </c>
      <c r="R1625" s="9">
        <v>20220804</v>
      </c>
      <c r="S1625" s="9">
        <v>-690.93</v>
      </c>
      <c r="T1625" s="9">
        <v>-8.16</v>
      </c>
      <c r="U1625" s="9">
        <v>1758.02502</v>
      </c>
      <c r="V1625" s="45">
        <f t="shared" si="129"/>
        <v>-1.0046415721660207</v>
      </c>
      <c r="W1625" s="12">
        <v>20</v>
      </c>
      <c r="X1625" s="12">
        <v>0</v>
      </c>
      <c r="Y1625" s="62"/>
    </row>
    <row r="1626" spans="1:25" x14ac:dyDescent="0.2">
      <c r="A1626" s="3" t="s">
        <v>3886</v>
      </c>
      <c r="B1626" s="3" t="s">
        <v>1593</v>
      </c>
      <c r="C1626" s="6" t="s">
        <v>355</v>
      </c>
      <c r="D1626" s="6" t="s">
        <v>294</v>
      </c>
      <c r="E1626" s="6" t="s">
        <v>218</v>
      </c>
      <c r="F1626" s="6">
        <v>14757.39</v>
      </c>
      <c r="G1626" s="2">
        <v>12</v>
      </c>
      <c r="H1626" s="61">
        <v>4.99</v>
      </c>
      <c r="I1626" s="61">
        <v>6.81</v>
      </c>
      <c r="J1626" s="47">
        <f t="shared" si="125"/>
        <v>-0.58416666666666661</v>
      </c>
      <c r="K1626" s="47">
        <f t="shared" si="126"/>
        <v>0.36472945891783554</v>
      </c>
      <c r="L1626" s="8">
        <v>9.9499999999999993</v>
      </c>
      <c r="M1626" s="8">
        <v>52.97</v>
      </c>
      <c r="N1626" s="8">
        <v>39.130000000000003</v>
      </c>
      <c r="O1626" s="17">
        <f t="shared" si="127"/>
        <v>-0.90676176890156923</v>
      </c>
      <c r="P1626" s="17">
        <f t="shared" si="128"/>
        <v>1.0728500000000005</v>
      </c>
      <c r="Q1626" s="17">
        <v>26.77</v>
      </c>
      <c r="R1626" s="9">
        <v>20220801</v>
      </c>
      <c r="S1626" s="9">
        <v>11.59</v>
      </c>
      <c r="T1626" s="9">
        <v>33.35</v>
      </c>
      <c r="U1626" s="9">
        <v>2979.9030699999998</v>
      </c>
      <c r="V1626" s="45">
        <f t="shared" si="129"/>
        <v>-0.98880836080349421</v>
      </c>
      <c r="W1626" s="12">
        <v>-6.25</v>
      </c>
      <c r="X1626" s="12">
        <v>0</v>
      </c>
      <c r="Y1626" s="62">
        <v>1.37</v>
      </c>
    </row>
    <row r="1627" spans="1:25" x14ac:dyDescent="0.2">
      <c r="A1627" s="3" t="s">
        <v>3887</v>
      </c>
      <c r="B1627" s="3" t="s">
        <v>1594</v>
      </c>
      <c r="C1627" s="6" t="s">
        <v>354</v>
      </c>
      <c r="D1627" s="6" t="s">
        <v>137</v>
      </c>
      <c r="E1627" s="6" t="s">
        <v>201</v>
      </c>
      <c r="F1627" s="6">
        <v>9174.1</v>
      </c>
      <c r="G1627" s="2">
        <v>12</v>
      </c>
      <c r="H1627" s="61">
        <v>3.57</v>
      </c>
      <c r="I1627" s="61">
        <v>4.1500000000000004</v>
      </c>
      <c r="J1627" s="47">
        <f t="shared" si="125"/>
        <v>-0.70250000000000001</v>
      </c>
      <c r="K1627" s="47">
        <f t="shared" si="126"/>
        <v>0.1624649859943979</v>
      </c>
      <c r="L1627" s="8">
        <v>4.5999999999999996</v>
      </c>
      <c r="M1627" s="8">
        <v>16.14</v>
      </c>
      <c r="N1627" s="8">
        <v>15.12</v>
      </c>
      <c r="O1627" s="17">
        <f t="shared" si="127"/>
        <v>-0.2297508896797153</v>
      </c>
      <c r="P1627" s="17">
        <f t="shared" si="128"/>
        <v>0.9306620689655164</v>
      </c>
      <c r="Q1627" s="17">
        <v>13.65</v>
      </c>
      <c r="R1627" s="9">
        <v>20220802</v>
      </c>
      <c r="S1627" s="9">
        <v>355.49</v>
      </c>
      <c r="T1627" s="9">
        <v>2.48</v>
      </c>
      <c r="U1627" s="9">
        <v>5931.2939399999996</v>
      </c>
      <c r="V1627" s="45">
        <f t="shared" si="129"/>
        <v>-0.99958187875612192</v>
      </c>
      <c r="W1627" s="12">
        <v>21.74</v>
      </c>
      <c r="X1627" s="12">
        <v>1.27</v>
      </c>
      <c r="Y1627" s="62">
        <v>1.43</v>
      </c>
    </row>
    <row r="1628" spans="1:25" x14ac:dyDescent="0.2">
      <c r="A1628" s="3" t="s">
        <v>3888</v>
      </c>
      <c r="B1628" s="3" t="s">
        <v>1595</v>
      </c>
      <c r="C1628" s="6" t="s">
        <v>355</v>
      </c>
      <c r="D1628" s="6" t="s">
        <v>150</v>
      </c>
      <c r="E1628" s="6" t="s">
        <v>163</v>
      </c>
      <c r="F1628" s="6">
        <v>7870.81</v>
      </c>
      <c r="G1628" s="2">
        <v>12</v>
      </c>
      <c r="H1628" s="61">
        <v>3.76</v>
      </c>
      <c r="I1628" s="61">
        <v>4.07</v>
      </c>
      <c r="J1628" s="47">
        <f t="shared" si="125"/>
        <v>-0.68666666666666665</v>
      </c>
      <c r="K1628" s="47">
        <f t="shared" si="126"/>
        <v>8.2446808510638431E-2</v>
      </c>
      <c r="L1628" s="8">
        <v>4</v>
      </c>
      <c r="M1628" s="8">
        <v>13.37</v>
      </c>
      <c r="N1628" s="8">
        <v>14.08</v>
      </c>
      <c r="O1628" s="17">
        <f t="shared" si="127"/>
        <v>-0.19470873786407764</v>
      </c>
      <c r="P1628" s="17">
        <f t="shared" si="128"/>
        <v>1.7077677419354813</v>
      </c>
      <c r="Q1628" s="17">
        <v>14.35</v>
      </c>
      <c r="R1628" s="9">
        <v>20220720</v>
      </c>
      <c r="S1628" s="9">
        <v>32.49</v>
      </c>
      <c r="T1628" s="9">
        <v>5.24</v>
      </c>
      <c r="U1628" s="9">
        <v>2037.9799800000001</v>
      </c>
      <c r="V1628" s="45">
        <f t="shared" si="129"/>
        <v>-0.99742882655795273</v>
      </c>
      <c r="W1628" s="12">
        <v>0</v>
      </c>
      <c r="X1628" s="12">
        <v>1.4</v>
      </c>
      <c r="Y1628" s="62">
        <v>1.17</v>
      </c>
    </row>
    <row r="1629" spans="1:25" x14ac:dyDescent="0.2">
      <c r="A1629" s="3" t="s">
        <v>3889</v>
      </c>
      <c r="B1629" s="3" t="s">
        <v>1596</v>
      </c>
      <c r="C1629" s="6" t="s">
        <v>356</v>
      </c>
      <c r="D1629" s="6" t="s">
        <v>600</v>
      </c>
      <c r="E1629" s="6" t="s">
        <v>119</v>
      </c>
      <c r="F1629" s="6">
        <v>6745.84</v>
      </c>
      <c r="G1629" s="2">
        <v>3</v>
      </c>
      <c r="H1629" s="61">
        <v>0.81</v>
      </c>
      <c r="I1629" s="61">
        <v>0.76</v>
      </c>
      <c r="J1629" s="47">
        <f t="shared" si="125"/>
        <v>-0.73</v>
      </c>
      <c r="K1629" s="47">
        <f t="shared" si="126"/>
        <v>-6.1728395061728447E-2</v>
      </c>
      <c r="L1629" s="8">
        <v>0.72</v>
      </c>
      <c r="M1629" s="8">
        <v>7.15</v>
      </c>
      <c r="N1629" s="8">
        <v>11.03</v>
      </c>
      <c r="O1629" s="17">
        <f t="shared" si="127"/>
        <v>-9.7945205479452055E-2</v>
      </c>
      <c r="P1629" s="17">
        <f t="shared" si="128"/>
        <v>-1.7868599999999983</v>
      </c>
      <c r="Q1629" s="17">
        <v>11.72</v>
      </c>
      <c r="R1629" s="9">
        <v>20220729</v>
      </c>
      <c r="S1629" s="9">
        <v>15.63</v>
      </c>
      <c r="T1629" s="9">
        <v>-0.52</v>
      </c>
      <c r="U1629" s="9">
        <v>10988.179679999999</v>
      </c>
      <c r="V1629" s="45">
        <f t="shared" si="129"/>
        <v>-1.0000473235799872</v>
      </c>
      <c r="W1629" s="12">
        <v>1050</v>
      </c>
      <c r="X1629" s="12">
        <v>2.3199999999999998</v>
      </c>
      <c r="Y1629" s="62"/>
    </row>
    <row r="1630" spans="1:25" x14ac:dyDescent="0.2">
      <c r="A1630" s="3" t="s">
        <v>3890</v>
      </c>
      <c r="B1630" s="3" t="s">
        <v>1597</v>
      </c>
      <c r="C1630" s="6" t="s">
        <v>354</v>
      </c>
      <c r="D1630" s="6" t="s">
        <v>189</v>
      </c>
      <c r="E1630" s="6" t="s">
        <v>208</v>
      </c>
      <c r="F1630" s="6">
        <v>3206.9</v>
      </c>
      <c r="G1630" s="2">
        <v>12</v>
      </c>
      <c r="H1630" s="61">
        <v>2.9</v>
      </c>
      <c r="I1630" s="61">
        <v>2.1800000000000002</v>
      </c>
      <c r="J1630" s="47">
        <f t="shared" si="125"/>
        <v>-0.7583333333333333</v>
      </c>
      <c r="K1630" s="47">
        <f t="shared" si="126"/>
        <v>-0.24827586206896543</v>
      </c>
      <c r="L1630" s="8">
        <v>2.99</v>
      </c>
      <c r="M1630" s="8">
        <v>9.6999999999999993</v>
      </c>
      <c r="N1630" s="8">
        <v>11.24</v>
      </c>
      <c r="O1630" s="17">
        <f t="shared" si="127"/>
        <v>-0.12791208791208791</v>
      </c>
      <c r="P1630" s="17">
        <f t="shared" si="128"/>
        <v>-0.45272222222222236</v>
      </c>
      <c r="Q1630" s="17">
        <v>8.2100000000000009</v>
      </c>
      <c r="R1630" s="9">
        <v>20220804</v>
      </c>
      <c r="S1630" s="9">
        <v>24.7</v>
      </c>
      <c r="T1630" s="9">
        <v>7.83</v>
      </c>
      <c r="U1630" s="9">
        <v>6477.33007</v>
      </c>
      <c r="V1630" s="45">
        <f t="shared" si="129"/>
        <v>-0.99879116859641526</v>
      </c>
      <c r="W1630" s="12">
        <v>27.59</v>
      </c>
      <c r="X1630" s="12">
        <v>2.04</v>
      </c>
      <c r="Y1630" s="62">
        <v>0.75</v>
      </c>
    </row>
    <row r="1631" spans="1:25" x14ac:dyDescent="0.2">
      <c r="A1631" s="3" t="s">
        <v>1902</v>
      </c>
      <c r="B1631" s="3" t="s">
        <v>1903</v>
      </c>
      <c r="C1631" s="6" t="s">
        <v>356</v>
      </c>
      <c r="D1631" s="6" t="s">
        <v>211</v>
      </c>
      <c r="E1631" s="6" t="s">
        <v>60</v>
      </c>
      <c r="F1631" s="6">
        <v>15772.4</v>
      </c>
      <c r="G1631" s="2">
        <v>12</v>
      </c>
      <c r="H1631" s="61">
        <v>1.22</v>
      </c>
      <c r="I1631" s="61">
        <v>1.65</v>
      </c>
      <c r="J1631" s="47">
        <f t="shared" si="125"/>
        <v>-0.89833333333333332</v>
      </c>
      <c r="K1631" s="47">
        <f t="shared" si="126"/>
        <v>0.35245901639344257</v>
      </c>
      <c r="L1631" s="8">
        <v>1.27</v>
      </c>
      <c r="M1631" s="8">
        <v>12.99</v>
      </c>
      <c r="N1631" s="8">
        <v>12.12</v>
      </c>
      <c r="O1631" s="17">
        <f t="shared" si="127"/>
        <v>-0.14460111317254176</v>
      </c>
      <c r="P1631" s="17">
        <f t="shared" si="128"/>
        <v>0.34386976744186054</v>
      </c>
      <c r="Q1631" s="17">
        <v>15.75</v>
      </c>
      <c r="R1631" s="9">
        <v>20220720</v>
      </c>
      <c r="S1631" s="9">
        <v>10.199999999999999</v>
      </c>
      <c r="T1631" s="9">
        <v>-1.1000000000000001</v>
      </c>
      <c r="U1631" s="9">
        <v>11767.3496</v>
      </c>
      <c r="V1631" s="45">
        <f t="shared" si="129"/>
        <v>-1.0000934789937745</v>
      </c>
      <c r="W1631" s="12">
        <v>-14.89</v>
      </c>
      <c r="X1631" s="12">
        <v>1.81</v>
      </c>
      <c r="Y1631" s="62"/>
    </row>
    <row r="1632" spans="1:25" x14ac:dyDescent="0.2">
      <c r="A1632" s="3" t="s">
        <v>3891</v>
      </c>
      <c r="B1632" s="3" t="s">
        <v>1598</v>
      </c>
      <c r="C1632" s="6" t="s">
        <v>356</v>
      </c>
      <c r="D1632" s="6" t="s">
        <v>522</v>
      </c>
      <c r="E1632" s="6" t="s">
        <v>119</v>
      </c>
      <c r="F1632" s="6">
        <v>4127.25</v>
      </c>
      <c r="G1632" s="2">
        <v>12</v>
      </c>
      <c r="H1632" s="61">
        <v>0.96</v>
      </c>
      <c r="I1632" s="61">
        <v>1</v>
      </c>
      <c r="J1632" s="47">
        <f t="shared" si="125"/>
        <v>-0.91999999999999993</v>
      </c>
      <c r="K1632" s="47">
        <f t="shared" si="126"/>
        <v>4.1666666666666706E-2</v>
      </c>
      <c r="L1632" s="8">
        <v>1.1299999999999999</v>
      </c>
      <c r="N1632" s="8">
        <v>18.73</v>
      </c>
      <c r="O1632" s="17">
        <f t="shared" si="127"/>
        <v>0</v>
      </c>
      <c r="P1632" s="17">
        <f t="shared" si="128"/>
        <v>4.4951999999999961</v>
      </c>
      <c r="Q1632" s="17">
        <v>16.63</v>
      </c>
      <c r="U1632" s="9">
        <v>1663.60998</v>
      </c>
      <c r="V1632" s="45">
        <f t="shared" si="129"/>
        <v>-1</v>
      </c>
      <c r="X1632" s="12">
        <v>3</v>
      </c>
      <c r="Y1632" s="62"/>
    </row>
    <row r="1633" spans="1:25" x14ac:dyDescent="0.2">
      <c r="A1633" s="3" t="s">
        <v>3892</v>
      </c>
      <c r="B1633" s="3" t="s">
        <v>2266</v>
      </c>
      <c r="C1633" s="6" t="s">
        <v>354</v>
      </c>
      <c r="D1633" s="6" t="s">
        <v>885</v>
      </c>
      <c r="E1633" s="6" t="s">
        <v>163</v>
      </c>
      <c r="F1633" s="6">
        <v>6765.5</v>
      </c>
      <c r="G1633" s="2">
        <v>12</v>
      </c>
      <c r="H1633" s="61"/>
      <c r="I1633" s="61"/>
      <c r="J1633" s="47">
        <f t="shared" si="125"/>
        <v>-1</v>
      </c>
      <c r="K1633" s="47" t="e">
        <f t="shared" si="126"/>
        <v>#DIV/0!</v>
      </c>
      <c r="M1633" s="8">
        <v>8.98</v>
      </c>
      <c r="O1633" s="17">
        <f t="shared" si="127"/>
        <v>-8.9800000000000005E-2</v>
      </c>
      <c r="P1633" s="17" t="e">
        <f t="shared" si="128"/>
        <v>#DIV/0!</v>
      </c>
      <c r="Q1633" s="17"/>
      <c r="R1633" s="9">
        <v>20220727</v>
      </c>
      <c r="S1633" s="9">
        <v>20.84</v>
      </c>
      <c r="T1633" s="9">
        <v>12.08</v>
      </c>
      <c r="V1633" s="45" t="e">
        <f t="shared" si="129"/>
        <v>#DIV/0!</v>
      </c>
      <c r="X1633" s="12">
        <v>1.89</v>
      </c>
      <c r="Y1633" s="62"/>
    </row>
    <row r="1634" spans="1:25" x14ac:dyDescent="0.2">
      <c r="A1634" s="3" t="s">
        <v>3893</v>
      </c>
      <c r="B1634" s="3" t="s">
        <v>2032</v>
      </c>
      <c r="C1634" s="6" t="s">
        <v>354</v>
      </c>
      <c r="D1634" s="6" t="s">
        <v>637</v>
      </c>
      <c r="E1634" s="6" t="s">
        <v>163</v>
      </c>
      <c r="F1634" s="6">
        <v>4383.95</v>
      </c>
      <c r="G1634" s="2">
        <v>12</v>
      </c>
      <c r="H1634" s="61">
        <v>3.8</v>
      </c>
      <c r="I1634" s="61">
        <v>4.51</v>
      </c>
      <c r="J1634" s="47">
        <f t="shared" si="125"/>
        <v>-0.68333333333333324</v>
      </c>
      <c r="K1634" s="47">
        <f t="shared" si="126"/>
        <v>0.18684210526315789</v>
      </c>
      <c r="L1634" s="8">
        <v>4.97</v>
      </c>
      <c r="M1634" s="8">
        <v>20.7</v>
      </c>
      <c r="N1634" s="8">
        <v>17.920000000000002</v>
      </c>
      <c r="O1634" s="17">
        <f t="shared" si="127"/>
        <v>-0.30292682926829267</v>
      </c>
      <c r="P1634" s="17">
        <f t="shared" si="128"/>
        <v>0.959098591549296</v>
      </c>
      <c r="Q1634" s="17">
        <v>16.260000000000002</v>
      </c>
      <c r="R1634" s="9">
        <v>20220718</v>
      </c>
      <c r="S1634" s="9">
        <v>18.82</v>
      </c>
      <c r="T1634" s="9">
        <v>12.66</v>
      </c>
      <c r="U1634" s="9">
        <v>483.96499</v>
      </c>
      <c r="V1634" s="45">
        <f t="shared" si="129"/>
        <v>-0.97384108300891759</v>
      </c>
      <c r="W1634" s="12">
        <v>-6.6</v>
      </c>
      <c r="X1634" s="12">
        <v>1.1399999999999999</v>
      </c>
      <c r="Y1634" s="62"/>
    </row>
    <row r="1635" spans="1:25" x14ac:dyDescent="0.2">
      <c r="A1635" s="3" t="s">
        <v>3894</v>
      </c>
      <c r="B1635" s="3" t="s">
        <v>2033</v>
      </c>
      <c r="C1635" s="6" t="s">
        <v>355</v>
      </c>
      <c r="D1635" s="6" t="s">
        <v>106</v>
      </c>
      <c r="E1635" s="6" t="s">
        <v>163</v>
      </c>
      <c r="F1635" s="6">
        <v>3334.29</v>
      </c>
      <c r="G1635" s="2">
        <v>12</v>
      </c>
      <c r="H1635" s="61">
        <v>2.42</v>
      </c>
      <c r="I1635" s="61">
        <v>2.0499999999999998</v>
      </c>
      <c r="J1635" s="47">
        <f t="shared" si="125"/>
        <v>-0.79833333333333334</v>
      </c>
      <c r="K1635" s="47">
        <f t="shared" si="126"/>
        <v>-0.15289256198347112</v>
      </c>
      <c r="L1635" s="8">
        <v>2.39</v>
      </c>
      <c r="M1635" s="8">
        <v>10.5</v>
      </c>
      <c r="N1635" s="8">
        <v>12.47</v>
      </c>
      <c r="O1635" s="17">
        <f t="shared" si="127"/>
        <v>-0.13152400835073069</v>
      </c>
      <c r="P1635" s="17">
        <f t="shared" si="128"/>
        <v>-0.81560540540540527</v>
      </c>
      <c r="Q1635" s="17">
        <v>10.69</v>
      </c>
      <c r="R1635" s="9">
        <v>20220726</v>
      </c>
      <c r="S1635" s="9">
        <v>9.17</v>
      </c>
      <c r="T1635" s="9">
        <v>13.98</v>
      </c>
      <c r="U1635" s="9">
        <v>881.5</v>
      </c>
      <c r="V1635" s="45">
        <f t="shared" si="129"/>
        <v>-0.98414066931366984</v>
      </c>
      <c r="W1635" s="12">
        <v>31.82</v>
      </c>
      <c r="X1635" s="12">
        <v>2.98</v>
      </c>
      <c r="Y1635" s="62"/>
    </row>
    <row r="1636" spans="1:25" x14ac:dyDescent="0.2">
      <c r="A1636" s="3" t="s">
        <v>3895</v>
      </c>
      <c r="B1636" s="3" t="s">
        <v>1904</v>
      </c>
      <c r="C1636" s="6" t="s">
        <v>356</v>
      </c>
      <c r="D1636" s="6" t="s">
        <v>278</v>
      </c>
      <c r="E1636" s="6" t="s">
        <v>119</v>
      </c>
      <c r="F1636" s="6">
        <v>72743.11</v>
      </c>
      <c r="G1636" s="2">
        <v>3</v>
      </c>
      <c r="H1636" s="61">
        <v>4.1900000000000004</v>
      </c>
      <c r="I1636" s="61">
        <v>2.2200000000000002</v>
      </c>
      <c r="J1636" s="47">
        <f t="shared" si="125"/>
        <v>0.39666666666666678</v>
      </c>
      <c r="K1636" s="47">
        <f t="shared" si="126"/>
        <v>-0.4701670644391408</v>
      </c>
      <c r="L1636" s="8">
        <v>2.67</v>
      </c>
      <c r="N1636" s="8">
        <v>9.51</v>
      </c>
      <c r="O1636" s="17">
        <f t="shared" si="127"/>
        <v>0</v>
      </c>
      <c r="P1636" s="17">
        <f t="shared" si="128"/>
        <v>-0.20226852791878172</v>
      </c>
      <c r="Q1636" s="17">
        <v>7.91</v>
      </c>
      <c r="R1636" s="9">
        <v>20220809</v>
      </c>
      <c r="S1636" s="9">
        <v>-12.81</v>
      </c>
      <c r="T1636" s="9">
        <v>-11.33</v>
      </c>
      <c r="U1636" s="9">
        <v>51227.269529999998</v>
      </c>
      <c r="V1636" s="45">
        <f t="shared" si="129"/>
        <v>-1.0002211712649132</v>
      </c>
      <c r="X1636" s="12">
        <v>0.63</v>
      </c>
      <c r="Y1636" s="62"/>
    </row>
    <row r="1637" spans="1:25" x14ac:dyDescent="0.2">
      <c r="A1637" s="3" t="s">
        <v>3896</v>
      </c>
      <c r="B1637" s="3" t="s">
        <v>3897</v>
      </c>
      <c r="C1637" s="6" t="s">
        <v>356</v>
      </c>
      <c r="D1637" s="6" t="s">
        <v>139</v>
      </c>
      <c r="E1637" s="6" t="s">
        <v>250</v>
      </c>
      <c r="F1637" s="6">
        <v>32846.339999999997</v>
      </c>
      <c r="G1637" s="2">
        <v>3</v>
      </c>
      <c r="H1637" s="61"/>
      <c r="I1637" s="61"/>
      <c r="J1637" s="47">
        <f t="shared" si="125"/>
        <v>-1</v>
      </c>
      <c r="K1637" s="47" t="e">
        <f t="shared" si="126"/>
        <v>#DIV/0!</v>
      </c>
      <c r="O1637" s="17">
        <f t="shared" si="127"/>
        <v>0</v>
      </c>
      <c r="P1637" s="17" t="e">
        <f t="shared" si="128"/>
        <v>#DIV/0!</v>
      </c>
      <c r="Q1637" s="17"/>
      <c r="R1637" s="9">
        <v>20220525</v>
      </c>
      <c r="V1637" s="45" t="e">
        <f t="shared" si="129"/>
        <v>#DIV/0!</v>
      </c>
      <c r="X1637" s="12">
        <v>3.13</v>
      </c>
      <c r="Y1637" s="62"/>
    </row>
    <row r="1638" spans="1:25" x14ac:dyDescent="0.2">
      <c r="A1638" s="3" t="s">
        <v>3898</v>
      </c>
      <c r="B1638" s="3" t="s">
        <v>2034</v>
      </c>
      <c r="C1638" s="6" t="s">
        <v>356</v>
      </c>
      <c r="D1638" s="6" t="s">
        <v>1104</v>
      </c>
      <c r="E1638" s="6" t="s">
        <v>119</v>
      </c>
      <c r="F1638" s="6">
        <v>5465.87</v>
      </c>
      <c r="G1638" s="2">
        <v>12</v>
      </c>
      <c r="H1638" s="61">
        <v>2.04</v>
      </c>
      <c r="I1638" s="61">
        <v>0.38</v>
      </c>
      <c r="J1638" s="47">
        <f t="shared" si="125"/>
        <v>-0.83000000000000007</v>
      </c>
      <c r="K1638" s="47">
        <f t="shared" si="126"/>
        <v>-0.81372549019607854</v>
      </c>
      <c r="L1638" s="8">
        <v>5.87</v>
      </c>
      <c r="M1638" s="8">
        <v>12.56</v>
      </c>
      <c r="N1638" s="8">
        <v>25.45</v>
      </c>
      <c r="O1638" s="17">
        <f t="shared" si="127"/>
        <v>-0.1513253012048193</v>
      </c>
      <c r="P1638" s="17">
        <f t="shared" si="128"/>
        <v>-0.31275903614457823</v>
      </c>
      <c r="Q1638" s="17">
        <v>1.65</v>
      </c>
      <c r="R1638" s="9">
        <v>20220803</v>
      </c>
      <c r="S1638" s="9">
        <v>5.97</v>
      </c>
      <c r="T1638" s="9">
        <v>-3.47</v>
      </c>
      <c r="U1638" s="9">
        <v>1930.1199899999999</v>
      </c>
      <c r="V1638" s="45">
        <f t="shared" si="129"/>
        <v>-1.0017978156891687</v>
      </c>
      <c r="X1638" s="12">
        <v>0</v>
      </c>
      <c r="Y1638" s="62"/>
    </row>
    <row r="1639" spans="1:25" x14ac:dyDescent="0.2">
      <c r="A1639" s="3" t="s">
        <v>3899</v>
      </c>
      <c r="B1639" s="3" t="s">
        <v>1599</v>
      </c>
      <c r="C1639" s="6" t="s">
        <v>355</v>
      </c>
      <c r="D1639" s="6" t="s">
        <v>185</v>
      </c>
      <c r="E1639" s="6" t="s">
        <v>208</v>
      </c>
      <c r="F1639" s="6">
        <v>25487.119999999999</v>
      </c>
      <c r="G1639" s="2">
        <v>12</v>
      </c>
      <c r="H1639" s="61">
        <v>-3.54</v>
      </c>
      <c r="I1639" s="61">
        <v>-3.51</v>
      </c>
      <c r="J1639" s="47">
        <f t="shared" si="125"/>
        <v>-1.2949999999999999</v>
      </c>
      <c r="K1639" s="47">
        <f t="shared" si="126"/>
        <v>8.47457627118651E-3</v>
      </c>
      <c r="L1639" s="8">
        <v>-1.44</v>
      </c>
      <c r="O1639" s="17">
        <f t="shared" si="127"/>
        <v>0</v>
      </c>
      <c r="P1639" s="17">
        <f t="shared" si="128"/>
        <v>0</v>
      </c>
      <c r="Q1639" s="17"/>
      <c r="R1639" s="9">
        <v>20220804</v>
      </c>
      <c r="S1639" s="9">
        <v>-21.86</v>
      </c>
      <c r="T1639" s="9">
        <v>44.57</v>
      </c>
      <c r="U1639" s="9">
        <v>1808.4010000000001</v>
      </c>
      <c r="V1639" s="45">
        <f t="shared" si="129"/>
        <v>-0.97535391763220658</v>
      </c>
      <c r="W1639" s="12">
        <v>24.49</v>
      </c>
      <c r="X1639" s="12">
        <v>0</v>
      </c>
      <c r="Y1639" s="62"/>
    </row>
    <row r="1640" spans="1:25" x14ac:dyDescent="0.2">
      <c r="A1640" s="3" t="s">
        <v>3900</v>
      </c>
      <c r="B1640" s="3" t="s">
        <v>1600</v>
      </c>
      <c r="C1640" s="6" t="s">
        <v>356</v>
      </c>
      <c r="D1640" s="6" t="s">
        <v>125</v>
      </c>
      <c r="E1640" s="6" t="s">
        <v>119</v>
      </c>
      <c r="F1640" s="6">
        <v>8522.19</v>
      </c>
      <c r="G1640" s="2">
        <v>9</v>
      </c>
      <c r="H1640" s="61">
        <v>1.26</v>
      </c>
      <c r="I1640" s="61">
        <v>1.33</v>
      </c>
      <c r="J1640" s="47">
        <f t="shared" si="125"/>
        <v>-0.86</v>
      </c>
      <c r="K1640" s="47">
        <f t="shared" si="126"/>
        <v>5.5555555555555601E-2</v>
      </c>
      <c r="L1640" s="8">
        <v>1.51</v>
      </c>
      <c r="N1640" s="8">
        <v>25.17</v>
      </c>
      <c r="O1640" s="17">
        <f t="shared" si="127"/>
        <v>0</v>
      </c>
      <c r="P1640" s="17">
        <f t="shared" si="128"/>
        <v>4.5305999999999971</v>
      </c>
      <c r="Q1640" s="17">
        <v>22.12</v>
      </c>
      <c r="U1640" s="9">
        <v>2504.1230399999999</v>
      </c>
      <c r="V1640" s="45">
        <f t="shared" si="129"/>
        <v>-1</v>
      </c>
      <c r="X1640" s="12">
        <v>1.57</v>
      </c>
      <c r="Y1640" s="62"/>
    </row>
    <row r="1641" spans="1:25" x14ac:dyDescent="0.2">
      <c r="A1641" s="3" t="s">
        <v>3901</v>
      </c>
      <c r="B1641" s="3" t="s">
        <v>2035</v>
      </c>
      <c r="C1641" s="6" t="s">
        <v>355</v>
      </c>
      <c r="D1641" s="6" t="s">
        <v>195</v>
      </c>
      <c r="E1641" s="6" t="s">
        <v>208</v>
      </c>
      <c r="F1641" s="6">
        <v>3575.49</v>
      </c>
      <c r="G1641" s="2">
        <v>12</v>
      </c>
      <c r="H1641" s="61">
        <v>-0.06</v>
      </c>
      <c r="I1641" s="61">
        <v>0.28999999999999998</v>
      </c>
      <c r="J1641" s="47">
        <f t="shared" si="125"/>
        <v>-1.0050000000000001</v>
      </c>
      <c r="K1641" s="47">
        <f t="shared" si="126"/>
        <v>5.833333333333333</v>
      </c>
      <c r="L1641" s="8">
        <v>0.66</v>
      </c>
      <c r="M1641" s="8">
        <v>441.89</v>
      </c>
      <c r="N1641" s="8">
        <v>138.72999999999999</v>
      </c>
      <c r="O1641" s="17">
        <f t="shared" si="127"/>
        <v>-4.3969154228855718</v>
      </c>
      <c r="P1641" s="17">
        <f t="shared" si="128"/>
        <v>0.23782285714285717</v>
      </c>
      <c r="Q1641" s="17">
        <v>60.26</v>
      </c>
      <c r="R1641" s="9">
        <v>20220803</v>
      </c>
      <c r="S1641" s="9">
        <v>-0.46</v>
      </c>
      <c r="T1641" s="9">
        <v>12.12</v>
      </c>
      <c r="U1641" s="9">
        <v>2563.4318800000001</v>
      </c>
      <c r="V1641" s="45">
        <f t="shared" si="129"/>
        <v>-0.99527196330257084</v>
      </c>
      <c r="W1641" s="12">
        <v>-80</v>
      </c>
      <c r="X1641" s="12">
        <v>0</v>
      </c>
      <c r="Y1641" s="62">
        <v>3.73</v>
      </c>
    </row>
    <row r="1642" spans="1:25" x14ac:dyDescent="0.2">
      <c r="A1642" s="3" t="s">
        <v>3902</v>
      </c>
      <c r="B1642" s="3" t="s">
        <v>1601</v>
      </c>
      <c r="C1642" s="6" t="s">
        <v>356</v>
      </c>
      <c r="D1642" s="6" t="s">
        <v>124</v>
      </c>
      <c r="E1642" s="6" t="s">
        <v>108</v>
      </c>
      <c r="F1642" s="6">
        <v>19089.849999999999</v>
      </c>
      <c r="G1642" s="2">
        <v>12</v>
      </c>
      <c r="H1642" s="61">
        <v>1.01</v>
      </c>
      <c r="I1642" s="61">
        <v>1.04</v>
      </c>
      <c r="J1642" s="47">
        <f t="shared" si="125"/>
        <v>-0.91583333333333339</v>
      </c>
      <c r="K1642" s="47">
        <f t="shared" si="126"/>
        <v>2.9702970297029729E-2</v>
      </c>
      <c r="L1642" s="8">
        <v>1.1200000000000001</v>
      </c>
      <c r="N1642" s="8">
        <v>24.57</v>
      </c>
      <c r="O1642" s="17">
        <f t="shared" si="127"/>
        <v>0</v>
      </c>
      <c r="P1642" s="17">
        <f t="shared" si="128"/>
        <v>8.2718999999999934</v>
      </c>
      <c r="Q1642" s="17">
        <v>22.67</v>
      </c>
      <c r="U1642" s="9">
        <v>7471.2250899999999</v>
      </c>
      <c r="V1642" s="45">
        <f t="shared" si="129"/>
        <v>-1</v>
      </c>
      <c r="X1642" s="12">
        <v>2.0099999999999998</v>
      </c>
      <c r="Y1642" s="62">
        <v>3.35</v>
      </c>
    </row>
    <row r="1643" spans="1:25" x14ac:dyDescent="0.2">
      <c r="A1643" s="3" t="s">
        <v>3903</v>
      </c>
      <c r="B1643" s="3" t="s">
        <v>1602</v>
      </c>
      <c r="C1643" s="6" t="s">
        <v>355</v>
      </c>
      <c r="D1643" s="6" t="s">
        <v>195</v>
      </c>
      <c r="E1643" s="6" t="s">
        <v>208</v>
      </c>
      <c r="F1643" s="6">
        <v>5769.47</v>
      </c>
      <c r="G1643" s="2">
        <v>12</v>
      </c>
      <c r="H1643" s="61">
        <v>0.87</v>
      </c>
      <c r="I1643" s="61">
        <v>0.97</v>
      </c>
      <c r="J1643" s="47">
        <f t="shared" si="125"/>
        <v>-0.9275000000000001</v>
      </c>
      <c r="K1643" s="47">
        <f t="shared" si="126"/>
        <v>0.11494252873563215</v>
      </c>
      <c r="L1643" s="8">
        <v>1.1299999999999999</v>
      </c>
      <c r="M1643" s="8">
        <v>22.17</v>
      </c>
      <c r="N1643" s="8">
        <v>21.1</v>
      </c>
      <c r="O1643" s="17">
        <f t="shared" si="127"/>
        <v>-0.23902964959568732</v>
      </c>
      <c r="P1643" s="17">
        <f t="shared" si="128"/>
        <v>1.8357000000000006</v>
      </c>
      <c r="Q1643" s="17">
        <v>18</v>
      </c>
      <c r="R1643" s="9">
        <v>20220811</v>
      </c>
      <c r="S1643" s="9">
        <v>42.65</v>
      </c>
      <c r="U1643" s="9">
        <v>1020.32</v>
      </c>
      <c r="V1643" s="45">
        <f t="shared" si="129"/>
        <v>-1</v>
      </c>
      <c r="W1643" s="12">
        <v>15.79</v>
      </c>
      <c r="X1643" s="12">
        <v>0</v>
      </c>
      <c r="Y1643" s="62"/>
    </row>
    <row r="1644" spans="1:25" x14ac:dyDescent="0.2">
      <c r="A1644" s="3" t="s">
        <v>3904</v>
      </c>
      <c r="B1644" s="3" t="s">
        <v>1603</v>
      </c>
      <c r="C1644" s="6" t="s">
        <v>356</v>
      </c>
      <c r="D1644" s="6" t="s">
        <v>797</v>
      </c>
      <c r="E1644" s="6" t="s">
        <v>146</v>
      </c>
      <c r="F1644" s="6">
        <v>5018.01</v>
      </c>
      <c r="G1644" s="2">
        <v>3</v>
      </c>
      <c r="H1644" s="61">
        <v>0.23</v>
      </c>
      <c r="I1644" s="61">
        <v>0.23</v>
      </c>
      <c r="J1644" s="47">
        <f t="shared" si="125"/>
        <v>-0.92333333333333334</v>
      </c>
      <c r="K1644" s="47">
        <f t="shared" si="126"/>
        <v>0</v>
      </c>
      <c r="L1644" s="8">
        <v>0.24</v>
      </c>
      <c r="M1644" s="8">
        <v>4.7699999999999996</v>
      </c>
      <c r="N1644" s="8">
        <v>8.91</v>
      </c>
      <c r="O1644" s="17">
        <f t="shared" si="127"/>
        <v>-5.1660649819494586E-2</v>
      </c>
      <c r="P1644" s="17" t="e">
        <f t="shared" si="128"/>
        <v>#DIV/0!</v>
      </c>
      <c r="Q1644" s="17">
        <v>8.5399999999999991</v>
      </c>
      <c r="R1644" s="9">
        <v>20220804</v>
      </c>
      <c r="S1644" s="9">
        <v>28.7</v>
      </c>
      <c r="T1644" s="9">
        <v>2.4900000000000002</v>
      </c>
      <c r="U1644" s="9">
        <v>23065.845700000002</v>
      </c>
      <c r="V1644" s="45">
        <f t="shared" si="129"/>
        <v>-0.99989204818100375</v>
      </c>
      <c r="X1644" s="12">
        <v>2.11</v>
      </c>
      <c r="Y1644" s="62"/>
    </row>
    <row r="1645" spans="1:25" x14ac:dyDescent="0.2">
      <c r="A1645" s="3" t="s">
        <v>1604</v>
      </c>
      <c r="B1645" s="3" t="s">
        <v>1605</v>
      </c>
      <c r="C1645" s="6" t="s">
        <v>356</v>
      </c>
      <c r="D1645" s="6" t="s">
        <v>126</v>
      </c>
      <c r="E1645" s="6" t="s">
        <v>60</v>
      </c>
      <c r="F1645" s="6">
        <v>58116.12</v>
      </c>
      <c r="G1645" s="2">
        <v>3</v>
      </c>
      <c r="H1645" s="61">
        <v>2.83</v>
      </c>
      <c r="I1645" s="61">
        <v>3.48</v>
      </c>
      <c r="J1645" s="47">
        <f t="shared" si="125"/>
        <v>-5.6666666666666643E-2</v>
      </c>
      <c r="K1645" s="47">
        <f t="shared" si="126"/>
        <v>0.22968197879858654</v>
      </c>
      <c r="L1645" s="8">
        <v>3.31</v>
      </c>
      <c r="M1645" s="8">
        <v>13.06</v>
      </c>
      <c r="N1645" s="8">
        <v>10.02</v>
      </c>
      <c r="O1645" s="17">
        <f t="shared" si="127"/>
        <v>-2.304705882352942</v>
      </c>
      <c r="P1645" s="17">
        <f t="shared" si="128"/>
        <v>0.43625538461538466</v>
      </c>
      <c r="Q1645" s="17">
        <v>10.53</v>
      </c>
      <c r="R1645" s="9">
        <v>20220726</v>
      </c>
      <c r="S1645" s="9">
        <v>15.79</v>
      </c>
      <c r="T1645" s="9">
        <v>6.31</v>
      </c>
      <c r="U1645" s="9">
        <v>22980.91015</v>
      </c>
      <c r="V1645" s="45">
        <f t="shared" si="129"/>
        <v>-0.99972542427785427</v>
      </c>
      <c r="X1645" s="12">
        <v>1.35</v>
      </c>
      <c r="Y1645" s="62"/>
    </row>
    <row r="1646" spans="1:25" x14ac:dyDescent="0.2">
      <c r="A1646" s="3" t="s">
        <v>3905</v>
      </c>
      <c r="B1646" s="3" t="s">
        <v>3906</v>
      </c>
      <c r="C1646" s="6" t="s">
        <v>354</v>
      </c>
      <c r="D1646" s="6" t="s">
        <v>204</v>
      </c>
      <c r="E1646" s="6" t="s">
        <v>218</v>
      </c>
      <c r="F1646" s="6">
        <v>229959</v>
      </c>
      <c r="G1646" s="2">
        <v>12</v>
      </c>
      <c r="H1646" s="61">
        <v>4.72</v>
      </c>
      <c r="I1646" s="61">
        <v>9.65</v>
      </c>
      <c r="J1646" s="47">
        <f t="shared" si="125"/>
        <v>-0.60666666666666669</v>
      </c>
      <c r="K1646" s="47">
        <f t="shared" si="126"/>
        <v>1.044491525423729</v>
      </c>
      <c r="L1646" s="8">
        <v>8.99</v>
      </c>
      <c r="M1646" s="8">
        <v>9.23</v>
      </c>
      <c r="N1646" s="8">
        <v>6.23</v>
      </c>
      <c r="O1646" s="17">
        <f t="shared" si="127"/>
        <v>-0.15214285714285714</v>
      </c>
      <c r="P1646" s="17">
        <f t="shared" si="128"/>
        <v>5.9646247464503033E-2</v>
      </c>
      <c r="Q1646" s="17">
        <v>6.69</v>
      </c>
      <c r="R1646" s="9">
        <v>20220804</v>
      </c>
      <c r="S1646" s="9">
        <v>14.54</v>
      </c>
      <c r="T1646" s="9">
        <v>-8.58</v>
      </c>
      <c r="U1646" s="9">
        <v>372066.5</v>
      </c>
      <c r="V1646" s="45">
        <f t="shared" si="129"/>
        <v>-1.0000230603937736</v>
      </c>
      <c r="W1646" s="12">
        <v>12.26</v>
      </c>
      <c r="X1646" s="12">
        <v>3.33</v>
      </c>
      <c r="Y1646" s="62">
        <v>0.77</v>
      </c>
    </row>
    <row r="1647" spans="1:25" x14ac:dyDescent="0.2">
      <c r="A1647" s="3" t="s">
        <v>3907</v>
      </c>
      <c r="B1647" s="3" t="s">
        <v>2267</v>
      </c>
      <c r="C1647" s="6" t="s">
        <v>354</v>
      </c>
      <c r="D1647" s="6" t="s">
        <v>69</v>
      </c>
      <c r="E1647" s="6" t="s">
        <v>163</v>
      </c>
      <c r="F1647" s="6">
        <v>17506.439999999999</v>
      </c>
      <c r="G1647" s="2">
        <v>12</v>
      </c>
      <c r="H1647" s="61"/>
      <c r="I1647" s="61"/>
      <c r="J1647" s="47">
        <f t="shared" si="125"/>
        <v>-1</v>
      </c>
      <c r="K1647" s="47" t="e">
        <f t="shared" si="126"/>
        <v>#DIV/0!</v>
      </c>
      <c r="M1647" s="8">
        <v>5.27</v>
      </c>
      <c r="O1647" s="17">
        <f t="shared" si="127"/>
        <v>-5.2699999999999997E-2</v>
      </c>
      <c r="P1647" s="17" t="e">
        <f t="shared" si="128"/>
        <v>#DIV/0!</v>
      </c>
      <c r="Q1647" s="17"/>
      <c r="R1647" s="9">
        <v>20220818</v>
      </c>
      <c r="S1647" s="9">
        <v>8.51</v>
      </c>
      <c r="T1647" s="9">
        <v>6.27</v>
      </c>
      <c r="V1647" s="45" t="e">
        <f t="shared" si="129"/>
        <v>#DIV/0!</v>
      </c>
      <c r="X1647" s="12">
        <v>1.4</v>
      </c>
      <c r="Y1647" s="62"/>
    </row>
    <row r="1648" spans="1:25" x14ac:dyDescent="0.2">
      <c r="A1648" s="3" t="s">
        <v>3908</v>
      </c>
      <c r="B1648" s="3" t="s">
        <v>1606</v>
      </c>
      <c r="C1648" s="6" t="s">
        <v>354</v>
      </c>
      <c r="D1648" s="6" t="s">
        <v>861</v>
      </c>
      <c r="E1648" s="6" t="s">
        <v>218</v>
      </c>
      <c r="F1648" s="6">
        <v>5561.11</v>
      </c>
      <c r="G1648" s="2">
        <v>12</v>
      </c>
      <c r="H1648" s="61">
        <v>1.41</v>
      </c>
      <c r="I1648" s="61">
        <v>1.5</v>
      </c>
      <c r="J1648" s="47">
        <f t="shared" si="125"/>
        <v>-0.88249999999999995</v>
      </c>
      <c r="K1648" s="47">
        <f t="shared" si="126"/>
        <v>6.3829787234042618E-2</v>
      </c>
      <c r="L1648" s="8">
        <v>1.54</v>
      </c>
      <c r="M1648" s="8">
        <v>10.4</v>
      </c>
      <c r="N1648" s="8">
        <v>9.43</v>
      </c>
      <c r="O1648" s="17">
        <f t="shared" si="127"/>
        <v>-0.11784702549575071</v>
      </c>
      <c r="P1648" s="17">
        <f t="shared" si="128"/>
        <v>1.4773666666666652</v>
      </c>
      <c r="Q1648" s="17">
        <v>9.15</v>
      </c>
      <c r="R1648" s="9">
        <v>20220729</v>
      </c>
      <c r="S1648" s="9">
        <v>102.13</v>
      </c>
      <c r="T1648" s="9">
        <v>8.91</v>
      </c>
      <c r="V1648" s="45" t="e">
        <f t="shared" si="129"/>
        <v>#DIV/0!</v>
      </c>
      <c r="W1648" s="12">
        <v>0</v>
      </c>
      <c r="X1648" s="12">
        <v>8.49</v>
      </c>
      <c r="Y1648" s="62"/>
    </row>
    <row r="1649" spans="1:25" x14ac:dyDescent="0.2">
      <c r="B1649" s="3" t="s">
        <v>2268</v>
      </c>
      <c r="C1649" s="6" t="s">
        <v>354</v>
      </c>
      <c r="D1649" s="6" t="s">
        <v>519</v>
      </c>
      <c r="E1649" s="6" t="s">
        <v>163</v>
      </c>
      <c r="F1649" s="6">
        <v>4897</v>
      </c>
      <c r="G1649" s="2">
        <v>12</v>
      </c>
      <c r="H1649" s="61"/>
      <c r="I1649" s="61"/>
      <c r="J1649" s="47">
        <f t="shared" si="125"/>
        <v>-1</v>
      </c>
      <c r="K1649" s="47" t="e">
        <f t="shared" si="126"/>
        <v>#DIV/0!</v>
      </c>
      <c r="O1649" s="17">
        <f t="shared" si="127"/>
        <v>0</v>
      </c>
      <c r="P1649" s="17" t="e">
        <f t="shared" si="128"/>
        <v>#DIV/0!</v>
      </c>
      <c r="Q1649" s="17"/>
      <c r="V1649" s="45" t="e">
        <f t="shared" si="129"/>
        <v>#DIV/0!</v>
      </c>
      <c r="X1649" s="12">
        <v>0.79</v>
      </c>
      <c r="Y1649" s="62"/>
    </row>
    <row r="1650" spans="1:25" x14ac:dyDescent="0.2">
      <c r="A1650" s="3" t="s">
        <v>3909</v>
      </c>
      <c r="B1650" s="3" t="s">
        <v>3910</v>
      </c>
      <c r="C1650" s="6" t="s">
        <v>356</v>
      </c>
      <c r="D1650" s="6" t="s">
        <v>150</v>
      </c>
      <c r="E1650" s="6" t="s">
        <v>163</v>
      </c>
      <c r="F1650" s="6">
        <v>10368.780000000001</v>
      </c>
      <c r="G1650" s="2">
        <v>12</v>
      </c>
      <c r="H1650" s="61">
        <v>3.18</v>
      </c>
      <c r="I1650" s="61">
        <v>2.94</v>
      </c>
      <c r="J1650" s="47">
        <f t="shared" si="125"/>
        <v>-0.73499999999999999</v>
      </c>
      <c r="K1650" s="47">
        <f t="shared" si="126"/>
        <v>-7.5471698113207614E-2</v>
      </c>
      <c r="L1650" s="8">
        <v>3.28</v>
      </c>
      <c r="N1650" s="8">
        <v>12.48</v>
      </c>
      <c r="O1650" s="17">
        <f t="shared" si="127"/>
        <v>0</v>
      </c>
      <c r="P1650" s="17">
        <f t="shared" si="128"/>
        <v>-1.6535999999999986</v>
      </c>
      <c r="Q1650" s="17">
        <v>11.19</v>
      </c>
      <c r="R1650" s="9">
        <v>20220602</v>
      </c>
      <c r="U1650" s="9">
        <v>3235.9499500000002</v>
      </c>
      <c r="V1650" s="45">
        <f t="shared" si="129"/>
        <v>-1</v>
      </c>
      <c r="X1650" s="12">
        <v>0</v>
      </c>
      <c r="Y1650" s="62"/>
    </row>
    <row r="1651" spans="1:25" x14ac:dyDescent="0.2">
      <c r="A1651" s="3" t="s">
        <v>3911</v>
      </c>
      <c r="B1651" s="3" t="s">
        <v>1607</v>
      </c>
      <c r="C1651" s="6" t="s">
        <v>354</v>
      </c>
      <c r="D1651" s="6" t="s">
        <v>176</v>
      </c>
      <c r="E1651" s="6" t="s">
        <v>119</v>
      </c>
      <c r="F1651" s="6">
        <v>44230.19</v>
      </c>
      <c r="G1651" s="2">
        <v>12</v>
      </c>
      <c r="H1651" s="61">
        <v>6.39</v>
      </c>
      <c r="I1651" s="61">
        <v>3.05</v>
      </c>
      <c r="J1651" s="47">
        <f t="shared" si="125"/>
        <v>-0.46750000000000003</v>
      </c>
      <c r="K1651" s="47">
        <f t="shared" si="126"/>
        <v>-0.52269170579029733</v>
      </c>
      <c r="L1651" s="8">
        <v>4.21</v>
      </c>
      <c r="M1651" s="8">
        <v>76.209999999999994</v>
      </c>
      <c r="N1651" s="8">
        <v>115.26</v>
      </c>
      <c r="O1651" s="17">
        <f t="shared" si="127"/>
        <v>-1.6301604278074866</v>
      </c>
      <c r="P1651" s="17">
        <f t="shared" si="128"/>
        <v>-2.2051239520958084</v>
      </c>
      <c r="Q1651" s="17">
        <v>83.46</v>
      </c>
      <c r="R1651" s="9">
        <v>20220727</v>
      </c>
      <c r="S1651" s="9">
        <v>1.94</v>
      </c>
      <c r="T1651" s="9">
        <v>62.6</v>
      </c>
      <c r="U1651" s="9">
        <v>5926.9838799999998</v>
      </c>
      <c r="V1651" s="45">
        <f t="shared" si="129"/>
        <v>-0.98943813560700955</v>
      </c>
      <c r="W1651" s="12">
        <v>-75</v>
      </c>
      <c r="X1651" s="12">
        <v>0</v>
      </c>
      <c r="Y1651" s="62">
        <v>3.58</v>
      </c>
    </row>
    <row r="1652" spans="1:25" x14ac:dyDescent="0.2">
      <c r="B1652" s="3" t="s">
        <v>2269</v>
      </c>
      <c r="C1652" s="6" t="s">
        <v>355</v>
      </c>
      <c r="D1652" s="6" t="s">
        <v>519</v>
      </c>
      <c r="E1652" s="6" t="s">
        <v>163</v>
      </c>
      <c r="F1652" s="6">
        <v>20000.38</v>
      </c>
      <c r="G1652" s="2">
        <v>12</v>
      </c>
      <c r="H1652" s="61"/>
      <c r="I1652" s="61"/>
      <c r="J1652" s="47">
        <f t="shared" si="125"/>
        <v>-1</v>
      </c>
      <c r="K1652" s="47" t="e">
        <f t="shared" si="126"/>
        <v>#DIV/0!</v>
      </c>
      <c r="O1652" s="17">
        <f t="shared" si="127"/>
        <v>0</v>
      </c>
      <c r="P1652" s="17" t="e">
        <f t="shared" si="128"/>
        <v>#DIV/0!</v>
      </c>
      <c r="Q1652" s="17"/>
      <c r="V1652" s="45" t="e">
        <f t="shared" si="129"/>
        <v>#DIV/0!</v>
      </c>
      <c r="X1652" s="12">
        <v>0.05</v>
      </c>
      <c r="Y1652" s="62"/>
    </row>
    <row r="1653" spans="1:25" x14ac:dyDescent="0.2">
      <c r="A1653" s="3" t="s">
        <v>3912</v>
      </c>
      <c r="B1653" s="3" t="s">
        <v>1608</v>
      </c>
      <c r="C1653" s="6" t="s">
        <v>354</v>
      </c>
      <c r="D1653" s="6" t="s">
        <v>1364</v>
      </c>
      <c r="E1653" s="6" t="s">
        <v>140</v>
      </c>
      <c r="F1653" s="6">
        <v>70747.91</v>
      </c>
      <c r="G1653" s="2">
        <v>12</v>
      </c>
      <c r="H1653" s="61">
        <v>8.16</v>
      </c>
      <c r="I1653" s="61">
        <v>9.48</v>
      </c>
      <c r="J1653" s="47">
        <f t="shared" si="125"/>
        <v>-0.32</v>
      </c>
      <c r="K1653" s="47">
        <f t="shared" si="126"/>
        <v>0.16176470588235298</v>
      </c>
      <c r="L1653" s="8">
        <v>11.18</v>
      </c>
      <c r="M1653" s="8">
        <v>35.369999999999997</v>
      </c>
      <c r="N1653" s="8">
        <v>28.7</v>
      </c>
      <c r="O1653" s="17">
        <f t="shared" si="127"/>
        <v>-1.1053124999999999</v>
      </c>
      <c r="P1653" s="17">
        <f t="shared" si="128"/>
        <v>1.7741818181818179</v>
      </c>
      <c r="Q1653" s="17">
        <v>24.33</v>
      </c>
      <c r="R1653" s="9">
        <v>20220726</v>
      </c>
      <c r="S1653" s="9">
        <v>80.22</v>
      </c>
      <c r="T1653" s="9">
        <v>7.39</v>
      </c>
      <c r="U1653" s="9">
        <v>21875.787100000001</v>
      </c>
      <c r="V1653" s="45">
        <f t="shared" si="129"/>
        <v>-0.99966218358378522</v>
      </c>
      <c r="W1653" s="12">
        <v>4.55</v>
      </c>
      <c r="X1653" s="12">
        <v>0.88</v>
      </c>
      <c r="Y1653" s="62">
        <v>2.17</v>
      </c>
    </row>
    <row r="1654" spans="1:25" x14ac:dyDescent="0.2">
      <c r="A1654" s="3" t="s">
        <v>3913</v>
      </c>
      <c r="B1654" s="3" t="s">
        <v>1905</v>
      </c>
      <c r="C1654" s="6" t="s">
        <v>356</v>
      </c>
      <c r="D1654" s="6" t="s">
        <v>126</v>
      </c>
      <c r="E1654" s="6" t="s">
        <v>60</v>
      </c>
      <c r="F1654" s="6">
        <v>3653.65</v>
      </c>
      <c r="G1654" s="2">
        <v>12</v>
      </c>
      <c r="H1654" s="61"/>
      <c r="I1654" s="61">
        <v>1.85</v>
      </c>
      <c r="J1654" s="47">
        <f t="shared" si="125"/>
        <v>-1</v>
      </c>
      <c r="K1654" s="47" t="e">
        <f t="shared" si="126"/>
        <v>#DIV/0!</v>
      </c>
      <c r="L1654" s="8">
        <v>3.84</v>
      </c>
      <c r="M1654" s="8">
        <v>7.32</v>
      </c>
      <c r="N1654" s="8">
        <v>10.68</v>
      </c>
      <c r="O1654" s="17">
        <f t="shared" si="127"/>
        <v>-7.3200000000000001E-2</v>
      </c>
      <c r="P1654" s="17" t="e">
        <f t="shared" si="128"/>
        <v>#DIV/0!</v>
      </c>
      <c r="Q1654" s="17">
        <v>5.15</v>
      </c>
      <c r="R1654" s="9">
        <v>20220809</v>
      </c>
      <c r="S1654" s="9">
        <v>6.03</v>
      </c>
      <c r="T1654" s="9">
        <v>11</v>
      </c>
      <c r="U1654" s="9">
        <v>12732.730460000001</v>
      </c>
      <c r="V1654" s="45">
        <f t="shared" si="129"/>
        <v>-0.99913608475145554</v>
      </c>
      <c r="X1654" s="12">
        <v>4.04</v>
      </c>
      <c r="Y1654" s="62"/>
    </row>
    <row r="1655" spans="1:25" x14ac:dyDescent="0.2">
      <c r="A1655" s="3" t="s">
        <v>2270</v>
      </c>
      <c r="B1655" s="3" t="s">
        <v>2271</v>
      </c>
      <c r="C1655" s="6" t="s">
        <v>356</v>
      </c>
      <c r="D1655" s="6" t="s">
        <v>193</v>
      </c>
      <c r="E1655" s="6" t="s">
        <v>208</v>
      </c>
      <c r="F1655" s="6">
        <v>4813.8</v>
      </c>
      <c r="G1655" s="2">
        <v>12</v>
      </c>
      <c r="H1655" s="61"/>
      <c r="I1655" s="61"/>
      <c r="J1655" s="47">
        <f t="shared" si="125"/>
        <v>-1</v>
      </c>
      <c r="K1655" s="47" t="e">
        <f t="shared" si="126"/>
        <v>#DIV/0!</v>
      </c>
      <c r="O1655" s="17">
        <f t="shared" si="127"/>
        <v>0</v>
      </c>
      <c r="P1655" s="17" t="e">
        <f t="shared" si="128"/>
        <v>#DIV/0!</v>
      </c>
      <c r="Q1655" s="17"/>
      <c r="V1655" s="45" t="e">
        <f t="shared" si="129"/>
        <v>#DIV/0!</v>
      </c>
      <c r="X1655" s="12">
        <v>0</v>
      </c>
      <c r="Y1655" s="62"/>
    </row>
    <row r="1656" spans="1:25" x14ac:dyDescent="0.2">
      <c r="B1656" s="3" t="s">
        <v>2272</v>
      </c>
      <c r="C1656" s="6" t="s">
        <v>355</v>
      </c>
      <c r="D1656" s="6" t="s">
        <v>519</v>
      </c>
      <c r="E1656" s="6" t="s">
        <v>163</v>
      </c>
      <c r="F1656" s="6">
        <v>24629.05</v>
      </c>
      <c r="G1656" s="2">
        <v>12</v>
      </c>
      <c r="H1656" s="61"/>
      <c r="I1656" s="61"/>
      <c r="J1656" s="47">
        <f t="shared" si="125"/>
        <v>-1</v>
      </c>
      <c r="K1656" s="47" t="e">
        <f t="shared" si="126"/>
        <v>#DIV/0!</v>
      </c>
      <c r="O1656" s="17">
        <f t="shared" si="127"/>
        <v>0</v>
      </c>
      <c r="P1656" s="17" t="e">
        <f t="shared" si="128"/>
        <v>#DIV/0!</v>
      </c>
      <c r="Q1656" s="17"/>
      <c r="V1656" s="45" t="e">
        <f t="shared" si="129"/>
        <v>#DIV/0!</v>
      </c>
      <c r="X1656" s="12">
        <v>0.32</v>
      </c>
      <c r="Y1656" s="62"/>
    </row>
    <row r="1657" spans="1:25" x14ac:dyDescent="0.2">
      <c r="A1657" s="3" t="s">
        <v>3914</v>
      </c>
      <c r="B1657" s="3" t="s">
        <v>2273</v>
      </c>
      <c r="C1657" s="6" t="s">
        <v>356</v>
      </c>
      <c r="D1657" s="6" t="s">
        <v>637</v>
      </c>
      <c r="E1657" s="6" t="s">
        <v>163</v>
      </c>
      <c r="F1657" s="6">
        <v>3870.13</v>
      </c>
      <c r="G1657" s="2">
        <v>3</v>
      </c>
      <c r="H1657" s="61"/>
      <c r="I1657" s="61"/>
      <c r="J1657" s="47">
        <f t="shared" si="125"/>
        <v>-1</v>
      </c>
      <c r="K1657" s="47" t="e">
        <f t="shared" si="126"/>
        <v>#DIV/0!</v>
      </c>
      <c r="O1657" s="17">
        <f t="shared" si="127"/>
        <v>0</v>
      </c>
      <c r="P1657" s="17" t="e">
        <f t="shared" si="128"/>
        <v>#DIV/0!</v>
      </c>
      <c r="Q1657" s="17"/>
      <c r="R1657" s="9">
        <v>20220603</v>
      </c>
      <c r="V1657" s="45" t="e">
        <f t="shared" si="129"/>
        <v>#DIV/0!</v>
      </c>
      <c r="X1657" s="12">
        <v>2.71</v>
      </c>
      <c r="Y1657" s="62"/>
    </row>
    <row r="1658" spans="1:25" x14ac:dyDescent="0.2">
      <c r="A1658" s="3" t="s">
        <v>3915</v>
      </c>
      <c r="B1658" s="3" t="s">
        <v>2036</v>
      </c>
      <c r="C1658" s="6" t="s">
        <v>354</v>
      </c>
      <c r="D1658" s="6" t="s">
        <v>232</v>
      </c>
      <c r="E1658" s="6" t="s">
        <v>60</v>
      </c>
      <c r="F1658" s="6">
        <v>6237.6</v>
      </c>
      <c r="G1658" s="2">
        <v>12</v>
      </c>
      <c r="H1658" s="61">
        <v>2.11</v>
      </c>
      <c r="I1658" s="61">
        <v>1.73</v>
      </c>
      <c r="J1658" s="47">
        <f t="shared" si="125"/>
        <v>-0.82416666666666671</v>
      </c>
      <c r="K1658" s="47">
        <f t="shared" si="126"/>
        <v>-0.18009478672985779</v>
      </c>
      <c r="L1658" s="8">
        <v>1.17</v>
      </c>
      <c r="M1658" s="8">
        <v>3.7</v>
      </c>
      <c r="N1658" s="8">
        <v>2.62</v>
      </c>
      <c r="O1658" s="17">
        <f t="shared" si="127"/>
        <v>-4.4893832153690597E-2</v>
      </c>
      <c r="P1658" s="17">
        <f t="shared" si="128"/>
        <v>-0.1454789473684211</v>
      </c>
      <c r="Q1658" s="17">
        <v>3.86</v>
      </c>
      <c r="R1658" s="9">
        <v>20220727</v>
      </c>
      <c r="S1658" s="9">
        <v>36.74</v>
      </c>
      <c r="T1658" s="9">
        <v>8.4700000000000006</v>
      </c>
      <c r="U1658" s="9">
        <v>11431.940420000001</v>
      </c>
      <c r="V1658" s="45">
        <f t="shared" si="129"/>
        <v>-0.99925909340944596</v>
      </c>
      <c r="W1658" s="12">
        <v>-75.36</v>
      </c>
      <c r="X1658" s="12">
        <v>6.01</v>
      </c>
      <c r="Y1658" s="62">
        <v>0.82</v>
      </c>
    </row>
    <row r="1659" spans="1:25" x14ac:dyDescent="0.2">
      <c r="A1659" s="3" t="s">
        <v>3916</v>
      </c>
      <c r="B1659" s="3" t="s">
        <v>2274</v>
      </c>
      <c r="C1659" s="6" t="s">
        <v>356</v>
      </c>
      <c r="D1659" s="6" t="s">
        <v>1055</v>
      </c>
      <c r="E1659" s="6" t="s">
        <v>201</v>
      </c>
      <c r="F1659" s="6">
        <v>3443.4</v>
      </c>
      <c r="G1659" s="2">
        <v>12</v>
      </c>
      <c r="H1659" s="61"/>
      <c r="I1659" s="61"/>
      <c r="J1659" s="47">
        <f t="shared" si="125"/>
        <v>-1</v>
      </c>
      <c r="K1659" s="47" t="e">
        <f t="shared" si="126"/>
        <v>#DIV/0!</v>
      </c>
      <c r="O1659" s="17">
        <f t="shared" si="127"/>
        <v>0</v>
      </c>
      <c r="P1659" s="17" t="e">
        <f t="shared" si="128"/>
        <v>#DIV/0!</v>
      </c>
      <c r="Q1659" s="17"/>
      <c r="V1659" s="45" t="e">
        <f t="shared" si="129"/>
        <v>#DIV/0!</v>
      </c>
      <c r="X1659" s="12">
        <v>3.86</v>
      </c>
      <c r="Y1659" s="62"/>
    </row>
    <row r="1660" spans="1:25" x14ac:dyDescent="0.2">
      <c r="A1660" s="3" t="s">
        <v>3917</v>
      </c>
      <c r="B1660" s="3" t="s">
        <v>2037</v>
      </c>
      <c r="C1660" s="6" t="s">
        <v>354</v>
      </c>
      <c r="D1660" s="6" t="s">
        <v>658</v>
      </c>
      <c r="E1660" s="6" t="s">
        <v>231</v>
      </c>
      <c r="F1660" s="6">
        <v>3041.79</v>
      </c>
      <c r="G1660" s="2">
        <v>1</v>
      </c>
      <c r="H1660" s="61">
        <v>12.15</v>
      </c>
      <c r="I1660" s="61">
        <v>11.26</v>
      </c>
      <c r="J1660" s="47">
        <f t="shared" si="125"/>
        <v>11.15</v>
      </c>
      <c r="K1660" s="47">
        <f t="shared" si="126"/>
        <v>-7.3251028806584406E-2</v>
      </c>
      <c r="L1660" s="8">
        <v>11.82</v>
      </c>
      <c r="M1660" s="8">
        <v>4.9800000000000004</v>
      </c>
      <c r="N1660" s="8">
        <v>5.42</v>
      </c>
      <c r="O1660" s="17">
        <f t="shared" si="127"/>
        <v>4.466367713004485E-3</v>
      </c>
      <c r="P1660" s="17">
        <f t="shared" si="128"/>
        <v>-0.73992134831460632</v>
      </c>
      <c r="Q1660" s="17">
        <v>5.16</v>
      </c>
      <c r="R1660" s="9">
        <v>20220609</v>
      </c>
      <c r="S1660" s="9">
        <v>51.76</v>
      </c>
      <c r="T1660" s="9">
        <v>0.56000000000000005</v>
      </c>
      <c r="U1660" s="9">
        <v>8232</v>
      </c>
      <c r="V1660" s="45">
        <f t="shared" si="129"/>
        <v>-0.99993197278911572</v>
      </c>
      <c r="W1660" s="12">
        <v>2.04</v>
      </c>
      <c r="X1660" s="12">
        <v>1.31</v>
      </c>
      <c r="Y1660" s="62">
        <v>0.68</v>
      </c>
    </row>
    <row r="1661" spans="1:25" x14ac:dyDescent="0.2">
      <c r="A1661" s="3" t="s">
        <v>3918</v>
      </c>
      <c r="B1661" s="3" t="s">
        <v>1609</v>
      </c>
      <c r="C1661" s="6" t="s">
        <v>355</v>
      </c>
      <c r="D1661" s="6" t="s">
        <v>173</v>
      </c>
      <c r="E1661" s="6" t="s">
        <v>163</v>
      </c>
      <c r="F1661" s="6">
        <v>4665.32</v>
      </c>
      <c r="G1661" s="2">
        <v>12</v>
      </c>
      <c r="H1661" s="61">
        <v>6.17</v>
      </c>
      <c r="I1661" s="61">
        <v>5.67</v>
      </c>
      <c r="J1661" s="47">
        <f t="shared" si="125"/>
        <v>-0.48583333333333334</v>
      </c>
      <c r="K1661" s="47">
        <f t="shared" si="126"/>
        <v>-8.1037277147487846E-2</v>
      </c>
      <c r="L1661" s="8">
        <v>6.37</v>
      </c>
      <c r="M1661" s="8">
        <v>12.88</v>
      </c>
      <c r="N1661" s="8">
        <v>13.64</v>
      </c>
      <c r="O1661" s="17">
        <f t="shared" si="127"/>
        <v>-0.2651114922813036</v>
      </c>
      <c r="P1661" s="17">
        <f t="shared" si="128"/>
        <v>-1.6831760000000002</v>
      </c>
      <c r="Q1661" s="17">
        <v>12.14</v>
      </c>
      <c r="R1661" s="9">
        <v>20220727</v>
      </c>
      <c r="S1661" s="9">
        <v>13.77</v>
      </c>
      <c r="T1661" s="9">
        <v>7.66</v>
      </c>
      <c r="U1661" s="9">
        <v>3250.0148899999999</v>
      </c>
      <c r="V1661" s="45">
        <f t="shared" si="129"/>
        <v>-0.99764308772136123</v>
      </c>
      <c r="W1661" s="12">
        <v>2.17</v>
      </c>
      <c r="X1661" s="12">
        <v>1.45</v>
      </c>
      <c r="Y1661" s="62">
        <v>4.5599999999999996</v>
      </c>
    </row>
    <row r="1662" spans="1:25" x14ac:dyDescent="0.2">
      <c r="A1662" s="3" t="s">
        <v>3919</v>
      </c>
      <c r="B1662" s="3" t="s">
        <v>3920</v>
      </c>
      <c r="C1662" s="6" t="s">
        <v>355</v>
      </c>
      <c r="D1662" s="6" t="s">
        <v>143</v>
      </c>
      <c r="E1662" s="6" t="s">
        <v>119</v>
      </c>
      <c r="F1662" s="6">
        <v>3095.96</v>
      </c>
      <c r="G1662" s="2">
        <v>12</v>
      </c>
      <c r="H1662" s="61">
        <v>6.07</v>
      </c>
      <c r="I1662" s="61">
        <v>6.86</v>
      </c>
      <c r="J1662" s="47">
        <f t="shared" si="125"/>
        <v>-0.49416666666666664</v>
      </c>
      <c r="K1662" s="47">
        <f t="shared" si="126"/>
        <v>0.13014827018121911</v>
      </c>
      <c r="L1662" s="8">
        <v>7.65</v>
      </c>
      <c r="M1662" s="8">
        <v>13.18</v>
      </c>
      <c r="N1662" s="8">
        <v>13.1</v>
      </c>
      <c r="O1662" s="17">
        <f t="shared" si="127"/>
        <v>-0.26671163575042162</v>
      </c>
      <c r="P1662" s="17">
        <f t="shared" si="128"/>
        <v>1.0065443037974684</v>
      </c>
      <c r="Q1662" s="17">
        <v>11.76</v>
      </c>
      <c r="R1662" s="9">
        <v>20220804</v>
      </c>
      <c r="S1662" s="9">
        <v>33.47</v>
      </c>
      <c r="T1662" s="9">
        <v>9.9499999999999993</v>
      </c>
      <c r="U1662" s="9">
        <v>1141.4599599999999</v>
      </c>
      <c r="V1662" s="45">
        <f t="shared" si="129"/>
        <v>-0.99128309327643871</v>
      </c>
      <c r="W1662" s="12">
        <v>10.97</v>
      </c>
      <c r="X1662" s="12">
        <v>2.21</v>
      </c>
      <c r="Y1662" s="62">
        <v>1.46</v>
      </c>
    </row>
    <row r="1663" spans="1:25" x14ac:dyDescent="0.2">
      <c r="A1663" s="3" t="s">
        <v>3921</v>
      </c>
      <c r="B1663" s="3" t="s">
        <v>1610</v>
      </c>
      <c r="C1663" s="6" t="s">
        <v>355</v>
      </c>
      <c r="D1663" s="6" t="s">
        <v>789</v>
      </c>
      <c r="E1663" s="6" t="s">
        <v>146</v>
      </c>
      <c r="F1663" s="6">
        <v>24915.62</v>
      </c>
      <c r="G1663" s="2">
        <v>12</v>
      </c>
      <c r="H1663" s="61">
        <v>0.32</v>
      </c>
      <c r="I1663" s="61">
        <v>0.32</v>
      </c>
      <c r="J1663" s="47">
        <f t="shared" si="125"/>
        <v>-0.97333333333333327</v>
      </c>
      <c r="K1663" s="47">
        <f t="shared" si="126"/>
        <v>0</v>
      </c>
      <c r="L1663" s="8">
        <v>0.35</v>
      </c>
      <c r="M1663" s="8">
        <v>18.62</v>
      </c>
      <c r="N1663" s="8">
        <v>19.91</v>
      </c>
      <c r="O1663" s="17">
        <f t="shared" si="127"/>
        <v>-0.19130136986301371</v>
      </c>
      <c r="P1663" s="17" t="e">
        <f t="shared" si="128"/>
        <v>#DIV/0!</v>
      </c>
      <c r="Q1663" s="17">
        <v>17.88</v>
      </c>
      <c r="R1663" s="9">
        <v>20220726</v>
      </c>
      <c r="S1663" s="9">
        <v>-49.74</v>
      </c>
      <c r="T1663" s="9">
        <v>13.51</v>
      </c>
      <c r="U1663" s="9">
        <v>9117.1279200000008</v>
      </c>
      <c r="V1663" s="45">
        <f t="shared" si="129"/>
        <v>-0.99851817369257667</v>
      </c>
      <c r="W1663" s="12">
        <v>0</v>
      </c>
      <c r="X1663" s="12">
        <v>1.39</v>
      </c>
      <c r="Y1663" s="62">
        <v>2.04</v>
      </c>
    </row>
    <row r="1664" spans="1:25" x14ac:dyDescent="0.2">
      <c r="A1664" s="3" t="s">
        <v>3922</v>
      </c>
      <c r="B1664" s="3" t="s">
        <v>2038</v>
      </c>
      <c r="C1664" s="6" t="s">
        <v>354</v>
      </c>
      <c r="D1664" s="6" t="s">
        <v>217</v>
      </c>
      <c r="E1664" s="6" t="s">
        <v>163</v>
      </c>
      <c r="F1664" s="6">
        <v>3372.04</v>
      </c>
      <c r="G1664" s="2">
        <v>12</v>
      </c>
      <c r="H1664" s="61">
        <v>1.1399999999999999</v>
      </c>
      <c r="I1664" s="61">
        <v>1.1399999999999999</v>
      </c>
      <c r="J1664" s="47">
        <f t="shared" si="125"/>
        <v>-0.90499999999999992</v>
      </c>
      <c r="K1664" s="47">
        <f t="shared" si="126"/>
        <v>0</v>
      </c>
      <c r="L1664" s="8">
        <v>1.2</v>
      </c>
      <c r="M1664" s="8">
        <v>13.25</v>
      </c>
      <c r="N1664" s="8">
        <v>13.86</v>
      </c>
      <c r="O1664" s="17">
        <f t="shared" si="127"/>
        <v>-0.14640883977900554</v>
      </c>
      <c r="P1664" s="17" t="e">
        <f t="shared" si="128"/>
        <v>#DIV/0!</v>
      </c>
      <c r="Q1664" s="17">
        <v>13.17</v>
      </c>
      <c r="R1664" s="9">
        <v>20220804</v>
      </c>
      <c r="S1664" s="9">
        <v>6.61</v>
      </c>
      <c r="T1664" s="9">
        <v>-15.91</v>
      </c>
      <c r="U1664" s="9">
        <v>521.81298000000004</v>
      </c>
      <c r="V1664" s="45">
        <f t="shared" si="129"/>
        <v>-1.0304898509807094</v>
      </c>
      <c r="W1664" s="12">
        <v>7.41</v>
      </c>
      <c r="X1664" s="12">
        <v>3.3</v>
      </c>
      <c r="Y1664" s="62"/>
    </row>
    <row r="1665" spans="1:25" x14ac:dyDescent="0.2">
      <c r="A1665" s="3" t="s">
        <v>3923</v>
      </c>
      <c r="B1665" s="3" t="s">
        <v>1611</v>
      </c>
      <c r="C1665" s="6" t="s">
        <v>354</v>
      </c>
      <c r="D1665" s="6" t="s">
        <v>162</v>
      </c>
      <c r="E1665" s="6" t="s">
        <v>201</v>
      </c>
      <c r="F1665" s="6">
        <v>5822.52</v>
      </c>
      <c r="G1665" s="2">
        <v>12</v>
      </c>
      <c r="H1665" s="61">
        <v>4.87</v>
      </c>
      <c r="I1665" s="61">
        <v>5.71</v>
      </c>
      <c r="J1665" s="47">
        <f t="shared" si="125"/>
        <v>-0.59416666666666662</v>
      </c>
      <c r="K1665" s="47">
        <f t="shared" si="126"/>
        <v>0.17248459958932236</v>
      </c>
      <c r="L1665" s="8">
        <v>5.93</v>
      </c>
      <c r="M1665" s="8">
        <v>22.58</v>
      </c>
      <c r="N1665" s="8">
        <v>22.68</v>
      </c>
      <c r="O1665" s="17">
        <f t="shared" si="127"/>
        <v>-0.38002805049088356</v>
      </c>
      <c r="P1665" s="17">
        <f t="shared" si="128"/>
        <v>1.3149</v>
      </c>
      <c r="Q1665" s="17">
        <v>21.87</v>
      </c>
      <c r="R1665" s="9">
        <v>20220803</v>
      </c>
      <c r="S1665" s="9">
        <v>25.59</v>
      </c>
      <c r="T1665" s="9">
        <v>16</v>
      </c>
      <c r="U1665" s="9">
        <v>3983.3998999999999</v>
      </c>
      <c r="V1665" s="45">
        <f t="shared" si="129"/>
        <v>-0.9959833307220799</v>
      </c>
      <c r="W1665" s="12">
        <v>337.5</v>
      </c>
      <c r="X1665" s="12">
        <v>0</v>
      </c>
      <c r="Y1665" s="62"/>
    </row>
    <row r="1666" spans="1:25" x14ac:dyDescent="0.2">
      <c r="A1666" s="3" t="s">
        <v>3924</v>
      </c>
      <c r="B1666" s="3" t="s">
        <v>3925</v>
      </c>
      <c r="C1666" s="6" t="s">
        <v>355</v>
      </c>
      <c r="D1666" s="6" t="s">
        <v>522</v>
      </c>
      <c r="E1666" s="6" t="s">
        <v>119</v>
      </c>
      <c r="F1666" s="6">
        <v>4195.33</v>
      </c>
      <c r="G1666" s="2">
        <v>12</v>
      </c>
      <c r="H1666" s="61">
        <v>2.78</v>
      </c>
      <c r="I1666" s="61">
        <v>4.34</v>
      </c>
      <c r="J1666" s="47">
        <f t="shared" si="125"/>
        <v>-0.76833333333333342</v>
      </c>
      <c r="K1666" s="47">
        <f t="shared" si="126"/>
        <v>0.56115107913669071</v>
      </c>
      <c r="L1666" s="8">
        <v>5.09</v>
      </c>
      <c r="M1666" s="8">
        <v>53.17</v>
      </c>
      <c r="N1666" s="8">
        <v>45.89</v>
      </c>
      <c r="O1666" s="17">
        <f t="shared" si="127"/>
        <v>-0.6920173535791756</v>
      </c>
      <c r="P1666" s="17">
        <f t="shared" si="128"/>
        <v>0.8177833333333332</v>
      </c>
      <c r="Q1666" s="17">
        <v>39.15</v>
      </c>
      <c r="R1666" s="9">
        <v>20220803</v>
      </c>
      <c r="S1666" s="9">
        <v>8.76</v>
      </c>
      <c r="U1666" s="9">
        <v>328.09500000000003</v>
      </c>
      <c r="V1666" s="45">
        <f t="shared" si="129"/>
        <v>-1</v>
      </c>
      <c r="W1666" s="12">
        <v>23.68</v>
      </c>
      <c r="X1666" s="12">
        <v>0</v>
      </c>
      <c r="Y1666" s="62">
        <v>3.06</v>
      </c>
    </row>
    <row r="1667" spans="1:25" x14ac:dyDescent="0.2">
      <c r="A1667" s="3" t="s">
        <v>1612</v>
      </c>
      <c r="B1667" s="3" t="s">
        <v>1613</v>
      </c>
      <c r="C1667" s="6" t="s">
        <v>355</v>
      </c>
      <c r="D1667" s="6" t="s">
        <v>113</v>
      </c>
      <c r="E1667" s="6" t="s">
        <v>163</v>
      </c>
      <c r="F1667" s="6">
        <v>27843.08</v>
      </c>
      <c r="G1667" s="2">
        <v>12</v>
      </c>
      <c r="H1667" s="61">
        <v>31.68</v>
      </c>
      <c r="I1667" s="61">
        <v>35.04</v>
      </c>
      <c r="J1667" s="47">
        <f t="shared" ref="J1667:J1730" si="130">(H1667-G1667)/ABS(G1667)</f>
        <v>1.64</v>
      </c>
      <c r="K1667" s="47">
        <f t="shared" ref="K1667:K1730" si="131">(I1667-H1667)/ABS(H1667)</f>
        <v>0.10606060606060605</v>
      </c>
      <c r="L1667" s="8">
        <v>46.23</v>
      </c>
      <c r="M1667" s="8">
        <v>15.35</v>
      </c>
      <c r="N1667" s="8">
        <v>13.5</v>
      </c>
      <c r="O1667" s="17">
        <f t="shared" ref="O1667:O1730" si="132">M1667/(J1667*100)</f>
        <v>9.3597560975609756E-2</v>
      </c>
      <c r="P1667" s="17">
        <f t="shared" ref="P1667:P1730" si="133">N1667/(K1667*100)</f>
        <v>1.2728571428571429</v>
      </c>
      <c r="Q1667" s="17">
        <v>10.23</v>
      </c>
      <c r="R1667" s="9">
        <v>20220728</v>
      </c>
      <c r="S1667" s="9">
        <v>15.59</v>
      </c>
      <c r="T1667" s="9">
        <v>29.45</v>
      </c>
      <c r="U1667" s="9">
        <v>7185.1557599999996</v>
      </c>
      <c r="V1667" s="45">
        <f t="shared" ref="V1667:V1730" si="134">(T1667-U1667)/U1667</f>
        <v>-0.99590127187444577</v>
      </c>
      <c r="W1667" s="12">
        <v>47.49</v>
      </c>
      <c r="X1667" s="12">
        <v>0</v>
      </c>
      <c r="Y1667" s="62">
        <v>1.69</v>
      </c>
    </row>
    <row r="1668" spans="1:25" x14ac:dyDescent="0.2">
      <c r="A1668" s="3" t="s">
        <v>3926</v>
      </c>
      <c r="B1668" s="3" t="s">
        <v>2039</v>
      </c>
      <c r="C1668" s="6" t="s">
        <v>354</v>
      </c>
      <c r="D1668" s="6" t="s">
        <v>264</v>
      </c>
      <c r="E1668" s="6" t="s">
        <v>250</v>
      </c>
      <c r="F1668" s="6">
        <v>4223.0600000000004</v>
      </c>
      <c r="G1668" s="2">
        <v>12</v>
      </c>
      <c r="H1668" s="61">
        <v>1.62</v>
      </c>
      <c r="I1668" s="61">
        <v>1.69</v>
      </c>
      <c r="J1668" s="47">
        <f t="shared" si="130"/>
        <v>-0.86499999999999988</v>
      </c>
      <c r="K1668" s="47">
        <f t="shared" si="131"/>
        <v>4.3209876543209777E-2</v>
      </c>
      <c r="L1668" s="8">
        <v>1.79</v>
      </c>
      <c r="M1668" s="8">
        <v>19.940000000000001</v>
      </c>
      <c r="N1668" s="8">
        <v>20.440000000000001</v>
      </c>
      <c r="O1668" s="17">
        <f t="shared" si="132"/>
        <v>-0.23052023121387288</v>
      </c>
      <c r="P1668" s="17">
        <f t="shared" si="133"/>
        <v>4.730400000000011</v>
      </c>
      <c r="Q1668" s="17">
        <v>19.3</v>
      </c>
      <c r="R1668" s="9">
        <v>20220803</v>
      </c>
      <c r="S1668" s="9">
        <v>9.82</v>
      </c>
      <c r="T1668" s="9">
        <v>9.61</v>
      </c>
      <c r="U1668" s="9">
        <v>1954.1629600000001</v>
      </c>
      <c r="V1668" s="45">
        <f t="shared" si="134"/>
        <v>-0.99508229344394084</v>
      </c>
      <c r="W1668" s="12">
        <v>-6.09</v>
      </c>
      <c r="X1668" s="12">
        <v>3.59</v>
      </c>
      <c r="Y1668" s="62"/>
    </row>
    <row r="1669" spans="1:25" x14ac:dyDescent="0.2">
      <c r="A1669" s="3" t="s">
        <v>3927</v>
      </c>
      <c r="B1669" s="3" t="s">
        <v>1614</v>
      </c>
      <c r="C1669" s="6" t="s">
        <v>354</v>
      </c>
      <c r="D1669" s="6" t="s">
        <v>155</v>
      </c>
      <c r="E1669" s="6" t="s">
        <v>154</v>
      </c>
      <c r="F1669" s="6">
        <v>13627.8</v>
      </c>
      <c r="G1669" s="2">
        <v>4</v>
      </c>
      <c r="H1669" s="61">
        <v>8.5500000000000007</v>
      </c>
      <c r="I1669" s="61">
        <v>8.9499999999999993</v>
      </c>
      <c r="J1669" s="47">
        <f t="shared" si="130"/>
        <v>1.1375000000000002</v>
      </c>
      <c r="K1669" s="47">
        <f t="shared" si="131"/>
        <v>4.6783625730993983E-2</v>
      </c>
      <c r="L1669" s="8">
        <v>9.34</v>
      </c>
      <c r="M1669" s="8">
        <v>14.7</v>
      </c>
      <c r="N1669" s="8">
        <v>14.04</v>
      </c>
      <c r="O1669" s="17">
        <f t="shared" si="132"/>
        <v>0.1292307692307692</v>
      </c>
      <c r="P1669" s="17">
        <f t="shared" si="133"/>
        <v>3.0010500000000109</v>
      </c>
      <c r="Q1669" s="17">
        <v>13.46</v>
      </c>
      <c r="R1669" s="9">
        <v>20220607</v>
      </c>
      <c r="S1669" s="9">
        <v>11.3</v>
      </c>
      <c r="T1669" s="9">
        <v>2.0699999999999998</v>
      </c>
      <c r="U1669" s="9">
        <v>8040.5068300000003</v>
      </c>
      <c r="V1669" s="45">
        <f t="shared" si="134"/>
        <v>-0.99974255354248609</v>
      </c>
      <c r="W1669" s="12">
        <v>12.02</v>
      </c>
      <c r="X1669" s="12">
        <v>3.15</v>
      </c>
      <c r="Y1669" s="62"/>
    </row>
    <row r="1670" spans="1:25" x14ac:dyDescent="0.2">
      <c r="A1670" s="3" t="s">
        <v>3928</v>
      </c>
      <c r="B1670" s="3" t="s">
        <v>1615</v>
      </c>
      <c r="C1670" s="6" t="s">
        <v>354</v>
      </c>
      <c r="D1670" s="6" t="s">
        <v>593</v>
      </c>
      <c r="E1670" s="6" t="s">
        <v>146</v>
      </c>
      <c r="F1670" s="6">
        <v>13455.65</v>
      </c>
      <c r="G1670" s="2">
        <v>8</v>
      </c>
      <c r="H1670" s="61">
        <v>1.34</v>
      </c>
      <c r="I1670" s="61">
        <v>1.26</v>
      </c>
      <c r="J1670" s="47">
        <f t="shared" si="130"/>
        <v>-0.83250000000000002</v>
      </c>
      <c r="K1670" s="47">
        <f t="shared" si="131"/>
        <v>-5.970149253731348E-2</v>
      </c>
      <c r="L1670" s="8">
        <v>1.29</v>
      </c>
      <c r="M1670" s="8">
        <v>17.850000000000001</v>
      </c>
      <c r="N1670" s="8">
        <v>22.43</v>
      </c>
      <c r="O1670" s="17">
        <f t="shared" si="132"/>
        <v>-0.21441441441441444</v>
      </c>
      <c r="P1670" s="17">
        <f t="shared" si="133"/>
        <v>-3.757024999999997</v>
      </c>
      <c r="Q1670" s="17">
        <v>21.87</v>
      </c>
      <c r="R1670" s="9">
        <v>20220629</v>
      </c>
      <c r="S1670" s="9">
        <v>16.57</v>
      </c>
      <c r="T1670" s="9">
        <v>1.69</v>
      </c>
      <c r="U1670" s="9">
        <v>4337.0068300000003</v>
      </c>
      <c r="V1670" s="45">
        <f t="shared" si="134"/>
        <v>-0.99961033033466551</v>
      </c>
      <c r="W1670" s="12">
        <v>-3.12</v>
      </c>
      <c r="X1670" s="12">
        <v>3.27</v>
      </c>
      <c r="Y1670" s="62"/>
    </row>
    <row r="1671" spans="1:25" x14ac:dyDescent="0.2">
      <c r="A1671" s="3" t="s">
        <v>1616</v>
      </c>
      <c r="B1671" s="3" t="s">
        <v>1617</v>
      </c>
      <c r="C1671" s="6" t="s">
        <v>356</v>
      </c>
      <c r="D1671" s="6" t="s">
        <v>1344</v>
      </c>
      <c r="E1671" s="6" t="s">
        <v>201</v>
      </c>
      <c r="F1671" s="6">
        <v>7420</v>
      </c>
      <c r="G1671" s="2">
        <v>12</v>
      </c>
      <c r="H1671" s="61">
        <v>1.79</v>
      </c>
      <c r="I1671" s="61">
        <v>1.65</v>
      </c>
      <c r="J1671" s="47">
        <f t="shared" si="130"/>
        <v>-0.85083333333333344</v>
      </c>
      <c r="K1671" s="47">
        <f t="shared" si="131"/>
        <v>-7.8212290502793366E-2</v>
      </c>
      <c r="L1671" s="8">
        <v>1.78</v>
      </c>
      <c r="M1671" s="8">
        <v>9.1199999999999992</v>
      </c>
      <c r="N1671" s="8">
        <v>10.58</v>
      </c>
      <c r="O1671" s="17">
        <f t="shared" si="132"/>
        <v>-0.10718903036238979</v>
      </c>
      <c r="P1671" s="17">
        <f t="shared" si="133"/>
        <v>-1.3527285714285702</v>
      </c>
      <c r="Q1671" s="17">
        <v>9.8000000000000007</v>
      </c>
      <c r="R1671" s="9">
        <v>20220719</v>
      </c>
      <c r="S1671" s="9">
        <v>17.5</v>
      </c>
      <c r="T1671" s="9">
        <v>-0.71</v>
      </c>
      <c r="U1671" s="9">
        <v>9570.1445299999996</v>
      </c>
      <c r="V1671" s="45">
        <f t="shared" si="134"/>
        <v>-1.0000741890572054</v>
      </c>
      <c r="W1671" s="12">
        <v>48.48</v>
      </c>
      <c r="X1671" s="12">
        <v>3.6</v>
      </c>
      <c r="Y1671" s="62">
        <v>2.77</v>
      </c>
    </row>
    <row r="1672" spans="1:25" x14ac:dyDescent="0.2">
      <c r="A1672" s="3" t="s">
        <v>3929</v>
      </c>
      <c r="B1672" s="3" t="s">
        <v>2275</v>
      </c>
      <c r="C1672" s="6" t="s">
        <v>356</v>
      </c>
      <c r="D1672" s="6" t="s">
        <v>784</v>
      </c>
      <c r="E1672" s="6" t="s">
        <v>140</v>
      </c>
      <c r="F1672" s="6">
        <v>12283.21</v>
      </c>
      <c r="G1672" s="2">
        <v>1</v>
      </c>
      <c r="H1672" s="61"/>
      <c r="I1672" s="61"/>
      <c r="J1672" s="47">
        <f t="shared" si="130"/>
        <v>-1</v>
      </c>
      <c r="K1672" s="47" t="e">
        <f t="shared" si="131"/>
        <v>#DIV/0!</v>
      </c>
      <c r="M1672" s="8">
        <v>8.9700000000000006</v>
      </c>
      <c r="O1672" s="17">
        <f t="shared" si="132"/>
        <v>-8.9700000000000002E-2</v>
      </c>
      <c r="P1672" s="17" t="e">
        <f t="shared" si="133"/>
        <v>#DIV/0!</v>
      </c>
      <c r="Q1672" s="17"/>
      <c r="R1672" s="9">
        <v>20220609</v>
      </c>
      <c r="S1672" s="9">
        <v>10.17</v>
      </c>
      <c r="T1672" s="9">
        <v>5.7</v>
      </c>
      <c r="V1672" s="45" t="e">
        <f t="shared" si="134"/>
        <v>#DIV/0!</v>
      </c>
      <c r="X1672" s="12">
        <v>3.25</v>
      </c>
      <c r="Y1672" s="62"/>
    </row>
    <row r="1673" spans="1:25" x14ac:dyDescent="0.2">
      <c r="A1673" s="3" t="s">
        <v>3930</v>
      </c>
      <c r="B1673" s="3" t="s">
        <v>1618</v>
      </c>
      <c r="C1673" s="6" t="s">
        <v>354</v>
      </c>
      <c r="D1673" s="6" t="s">
        <v>278</v>
      </c>
      <c r="E1673" s="6" t="s">
        <v>119</v>
      </c>
      <c r="F1673" s="6">
        <v>11164.24</v>
      </c>
      <c r="G1673" s="2">
        <v>12</v>
      </c>
      <c r="H1673" s="61"/>
      <c r="I1673" s="61">
        <v>2.2400000000000002</v>
      </c>
      <c r="J1673" s="47">
        <f t="shared" si="130"/>
        <v>-1</v>
      </c>
      <c r="K1673" s="47" t="e">
        <f t="shared" si="131"/>
        <v>#DIV/0!</v>
      </c>
      <c r="L1673" s="8">
        <v>2.46</v>
      </c>
      <c r="M1673" s="8">
        <v>6.94</v>
      </c>
      <c r="N1673" s="8">
        <v>11.29</v>
      </c>
      <c r="O1673" s="17">
        <f t="shared" si="132"/>
        <v>-6.9400000000000003E-2</v>
      </c>
      <c r="P1673" s="17" t="e">
        <f t="shared" si="133"/>
        <v>#DIV/0!</v>
      </c>
      <c r="Q1673" s="17">
        <v>10.28</v>
      </c>
      <c r="R1673" s="9">
        <v>20220810</v>
      </c>
      <c r="S1673" s="9">
        <v>8.5299999999999994</v>
      </c>
      <c r="T1673" s="9">
        <v>1.1100000000000001</v>
      </c>
      <c r="V1673" s="45" t="e">
        <f t="shared" si="134"/>
        <v>#DIV/0!</v>
      </c>
      <c r="X1673" s="12">
        <v>4.5999999999999996</v>
      </c>
      <c r="Y1673" s="62"/>
    </row>
    <row r="1674" spans="1:25" x14ac:dyDescent="0.2">
      <c r="A1674" s="3" t="s">
        <v>3931</v>
      </c>
      <c r="B1674" s="3" t="s">
        <v>1619</v>
      </c>
      <c r="C1674" s="6" t="s">
        <v>354</v>
      </c>
      <c r="D1674" s="6" t="s">
        <v>230</v>
      </c>
      <c r="E1674" s="6" t="s">
        <v>146</v>
      </c>
      <c r="F1674" s="6">
        <v>5879.81</v>
      </c>
      <c r="G1674" s="2">
        <v>12</v>
      </c>
      <c r="H1674" s="61">
        <v>2.4900000000000002</v>
      </c>
      <c r="I1674" s="61">
        <v>2.84</v>
      </c>
      <c r="J1674" s="47">
        <f t="shared" si="130"/>
        <v>-0.79249999999999998</v>
      </c>
      <c r="K1674" s="47">
        <f t="shared" si="131"/>
        <v>0.14056224899598377</v>
      </c>
      <c r="L1674" s="8">
        <v>3.57</v>
      </c>
      <c r="M1674" s="8">
        <v>13.75</v>
      </c>
      <c r="N1674" s="8">
        <v>13.26</v>
      </c>
      <c r="O1674" s="17">
        <f t="shared" si="132"/>
        <v>-0.17350157728706625</v>
      </c>
      <c r="P1674" s="17">
        <f t="shared" si="133"/>
        <v>0.94335428571428681</v>
      </c>
      <c r="Q1674" s="17">
        <v>10.57</v>
      </c>
      <c r="S1674" s="9">
        <v>12.94</v>
      </c>
      <c r="T1674" s="9">
        <v>8.99</v>
      </c>
      <c r="U1674" s="9">
        <v>7312.2700100000002</v>
      </c>
      <c r="V1674" s="45">
        <f t="shared" si="134"/>
        <v>-0.99877055962270189</v>
      </c>
      <c r="W1674" s="12">
        <v>6.94</v>
      </c>
      <c r="X1674" s="12">
        <v>0</v>
      </c>
      <c r="Y1674" s="62"/>
    </row>
    <row r="1675" spans="1:25" x14ac:dyDescent="0.2">
      <c r="A1675" s="3" t="s">
        <v>3932</v>
      </c>
      <c r="B1675" s="3" t="s">
        <v>1620</v>
      </c>
      <c r="C1675" s="6" t="s">
        <v>355</v>
      </c>
      <c r="D1675" s="6" t="s">
        <v>227</v>
      </c>
      <c r="E1675" s="6" t="s">
        <v>119</v>
      </c>
      <c r="F1675" s="6">
        <v>5413.56</v>
      </c>
      <c r="G1675" s="2">
        <v>12</v>
      </c>
      <c r="H1675" s="61">
        <v>1.98</v>
      </c>
      <c r="I1675" s="61">
        <v>3.66</v>
      </c>
      <c r="J1675" s="47">
        <f t="shared" si="130"/>
        <v>-0.83499999999999996</v>
      </c>
      <c r="K1675" s="47">
        <f t="shared" si="131"/>
        <v>0.84848484848484862</v>
      </c>
      <c r="L1675" s="8">
        <v>4.1900000000000004</v>
      </c>
      <c r="M1675" s="8">
        <v>46.1</v>
      </c>
      <c r="N1675" s="8">
        <v>40.46</v>
      </c>
      <c r="O1675" s="17">
        <f t="shared" si="132"/>
        <v>-0.55209580838323358</v>
      </c>
      <c r="P1675" s="17">
        <f t="shared" si="133"/>
        <v>0.47684999999999994</v>
      </c>
      <c r="Q1675" s="17">
        <v>35.299999999999997</v>
      </c>
      <c r="R1675" s="9">
        <v>20220727</v>
      </c>
      <c r="S1675" s="9">
        <v>4.08</v>
      </c>
      <c r="T1675" s="9">
        <v>2.42</v>
      </c>
      <c r="U1675" s="9">
        <v>1019.86499</v>
      </c>
      <c r="V1675" s="45">
        <f t="shared" si="134"/>
        <v>-0.99762713690171878</v>
      </c>
      <c r="W1675" s="12">
        <v>64.06</v>
      </c>
      <c r="X1675" s="12">
        <v>0</v>
      </c>
      <c r="Y1675" s="62"/>
    </row>
    <row r="1676" spans="1:25" x14ac:dyDescent="0.2">
      <c r="A1676" s="3" t="s">
        <v>3933</v>
      </c>
      <c r="B1676" s="3" t="s">
        <v>1621</v>
      </c>
      <c r="C1676" s="6" t="s">
        <v>354</v>
      </c>
      <c r="D1676" s="6" t="s">
        <v>529</v>
      </c>
      <c r="E1676" s="6" t="s">
        <v>218</v>
      </c>
      <c r="F1676" s="6">
        <v>65994.48</v>
      </c>
      <c r="G1676" s="2">
        <v>12</v>
      </c>
      <c r="H1676" s="61">
        <v>1.27</v>
      </c>
      <c r="I1676" s="61">
        <v>1.85</v>
      </c>
      <c r="J1676" s="47">
        <f t="shared" si="130"/>
        <v>-0.89416666666666667</v>
      </c>
      <c r="K1676" s="47">
        <f t="shared" si="131"/>
        <v>0.45669291338582685</v>
      </c>
      <c r="L1676" s="8">
        <v>2.63</v>
      </c>
      <c r="M1676" s="8">
        <v>33.11</v>
      </c>
      <c r="N1676" s="8">
        <v>25.31</v>
      </c>
      <c r="O1676" s="17">
        <f t="shared" si="132"/>
        <v>-0.37028890959925442</v>
      </c>
      <c r="P1676" s="17">
        <f t="shared" si="133"/>
        <v>0.55420172413793101</v>
      </c>
      <c r="Q1676" s="17">
        <v>17.760000000000002</v>
      </c>
      <c r="R1676" s="9">
        <v>20220722</v>
      </c>
      <c r="S1676" s="9">
        <v>14.02</v>
      </c>
      <c r="T1676" s="9">
        <v>-7.76</v>
      </c>
      <c r="U1676" s="9">
        <v>26071.970700000002</v>
      </c>
      <c r="V1676" s="45">
        <f t="shared" si="134"/>
        <v>-1.0002976376465473</v>
      </c>
      <c r="W1676" s="12">
        <v>6.25</v>
      </c>
      <c r="X1676" s="12">
        <v>1.07</v>
      </c>
      <c r="Y1676" s="62"/>
    </row>
    <row r="1677" spans="1:25" x14ac:dyDescent="0.2">
      <c r="A1677" s="3" t="s">
        <v>3934</v>
      </c>
      <c r="B1677" s="3" t="s">
        <v>1622</v>
      </c>
      <c r="C1677" s="6" t="s">
        <v>354</v>
      </c>
      <c r="D1677" s="6" t="s">
        <v>170</v>
      </c>
      <c r="E1677" s="6" t="s">
        <v>163</v>
      </c>
      <c r="F1677" s="6">
        <v>28864.080000000002</v>
      </c>
      <c r="G1677" s="2">
        <v>12</v>
      </c>
      <c r="H1677" s="61">
        <v>4.7300000000000004</v>
      </c>
      <c r="I1677" s="61">
        <v>4.82</v>
      </c>
      <c r="J1677" s="47">
        <f t="shared" si="130"/>
        <v>-0.60583333333333333</v>
      </c>
      <c r="K1677" s="47">
        <f t="shared" si="131"/>
        <v>1.9027484143763183E-2</v>
      </c>
      <c r="L1677" s="8">
        <v>5.28</v>
      </c>
      <c r="M1677" s="8">
        <v>10.28</v>
      </c>
      <c r="N1677" s="8">
        <v>10.210000000000001</v>
      </c>
      <c r="O1677" s="17">
        <f t="shared" si="132"/>
        <v>-0.16968363136176065</v>
      </c>
      <c r="P1677" s="17">
        <f t="shared" si="133"/>
        <v>5.3659222222222311</v>
      </c>
      <c r="Q1677" s="17">
        <v>9.33</v>
      </c>
      <c r="R1677" s="9">
        <v>20220803</v>
      </c>
      <c r="S1677" s="9">
        <v>13.66</v>
      </c>
      <c r="T1677" s="9">
        <v>11.03</v>
      </c>
      <c r="U1677" s="9">
        <v>22347.429680000001</v>
      </c>
      <c r="V1677" s="45">
        <f t="shared" si="134"/>
        <v>-0.99950643093376101</v>
      </c>
      <c r="W1677" s="12">
        <v>2.7</v>
      </c>
      <c r="X1677" s="12">
        <v>4.2300000000000004</v>
      </c>
      <c r="Y1677" s="62">
        <v>1.1299999999999999</v>
      </c>
    </row>
    <row r="1678" spans="1:25" x14ac:dyDescent="0.2">
      <c r="A1678" s="3" t="s">
        <v>3935</v>
      </c>
      <c r="B1678" s="3" t="s">
        <v>1623</v>
      </c>
      <c r="C1678" s="6" t="s">
        <v>356</v>
      </c>
      <c r="D1678" s="6" t="s">
        <v>151</v>
      </c>
      <c r="E1678" s="6" t="s">
        <v>163</v>
      </c>
      <c r="F1678" s="6">
        <v>5375.48</v>
      </c>
      <c r="G1678" s="2">
        <v>12</v>
      </c>
      <c r="H1678" s="61">
        <v>0.75</v>
      </c>
      <c r="I1678" s="61"/>
      <c r="J1678" s="47">
        <f t="shared" si="130"/>
        <v>-0.9375</v>
      </c>
      <c r="K1678" s="47">
        <f t="shared" si="131"/>
        <v>-1</v>
      </c>
      <c r="O1678" s="17">
        <f t="shared" si="132"/>
        <v>0</v>
      </c>
      <c r="P1678" s="17">
        <f t="shared" si="133"/>
        <v>0</v>
      </c>
      <c r="Q1678" s="17"/>
      <c r="U1678" s="9">
        <v>2095.2800200000001</v>
      </c>
      <c r="V1678" s="45">
        <f t="shared" si="134"/>
        <v>-1</v>
      </c>
      <c r="X1678" s="12">
        <v>6.4</v>
      </c>
      <c r="Y1678" s="62"/>
    </row>
    <row r="1679" spans="1:25" x14ac:dyDescent="0.2">
      <c r="A1679" s="3" t="s">
        <v>3936</v>
      </c>
      <c r="B1679" s="3" t="s">
        <v>1624</v>
      </c>
      <c r="C1679" s="6" t="s">
        <v>354</v>
      </c>
      <c r="D1679" s="6" t="s">
        <v>215</v>
      </c>
      <c r="E1679" s="6" t="s">
        <v>163</v>
      </c>
      <c r="F1679" s="6">
        <v>4000.08</v>
      </c>
      <c r="G1679" s="2">
        <v>12</v>
      </c>
      <c r="H1679" s="61">
        <v>6.81</v>
      </c>
      <c r="I1679" s="61">
        <v>6.81</v>
      </c>
      <c r="J1679" s="47">
        <f t="shared" si="130"/>
        <v>-0.43250000000000005</v>
      </c>
      <c r="K1679" s="47">
        <f t="shared" si="131"/>
        <v>0</v>
      </c>
      <c r="L1679" s="8">
        <v>7.12</v>
      </c>
      <c r="M1679" s="8">
        <v>9.3699999999999992</v>
      </c>
      <c r="N1679" s="8">
        <v>9.16</v>
      </c>
      <c r="O1679" s="17">
        <f t="shared" si="132"/>
        <v>-0.21664739884393058</v>
      </c>
      <c r="P1679" s="17" t="e">
        <f t="shared" si="133"/>
        <v>#DIV/0!</v>
      </c>
      <c r="Q1679" s="17">
        <v>8.76</v>
      </c>
      <c r="R1679" s="9">
        <v>20220720</v>
      </c>
      <c r="S1679" s="9">
        <v>9.32</v>
      </c>
      <c r="T1679" s="9">
        <v>-11.99</v>
      </c>
      <c r="U1679" s="9">
        <v>559.13098000000002</v>
      </c>
      <c r="V1679" s="45">
        <f t="shared" si="134"/>
        <v>-1.0214439915312867</v>
      </c>
      <c r="W1679" s="12">
        <v>0.61</v>
      </c>
      <c r="X1679" s="12">
        <v>5.98</v>
      </c>
      <c r="Y1679" s="62">
        <v>4.47</v>
      </c>
    </row>
    <row r="1680" spans="1:25" x14ac:dyDescent="0.2">
      <c r="A1680" s="3" t="s">
        <v>3937</v>
      </c>
      <c r="B1680" s="3" t="s">
        <v>1625</v>
      </c>
      <c r="C1680" s="6" t="s">
        <v>355</v>
      </c>
      <c r="D1680" s="6" t="s">
        <v>538</v>
      </c>
      <c r="E1680" s="6" t="s">
        <v>201</v>
      </c>
      <c r="F1680" s="6">
        <v>4839.76</v>
      </c>
      <c r="G1680" s="2">
        <v>12</v>
      </c>
      <c r="H1680" s="61">
        <v>3.35</v>
      </c>
      <c r="I1680" s="61">
        <v>3.95</v>
      </c>
      <c r="J1680" s="47">
        <f t="shared" si="130"/>
        <v>-0.72083333333333333</v>
      </c>
      <c r="K1680" s="47">
        <f t="shared" si="131"/>
        <v>0.17910447761194032</v>
      </c>
      <c r="L1680" s="8">
        <v>4.22</v>
      </c>
      <c r="M1680" s="8">
        <v>12.7</v>
      </c>
      <c r="N1680" s="8">
        <v>11.06</v>
      </c>
      <c r="O1680" s="17">
        <f t="shared" si="132"/>
        <v>-0.17618497109826589</v>
      </c>
      <c r="P1680" s="17">
        <f t="shared" si="133"/>
        <v>0.6175166666666666</v>
      </c>
      <c r="Q1680" s="17">
        <v>10.36</v>
      </c>
      <c r="R1680" s="9">
        <v>20220727</v>
      </c>
      <c r="S1680" s="9">
        <v>25.33</v>
      </c>
      <c r="T1680" s="9">
        <v>7.93</v>
      </c>
      <c r="U1680" s="9">
        <v>6670.9101499999997</v>
      </c>
      <c r="V1680" s="45">
        <f t="shared" si="134"/>
        <v>-0.99881125666188142</v>
      </c>
      <c r="W1680" s="12">
        <v>1.3</v>
      </c>
      <c r="X1680" s="12">
        <v>1.47</v>
      </c>
      <c r="Y1680" s="62">
        <v>2.21</v>
      </c>
    </row>
    <row r="1681" spans="1:25" x14ac:dyDescent="0.2">
      <c r="A1681" s="3" t="s">
        <v>1626</v>
      </c>
      <c r="B1681" s="3" t="s">
        <v>1626</v>
      </c>
      <c r="C1681" s="6" t="s">
        <v>355</v>
      </c>
      <c r="D1681" s="6" t="s">
        <v>148</v>
      </c>
      <c r="E1681" s="6" t="s">
        <v>163</v>
      </c>
      <c r="F1681" s="6">
        <v>5128.53</v>
      </c>
      <c r="G1681" s="2">
        <v>12</v>
      </c>
      <c r="H1681" s="61">
        <v>3.57</v>
      </c>
      <c r="I1681" s="61">
        <v>2.89</v>
      </c>
      <c r="J1681" s="47">
        <f t="shared" si="130"/>
        <v>-0.70250000000000001</v>
      </c>
      <c r="K1681" s="47">
        <f t="shared" si="131"/>
        <v>-0.19047619047619041</v>
      </c>
      <c r="L1681" s="8">
        <v>3.05</v>
      </c>
      <c r="M1681" s="8">
        <v>8.66</v>
      </c>
      <c r="N1681" s="8">
        <v>6.59</v>
      </c>
      <c r="O1681" s="17">
        <f t="shared" si="132"/>
        <v>-0.12327402135231318</v>
      </c>
      <c r="P1681" s="17">
        <f t="shared" si="133"/>
        <v>-0.34597500000000014</v>
      </c>
      <c r="Q1681" s="17">
        <v>6.24</v>
      </c>
      <c r="R1681" s="9">
        <v>20220720</v>
      </c>
      <c r="S1681" s="9">
        <v>34.380000000000003</v>
      </c>
      <c r="T1681" s="9">
        <v>13.29</v>
      </c>
      <c r="U1681" s="9">
        <v>1495.47497</v>
      </c>
      <c r="V1681" s="45">
        <f t="shared" si="134"/>
        <v>-0.99111319128263309</v>
      </c>
      <c r="W1681" s="12">
        <v>-40.26</v>
      </c>
      <c r="X1681" s="12">
        <v>2.31</v>
      </c>
      <c r="Y1681" s="62"/>
    </row>
    <row r="1682" spans="1:25" x14ac:dyDescent="0.2">
      <c r="A1682" s="3" t="s">
        <v>3938</v>
      </c>
      <c r="B1682" s="3" t="s">
        <v>3939</v>
      </c>
      <c r="C1682" s="6" t="s">
        <v>354</v>
      </c>
      <c r="D1682" s="6" t="s">
        <v>200</v>
      </c>
      <c r="E1682" s="6" t="s">
        <v>218</v>
      </c>
      <c r="F1682" s="6">
        <v>5655.72</v>
      </c>
      <c r="G1682" s="2">
        <v>12</v>
      </c>
      <c r="H1682" s="61">
        <v>1.46</v>
      </c>
      <c r="I1682" s="61">
        <v>8.6</v>
      </c>
      <c r="J1682" s="47">
        <f t="shared" si="130"/>
        <v>-0.8783333333333333</v>
      </c>
      <c r="K1682" s="47">
        <f t="shared" si="131"/>
        <v>4.8904109589041092</v>
      </c>
      <c r="L1682" s="8">
        <v>10.62</v>
      </c>
      <c r="M1682" s="8">
        <v>11.99</v>
      </c>
      <c r="N1682" s="8">
        <v>5.39</v>
      </c>
      <c r="O1682" s="17">
        <f t="shared" si="132"/>
        <v>-0.13650853889943074</v>
      </c>
      <c r="P1682" s="17">
        <f t="shared" si="133"/>
        <v>1.1021568627450981E-2</v>
      </c>
      <c r="Q1682" s="17">
        <v>4.37</v>
      </c>
      <c r="R1682" s="9">
        <v>20220804</v>
      </c>
      <c r="S1682" s="9">
        <v>26.11</v>
      </c>
      <c r="T1682" s="9">
        <v>5.79</v>
      </c>
      <c r="U1682" s="9">
        <v>2989.2949199999998</v>
      </c>
      <c r="V1682" s="45">
        <f t="shared" si="134"/>
        <v>-0.99806308840213065</v>
      </c>
      <c r="W1682" s="12">
        <v>-4.3499999999999996</v>
      </c>
      <c r="X1682" s="12">
        <v>0.04</v>
      </c>
      <c r="Y1682" s="62"/>
    </row>
    <row r="1683" spans="1:25" x14ac:dyDescent="0.2">
      <c r="A1683" s="3" t="s">
        <v>3940</v>
      </c>
      <c r="B1683" s="3" t="s">
        <v>1627</v>
      </c>
      <c r="C1683" s="6" t="s">
        <v>354</v>
      </c>
      <c r="D1683" s="6" t="s">
        <v>177</v>
      </c>
      <c r="E1683" s="6" t="s">
        <v>119</v>
      </c>
      <c r="F1683" s="6">
        <v>4514.1000000000004</v>
      </c>
      <c r="G1683" s="2">
        <v>1</v>
      </c>
      <c r="H1683" s="61">
        <v>-0.31</v>
      </c>
      <c r="I1683" s="61">
        <v>-0.66</v>
      </c>
      <c r="J1683" s="47">
        <f t="shared" si="130"/>
        <v>-1.31</v>
      </c>
      <c r="K1683" s="47">
        <f t="shared" si="131"/>
        <v>-1.1290322580645162</v>
      </c>
      <c r="L1683" s="8">
        <v>-0.4</v>
      </c>
      <c r="O1683" s="17">
        <f t="shared" si="132"/>
        <v>0</v>
      </c>
      <c r="P1683" s="17">
        <f t="shared" si="133"/>
        <v>0</v>
      </c>
      <c r="Q1683" s="17"/>
      <c r="R1683" s="9">
        <v>20220607</v>
      </c>
      <c r="S1683" s="9">
        <v>-29.45</v>
      </c>
      <c r="T1683" s="9">
        <v>48.41</v>
      </c>
      <c r="U1683" s="9">
        <v>752.16699000000006</v>
      </c>
      <c r="V1683" s="45">
        <f t="shared" si="134"/>
        <v>-0.9356392920141311</v>
      </c>
      <c r="W1683" s="12">
        <v>20</v>
      </c>
      <c r="X1683" s="12">
        <v>0</v>
      </c>
      <c r="Y1683" s="62"/>
    </row>
    <row r="1684" spans="1:25" x14ac:dyDescent="0.2">
      <c r="A1684" s="3" t="s">
        <v>3941</v>
      </c>
      <c r="B1684" s="3" t="s">
        <v>1628</v>
      </c>
      <c r="C1684" s="6" t="s">
        <v>354</v>
      </c>
      <c r="D1684" s="6" t="s">
        <v>69</v>
      </c>
      <c r="E1684" s="6" t="s">
        <v>163</v>
      </c>
      <c r="F1684" s="6">
        <v>42948.82</v>
      </c>
      <c r="G1684" s="2">
        <v>3</v>
      </c>
      <c r="H1684" s="61">
        <v>0.83</v>
      </c>
      <c r="I1684" s="61">
        <v>0.88</v>
      </c>
      <c r="J1684" s="47">
        <f t="shared" si="130"/>
        <v>-0.72333333333333327</v>
      </c>
      <c r="K1684" s="47">
        <f t="shared" si="131"/>
        <v>6.0240963855421742E-2</v>
      </c>
      <c r="L1684" s="8">
        <v>1.05</v>
      </c>
      <c r="M1684" s="8">
        <v>5.95</v>
      </c>
      <c r="N1684" s="8">
        <v>7.06</v>
      </c>
      <c r="O1684" s="17">
        <f t="shared" si="132"/>
        <v>-8.2258064516129034E-2</v>
      </c>
      <c r="P1684" s="17">
        <f t="shared" si="133"/>
        <v>1.1719599999999988</v>
      </c>
      <c r="Q1684" s="17">
        <v>5.95</v>
      </c>
      <c r="R1684" s="9">
        <v>20220729</v>
      </c>
      <c r="S1684" s="9">
        <v>6.64</v>
      </c>
      <c r="T1684" s="9">
        <v>-8.41</v>
      </c>
      <c r="V1684" s="45" t="e">
        <f t="shared" si="134"/>
        <v>#DIV/0!</v>
      </c>
      <c r="W1684" s="12">
        <v>57.14</v>
      </c>
      <c r="X1684" s="12">
        <v>4.91</v>
      </c>
      <c r="Y1684" s="62">
        <v>0.5</v>
      </c>
    </row>
    <row r="1685" spans="1:25" x14ac:dyDescent="0.2">
      <c r="A1685" s="3" t="s">
        <v>3942</v>
      </c>
      <c r="B1685" s="3" t="s">
        <v>1629</v>
      </c>
      <c r="C1685" s="6" t="s">
        <v>356</v>
      </c>
      <c r="D1685" s="6" t="s">
        <v>211</v>
      </c>
      <c r="E1685" s="6" t="s">
        <v>60</v>
      </c>
      <c r="F1685" s="6">
        <v>10483.84</v>
      </c>
      <c r="G1685" s="2">
        <v>12</v>
      </c>
      <c r="H1685" s="61">
        <v>3.14</v>
      </c>
      <c r="I1685" s="61">
        <v>3.47</v>
      </c>
      <c r="J1685" s="47">
        <f t="shared" si="130"/>
        <v>-0.73833333333333329</v>
      </c>
      <c r="K1685" s="47">
        <f t="shared" si="131"/>
        <v>0.1050955414012739</v>
      </c>
      <c r="L1685" s="8">
        <v>3.56</v>
      </c>
      <c r="N1685" s="8">
        <v>11.61</v>
      </c>
      <c r="O1685" s="17">
        <f t="shared" si="132"/>
        <v>0</v>
      </c>
      <c r="P1685" s="17">
        <f t="shared" si="133"/>
        <v>1.1047090909090906</v>
      </c>
      <c r="Q1685" s="17">
        <v>11.32</v>
      </c>
      <c r="R1685" s="9">
        <v>20220601</v>
      </c>
      <c r="U1685" s="9">
        <v>12303.91992</v>
      </c>
      <c r="V1685" s="45">
        <f t="shared" si="134"/>
        <v>-1</v>
      </c>
      <c r="X1685" s="12">
        <v>3.53</v>
      </c>
      <c r="Y1685" s="62"/>
    </row>
    <row r="1686" spans="1:25" x14ac:dyDescent="0.2">
      <c r="A1686" s="3" t="s">
        <v>3943</v>
      </c>
      <c r="B1686" s="3" t="s">
        <v>1630</v>
      </c>
      <c r="C1686" s="6" t="s">
        <v>354</v>
      </c>
      <c r="D1686" s="6" t="s">
        <v>315</v>
      </c>
      <c r="E1686" s="6" t="s">
        <v>60</v>
      </c>
      <c r="F1686" s="6">
        <v>5165.8999999999996</v>
      </c>
      <c r="G1686" s="2">
        <v>9</v>
      </c>
      <c r="H1686" s="61">
        <v>9.18</v>
      </c>
      <c r="I1686" s="61">
        <v>7</v>
      </c>
      <c r="J1686" s="47">
        <f t="shared" si="130"/>
        <v>1.9999999999999969E-2</v>
      </c>
      <c r="K1686" s="47">
        <f t="shared" si="131"/>
        <v>-0.23747276688453156</v>
      </c>
      <c r="L1686" s="8">
        <v>7.9</v>
      </c>
      <c r="M1686" s="8">
        <v>12.76</v>
      </c>
      <c r="N1686" s="8">
        <v>13.31</v>
      </c>
      <c r="O1686" s="17">
        <f t="shared" si="132"/>
        <v>6.3800000000000097</v>
      </c>
      <c r="P1686" s="17">
        <f t="shared" si="133"/>
        <v>-0.56048532110091753</v>
      </c>
      <c r="Q1686" s="17">
        <v>11.8</v>
      </c>
      <c r="R1686" s="9">
        <v>20220803</v>
      </c>
      <c r="S1686" s="9">
        <v>42.22</v>
      </c>
      <c r="T1686" s="9">
        <v>16.03</v>
      </c>
      <c r="U1686" s="9">
        <v>4450.1000899999999</v>
      </c>
      <c r="V1686" s="45">
        <f t="shared" si="134"/>
        <v>-0.99639783382939606</v>
      </c>
      <c r="W1686" s="12">
        <v>7.25</v>
      </c>
      <c r="X1686" s="12">
        <v>2.83</v>
      </c>
      <c r="Y1686" s="62"/>
    </row>
    <row r="1687" spans="1:25" x14ac:dyDescent="0.2">
      <c r="A1687" s="3" t="s">
        <v>3944</v>
      </c>
      <c r="B1687" s="3" t="s">
        <v>2276</v>
      </c>
      <c r="C1687" s="6" t="s">
        <v>356</v>
      </c>
      <c r="D1687" s="6" t="s">
        <v>155</v>
      </c>
      <c r="E1687" s="6" t="s">
        <v>154</v>
      </c>
      <c r="F1687" s="6">
        <v>4680.9399999999996</v>
      </c>
      <c r="G1687" s="2">
        <v>12</v>
      </c>
      <c r="H1687" s="61"/>
      <c r="I1687" s="61"/>
      <c r="J1687" s="47">
        <f t="shared" si="130"/>
        <v>-1</v>
      </c>
      <c r="K1687" s="47" t="e">
        <f t="shared" si="131"/>
        <v>#DIV/0!</v>
      </c>
      <c r="M1687" s="8">
        <v>35.14</v>
      </c>
      <c r="O1687" s="17">
        <f t="shared" si="132"/>
        <v>-0.35139999999999999</v>
      </c>
      <c r="P1687" s="17" t="e">
        <f t="shared" si="133"/>
        <v>#DIV/0!</v>
      </c>
      <c r="Q1687" s="17"/>
      <c r="R1687" s="9">
        <v>20220527</v>
      </c>
      <c r="V1687" s="45" t="e">
        <f t="shared" si="134"/>
        <v>#DIV/0!</v>
      </c>
      <c r="X1687" s="12">
        <v>1.02</v>
      </c>
      <c r="Y1687" s="62"/>
    </row>
    <row r="1688" spans="1:25" x14ac:dyDescent="0.2">
      <c r="A1688" s="3" t="s">
        <v>3945</v>
      </c>
      <c r="B1688" s="3" t="s">
        <v>1631</v>
      </c>
      <c r="C1688" s="6" t="s">
        <v>356</v>
      </c>
      <c r="D1688" s="6" t="s">
        <v>233</v>
      </c>
      <c r="E1688" s="6" t="s">
        <v>108</v>
      </c>
      <c r="F1688" s="6">
        <v>7387.27</v>
      </c>
      <c r="G1688" s="2">
        <v>7</v>
      </c>
      <c r="H1688" s="61">
        <v>0.86</v>
      </c>
      <c r="I1688" s="61">
        <v>0.89</v>
      </c>
      <c r="J1688" s="47">
        <f t="shared" si="130"/>
        <v>-0.87714285714285711</v>
      </c>
      <c r="K1688" s="47">
        <f t="shared" si="131"/>
        <v>3.4883720930232592E-2</v>
      </c>
      <c r="L1688" s="8">
        <v>1.01</v>
      </c>
      <c r="N1688" s="8">
        <v>22.11</v>
      </c>
      <c r="O1688" s="17">
        <f t="shared" si="132"/>
        <v>0</v>
      </c>
      <c r="P1688" s="17">
        <f t="shared" si="133"/>
        <v>6.3381999999999934</v>
      </c>
      <c r="Q1688" s="17">
        <v>19.329999999999998</v>
      </c>
      <c r="U1688" s="9">
        <v>3228.0371</v>
      </c>
      <c r="V1688" s="45">
        <f t="shared" si="134"/>
        <v>-1</v>
      </c>
      <c r="X1688" s="12">
        <v>1.37</v>
      </c>
      <c r="Y1688" s="62">
        <v>2.66</v>
      </c>
    </row>
    <row r="1689" spans="1:25" x14ac:dyDescent="0.2">
      <c r="A1689" s="3" t="s">
        <v>3946</v>
      </c>
      <c r="B1689" s="3" t="s">
        <v>3947</v>
      </c>
      <c r="C1689" s="6" t="s">
        <v>356</v>
      </c>
      <c r="D1689" s="6" t="s">
        <v>180</v>
      </c>
      <c r="E1689" s="6" t="s">
        <v>146</v>
      </c>
      <c r="F1689" s="6">
        <v>16126.22</v>
      </c>
      <c r="G1689" s="2">
        <v>12</v>
      </c>
      <c r="H1689" s="61"/>
      <c r="I1689" s="61"/>
      <c r="J1689" s="47">
        <f t="shared" si="130"/>
        <v>-1</v>
      </c>
      <c r="K1689" s="47" t="e">
        <f t="shared" si="131"/>
        <v>#DIV/0!</v>
      </c>
      <c r="M1689" s="8">
        <v>17.34</v>
      </c>
      <c r="O1689" s="17">
        <f t="shared" si="132"/>
        <v>-0.1734</v>
      </c>
      <c r="P1689" s="17" t="e">
        <f t="shared" si="133"/>
        <v>#DIV/0!</v>
      </c>
      <c r="Q1689" s="17"/>
      <c r="R1689" s="9">
        <v>20220531</v>
      </c>
      <c r="S1689" s="9">
        <v>18.440000000000001</v>
      </c>
      <c r="V1689" s="45" t="e">
        <f t="shared" si="134"/>
        <v>#DIV/0!</v>
      </c>
      <c r="X1689" s="12">
        <v>0.79</v>
      </c>
      <c r="Y1689" s="62"/>
    </row>
    <row r="1690" spans="1:25" x14ac:dyDescent="0.2">
      <c r="A1690" s="3" t="s">
        <v>3948</v>
      </c>
      <c r="B1690" s="3" t="s">
        <v>2040</v>
      </c>
      <c r="C1690" s="6" t="s">
        <v>355</v>
      </c>
      <c r="D1690" s="6" t="s">
        <v>1050</v>
      </c>
      <c r="E1690" s="6" t="s">
        <v>154</v>
      </c>
      <c r="F1690" s="6">
        <v>3988.71</v>
      </c>
      <c r="G1690" s="2">
        <v>8</v>
      </c>
      <c r="H1690" s="61">
        <v>1.24</v>
      </c>
      <c r="I1690" s="61">
        <v>1.49</v>
      </c>
      <c r="J1690" s="47">
        <f t="shared" si="130"/>
        <v>-0.84499999999999997</v>
      </c>
      <c r="K1690" s="47">
        <f t="shared" si="131"/>
        <v>0.20161290322580647</v>
      </c>
      <c r="L1690" s="8">
        <v>1.66</v>
      </c>
      <c r="M1690" s="8">
        <v>26.32</v>
      </c>
      <c r="N1690" s="8">
        <v>26.7</v>
      </c>
      <c r="O1690" s="17">
        <f t="shared" si="132"/>
        <v>-0.31147928994082841</v>
      </c>
      <c r="P1690" s="17">
        <f t="shared" si="133"/>
        <v>1.3243199999999997</v>
      </c>
      <c r="Q1690" s="17">
        <v>23.94</v>
      </c>
      <c r="R1690" s="9">
        <v>20220707</v>
      </c>
      <c r="S1690" s="9">
        <v>11.86</v>
      </c>
      <c r="T1690" s="9">
        <v>30.16</v>
      </c>
      <c r="U1690" s="9">
        <v>1147.40698</v>
      </c>
      <c r="V1690" s="45">
        <f t="shared" si="134"/>
        <v>-0.97371464482462877</v>
      </c>
      <c r="W1690" s="12">
        <v>28.57</v>
      </c>
      <c r="X1690" s="12">
        <v>0</v>
      </c>
      <c r="Y1690" s="62"/>
    </row>
    <row r="1691" spans="1:25" x14ac:dyDescent="0.2">
      <c r="A1691" s="3" t="s">
        <v>3949</v>
      </c>
      <c r="B1691" s="3" t="s">
        <v>1906</v>
      </c>
      <c r="C1691" s="6" t="s">
        <v>356</v>
      </c>
      <c r="D1691" s="6" t="s">
        <v>172</v>
      </c>
      <c r="E1691" s="6" t="s">
        <v>163</v>
      </c>
      <c r="F1691" s="6">
        <v>15160.36</v>
      </c>
      <c r="G1691" s="2">
        <v>3</v>
      </c>
      <c r="H1691" s="61"/>
      <c r="I1691" s="61"/>
      <c r="J1691" s="47">
        <f t="shared" si="130"/>
        <v>-1</v>
      </c>
      <c r="K1691" s="47" t="e">
        <f t="shared" si="131"/>
        <v>#DIV/0!</v>
      </c>
      <c r="M1691" s="8">
        <v>7.68</v>
      </c>
      <c r="O1691" s="17">
        <f t="shared" si="132"/>
        <v>-7.6799999999999993E-2</v>
      </c>
      <c r="P1691" s="17" t="e">
        <f t="shared" si="133"/>
        <v>#DIV/0!</v>
      </c>
      <c r="Q1691" s="17"/>
      <c r="R1691" s="9">
        <v>20220805</v>
      </c>
      <c r="S1691" s="9">
        <v>10.55</v>
      </c>
      <c r="T1691" s="9">
        <v>3.15</v>
      </c>
      <c r="V1691" s="45" t="e">
        <f t="shared" si="134"/>
        <v>#DIV/0!</v>
      </c>
      <c r="X1691" s="12">
        <v>3.1</v>
      </c>
      <c r="Y1691" s="62"/>
    </row>
    <row r="1692" spans="1:25" x14ac:dyDescent="0.2">
      <c r="A1692" s="3" t="s">
        <v>3950</v>
      </c>
      <c r="B1692" s="3" t="s">
        <v>3951</v>
      </c>
      <c r="C1692" s="6" t="s">
        <v>356</v>
      </c>
      <c r="D1692" s="6" t="s">
        <v>221</v>
      </c>
      <c r="E1692" s="6" t="s">
        <v>231</v>
      </c>
      <c r="F1692" s="6">
        <v>3037.63</v>
      </c>
      <c r="G1692" s="2">
        <v>12</v>
      </c>
      <c r="H1692" s="61">
        <v>-0.3</v>
      </c>
      <c r="I1692" s="61">
        <v>0.8</v>
      </c>
      <c r="J1692" s="47">
        <f t="shared" si="130"/>
        <v>-1.0250000000000001</v>
      </c>
      <c r="K1692" s="47">
        <f t="shared" si="131"/>
        <v>3.666666666666667</v>
      </c>
      <c r="L1692" s="8">
        <v>0.85</v>
      </c>
      <c r="M1692" s="8">
        <v>28.57</v>
      </c>
      <c r="N1692" s="8">
        <v>13.21</v>
      </c>
      <c r="O1692" s="17">
        <f t="shared" si="132"/>
        <v>-0.27873170731707314</v>
      </c>
      <c r="P1692" s="17">
        <f t="shared" si="133"/>
        <v>3.6027272727272727E-2</v>
      </c>
      <c r="Q1692" s="17">
        <v>12.44</v>
      </c>
      <c r="R1692" s="9">
        <v>20220817</v>
      </c>
      <c r="S1692" s="9">
        <v>16.920000000000002</v>
      </c>
      <c r="U1692" s="9">
        <v>2805</v>
      </c>
      <c r="V1692" s="45">
        <f t="shared" si="134"/>
        <v>-1</v>
      </c>
      <c r="X1692" s="12">
        <v>0</v>
      </c>
      <c r="Y1692" s="62"/>
    </row>
    <row r="1693" spans="1:25" x14ac:dyDescent="0.2">
      <c r="A1693" s="3" t="s">
        <v>3952</v>
      </c>
      <c r="B1693" s="3" t="s">
        <v>1632</v>
      </c>
      <c r="C1693" s="6" t="s">
        <v>355</v>
      </c>
      <c r="D1693" s="6" t="s">
        <v>227</v>
      </c>
      <c r="E1693" s="6" t="s">
        <v>119</v>
      </c>
      <c r="F1693" s="6">
        <v>4009.21</v>
      </c>
      <c r="G1693" s="2">
        <v>1</v>
      </c>
      <c r="H1693" s="61">
        <v>2.61</v>
      </c>
      <c r="I1693" s="61">
        <v>3.38</v>
      </c>
      <c r="J1693" s="47">
        <f t="shared" si="130"/>
        <v>1.6099999999999999</v>
      </c>
      <c r="K1693" s="47">
        <f t="shared" si="131"/>
        <v>0.29501915708812265</v>
      </c>
      <c r="L1693" s="8">
        <v>3.79</v>
      </c>
      <c r="M1693" s="8">
        <v>23.87</v>
      </c>
      <c r="N1693" s="8">
        <v>18.489999999999998</v>
      </c>
      <c r="O1693" s="17">
        <f t="shared" si="132"/>
        <v>0.14826086956521739</v>
      </c>
      <c r="P1693" s="17">
        <f t="shared" si="133"/>
        <v>0.62673896103896087</v>
      </c>
      <c r="Q1693" s="17">
        <v>16.48</v>
      </c>
      <c r="R1693" s="9">
        <v>20220601</v>
      </c>
      <c r="S1693" s="9">
        <v>17.89</v>
      </c>
      <c r="T1693" s="9">
        <v>3.22</v>
      </c>
      <c r="U1693" s="9">
        <v>840.04199000000006</v>
      </c>
      <c r="V1693" s="45">
        <f t="shared" si="134"/>
        <v>-0.99616685827812013</v>
      </c>
      <c r="W1693" s="12">
        <v>1.45</v>
      </c>
      <c r="X1693" s="12">
        <v>0</v>
      </c>
      <c r="Y1693" s="62">
        <v>1.23</v>
      </c>
    </row>
    <row r="1694" spans="1:25" x14ac:dyDescent="0.2">
      <c r="A1694" s="3" t="s">
        <v>3953</v>
      </c>
      <c r="B1694" s="3" t="s">
        <v>1633</v>
      </c>
      <c r="C1694" s="6" t="s">
        <v>354</v>
      </c>
      <c r="D1694" s="6" t="s">
        <v>1272</v>
      </c>
      <c r="E1694" s="6" t="s">
        <v>146</v>
      </c>
      <c r="F1694" s="6">
        <v>11703.37</v>
      </c>
      <c r="G1694" s="2">
        <v>12</v>
      </c>
      <c r="H1694" s="61">
        <v>14.49</v>
      </c>
      <c r="I1694" s="61">
        <v>15.74</v>
      </c>
      <c r="J1694" s="47">
        <f t="shared" si="130"/>
        <v>0.20750000000000002</v>
      </c>
      <c r="K1694" s="47">
        <f t="shared" si="131"/>
        <v>8.6266390614216704E-2</v>
      </c>
      <c r="L1694" s="8">
        <v>16.57</v>
      </c>
      <c r="M1694" s="8">
        <v>14.21</v>
      </c>
      <c r="N1694" s="8">
        <v>13.93</v>
      </c>
      <c r="O1694" s="17">
        <f t="shared" si="132"/>
        <v>0.68481927710843382</v>
      </c>
      <c r="P1694" s="17">
        <f t="shared" si="133"/>
        <v>1.6147655999999999</v>
      </c>
      <c r="Q1694" s="17">
        <v>13.23</v>
      </c>
      <c r="R1694" s="9">
        <v>20220728</v>
      </c>
      <c r="S1694" s="9">
        <v>20.34</v>
      </c>
      <c r="T1694" s="9">
        <v>2.61</v>
      </c>
      <c r="U1694" s="9">
        <v>4406.1328100000001</v>
      </c>
      <c r="V1694" s="45">
        <f t="shared" si="134"/>
        <v>-0.99940764381997838</v>
      </c>
      <c r="W1694" s="12">
        <v>8.6999999999999993</v>
      </c>
      <c r="X1694" s="12">
        <v>2.59</v>
      </c>
      <c r="Y1694" s="62">
        <v>1.77</v>
      </c>
    </row>
    <row r="1695" spans="1:25" x14ac:dyDescent="0.2">
      <c r="A1695" s="3" t="s">
        <v>3954</v>
      </c>
      <c r="B1695" s="3" t="s">
        <v>1634</v>
      </c>
      <c r="C1695" s="6" t="s">
        <v>354</v>
      </c>
      <c r="D1695" s="6" t="s">
        <v>177</v>
      </c>
      <c r="E1695" s="6" t="s">
        <v>119</v>
      </c>
      <c r="F1695" s="6">
        <v>24233.96</v>
      </c>
      <c r="G1695" s="2">
        <v>12</v>
      </c>
      <c r="H1695" s="61">
        <v>0.35</v>
      </c>
      <c r="I1695" s="61">
        <v>0.18</v>
      </c>
      <c r="J1695" s="47">
        <f t="shared" si="130"/>
        <v>-0.97083333333333333</v>
      </c>
      <c r="K1695" s="47">
        <f t="shared" si="131"/>
        <v>-0.48571428571428571</v>
      </c>
      <c r="L1695" s="8">
        <v>0.65</v>
      </c>
      <c r="M1695" s="8">
        <v>31.51</v>
      </c>
      <c r="N1695" s="8">
        <v>80.78</v>
      </c>
      <c r="O1695" s="17">
        <f t="shared" si="132"/>
        <v>-0.32456652360515026</v>
      </c>
      <c r="P1695" s="17">
        <f t="shared" si="133"/>
        <v>-1.6631176470588236</v>
      </c>
      <c r="Q1695" s="17">
        <v>22.63</v>
      </c>
      <c r="R1695" s="9">
        <v>20220728</v>
      </c>
      <c r="S1695" s="9">
        <v>-16.37</v>
      </c>
      <c r="T1695" s="9">
        <v>49.23</v>
      </c>
      <c r="U1695" s="9">
        <v>5349.0180600000003</v>
      </c>
      <c r="V1695" s="45">
        <f t="shared" si="134"/>
        <v>-0.99079644161829594</v>
      </c>
      <c r="W1695" s="12">
        <v>-29.41</v>
      </c>
      <c r="X1695" s="12">
        <v>0</v>
      </c>
      <c r="Y1695" s="62">
        <v>3.67</v>
      </c>
    </row>
    <row r="1696" spans="1:25" x14ac:dyDescent="0.2">
      <c r="A1696" s="3" t="s">
        <v>3955</v>
      </c>
      <c r="B1696" s="3" t="s">
        <v>1635</v>
      </c>
      <c r="C1696" s="6" t="s">
        <v>354</v>
      </c>
      <c r="D1696" s="6" t="s">
        <v>240</v>
      </c>
      <c r="E1696" s="6" t="s">
        <v>237</v>
      </c>
      <c r="F1696" s="6">
        <v>4271.91</v>
      </c>
      <c r="G1696" s="2">
        <v>12</v>
      </c>
      <c r="H1696" s="61">
        <v>2.17</v>
      </c>
      <c r="I1696" s="61">
        <v>2.67</v>
      </c>
      <c r="J1696" s="47">
        <f t="shared" si="130"/>
        <v>-0.81916666666666671</v>
      </c>
      <c r="K1696" s="47">
        <f t="shared" si="131"/>
        <v>0.2304147465437788</v>
      </c>
      <c r="L1696" s="8">
        <v>2.38</v>
      </c>
      <c r="M1696" s="8">
        <v>9.42</v>
      </c>
      <c r="N1696" s="8">
        <v>8.99</v>
      </c>
      <c r="O1696" s="17">
        <f t="shared" si="132"/>
        <v>-0.11499491353001016</v>
      </c>
      <c r="P1696" s="17">
        <f t="shared" si="133"/>
        <v>0.39016600000000001</v>
      </c>
      <c r="Q1696" s="17">
        <v>10.1</v>
      </c>
      <c r="R1696" s="9">
        <v>20220804</v>
      </c>
      <c r="S1696" s="9">
        <v>19.29</v>
      </c>
      <c r="T1696" s="9">
        <v>4.0999999999999996</v>
      </c>
      <c r="U1696" s="9">
        <v>6659.3041899999998</v>
      </c>
      <c r="V1696" s="45">
        <f t="shared" si="134"/>
        <v>-0.99938432006062172</v>
      </c>
      <c r="W1696" s="12">
        <v>9.6199999999999992</v>
      </c>
      <c r="X1696" s="12">
        <v>1.33</v>
      </c>
      <c r="Y1696" s="62">
        <v>2.08</v>
      </c>
    </row>
    <row r="1697" spans="1:25" x14ac:dyDescent="0.2">
      <c r="A1697" s="3" t="s">
        <v>2277</v>
      </c>
      <c r="B1697" s="3" t="s">
        <v>2278</v>
      </c>
      <c r="C1697" s="6" t="s">
        <v>356</v>
      </c>
      <c r="D1697" s="6" t="s">
        <v>213</v>
      </c>
      <c r="E1697" s="6" t="s">
        <v>163</v>
      </c>
      <c r="F1697" s="6">
        <v>10944.35</v>
      </c>
      <c r="G1697" s="2">
        <v>6</v>
      </c>
      <c r="H1697" s="61"/>
      <c r="I1697" s="61"/>
      <c r="J1697" s="47">
        <f t="shared" si="130"/>
        <v>-1</v>
      </c>
      <c r="K1697" s="47" t="e">
        <f t="shared" si="131"/>
        <v>#DIV/0!</v>
      </c>
      <c r="O1697" s="17">
        <f t="shared" si="132"/>
        <v>0</v>
      </c>
      <c r="P1697" s="17" t="e">
        <f t="shared" si="133"/>
        <v>#DIV/0!</v>
      </c>
      <c r="Q1697" s="17"/>
      <c r="V1697" s="45" t="e">
        <f t="shared" si="134"/>
        <v>#DIV/0!</v>
      </c>
      <c r="X1697" s="12">
        <v>2.37</v>
      </c>
      <c r="Y1697" s="62"/>
    </row>
    <row r="1698" spans="1:25" x14ac:dyDescent="0.2">
      <c r="A1698" s="3" t="s">
        <v>3956</v>
      </c>
      <c r="B1698" s="3" t="s">
        <v>1636</v>
      </c>
      <c r="C1698" s="6" t="s">
        <v>354</v>
      </c>
      <c r="D1698" s="6" t="s">
        <v>193</v>
      </c>
      <c r="E1698" s="6" t="s">
        <v>208</v>
      </c>
      <c r="F1698" s="6">
        <v>14359.27</v>
      </c>
      <c r="G1698" s="2">
        <v>12</v>
      </c>
      <c r="H1698" s="61">
        <v>1.63</v>
      </c>
      <c r="I1698" s="61">
        <v>1.73</v>
      </c>
      <c r="J1698" s="47">
        <f t="shared" si="130"/>
        <v>-0.86416666666666675</v>
      </c>
      <c r="K1698" s="47">
        <f t="shared" si="131"/>
        <v>6.1349693251533798E-2</v>
      </c>
      <c r="L1698" s="8">
        <v>1.92</v>
      </c>
      <c r="N1698" s="8">
        <v>19.03</v>
      </c>
      <c r="O1698" s="17">
        <f t="shared" si="132"/>
        <v>0</v>
      </c>
      <c r="P1698" s="17">
        <f t="shared" si="133"/>
        <v>3.1018899999999974</v>
      </c>
      <c r="Q1698" s="17">
        <v>17.100000000000001</v>
      </c>
      <c r="U1698" s="9">
        <v>5320.1899400000002</v>
      </c>
      <c r="V1698" s="45">
        <f t="shared" si="134"/>
        <v>-1</v>
      </c>
      <c r="X1698" s="12">
        <v>2.75</v>
      </c>
      <c r="Y1698" s="62">
        <v>2.2999999999999998</v>
      </c>
    </row>
    <row r="1699" spans="1:25" x14ac:dyDescent="0.2">
      <c r="A1699" s="3" t="s">
        <v>3957</v>
      </c>
      <c r="B1699" s="3" t="s">
        <v>1637</v>
      </c>
      <c r="C1699" s="6" t="s">
        <v>354</v>
      </c>
      <c r="D1699" s="6" t="s">
        <v>177</v>
      </c>
      <c r="E1699" s="6" t="s">
        <v>119</v>
      </c>
      <c r="F1699" s="6">
        <v>39891.279999999999</v>
      </c>
      <c r="G1699" s="2">
        <v>1</v>
      </c>
      <c r="H1699" s="61">
        <v>-0.08</v>
      </c>
      <c r="I1699" s="61">
        <v>0.13</v>
      </c>
      <c r="J1699" s="47">
        <f t="shared" si="130"/>
        <v>-1.08</v>
      </c>
      <c r="K1699" s="47">
        <f t="shared" si="131"/>
        <v>2.625</v>
      </c>
      <c r="L1699" s="8">
        <v>0.33</v>
      </c>
      <c r="M1699" s="8">
        <v>975.39</v>
      </c>
      <c r="N1699" s="8">
        <v>1009.91</v>
      </c>
      <c r="O1699" s="17">
        <f t="shared" si="132"/>
        <v>-9.0313888888888894</v>
      </c>
      <c r="P1699" s="17">
        <f t="shared" si="133"/>
        <v>3.8472761904761903</v>
      </c>
      <c r="Q1699" s="17">
        <v>381.67</v>
      </c>
      <c r="R1699" s="9">
        <v>20220824</v>
      </c>
      <c r="S1699" s="9">
        <v>-12.67</v>
      </c>
      <c r="U1699" s="9">
        <v>2012.4689900000001</v>
      </c>
      <c r="V1699" s="45">
        <f t="shared" si="134"/>
        <v>-1</v>
      </c>
      <c r="W1699" s="12">
        <v>200</v>
      </c>
      <c r="X1699" s="12">
        <v>0</v>
      </c>
      <c r="Y1699" s="62"/>
    </row>
    <row r="1700" spans="1:25" x14ac:dyDescent="0.2">
      <c r="A1700" s="3" t="s">
        <v>3958</v>
      </c>
      <c r="B1700" s="3" t="s">
        <v>1638</v>
      </c>
      <c r="C1700" s="6" t="s">
        <v>354</v>
      </c>
      <c r="D1700" s="6" t="s">
        <v>632</v>
      </c>
      <c r="E1700" s="6" t="s">
        <v>218</v>
      </c>
      <c r="F1700" s="6">
        <v>63998.239999999998</v>
      </c>
      <c r="G1700" s="2">
        <v>12</v>
      </c>
      <c r="H1700" s="61">
        <v>9.34</v>
      </c>
      <c r="I1700" s="61">
        <v>10.1</v>
      </c>
      <c r="J1700" s="47">
        <f t="shared" si="130"/>
        <v>-0.22166666666666668</v>
      </c>
      <c r="K1700" s="47">
        <f t="shared" si="131"/>
        <v>8.1370449678800832E-2</v>
      </c>
      <c r="L1700" s="8">
        <v>10.64</v>
      </c>
      <c r="M1700" s="8">
        <v>5.43</v>
      </c>
      <c r="N1700" s="8">
        <v>5.23</v>
      </c>
      <c r="O1700" s="17">
        <f t="shared" si="132"/>
        <v>-0.24496240601503758</v>
      </c>
      <c r="P1700" s="17">
        <f t="shared" si="133"/>
        <v>0.6427394736842108</v>
      </c>
      <c r="Q1700" s="17">
        <v>4.97</v>
      </c>
      <c r="R1700" s="9">
        <v>20220901</v>
      </c>
      <c r="S1700" s="9">
        <v>8.23</v>
      </c>
      <c r="T1700" s="9">
        <v>-3.06</v>
      </c>
      <c r="U1700" s="9">
        <v>537332.125</v>
      </c>
      <c r="V1700" s="45">
        <f t="shared" si="134"/>
        <v>-1.0000056948018883</v>
      </c>
      <c r="X1700" s="12">
        <v>7.57</v>
      </c>
      <c r="Y1700" s="62">
        <v>1.6</v>
      </c>
    </row>
    <row r="1701" spans="1:25" x14ac:dyDescent="0.2">
      <c r="A1701" s="3" t="s">
        <v>3959</v>
      </c>
      <c r="B1701" s="3" t="s">
        <v>1639</v>
      </c>
      <c r="C1701" s="6" t="s">
        <v>355</v>
      </c>
      <c r="D1701" s="6" t="s">
        <v>132</v>
      </c>
      <c r="E1701" s="6" t="s">
        <v>119</v>
      </c>
      <c r="F1701" s="6">
        <v>46824.2</v>
      </c>
      <c r="G1701" s="2">
        <v>10</v>
      </c>
      <c r="H1701" s="61">
        <v>6.81</v>
      </c>
      <c r="I1701" s="61">
        <v>8.4700000000000006</v>
      </c>
      <c r="J1701" s="47">
        <f t="shared" si="130"/>
        <v>-0.31900000000000006</v>
      </c>
      <c r="K1701" s="47">
        <f t="shared" si="131"/>
        <v>0.2437591776798827</v>
      </c>
      <c r="L1701" s="8">
        <v>9.7899999999999991</v>
      </c>
      <c r="M1701" s="8">
        <v>35.880000000000003</v>
      </c>
      <c r="N1701" s="8">
        <v>36.14</v>
      </c>
      <c r="O1701" s="17">
        <f t="shared" si="132"/>
        <v>-1.1247648902821314</v>
      </c>
      <c r="P1701" s="17">
        <f t="shared" si="133"/>
        <v>1.482610843373493</v>
      </c>
      <c r="Q1701" s="17">
        <v>31.27</v>
      </c>
      <c r="R1701" s="9">
        <v>20220817</v>
      </c>
      <c r="S1701" s="9">
        <v>18.23</v>
      </c>
      <c r="T1701" s="9">
        <v>11.48</v>
      </c>
      <c r="U1701" s="9">
        <v>4957.5170799999996</v>
      </c>
      <c r="V1701" s="45">
        <f t="shared" si="134"/>
        <v>-0.99768432467004242</v>
      </c>
      <c r="W1701" s="12">
        <v>5.49</v>
      </c>
      <c r="X1701" s="12">
        <v>0</v>
      </c>
      <c r="Y1701" s="62">
        <v>1.85</v>
      </c>
    </row>
    <row r="1702" spans="1:25" x14ac:dyDescent="0.2">
      <c r="A1702" s="3" t="s">
        <v>3960</v>
      </c>
      <c r="B1702" s="3" t="s">
        <v>2041</v>
      </c>
      <c r="C1702" s="6" t="s">
        <v>356</v>
      </c>
      <c r="D1702" s="6" t="s">
        <v>193</v>
      </c>
      <c r="E1702" s="6" t="s">
        <v>208</v>
      </c>
      <c r="F1702" s="6">
        <v>15565</v>
      </c>
      <c r="G1702" s="2">
        <v>12</v>
      </c>
      <c r="H1702" s="61">
        <v>0.69</v>
      </c>
      <c r="I1702" s="61">
        <v>0.78</v>
      </c>
      <c r="J1702" s="47">
        <f t="shared" si="130"/>
        <v>-0.9425</v>
      </c>
      <c r="K1702" s="47">
        <f t="shared" si="131"/>
        <v>0.13043478260869579</v>
      </c>
      <c r="L1702" s="8">
        <v>0.97</v>
      </c>
      <c r="N1702" s="8">
        <v>18.14</v>
      </c>
      <c r="O1702" s="17">
        <f t="shared" si="132"/>
        <v>0</v>
      </c>
      <c r="P1702" s="17">
        <f t="shared" si="133"/>
        <v>1.390733333333332</v>
      </c>
      <c r="Q1702" s="17">
        <v>14.59</v>
      </c>
      <c r="U1702" s="9">
        <v>6901.0898399999996</v>
      </c>
      <c r="V1702" s="45">
        <f t="shared" si="134"/>
        <v>-1</v>
      </c>
      <c r="X1702" s="12">
        <v>0</v>
      </c>
      <c r="Y1702" s="62"/>
    </row>
    <row r="1703" spans="1:25" x14ac:dyDescent="0.2">
      <c r="A1703" s="3" t="s">
        <v>3961</v>
      </c>
      <c r="B1703" s="3" t="s">
        <v>1640</v>
      </c>
      <c r="C1703" s="6" t="s">
        <v>354</v>
      </c>
      <c r="D1703" s="6" t="s">
        <v>106</v>
      </c>
      <c r="E1703" s="6" t="s">
        <v>163</v>
      </c>
      <c r="F1703" s="6">
        <v>6099.96</v>
      </c>
      <c r="G1703" s="2">
        <v>12</v>
      </c>
      <c r="H1703" s="61">
        <v>4.7</v>
      </c>
      <c r="I1703" s="61">
        <v>4.55</v>
      </c>
      <c r="J1703" s="47">
        <f t="shared" si="130"/>
        <v>-0.60833333333333328</v>
      </c>
      <c r="K1703" s="47">
        <f t="shared" si="131"/>
        <v>-3.191489361702135E-2</v>
      </c>
      <c r="L1703" s="8">
        <v>5.12</v>
      </c>
      <c r="M1703" s="8">
        <v>8.69</v>
      </c>
      <c r="N1703" s="8">
        <v>9.23</v>
      </c>
      <c r="O1703" s="17">
        <f t="shared" si="132"/>
        <v>-0.14284931506849316</v>
      </c>
      <c r="P1703" s="17">
        <f t="shared" si="133"/>
        <v>-2.8920666666666599</v>
      </c>
      <c r="Q1703" s="17">
        <v>8.1999999999999993</v>
      </c>
      <c r="R1703" s="9">
        <v>20220719</v>
      </c>
      <c r="S1703" s="9">
        <v>16</v>
      </c>
      <c r="T1703" s="9">
        <v>11.28</v>
      </c>
      <c r="U1703" s="9">
        <v>2103.4279700000002</v>
      </c>
      <c r="V1703" s="45">
        <f t="shared" si="134"/>
        <v>-0.99463732528002835</v>
      </c>
      <c r="W1703" s="12">
        <v>4.8499999999999996</v>
      </c>
      <c r="X1703" s="12">
        <v>3.24</v>
      </c>
      <c r="Y1703" s="62">
        <v>2.64</v>
      </c>
    </row>
    <row r="1704" spans="1:25" x14ac:dyDescent="0.2">
      <c r="A1704" s="3" t="s">
        <v>3962</v>
      </c>
      <c r="B1704" s="3" t="s">
        <v>1641</v>
      </c>
      <c r="C1704" s="6" t="s">
        <v>354</v>
      </c>
      <c r="D1704" s="6" t="s">
        <v>125</v>
      </c>
      <c r="E1704" s="6" t="s">
        <v>119</v>
      </c>
      <c r="F1704" s="6">
        <v>9622.8799999999992</v>
      </c>
      <c r="G1704" s="2">
        <v>11</v>
      </c>
      <c r="H1704" s="61">
        <v>8.9499999999999993</v>
      </c>
      <c r="I1704" s="61">
        <v>11.48</v>
      </c>
      <c r="J1704" s="47">
        <f t="shared" si="130"/>
        <v>-0.18636363636363643</v>
      </c>
      <c r="K1704" s="47">
        <f t="shared" si="131"/>
        <v>0.2826815642458102</v>
      </c>
      <c r="L1704" s="8">
        <v>12.82</v>
      </c>
      <c r="M1704" s="8">
        <v>9.89</v>
      </c>
      <c r="N1704" s="8">
        <v>8.7200000000000006</v>
      </c>
      <c r="O1704" s="17">
        <f t="shared" si="132"/>
        <v>-0.5306829268292681</v>
      </c>
      <c r="P1704" s="17">
        <f t="shared" si="133"/>
        <v>0.30847430830039513</v>
      </c>
      <c r="Q1704" s="17">
        <v>7.81</v>
      </c>
      <c r="R1704" s="9">
        <v>20220623</v>
      </c>
      <c r="S1704" s="9">
        <v>14.87</v>
      </c>
      <c r="T1704" s="9">
        <v>15.28</v>
      </c>
      <c r="U1704" s="9">
        <v>62767.199209999999</v>
      </c>
      <c r="V1704" s="45">
        <f t="shared" si="134"/>
        <v>-0.99975656074841135</v>
      </c>
      <c r="W1704" s="12">
        <v>10.58</v>
      </c>
      <c r="X1704" s="12">
        <v>1.2</v>
      </c>
      <c r="Y1704" s="62">
        <v>0.84</v>
      </c>
    </row>
    <row r="1705" spans="1:25" x14ac:dyDescent="0.2">
      <c r="A1705" s="3" t="s">
        <v>1642</v>
      </c>
      <c r="B1705" s="3" t="s">
        <v>1643</v>
      </c>
      <c r="C1705" s="6" t="s">
        <v>355</v>
      </c>
      <c r="D1705" s="6" t="s">
        <v>179</v>
      </c>
      <c r="E1705" s="6" t="s">
        <v>208</v>
      </c>
      <c r="F1705" s="6">
        <v>140265.39000000001</v>
      </c>
      <c r="G1705" s="2">
        <v>12</v>
      </c>
      <c r="H1705" s="61">
        <v>3.69</v>
      </c>
      <c r="I1705" s="61">
        <v>4.13</v>
      </c>
      <c r="J1705" s="47">
        <f t="shared" si="130"/>
        <v>-0.6925</v>
      </c>
      <c r="K1705" s="47">
        <f t="shared" si="131"/>
        <v>0.1192411924119241</v>
      </c>
      <c r="L1705" s="8">
        <v>4.33</v>
      </c>
      <c r="M1705" s="8">
        <v>13.88</v>
      </c>
      <c r="N1705" s="8">
        <v>13.43</v>
      </c>
      <c r="O1705" s="17">
        <f t="shared" si="132"/>
        <v>-0.20043321299638991</v>
      </c>
      <c r="P1705" s="17">
        <f t="shared" si="133"/>
        <v>1.1262886363636364</v>
      </c>
      <c r="Q1705" s="17">
        <v>12.83</v>
      </c>
      <c r="R1705" s="9">
        <v>20220804</v>
      </c>
      <c r="S1705" s="9">
        <v>25.34</v>
      </c>
      <c r="T1705" s="9">
        <v>2.6</v>
      </c>
      <c r="U1705" s="9">
        <v>45631.511709999999</v>
      </c>
      <c r="V1705" s="45">
        <f t="shared" si="134"/>
        <v>-0.99994302183069184</v>
      </c>
      <c r="W1705" s="12">
        <v>15.96</v>
      </c>
      <c r="X1705" s="12">
        <v>2.27</v>
      </c>
      <c r="Y1705" s="62">
        <v>1.35</v>
      </c>
    </row>
    <row r="1706" spans="1:25" x14ac:dyDescent="0.2">
      <c r="A1706" s="3" t="s">
        <v>3963</v>
      </c>
      <c r="B1706" s="3" t="s">
        <v>1644</v>
      </c>
      <c r="C1706" s="6" t="s">
        <v>354</v>
      </c>
      <c r="D1706" s="6" t="s">
        <v>246</v>
      </c>
      <c r="E1706" s="6" t="s">
        <v>250</v>
      </c>
      <c r="F1706" s="6">
        <v>79997.48</v>
      </c>
      <c r="G1706" s="2">
        <v>12</v>
      </c>
      <c r="H1706" s="61">
        <v>3.39</v>
      </c>
      <c r="I1706" s="61">
        <v>3.56</v>
      </c>
      <c r="J1706" s="47">
        <f t="shared" si="130"/>
        <v>-0.71749999999999992</v>
      </c>
      <c r="K1706" s="47">
        <f t="shared" si="131"/>
        <v>5.014749262536871E-2</v>
      </c>
      <c r="L1706" s="8">
        <v>3.78</v>
      </c>
      <c r="M1706" s="8">
        <v>22.14</v>
      </c>
      <c r="N1706" s="8">
        <v>21.13</v>
      </c>
      <c r="O1706" s="17">
        <f t="shared" si="132"/>
        <v>-0.30857142857142866</v>
      </c>
      <c r="P1706" s="17">
        <f t="shared" si="133"/>
        <v>4.2135705882352958</v>
      </c>
      <c r="Q1706" s="17">
        <v>19.940000000000001</v>
      </c>
      <c r="R1706" s="9">
        <v>20220804</v>
      </c>
      <c r="S1706" s="9">
        <v>11.35</v>
      </c>
      <c r="T1706" s="9">
        <v>-1.3</v>
      </c>
      <c r="U1706" s="9">
        <v>24619.640619999998</v>
      </c>
      <c r="V1706" s="45">
        <f t="shared" si="134"/>
        <v>-1.0000528033702873</v>
      </c>
      <c r="W1706" s="12">
        <v>6.59</v>
      </c>
      <c r="X1706" s="12">
        <v>3.61</v>
      </c>
      <c r="Y1706" s="62">
        <v>5.28</v>
      </c>
    </row>
    <row r="1707" spans="1:25" x14ac:dyDescent="0.2">
      <c r="A1707" s="3" t="s">
        <v>3964</v>
      </c>
      <c r="B1707" s="3" t="s">
        <v>2042</v>
      </c>
      <c r="C1707" s="6" t="s">
        <v>355</v>
      </c>
      <c r="D1707" s="6" t="s">
        <v>233</v>
      </c>
      <c r="E1707" s="6" t="s">
        <v>108</v>
      </c>
      <c r="F1707" s="6">
        <v>5916.14</v>
      </c>
      <c r="G1707" s="2">
        <v>12</v>
      </c>
      <c r="H1707" s="61">
        <v>-1.61</v>
      </c>
      <c r="I1707" s="61">
        <v>-0.45</v>
      </c>
      <c r="J1707" s="47">
        <f t="shared" si="130"/>
        <v>-1.1341666666666665</v>
      </c>
      <c r="K1707" s="47">
        <f t="shared" si="131"/>
        <v>0.72049689440993792</v>
      </c>
      <c r="L1707" s="8">
        <v>-0.21</v>
      </c>
      <c r="O1707" s="17">
        <f t="shared" si="132"/>
        <v>0</v>
      </c>
      <c r="P1707" s="17">
        <f t="shared" si="133"/>
        <v>0</v>
      </c>
      <c r="Q1707" s="17"/>
      <c r="R1707" s="9">
        <v>20220811</v>
      </c>
      <c r="S1707" s="9">
        <v>-9.24</v>
      </c>
      <c r="U1707" s="9">
        <v>1508.47802</v>
      </c>
      <c r="V1707" s="45">
        <f t="shared" si="134"/>
        <v>-1</v>
      </c>
      <c r="W1707" s="12">
        <v>0</v>
      </c>
      <c r="X1707" s="12">
        <v>0</v>
      </c>
      <c r="Y1707" s="62"/>
    </row>
    <row r="1708" spans="1:25" x14ac:dyDescent="0.2">
      <c r="A1708" s="3" t="s">
        <v>1645</v>
      </c>
      <c r="B1708" s="3" t="s">
        <v>1646</v>
      </c>
      <c r="C1708" s="6" t="s">
        <v>356</v>
      </c>
      <c r="D1708" s="6" t="s">
        <v>124</v>
      </c>
      <c r="E1708" s="6" t="s">
        <v>108</v>
      </c>
      <c r="F1708" s="6">
        <v>15518.99</v>
      </c>
      <c r="G1708" s="2">
        <v>3</v>
      </c>
      <c r="H1708" s="61">
        <v>1.04</v>
      </c>
      <c r="I1708" s="61">
        <v>0.98</v>
      </c>
      <c r="J1708" s="47">
        <f t="shared" si="130"/>
        <v>-0.65333333333333332</v>
      </c>
      <c r="K1708" s="47">
        <f t="shared" si="131"/>
        <v>-5.7692307692307744E-2</v>
      </c>
      <c r="L1708" s="8">
        <v>1.01</v>
      </c>
      <c r="M1708" s="8">
        <v>15.99</v>
      </c>
      <c r="N1708" s="8">
        <v>16.97</v>
      </c>
      <c r="O1708" s="17">
        <f t="shared" si="132"/>
        <v>-0.24474489795918369</v>
      </c>
      <c r="P1708" s="17">
        <f t="shared" si="133"/>
        <v>-2.9414666666666638</v>
      </c>
      <c r="Q1708" s="17">
        <v>16.47</v>
      </c>
      <c r="R1708" s="9">
        <v>20220805</v>
      </c>
      <c r="S1708" s="9">
        <v>7.93</v>
      </c>
      <c r="U1708" s="9">
        <v>9670.3896399999994</v>
      </c>
      <c r="V1708" s="45">
        <f t="shared" si="134"/>
        <v>-1</v>
      </c>
      <c r="X1708" s="12">
        <v>1.61</v>
      </c>
      <c r="Y1708" s="62"/>
    </row>
    <row r="1709" spans="1:25" x14ac:dyDescent="0.2">
      <c r="A1709" s="3" t="s">
        <v>1907</v>
      </c>
      <c r="B1709" s="3" t="s">
        <v>1908</v>
      </c>
      <c r="C1709" s="6" t="s">
        <v>356</v>
      </c>
      <c r="D1709" s="6" t="s">
        <v>126</v>
      </c>
      <c r="E1709" s="6" t="s">
        <v>60</v>
      </c>
      <c r="F1709" s="6">
        <v>6855.2</v>
      </c>
      <c r="G1709" s="2">
        <v>3</v>
      </c>
      <c r="H1709" s="61"/>
      <c r="I1709" s="61"/>
      <c r="J1709" s="47">
        <f t="shared" si="130"/>
        <v>-1</v>
      </c>
      <c r="K1709" s="47" t="e">
        <f t="shared" si="131"/>
        <v>#DIV/0!</v>
      </c>
      <c r="M1709" s="8">
        <v>5.0999999999999996</v>
      </c>
      <c r="O1709" s="17">
        <f t="shared" si="132"/>
        <v>-5.0999999999999997E-2</v>
      </c>
      <c r="P1709" s="17" t="e">
        <f t="shared" si="133"/>
        <v>#DIV/0!</v>
      </c>
      <c r="Q1709" s="17"/>
      <c r="R1709" s="9">
        <v>20220802</v>
      </c>
      <c r="S1709" s="9">
        <v>10.199999999999999</v>
      </c>
      <c r="V1709" s="45" t="e">
        <f t="shared" si="134"/>
        <v>#DIV/0!</v>
      </c>
      <c r="X1709" s="12">
        <v>3.1</v>
      </c>
      <c r="Y1709" s="62"/>
    </row>
    <row r="1710" spans="1:25" x14ac:dyDescent="0.2">
      <c r="A1710" s="3" t="s">
        <v>3965</v>
      </c>
      <c r="B1710" s="3" t="s">
        <v>1647</v>
      </c>
      <c r="C1710" s="6" t="s">
        <v>354</v>
      </c>
      <c r="D1710" s="6" t="s">
        <v>137</v>
      </c>
      <c r="E1710" s="6" t="s">
        <v>201</v>
      </c>
      <c r="F1710" s="6">
        <v>5643.87</v>
      </c>
      <c r="G1710" s="2">
        <v>12</v>
      </c>
      <c r="H1710" s="61">
        <v>3.55</v>
      </c>
      <c r="I1710" s="61">
        <v>5.38</v>
      </c>
      <c r="J1710" s="47">
        <f t="shared" si="130"/>
        <v>-0.70416666666666661</v>
      </c>
      <c r="K1710" s="47">
        <f t="shared" si="131"/>
        <v>0.51549295774647896</v>
      </c>
      <c r="L1710" s="8">
        <v>5.25</v>
      </c>
      <c r="M1710" s="8">
        <v>12.86</v>
      </c>
      <c r="N1710" s="8">
        <v>10.76</v>
      </c>
      <c r="O1710" s="17">
        <f t="shared" si="132"/>
        <v>-0.18262721893491127</v>
      </c>
      <c r="P1710" s="17">
        <f t="shared" si="133"/>
        <v>0.20873224043715843</v>
      </c>
      <c r="Q1710" s="17">
        <v>11.02</v>
      </c>
      <c r="R1710" s="9">
        <v>20220721</v>
      </c>
      <c r="S1710" s="9">
        <v>23.98</v>
      </c>
      <c r="T1710" s="9">
        <v>2.4300000000000002</v>
      </c>
      <c r="U1710" s="9">
        <v>7378.6372000000001</v>
      </c>
      <c r="V1710" s="45">
        <f t="shared" si="134"/>
        <v>-0.99967067089299355</v>
      </c>
      <c r="W1710" s="12">
        <v>6.32</v>
      </c>
      <c r="X1710" s="12">
        <v>3.39</v>
      </c>
      <c r="Y1710" s="62">
        <v>2.15</v>
      </c>
    </row>
    <row r="1711" spans="1:25" x14ac:dyDescent="0.2">
      <c r="A1711" s="3" t="s">
        <v>1648</v>
      </c>
      <c r="B1711" s="3" t="s">
        <v>1649</v>
      </c>
      <c r="C1711" s="6" t="s">
        <v>356</v>
      </c>
      <c r="D1711" s="6" t="s">
        <v>191</v>
      </c>
      <c r="E1711" s="6" t="s">
        <v>208</v>
      </c>
      <c r="F1711" s="6">
        <v>21472.22</v>
      </c>
      <c r="G1711" s="2">
        <v>3</v>
      </c>
      <c r="H1711" s="61">
        <v>2.34</v>
      </c>
      <c r="I1711" s="61">
        <v>2.72</v>
      </c>
      <c r="J1711" s="47">
        <f t="shared" si="130"/>
        <v>-0.22000000000000006</v>
      </c>
      <c r="K1711" s="47">
        <f t="shared" si="131"/>
        <v>0.16239316239316254</v>
      </c>
      <c r="L1711" s="8">
        <v>3.03</v>
      </c>
      <c r="N1711" s="8">
        <v>24.99</v>
      </c>
      <c r="O1711" s="17">
        <f t="shared" si="132"/>
        <v>0</v>
      </c>
      <c r="P1711" s="17">
        <f t="shared" si="133"/>
        <v>1.5388578947368408</v>
      </c>
      <c r="Q1711" s="17">
        <v>22.44</v>
      </c>
      <c r="R1711" s="9">
        <v>20220531</v>
      </c>
      <c r="U1711" s="9">
        <v>4210.9199200000003</v>
      </c>
      <c r="V1711" s="45">
        <f t="shared" si="134"/>
        <v>-1</v>
      </c>
      <c r="X1711" s="12">
        <v>0.59</v>
      </c>
      <c r="Y1711" s="62"/>
    </row>
    <row r="1712" spans="1:25" x14ac:dyDescent="0.2">
      <c r="A1712" s="3" t="s">
        <v>3966</v>
      </c>
      <c r="B1712" s="3" t="s">
        <v>1650</v>
      </c>
      <c r="C1712" s="6" t="s">
        <v>356</v>
      </c>
      <c r="D1712" s="6" t="s">
        <v>197</v>
      </c>
      <c r="E1712" s="6" t="s">
        <v>60</v>
      </c>
      <c r="F1712" s="6">
        <v>15614.11</v>
      </c>
      <c r="G1712" s="2">
        <v>6</v>
      </c>
      <c r="H1712" s="61">
        <v>0.63</v>
      </c>
      <c r="I1712" s="61">
        <v>2.73</v>
      </c>
      <c r="J1712" s="47">
        <f t="shared" si="130"/>
        <v>-0.89500000000000002</v>
      </c>
      <c r="K1712" s="47">
        <f t="shared" si="131"/>
        <v>3.3333333333333335</v>
      </c>
      <c r="L1712" s="8">
        <v>3.13</v>
      </c>
      <c r="N1712" s="8">
        <v>6.16</v>
      </c>
      <c r="O1712" s="17">
        <f t="shared" si="132"/>
        <v>0</v>
      </c>
      <c r="P1712" s="17">
        <f t="shared" si="133"/>
        <v>1.848E-2</v>
      </c>
      <c r="Q1712" s="17">
        <v>5.36</v>
      </c>
      <c r="U1712" s="9">
        <v>9156.4697199999991</v>
      </c>
      <c r="V1712" s="45">
        <f t="shared" si="134"/>
        <v>-1</v>
      </c>
      <c r="X1712" s="12">
        <v>4.82</v>
      </c>
      <c r="Y1712" s="62"/>
    </row>
    <row r="1713" spans="1:25" x14ac:dyDescent="0.2">
      <c r="A1713" s="3" t="s">
        <v>3967</v>
      </c>
      <c r="B1713" s="3" t="s">
        <v>1651</v>
      </c>
      <c r="C1713" s="6" t="s">
        <v>354</v>
      </c>
      <c r="D1713" s="6" t="s">
        <v>544</v>
      </c>
      <c r="E1713" s="6" t="s">
        <v>146</v>
      </c>
      <c r="F1713" s="6">
        <v>3636.42</v>
      </c>
      <c r="G1713" s="2">
        <v>9</v>
      </c>
      <c r="H1713" s="61">
        <v>5.99</v>
      </c>
      <c r="I1713" s="61">
        <v>3.93</v>
      </c>
      <c r="J1713" s="47">
        <f t="shared" si="130"/>
        <v>-0.33444444444444443</v>
      </c>
      <c r="K1713" s="47">
        <f t="shared" si="131"/>
        <v>-0.34390651085141904</v>
      </c>
      <c r="L1713" s="8">
        <v>4.84</v>
      </c>
      <c r="M1713" s="8">
        <v>38.770000000000003</v>
      </c>
      <c r="N1713" s="8">
        <v>22.69</v>
      </c>
      <c r="O1713" s="17">
        <f t="shared" si="132"/>
        <v>-1.1592358803986713</v>
      </c>
      <c r="P1713" s="17">
        <f t="shared" si="133"/>
        <v>-0.65977233009708736</v>
      </c>
      <c r="Q1713" s="17">
        <v>18.440000000000001</v>
      </c>
      <c r="R1713" s="9">
        <v>20220805</v>
      </c>
      <c r="S1713" s="9">
        <v>6.89</v>
      </c>
      <c r="T1713" s="9">
        <v>-1.28</v>
      </c>
      <c r="U1713" s="9">
        <v>3484.7451099999998</v>
      </c>
      <c r="V1713" s="45">
        <f t="shared" si="134"/>
        <v>-1.0003673152438974</v>
      </c>
      <c r="W1713" s="12">
        <v>2.5</v>
      </c>
      <c r="X1713" s="12">
        <v>1.88</v>
      </c>
      <c r="Y1713" s="62"/>
    </row>
    <row r="1714" spans="1:25" x14ac:dyDescent="0.2">
      <c r="A1714" s="3" t="s">
        <v>3968</v>
      </c>
      <c r="B1714" s="3" t="s">
        <v>1652</v>
      </c>
      <c r="C1714" s="6" t="s">
        <v>354</v>
      </c>
      <c r="D1714" s="6" t="s">
        <v>217</v>
      </c>
      <c r="E1714" s="6" t="s">
        <v>163</v>
      </c>
      <c r="F1714" s="6">
        <v>36812.620000000003</v>
      </c>
      <c r="G1714" s="2">
        <v>12</v>
      </c>
      <c r="H1714" s="61">
        <v>11.73</v>
      </c>
      <c r="I1714" s="61">
        <v>11.73</v>
      </c>
      <c r="J1714" s="47">
        <f t="shared" si="130"/>
        <v>-2.2499999999999964E-2</v>
      </c>
      <c r="K1714" s="47">
        <f t="shared" si="131"/>
        <v>0</v>
      </c>
      <c r="L1714" s="8">
        <v>12.27</v>
      </c>
      <c r="M1714" s="8">
        <v>9.4</v>
      </c>
      <c r="N1714" s="8">
        <v>9.5500000000000007</v>
      </c>
      <c r="O1714" s="17">
        <f t="shared" si="132"/>
        <v>-4.1777777777777843</v>
      </c>
      <c r="P1714" s="17" t="e">
        <f t="shared" si="133"/>
        <v>#DIV/0!</v>
      </c>
      <c r="Q1714" s="17">
        <v>9.1300000000000008</v>
      </c>
      <c r="R1714" s="9">
        <v>20220801</v>
      </c>
      <c r="S1714" s="9">
        <v>56.67</v>
      </c>
      <c r="T1714" s="9">
        <v>-3.57</v>
      </c>
      <c r="U1714" s="9">
        <v>5240.3398399999996</v>
      </c>
      <c r="V1714" s="45">
        <f t="shared" si="134"/>
        <v>-1.000681253527252</v>
      </c>
      <c r="W1714" s="12">
        <v>1.83</v>
      </c>
      <c r="X1714" s="12">
        <v>5.89</v>
      </c>
      <c r="Y1714" s="62">
        <v>2.62</v>
      </c>
    </row>
    <row r="1715" spans="1:25" x14ac:dyDescent="0.2">
      <c r="A1715" s="3" t="s">
        <v>3969</v>
      </c>
      <c r="B1715" s="3" t="s">
        <v>1653</v>
      </c>
      <c r="C1715" s="6" t="s">
        <v>354</v>
      </c>
      <c r="D1715" s="6" t="s">
        <v>123</v>
      </c>
      <c r="E1715" s="6" t="s">
        <v>108</v>
      </c>
      <c r="F1715" s="6">
        <v>119779.18</v>
      </c>
      <c r="G1715" s="2">
        <v>12</v>
      </c>
      <c r="H1715" s="61">
        <v>13.67</v>
      </c>
      <c r="I1715" s="61">
        <v>13.08</v>
      </c>
      <c r="J1715" s="47">
        <f t="shared" si="130"/>
        <v>0.13916666666666666</v>
      </c>
      <c r="K1715" s="47">
        <f t="shared" si="131"/>
        <v>-4.3160204828090701E-2</v>
      </c>
      <c r="L1715" s="8">
        <v>15.6</v>
      </c>
      <c r="M1715" s="8">
        <v>26.7</v>
      </c>
      <c r="N1715" s="8">
        <v>26.95</v>
      </c>
      <c r="O1715" s="17">
        <f t="shared" si="132"/>
        <v>1.9185628742514971</v>
      </c>
      <c r="P1715" s="17">
        <f t="shared" si="133"/>
        <v>-6.2441779661016961</v>
      </c>
      <c r="Q1715" s="17">
        <v>22.6</v>
      </c>
      <c r="R1715" s="9">
        <v>20220804</v>
      </c>
      <c r="S1715" s="9">
        <v>31.07</v>
      </c>
      <c r="T1715" s="9">
        <v>8.34</v>
      </c>
      <c r="U1715" s="9">
        <v>12562.188469999999</v>
      </c>
      <c r="V1715" s="45">
        <f t="shared" si="134"/>
        <v>-0.9993361029393949</v>
      </c>
      <c r="W1715" s="12">
        <v>-3.67</v>
      </c>
      <c r="X1715" s="12">
        <v>0.96</v>
      </c>
      <c r="Y1715" s="62">
        <v>2.25</v>
      </c>
    </row>
    <row r="1716" spans="1:25" x14ac:dyDescent="0.2">
      <c r="A1716" s="3" t="s">
        <v>3970</v>
      </c>
      <c r="B1716" s="3" t="s">
        <v>1654</v>
      </c>
      <c r="C1716" s="6" t="s">
        <v>356</v>
      </c>
      <c r="D1716" s="6" t="s">
        <v>641</v>
      </c>
      <c r="E1716" s="6" t="s">
        <v>250</v>
      </c>
      <c r="F1716" s="6">
        <v>5711.15</v>
      </c>
      <c r="G1716" s="2">
        <v>6</v>
      </c>
      <c r="H1716" s="61">
        <v>0.81</v>
      </c>
      <c r="I1716" s="61">
        <v>0.76</v>
      </c>
      <c r="J1716" s="47">
        <f t="shared" si="130"/>
        <v>-0.86499999999999988</v>
      </c>
      <c r="K1716" s="47">
        <f t="shared" si="131"/>
        <v>-6.1728395061728447E-2</v>
      </c>
      <c r="L1716" s="8">
        <v>0.76</v>
      </c>
      <c r="N1716" s="8">
        <v>20.13</v>
      </c>
      <c r="O1716" s="17">
        <f t="shared" si="132"/>
        <v>0</v>
      </c>
      <c r="P1716" s="17">
        <f t="shared" si="133"/>
        <v>-3.261059999999997</v>
      </c>
      <c r="Q1716" s="17">
        <v>20.13</v>
      </c>
      <c r="V1716" s="45" t="e">
        <f t="shared" si="134"/>
        <v>#DIV/0!</v>
      </c>
      <c r="X1716" s="12">
        <v>4.51</v>
      </c>
      <c r="Y1716" s="62">
        <v>7.86</v>
      </c>
    </row>
    <row r="1717" spans="1:25" x14ac:dyDescent="0.2">
      <c r="A1717" s="3" t="s">
        <v>3971</v>
      </c>
      <c r="B1717" s="3" t="s">
        <v>1655</v>
      </c>
      <c r="C1717" s="6" t="s">
        <v>355</v>
      </c>
      <c r="D1717" s="6" t="s">
        <v>177</v>
      </c>
      <c r="E1717" s="6" t="s">
        <v>119</v>
      </c>
      <c r="F1717" s="6">
        <v>16415.54</v>
      </c>
      <c r="G1717" s="2">
        <v>1</v>
      </c>
      <c r="H1717" s="61">
        <v>-2.09</v>
      </c>
      <c r="I1717" s="61">
        <v>-0.18</v>
      </c>
      <c r="J1717" s="47">
        <f t="shared" si="130"/>
        <v>-3.09</v>
      </c>
      <c r="K1717" s="47">
        <f t="shared" si="131"/>
        <v>0.9138755980861244</v>
      </c>
      <c r="L1717" s="8">
        <v>0.55000000000000004</v>
      </c>
      <c r="O1717" s="17">
        <f t="shared" si="132"/>
        <v>0</v>
      </c>
      <c r="P1717" s="17">
        <f t="shared" si="133"/>
        <v>0</v>
      </c>
      <c r="Q1717" s="17">
        <v>184.2</v>
      </c>
      <c r="R1717" s="9">
        <v>20220824</v>
      </c>
      <c r="S1717" s="9">
        <v>-169</v>
      </c>
      <c r="T1717" s="9">
        <v>13.51</v>
      </c>
      <c r="U1717" s="9">
        <v>3264.5039000000002</v>
      </c>
      <c r="V1717" s="45">
        <f t="shared" si="134"/>
        <v>-0.99586154576197616</v>
      </c>
      <c r="W1717" s="12">
        <v>55.56</v>
      </c>
      <c r="X1717" s="12">
        <v>0</v>
      </c>
      <c r="Y1717" s="62"/>
    </row>
    <row r="1718" spans="1:25" x14ac:dyDescent="0.2">
      <c r="A1718" s="3" t="s">
        <v>3972</v>
      </c>
      <c r="B1718" s="3" t="s">
        <v>1656</v>
      </c>
      <c r="C1718" s="6" t="s">
        <v>354</v>
      </c>
      <c r="D1718" s="6" t="s">
        <v>233</v>
      </c>
      <c r="E1718" s="6" t="s">
        <v>108</v>
      </c>
      <c r="F1718" s="6">
        <v>20660.919999999998</v>
      </c>
      <c r="G1718" s="2">
        <v>12</v>
      </c>
      <c r="H1718" s="61">
        <v>-1.32</v>
      </c>
      <c r="I1718" s="61">
        <v>-0.59</v>
      </c>
      <c r="J1718" s="47">
        <f t="shared" si="130"/>
        <v>-1.1100000000000001</v>
      </c>
      <c r="K1718" s="47">
        <f t="shared" si="131"/>
        <v>0.55303030303030309</v>
      </c>
      <c r="L1718" s="8">
        <v>-0.21</v>
      </c>
      <c r="O1718" s="17">
        <f t="shared" si="132"/>
        <v>0</v>
      </c>
      <c r="P1718" s="17">
        <f t="shared" si="133"/>
        <v>0</v>
      </c>
      <c r="Q1718" s="17"/>
      <c r="R1718" s="9">
        <v>20220727</v>
      </c>
      <c r="S1718" s="9">
        <v>3.02</v>
      </c>
      <c r="T1718" s="9">
        <v>22.84</v>
      </c>
      <c r="U1718" s="9">
        <v>12449.940420000001</v>
      </c>
      <c r="V1718" s="45">
        <f t="shared" si="134"/>
        <v>-0.99816545306808779</v>
      </c>
      <c r="W1718" s="12">
        <v>192.31</v>
      </c>
      <c r="X1718" s="12">
        <v>0</v>
      </c>
      <c r="Y1718" s="62"/>
    </row>
    <row r="1719" spans="1:25" x14ac:dyDescent="0.2">
      <c r="A1719" s="3" t="s">
        <v>3973</v>
      </c>
      <c r="B1719" s="3" t="s">
        <v>1657</v>
      </c>
      <c r="C1719" s="6" t="s">
        <v>354</v>
      </c>
      <c r="D1719" s="6" t="s">
        <v>24</v>
      </c>
      <c r="E1719" s="6" t="s">
        <v>10</v>
      </c>
      <c r="F1719" s="6">
        <v>3218.76</v>
      </c>
      <c r="G1719" s="2">
        <v>12</v>
      </c>
      <c r="H1719" s="61">
        <v>-3.25</v>
      </c>
      <c r="I1719" s="61">
        <v>-0.12</v>
      </c>
      <c r="J1719" s="47">
        <f t="shared" si="130"/>
        <v>-1.2708333333333333</v>
      </c>
      <c r="K1719" s="47">
        <f t="shared" si="131"/>
        <v>0.96307692307692305</v>
      </c>
      <c r="L1719" s="8">
        <v>2.0699999999999998</v>
      </c>
      <c r="O1719" s="17">
        <f t="shared" si="132"/>
        <v>0</v>
      </c>
      <c r="P1719" s="17">
        <f t="shared" si="133"/>
        <v>0</v>
      </c>
      <c r="Q1719" s="17">
        <v>14.84</v>
      </c>
      <c r="R1719" s="9">
        <v>20220803</v>
      </c>
      <c r="S1719" s="9">
        <v>-51.61</v>
      </c>
      <c r="T1719" s="9">
        <v>-15.65</v>
      </c>
      <c r="U1719" s="9">
        <v>5134.6801699999996</v>
      </c>
      <c r="V1719" s="45">
        <f t="shared" si="134"/>
        <v>-1.0030479016183786</v>
      </c>
      <c r="W1719" s="12">
        <v>104.92</v>
      </c>
      <c r="X1719" s="12">
        <v>0.13</v>
      </c>
      <c r="Y1719" s="62"/>
    </row>
    <row r="1720" spans="1:25" x14ac:dyDescent="0.2">
      <c r="A1720" s="3" t="s">
        <v>3974</v>
      </c>
      <c r="B1720" s="3" t="s">
        <v>1658</v>
      </c>
      <c r="C1720" s="6" t="s">
        <v>355</v>
      </c>
      <c r="D1720" s="6" t="s">
        <v>124</v>
      </c>
      <c r="E1720" s="6" t="s">
        <v>108</v>
      </c>
      <c r="F1720" s="6">
        <v>3780.79</v>
      </c>
      <c r="G1720" s="2">
        <v>12</v>
      </c>
      <c r="H1720" s="61">
        <v>1.77</v>
      </c>
      <c r="I1720" s="61">
        <v>2.08</v>
      </c>
      <c r="J1720" s="47">
        <f t="shared" si="130"/>
        <v>-0.85250000000000004</v>
      </c>
      <c r="K1720" s="47">
        <f t="shared" si="131"/>
        <v>0.17514124293785313</v>
      </c>
      <c r="L1720" s="8">
        <v>2.42</v>
      </c>
      <c r="M1720" s="8">
        <v>53.93</v>
      </c>
      <c r="N1720" s="8">
        <v>50.24</v>
      </c>
      <c r="O1720" s="17">
        <f t="shared" si="132"/>
        <v>-0.63260997067448677</v>
      </c>
      <c r="P1720" s="17">
        <f t="shared" si="133"/>
        <v>2.8685419354838708</v>
      </c>
      <c r="Q1720" s="17">
        <v>43.28</v>
      </c>
      <c r="R1720" s="9">
        <v>20220804</v>
      </c>
      <c r="S1720" s="9">
        <v>10.33</v>
      </c>
      <c r="T1720" s="9">
        <v>14.17</v>
      </c>
      <c r="U1720" s="9">
        <v>445.52499</v>
      </c>
      <c r="V1720" s="45">
        <f t="shared" si="134"/>
        <v>-0.96819482561460801</v>
      </c>
      <c r="W1720" s="12">
        <v>17.02</v>
      </c>
      <c r="X1720" s="12">
        <v>0</v>
      </c>
      <c r="Y1720" s="62"/>
    </row>
    <row r="1721" spans="1:25" x14ac:dyDescent="0.2">
      <c r="B1721" s="3" t="s">
        <v>2279</v>
      </c>
      <c r="C1721" s="6" t="s">
        <v>354</v>
      </c>
      <c r="D1721" s="6" t="s">
        <v>519</v>
      </c>
      <c r="E1721" s="6" t="s">
        <v>163</v>
      </c>
      <c r="F1721" s="6">
        <v>368074.16</v>
      </c>
      <c r="G1721" s="2">
        <v>12</v>
      </c>
      <c r="H1721" s="61"/>
      <c r="I1721" s="61"/>
      <c r="J1721" s="47">
        <f t="shared" si="130"/>
        <v>-1</v>
      </c>
      <c r="K1721" s="47" t="e">
        <f t="shared" si="131"/>
        <v>#DIV/0!</v>
      </c>
      <c r="O1721" s="17">
        <f t="shared" si="132"/>
        <v>0</v>
      </c>
      <c r="P1721" s="17" t="e">
        <f t="shared" si="133"/>
        <v>#DIV/0!</v>
      </c>
      <c r="Q1721" s="17"/>
      <c r="V1721" s="45" t="e">
        <f t="shared" si="134"/>
        <v>#DIV/0!</v>
      </c>
      <c r="X1721" s="12">
        <v>1.43</v>
      </c>
      <c r="Y1721" s="62"/>
    </row>
    <row r="1722" spans="1:25" x14ac:dyDescent="0.2">
      <c r="A1722" s="3" t="s">
        <v>3975</v>
      </c>
      <c r="B1722" s="3" t="s">
        <v>1659</v>
      </c>
      <c r="C1722" s="6" t="s">
        <v>354</v>
      </c>
      <c r="D1722" s="6" t="s">
        <v>233</v>
      </c>
      <c r="E1722" s="6" t="s">
        <v>108</v>
      </c>
      <c r="F1722" s="6">
        <v>48382.64</v>
      </c>
      <c r="G1722" s="2">
        <v>12</v>
      </c>
      <c r="H1722" s="61">
        <v>1.63</v>
      </c>
      <c r="I1722" s="61">
        <v>0.92</v>
      </c>
      <c r="J1722" s="47">
        <f t="shared" si="130"/>
        <v>-0.86416666666666675</v>
      </c>
      <c r="K1722" s="47">
        <f t="shared" si="131"/>
        <v>-0.4355828220858895</v>
      </c>
      <c r="L1722" s="8">
        <v>1.6</v>
      </c>
      <c r="M1722" s="8">
        <v>56.36</v>
      </c>
      <c r="N1722" s="8">
        <v>90.38</v>
      </c>
      <c r="O1722" s="17">
        <f t="shared" si="132"/>
        <v>-0.65218900675024105</v>
      </c>
      <c r="P1722" s="17">
        <f t="shared" si="133"/>
        <v>-2.0749211267605636</v>
      </c>
      <c r="Q1722" s="17">
        <v>52.15</v>
      </c>
      <c r="R1722" s="9">
        <v>20220801</v>
      </c>
      <c r="S1722" s="9">
        <v>0.74</v>
      </c>
      <c r="T1722" s="9">
        <v>66.599999999999994</v>
      </c>
      <c r="U1722" s="9">
        <v>17997.914059999999</v>
      </c>
      <c r="V1722" s="45">
        <f t="shared" si="134"/>
        <v>-0.99629957117374979</v>
      </c>
      <c r="W1722" s="12">
        <v>50</v>
      </c>
      <c r="X1722" s="12">
        <v>0</v>
      </c>
      <c r="Y1722" s="62">
        <v>6.34</v>
      </c>
    </row>
    <row r="1723" spans="1:25" x14ac:dyDescent="0.2">
      <c r="A1723" s="3" t="s">
        <v>3976</v>
      </c>
      <c r="B1723" s="3" t="s">
        <v>3977</v>
      </c>
      <c r="C1723" s="6" t="s">
        <v>354</v>
      </c>
      <c r="D1723" s="6" t="s">
        <v>315</v>
      </c>
      <c r="E1723" s="6" t="s">
        <v>60</v>
      </c>
      <c r="F1723" s="6">
        <v>28198.880000000001</v>
      </c>
      <c r="G1723" s="2">
        <v>12</v>
      </c>
      <c r="H1723" s="61">
        <v>1.87</v>
      </c>
      <c r="I1723" s="61">
        <v>7.97</v>
      </c>
      <c r="J1723" s="47">
        <f t="shared" si="130"/>
        <v>-0.84416666666666662</v>
      </c>
      <c r="K1723" s="47">
        <f t="shared" si="131"/>
        <v>3.262032085561497</v>
      </c>
      <c r="L1723" s="8">
        <v>8.01</v>
      </c>
      <c r="M1723" s="8">
        <v>23.29</v>
      </c>
      <c r="N1723" s="8">
        <v>13.45</v>
      </c>
      <c r="O1723" s="17">
        <f t="shared" si="132"/>
        <v>-0.27589338598223101</v>
      </c>
      <c r="P1723" s="17">
        <f t="shared" si="133"/>
        <v>4.1231967213114756E-2</v>
      </c>
      <c r="Q1723" s="17">
        <v>13.38</v>
      </c>
      <c r="R1723" s="9">
        <v>20220818</v>
      </c>
      <c r="S1723" s="9">
        <v>40.369999999999997</v>
      </c>
      <c r="T1723" s="9">
        <v>3.69</v>
      </c>
      <c r="U1723" s="9">
        <v>6629.8442299999997</v>
      </c>
      <c r="V1723" s="45">
        <f t="shared" si="134"/>
        <v>-0.99944342583747259</v>
      </c>
      <c r="W1723" s="12">
        <v>126.83</v>
      </c>
      <c r="X1723" s="12">
        <v>0.24</v>
      </c>
      <c r="Y1723" s="62">
        <v>0.76</v>
      </c>
    </row>
    <row r="1724" spans="1:25" x14ac:dyDescent="0.2">
      <c r="A1724" s="3" t="s">
        <v>3978</v>
      </c>
      <c r="B1724" s="3" t="s">
        <v>1660</v>
      </c>
      <c r="C1724" s="6" t="s">
        <v>354</v>
      </c>
      <c r="D1724" s="6" t="s">
        <v>264</v>
      </c>
      <c r="E1724" s="6" t="s">
        <v>250</v>
      </c>
      <c r="F1724" s="6">
        <v>4082.19</v>
      </c>
      <c r="G1724" s="2">
        <v>9</v>
      </c>
      <c r="H1724" s="61">
        <v>4.4800000000000004</v>
      </c>
      <c r="I1724" s="61">
        <v>3.93</v>
      </c>
      <c r="J1724" s="47">
        <f t="shared" si="130"/>
        <v>-0.50222222222222213</v>
      </c>
      <c r="K1724" s="47">
        <f t="shared" si="131"/>
        <v>-0.12276785714285719</v>
      </c>
      <c r="L1724" s="8">
        <v>4.3899999999999997</v>
      </c>
      <c r="M1724" s="8">
        <v>18.21</v>
      </c>
      <c r="N1724" s="8">
        <v>19.920000000000002</v>
      </c>
      <c r="O1724" s="17">
        <f t="shared" si="132"/>
        <v>-0.36258849557522133</v>
      </c>
      <c r="P1724" s="17">
        <f t="shared" si="133"/>
        <v>-1.622574545454545</v>
      </c>
      <c r="Q1724" s="17">
        <v>17.86</v>
      </c>
      <c r="R1724" s="9">
        <v>20220804</v>
      </c>
      <c r="S1724" s="9">
        <v>9.59</v>
      </c>
      <c r="T1724" s="9">
        <v>3.45</v>
      </c>
      <c r="U1724" s="9">
        <v>2133.09301</v>
      </c>
      <c r="V1724" s="45">
        <f t="shared" si="134"/>
        <v>-0.99838263030077634</v>
      </c>
      <c r="W1724" s="12">
        <v>11.04</v>
      </c>
      <c r="X1724" s="12">
        <v>3.5</v>
      </c>
      <c r="Y1724" s="62">
        <v>3.98</v>
      </c>
    </row>
    <row r="1725" spans="1:25" x14ac:dyDescent="0.2">
      <c r="A1725" s="3" t="s">
        <v>3979</v>
      </c>
      <c r="B1725" s="3" t="s">
        <v>1661</v>
      </c>
      <c r="C1725" s="6" t="s">
        <v>354</v>
      </c>
      <c r="D1725" s="6" t="s">
        <v>216</v>
      </c>
      <c r="E1725" s="6" t="s">
        <v>163</v>
      </c>
      <c r="F1725" s="6">
        <v>5544.25</v>
      </c>
      <c r="G1725" s="2">
        <v>12</v>
      </c>
      <c r="H1725" s="61">
        <v>3.31</v>
      </c>
      <c r="I1725" s="61">
        <v>3.55</v>
      </c>
      <c r="J1725" s="47">
        <f t="shared" si="130"/>
        <v>-0.72416666666666663</v>
      </c>
      <c r="K1725" s="47">
        <f t="shared" si="131"/>
        <v>7.2507552870090558E-2</v>
      </c>
      <c r="L1725" s="8">
        <v>3.66</v>
      </c>
      <c r="M1725" s="8">
        <v>12.03</v>
      </c>
      <c r="N1725" s="8">
        <v>11.62</v>
      </c>
      <c r="O1725" s="17">
        <f t="shared" si="132"/>
        <v>-0.16612197928653627</v>
      </c>
      <c r="P1725" s="17">
        <f t="shared" si="133"/>
        <v>1.6025916666666684</v>
      </c>
      <c r="Q1725" s="17">
        <v>11.27</v>
      </c>
      <c r="R1725" s="9">
        <v>20220802</v>
      </c>
      <c r="S1725" s="9">
        <v>5.9</v>
      </c>
      <c r="T1725" s="9">
        <v>-3.04</v>
      </c>
      <c r="U1725" s="9">
        <v>688.80998999999997</v>
      </c>
      <c r="V1725" s="45">
        <f t="shared" si="134"/>
        <v>-1.0044134086963517</v>
      </c>
      <c r="W1725" s="12">
        <v>1.1499999999999999</v>
      </c>
      <c r="X1725" s="12">
        <v>6.18</v>
      </c>
      <c r="Y1725" s="62">
        <v>4.49</v>
      </c>
    </row>
    <row r="1726" spans="1:25" x14ac:dyDescent="0.2">
      <c r="A1726" s="3" t="s">
        <v>3980</v>
      </c>
      <c r="B1726" s="3" t="s">
        <v>1662</v>
      </c>
      <c r="C1726" s="6" t="s">
        <v>355</v>
      </c>
      <c r="D1726" s="6" t="s">
        <v>272</v>
      </c>
      <c r="E1726" s="6" t="s">
        <v>108</v>
      </c>
      <c r="F1726" s="6">
        <v>4560.2</v>
      </c>
      <c r="G1726" s="2">
        <v>12</v>
      </c>
      <c r="H1726" s="61">
        <v>2.2999999999999998</v>
      </c>
      <c r="I1726" s="61">
        <v>2.09</v>
      </c>
      <c r="J1726" s="47">
        <f t="shared" si="130"/>
        <v>-0.80833333333333324</v>
      </c>
      <c r="K1726" s="47">
        <f t="shared" si="131"/>
        <v>-9.1304347826086943E-2</v>
      </c>
      <c r="L1726" s="8">
        <v>2.4900000000000002</v>
      </c>
      <c r="M1726" s="8">
        <v>27.36</v>
      </c>
      <c r="N1726" s="8">
        <v>23.69</v>
      </c>
      <c r="O1726" s="17">
        <f t="shared" si="132"/>
        <v>-0.3384742268041237</v>
      </c>
      <c r="P1726" s="17">
        <f t="shared" si="133"/>
        <v>-2.5946190476190485</v>
      </c>
      <c r="Q1726" s="17">
        <v>19.850000000000001</v>
      </c>
      <c r="R1726" s="9">
        <v>20220805</v>
      </c>
      <c r="S1726" s="9">
        <v>6.84</v>
      </c>
      <c r="T1726" s="9">
        <v>-8.07</v>
      </c>
      <c r="U1726" s="9">
        <v>2708.6498999999999</v>
      </c>
      <c r="V1726" s="45">
        <f t="shared" si="134"/>
        <v>-1.0029793440636239</v>
      </c>
      <c r="W1726" s="12">
        <v>-27.27</v>
      </c>
      <c r="X1726" s="12">
        <v>0</v>
      </c>
      <c r="Y1726" s="62">
        <v>2.96</v>
      </c>
    </row>
    <row r="1727" spans="1:25" x14ac:dyDescent="0.2">
      <c r="A1727" s="3" t="s">
        <v>1663</v>
      </c>
      <c r="B1727" s="3" t="s">
        <v>1664</v>
      </c>
      <c r="C1727" s="6" t="s">
        <v>354</v>
      </c>
      <c r="D1727" s="6" t="s">
        <v>264</v>
      </c>
      <c r="E1727" s="6" t="s">
        <v>250</v>
      </c>
      <c r="F1727" s="6">
        <v>51813.14</v>
      </c>
      <c r="G1727" s="2">
        <v>12</v>
      </c>
      <c r="H1727" s="61">
        <v>8.2899999999999991</v>
      </c>
      <c r="I1727" s="61">
        <v>8.48</v>
      </c>
      <c r="J1727" s="47">
        <f t="shared" si="130"/>
        <v>-0.30916666666666676</v>
      </c>
      <c r="K1727" s="47">
        <f t="shared" si="131"/>
        <v>2.2919179734620182E-2</v>
      </c>
      <c r="L1727" s="8">
        <v>8.91</v>
      </c>
      <c r="M1727" s="8">
        <v>19.63</v>
      </c>
      <c r="N1727" s="8">
        <v>19.440000000000001</v>
      </c>
      <c r="O1727" s="17">
        <f t="shared" si="132"/>
        <v>-0.63493261455525585</v>
      </c>
      <c r="P1727" s="17">
        <f t="shared" si="133"/>
        <v>8.4819789473683631</v>
      </c>
      <c r="Q1727" s="17">
        <v>18.510000000000002</v>
      </c>
      <c r="R1727" s="9">
        <v>20220804</v>
      </c>
      <c r="S1727" s="9">
        <v>10.96</v>
      </c>
      <c r="T1727" s="9">
        <v>2.46</v>
      </c>
      <c r="U1727" s="9">
        <v>13346.0371</v>
      </c>
      <c r="V1727" s="45">
        <f t="shared" si="134"/>
        <v>-0.99981567562104268</v>
      </c>
      <c r="W1727" s="12">
        <v>1.75</v>
      </c>
      <c r="X1727" s="12">
        <v>2.78</v>
      </c>
      <c r="Y1727" s="62">
        <v>3.44</v>
      </c>
    </row>
    <row r="1728" spans="1:25" x14ac:dyDescent="0.2">
      <c r="A1728" s="3" t="s">
        <v>3981</v>
      </c>
      <c r="B1728" s="3" t="s">
        <v>1665</v>
      </c>
      <c r="C1728" s="6" t="s">
        <v>355</v>
      </c>
      <c r="D1728" s="6" t="s">
        <v>185</v>
      </c>
      <c r="E1728" s="6" t="s">
        <v>208</v>
      </c>
      <c r="F1728" s="6">
        <v>6203.82</v>
      </c>
      <c r="G1728" s="2">
        <v>12</v>
      </c>
      <c r="H1728" s="61">
        <v>-5.44</v>
      </c>
      <c r="I1728" s="61">
        <v>-4.53</v>
      </c>
      <c r="J1728" s="47">
        <f t="shared" si="130"/>
        <v>-1.4533333333333334</v>
      </c>
      <c r="K1728" s="47">
        <f t="shared" si="131"/>
        <v>0.1672794117647059</v>
      </c>
      <c r="L1728" s="8">
        <v>-3.15</v>
      </c>
      <c r="O1728" s="17">
        <f t="shared" si="132"/>
        <v>0</v>
      </c>
      <c r="P1728" s="17">
        <f t="shared" si="133"/>
        <v>0</v>
      </c>
      <c r="Q1728" s="17"/>
      <c r="R1728" s="9">
        <v>20220803</v>
      </c>
      <c r="S1728" s="9">
        <v>-52.06</v>
      </c>
      <c r="T1728" s="9">
        <v>43.74</v>
      </c>
      <c r="U1728" s="9">
        <v>889.46501999999998</v>
      </c>
      <c r="V1728" s="45">
        <f t="shared" si="134"/>
        <v>-0.95082437305966228</v>
      </c>
      <c r="W1728" s="12">
        <v>11.11</v>
      </c>
      <c r="X1728" s="12">
        <v>0</v>
      </c>
      <c r="Y1728" s="62"/>
    </row>
    <row r="1729" spans="1:25" x14ac:dyDescent="0.2">
      <c r="A1729" s="3" t="s">
        <v>3982</v>
      </c>
      <c r="B1729" s="3" t="s">
        <v>2043</v>
      </c>
      <c r="C1729" s="6" t="s">
        <v>355</v>
      </c>
      <c r="D1729" s="6" t="s">
        <v>106</v>
      </c>
      <c r="E1729" s="6" t="s">
        <v>163</v>
      </c>
      <c r="F1729" s="6">
        <v>6035.78</v>
      </c>
      <c r="G1729" s="2">
        <v>12</v>
      </c>
      <c r="H1729" s="61">
        <v>7.38</v>
      </c>
      <c r="I1729" s="61">
        <v>6.59</v>
      </c>
      <c r="J1729" s="47">
        <f t="shared" si="130"/>
        <v>-0.38500000000000001</v>
      </c>
      <c r="K1729" s="47">
        <f t="shared" si="131"/>
        <v>-0.10704607046070461</v>
      </c>
      <c r="L1729" s="8">
        <v>7.39</v>
      </c>
      <c r="M1729" s="8">
        <v>11.28</v>
      </c>
      <c r="N1729" s="8">
        <v>12.14</v>
      </c>
      <c r="O1729" s="17">
        <f t="shared" si="132"/>
        <v>-0.29298701298701296</v>
      </c>
      <c r="P1729" s="17">
        <f t="shared" si="133"/>
        <v>-1.1340911392405064</v>
      </c>
      <c r="Q1729" s="17">
        <v>10.83</v>
      </c>
      <c r="R1729" s="9">
        <v>20220722</v>
      </c>
      <c r="S1729" s="9">
        <v>10.33</v>
      </c>
      <c r="T1729" s="9">
        <v>26.65</v>
      </c>
      <c r="U1729" s="9">
        <v>1531.375</v>
      </c>
      <c r="V1729" s="45">
        <f t="shared" si="134"/>
        <v>-0.98259733899273527</v>
      </c>
      <c r="W1729" s="12">
        <v>29.01</v>
      </c>
      <c r="X1729" s="12">
        <v>2.4500000000000002</v>
      </c>
      <c r="Y1729" s="62"/>
    </row>
    <row r="1730" spans="1:25" x14ac:dyDescent="0.2">
      <c r="A1730" s="3" t="s">
        <v>3983</v>
      </c>
      <c r="B1730" s="3" t="s">
        <v>1666</v>
      </c>
      <c r="C1730" s="6" t="s">
        <v>354</v>
      </c>
      <c r="D1730" s="6" t="s">
        <v>121</v>
      </c>
      <c r="E1730" s="6" t="s">
        <v>140</v>
      </c>
      <c r="F1730" s="6">
        <v>4584.88</v>
      </c>
      <c r="G1730" s="2">
        <v>12</v>
      </c>
      <c r="H1730" s="61">
        <v>5.47</v>
      </c>
      <c r="I1730" s="61">
        <v>7.23</v>
      </c>
      <c r="J1730" s="47">
        <f t="shared" si="130"/>
        <v>-0.54416666666666669</v>
      </c>
      <c r="K1730" s="47">
        <f t="shared" si="131"/>
        <v>0.32175502742230361</v>
      </c>
      <c r="L1730" s="8">
        <v>7.46</v>
      </c>
      <c r="M1730" s="8">
        <v>14.86</v>
      </c>
      <c r="N1730" s="8">
        <v>14.69</v>
      </c>
      <c r="O1730" s="17">
        <f t="shared" si="132"/>
        <v>-0.27307810107197544</v>
      </c>
      <c r="P1730" s="17">
        <f t="shared" si="133"/>
        <v>0.45655852272727249</v>
      </c>
      <c r="Q1730" s="17">
        <v>14.24</v>
      </c>
      <c r="R1730" s="9">
        <v>20220725</v>
      </c>
      <c r="S1730" s="9">
        <v>26.86</v>
      </c>
      <c r="T1730" s="9">
        <v>11.7</v>
      </c>
      <c r="V1730" s="45" t="e">
        <f t="shared" si="134"/>
        <v>#DIV/0!</v>
      </c>
      <c r="W1730" s="12">
        <v>37.97</v>
      </c>
      <c r="X1730" s="12">
        <v>0.94</v>
      </c>
      <c r="Y1730" s="62"/>
    </row>
    <row r="1731" spans="1:25" x14ac:dyDescent="0.2">
      <c r="A1731" s="3" t="s">
        <v>3984</v>
      </c>
      <c r="B1731" s="3" t="s">
        <v>3985</v>
      </c>
      <c r="C1731" s="6" t="s">
        <v>356</v>
      </c>
      <c r="D1731" s="6" t="s">
        <v>700</v>
      </c>
      <c r="E1731" s="6" t="s">
        <v>154</v>
      </c>
      <c r="F1731" s="6">
        <v>16446.009999999998</v>
      </c>
      <c r="G1731" s="2">
        <v>12</v>
      </c>
      <c r="H1731" s="61">
        <v>0.79</v>
      </c>
      <c r="I1731" s="61">
        <v>0.88</v>
      </c>
      <c r="J1731" s="47">
        <f t="shared" ref="J1731:J1794" si="135">(H1731-G1731)/ABS(G1731)</f>
        <v>-0.9341666666666667</v>
      </c>
      <c r="K1731" s="47">
        <f t="shared" ref="K1731:K1794" si="136">(I1731-H1731)/ABS(H1731)</f>
        <v>0.11392405063291135</v>
      </c>
      <c r="L1731" s="8">
        <v>1.67</v>
      </c>
      <c r="M1731" s="8">
        <v>588.14</v>
      </c>
      <c r="N1731" s="8">
        <v>46.96</v>
      </c>
      <c r="O1731" s="17">
        <f t="shared" ref="O1731:O1794" si="137">M1731/(J1731*100)</f>
        <v>-6.2958786797502224</v>
      </c>
      <c r="P1731" s="17">
        <f t="shared" ref="P1731:P1794" si="138">N1731/(K1731*100)</f>
        <v>4.1220444444444464</v>
      </c>
      <c r="Q1731" s="17">
        <v>24.65</v>
      </c>
      <c r="R1731" s="9">
        <v>20220804</v>
      </c>
      <c r="S1731" s="9">
        <v>0.61</v>
      </c>
      <c r="T1731" s="9">
        <v>0.21</v>
      </c>
      <c r="U1731" s="9">
        <v>9450.8701099999998</v>
      </c>
      <c r="V1731" s="45">
        <f t="shared" ref="V1731:V1794" si="139">(T1731-U1731)/U1731</f>
        <v>-0.99997777982370351</v>
      </c>
      <c r="W1731" s="12">
        <v>-52.63</v>
      </c>
      <c r="X1731" s="12">
        <v>0.9</v>
      </c>
      <c r="Y1731" s="62">
        <v>1.69</v>
      </c>
    </row>
    <row r="1732" spans="1:25" x14ac:dyDescent="0.2">
      <c r="A1732" s="3" t="s">
        <v>3986</v>
      </c>
      <c r="B1732" s="3" t="s">
        <v>1667</v>
      </c>
      <c r="C1732" s="6" t="s">
        <v>356</v>
      </c>
      <c r="D1732" s="6" t="s">
        <v>987</v>
      </c>
      <c r="E1732" s="6" t="s">
        <v>119</v>
      </c>
      <c r="F1732" s="6">
        <v>24022.17</v>
      </c>
      <c r="G1732" s="2">
        <v>3</v>
      </c>
      <c r="H1732" s="61">
        <v>1.04</v>
      </c>
      <c r="I1732" s="61">
        <v>1.27</v>
      </c>
      <c r="J1732" s="47">
        <f t="shared" si="135"/>
        <v>-0.65333333333333332</v>
      </c>
      <c r="K1732" s="47">
        <f t="shared" si="136"/>
        <v>0.22115384615384612</v>
      </c>
      <c r="L1732" s="8">
        <v>1.08</v>
      </c>
      <c r="N1732" s="8">
        <v>17.559999999999999</v>
      </c>
      <c r="O1732" s="17">
        <f t="shared" si="137"/>
        <v>0</v>
      </c>
      <c r="P1732" s="17">
        <f t="shared" si="138"/>
        <v>0.7940173913043479</v>
      </c>
      <c r="Q1732" s="17">
        <v>20.73</v>
      </c>
      <c r="R1732" s="9">
        <v>20220525</v>
      </c>
      <c r="U1732" s="9">
        <v>17661.269530000001</v>
      </c>
      <c r="V1732" s="45">
        <f t="shared" si="139"/>
        <v>-1</v>
      </c>
      <c r="X1732" s="12">
        <v>2.82</v>
      </c>
      <c r="Y1732" s="62"/>
    </row>
    <row r="1733" spans="1:25" x14ac:dyDescent="0.2">
      <c r="A1733" s="3" t="s">
        <v>3987</v>
      </c>
      <c r="B1733" s="3" t="s">
        <v>1668</v>
      </c>
      <c r="C1733" s="6" t="s">
        <v>354</v>
      </c>
      <c r="D1733" s="6" t="s">
        <v>204</v>
      </c>
      <c r="E1733" s="6" t="s">
        <v>218</v>
      </c>
      <c r="F1733" s="6">
        <v>16211.28</v>
      </c>
      <c r="G1733" s="2">
        <v>6</v>
      </c>
      <c r="H1733" s="61">
        <v>1.95</v>
      </c>
      <c r="I1733" s="61">
        <v>3.96</v>
      </c>
      <c r="J1733" s="47">
        <f t="shared" si="135"/>
        <v>-0.67499999999999993</v>
      </c>
      <c r="K1733" s="47">
        <f t="shared" si="136"/>
        <v>1.0307692307692307</v>
      </c>
      <c r="L1733" s="8">
        <v>4.54</v>
      </c>
      <c r="N1733" s="8">
        <v>6.45</v>
      </c>
      <c r="O1733" s="17">
        <f t="shared" si="137"/>
        <v>0</v>
      </c>
      <c r="P1733" s="17">
        <f t="shared" si="138"/>
        <v>6.2574626865671654E-2</v>
      </c>
      <c r="Q1733" s="17">
        <v>5.63</v>
      </c>
      <c r="V1733" s="45" t="e">
        <f t="shared" si="139"/>
        <v>#DIV/0!</v>
      </c>
      <c r="X1733" s="12">
        <v>0</v>
      </c>
      <c r="Y1733" s="62">
        <v>0.4</v>
      </c>
    </row>
    <row r="1734" spans="1:25" x14ac:dyDescent="0.2">
      <c r="A1734" s="3" t="s">
        <v>3988</v>
      </c>
      <c r="B1734" s="3" t="s">
        <v>2280</v>
      </c>
      <c r="C1734" s="6" t="s">
        <v>356</v>
      </c>
      <c r="D1734" s="6" t="s">
        <v>191</v>
      </c>
      <c r="E1734" s="6" t="s">
        <v>208</v>
      </c>
      <c r="F1734" s="6">
        <v>12965.21</v>
      </c>
      <c r="G1734" s="2">
        <v>3</v>
      </c>
      <c r="H1734" s="61">
        <v>1.85</v>
      </c>
      <c r="I1734" s="61">
        <v>1.0900000000000001</v>
      </c>
      <c r="J1734" s="47">
        <f t="shared" si="135"/>
        <v>-0.3833333333333333</v>
      </c>
      <c r="K1734" s="47">
        <f t="shared" si="136"/>
        <v>-0.41081081081081078</v>
      </c>
      <c r="L1734" s="8">
        <v>1.22</v>
      </c>
      <c r="M1734" s="8">
        <v>32.549999999999997</v>
      </c>
      <c r="N1734" s="8">
        <v>28.37</v>
      </c>
      <c r="O1734" s="17">
        <f t="shared" si="137"/>
        <v>-0.84913043478260875</v>
      </c>
      <c r="P1734" s="17">
        <f t="shared" si="138"/>
        <v>-0.69058552631578951</v>
      </c>
      <c r="Q1734" s="17">
        <v>25.34</v>
      </c>
      <c r="R1734" s="9">
        <v>20220601</v>
      </c>
      <c r="S1734" s="9">
        <v>13.96</v>
      </c>
      <c r="U1734" s="9">
        <v>3735.4499500000002</v>
      </c>
      <c r="V1734" s="45">
        <f t="shared" si="139"/>
        <v>-1</v>
      </c>
      <c r="X1734" s="12">
        <v>0.77</v>
      </c>
      <c r="Y1734" s="62"/>
    </row>
    <row r="1735" spans="1:25" x14ac:dyDescent="0.2">
      <c r="A1735" s="3" t="s">
        <v>3989</v>
      </c>
      <c r="B1735" s="3" t="s">
        <v>1669</v>
      </c>
      <c r="C1735" s="6" t="s">
        <v>355</v>
      </c>
      <c r="D1735" s="6" t="s">
        <v>132</v>
      </c>
      <c r="E1735" s="6" t="s">
        <v>119</v>
      </c>
      <c r="F1735" s="6">
        <v>16249.93</v>
      </c>
      <c r="G1735" s="2">
        <v>12</v>
      </c>
      <c r="H1735" s="61">
        <v>4.9800000000000004</v>
      </c>
      <c r="I1735" s="61">
        <v>5.13</v>
      </c>
      <c r="J1735" s="47">
        <f t="shared" si="135"/>
        <v>-0.58499999999999996</v>
      </c>
      <c r="K1735" s="47">
        <f t="shared" si="136"/>
        <v>3.0120481927710732E-2</v>
      </c>
      <c r="L1735" s="8">
        <v>5.47</v>
      </c>
      <c r="M1735" s="8">
        <v>12.53</v>
      </c>
      <c r="N1735" s="8">
        <v>12.44</v>
      </c>
      <c r="O1735" s="17">
        <f t="shared" si="137"/>
        <v>-0.21418803418803417</v>
      </c>
      <c r="P1735" s="17">
        <f t="shared" si="138"/>
        <v>4.1300800000000146</v>
      </c>
      <c r="Q1735" s="17">
        <v>11.66</v>
      </c>
      <c r="R1735" s="9">
        <v>20220727</v>
      </c>
      <c r="S1735" s="9">
        <v>20.78</v>
      </c>
      <c r="T1735" s="9">
        <v>30.06</v>
      </c>
      <c r="U1735" s="9">
        <v>5400.7529199999999</v>
      </c>
      <c r="V1735" s="45">
        <f t="shared" si="139"/>
        <v>-0.99443410938340049</v>
      </c>
      <c r="W1735" s="12">
        <v>0</v>
      </c>
      <c r="X1735" s="12">
        <v>1.25</v>
      </c>
      <c r="Y1735" s="62"/>
    </row>
    <row r="1736" spans="1:25" x14ac:dyDescent="0.2">
      <c r="A1736" s="3" t="s">
        <v>3990</v>
      </c>
      <c r="B1736" s="3" t="s">
        <v>1670</v>
      </c>
      <c r="C1736" s="6" t="s">
        <v>356</v>
      </c>
      <c r="D1736" s="6" t="s">
        <v>172</v>
      </c>
      <c r="E1736" s="6" t="s">
        <v>163</v>
      </c>
      <c r="F1736" s="6">
        <v>26326.880000000001</v>
      </c>
      <c r="G1736" s="2">
        <v>12</v>
      </c>
      <c r="H1736" s="61">
        <v>1.48</v>
      </c>
      <c r="I1736" s="61">
        <v>1.33</v>
      </c>
      <c r="J1736" s="47">
        <f t="shared" si="135"/>
        <v>-0.87666666666666659</v>
      </c>
      <c r="K1736" s="47">
        <f t="shared" si="136"/>
        <v>-0.10135135135135129</v>
      </c>
      <c r="L1736" s="8">
        <v>2.92</v>
      </c>
      <c r="N1736" s="8">
        <v>15.59</v>
      </c>
      <c r="O1736" s="17">
        <f t="shared" si="137"/>
        <v>0</v>
      </c>
      <c r="P1736" s="17">
        <f t="shared" si="138"/>
        <v>-1.5382133333333343</v>
      </c>
      <c r="Q1736" s="17">
        <v>7.1</v>
      </c>
      <c r="U1736" s="9">
        <v>43539.421869999998</v>
      </c>
      <c r="V1736" s="45">
        <f t="shared" si="139"/>
        <v>-1</v>
      </c>
      <c r="X1736" s="12">
        <v>4.6500000000000004</v>
      </c>
      <c r="Y1736" s="62"/>
    </row>
    <row r="1737" spans="1:25" x14ac:dyDescent="0.2">
      <c r="A1737" s="3" t="s">
        <v>3991</v>
      </c>
      <c r="B1737" s="3" t="s">
        <v>1671</v>
      </c>
      <c r="C1737" s="6" t="s">
        <v>355</v>
      </c>
      <c r="D1737" s="6" t="s">
        <v>197</v>
      </c>
      <c r="E1737" s="6" t="s">
        <v>60</v>
      </c>
      <c r="F1737" s="6">
        <v>4201.57</v>
      </c>
      <c r="G1737" s="2">
        <v>12</v>
      </c>
      <c r="H1737" s="61">
        <v>1.75</v>
      </c>
      <c r="I1737" s="61">
        <v>1.45</v>
      </c>
      <c r="J1737" s="47">
        <f t="shared" si="135"/>
        <v>-0.85416666666666663</v>
      </c>
      <c r="K1737" s="47">
        <f t="shared" si="136"/>
        <v>-0.17142857142857146</v>
      </c>
      <c r="L1737" s="8">
        <v>1.64</v>
      </c>
      <c r="M1737" s="8">
        <v>12.35</v>
      </c>
      <c r="N1737" s="8">
        <v>13.63</v>
      </c>
      <c r="O1737" s="17">
        <f t="shared" si="137"/>
        <v>-0.14458536585365855</v>
      </c>
      <c r="P1737" s="17">
        <f t="shared" si="138"/>
        <v>-0.79508333333333325</v>
      </c>
      <c r="Q1737" s="17">
        <v>12.02</v>
      </c>
      <c r="R1737" s="9">
        <v>20220803</v>
      </c>
      <c r="S1737" s="9">
        <v>8.77</v>
      </c>
      <c r="T1737" s="9">
        <v>32.6</v>
      </c>
      <c r="U1737" s="9">
        <v>1396.5</v>
      </c>
      <c r="V1737" s="45">
        <f t="shared" si="139"/>
        <v>-0.97665592552810609</v>
      </c>
      <c r="W1737" s="12">
        <v>15.38</v>
      </c>
      <c r="X1737" s="12">
        <v>1.42</v>
      </c>
      <c r="Y1737" s="62">
        <v>4.54</v>
      </c>
    </row>
    <row r="1738" spans="1:25" x14ac:dyDescent="0.2">
      <c r="A1738" s="3" t="s">
        <v>3992</v>
      </c>
      <c r="B1738" s="3" t="s">
        <v>1672</v>
      </c>
      <c r="C1738" s="6" t="s">
        <v>356</v>
      </c>
      <c r="D1738" s="6" t="s">
        <v>590</v>
      </c>
      <c r="E1738" s="6" t="s">
        <v>589</v>
      </c>
      <c r="F1738" s="6">
        <v>18312.5</v>
      </c>
      <c r="G1738" s="2">
        <v>3</v>
      </c>
      <c r="H1738" s="61">
        <v>3.08</v>
      </c>
      <c r="I1738" s="61">
        <v>3.26</v>
      </c>
      <c r="J1738" s="47">
        <f t="shared" si="135"/>
        <v>2.6666666666666689E-2</v>
      </c>
      <c r="K1738" s="47">
        <f t="shared" si="136"/>
        <v>5.844155844155835E-2</v>
      </c>
      <c r="L1738" s="8">
        <v>3.32</v>
      </c>
      <c r="M1738" s="8">
        <v>4.51</v>
      </c>
      <c r="N1738" s="8">
        <v>4.49</v>
      </c>
      <c r="O1738" s="17">
        <f t="shared" si="137"/>
        <v>1.6912499999999986</v>
      </c>
      <c r="P1738" s="17">
        <f t="shared" si="138"/>
        <v>0.76828888888889013</v>
      </c>
      <c r="Q1738" s="17">
        <v>4.41</v>
      </c>
      <c r="R1738" s="9">
        <v>20220803</v>
      </c>
      <c r="S1738" s="9">
        <v>15.12</v>
      </c>
      <c r="T1738" s="9">
        <v>1.65</v>
      </c>
      <c r="U1738" s="9">
        <v>49533.640619999998</v>
      </c>
      <c r="V1738" s="45">
        <f t="shared" si="139"/>
        <v>-0.99996668930489763</v>
      </c>
      <c r="W1738" s="12">
        <v>-14.14</v>
      </c>
      <c r="X1738" s="12">
        <v>4.29</v>
      </c>
      <c r="Y1738" s="62">
        <v>0.13</v>
      </c>
    </row>
    <row r="1739" spans="1:25" x14ac:dyDescent="0.2">
      <c r="A1739" s="3" t="s">
        <v>3993</v>
      </c>
      <c r="B1739" s="3" t="s">
        <v>1673</v>
      </c>
      <c r="C1739" s="6" t="s">
        <v>354</v>
      </c>
      <c r="D1739" s="6" t="s">
        <v>165</v>
      </c>
      <c r="E1739" s="6" t="s">
        <v>119</v>
      </c>
      <c r="F1739" s="6">
        <v>7265.29</v>
      </c>
      <c r="G1739" s="2">
        <v>12</v>
      </c>
      <c r="H1739" s="61">
        <v>3.5</v>
      </c>
      <c r="I1739" s="61">
        <v>3.87</v>
      </c>
      <c r="J1739" s="47">
        <f t="shared" si="135"/>
        <v>-0.70833333333333337</v>
      </c>
      <c r="K1739" s="47">
        <f t="shared" si="136"/>
        <v>0.10571428571428575</v>
      </c>
      <c r="L1739" s="8">
        <v>4.47</v>
      </c>
      <c r="M1739" s="8">
        <v>13.34</v>
      </c>
      <c r="N1739" s="8">
        <v>11.97</v>
      </c>
      <c r="O1739" s="17">
        <f t="shared" si="137"/>
        <v>-0.18832941176470586</v>
      </c>
      <c r="P1739" s="17">
        <f t="shared" si="138"/>
        <v>1.1322972972972971</v>
      </c>
      <c r="Q1739" s="17">
        <v>10.36</v>
      </c>
      <c r="R1739" s="9">
        <v>20220726</v>
      </c>
      <c r="S1739" s="9">
        <v>18.28</v>
      </c>
      <c r="T1739" s="9">
        <v>1.52</v>
      </c>
      <c r="U1739" s="9">
        <v>4180.3999000000003</v>
      </c>
      <c r="V1739" s="45">
        <f t="shared" si="139"/>
        <v>-0.9996363984220743</v>
      </c>
      <c r="W1739" s="12">
        <v>2.63</v>
      </c>
      <c r="X1739" s="12">
        <v>0.95</v>
      </c>
      <c r="Y1739" s="62">
        <v>1.08</v>
      </c>
    </row>
    <row r="1740" spans="1:25" x14ac:dyDescent="0.2">
      <c r="A1740" s="3" t="s">
        <v>3994</v>
      </c>
      <c r="B1740" s="3" t="s">
        <v>1674</v>
      </c>
      <c r="C1740" s="6" t="s">
        <v>355</v>
      </c>
      <c r="D1740" s="6" t="s">
        <v>186</v>
      </c>
      <c r="E1740" s="6" t="s">
        <v>208</v>
      </c>
      <c r="F1740" s="6">
        <v>3005.42</v>
      </c>
      <c r="G1740" s="2">
        <v>12</v>
      </c>
      <c r="H1740" s="61">
        <v>0.84</v>
      </c>
      <c r="I1740" s="61">
        <v>0.92</v>
      </c>
      <c r="J1740" s="47">
        <f t="shared" si="135"/>
        <v>-0.93</v>
      </c>
      <c r="K1740" s="47">
        <f t="shared" si="136"/>
        <v>9.523809523809533E-2</v>
      </c>
      <c r="L1740" s="8">
        <v>1.42</v>
      </c>
      <c r="M1740" s="8">
        <v>65.48</v>
      </c>
      <c r="N1740" s="8">
        <v>68.569999999999993</v>
      </c>
      <c r="O1740" s="17">
        <f t="shared" si="137"/>
        <v>-0.70408602150537636</v>
      </c>
      <c r="P1740" s="17">
        <f t="shared" si="138"/>
        <v>7.1998499999999925</v>
      </c>
      <c r="Q1740" s="17">
        <v>44.37</v>
      </c>
      <c r="R1740" s="9">
        <v>20220803</v>
      </c>
      <c r="S1740" s="9">
        <v>12.78</v>
      </c>
      <c r="T1740" s="9">
        <v>23.6</v>
      </c>
      <c r="U1740" s="9">
        <v>295.20699999999999</v>
      </c>
      <c r="V1740" s="45">
        <f t="shared" si="139"/>
        <v>-0.92005609623078033</v>
      </c>
      <c r="W1740" s="12">
        <v>81.25</v>
      </c>
      <c r="X1740" s="12">
        <v>0</v>
      </c>
      <c r="Y1740" s="62"/>
    </row>
    <row r="1741" spans="1:25" x14ac:dyDescent="0.2">
      <c r="A1741" s="3" t="s">
        <v>3995</v>
      </c>
      <c r="B1741" s="3" t="s">
        <v>1675</v>
      </c>
      <c r="C1741" s="6" t="s">
        <v>354</v>
      </c>
      <c r="D1741" s="6" t="s">
        <v>215</v>
      </c>
      <c r="E1741" s="6" t="s">
        <v>163</v>
      </c>
      <c r="F1741" s="6">
        <v>5878.2</v>
      </c>
      <c r="G1741" s="2">
        <v>12</v>
      </c>
      <c r="H1741" s="61">
        <v>2.06</v>
      </c>
      <c r="I1741" s="61">
        <v>2.16</v>
      </c>
      <c r="J1741" s="47">
        <f t="shared" si="135"/>
        <v>-0.82833333333333325</v>
      </c>
      <c r="K1741" s="47">
        <f t="shared" si="136"/>
        <v>4.854368932038839E-2</v>
      </c>
      <c r="L1741" s="8">
        <v>2.2999999999999998</v>
      </c>
      <c r="M1741" s="8">
        <v>15.69</v>
      </c>
      <c r="N1741" s="8">
        <v>15.2</v>
      </c>
      <c r="O1741" s="17">
        <f t="shared" si="137"/>
        <v>-0.18941649899396379</v>
      </c>
      <c r="P1741" s="17">
        <f t="shared" si="138"/>
        <v>3.1311999999999971</v>
      </c>
      <c r="Q1741" s="17">
        <v>14.25</v>
      </c>
      <c r="R1741" s="9">
        <v>20220726</v>
      </c>
      <c r="S1741" s="9">
        <v>7.01</v>
      </c>
      <c r="T1741" s="9">
        <v>17.23</v>
      </c>
      <c r="U1741" s="9">
        <v>657.84496999999999</v>
      </c>
      <c r="V1741" s="45">
        <f t="shared" si="139"/>
        <v>-0.97380841872211921</v>
      </c>
      <c r="W1741" s="12">
        <v>1.92</v>
      </c>
      <c r="X1741" s="12">
        <v>4.45</v>
      </c>
      <c r="Y1741" s="62">
        <v>2.93</v>
      </c>
    </row>
    <row r="1742" spans="1:25" x14ac:dyDescent="0.2">
      <c r="A1742" s="3" t="s">
        <v>2281</v>
      </c>
      <c r="B1742" s="3" t="s">
        <v>2282</v>
      </c>
      <c r="C1742" s="6" t="s">
        <v>356</v>
      </c>
      <c r="D1742" s="6" t="s">
        <v>187</v>
      </c>
      <c r="E1742" s="6" t="s">
        <v>208</v>
      </c>
      <c r="F1742" s="6">
        <v>6870.33</v>
      </c>
      <c r="G1742" s="2">
        <v>12</v>
      </c>
      <c r="H1742" s="61"/>
      <c r="I1742" s="61"/>
      <c r="J1742" s="47">
        <f t="shared" si="135"/>
        <v>-1</v>
      </c>
      <c r="K1742" s="47" t="e">
        <f t="shared" si="136"/>
        <v>#DIV/0!</v>
      </c>
      <c r="O1742" s="17">
        <f t="shared" si="137"/>
        <v>0</v>
      </c>
      <c r="P1742" s="17" t="e">
        <f t="shared" si="138"/>
        <v>#DIV/0!</v>
      </c>
      <c r="Q1742" s="17"/>
      <c r="V1742" s="45" t="e">
        <f t="shared" si="139"/>
        <v>#DIV/0!</v>
      </c>
      <c r="X1742" s="12">
        <v>0</v>
      </c>
      <c r="Y1742" s="62"/>
    </row>
    <row r="1743" spans="1:25" x14ac:dyDescent="0.2">
      <c r="A1743" s="3" t="s">
        <v>3996</v>
      </c>
      <c r="B1743" s="3" t="s">
        <v>1676</v>
      </c>
      <c r="C1743" s="6" t="s">
        <v>354</v>
      </c>
      <c r="D1743" s="6" t="s">
        <v>191</v>
      </c>
      <c r="E1743" s="6" t="s">
        <v>208</v>
      </c>
      <c r="F1743" s="6">
        <v>23100.35</v>
      </c>
      <c r="G1743" s="2">
        <v>3</v>
      </c>
      <c r="H1743" s="61">
        <v>7.89</v>
      </c>
      <c r="I1743" s="61">
        <v>8.7100000000000009</v>
      </c>
      <c r="J1743" s="47">
        <f t="shared" si="135"/>
        <v>1.63</v>
      </c>
      <c r="K1743" s="47">
        <f t="shared" si="136"/>
        <v>0.10392902408111548</v>
      </c>
      <c r="L1743" s="8">
        <v>9.83</v>
      </c>
      <c r="M1743" s="8">
        <v>29.17</v>
      </c>
      <c r="N1743" s="8">
        <v>26.49</v>
      </c>
      <c r="O1743" s="17">
        <f t="shared" si="137"/>
        <v>0.17895705521472394</v>
      </c>
      <c r="P1743" s="17">
        <f t="shared" si="138"/>
        <v>2.5488548780487763</v>
      </c>
      <c r="Q1743" s="17">
        <v>23.47</v>
      </c>
      <c r="R1743" s="9">
        <v>20220808</v>
      </c>
      <c r="S1743" s="9">
        <v>11.85</v>
      </c>
      <c r="T1743" s="9">
        <v>10.44</v>
      </c>
      <c r="U1743" s="9">
        <v>5111.6000899999999</v>
      </c>
      <c r="V1743" s="45">
        <f t="shared" si="139"/>
        <v>-0.99795758670158419</v>
      </c>
      <c r="W1743" s="12">
        <v>2</v>
      </c>
      <c r="X1743" s="12">
        <v>0.75</v>
      </c>
      <c r="Y1743" s="62"/>
    </row>
    <row r="1744" spans="1:25" x14ac:dyDescent="0.2">
      <c r="A1744" s="3" t="s">
        <v>3997</v>
      </c>
      <c r="B1744" s="3" t="s">
        <v>2044</v>
      </c>
      <c r="C1744" s="6" t="s">
        <v>354</v>
      </c>
      <c r="D1744" s="6" t="s">
        <v>46</v>
      </c>
      <c r="E1744" s="6" t="s">
        <v>35</v>
      </c>
      <c r="F1744" s="6">
        <v>29939.88</v>
      </c>
      <c r="G1744" s="2">
        <v>12</v>
      </c>
      <c r="H1744" s="61">
        <v>4.03</v>
      </c>
      <c r="I1744" s="61">
        <v>4.34</v>
      </c>
      <c r="J1744" s="47">
        <f t="shared" si="135"/>
        <v>-0.66416666666666668</v>
      </c>
      <c r="K1744" s="47">
        <f t="shared" si="136"/>
        <v>7.6923076923076816E-2</v>
      </c>
      <c r="L1744" s="8">
        <v>4.41</v>
      </c>
      <c r="N1744" s="8">
        <v>3.41</v>
      </c>
      <c r="O1744" s="17">
        <f t="shared" si="137"/>
        <v>0</v>
      </c>
      <c r="P1744" s="17">
        <f t="shared" si="138"/>
        <v>0.44330000000000064</v>
      </c>
      <c r="Q1744" s="17">
        <v>3.35</v>
      </c>
      <c r="R1744" s="9">
        <v>20220525</v>
      </c>
      <c r="U1744" s="9">
        <v>176500.79686999999</v>
      </c>
      <c r="V1744" s="45">
        <f t="shared" si="139"/>
        <v>-1</v>
      </c>
      <c r="X1744" s="12">
        <v>0</v>
      </c>
      <c r="Y1744" s="62">
        <v>0.09</v>
      </c>
    </row>
    <row r="1745" spans="1:25" x14ac:dyDescent="0.2">
      <c r="A1745" s="3" t="s">
        <v>3998</v>
      </c>
      <c r="B1745" s="3" t="s">
        <v>1677</v>
      </c>
      <c r="C1745" s="6" t="s">
        <v>355</v>
      </c>
      <c r="D1745" s="6" t="s">
        <v>232</v>
      </c>
      <c r="E1745" s="6" t="s">
        <v>60</v>
      </c>
      <c r="F1745" s="6">
        <v>15923.55</v>
      </c>
      <c r="G1745" s="2">
        <v>12</v>
      </c>
      <c r="H1745" s="61">
        <v>16.420000000000002</v>
      </c>
      <c r="I1745" s="61">
        <v>21.52</v>
      </c>
      <c r="J1745" s="47">
        <f t="shared" si="135"/>
        <v>0.36833333333333346</v>
      </c>
      <c r="K1745" s="47">
        <f t="shared" si="136"/>
        <v>0.31059683313032871</v>
      </c>
      <c r="L1745" s="8">
        <v>10.79</v>
      </c>
      <c r="M1745" s="8">
        <v>4.1900000000000004</v>
      </c>
      <c r="N1745" s="8">
        <v>3.92</v>
      </c>
      <c r="O1745" s="17">
        <f t="shared" si="137"/>
        <v>0.11375565610859727</v>
      </c>
      <c r="P1745" s="17">
        <f t="shared" si="138"/>
        <v>0.12620862745098047</v>
      </c>
      <c r="Q1745" s="17">
        <v>7.82</v>
      </c>
      <c r="R1745" s="9">
        <v>20220718</v>
      </c>
      <c r="S1745" s="9">
        <v>69.88</v>
      </c>
      <c r="T1745" s="9">
        <v>10.96</v>
      </c>
      <c r="U1745" s="9">
        <v>21628.533200000002</v>
      </c>
      <c r="V1745" s="45">
        <f t="shared" si="139"/>
        <v>-0.99949326198412758</v>
      </c>
      <c r="W1745" s="12">
        <v>7.89</v>
      </c>
      <c r="X1745" s="12">
        <v>1.61</v>
      </c>
      <c r="Y1745" s="62"/>
    </row>
    <row r="1746" spans="1:25" x14ac:dyDescent="0.2">
      <c r="A1746" s="3" t="s">
        <v>3999</v>
      </c>
      <c r="B1746" s="3" t="s">
        <v>1678</v>
      </c>
      <c r="C1746" s="6" t="s">
        <v>354</v>
      </c>
      <c r="D1746" s="6" t="s">
        <v>1093</v>
      </c>
      <c r="E1746" s="6" t="s">
        <v>119</v>
      </c>
      <c r="F1746" s="6">
        <v>35678.53</v>
      </c>
      <c r="G1746" s="2">
        <v>12</v>
      </c>
      <c r="H1746" s="61">
        <v>2.04</v>
      </c>
      <c r="I1746" s="61">
        <v>3.33</v>
      </c>
      <c r="J1746" s="47">
        <f t="shared" si="135"/>
        <v>-0.83000000000000007</v>
      </c>
      <c r="K1746" s="47">
        <f t="shared" si="136"/>
        <v>0.63235294117647056</v>
      </c>
      <c r="L1746" s="8">
        <v>3.37</v>
      </c>
      <c r="M1746" s="8">
        <v>15.34</v>
      </c>
      <c r="N1746" s="8">
        <v>11.78</v>
      </c>
      <c r="O1746" s="17">
        <f t="shared" si="137"/>
        <v>-0.18481927710843374</v>
      </c>
      <c r="P1746" s="17">
        <f t="shared" si="138"/>
        <v>0.18628837209302324</v>
      </c>
      <c r="Q1746" s="17">
        <v>11.66</v>
      </c>
      <c r="R1746" s="9">
        <v>20220804</v>
      </c>
      <c r="S1746" s="9">
        <v>26.2</v>
      </c>
      <c r="T1746" s="9">
        <v>10.3</v>
      </c>
      <c r="U1746" s="9">
        <v>15218</v>
      </c>
      <c r="V1746" s="45">
        <f t="shared" si="139"/>
        <v>-0.99932316993034565</v>
      </c>
      <c r="W1746" s="12">
        <v>11.27</v>
      </c>
      <c r="X1746" s="12">
        <v>0.52</v>
      </c>
      <c r="Y1746" s="62">
        <v>2.36</v>
      </c>
    </row>
    <row r="1747" spans="1:25" x14ac:dyDescent="0.2">
      <c r="A1747" s="3" t="s">
        <v>4000</v>
      </c>
      <c r="B1747" s="3" t="s">
        <v>1679</v>
      </c>
      <c r="C1747" s="6" t="s">
        <v>354</v>
      </c>
      <c r="D1747" s="6" t="s">
        <v>135</v>
      </c>
      <c r="E1747" s="6" t="s">
        <v>108</v>
      </c>
      <c r="F1747" s="6">
        <v>4915.28</v>
      </c>
      <c r="G1747" s="2">
        <v>12</v>
      </c>
      <c r="H1747" s="61">
        <v>1.91</v>
      </c>
      <c r="I1747" s="61">
        <v>2.3199999999999998</v>
      </c>
      <c r="J1747" s="47">
        <f t="shared" si="135"/>
        <v>-0.84083333333333332</v>
      </c>
      <c r="K1747" s="47">
        <f t="shared" si="136"/>
        <v>0.21465968586387432</v>
      </c>
      <c r="L1747" s="8">
        <v>2.6</v>
      </c>
      <c r="M1747" s="8">
        <v>22.15</v>
      </c>
      <c r="N1747" s="8">
        <v>19.11</v>
      </c>
      <c r="O1747" s="17">
        <f t="shared" si="137"/>
        <v>-0.26342913776015858</v>
      </c>
      <c r="P1747" s="17">
        <f t="shared" si="138"/>
        <v>0.89024634146341464</v>
      </c>
      <c r="Q1747" s="17">
        <v>17.010000000000002</v>
      </c>
      <c r="R1747" s="9">
        <v>20220803</v>
      </c>
      <c r="S1747" s="9">
        <v>14.24</v>
      </c>
      <c r="T1747" s="9">
        <v>-2.58</v>
      </c>
      <c r="U1747" s="9">
        <v>3413.3940400000001</v>
      </c>
      <c r="V1747" s="45">
        <f t="shared" si="139"/>
        <v>-1.0007558459321619</v>
      </c>
      <c r="W1747" s="12">
        <v>2.13</v>
      </c>
      <c r="X1747" s="12">
        <v>1.28</v>
      </c>
      <c r="Y1747" s="62"/>
    </row>
    <row r="1748" spans="1:25" x14ac:dyDescent="0.2">
      <c r="A1748" s="3" t="s">
        <v>4001</v>
      </c>
      <c r="B1748" s="3" t="s">
        <v>1680</v>
      </c>
      <c r="C1748" s="6" t="s">
        <v>355</v>
      </c>
      <c r="D1748" s="6" t="s">
        <v>177</v>
      </c>
      <c r="E1748" s="6" t="s">
        <v>119</v>
      </c>
      <c r="F1748" s="6">
        <v>3034.68</v>
      </c>
      <c r="G1748" s="2">
        <v>12</v>
      </c>
      <c r="H1748" s="61">
        <v>0.09</v>
      </c>
      <c r="I1748" s="61">
        <v>0.31</v>
      </c>
      <c r="J1748" s="47">
        <f t="shared" si="135"/>
        <v>-0.99250000000000005</v>
      </c>
      <c r="K1748" s="47">
        <f t="shared" si="136"/>
        <v>2.4444444444444446</v>
      </c>
      <c r="L1748" s="8">
        <v>0.67</v>
      </c>
      <c r="N1748" s="8">
        <v>31.84</v>
      </c>
      <c r="O1748" s="17">
        <f t="shared" si="137"/>
        <v>0</v>
      </c>
      <c r="P1748" s="17">
        <f t="shared" si="138"/>
        <v>0.13025454545454546</v>
      </c>
      <c r="Q1748" s="17">
        <v>14.42</v>
      </c>
      <c r="R1748" s="9">
        <v>20220607</v>
      </c>
      <c r="S1748" s="9">
        <v>-3.89</v>
      </c>
      <c r="T1748" s="9">
        <v>12.44</v>
      </c>
      <c r="U1748" s="9">
        <v>1448.23498</v>
      </c>
      <c r="V1748" s="45">
        <f t="shared" si="139"/>
        <v>-0.99141023371773551</v>
      </c>
      <c r="W1748" s="12">
        <v>100</v>
      </c>
      <c r="X1748" s="12">
        <v>0</v>
      </c>
      <c r="Y1748" s="62"/>
    </row>
    <row r="1749" spans="1:25" x14ac:dyDescent="0.2">
      <c r="A1749" s="3" t="s">
        <v>4002</v>
      </c>
      <c r="B1749" s="3" t="s">
        <v>1681</v>
      </c>
      <c r="C1749" s="6" t="s">
        <v>354</v>
      </c>
      <c r="D1749" s="6" t="s">
        <v>217</v>
      </c>
      <c r="E1749" s="6" t="s">
        <v>163</v>
      </c>
      <c r="F1749" s="6">
        <v>7502.38</v>
      </c>
      <c r="G1749" s="2">
        <v>12</v>
      </c>
      <c r="H1749" s="61">
        <v>1.87</v>
      </c>
      <c r="I1749" s="61">
        <v>2.14</v>
      </c>
      <c r="J1749" s="47">
        <f t="shared" si="135"/>
        <v>-0.84416666666666662</v>
      </c>
      <c r="K1749" s="47">
        <f t="shared" si="136"/>
        <v>0.14438502673796791</v>
      </c>
      <c r="L1749" s="8">
        <v>2.25</v>
      </c>
      <c r="M1749" s="8">
        <v>13.17</v>
      </c>
      <c r="N1749" s="8">
        <v>12.52</v>
      </c>
      <c r="O1749" s="17">
        <f t="shared" si="137"/>
        <v>-0.15601184600197435</v>
      </c>
      <c r="P1749" s="17">
        <f t="shared" si="138"/>
        <v>0.86712592592592597</v>
      </c>
      <c r="Q1749" s="17">
        <v>11.88</v>
      </c>
      <c r="R1749" s="9">
        <v>20220804</v>
      </c>
      <c r="S1749" s="9">
        <v>5.65</v>
      </c>
      <c r="T1749" s="9">
        <v>14.93</v>
      </c>
      <c r="U1749" s="9">
        <v>809.87097000000006</v>
      </c>
      <c r="V1749" s="45">
        <f t="shared" si="139"/>
        <v>-0.98156496460170695</v>
      </c>
      <c r="W1749" s="12">
        <v>7.69</v>
      </c>
      <c r="X1749" s="12">
        <v>5.76</v>
      </c>
      <c r="Y1749" s="62"/>
    </row>
    <row r="1750" spans="1:25" x14ac:dyDescent="0.2">
      <c r="A1750" s="3" t="s">
        <v>4003</v>
      </c>
      <c r="B1750" s="3" t="s">
        <v>1682</v>
      </c>
      <c r="C1750" s="6" t="s">
        <v>354</v>
      </c>
      <c r="D1750" s="6" t="s">
        <v>97</v>
      </c>
      <c r="E1750" s="6" t="s">
        <v>163</v>
      </c>
      <c r="F1750" s="6">
        <v>26061.51</v>
      </c>
      <c r="G1750" s="2">
        <v>12</v>
      </c>
      <c r="H1750" s="61">
        <v>7.36</v>
      </c>
      <c r="I1750" s="61">
        <v>7.8</v>
      </c>
      <c r="J1750" s="47">
        <f t="shared" si="135"/>
        <v>-0.38666666666666666</v>
      </c>
      <c r="K1750" s="47">
        <f t="shared" si="136"/>
        <v>5.9782608695652106E-2</v>
      </c>
      <c r="L1750" s="8">
        <v>9.76</v>
      </c>
      <c r="M1750" s="8">
        <v>9.39</v>
      </c>
      <c r="N1750" s="8">
        <v>9.1</v>
      </c>
      <c r="O1750" s="17">
        <f t="shared" si="137"/>
        <v>-0.24284482758620693</v>
      </c>
      <c r="P1750" s="17">
        <f t="shared" si="138"/>
        <v>1.5221818181818199</v>
      </c>
      <c r="Q1750" s="17">
        <v>7.27</v>
      </c>
      <c r="R1750" s="9">
        <v>20220715</v>
      </c>
      <c r="S1750" s="9">
        <v>11.59</v>
      </c>
      <c r="T1750" s="9">
        <v>0.53</v>
      </c>
      <c r="U1750" s="9">
        <v>12837.087890000001</v>
      </c>
      <c r="V1750" s="45">
        <f t="shared" si="139"/>
        <v>-0.99995871337763342</v>
      </c>
      <c r="W1750" s="12">
        <v>8.16</v>
      </c>
      <c r="X1750" s="12">
        <v>3.21</v>
      </c>
      <c r="Y1750" s="62">
        <v>1.1399999999999999</v>
      </c>
    </row>
    <row r="1751" spans="1:25" x14ac:dyDescent="0.2">
      <c r="A1751" s="3" t="s">
        <v>4004</v>
      </c>
      <c r="B1751" s="3" t="s">
        <v>4005</v>
      </c>
      <c r="C1751" s="6" t="s">
        <v>354</v>
      </c>
      <c r="D1751" s="6" t="s">
        <v>187</v>
      </c>
      <c r="E1751" s="6" t="s">
        <v>208</v>
      </c>
      <c r="F1751" s="6">
        <v>4778.88</v>
      </c>
      <c r="G1751" s="2">
        <v>12</v>
      </c>
      <c r="H1751" s="61">
        <v>0.54</v>
      </c>
      <c r="I1751" s="61">
        <v>0.52</v>
      </c>
      <c r="J1751" s="47">
        <f t="shared" si="135"/>
        <v>-0.95500000000000007</v>
      </c>
      <c r="K1751" s="47">
        <f t="shared" si="136"/>
        <v>-3.703703703703707E-2</v>
      </c>
      <c r="L1751" s="8">
        <v>0.54</v>
      </c>
      <c r="M1751" s="8">
        <v>29.94</v>
      </c>
      <c r="N1751" s="8">
        <v>31.22</v>
      </c>
      <c r="O1751" s="17">
        <f t="shared" si="137"/>
        <v>-0.31350785340314136</v>
      </c>
      <c r="P1751" s="17">
        <f t="shared" si="138"/>
        <v>-8.4293999999999922</v>
      </c>
      <c r="Q1751" s="17">
        <v>29.83</v>
      </c>
      <c r="R1751" s="9">
        <v>20220818</v>
      </c>
      <c r="S1751" s="9">
        <v>16.39</v>
      </c>
      <c r="U1751" s="9">
        <v>988.01</v>
      </c>
      <c r="V1751" s="45">
        <f t="shared" si="139"/>
        <v>-1</v>
      </c>
      <c r="W1751" s="12">
        <v>9.09</v>
      </c>
      <c r="X1751" s="12">
        <v>0</v>
      </c>
      <c r="Y1751" s="62">
        <v>7.65</v>
      </c>
    </row>
    <row r="1752" spans="1:25" x14ac:dyDescent="0.2">
      <c r="A1752" s="3" t="s">
        <v>4006</v>
      </c>
      <c r="B1752" s="3" t="s">
        <v>1683</v>
      </c>
      <c r="C1752" s="6" t="s">
        <v>354</v>
      </c>
      <c r="D1752" s="6" t="s">
        <v>214</v>
      </c>
      <c r="E1752" s="6" t="s">
        <v>163</v>
      </c>
      <c r="F1752" s="6">
        <v>7246.28</v>
      </c>
      <c r="G1752" s="2">
        <v>12</v>
      </c>
      <c r="H1752" s="61">
        <v>2.06</v>
      </c>
      <c r="I1752" s="61">
        <v>2.0499999999999998</v>
      </c>
      <c r="J1752" s="47">
        <f t="shared" si="135"/>
        <v>-0.82833333333333325</v>
      </c>
      <c r="K1752" s="47">
        <f t="shared" si="136"/>
        <v>-4.8543689320389473E-3</v>
      </c>
      <c r="L1752" s="8">
        <v>2.2999999999999998</v>
      </c>
      <c r="M1752" s="8">
        <v>8.17</v>
      </c>
      <c r="N1752" s="8">
        <v>11.52</v>
      </c>
      <c r="O1752" s="17">
        <f t="shared" si="137"/>
        <v>-9.8631790744466805E-2</v>
      </c>
      <c r="P1752" s="17">
        <f t="shared" si="138"/>
        <v>-23.731199999999451</v>
      </c>
      <c r="Q1752" s="17">
        <v>10.27</v>
      </c>
      <c r="R1752" s="9">
        <v>20220804</v>
      </c>
      <c r="S1752" s="9">
        <v>14.86</v>
      </c>
      <c r="T1752" s="9">
        <v>6.92</v>
      </c>
      <c r="U1752" s="9">
        <v>1285.40002</v>
      </c>
      <c r="V1752" s="45">
        <f t="shared" si="139"/>
        <v>-0.99461646188553809</v>
      </c>
      <c r="W1752" s="12">
        <v>55.1</v>
      </c>
      <c r="X1752" s="12">
        <v>8.1300000000000008</v>
      </c>
      <c r="Y1752" s="62"/>
    </row>
    <row r="1753" spans="1:25" x14ac:dyDescent="0.2">
      <c r="A1753" s="3" t="s">
        <v>4007</v>
      </c>
      <c r="B1753" s="3" t="s">
        <v>1684</v>
      </c>
      <c r="C1753" s="6" t="s">
        <v>355</v>
      </c>
      <c r="D1753" s="6" t="s">
        <v>233</v>
      </c>
      <c r="E1753" s="6" t="s">
        <v>108</v>
      </c>
      <c r="F1753" s="6">
        <v>18418.57</v>
      </c>
      <c r="G1753" s="2">
        <v>6</v>
      </c>
      <c r="H1753" s="61">
        <v>5.54</v>
      </c>
      <c r="I1753" s="61">
        <v>8.5</v>
      </c>
      <c r="J1753" s="47">
        <f t="shared" si="135"/>
        <v>-7.6666666666666661E-2</v>
      </c>
      <c r="K1753" s="47">
        <f t="shared" si="136"/>
        <v>0.53429602888086647</v>
      </c>
      <c r="L1753" s="8">
        <v>9.82</v>
      </c>
      <c r="M1753" s="8">
        <v>10</v>
      </c>
      <c r="N1753" s="8">
        <v>10.08</v>
      </c>
      <c r="O1753" s="17">
        <f t="shared" si="137"/>
        <v>-1.3043478260869565</v>
      </c>
      <c r="P1753" s="17">
        <f t="shared" si="138"/>
        <v>0.18865945945945944</v>
      </c>
      <c r="Q1753" s="17">
        <v>8.73</v>
      </c>
      <c r="R1753" s="9">
        <v>20220720</v>
      </c>
      <c r="S1753" s="9">
        <v>339.73</v>
      </c>
      <c r="T1753" s="9">
        <v>0.67</v>
      </c>
      <c r="U1753" s="9">
        <v>11860.46386</v>
      </c>
      <c r="V1753" s="45">
        <f t="shared" si="139"/>
        <v>-0.999943509797938</v>
      </c>
      <c r="W1753" s="12">
        <v>-3.21</v>
      </c>
      <c r="X1753" s="12">
        <v>3.27</v>
      </c>
      <c r="Y1753" s="62">
        <v>8.33</v>
      </c>
    </row>
    <row r="1754" spans="1:25" x14ac:dyDescent="0.2">
      <c r="A1754" s="3" t="s">
        <v>4008</v>
      </c>
      <c r="B1754" s="3" t="s">
        <v>1685</v>
      </c>
      <c r="C1754" s="6" t="s">
        <v>354</v>
      </c>
      <c r="D1754" s="6" t="s">
        <v>116</v>
      </c>
      <c r="E1754" s="6" t="s">
        <v>154</v>
      </c>
      <c r="F1754" s="6">
        <v>45994.7</v>
      </c>
      <c r="G1754" s="2">
        <v>2</v>
      </c>
      <c r="H1754" s="61">
        <v>10.09</v>
      </c>
      <c r="I1754" s="61">
        <v>11.18</v>
      </c>
      <c r="J1754" s="47">
        <f t="shared" si="135"/>
        <v>4.0449999999999999</v>
      </c>
      <c r="K1754" s="47">
        <f t="shared" si="136"/>
        <v>0.10802775024777006</v>
      </c>
      <c r="L1754" s="8">
        <v>13</v>
      </c>
      <c r="M1754" s="8">
        <v>23.96</v>
      </c>
      <c r="N1754" s="8">
        <v>21.87</v>
      </c>
      <c r="O1754" s="17">
        <f t="shared" si="137"/>
        <v>5.9233621755253402E-2</v>
      </c>
      <c r="P1754" s="17">
        <f t="shared" si="138"/>
        <v>2.0244798165137619</v>
      </c>
      <c r="Q1754" s="17">
        <v>18.8</v>
      </c>
      <c r="R1754" s="9">
        <v>20220629</v>
      </c>
      <c r="S1754" s="9">
        <v>16.43</v>
      </c>
      <c r="T1754" s="9">
        <v>3.38</v>
      </c>
      <c r="U1754" s="9">
        <v>9417.2939399999996</v>
      </c>
      <c r="V1754" s="45">
        <f t="shared" si="139"/>
        <v>-0.99964108585528555</v>
      </c>
      <c r="W1754" s="12">
        <v>10.23</v>
      </c>
      <c r="X1754" s="12">
        <v>1.31</v>
      </c>
      <c r="Y1754" s="62">
        <v>2.0299999999999998</v>
      </c>
    </row>
    <row r="1755" spans="1:25" x14ac:dyDescent="0.2">
      <c r="A1755" s="3" t="s">
        <v>4008</v>
      </c>
      <c r="B1755" s="3" t="s">
        <v>2283</v>
      </c>
      <c r="C1755" s="6" t="s">
        <v>354</v>
      </c>
      <c r="D1755" s="6" t="s">
        <v>116</v>
      </c>
      <c r="E1755" s="6" t="s">
        <v>154</v>
      </c>
      <c r="F1755" s="6">
        <v>52286.81</v>
      </c>
      <c r="G1755" s="2">
        <v>2</v>
      </c>
      <c r="H1755" s="61"/>
      <c r="I1755" s="61"/>
      <c r="J1755" s="47">
        <f t="shared" si="135"/>
        <v>-1</v>
      </c>
      <c r="K1755" s="47" t="e">
        <f t="shared" si="136"/>
        <v>#DIV/0!</v>
      </c>
      <c r="M1755" s="8">
        <v>27.24</v>
      </c>
      <c r="O1755" s="17">
        <f t="shared" si="137"/>
        <v>-0.27239999999999998</v>
      </c>
      <c r="P1755" s="17" t="e">
        <f t="shared" si="138"/>
        <v>#DIV/0!</v>
      </c>
      <c r="Q1755" s="17"/>
      <c r="R1755" s="9">
        <v>20220629</v>
      </c>
      <c r="S1755" s="9">
        <v>16.43</v>
      </c>
      <c r="T1755" s="9">
        <v>3.38</v>
      </c>
      <c r="V1755" s="45" t="e">
        <f t="shared" si="139"/>
        <v>#DIV/0!</v>
      </c>
      <c r="X1755" s="12">
        <v>1.04</v>
      </c>
      <c r="Y1755" s="62"/>
    </row>
    <row r="1756" spans="1:25" x14ac:dyDescent="0.2">
      <c r="A1756" s="3" t="s">
        <v>4009</v>
      </c>
      <c r="B1756" s="3" t="s">
        <v>1686</v>
      </c>
      <c r="C1756" s="6" t="s">
        <v>354</v>
      </c>
      <c r="D1756" s="6" t="s">
        <v>747</v>
      </c>
      <c r="E1756" s="6" t="s">
        <v>218</v>
      </c>
      <c r="F1756" s="6">
        <v>56000.26</v>
      </c>
      <c r="G1756" s="2">
        <v>12</v>
      </c>
      <c r="H1756" s="61">
        <v>2.0699999999999998</v>
      </c>
      <c r="I1756" s="61">
        <v>5.13</v>
      </c>
      <c r="J1756" s="47">
        <f t="shared" si="135"/>
        <v>-0.82750000000000001</v>
      </c>
      <c r="K1756" s="47">
        <f t="shared" si="136"/>
        <v>1.4782608695652175</v>
      </c>
      <c r="L1756" s="8">
        <v>5.17</v>
      </c>
      <c r="M1756" s="8">
        <v>12.45</v>
      </c>
      <c r="N1756" s="8">
        <v>7.72</v>
      </c>
      <c r="O1756" s="17">
        <f t="shared" si="137"/>
        <v>-0.15045317220543805</v>
      </c>
      <c r="P1756" s="17">
        <f t="shared" si="138"/>
        <v>5.2223529411764703E-2</v>
      </c>
      <c r="Q1756" s="17">
        <v>7.66</v>
      </c>
      <c r="R1756" s="9">
        <v>20220727</v>
      </c>
      <c r="S1756" s="9">
        <v>15.69</v>
      </c>
      <c r="T1756" s="9">
        <v>0.23</v>
      </c>
      <c r="U1756" s="9">
        <v>37373.5</v>
      </c>
      <c r="V1756" s="45">
        <f t="shared" si="139"/>
        <v>-0.99999384590685902</v>
      </c>
      <c r="W1756" s="12">
        <v>16.03</v>
      </c>
      <c r="X1756" s="12">
        <v>3.35</v>
      </c>
      <c r="Y1756" s="62">
        <v>0.56999999999999995</v>
      </c>
    </row>
    <row r="1757" spans="1:25" x14ac:dyDescent="0.2">
      <c r="A1757" s="3" t="s">
        <v>4010</v>
      </c>
      <c r="B1757" s="3" t="s">
        <v>1687</v>
      </c>
      <c r="C1757" s="6" t="s">
        <v>356</v>
      </c>
      <c r="D1757" s="6" t="s">
        <v>213</v>
      </c>
      <c r="E1757" s="6" t="s">
        <v>163</v>
      </c>
      <c r="F1757" s="6">
        <v>35729.629999999997</v>
      </c>
      <c r="G1757" s="2">
        <v>6</v>
      </c>
      <c r="H1757" s="61">
        <v>1.29</v>
      </c>
      <c r="I1757" s="61">
        <v>1.27</v>
      </c>
      <c r="J1757" s="47">
        <f t="shared" si="135"/>
        <v>-0.78500000000000003</v>
      </c>
      <c r="K1757" s="47">
        <f t="shared" si="136"/>
        <v>-1.5503875968992262E-2</v>
      </c>
      <c r="L1757" s="8">
        <v>1.48</v>
      </c>
      <c r="N1757" s="8">
        <v>9.7100000000000009</v>
      </c>
      <c r="O1757" s="17">
        <f t="shared" si="137"/>
        <v>0</v>
      </c>
      <c r="P1757" s="17">
        <f t="shared" si="138"/>
        <v>-6.2629499999999947</v>
      </c>
      <c r="Q1757" s="17">
        <v>8.33</v>
      </c>
      <c r="V1757" s="45" t="e">
        <f t="shared" si="139"/>
        <v>#DIV/0!</v>
      </c>
      <c r="X1757" s="12">
        <v>2.27</v>
      </c>
      <c r="Y1757" s="62">
        <v>5.36</v>
      </c>
    </row>
    <row r="1758" spans="1:25" x14ac:dyDescent="0.2">
      <c r="A1758" s="3" t="s">
        <v>4011</v>
      </c>
      <c r="B1758" s="3" t="s">
        <v>1688</v>
      </c>
      <c r="C1758" s="6" t="s">
        <v>354</v>
      </c>
      <c r="D1758" s="6" t="s">
        <v>216</v>
      </c>
      <c r="E1758" s="6" t="s">
        <v>163</v>
      </c>
      <c r="F1758" s="6">
        <v>19544.36</v>
      </c>
      <c r="G1758" s="2">
        <v>12</v>
      </c>
      <c r="H1758" s="61">
        <v>6.47</v>
      </c>
      <c r="I1758" s="61">
        <v>7.3</v>
      </c>
      <c r="J1758" s="47">
        <f t="shared" si="135"/>
        <v>-0.46083333333333337</v>
      </c>
      <c r="K1758" s="47">
        <f t="shared" si="136"/>
        <v>0.12828438948995366</v>
      </c>
      <c r="L1758" s="8">
        <v>7.83</v>
      </c>
      <c r="M1758" s="8">
        <v>24.5</v>
      </c>
      <c r="N1758" s="8">
        <v>22.01</v>
      </c>
      <c r="O1758" s="17">
        <f t="shared" si="137"/>
        <v>-0.53164556962025311</v>
      </c>
      <c r="P1758" s="17">
        <f t="shared" si="138"/>
        <v>1.7157192771084335</v>
      </c>
      <c r="Q1758" s="17">
        <v>20.52</v>
      </c>
      <c r="R1758" s="9">
        <v>20220725</v>
      </c>
      <c r="S1758" s="9">
        <v>5.09</v>
      </c>
      <c r="T1758" s="9">
        <v>19.72</v>
      </c>
      <c r="U1758" s="9">
        <v>2605.7099600000001</v>
      </c>
      <c r="V1758" s="45">
        <f t="shared" si="139"/>
        <v>-0.99243200498032413</v>
      </c>
      <c r="W1758" s="12">
        <v>0.75</v>
      </c>
      <c r="X1758" s="12">
        <v>2.19</v>
      </c>
      <c r="Y1758" s="62">
        <v>2.5</v>
      </c>
    </row>
    <row r="1759" spans="1:25" x14ac:dyDescent="0.2">
      <c r="A1759" s="3" t="s">
        <v>4012</v>
      </c>
      <c r="B1759" s="3" t="s">
        <v>1909</v>
      </c>
      <c r="C1759" s="6" t="s">
        <v>354</v>
      </c>
      <c r="D1759" s="6" t="s">
        <v>118</v>
      </c>
      <c r="E1759" s="6" t="s">
        <v>140</v>
      </c>
      <c r="F1759" s="6">
        <v>3231.21</v>
      </c>
      <c r="G1759" s="2">
        <v>12</v>
      </c>
      <c r="H1759" s="61">
        <v>1.06</v>
      </c>
      <c r="I1759" s="61">
        <v>1.44</v>
      </c>
      <c r="J1759" s="47">
        <f t="shared" si="135"/>
        <v>-0.91166666666666663</v>
      </c>
      <c r="K1759" s="47">
        <f t="shared" si="136"/>
        <v>0.35849056603773571</v>
      </c>
      <c r="L1759" s="8">
        <v>1.89</v>
      </c>
      <c r="M1759" s="8">
        <v>26.56</v>
      </c>
      <c r="N1759" s="8">
        <v>19</v>
      </c>
      <c r="O1759" s="17">
        <f t="shared" si="137"/>
        <v>-0.29133455210237663</v>
      </c>
      <c r="P1759" s="17">
        <f t="shared" si="138"/>
        <v>0.53000000000000025</v>
      </c>
      <c r="Q1759" s="17">
        <v>14.51</v>
      </c>
      <c r="R1759" s="9">
        <v>20220803</v>
      </c>
      <c r="S1759" s="9">
        <v>7.02</v>
      </c>
      <c r="T1759" s="9">
        <v>6.51</v>
      </c>
      <c r="U1759" s="9">
        <v>2364.3569299999999</v>
      </c>
      <c r="V1759" s="45">
        <f t="shared" si="139"/>
        <v>-0.99724660861589953</v>
      </c>
      <c r="W1759" s="12">
        <v>-2.5</v>
      </c>
      <c r="X1759" s="12">
        <v>0</v>
      </c>
      <c r="Y1759" s="62"/>
    </row>
    <row r="1760" spans="1:25" x14ac:dyDescent="0.2">
      <c r="A1760" s="3" t="s">
        <v>4013</v>
      </c>
      <c r="B1760" s="3" t="s">
        <v>1689</v>
      </c>
      <c r="C1760" s="6" t="s">
        <v>354</v>
      </c>
      <c r="D1760" s="6" t="s">
        <v>209</v>
      </c>
      <c r="E1760" s="6" t="s">
        <v>218</v>
      </c>
      <c r="F1760" s="6">
        <v>4107.8900000000003</v>
      </c>
      <c r="G1760" s="2">
        <v>12</v>
      </c>
      <c r="H1760" s="61">
        <v>6.31</v>
      </c>
      <c r="I1760" s="61">
        <v>6.66</v>
      </c>
      <c r="J1760" s="47">
        <f t="shared" si="135"/>
        <v>-0.47416666666666668</v>
      </c>
      <c r="K1760" s="47">
        <f t="shared" si="136"/>
        <v>5.5467511885895493E-2</v>
      </c>
      <c r="L1760" s="8">
        <v>4.62</v>
      </c>
      <c r="M1760" s="8">
        <v>6.84</v>
      </c>
      <c r="N1760" s="8">
        <v>6.16</v>
      </c>
      <c r="O1760" s="17">
        <f t="shared" si="137"/>
        <v>-0.14425307557117747</v>
      </c>
      <c r="P1760" s="17">
        <f t="shared" si="138"/>
        <v>1.1105599999999982</v>
      </c>
      <c r="Q1760" s="17">
        <v>8.8800000000000008</v>
      </c>
      <c r="R1760" s="9">
        <v>20220802</v>
      </c>
      <c r="S1760" s="9">
        <v>70.31</v>
      </c>
      <c r="T1760" s="9">
        <v>1.24</v>
      </c>
      <c r="U1760" s="9">
        <v>27086.400389999999</v>
      </c>
      <c r="V1760" s="45">
        <f t="shared" si="139"/>
        <v>-0.9999542205689147</v>
      </c>
      <c r="W1760" s="12">
        <v>160.66999999999999</v>
      </c>
      <c r="X1760" s="12">
        <v>8.0500000000000007</v>
      </c>
      <c r="Y1760" s="62"/>
    </row>
    <row r="1761" spans="1:25" x14ac:dyDescent="0.2">
      <c r="A1761" s="3" t="s">
        <v>4014</v>
      </c>
      <c r="B1761" s="3" t="s">
        <v>1690</v>
      </c>
      <c r="C1761" s="6" t="s">
        <v>356</v>
      </c>
      <c r="D1761" s="6" t="s">
        <v>1093</v>
      </c>
      <c r="E1761" s="6" t="s">
        <v>119</v>
      </c>
      <c r="F1761" s="6">
        <v>5590.55</v>
      </c>
      <c r="G1761" s="2">
        <v>12</v>
      </c>
      <c r="H1761" s="61">
        <v>1.72</v>
      </c>
      <c r="I1761" s="61">
        <v>3.17</v>
      </c>
      <c r="J1761" s="47">
        <f t="shared" si="135"/>
        <v>-0.85666666666666658</v>
      </c>
      <c r="K1761" s="47">
        <f t="shared" si="136"/>
        <v>0.84302325581395343</v>
      </c>
      <c r="L1761" s="8">
        <v>3.64</v>
      </c>
      <c r="M1761" s="8">
        <v>12.93</v>
      </c>
      <c r="N1761" s="8">
        <v>10.07</v>
      </c>
      <c r="O1761" s="17">
        <f t="shared" si="137"/>
        <v>-0.15093385214007785</v>
      </c>
      <c r="P1761" s="17">
        <f t="shared" si="138"/>
        <v>0.11945103448275864</v>
      </c>
      <c r="Q1761" s="17">
        <v>8.77</v>
      </c>
      <c r="R1761" s="9">
        <v>20220531</v>
      </c>
      <c r="S1761" s="9">
        <v>9.89</v>
      </c>
      <c r="T1761" s="9">
        <v>6.16</v>
      </c>
      <c r="U1761" s="9">
        <v>3959.5400300000001</v>
      </c>
      <c r="V1761" s="45">
        <f t="shared" si="139"/>
        <v>-0.99844426373939199</v>
      </c>
      <c r="X1761" s="12">
        <v>1.87</v>
      </c>
      <c r="Y1761" s="62"/>
    </row>
    <row r="1762" spans="1:25" x14ac:dyDescent="0.2">
      <c r="A1762" s="3" t="s">
        <v>2045</v>
      </c>
      <c r="B1762" s="3" t="s">
        <v>2046</v>
      </c>
      <c r="C1762" s="6" t="s">
        <v>356</v>
      </c>
      <c r="D1762" s="6" t="s">
        <v>215</v>
      </c>
      <c r="E1762" s="6" t="s">
        <v>163</v>
      </c>
      <c r="F1762" s="6">
        <v>3635.2</v>
      </c>
      <c r="G1762" s="2">
        <v>12</v>
      </c>
      <c r="H1762" s="61">
        <v>7.0000000000000007E-2</v>
      </c>
      <c r="I1762" s="61">
        <v>0.08</v>
      </c>
      <c r="J1762" s="47">
        <f t="shared" si="135"/>
        <v>-0.99416666666666664</v>
      </c>
      <c r="K1762" s="47">
        <f t="shared" si="136"/>
        <v>0.14285714285714277</v>
      </c>
      <c r="L1762" s="8">
        <v>0.08</v>
      </c>
      <c r="N1762" s="8">
        <v>16</v>
      </c>
      <c r="O1762" s="17">
        <f t="shared" si="137"/>
        <v>0</v>
      </c>
      <c r="P1762" s="17">
        <f t="shared" si="138"/>
        <v>1.1200000000000008</v>
      </c>
      <c r="Q1762" s="17">
        <v>16</v>
      </c>
      <c r="R1762" s="9">
        <v>20220426</v>
      </c>
      <c r="U1762" s="9">
        <v>298.52999</v>
      </c>
      <c r="V1762" s="45">
        <f t="shared" si="139"/>
        <v>-1</v>
      </c>
      <c r="X1762" s="12">
        <v>0</v>
      </c>
      <c r="Y1762" s="62"/>
    </row>
    <row r="1763" spans="1:25" x14ac:dyDescent="0.2">
      <c r="A1763" s="3" t="s">
        <v>2284</v>
      </c>
      <c r="B1763" s="3" t="s">
        <v>2285</v>
      </c>
      <c r="C1763" s="6" t="s">
        <v>356</v>
      </c>
      <c r="D1763" s="6" t="s">
        <v>69</v>
      </c>
      <c r="E1763" s="6" t="s">
        <v>163</v>
      </c>
      <c r="F1763" s="6">
        <v>24516</v>
      </c>
      <c r="G1763" s="2">
        <v>12</v>
      </c>
      <c r="H1763" s="61"/>
      <c r="I1763" s="61"/>
      <c r="J1763" s="47">
        <f t="shared" si="135"/>
        <v>-1</v>
      </c>
      <c r="K1763" s="47" t="e">
        <f t="shared" si="136"/>
        <v>#DIV/0!</v>
      </c>
      <c r="M1763" s="8">
        <v>8.35</v>
      </c>
      <c r="O1763" s="17">
        <f t="shared" si="137"/>
        <v>-8.3499999999999991E-2</v>
      </c>
      <c r="P1763" s="17" t="e">
        <f t="shared" si="138"/>
        <v>#DIV/0!</v>
      </c>
      <c r="Q1763" s="17"/>
      <c r="R1763" s="9">
        <v>20220601</v>
      </c>
      <c r="S1763" s="9">
        <v>13.57</v>
      </c>
      <c r="T1763" s="9">
        <v>-2.2000000000000002</v>
      </c>
      <c r="V1763" s="45" t="e">
        <f t="shared" si="139"/>
        <v>#DIV/0!</v>
      </c>
      <c r="X1763" s="12">
        <v>0</v>
      </c>
      <c r="Y1763" s="62"/>
    </row>
    <row r="1764" spans="1:25" x14ac:dyDescent="0.2">
      <c r="A1764" s="3" t="s">
        <v>4015</v>
      </c>
      <c r="B1764" s="3" t="s">
        <v>4016</v>
      </c>
      <c r="C1764" s="6" t="s">
        <v>356</v>
      </c>
      <c r="D1764" s="6" t="s">
        <v>221</v>
      </c>
      <c r="E1764" s="6" t="s">
        <v>231</v>
      </c>
      <c r="F1764" s="6">
        <v>36769.61</v>
      </c>
      <c r="G1764" s="2">
        <v>2</v>
      </c>
      <c r="H1764" s="61">
        <v>1.1499999999999999</v>
      </c>
      <c r="I1764" s="61">
        <v>1.51</v>
      </c>
      <c r="J1764" s="47">
        <f t="shared" si="135"/>
        <v>-0.42500000000000004</v>
      </c>
      <c r="K1764" s="47">
        <f t="shared" si="136"/>
        <v>0.3130434782608697</v>
      </c>
      <c r="L1764" s="8">
        <v>1.92</v>
      </c>
      <c r="M1764" s="8">
        <v>16.2</v>
      </c>
      <c r="N1764" s="8">
        <v>13.73</v>
      </c>
      <c r="O1764" s="17">
        <f t="shared" si="137"/>
        <v>-0.38117647058823523</v>
      </c>
      <c r="P1764" s="17">
        <f t="shared" si="138"/>
        <v>0.43859722222222203</v>
      </c>
      <c r="Q1764" s="17">
        <v>10.8</v>
      </c>
      <c r="R1764" s="9">
        <v>20220714</v>
      </c>
      <c r="S1764" s="9">
        <v>8.18</v>
      </c>
      <c r="T1764" s="9">
        <v>4.24</v>
      </c>
      <c r="U1764" s="9">
        <v>95488.179680000001</v>
      </c>
      <c r="V1764" s="45">
        <f t="shared" si="139"/>
        <v>-0.99995559659829925</v>
      </c>
      <c r="X1764" s="12">
        <v>0.72</v>
      </c>
      <c r="Y1764" s="62"/>
    </row>
    <row r="1765" spans="1:25" x14ac:dyDescent="0.2">
      <c r="A1765" s="3" t="s">
        <v>4017</v>
      </c>
      <c r="B1765" s="3" t="s">
        <v>1691</v>
      </c>
      <c r="C1765" s="6" t="s">
        <v>355</v>
      </c>
      <c r="D1765" s="6" t="s">
        <v>191</v>
      </c>
      <c r="E1765" s="6" t="s">
        <v>208</v>
      </c>
      <c r="F1765" s="6">
        <v>6037.02</v>
      </c>
      <c r="G1765" s="2">
        <v>12</v>
      </c>
      <c r="H1765" s="61">
        <v>-0.54</v>
      </c>
      <c r="I1765" s="61">
        <v>1.85</v>
      </c>
      <c r="J1765" s="47">
        <f t="shared" si="135"/>
        <v>-1.0449999999999999</v>
      </c>
      <c r="K1765" s="47">
        <f t="shared" si="136"/>
        <v>4.4259259259259256</v>
      </c>
      <c r="L1765" s="8">
        <v>2.77</v>
      </c>
      <c r="M1765" s="8">
        <v>219.05</v>
      </c>
      <c r="N1765" s="8">
        <v>91.07</v>
      </c>
      <c r="O1765" s="17">
        <f t="shared" si="137"/>
        <v>-2.0961722488038279</v>
      </c>
      <c r="P1765" s="17">
        <f t="shared" si="138"/>
        <v>0.20576485355648536</v>
      </c>
      <c r="Q1765" s="17">
        <v>60.8</v>
      </c>
      <c r="R1765" s="9">
        <v>20220808</v>
      </c>
      <c r="S1765" s="9">
        <v>12.36</v>
      </c>
      <c r="T1765" s="9">
        <v>142.63</v>
      </c>
      <c r="U1765" s="9">
        <v>450.59399000000002</v>
      </c>
      <c r="V1765" s="45">
        <f t="shared" si="139"/>
        <v>-0.68346226721754544</v>
      </c>
      <c r="W1765" s="12">
        <v>105.26</v>
      </c>
      <c r="X1765" s="12">
        <v>0</v>
      </c>
      <c r="Y1765" s="62"/>
    </row>
    <row r="1766" spans="1:25" x14ac:dyDescent="0.2">
      <c r="A1766" s="3" t="s">
        <v>4018</v>
      </c>
      <c r="B1766" s="3" t="s">
        <v>1692</v>
      </c>
      <c r="C1766" s="6" t="s">
        <v>354</v>
      </c>
      <c r="D1766" s="6" t="s">
        <v>233</v>
      </c>
      <c r="E1766" s="6" t="s">
        <v>108</v>
      </c>
      <c r="F1766" s="6">
        <v>8248.56</v>
      </c>
      <c r="G1766" s="2">
        <v>12</v>
      </c>
      <c r="H1766" s="61">
        <v>0.17</v>
      </c>
      <c r="I1766" s="61">
        <v>0.21</v>
      </c>
      <c r="J1766" s="47">
        <f t="shared" si="135"/>
        <v>-0.98583333333333334</v>
      </c>
      <c r="K1766" s="47">
        <f t="shared" si="136"/>
        <v>0.23529411764705868</v>
      </c>
      <c r="L1766" s="8">
        <v>0.25</v>
      </c>
      <c r="M1766" s="8">
        <v>281</v>
      </c>
      <c r="N1766" s="8">
        <v>158.68</v>
      </c>
      <c r="O1766" s="17">
        <f t="shared" si="137"/>
        <v>-2.8503803888419275</v>
      </c>
      <c r="P1766" s="17">
        <f t="shared" si="138"/>
        <v>6.7439000000000036</v>
      </c>
      <c r="Q1766" s="17">
        <v>135.97</v>
      </c>
      <c r="R1766" s="9">
        <v>20220804</v>
      </c>
      <c r="S1766" s="9">
        <v>2.81</v>
      </c>
      <c r="T1766" s="9">
        <v>11.9</v>
      </c>
      <c r="U1766" s="9">
        <v>671.59001999999998</v>
      </c>
      <c r="V1766" s="45">
        <f t="shared" si="139"/>
        <v>-0.98228085640700857</v>
      </c>
      <c r="W1766" s="12">
        <v>-20</v>
      </c>
      <c r="X1766" s="12">
        <v>0.62</v>
      </c>
      <c r="Y1766" s="62"/>
    </row>
    <row r="1767" spans="1:25" x14ac:dyDescent="0.2">
      <c r="A1767" s="3" t="s">
        <v>4019</v>
      </c>
      <c r="B1767" s="3" t="s">
        <v>2286</v>
      </c>
      <c r="C1767" s="6" t="s">
        <v>356</v>
      </c>
      <c r="D1767" s="6" t="s">
        <v>69</v>
      </c>
      <c r="E1767" s="6" t="s">
        <v>163</v>
      </c>
      <c r="F1767" s="6">
        <v>17704.57</v>
      </c>
      <c r="G1767" s="2">
        <v>12</v>
      </c>
      <c r="H1767" s="61"/>
      <c r="I1767" s="61">
        <v>1.79</v>
      </c>
      <c r="J1767" s="47">
        <f t="shared" si="135"/>
        <v>-1</v>
      </c>
      <c r="K1767" s="47" t="e">
        <f t="shared" si="136"/>
        <v>#DIV/0!</v>
      </c>
      <c r="L1767" s="8">
        <v>1.87</v>
      </c>
      <c r="M1767" s="8">
        <v>7.48</v>
      </c>
      <c r="N1767" s="8">
        <v>8.74</v>
      </c>
      <c r="O1767" s="17">
        <f t="shared" si="137"/>
        <v>-7.4800000000000005E-2</v>
      </c>
      <c r="P1767" s="17" t="e">
        <f t="shared" si="138"/>
        <v>#DIV/0!</v>
      </c>
      <c r="Q1767" s="17">
        <v>8.36</v>
      </c>
      <c r="R1767" s="9">
        <v>20220715</v>
      </c>
      <c r="S1767" s="9">
        <v>12.73</v>
      </c>
      <c r="T1767" s="9">
        <v>-16.600000000000001</v>
      </c>
      <c r="V1767" s="45" t="e">
        <f t="shared" si="139"/>
        <v>#DIV/0!</v>
      </c>
      <c r="W1767" s="12">
        <v>0</v>
      </c>
      <c r="X1767" s="12">
        <v>6.25</v>
      </c>
      <c r="Y1767" s="62">
        <v>0.26</v>
      </c>
    </row>
    <row r="1768" spans="1:25" x14ac:dyDescent="0.2">
      <c r="A1768" s="3" t="s">
        <v>4020</v>
      </c>
      <c r="B1768" s="3" t="s">
        <v>1693</v>
      </c>
      <c r="C1768" s="6" t="s">
        <v>354</v>
      </c>
      <c r="D1768" s="6" t="s">
        <v>521</v>
      </c>
      <c r="E1768" s="6" t="s">
        <v>201</v>
      </c>
      <c r="F1768" s="6">
        <v>17994.98</v>
      </c>
      <c r="G1768" s="2">
        <v>12</v>
      </c>
      <c r="H1768" s="61">
        <v>10.86</v>
      </c>
      <c r="I1768" s="61">
        <v>10.039999999999999</v>
      </c>
      <c r="J1768" s="47">
        <f t="shared" si="135"/>
        <v>-9.5000000000000043E-2</v>
      </c>
      <c r="K1768" s="47">
        <f t="shared" si="136"/>
        <v>-7.5506445672191558E-2</v>
      </c>
      <c r="L1768" s="8">
        <v>11.37</v>
      </c>
      <c r="M1768" s="8">
        <v>11.81</v>
      </c>
      <c r="N1768" s="8">
        <v>11.87</v>
      </c>
      <c r="O1768" s="17">
        <f t="shared" si="137"/>
        <v>-1.2431578947368418</v>
      </c>
      <c r="P1768" s="17">
        <f t="shared" si="138"/>
        <v>-1.5720512195121945</v>
      </c>
      <c r="Q1768" s="17">
        <v>10.49</v>
      </c>
      <c r="R1768" s="9">
        <v>20220726</v>
      </c>
      <c r="S1768" s="9">
        <v>16.16</v>
      </c>
      <c r="T1768" s="9">
        <v>6.77</v>
      </c>
      <c r="U1768" s="9">
        <v>19186.820309999999</v>
      </c>
      <c r="V1768" s="45">
        <f t="shared" si="139"/>
        <v>-0.99964715362469558</v>
      </c>
      <c r="W1768" s="12">
        <v>25</v>
      </c>
      <c r="X1768" s="12">
        <v>2.65</v>
      </c>
      <c r="Y1768" s="62">
        <v>1.32</v>
      </c>
    </row>
    <row r="1769" spans="1:25" x14ac:dyDescent="0.2">
      <c r="A1769" s="3" t="s">
        <v>4021</v>
      </c>
      <c r="B1769" s="3" t="s">
        <v>1694</v>
      </c>
      <c r="C1769" s="6" t="s">
        <v>355</v>
      </c>
      <c r="D1769" s="6" t="s">
        <v>1513</v>
      </c>
      <c r="E1769" s="6" t="s">
        <v>119</v>
      </c>
      <c r="F1769" s="6">
        <v>16823.22</v>
      </c>
      <c r="G1769" s="2">
        <v>9</v>
      </c>
      <c r="H1769" s="61">
        <v>10.42</v>
      </c>
      <c r="I1769" s="61">
        <v>11.05</v>
      </c>
      <c r="J1769" s="47">
        <f t="shared" si="135"/>
        <v>0.15777777777777777</v>
      </c>
      <c r="K1769" s="47">
        <f t="shared" si="136"/>
        <v>6.0460652591170901E-2</v>
      </c>
      <c r="L1769" s="8">
        <v>12.05</v>
      </c>
      <c r="M1769" s="8">
        <v>9.92</v>
      </c>
      <c r="N1769" s="8">
        <v>9.4600000000000009</v>
      </c>
      <c r="O1769" s="17">
        <f t="shared" si="137"/>
        <v>0.62873239436619721</v>
      </c>
      <c r="P1769" s="17">
        <f t="shared" si="138"/>
        <v>1.5646539682539664</v>
      </c>
      <c r="Q1769" s="17">
        <v>8.67</v>
      </c>
      <c r="R1769" s="9">
        <v>20220804</v>
      </c>
      <c r="S1769" s="9">
        <v>30.6</v>
      </c>
      <c r="T1769" s="9">
        <v>6.38</v>
      </c>
      <c r="U1769" s="9">
        <v>5509.0678699999999</v>
      </c>
      <c r="V1769" s="45">
        <f t="shared" si="139"/>
        <v>-0.99884190934826877</v>
      </c>
      <c r="W1769" s="12">
        <v>0.38</v>
      </c>
      <c r="X1769" s="12">
        <v>2.14</v>
      </c>
      <c r="Y1769" s="62">
        <v>0.73</v>
      </c>
    </row>
    <row r="1770" spans="1:25" x14ac:dyDescent="0.2">
      <c r="A1770" s="3" t="s">
        <v>4022</v>
      </c>
      <c r="B1770" s="3" t="s">
        <v>1695</v>
      </c>
      <c r="C1770" s="6" t="s">
        <v>356</v>
      </c>
      <c r="D1770" s="6" t="s">
        <v>544</v>
      </c>
      <c r="E1770" s="6" t="s">
        <v>146</v>
      </c>
      <c r="F1770" s="6">
        <v>15928.63</v>
      </c>
      <c r="G1770" s="2">
        <v>12</v>
      </c>
      <c r="H1770" s="61">
        <v>0.41</v>
      </c>
      <c r="I1770" s="61">
        <v>0.46</v>
      </c>
      <c r="J1770" s="47">
        <f t="shared" si="135"/>
        <v>-0.96583333333333332</v>
      </c>
      <c r="K1770" s="47">
        <f t="shared" si="136"/>
        <v>0.12195121951219524</v>
      </c>
      <c r="L1770" s="8">
        <v>0.49</v>
      </c>
      <c r="M1770" s="8">
        <v>23.74</v>
      </c>
      <c r="N1770" s="8">
        <v>22.71</v>
      </c>
      <c r="O1770" s="17">
        <f t="shared" si="137"/>
        <v>-0.24579810181190681</v>
      </c>
      <c r="P1770" s="17">
        <f t="shared" si="138"/>
        <v>1.8622199999999982</v>
      </c>
      <c r="Q1770" s="17">
        <v>21.32</v>
      </c>
      <c r="R1770" s="9">
        <v>20220719</v>
      </c>
      <c r="S1770" s="9">
        <v>-81.47</v>
      </c>
      <c r="T1770" s="9">
        <v>14.61</v>
      </c>
      <c r="U1770" s="9">
        <v>2246.4799800000001</v>
      </c>
      <c r="V1770" s="45">
        <f t="shared" si="139"/>
        <v>-0.993496492232261</v>
      </c>
      <c r="W1770" s="12">
        <v>22.22</v>
      </c>
      <c r="X1770" s="12">
        <v>0.61</v>
      </c>
      <c r="Y1770" s="62"/>
    </row>
    <row r="1771" spans="1:25" x14ac:dyDescent="0.2">
      <c r="A1771" s="3" t="s">
        <v>4023</v>
      </c>
      <c r="B1771" s="3" t="s">
        <v>2047</v>
      </c>
      <c r="C1771" s="6" t="s">
        <v>354</v>
      </c>
      <c r="D1771" s="6" t="s">
        <v>200</v>
      </c>
      <c r="E1771" s="6" t="s">
        <v>218</v>
      </c>
      <c r="F1771" s="6">
        <v>9822.35</v>
      </c>
      <c r="G1771" s="2">
        <v>12</v>
      </c>
      <c r="H1771" s="61">
        <v>1</v>
      </c>
      <c r="I1771" s="61">
        <v>1.51</v>
      </c>
      <c r="J1771" s="47">
        <f t="shared" si="135"/>
        <v>-0.91666666666666663</v>
      </c>
      <c r="K1771" s="47">
        <f t="shared" si="136"/>
        <v>0.51</v>
      </c>
      <c r="L1771" s="8">
        <v>2.0299999999999998</v>
      </c>
      <c r="M1771" s="8">
        <v>7.72</v>
      </c>
      <c r="N1771" s="8">
        <v>5.84</v>
      </c>
      <c r="O1771" s="17">
        <f t="shared" si="137"/>
        <v>-8.4218181818181831E-2</v>
      </c>
      <c r="P1771" s="17">
        <f t="shared" si="138"/>
        <v>0.11450980392156862</v>
      </c>
      <c r="Q1771" s="17">
        <v>4.33</v>
      </c>
      <c r="R1771" s="9">
        <v>20220804</v>
      </c>
      <c r="S1771" s="9">
        <v>203.77</v>
      </c>
      <c r="T1771" s="9">
        <v>8.06</v>
      </c>
      <c r="U1771" s="9">
        <v>7836.4941399999998</v>
      </c>
      <c r="V1771" s="45">
        <f t="shared" si="139"/>
        <v>-0.99897147884551341</v>
      </c>
      <c r="W1771" s="12">
        <v>11.11</v>
      </c>
      <c r="X1771" s="12">
        <v>0</v>
      </c>
      <c r="Y1771" s="62"/>
    </row>
    <row r="1772" spans="1:25" x14ac:dyDescent="0.2">
      <c r="A1772" s="3" t="s">
        <v>4024</v>
      </c>
      <c r="B1772" s="3" t="s">
        <v>1696</v>
      </c>
      <c r="C1772" s="6" t="s">
        <v>356</v>
      </c>
      <c r="D1772" s="6" t="s">
        <v>235</v>
      </c>
      <c r="E1772" s="6" t="s">
        <v>237</v>
      </c>
      <c r="F1772" s="6">
        <v>23106.6</v>
      </c>
      <c r="G1772" s="2">
        <v>12</v>
      </c>
      <c r="H1772" s="61">
        <v>0.63</v>
      </c>
      <c r="I1772" s="61">
        <v>0.64</v>
      </c>
      <c r="J1772" s="47">
        <f t="shared" si="135"/>
        <v>-0.9474999999999999</v>
      </c>
      <c r="K1772" s="47">
        <f t="shared" si="136"/>
        <v>1.5873015873015886E-2</v>
      </c>
      <c r="L1772" s="8">
        <v>0.81</v>
      </c>
      <c r="N1772" s="8">
        <v>9.2799999999999994</v>
      </c>
      <c r="O1772" s="17">
        <f t="shared" si="137"/>
        <v>0</v>
      </c>
      <c r="P1772" s="17">
        <f t="shared" si="138"/>
        <v>5.8463999999999947</v>
      </c>
      <c r="Q1772" s="17">
        <v>7.33</v>
      </c>
      <c r="V1772" s="45" t="e">
        <f t="shared" si="139"/>
        <v>#DIV/0!</v>
      </c>
      <c r="X1772" s="12">
        <v>6.19</v>
      </c>
      <c r="Y1772" s="62"/>
    </row>
    <row r="1773" spans="1:25" x14ac:dyDescent="0.2">
      <c r="A1773" s="3" t="s">
        <v>4025</v>
      </c>
      <c r="B1773" s="3" t="s">
        <v>1697</v>
      </c>
      <c r="C1773" s="6" t="s">
        <v>354</v>
      </c>
      <c r="D1773" s="6" t="s">
        <v>264</v>
      </c>
      <c r="E1773" s="6" t="s">
        <v>250</v>
      </c>
      <c r="F1773" s="6">
        <v>6243.31</v>
      </c>
      <c r="G1773" s="2">
        <v>12</v>
      </c>
      <c r="H1773" s="61">
        <v>4.05</v>
      </c>
      <c r="I1773" s="61">
        <v>4.57</v>
      </c>
      <c r="J1773" s="47">
        <f t="shared" si="135"/>
        <v>-0.66249999999999998</v>
      </c>
      <c r="K1773" s="47">
        <f t="shared" si="136"/>
        <v>0.12839506172839518</v>
      </c>
      <c r="L1773" s="8">
        <v>4.87</v>
      </c>
      <c r="M1773" s="8">
        <v>24.38</v>
      </c>
      <c r="N1773" s="8">
        <v>20.45</v>
      </c>
      <c r="O1773" s="17">
        <f t="shared" si="137"/>
        <v>-0.36799999999999999</v>
      </c>
      <c r="P1773" s="17">
        <f t="shared" si="138"/>
        <v>1.5927403846153829</v>
      </c>
      <c r="Q1773" s="17">
        <v>19.190000000000001</v>
      </c>
      <c r="R1773" s="9">
        <v>20220804</v>
      </c>
      <c r="S1773" s="9">
        <v>7.62</v>
      </c>
      <c r="T1773" s="9">
        <v>9.3800000000000008</v>
      </c>
      <c r="U1773" s="9">
        <v>4609.2597599999999</v>
      </c>
      <c r="V1773" s="45">
        <f t="shared" si="139"/>
        <v>-0.99796496607082086</v>
      </c>
      <c r="W1773" s="12">
        <v>-13.86</v>
      </c>
      <c r="X1773" s="12">
        <v>2.66</v>
      </c>
      <c r="Y1773" s="62">
        <v>4.09</v>
      </c>
    </row>
    <row r="1774" spans="1:25" x14ac:dyDescent="0.2">
      <c r="A1774" s="3" t="s">
        <v>4026</v>
      </c>
      <c r="B1774" s="3" t="s">
        <v>1698</v>
      </c>
      <c r="C1774" s="6" t="s">
        <v>354</v>
      </c>
      <c r="D1774" s="6" t="s">
        <v>128</v>
      </c>
      <c r="E1774" s="6" t="s">
        <v>60</v>
      </c>
      <c r="F1774" s="6">
        <v>3656.85</v>
      </c>
      <c r="G1774" s="2">
        <v>12</v>
      </c>
      <c r="H1774" s="61">
        <v>3.08</v>
      </c>
      <c r="I1774" s="61"/>
      <c r="J1774" s="47">
        <f t="shared" si="135"/>
        <v>-0.74333333333333329</v>
      </c>
      <c r="K1774" s="47">
        <f t="shared" si="136"/>
        <v>-1</v>
      </c>
      <c r="M1774" s="8">
        <v>26.77</v>
      </c>
      <c r="O1774" s="17">
        <f t="shared" si="137"/>
        <v>-0.36013452914798211</v>
      </c>
      <c r="P1774" s="17">
        <f t="shared" si="138"/>
        <v>0</v>
      </c>
      <c r="Q1774" s="17"/>
      <c r="R1774" s="9">
        <v>20220722</v>
      </c>
      <c r="S1774" s="9">
        <v>14.45</v>
      </c>
      <c r="T1774" s="9">
        <v>-0.37</v>
      </c>
      <c r="V1774" s="45" t="e">
        <f t="shared" si="139"/>
        <v>#DIV/0!</v>
      </c>
      <c r="X1774" s="12">
        <v>1.89</v>
      </c>
      <c r="Y1774" s="62"/>
    </row>
    <row r="1775" spans="1:25" x14ac:dyDescent="0.2">
      <c r="A1775" s="3" t="s">
        <v>1699</v>
      </c>
      <c r="B1775" s="3" t="s">
        <v>1700</v>
      </c>
      <c r="C1775" s="6" t="s">
        <v>354</v>
      </c>
      <c r="D1775" s="6" t="s">
        <v>151</v>
      </c>
      <c r="E1775" s="6" t="s">
        <v>163</v>
      </c>
      <c r="F1775" s="6">
        <v>17642.38</v>
      </c>
      <c r="G1775" s="2">
        <v>12</v>
      </c>
      <c r="H1775" s="61">
        <v>7.33</v>
      </c>
      <c r="I1775" s="61">
        <v>5.76</v>
      </c>
      <c r="J1775" s="47">
        <f t="shared" si="135"/>
        <v>-0.38916666666666666</v>
      </c>
      <c r="K1775" s="47">
        <f t="shared" si="136"/>
        <v>-0.21418826739427016</v>
      </c>
      <c r="L1775" s="8">
        <v>5.75</v>
      </c>
      <c r="M1775" s="8">
        <v>5.03</v>
      </c>
      <c r="N1775" s="8">
        <v>6.11</v>
      </c>
      <c r="O1775" s="17">
        <f t="shared" si="137"/>
        <v>-0.12925053533190581</v>
      </c>
      <c r="P1775" s="17">
        <f t="shared" si="138"/>
        <v>-0.28526305732484075</v>
      </c>
      <c r="Q1775" s="17">
        <v>6.12</v>
      </c>
      <c r="R1775" s="9">
        <v>20220719</v>
      </c>
      <c r="S1775" s="9">
        <v>29.99</v>
      </c>
      <c r="T1775" s="9">
        <v>-1.73</v>
      </c>
      <c r="U1775" s="9">
        <v>15216.55761</v>
      </c>
      <c r="V1775" s="45">
        <f t="shared" si="139"/>
        <v>-1.0001136919429703</v>
      </c>
      <c r="W1775" s="12">
        <v>13.07</v>
      </c>
      <c r="X1775" s="12">
        <v>2.5</v>
      </c>
      <c r="Y1775" s="62">
        <v>0.27</v>
      </c>
    </row>
    <row r="1776" spans="1:25" x14ac:dyDescent="0.2">
      <c r="A1776" s="3" t="s">
        <v>4027</v>
      </c>
      <c r="B1776" s="3" t="s">
        <v>1701</v>
      </c>
      <c r="C1776" s="6" t="s">
        <v>356</v>
      </c>
      <c r="D1776" s="6" t="s">
        <v>700</v>
      </c>
      <c r="E1776" s="6" t="s">
        <v>154</v>
      </c>
      <c r="F1776" s="6">
        <v>15223.97</v>
      </c>
      <c r="G1776" s="2">
        <v>12</v>
      </c>
      <c r="H1776" s="61">
        <v>0.81</v>
      </c>
      <c r="I1776" s="61">
        <v>0.85</v>
      </c>
      <c r="J1776" s="47">
        <f t="shared" si="135"/>
        <v>-0.9325</v>
      </c>
      <c r="K1776" s="47">
        <f t="shared" si="136"/>
        <v>4.9382716049382616E-2</v>
      </c>
      <c r="L1776" s="8">
        <v>0.96</v>
      </c>
      <c r="N1776" s="8">
        <v>32.159999999999997</v>
      </c>
      <c r="O1776" s="17">
        <f t="shared" si="137"/>
        <v>0</v>
      </c>
      <c r="P1776" s="17">
        <f t="shared" si="138"/>
        <v>6.5124000000000128</v>
      </c>
      <c r="Q1776" s="17">
        <v>28.36</v>
      </c>
      <c r="U1776" s="9">
        <v>4697.125</v>
      </c>
      <c r="V1776" s="45">
        <f t="shared" si="139"/>
        <v>-1</v>
      </c>
      <c r="X1776" s="12">
        <v>0.64</v>
      </c>
      <c r="Y1776" s="62">
        <v>1.94</v>
      </c>
    </row>
    <row r="1777" spans="1:25" x14ac:dyDescent="0.2">
      <c r="A1777" s="3" t="s">
        <v>4028</v>
      </c>
      <c r="B1777" s="3" t="s">
        <v>1702</v>
      </c>
      <c r="C1777" s="6" t="s">
        <v>354</v>
      </c>
      <c r="D1777" s="6" t="s">
        <v>193</v>
      </c>
      <c r="E1777" s="6" t="s">
        <v>208</v>
      </c>
      <c r="F1777" s="6">
        <v>88843.520000000004</v>
      </c>
      <c r="G1777" s="2">
        <v>12</v>
      </c>
      <c r="H1777" s="61">
        <v>9.1</v>
      </c>
      <c r="I1777" s="61">
        <v>9.64</v>
      </c>
      <c r="J1777" s="47">
        <f t="shared" si="135"/>
        <v>-0.2416666666666667</v>
      </c>
      <c r="K1777" s="47">
        <f t="shared" si="136"/>
        <v>5.9340659340659442E-2</v>
      </c>
      <c r="L1777" s="8">
        <v>10.76</v>
      </c>
      <c r="M1777" s="8">
        <v>25.73</v>
      </c>
      <c r="N1777" s="8">
        <v>24.37</v>
      </c>
      <c r="O1777" s="17">
        <f t="shared" si="137"/>
        <v>-1.0646896551724137</v>
      </c>
      <c r="P1777" s="17">
        <f t="shared" si="138"/>
        <v>4.1067962962962898</v>
      </c>
      <c r="Q1777" s="17">
        <v>21.83</v>
      </c>
      <c r="R1777" s="9">
        <v>20220726</v>
      </c>
      <c r="S1777" s="9">
        <v>24.09</v>
      </c>
      <c r="T1777" s="9">
        <v>7.21</v>
      </c>
      <c r="U1777" s="9">
        <v>18425.578119999998</v>
      </c>
      <c r="V1777" s="45">
        <f t="shared" si="139"/>
        <v>-0.99960869613137548</v>
      </c>
      <c r="W1777" s="12">
        <v>2.0699999999999998</v>
      </c>
      <c r="X1777" s="12">
        <v>1.18</v>
      </c>
      <c r="Y1777" s="62">
        <v>2.66</v>
      </c>
    </row>
    <row r="1778" spans="1:25" x14ac:dyDescent="0.2">
      <c r="A1778" s="3" t="s">
        <v>4029</v>
      </c>
      <c r="B1778" s="3" t="s">
        <v>1703</v>
      </c>
      <c r="C1778" s="6" t="s">
        <v>355</v>
      </c>
      <c r="D1778" s="6" t="s">
        <v>143</v>
      </c>
      <c r="E1778" s="6" t="s">
        <v>119</v>
      </c>
      <c r="F1778" s="6">
        <v>5659.47</v>
      </c>
      <c r="G1778" s="2">
        <v>6</v>
      </c>
      <c r="H1778" s="61">
        <v>8.17</v>
      </c>
      <c r="I1778" s="61">
        <v>13.38</v>
      </c>
      <c r="J1778" s="47">
        <f t="shared" si="135"/>
        <v>0.36166666666666664</v>
      </c>
      <c r="K1778" s="47">
        <f t="shared" si="136"/>
        <v>0.63769889840881289</v>
      </c>
      <c r="L1778" s="8">
        <v>13.59</v>
      </c>
      <c r="M1778" s="8">
        <v>12.04</v>
      </c>
      <c r="N1778" s="8">
        <v>10.68</v>
      </c>
      <c r="O1778" s="17">
        <f t="shared" si="137"/>
        <v>0.3329032258064516</v>
      </c>
      <c r="P1778" s="17">
        <f t="shared" si="138"/>
        <v>0.16747715930902107</v>
      </c>
      <c r="Q1778" s="17">
        <v>10.52</v>
      </c>
      <c r="R1778" s="9">
        <v>20220804</v>
      </c>
      <c r="S1778" s="9">
        <v>34.97</v>
      </c>
      <c r="T1778" s="9">
        <v>-5.27</v>
      </c>
      <c r="U1778" s="9">
        <v>1738.15002</v>
      </c>
      <c r="V1778" s="45">
        <f t="shared" si="139"/>
        <v>-1.0030319592321495</v>
      </c>
      <c r="W1778" s="12">
        <v>5.63</v>
      </c>
      <c r="X1778" s="12">
        <v>0</v>
      </c>
      <c r="Y1778" s="62"/>
    </row>
    <row r="1779" spans="1:25" x14ac:dyDescent="0.2">
      <c r="A1779" s="3" t="s">
        <v>4030</v>
      </c>
      <c r="B1779" s="3" t="s">
        <v>1704</v>
      </c>
      <c r="C1779" s="6" t="s">
        <v>355</v>
      </c>
      <c r="D1779" s="6" t="s">
        <v>194</v>
      </c>
      <c r="E1779" s="6" t="s">
        <v>208</v>
      </c>
      <c r="F1779" s="6">
        <v>7377.2</v>
      </c>
      <c r="G1779" s="2">
        <v>12</v>
      </c>
      <c r="H1779" s="61">
        <v>4.41</v>
      </c>
      <c r="I1779" s="61">
        <v>5.14</v>
      </c>
      <c r="J1779" s="47">
        <f t="shared" si="135"/>
        <v>-0.63249999999999995</v>
      </c>
      <c r="K1779" s="47">
        <f t="shared" si="136"/>
        <v>0.16553287981859399</v>
      </c>
      <c r="L1779" s="8">
        <v>5.74</v>
      </c>
      <c r="M1779" s="8">
        <v>15.37</v>
      </c>
      <c r="N1779" s="8">
        <v>14</v>
      </c>
      <c r="O1779" s="17">
        <f t="shared" si="137"/>
        <v>-0.24300395256916998</v>
      </c>
      <c r="P1779" s="17">
        <f t="shared" si="138"/>
        <v>0.84575342465753489</v>
      </c>
      <c r="Q1779" s="17">
        <v>12.52</v>
      </c>
      <c r="R1779" s="9">
        <v>20220808</v>
      </c>
      <c r="S1779" s="9">
        <v>13.33</v>
      </c>
      <c r="T1779" s="9">
        <v>18.02</v>
      </c>
      <c r="U1779" s="9">
        <v>5664.5761700000003</v>
      </c>
      <c r="V1779" s="45">
        <f t="shared" si="139"/>
        <v>-0.99681882642951547</v>
      </c>
      <c r="W1779" s="12">
        <v>5.21</v>
      </c>
      <c r="X1779" s="12">
        <v>0</v>
      </c>
      <c r="Y1779" s="62"/>
    </row>
    <row r="1780" spans="1:25" x14ac:dyDescent="0.2">
      <c r="A1780" s="3" t="s">
        <v>4031</v>
      </c>
      <c r="B1780" s="3" t="s">
        <v>1705</v>
      </c>
      <c r="C1780" s="6" t="s">
        <v>354</v>
      </c>
      <c r="D1780" s="6" t="s">
        <v>155</v>
      </c>
      <c r="E1780" s="6" t="s">
        <v>154</v>
      </c>
      <c r="F1780" s="6">
        <v>42204.97</v>
      </c>
      <c r="G1780" s="2">
        <v>6</v>
      </c>
      <c r="H1780" s="61">
        <v>1.31</v>
      </c>
      <c r="I1780" s="61">
        <v>3.23</v>
      </c>
      <c r="J1780" s="47">
        <f t="shared" si="135"/>
        <v>-0.78166666666666662</v>
      </c>
      <c r="K1780" s="47">
        <f t="shared" si="136"/>
        <v>1.4656488549618318</v>
      </c>
      <c r="L1780" s="8">
        <v>4.32</v>
      </c>
      <c r="M1780" s="8">
        <v>29.38</v>
      </c>
      <c r="N1780" s="8">
        <v>25.66</v>
      </c>
      <c r="O1780" s="17">
        <f t="shared" si="137"/>
        <v>-0.37586353944562906</v>
      </c>
      <c r="P1780" s="17">
        <f t="shared" si="138"/>
        <v>0.17507604166666668</v>
      </c>
      <c r="Q1780" s="17">
        <v>19.18</v>
      </c>
      <c r="R1780" s="9">
        <v>20220809</v>
      </c>
      <c r="S1780" s="9">
        <v>100.62</v>
      </c>
      <c r="T1780" s="9">
        <v>-1.38</v>
      </c>
      <c r="U1780" s="9">
        <v>67995.390620000006</v>
      </c>
      <c r="V1780" s="45">
        <f t="shared" si="139"/>
        <v>-1.0000202954933772</v>
      </c>
      <c r="W1780" s="12">
        <v>31.48</v>
      </c>
      <c r="X1780" s="12">
        <v>2.27</v>
      </c>
      <c r="Y1780" s="62">
        <v>2.33</v>
      </c>
    </row>
    <row r="1781" spans="1:25" x14ac:dyDescent="0.2">
      <c r="A1781" s="3" t="s">
        <v>4032</v>
      </c>
      <c r="B1781" s="3" t="s">
        <v>1706</v>
      </c>
      <c r="C1781" s="6" t="s">
        <v>356</v>
      </c>
      <c r="D1781" s="6" t="s">
        <v>46</v>
      </c>
      <c r="E1781" s="6" t="s">
        <v>35</v>
      </c>
      <c r="F1781" s="6">
        <v>14329.72</v>
      </c>
      <c r="G1781" s="2">
        <v>3</v>
      </c>
      <c r="H1781" s="61">
        <v>11.74</v>
      </c>
      <c r="I1781" s="61">
        <v>14.85</v>
      </c>
      <c r="J1781" s="47">
        <f t="shared" si="135"/>
        <v>2.9133333333333336</v>
      </c>
      <c r="K1781" s="47">
        <f t="shared" si="136"/>
        <v>0.2649063032367972</v>
      </c>
      <c r="L1781" s="8">
        <v>18.07</v>
      </c>
      <c r="M1781" s="8">
        <v>8.68</v>
      </c>
      <c r="N1781" s="8">
        <v>7.86</v>
      </c>
      <c r="O1781" s="17">
        <f t="shared" si="137"/>
        <v>2.9794050343249424E-2</v>
      </c>
      <c r="P1781" s="17">
        <f t="shared" si="138"/>
        <v>0.2967086816720258</v>
      </c>
      <c r="Q1781" s="17">
        <v>6.46</v>
      </c>
      <c r="R1781" s="9">
        <v>20220804</v>
      </c>
      <c r="S1781" s="9">
        <v>8.69</v>
      </c>
      <c r="U1781" s="9">
        <v>34542.445310000003</v>
      </c>
      <c r="V1781" s="45">
        <f t="shared" si="139"/>
        <v>-1</v>
      </c>
      <c r="W1781" s="12">
        <v>0.62</v>
      </c>
      <c r="X1781" s="12">
        <v>2.23</v>
      </c>
      <c r="Y1781" s="62"/>
    </row>
    <row r="1782" spans="1:25" x14ac:dyDescent="0.2">
      <c r="A1782" s="3" t="s">
        <v>4033</v>
      </c>
      <c r="B1782" s="3" t="s">
        <v>1707</v>
      </c>
      <c r="C1782" s="6" t="s">
        <v>354</v>
      </c>
      <c r="D1782" s="6" t="s">
        <v>277</v>
      </c>
      <c r="E1782" s="6" t="s">
        <v>119</v>
      </c>
      <c r="F1782" s="6">
        <v>152629.88</v>
      </c>
      <c r="G1782" s="2">
        <v>12</v>
      </c>
      <c r="H1782" s="61">
        <v>3.37</v>
      </c>
      <c r="I1782" s="61">
        <v>2.5299999999999998</v>
      </c>
      <c r="J1782" s="47">
        <f t="shared" si="135"/>
        <v>-0.71916666666666662</v>
      </c>
      <c r="K1782" s="47">
        <f t="shared" si="136"/>
        <v>-0.24925816023738881</v>
      </c>
      <c r="L1782" s="8">
        <v>2.54</v>
      </c>
      <c r="M1782" s="8">
        <v>6.44</v>
      </c>
      <c r="N1782" s="8">
        <v>8.42</v>
      </c>
      <c r="O1782" s="17">
        <f t="shared" si="137"/>
        <v>-8.9548088064889939E-2</v>
      </c>
      <c r="P1782" s="17">
        <f t="shared" si="138"/>
        <v>-0.3378023809523808</v>
      </c>
      <c r="Q1782" s="17">
        <v>8.41</v>
      </c>
      <c r="R1782" s="9">
        <v>20220728</v>
      </c>
      <c r="S1782" s="9">
        <v>13.19</v>
      </c>
      <c r="T1782" s="9">
        <v>1.44</v>
      </c>
      <c r="U1782" s="9">
        <v>127566.8125</v>
      </c>
      <c r="V1782" s="45">
        <f t="shared" si="139"/>
        <v>-0.9999887117975923</v>
      </c>
      <c r="W1782" s="12">
        <v>-1.28</v>
      </c>
      <c r="X1782" s="12">
        <v>5.21</v>
      </c>
      <c r="Y1782" s="62">
        <v>2.36</v>
      </c>
    </row>
    <row r="1783" spans="1:25" x14ac:dyDescent="0.2">
      <c r="A1783" s="3" t="s">
        <v>4034</v>
      </c>
      <c r="B1783" s="3" t="s">
        <v>4035</v>
      </c>
      <c r="C1783" s="6" t="s">
        <v>354</v>
      </c>
      <c r="D1783" s="6" t="s">
        <v>246</v>
      </c>
      <c r="E1783" s="6" t="s">
        <v>250</v>
      </c>
      <c r="F1783" s="6">
        <v>3057.82</v>
      </c>
      <c r="G1783" s="2">
        <v>12</v>
      </c>
      <c r="H1783" s="61">
        <v>-1.37</v>
      </c>
      <c r="I1783" s="61">
        <v>0.64</v>
      </c>
      <c r="J1783" s="47">
        <f t="shared" si="135"/>
        <v>-1.1141666666666667</v>
      </c>
      <c r="K1783" s="47">
        <f t="shared" si="136"/>
        <v>1.4671532846715329</v>
      </c>
      <c r="L1783" s="8">
        <v>0.34</v>
      </c>
      <c r="M1783" s="8">
        <v>15.91</v>
      </c>
      <c r="N1783" s="8">
        <v>17.75</v>
      </c>
      <c r="O1783" s="17">
        <f t="shared" si="137"/>
        <v>-0.14279730740463725</v>
      </c>
      <c r="P1783" s="17">
        <f t="shared" si="138"/>
        <v>0.12098258706467661</v>
      </c>
      <c r="Q1783" s="17">
        <v>33.56</v>
      </c>
      <c r="R1783" s="9">
        <v>20220809</v>
      </c>
      <c r="S1783" s="9">
        <v>14.13</v>
      </c>
      <c r="T1783" s="9">
        <v>3.49</v>
      </c>
      <c r="U1783" s="9">
        <v>2013.1800499999999</v>
      </c>
      <c r="V1783" s="45">
        <f t="shared" si="139"/>
        <v>-0.99826642430715529</v>
      </c>
      <c r="W1783" s="12">
        <v>450</v>
      </c>
      <c r="X1783" s="12">
        <v>1.39</v>
      </c>
      <c r="Y1783" s="62"/>
    </row>
    <row r="1784" spans="1:25" x14ac:dyDescent="0.2">
      <c r="A1784" s="3" t="s">
        <v>1708</v>
      </c>
      <c r="B1784" s="3" t="s">
        <v>1709</v>
      </c>
      <c r="C1784" s="6" t="s">
        <v>354</v>
      </c>
      <c r="D1784" s="6" t="s">
        <v>187</v>
      </c>
      <c r="E1784" s="6" t="s">
        <v>208</v>
      </c>
      <c r="F1784" s="6">
        <v>46961.26</v>
      </c>
      <c r="G1784" s="2">
        <v>3</v>
      </c>
      <c r="H1784" s="61">
        <v>2</v>
      </c>
      <c r="I1784" s="61">
        <v>2.2000000000000002</v>
      </c>
      <c r="J1784" s="47">
        <f t="shared" si="135"/>
        <v>-0.33333333333333331</v>
      </c>
      <c r="K1784" s="47">
        <f t="shared" si="136"/>
        <v>0.10000000000000009</v>
      </c>
      <c r="M1784" s="8">
        <v>7.89</v>
      </c>
      <c r="N1784" s="8">
        <v>6.75</v>
      </c>
      <c r="O1784" s="17">
        <f t="shared" si="137"/>
        <v>-0.23670000000000002</v>
      </c>
      <c r="P1784" s="17">
        <f t="shared" si="138"/>
        <v>0.67499999999999938</v>
      </c>
      <c r="Q1784" s="17"/>
      <c r="R1784" s="9">
        <v>20220729</v>
      </c>
      <c r="S1784" s="9">
        <v>12.2</v>
      </c>
      <c r="T1784" s="9">
        <v>21.74</v>
      </c>
      <c r="U1784" s="9">
        <v>31492.730459999999</v>
      </c>
      <c r="V1784" s="45">
        <f t="shared" si="139"/>
        <v>-0.99930968195890113</v>
      </c>
      <c r="X1784" s="12">
        <v>4.47</v>
      </c>
      <c r="Y1784" s="62"/>
    </row>
    <row r="1785" spans="1:25" x14ac:dyDescent="0.2">
      <c r="A1785" s="3" t="s">
        <v>4036</v>
      </c>
      <c r="B1785" s="3" t="s">
        <v>1710</v>
      </c>
      <c r="C1785" s="6" t="s">
        <v>354</v>
      </c>
      <c r="D1785" s="6" t="s">
        <v>116</v>
      </c>
      <c r="E1785" s="6" t="s">
        <v>154</v>
      </c>
      <c r="F1785" s="6">
        <v>11827.34</v>
      </c>
      <c r="G1785" s="2">
        <v>12</v>
      </c>
      <c r="H1785" s="61">
        <v>4.2</v>
      </c>
      <c r="I1785" s="61">
        <v>4</v>
      </c>
      <c r="J1785" s="47">
        <f t="shared" si="135"/>
        <v>-0.65</v>
      </c>
      <c r="K1785" s="47">
        <f t="shared" si="136"/>
        <v>-4.7619047619047658E-2</v>
      </c>
      <c r="L1785" s="8">
        <v>4.3099999999999996</v>
      </c>
      <c r="M1785" s="8">
        <v>12.31</v>
      </c>
      <c r="N1785" s="8">
        <v>13.64</v>
      </c>
      <c r="O1785" s="17">
        <f t="shared" si="137"/>
        <v>-0.1893846153846154</v>
      </c>
      <c r="P1785" s="17">
        <f t="shared" si="138"/>
        <v>-2.8643999999999981</v>
      </c>
      <c r="Q1785" s="17">
        <v>12.65</v>
      </c>
      <c r="R1785" s="9">
        <v>20220804</v>
      </c>
      <c r="S1785" s="9">
        <v>7.12</v>
      </c>
      <c r="T1785" s="9">
        <v>-1.61</v>
      </c>
      <c r="U1785" s="9">
        <v>10717.150390000001</v>
      </c>
      <c r="V1785" s="45">
        <f t="shared" si="139"/>
        <v>-1.0001502265006472</v>
      </c>
      <c r="W1785" s="12">
        <v>61.11</v>
      </c>
      <c r="X1785" s="12">
        <v>2.79</v>
      </c>
      <c r="Y1785" s="62">
        <v>2.88</v>
      </c>
    </row>
    <row r="1786" spans="1:25" x14ac:dyDescent="0.2">
      <c r="A1786" s="3" t="s">
        <v>4037</v>
      </c>
      <c r="B1786" s="3" t="s">
        <v>4038</v>
      </c>
      <c r="C1786" s="6" t="s">
        <v>356</v>
      </c>
      <c r="D1786" s="6" t="s">
        <v>155</v>
      </c>
      <c r="E1786" s="6" t="s">
        <v>154</v>
      </c>
      <c r="F1786" s="6">
        <v>3437.84</v>
      </c>
      <c r="G1786" s="2">
        <v>3</v>
      </c>
      <c r="H1786" s="61">
        <v>1.46</v>
      </c>
      <c r="I1786" s="61">
        <v>2.92</v>
      </c>
      <c r="J1786" s="47">
        <f t="shared" si="135"/>
        <v>-0.51333333333333331</v>
      </c>
      <c r="K1786" s="47">
        <f t="shared" si="136"/>
        <v>1</v>
      </c>
      <c r="L1786" s="8">
        <v>3.34</v>
      </c>
      <c r="N1786" s="8">
        <v>13.7</v>
      </c>
      <c r="O1786" s="17">
        <f t="shared" si="137"/>
        <v>0</v>
      </c>
      <c r="P1786" s="17">
        <f t="shared" si="138"/>
        <v>0.13699999999999998</v>
      </c>
      <c r="Q1786" s="17">
        <v>11.97</v>
      </c>
      <c r="R1786" s="9">
        <v>20220526</v>
      </c>
      <c r="U1786" s="9">
        <v>2285.3998999999999</v>
      </c>
      <c r="V1786" s="45">
        <f t="shared" si="139"/>
        <v>-1</v>
      </c>
      <c r="X1786" s="12">
        <v>2.65</v>
      </c>
      <c r="Y1786" s="62"/>
    </row>
    <row r="1787" spans="1:25" x14ac:dyDescent="0.2">
      <c r="A1787" s="3" t="s">
        <v>4039</v>
      </c>
      <c r="B1787" s="3" t="s">
        <v>1711</v>
      </c>
      <c r="C1787" s="6" t="s">
        <v>356</v>
      </c>
      <c r="D1787" s="6" t="s">
        <v>176</v>
      </c>
      <c r="E1787" s="6" t="s">
        <v>119</v>
      </c>
      <c r="F1787" s="6">
        <v>423227.28</v>
      </c>
      <c r="G1787" s="2">
        <v>12</v>
      </c>
      <c r="H1787" s="61">
        <v>2.09</v>
      </c>
      <c r="I1787" s="61">
        <v>1.58</v>
      </c>
      <c r="J1787" s="47">
        <f t="shared" si="135"/>
        <v>-0.82583333333333331</v>
      </c>
      <c r="K1787" s="47">
        <f t="shared" si="136"/>
        <v>-0.24401913875598077</v>
      </c>
      <c r="L1787" s="8">
        <v>2.17</v>
      </c>
      <c r="M1787" s="8">
        <v>23.55</v>
      </c>
      <c r="N1787" s="8">
        <v>27.87</v>
      </c>
      <c r="O1787" s="17">
        <f t="shared" si="137"/>
        <v>-0.28516649848637743</v>
      </c>
      <c r="P1787" s="17">
        <f t="shared" si="138"/>
        <v>-1.1421235294117653</v>
      </c>
      <c r="Q1787" s="17">
        <v>20.29</v>
      </c>
      <c r="R1787" s="9">
        <v>20220817</v>
      </c>
      <c r="S1787" s="9">
        <v>9.4700000000000006</v>
      </c>
      <c r="T1787" s="9">
        <v>25.31</v>
      </c>
      <c r="U1787" s="9">
        <v>86395.9375</v>
      </c>
      <c r="V1787" s="45">
        <f t="shared" si="139"/>
        <v>-0.99970704641060237</v>
      </c>
      <c r="W1787" s="12">
        <v>-16.670000000000002</v>
      </c>
      <c r="X1787" s="12">
        <v>0.41</v>
      </c>
      <c r="Y1787" s="62"/>
    </row>
    <row r="1788" spans="1:25" x14ac:dyDescent="0.2">
      <c r="A1788" s="3" t="s">
        <v>4040</v>
      </c>
      <c r="B1788" s="3" t="s">
        <v>4041</v>
      </c>
      <c r="C1788" s="6" t="s">
        <v>354</v>
      </c>
      <c r="D1788" s="6" t="s">
        <v>213</v>
      </c>
      <c r="E1788" s="6" t="s">
        <v>163</v>
      </c>
      <c r="F1788" s="6">
        <v>3305.73</v>
      </c>
      <c r="G1788" s="2">
        <v>12</v>
      </c>
      <c r="H1788" s="61">
        <v>0.55000000000000004</v>
      </c>
      <c r="I1788" s="61">
        <v>0.62</v>
      </c>
      <c r="J1788" s="47">
        <f t="shared" si="135"/>
        <v>-0.95416666666666661</v>
      </c>
      <c r="K1788" s="47">
        <f t="shared" si="136"/>
        <v>0.12727272727272718</v>
      </c>
      <c r="L1788" s="8">
        <v>0.74</v>
      </c>
      <c r="N1788" s="8">
        <v>19.38</v>
      </c>
      <c r="O1788" s="17">
        <f t="shared" si="137"/>
        <v>0</v>
      </c>
      <c r="P1788" s="17">
        <f t="shared" si="138"/>
        <v>1.5227142857142868</v>
      </c>
      <c r="Q1788" s="17">
        <v>16.25</v>
      </c>
      <c r="R1788" s="9">
        <v>20220809</v>
      </c>
      <c r="U1788" s="9">
        <v>541.33001000000002</v>
      </c>
      <c r="V1788" s="45">
        <f t="shared" si="139"/>
        <v>-1</v>
      </c>
      <c r="W1788" s="12">
        <v>-6.67</v>
      </c>
      <c r="X1788" s="12">
        <v>1.92</v>
      </c>
      <c r="Y1788" s="62"/>
    </row>
    <row r="1789" spans="1:25" x14ac:dyDescent="0.2">
      <c r="A1789" s="3" t="s">
        <v>4042</v>
      </c>
      <c r="B1789" s="3" t="s">
        <v>1910</v>
      </c>
      <c r="C1789" s="6" t="s">
        <v>355</v>
      </c>
      <c r="D1789" s="6" t="s">
        <v>621</v>
      </c>
      <c r="E1789" s="6" t="s">
        <v>146</v>
      </c>
      <c r="F1789" s="6">
        <v>12658.13</v>
      </c>
      <c r="G1789" s="2">
        <v>12</v>
      </c>
      <c r="H1789" s="61">
        <v>0.16</v>
      </c>
      <c r="I1789" s="61">
        <v>0.2</v>
      </c>
      <c r="J1789" s="47">
        <f t="shared" si="135"/>
        <v>-0.98666666666666669</v>
      </c>
      <c r="K1789" s="47">
        <f t="shared" si="136"/>
        <v>0.25000000000000006</v>
      </c>
      <c r="L1789" s="8">
        <v>0.92</v>
      </c>
      <c r="M1789" s="8">
        <v>62.09</v>
      </c>
      <c r="N1789" s="8">
        <v>105.55</v>
      </c>
      <c r="O1789" s="17">
        <f t="shared" si="137"/>
        <v>-0.62929054054054057</v>
      </c>
      <c r="P1789" s="17">
        <f t="shared" si="138"/>
        <v>4.2219999999999986</v>
      </c>
      <c r="Q1789" s="17">
        <v>23.07</v>
      </c>
      <c r="R1789" s="9">
        <v>20220531</v>
      </c>
      <c r="S1789" s="9">
        <v>0.19</v>
      </c>
      <c r="T1789" s="9">
        <v>-5.71</v>
      </c>
      <c r="U1789" s="9">
        <v>3389.2748999999999</v>
      </c>
      <c r="V1789" s="45">
        <f t="shared" si="139"/>
        <v>-1.0016847261341946</v>
      </c>
      <c r="W1789" s="12">
        <v>188.89</v>
      </c>
      <c r="X1789" s="12">
        <v>0</v>
      </c>
      <c r="Y1789" s="62"/>
    </row>
    <row r="1790" spans="1:25" x14ac:dyDescent="0.2">
      <c r="A1790" s="3" t="s">
        <v>4043</v>
      </c>
      <c r="B1790" s="3" t="s">
        <v>1911</v>
      </c>
      <c r="C1790" s="6" t="s">
        <v>356</v>
      </c>
      <c r="D1790" s="6" t="s">
        <v>155</v>
      </c>
      <c r="E1790" s="6" t="s">
        <v>154</v>
      </c>
      <c r="F1790" s="6">
        <v>9891.2000000000007</v>
      </c>
      <c r="G1790" s="2">
        <v>12</v>
      </c>
      <c r="H1790" s="61"/>
      <c r="I1790" s="61">
        <v>0.09</v>
      </c>
      <c r="J1790" s="47">
        <f t="shared" si="135"/>
        <v>-1</v>
      </c>
      <c r="K1790" s="47" t="e">
        <f t="shared" si="136"/>
        <v>#DIV/0!</v>
      </c>
      <c r="L1790" s="8">
        <v>0.1</v>
      </c>
      <c r="N1790" s="8">
        <v>19.559999999999999</v>
      </c>
      <c r="O1790" s="17">
        <f t="shared" si="137"/>
        <v>0</v>
      </c>
      <c r="P1790" s="17" t="e">
        <f t="shared" si="138"/>
        <v>#DIV/0!</v>
      </c>
      <c r="Q1790" s="17">
        <v>17.600000000000001</v>
      </c>
      <c r="U1790" s="9">
        <v>12556.490229999999</v>
      </c>
      <c r="V1790" s="45">
        <f t="shared" si="139"/>
        <v>-1</v>
      </c>
      <c r="X1790" s="12">
        <v>3.15</v>
      </c>
      <c r="Y1790" s="62"/>
    </row>
    <row r="1791" spans="1:25" x14ac:dyDescent="0.2">
      <c r="A1791" s="3" t="s">
        <v>4044</v>
      </c>
      <c r="B1791" s="3" t="s">
        <v>1712</v>
      </c>
      <c r="C1791" s="6" t="s">
        <v>354</v>
      </c>
      <c r="D1791" s="6" t="s">
        <v>69</v>
      </c>
      <c r="E1791" s="6" t="s">
        <v>163</v>
      </c>
      <c r="F1791" s="6">
        <v>134837.09</v>
      </c>
      <c r="G1791" s="2">
        <v>10</v>
      </c>
      <c r="H1791" s="61">
        <v>6.18</v>
      </c>
      <c r="I1791" s="61">
        <v>6.25</v>
      </c>
      <c r="J1791" s="47">
        <f t="shared" si="135"/>
        <v>-0.38200000000000001</v>
      </c>
      <c r="K1791" s="47">
        <f t="shared" si="136"/>
        <v>1.1326860841423994E-2</v>
      </c>
      <c r="L1791" s="8">
        <v>6.88</v>
      </c>
      <c r="M1791" s="8">
        <v>11.48</v>
      </c>
      <c r="N1791" s="8">
        <v>11.95</v>
      </c>
      <c r="O1791" s="17">
        <f t="shared" si="137"/>
        <v>-0.30052356020942406</v>
      </c>
      <c r="P1791" s="17">
        <f t="shared" si="138"/>
        <v>10.550142857142815</v>
      </c>
      <c r="Q1791" s="17">
        <v>10.85</v>
      </c>
      <c r="R1791" s="9">
        <v>20220825</v>
      </c>
      <c r="S1791" s="9">
        <v>15.86</v>
      </c>
      <c r="T1791" s="9">
        <v>2.67</v>
      </c>
      <c r="U1791" s="9">
        <v>32954.4375</v>
      </c>
      <c r="V1791" s="45">
        <f t="shared" si="139"/>
        <v>-0.99991897904493143</v>
      </c>
      <c r="W1791" s="12">
        <v>8.84</v>
      </c>
      <c r="X1791" s="12">
        <v>3.81</v>
      </c>
      <c r="Y1791" s="62">
        <v>1.62</v>
      </c>
    </row>
    <row r="1792" spans="1:25" x14ac:dyDescent="0.2">
      <c r="A1792" s="3" t="s">
        <v>4045</v>
      </c>
      <c r="B1792" s="3" t="s">
        <v>1912</v>
      </c>
      <c r="C1792" s="6" t="s">
        <v>354</v>
      </c>
      <c r="D1792" s="6" t="s">
        <v>133</v>
      </c>
      <c r="E1792" s="6" t="s">
        <v>119</v>
      </c>
      <c r="F1792" s="6">
        <v>3909.5</v>
      </c>
      <c r="G1792" s="2">
        <v>12</v>
      </c>
      <c r="H1792" s="61">
        <v>2.15</v>
      </c>
      <c r="I1792" s="61">
        <v>1.69</v>
      </c>
      <c r="J1792" s="47">
        <f t="shared" si="135"/>
        <v>-0.8208333333333333</v>
      </c>
      <c r="K1792" s="47">
        <f t="shared" si="136"/>
        <v>-0.21395348837209302</v>
      </c>
      <c r="L1792" s="8">
        <v>2</v>
      </c>
      <c r="M1792" s="8">
        <v>15.62</v>
      </c>
      <c r="N1792" s="8">
        <v>22.09</v>
      </c>
      <c r="O1792" s="17">
        <f t="shared" si="137"/>
        <v>-0.19029441624365481</v>
      </c>
      <c r="P1792" s="17">
        <f t="shared" si="138"/>
        <v>-1.0324673913043478</v>
      </c>
      <c r="Q1792" s="17">
        <v>18.7</v>
      </c>
      <c r="R1792" s="9">
        <v>20220804</v>
      </c>
      <c r="S1792" s="9">
        <v>42.19</v>
      </c>
      <c r="T1792" s="9">
        <v>-3.86</v>
      </c>
      <c r="U1792" s="9">
        <v>1814.13</v>
      </c>
      <c r="V1792" s="45">
        <f t="shared" si="139"/>
        <v>-1.0021277416723167</v>
      </c>
      <c r="W1792" s="12">
        <v>1.56</v>
      </c>
      <c r="X1792" s="12">
        <v>0</v>
      </c>
      <c r="Y1792" s="62">
        <v>0.81</v>
      </c>
    </row>
    <row r="1793" spans="1:25" x14ac:dyDescent="0.2">
      <c r="A1793" s="3" t="s">
        <v>4046</v>
      </c>
      <c r="B1793" s="3" t="s">
        <v>1713</v>
      </c>
      <c r="C1793" s="6" t="s">
        <v>354</v>
      </c>
      <c r="D1793" s="6" t="s">
        <v>24</v>
      </c>
      <c r="E1793" s="6" t="s">
        <v>10</v>
      </c>
      <c r="F1793" s="6">
        <v>33263.379999999997</v>
      </c>
      <c r="G1793" s="2">
        <v>9</v>
      </c>
      <c r="H1793" s="61">
        <v>11.59</v>
      </c>
      <c r="I1793" s="61">
        <v>16.54</v>
      </c>
      <c r="J1793" s="47">
        <f t="shared" si="135"/>
        <v>0.28777777777777774</v>
      </c>
      <c r="K1793" s="47">
        <f t="shared" si="136"/>
        <v>0.42709232096635025</v>
      </c>
      <c r="L1793" s="8">
        <v>22.6</v>
      </c>
      <c r="M1793" s="8">
        <v>41.53</v>
      </c>
      <c r="N1793" s="8">
        <v>36.270000000000003</v>
      </c>
      <c r="O1793" s="17">
        <f t="shared" si="137"/>
        <v>1.4431274131274132</v>
      </c>
      <c r="P1793" s="17">
        <f t="shared" si="138"/>
        <v>0.84923090909090926</v>
      </c>
      <c r="Q1793" s="17">
        <v>26.54</v>
      </c>
      <c r="R1793" s="9">
        <v>20220809</v>
      </c>
      <c r="S1793" s="9">
        <v>-27.39</v>
      </c>
      <c r="T1793" s="9">
        <v>8.9499999999999993</v>
      </c>
      <c r="U1793" s="9">
        <v>5413.1899400000002</v>
      </c>
      <c r="V1793" s="45">
        <f t="shared" si="139"/>
        <v>-0.9983466310808965</v>
      </c>
      <c r="W1793" s="12">
        <v>4.04</v>
      </c>
      <c r="X1793" s="12">
        <v>0</v>
      </c>
      <c r="Y1793" s="62">
        <v>1.63</v>
      </c>
    </row>
    <row r="1794" spans="1:25" x14ac:dyDescent="0.2">
      <c r="A1794" s="3" t="s">
        <v>4047</v>
      </c>
      <c r="B1794" s="3" t="s">
        <v>1714</v>
      </c>
      <c r="C1794" s="6" t="s">
        <v>354</v>
      </c>
      <c r="D1794" s="6" t="s">
        <v>195</v>
      </c>
      <c r="E1794" s="6" t="s">
        <v>208</v>
      </c>
      <c r="F1794" s="6">
        <v>5391.56</v>
      </c>
      <c r="G1794" s="2">
        <v>12</v>
      </c>
      <c r="H1794" s="61">
        <v>-3.23</v>
      </c>
      <c r="I1794" s="61">
        <v>-43.18</v>
      </c>
      <c r="J1794" s="47">
        <f t="shared" si="135"/>
        <v>-1.2691666666666668</v>
      </c>
      <c r="K1794" s="47">
        <f t="shared" si="136"/>
        <v>-12.368421052631581</v>
      </c>
      <c r="L1794" s="8">
        <v>-1.6</v>
      </c>
      <c r="O1794" s="17">
        <f t="shared" si="137"/>
        <v>0</v>
      </c>
      <c r="P1794" s="17">
        <f t="shared" si="138"/>
        <v>0</v>
      </c>
      <c r="Q1794" s="17"/>
      <c r="R1794" s="9">
        <v>20220726</v>
      </c>
      <c r="S1794" s="9">
        <v>-2.12</v>
      </c>
      <c r="T1794" s="9">
        <v>70.31</v>
      </c>
      <c r="U1794" s="9">
        <v>2421.04711</v>
      </c>
      <c r="V1794" s="45">
        <f t="shared" si="139"/>
        <v>-0.9709588468107091</v>
      </c>
      <c r="W1794" s="12">
        <v>14.55</v>
      </c>
      <c r="X1794" s="12">
        <v>0</v>
      </c>
      <c r="Y1794" s="62"/>
    </row>
    <row r="1795" spans="1:25" x14ac:dyDescent="0.2">
      <c r="A1795" s="3" t="s">
        <v>4048</v>
      </c>
      <c r="B1795" s="3" t="s">
        <v>1715</v>
      </c>
      <c r="C1795" s="6" t="s">
        <v>354</v>
      </c>
      <c r="D1795" s="6" t="s">
        <v>24</v>
      </c>
      <c r="E1795" s="6" t="s">
        <v>10</v>
      </c>
      <c r="F1795" s="6">
        <v>18186.740000000002</v>
      </c>
      <c r="G1795" s="2">
        <v>12</v>
      </c>
      <c r="H1795" s="61">
        <v>16.48</v>
      </c>
      <c r="I1795" s="61">
        <v>17.98</v>
      </c>
      <c r="J1795" s="47">
        <f t="shared" ref="J1795:J1858" si="140">(H1795-G1795)/ABS(G1795)</f>
        <v>0.37333333333333335</v>
      </c>
      <c r="K1795" s="47">
        <f t="shared" ref="K1795:K1858" si="141">(I1795-H1795)/ABS(H1795)</f>
        <v>9.1019417475728157E-2</v>
      </c>
      <c r="L1795" s="8">
        <v>19.95</v>
      </c>
      <c r="M1795" s="8">
        <v>21.84</v>
      </c>
      <c r="N1795" s="8">
        <v>21.59</v>
      </c>
      <c r="O1795" s="17">
        <f t="shared" ref="O1795:O1858" si="142">M1795/(J1795*100)</f>
        <v>0.58499999999999996</v>
      </c>
      <c r="P1795" s="17">
        <f t="shared" ref="P1795:P1858" si="143">N1795/(K1795*100)</f>
        <v>2.3720213333333331</v>
      </c>
      <c r="Q1795" s="17">
        <v>19.46</v>
      </c>
      <c r="R1795" s="9">
        <v>20220727</v>
      </c>
      <c r="S1795" s="9">
        <v>10.99</v>
      </c>
      <c r="T1795" s="9">
        <v>12.29</v>
      </c>
      <c r="U1795" s="9">
        <v>5519.9047799999998</v>
      </c>
      <c r="V1795" s="45">
        <f t="shared" ref="V1795:V1858" si="144">(T1795-U1795)/U1795</f>
        <v>-0.99777351231772515</v>
      </c>
      <c r="W1795" s="12">
        <v>4.4000000000000004</v>
      </c>
      <c r="X1795" s="12">
        <v>0</v>
      </c>
      <c r="Y1795" s="62">
        <v>2.13</v>
      </c>
    </row>
    <row r="1796" spans="1:25" x14ac:dyDescent="0.2">
      <c r="A1796" s="3" t="s">
        <v>4049</v>
      </c>
      <c r="B1796" s="3" t="s">
        <v>1716</v>
      </c>
      <c r="C1796" s="6" t="s">
        <v>355</v>
      </c>
      <c r="D1796" s="6" t="s">
        <v>177</v>
      </c>
      <c r="E1796" s="6" t="s">
        <v>119</v>
      </c>
      <c r="F1796" s="6">
        <v>24053.57</v>
      </c>
      <c r="G1796" s="2">
        <v>6</v>
      </c>
      <c r="H1796" s="61">
        <v>1.33</v>
      </c>
      <c r="I1796" s="61">
        <v>1.69</v>
      </c>
      <c r="J1796" s="47">
        <f t="shared" si="140"/>
        <v>-0.77833333333333332</v>
      </c>
      <c r="K1796" s="47">
        <f t="shared" si="141"/>
        <v>0.27067669172932318</v>
      </c>
      <c r="L1796" s="8">
        <v>1.5</v>
      </c>
      <c r="M1796" s="8">
        <v>104.9</v>
      </c>
      <c r="N1796" s="8">
        <v>103.66</v>
      </c>
      <c r="O1796" s="17">
        <f t="shared" si="142"/>
        <v>-1.3477516059957175</v>
      </c>
      <c r="P1796" s="17">
        <f t="shared" si="143"/>
        <v>3.8296611111111125</v>
      </c>
      <c r="Q1796" s="17">
        <v>116.59</v>
      </c>
      <c r="R1796" s="9">
        <v>20220804</v>
      </c>
      <c r="S1796" s="9">
        <v>-56.13</v>
      </c>
      <c r="T1796" s="9">
        <v>34.6</v>
      </c>
      <c r="U1796" s="9">
        <v>2762.3020000000001</v>
      </c>
      <c r="V1796" s="45">
        <f t="shared" si="144"/>
        <v>-0.9874742153464755</v>
      </c>
      <c r="W1796" s="12">
        <v>46.88</v>
      </c>
      <c r="X1796" s="12">
        <v>0</v>
      </c>
      <c r="Y1796" s="62">
        <v>4.6100000000000003</v>
      </c>
    </row>
    <row r="1797" spans="1:25" x14ac:dyDescent="0.2">
      <c r="A1797" s="3" t="s">
        <v>1717</v>
      </c>
      <c r="B1797" s="3" t="s">
        <v>1718</v>
      </c>
      <c r="C1797" s="6" t="s">
        <v>355</v>
      </c>
      <c r="D1797" s="6" t="s">
        <v>185</v>
      </c>
      <c r="E1797" s="6" t="s">
        <v>208</v>
      </c>
      <c r="F1797" s="6">
        <v>14332.79</v>
      </c>
      <c r="G1797" s="2">
        <v>6</v>
      </c>
      <c r="H1797" s="61">
        <v>6.55</v>
      </c>
      <c r="I1797" s="61">
        <v>7.91</v>
      </c>
      <c r="J1797" s="47">
        <f t="shared" si="140"/>
        <v>9.1666666666666632E-2</v>
      </c>
      <c r="K1797" s="47">
        <f t="shared" si="141"/>
        <v>0.20763358778625959</v>
      </c>
      <c r="L1797" s="8">
        <v>9.1199999999999992</v>
      </c>
      <c r="M1797" s="8">
        <v>47.32</v>
      </c>
      <c r="N1797" s="8">
        <v>46.2</v>
      </c>
      <c r="O1797" s="17">
        <f t="shared" si="142"/>
        <v>5.1621818181818204</v>
      </c>
      <c r="P1797" s="17">
        <f t="shared" si="143"/>
        <v>2.2250735294117643</v>
      </c>
      <c r="Q1797" s="17">
        <v>40.049999999999997</v>
      </c>
      <c r="R1797" s="9">
        <v>20220804</v>
      </c>
      <c r="S1797" s="9">
        <v>16.82</v>
      </c>
      <c r="T1797" s="9">
        <v>13.07</v>
      </c>
      <c r="U1797" s="9">
        <v>1108.0190399999999</v>
      </c>
      <c r="V1797" s="45">
        <f t="shared" si="144"/>
        <v>-0.98820417381997339</v>
      </c>
      <c r="W1797" s="12">
        <v>7</v>
      </c>
      <c r="X1797" s="12">
        <v>0.35</v>
      </c>
      <c r="Y1797" s="62">
        <v>1.78</v>
      </c>
    </row>
    <row r="1798" spans="1:25" x14ac:dyDescent="0.2">
      <c r="A1798" s="3" t="s">
        <v>4050</v>
      </c>
      <c r="B1798" s="3" t="s">
        <v>1719</v>
      </c>
      <c r="C1798" s="6" t="s">
        <v>354</v>
      </c>
      <c r="D1798" s="6" t="s">
        <v>197</v>
      </c>
      <c r="E1798" s="6" t="s">
        <v>60</v>
      </c>
      <c r="F1798" s="6">
        <v>22416.799999999999</v>
      </c>
      <c r="G1798" s="2">
        <v>12</v>
      </c>
      <c r="H1798" s="61">
        <v>4.3899999999999997</v>
      </c>
      <c r="I1798" s="61">
        <v>8.19</v>
      </c>
      <c r="J1798" s="47">
        <f t="shared" si="140"/>
        <v>-0.63416666666666666</v>
      </c>
      <c r="K1798" s="47">
        <f t="shared" si="141"/>
        <v>0.86560364464692485</v>
      </c>
      <c r="L1798" s="8">
        <v>5.4</v>
      </c>
      <c r="M1798" s="8">
        <v>6.63</v>
      </c>
      <c r="N1798" s="8">
        <v>5.15</v>
      </c>
      <c r="O1798" s="17">
        <f t="shared" si="142"/>
        <v>-0.10454664914586072</v>
      </c>
      <c r="P1798" s="17">
        <f t="shared" si="143"/>
        <v>5.949605263157895E-2</v>
      </c>
      <c r="Q1798" s="17">
        <v>7.82</v>
      </c>
      <c r="R1798" s="9">
        <v>20220726</v>
      </c>
      <c r="S1798" s="9">
        <v>18.760000000000002</v>
      </c>
      <c r="T1798" s="9">
        <v>-1.5</v>
      </c>
      <c r="U1798" s="9">
        <v>15120.83691</v>
      </c>
      <c r="V1798" s="45">
        <f t="shared" si="144"/>
        <v>-1.0000992008583207</v>
      </c>
      <c r="W1798" s="12">
        <v>4.46</v>
      </c>
      <c r="X1798" s="12">
        <v>0.93</v>
      </c>
      <c r="Y1798" s="62">
        <v>0.13</v>
      </c>
    </row>
    <row r="1799" spans="1:25" x14ac:dyDescent="0.2">
      <c r="A1799" s="3" t="s">
        <v>4051</v>
      </c>
      <c r="B1799" s="3" t="s">
        <v>1720</v>
      </c>
      <c r="C1799" s="6" t="s">
        <v>354</v>
      </c>
      <c r="D1799" s="6" t="s">
        <v>139</v>
      </c>
      <c r="E1799" s="6" t="s">
        <v>250</v>
      </c>
      <c r="F1799" s="6">
        <v>30455.58</v>
      </c>
      <c r="G1799" s="2">
        <v>12</v>
      </c>
      <c r="H1799" s="61">
        <v>1.8</v>
      </c>
      <c r="I1799" s="61">
        <v>0.3</v>
      </c>
      <c r="J1799" s="47">
        <f t="shared" si="140"/>
        <v>-0.85</v>
      </c>
      <c r="K1799" s="47">
        <f t="shared" si="141"/>
        <v>-0.83333333333333326</v>
      </c>
      <c r="L1799" s="8">
        <v>0.34</v>
      </c>
      <c r="M1799" s="8">
        <v>12.55</v>
      </c>
      <c r="N1799" s="8">
        <v>17.37</v>
      </c>
      <c r="O1799" s="17">
        <f t="shared" si="142"/>
        <v>-0.14764705882352941</v>
      </c>
      <c r="P1799" s="17">
        <f t="shared" si="143"/>
        <v>-0.20844000000000001</v>
      </c>
      <c r="Q1799" s="17">
        <v>15.35</v>
      </c>
      <c r="R1799" s="9">
        <v>20220804</v>
      </c>
      <c r="S1799" s="9">
        <v>6.95</v>
      </c>
      <c r="T1799" s="9">
        <v>-5.67</v>
      </c>
      <c r="U1799" s="9">
        <v>41003.816400000003</v>
      </c>
      <c r="V1799" s="45">
        <f t="shared" si="144"/>
        <v>-1.0001382798114373</v>
      </c>
      <c r="X1799" s="12">
        <v>4.1900000000000004</v>
      </c>
      <c r="Y1799" s="62">
        <v>1.0900000000000001</v>
      </c>
    </row>
    <row r="1800" spans="1:25" x14ac:dyDescent="0.2">
      <c r="A1800" s="3" t="s">
        <v>4052</v>
      </c>
      <c r="B1800" s="3" t="s">
        <v>1721</v>
      </c>
      <c r="C1800" s="6" t="s">
        <v>354</v>
      </c>
      <c r="D1800" s="6" t="s">
        <v>141</v>
      </c>
      <c r="E1800" s="6" t="s">
        <v>119</v>
      </c>
      <c r="F1800" s="6">
        <v>40220.18</v>
      </c>
      <c r="G1800" s="2">
        <v>9</v>
      </c>
      <c r="H1800" s="61">
        <v>6.47</v>
      </c>
      <c r="I1800" s="61">
        <v>7.16</v>
      </c>
      <c r="J1800" s="47">
        <f t="shared" si="140"/>
        <v>-0.28111111111111114</v>
      </c>
      <c r="K1800" s="47">
        <f t="shared" si="141"/>
        <v>0.10664605873261213</v>
      </c>
      <c r="L1800" s="8">
        <v>7.77</v>
      </c>
      <c r="M1800" s="8">
        <v>17.71</v>
      </c>
      <c r="N1800" s="8">
        <v>17.45</v>
      </c>
      <c r="O1800" s="17">
        <f t="shared" si="142"/>
        <v>-0.63</v>
      </c>
      <c r="P1800" s="17">
        <f t="shared" si="143"/>
        <v>1.6362536231884046</v>
      </c>
      <c r="Q1800" s="17">
        <v>16.059999999999999</v>
      </c>
      <c r="R1800" s="9">
        <v>20220727</v>
      </c>
      <c r="S1800" s="9">
        <v>22.1</v>
      </c>
      <c r="T1800" s="9">
        <v>0.97</v>
      </c>
      <c r="U1800" s="9">
        <v>15752.82519</v>
      </c>
      <c r="V1800" s="45">
        <f t="shared" si="144"/>
        <v>-0.99993842374378561</v>
      </c>
      <c r="W1800" s="12">
        <v>5.85</v>
      </c>
      <c r="X1800" s="12">
        <v>1.79</v>
      </c>
      <c r="Y1800" s="62">
        <v>1.68</v>
      </c>
    </row>
    <row r="1801" spans="1:25" x14ac:dyDescent="0.2">
      <c r="A1801" s="3" t="s">
        <v>4053</v>
      </c>
      <c r="B1801" s="3" t="s">
        <v>4054</v>
      </c>
      <c r="C1801" s="6" t="s">
        <v>356</v>
      </c>
      <c r="D1801" s="6" t="s">
        <v>139</v>
      </c>
      <c r="E1801" s="6" t="s">
        <v>250</v>
      </c>
      <c r="F1801" s="6">
        <v>19011.64</v>
      </c>
      <c r="G1801" s="2">
        <v>12</v>
      </c>
      <c r="H1801" s="61">
        <v>0.26</v>
      </c>
      <c r="I1801" s="61">
        <v>1.08</v>
      </c>
      <c r="J1801" s="47">
        <f t="shared" si="140"/>
        <v>-0.97833333333333339</v>
      </c>
      <c r="K1801" s="47">
        <f t="shared" si="141"/>
        <v>3.1538461538461542</v>
      </c>
      <c r="L1801" s="8">
        <v>0.98</v>
      </c>
      <c r="M1801" s="8">
        <v>13.45</v>
      </c>
      <c r="N1801" s="8">
        <v>12.62</v>
      </c>
      <c r="O1801" s="17">
        <f t="shared" si="142"/>
        <v>-0.13747870528109027</v>
      </c>
      <c r="P1801" s="17">
        <f t="shared" si="143"/>
        <v>4.001463414634146E-2</v>
      </c>
      <c r="Q1801" s="17">
        <v>13.86</v>
      </c>
      <c r="R1801" s="9">
        <v>20220719</v>
      </c>
      <c r="S1801" s="9">
        <v>39.9</v>
      </c>
      <c r="T1801" s="9">
        <v>-3.45</v>
      </c>
      <c r="U1801" s="9">
        <v>11699.690420000001</v>
      </c>
      <c r="V1801" s="45">
        <f t="shared" si="144"/>
        <v>-1.0002948795973357</v>
      </c>
      <c r="W1801" s="12">
        <v>-33.33</v>
      </c>
      <c r="X1801" s="12">
        <v>6.07</v>
      </c>
      <c r="Y1801" s="62"/>
    </row>
    <row r="1802" spans="1:25" x14ac:dyDescent="0.2">
      <c r="A1802" s="3" t="s">
        <v>4055</v>
      </c>
      <c r="B1802" s="3" t="s">
        <v>1722</v>
      </c>
      <c r="C1802" s="6" t="s">
        <v>355</v>
      </c>
      <c r="D1802" s="6" t="s">
        <v>177</v>
      </c>
      <c r="E1802" s="6" t="s">
        <v>119</v>
      </c>
      <c r="F1802" s="6">
        <v>5473.82</v>
      </c>
      <c r="G1802" s="2">
        <v>12</v>
      </c>
      <c r="H1802" s="61">
        <v>0.31</v>
      </c>
      <c r="I1802" s="61">
        <v>0.18</v>
      </c>
      <c r="J1802" s="47">
        <f t="shared" si="140"/>
        <v>-0.97416666666666663</v>
      </c>
      <c r="K1802" s="47">
        <f t="shared" si="141"/>
        <v>-0.41935483870967744</v>
      </c>
      <c r="L1802" s="8">
        <v>0.4</v>
      </c>
      <c r="M1802" s="8">
        <v>183.33</v>
      </c>
      <c r="N1802" s="8">
        <v>269.39</v>
      </c>
      <c r="O1802" s="17">
        <f t="shared" si="142"/>
        <v>-1.881916167664671</v>
      </c>
      <c r="P1802" s="17">
        <f t="shared" si="143"/>
        <v>-6.423915384615384</v>
      </c>
      <c r="Q1802" s="17">
        <v>122.39</v>
      </c>
      <c r="R1802" s="9">
        <v>20220726</v>
      </c>
      <c r="S1802" s="9">
        <v>-27.76</v>
      </c>
      <c r="T1802" s="9">
        <v>25.51</v>
      </c>
      <c r="U1802" s="9">
        <v>676.28399000000002</v>
      </c>
      <c r="V1802" s="45">
        <f t="shared" si="144"/>
        <v>-0.96227916026815896</v>
      </c>
      <c r="W1802" s="12">
        <v>20</v>
      </c>
      <c r="X1802" s="12">
        <v>0</v>
      </c>
      <c r="Y1802" s="62"/>
    </row>
    <row r="1803" spans="1:25" x14ac:dyDescent="0.2">
      <c r="A1803" s="3" t="s">
        <v>4056</v>
      </c>
      <c r="B1803" s="3" t="s">
        <v>1723</v>
      </c>
      <c r="C1803" s="6" t="s">
        <v>355</v>
      </c>
      <c r="D1803" s="6" t="s">
        <v>144</v>
      </c>
      <c r="E1803" s="6" t="s">
        <v>119</v>
      </c>
      <c r="F1803" s="6">
        <v>16811.71</v>
      </c>
      <c r="G1803" s="2">
        <v>12</v>
      </c>
      <c r="H1803" s="61">
        <v>5.89</v>
      </c>
      <c r="I1803" s="61">
        <v>4.8499999999999996</v>
      </c>
      <c r="J1803" s="47">
        <f t="shared" si="140"/>
        <v>-0.50916666666666666</v>
      </c>
      <c r="K1803" s="47">
        <f t="shared" si="141"/>
        <v>-0.17657045840407473</v>
      </c>
      <c r="L1803" s="8">
        <v>6.52</v>
      </c>
      <c r="M1803" s="8">
        <v>17.940000000000001</v>
      </c>
      <c r="N1803" s="8">
        <v>21.64</v>
      </c>
      <c r="O1803" s="17">
        <f t="shared" si="142"/>
        <v>-0.35234042553191491</v>
      </c>
      <c r="P1803" s="17">
        <f t="shared" si="143"/>
        <v>-1.2255730769230768</v>
      </c>
      <c r="Q1803" s="17">
        <v>16.100000000000001</v>
      </c>
      <c r="R1803" s="9">
        <v>20220726</v>
      </c>
      <c r="S1803" s="9">
        <v>40.67</v>
      </c>
      <c r="T1803" s="9">
        <v>16.010000000000002</v>
      </c>
      <c r="U1803" s="9">
        <v>3427.36303</v>
      </c>
      <c r="V1803" s="45">
        <f t="shared" si="144"/>
        <v>-0.99532877029370292</v>
      </c>
      <c r="W1803" s="12">
        <v>12.64</v>
      </c>
      <c r="X1803" s="12">
        <v>0.42</v>
      </c>
      <c r="Y1803" s="62">
        <v>1.96</v>
      </c>
    </row>
    <row r="1804" spans="1:25" x14ac:dyDescent="0.2">
      <c r="A1804" s="3" t="s">
        <v>4057</v>
      </c>
      <c r="B1804" s="3" t="s">
        <v>1724</v>
      </c>
      <c r="C1804" s="6" t="s">
        <v>354</v>
      </c>
      <c r="D1804" s="6" t="s">
        <v>188</v>
      </c>
      <c r="E1804" s="6" t="s">
        <v>208</v>
      </c>
      <c r="F1804" s="6">
        <v>10018.23</v>
      </c>
      <c r="G1804" s="2">
        <v>12</v>
      </c>
      <c r="H1804" s="61">
        <v>2.56</v>
      </c>
      <c r="I1804" s="61">
        <v>2.4900000000000002</v>
      </c>
      <c r="J1804" s="47">
        <f t="shared" si="140"/>
        <v>-0.78666666666666663</v>
      </c>
      <c r="K1804" s="47">
        <f t="shared" si="141"/>
        <v>-2.7343749999999938E-2</v>
      </c>
      <c r="L1804" s="8">
        <v>2.58</v>
      </c>
      <c r="M1804" s="8">
        <v>3.63</v>
      </c>
      <c r="N1804" s="8">
        <v>3.64</v>
      </c>
      <c r="O1804" s="17">
        <f t="shared" si="142"/>
        <v>-4.6144067796610171E-2</v>
      </c>
      <c r="P1804" s="17">
        <f t="shared" si="143"/>
        <v>-1.331200000000003</v>
      </c>
      <c r="Q1804" s="17">
        <v>3.52</v>
      </c>
      <c r="R1804" s="9">
        <v>20220727</v>
      </c>
      <c r="S1804" s="9">
        <v>24.04</v>
      </c>
      <c r="T1804" s="9">
        <v>-8.19</v>
      </c>
      <c r="U1804" s="9">
        <v>15705.97363</v>
      </c>
      <c r="V1804" s="45">
        <f t="shared" si="144"/>
        <v>-1.000521457643629</v>
      </c>
      <c r="W1804" s="12">
        <v>0</v>
      </c>
      <c r="X1804" s="12">
        <v>0</v>
      </c>
      <c r="Y1804" s="62">
        <v>1.0900000000000001</v>
      </c>
    </row>
    <row r="1805" spans="1:25" x14ac:dyDescent="0.2">
      <c r="A1805" s="3" t="s">
        <v>4058</v>
      </c>
      <c r="B1805" s="3" t="s">
        <v>2287</v>
      </c>
      <c r="C1805" s="6" t="s">
        <v>356</v>
      </c>
      <c r="D1805" s="6" t="s">
        <v>246</v>
      </c>
      <c r="E1805" s="6" t="s">
        <v>250</v>
      </c>
      <c r="F1805" s="6">
        <v>17708.03</v>
      </c>
      <c r="G1805" s="2">
        <v>12</v>
      </c>
      <c r="H1805" s="61"/>
      <c r="I1805" s="61"/>
      <c r="J1805" s="47">
        <f t="shared" si="140"/>
        <v>-1</v>
      </c>
      <c r="K1805" s="47" t="e">
        <f t="shared" si="141"/>
        <v>#DIV/0!</v>
      </c>
      <c r="O1805" s="17">
        <f t="shared" si="142"/>
        <v>0</v>
      </c>
      <c r="P1805" s="17" t="e">
        <f t="shared" si="143"/>
        <v>#DIV/0!</v>
      </c>
      <c r="Q1805" s="17"/>
      <c r="V1805" s="45" t="e">
        <f t="shared" si="144"/>
        <v>#DIV/0!</v>
      </c>
      <c r="X1805" s="12">
        <v>1.64</v>
      </c>
      <c r="Y1805" s="62"/>
    </row>
    <row r="1806" spans="1:25" x14ac:dyDescent="0.2">
      <c r="A1806" s="3" t="s">
        <v>4059</v>
      </c>
      <c r="B1806" s="3" t="s">
        <v>1725</v>
      </c>
      <c r="C1806" s="6" t="s">
        <v>354</v>
      </c>
      <c r="D1806" s="6" t="s">
        <v>97</v>
      </c>
      <c r="E1806" s="6" t="s">
        <v>163</v>
      </c>
      <c r="F1806" s="6">
        <v>64453.75</v>
      </c>
      <c r="G1806" s="2">
        <v>12</v>
      </c>
      <c r="H1806" s="61">
        <v>5.41</v>
      </c>
      <c r="I1806" s="61">
        <v>4.95</v>
      </c>
      <c r="J1806" s="47">
        <f t="shared" si="140"/>
        <v>-0.54916666666666669</v>
      </c>
      <c r="K1806" s="47">
        <f t="shared" si="141"/>
        <v>-8.5027726432532341E-2</v>
      </c>
      <c r="L1806" s="8">
        <v>5.57</v>
      </c>
      <c r="M1806" s="8">
        <v>8.68</v>
      </c>
      <c r="N1806" s="8">
        <v>9.7799999999999994</v>
      </c>
      <c r="O1806" s="17">
        <f t="shared" si="142"/>
        <v>-0.15805766312594838</v>
      </c>
      <c r="P1806" s="17">
        <f t="shared" si="143"/>
        <v>-1.1502130434782609</v>
      </c>
      <c r="Q1806" s="17">
        <v>8.6999999999999993</v>
      </c>
      <c r="R1806" s="9">
        <v>20220719</v>
      </c>
      <c r="S1806" s="9">
        <v>12.7</v>
      </c>
      <c r="T1806" s="9">
        <v>20.21</v>
      </c>
      <c r="U1806" s="9">
        <v>22743.074209999999</v>
      </c>
      <c r="V1806" s="45">
        <f t="shared" si="144"/>
        <v>-0.99911137782810766</v>
      </c>
      <c r="W1806" s="12">
        <v>9.82</v>
      </c>
      <c r="X1806" s="12">
        <v>3.97</v>
      </c>
      <c r="Y1806" s="62">
        <v>1.79</v>
      </c>
    </row>
    <row r="1807" spans="1:25" x14ac:dyDescent="0.2">
      <c r="B1807" s="3" t="s">
        <v>2288</v>
      </c>
      <c r="C1807" s="6" t="s">
        <v>354</v>
      </c>
      <c r="D1807" s="6" t="s">
        <v>519</v>
      </c>
      <c r="E1807" s="6" t="s">
        <v>163</v>
      </c>
      <c r="F1807" s="6">
        <v>4190.6000000000004</v>
      </c>
      <c r="G1807" s="2">
        <v>12</v>
      </c>
      <c r="H1807" s="61"/>
      <c r="I1807" s="61"/>
      <c r="J1807" s="47">
        <f t="shared" si="140"/>
        <v>-1</v>
      </c>
      <c r="K1807" s="47" t="e">
        <f t="shared" si="141"/>
        <v>#DIV/0!</v>
      </c>
      <c r="O1807" s="17">
        <f t="shared" si="142"/>
        <v>0</v>
      </c>
      <c r="P1807" s="17" t="e">
        <f t="shared" si="143"/>
        <v>#DIV/0!</v>
      </c>
      <c r="Q1807" s="17"/>
      <c r="V1807" s="45" t="e">
        <f t="shared" si="144"/>
        <v>#DIV/0!</v>
      </c>
      <c r="X1807" s="12">
        <v>1.79</v>
      </c>
      <c r="Y1807" s="62"/>
    </row>
    <row r="1808" spans="1:25" x14ac:dyDescent="0.2">
      <c r="A1808" s="3" t="s">
        <v>4060</v>
      </c>
      <c r="B1808" s="3" t="s">
        <v>1726</v>
      </c>
      <c r="C1808" s="6" t="s">
        <v>354</v>
      </c>
      <c r="D1808" s="6" t="s">
        <v>240</v>
      </c>
      <c r="E1808" s="6" t="s">
        <v>237</v>
      </c>
      <c r="F1808" s="6">
        <v>7320.5</v>
      </c>
      <c r="G1808" s="2">
        <v>12</v>
      </c>
      <c r="H1808" s="61">
        <v>4.87</v>
      </c>
      <c r="I1808" s="61">
        <v>6.7</v>
      </c>
      <c r="J1808" s="47">
        <f t="shared" si="140"/>
        <v>-0.59416666666666662</v>
      </c>
      <c r="K1808" s="47">
        <f t="shared" si="141"/>
        <v>0.37577002053388092</v>
      </c>
      <c r="L1808" s="8">
        <v>7.4</v>
      </c>
      <c r="M1808" s="8">
        <v>13.02</v>
      </c>
      <c r="N1808" s="8">
        <v>11.96</v>
      </c>
      <c r="O1808" s="17">
        <f t="shared" si="142"/>
        <v>-0.21913043478260869</v>
      </c>
      <c r="P1808" s="17">
        <f t="shared" si="143"/>
        <v>0.31827978142076502</v>
      </c>
      <c r="Q1808" s="17">
        <v>10.82</v>
      </c>
      <c r="R1808" s="9">
        <v>20220725</v>
      </c>
      <c r="S1808" s="9">
        <v>26.98</v>
      </c>
      <c r="U1808" s="9">
        <v>8817.1152299999994</v>
      </c>
      <c r="V1808" s="45">
        <f t="shared" si="144"/>
        <v>-1</v>
      </c>
      <c r="W1808" s="12">
        <v>30.23</v>
      </c>
      <c r="X1808" s="12">
        <v>1.35</v>
      </c>
      <c r="Y1808" s="62">
        <v>0.62</v>
      </c>
    </row>
    <row r="1809" spans="1:25" x14ac:dyDescent="0.2">
      <c r="A1809" s="3" t="s">
        <v>4061</v>
      </c>
      <c r="B1809" s="3" t="s">
        <v>1727</v>
      </c>
      <c r="C1809" s="6" t="s">
        <v>355</v>
      </c>
      <c r="D1809" s="6" t="s">
        <v>637</v>
      </c>
      <c r="E1809" s="6" t="s">
        <v>163</v>
      </c>
      <c r="F1809" s="6">
        <v>4152.99</v>
      </c>
      <c r="G1809" s="2">
        <v>9</v>
      </c>
      <c r="H1809" s="61">
        <v>0.28000000000000003</v>
      </c>
      <c r="I1809" s="61">
        <v>0.23</v>
      </c>
      <c r="J1809" s="47">
        <f t="shared" si="140"/>
        <v>-0.96888888888888891</v>
      </c>
      <c r="K1809" s="47">
        <f t="shared" si="141"/>
        <v>-0.1785714285714286</v>
      </c>
      <c r="L1809" s="8">
        <v>0.24</v>
      </c>
      <c r="M1809" s="8">
        <v>61.63</v>
      </c>
      <c r="N1809" s="8">
        <v>64.3</v>
      </c>
      <c r="O1809" s="17">
        <f t="shared" si="142"/>
        <v>-0.63608944954128444</v>
      </c>
      <c r="P1809" s="17">
        <f t="shared" si="143"/>
        <v>-3.6007999999999991</v>
      </c>
      <c r="Q1809" s="17">
        <v>61.63</v>
      </c>
      <c r="R1809" s="9">
        <v>20220804</v>
      </c>
      <c r="S1809" s="9">
        <v>3.72</v>
      </c>
      <c r="T1809" s="9">
        <v>0.61</v>
      </c>
      <c r="V1809" s="45" t="e">
        <f t="shared" si="144"/>
        <v>#DIV/0!</v>
      </c>
      <c r="W1809" s="12">
        <v>20</v>
      </c>
      <c r="X1809" s="12">
        <v>7.64</v>
      </c>
      <c r="Y1809" s="62"/>
    </row>
    <row r="1810" spans="1:25" x14ac:dyDescent="0.2">
      <c r="A1810" s="3" t="s">
        <v>4062</v>
      </c>
      <c r="B1810" s="3" t="s">
        <v>1728</v>
      </c>
      <c r="C1810" s="6" t="s">
        <v>354</v>
      </c>
      <c r="D1810" s="6" t="s">
        <v>191</v>
      </c>
      <c r="E1810" s="6" t="s">
        <v>208</v>
      </c>
      <c r="F1810" s="6">
        <v>13388.56</v>
      </c>
      <c r="G1810" s="2">
        <v>12</v>
      </c>
      <c r="H1810" s="61">
        <v>13.26</v>
      </c>
      <c r="I1810" s="61">
        <v>13.99</v>
      </c>
      <c r="J1810" s="47">
        <f t="shared" si="140"/>
        <v>0.10499999999999998</v>
      </c>
      <c r="K1810" s="47">
        <f t="shared" si="141"/>
        <v>5.5052790346908027E-2</v>
      </c>
      <c r="L1810" s="8">
        <v>15.38</v>
      </c>
      <c r="M1810" s="8">
        <v>21.4</v>
      </c>
      <c r="N1810" s="8">
        <v>20.41</v>
      </c>
      <c r="O1810" s="17">
        <f t="shared" si="142"/>
        <v>2.0380952380952384</v>
      </c>
      <c r="P1810" s="17">
        <f t="shared" si="143"/>
        <v>3.7073506849315043</v>
      </c>
      <c r="Q1810" s="17">
        <v>18.559999999999999</v>
      </c>
      <c r="R1810" s="9">
        <v>20220804</v>
      </c>
      <c r="S1810" s="9">
        <v>17.239999999999998</v>
      </c>
      <c r="T1810" s="9">
        <v>6.15</v>
      </c>
      <c r="U1810" s="9">
        <v>2898.8310499999998</v>
      </c>
      <c r="V1810" s="45">
        <f t="shared" si="144"/>
        <v>-0.99787845517937301</v>
      </c>
      <c r="W1810" s="12">
        <v>5.49</v>
      </c>
      <c r="X1810" s="12">
        <v>0.48</v>
      </c>
      <c r="Y1810" s="62">
        <v>1.9</v>
      </c>
    </row>
    <row r="1811" spans="1:25" x14ac:dyDescent="0.2">
      <c r="A1811" s="3" t="s">
        <v>4063</v>
      </c>
      <c r="B1811" s="3" t="s">
        <v>1729</v>
      </c>
      <c r="C1811" s="6" t="s">
        <v>354</v>
      </c>
      <c r="D1811" s="6" t="s">
        <v>789</v>
      </c>
      <c r="E1811" s="6" t="s">
        <v>146</v>
      </c>
      <c r="F1811" s="6">
        <v>4813.6000000000004</v>
      </c>
      <c r="G1811" s="2">
        <v>12</v>
      </c>
      <c r="H1811" s="61">
        <v>2.12</v>
      </c>
      <c r="I1811" s="61">
        <v>2.92</v>
      </c>
      <c r="J1811" s="47">
        <f t="shared" si="140"/>
        <v>-0.82333333333333325</v>
      </c>
      <c r="K1811" s="47">
        <f t="shared" si="141"/>
        <v>0.37735849056603765</v>
      </c>
      <c r="L1811" s="8">
        <v>2.2999999999999998</v>
      </c>
      <c r="M1811" s="8">
        <v>9.77</v>
      </c>
      <c r="N1811" s="8">
        <v>7.38</v>
      </c>
      <c r="O1811" s="17">
        <f t="shared" si="142"/>
        <v>-0.11866396761133603</v>
      </c>
      <c r="P1811" s="17">
        <f t="shared" si="143"/>
        <v>0.19557000000000002</v>
      </c>
      <c r="Q1811" s="17">
        <v>9.39</v>
      </c>
      <c r="R1811" s="9">
        <v>20220808</v>
      </c>
      <c r="S1811" s="9">
        <v>20.190000000000001</v>
      </c>
      <c r="T1811" s="9">
        <v>7.45</v>
      </c>
      <c r="U1811" s="9">
        <v>3424.3898899999999</v>
      </c>
      <c r="V1811" s="45">
        <f t="shared" si="144"/>
        <v>-0.99782442997459031</v>
      </c>
      <c r="W1811" s="12">
        <v>3.51</v>
      </c>
      <c r="X1811" s="12">
        <v>1.76</v>
      </c>
      <c r="Y1811" s="62"/>
    </row>
    <row r="1812" spans="1:25" x14ac:dyDescent="0.2">
      <c r="A1812" s="3" t="s">
        <v>4064</v>
      </c>
      <c r="B1812" s="3" t="s">
        <v>1730</v>
      </c>
      <c r="C1812" s="6" t="s">
        <v>354</v>
      </c>
      <c r="D1812" s="6" t="s">
        <v>577</v>
      </c>
      <c r="E1812" s="6" t="s">
        <v>231</v>
      </c>
      <c r="F1812" s="6">
        <v>75671.63</v>
      </c>
      <c r="G1812" s="2">
        <v>1</v>
      </c>
      <c r="H1812" s="61">
        <v>13.18</v>
      </c>
      <c r="I1812" s="61">
        <v>11.08</v>
      </c>
      <c r="J1812" s="47">
        <f t="shared" si="140"/>
        <v>12.18</v>
      </c>
      <c r="K1812" s="47">
        <f t="shared" si="141"/>
        <v>-0.15933232169954475</v>
      </c>
      <c r="L1812" s="8">
        <v>13.96</v>
      </c>
      <c r="M1812" s="8">
        <v>13.54</v>
      </c>
      <c r="N1812" s="8">
        <v>14.73</v>
      </c>
      <c r="O1812" s="17">
        <f t="shared" si="142"/>
        <v>1.1116584564860426E-2</v>
      </c>
      <c r="P1812" s="17">
        <f t="shared" si="143"/>
        <v>-0.92448285714285716</v>
      </c>
      <c r="Q1812" s="17">
        <v>11.69</v>
      </c>
      <c r="R1812" s="9">
        <v>20220817</v>
      </c>
      <c r="S1812" s="9">
        <v>44.75</v>
      </c>
      <c r="T1812" s="9">
        <v>10.029999999999999</v>
      </c>
      <c r="U1812" s="9">
        <v>110490.94531</v>
      </c>
      <c r="V1812" s="45">
        <f t="shared" si="144"/>
        <v>-0.99990922333072763</v>
      </c>
      <c r="W1812" s="12">
        <v>-27</v>
      </c>
      <c r="X1812" s="12">
        <v>2.21</v>
      </c>
      <c r="Y1812" s="62">
        <v>1.1399999999999999</v>
      </c>
    </row>
    <row r="1813" spans="1:25" x14ac:dyDescent="0.2">
      <c r="A1813" s="3" t="s">
        <v>4065</v>
      </c>
      <c r="B1813" s="3" t="s">
        <v>1731</v>
      </c>
      <c r="C1813" s="6" t="s">
        <v>354</v>
      </c>
      <c r="D1813" s="6" t="s">
        <v>190</v>
      </c>
      <c r="E1813" s="6" t="s">
        <v>208</v>
      </c>
      <c r="F1813" s="6">
        <v>7057.98</v>
      </c>
      <c r="G1813" s="2">
        <v>12</v>
      </c>
      <c r="H1813" s="61">
        <v>6.44</v>
      </c>
      <c r="I1813" s="61">
        <v>6.68</v>
      </c>
      <c r="J1813" s="47">
        <f t="shared" si="140"/>
        <v>-0.46333333333333332</v>
      </c>
      <c r="K1813" s="47">
        <f t="shared" si="141"/>
        <v>3.7267080745341505E-2</v>
      </c>
      <c r="L1813" s="8">
        <v>7.36</v>
      </c>
      <c r="M1813" s="8">
        <v>7.98</v>
      </c>
      <c r="N1813" s="8">
        <v>9.81</v>
      </c>
      <c r="O1813" s="17">
        <f t="shared" si="142"/>
        <v>-0.17223021582733816</v>
      </c>
      <c r="P1813" s="17">
        <f t="shared" si="143"/>
        <v>2.6323500000000082</v>
      </c>
      <c r="Q1813" s="17">
        <v>8.91</v>
      </c>
      <c r="R1813" s="9">
        <v>20220720</v>
      </c>
      <c r="S1813" s="9">
        <v>51.84</v>
      </c>
      <c r="T1813" s="9">
        <v>-0.48</v>
      </c>
      <c r="U1813" s="9">
        <v>19810.384760000001</v>
      </c>
      <c r="V1813" s="45">
        <f t="shared" si="144"/>
        <v>-1.0000242297161723</v>
      </c>
      <c r="W1813" s="12">
        <v>85.58</v>
      </c>
      <c r="X1813" s="12">
        <v>0</v>
      </c>
      <c r="Y1813" s="62">
        <v>2.2799999999999998</v>
      </c>
    </row>
    <row r="1814" spans="1:25" x14ac:dyDescent="0.2">
      <c r="A1814" s="3" t="s">
        <v>4066</v>
      </c>
      <c r="B1814" s="3" t="s">
        <v>1732</v>
      </c>
      <c r="C1814" s="6" t="s">
        <v>354</v>
      </c>
      <c r="D1814" s="6" t="s">
        <v>173</v>
      </c>
      <c r="E1814" s="6" t="s">
        <v>163</v>
      </c>
      <c r="F1814" s="6">
        <v>5225.72</v>
      </c>
      <c r="G1814" s="2">
        <v>12</v>
      </c>
      <c r="H1814" s="61">
        <v>7.86</v>
      </c>
      <c r="I1814" s="61">
        <v>10.55</v>
      </c>
      <c r="J1814" s="47">
        <f t="shared" si="140"/>
        <v>-0.34499999999999997</v>
      </c>
      <c r="K1814" s="47">
        <f t="shared" si="141"/>
        <v>0.34223918575063617</v>
      </c>
      <c r="L1814" s="8">
        <v>11.9</v>
      </c>
      <c r="M1814" s="8">
        <v>14.2</v>
      </c>
      <c r="N1814" s="8">
        <v>13.92</v>
      </c>
      <c r="O1814" s="17">
        <f t="shared" si="142"/>
        <v>-0.4115942028985507</v>
      </c>
      <c r="P1814" s="17">
        <f t="shared" si="143"/>
        <v>0.40673308550185872</v>
      </c>
      <c r="Q1814" s="17">
        <v>12.34</v>
      </c>
      <c r="R1814" s="9">
        <v>20220726</v>
      </c>
      <c r="S1814" s="9">
        <v>12.25</v>
      </c>
      <c r="T1814" s="9">
        <v>-0.2</v>
      </c>
      <c r="U1814" s="9">
        <v>5456.75</v>
      </c>
      <c r="V1814" s="45">
        <f t="shared" si="144"/>
        <v>-1.0000366518532093</v>
      </c>
      <c r="W1814" s="12">
        <v>8.67</v>
      </c>
      <c r="X1814" s="12">
        <v>2.04</v>
      </c>
      <c r="Y1814" s="62">
        <v>0.87</v>
      </c>
    </row>
    <row r="1815" spans="1:25" x14ac:dyDescent="0.2">
      <c r="A1815" s="3" t="s">
        <v>4067</v>
      </c>
      <c r="B1815" s="3" t="s">
        <v>1733</v>
      </c>
      <c r="C1815" s="6" t="s">
        <v>354</v>
      </c>
      <c r="D1815" s="6" t="s">
        <v>1734</v>
      </c>
      <c r="E1815" s="6" t="s">
        <v>140</v>
      </c>
      <c r="F1815" s="6">
        <v>4138.83</v>
      </c>
      <c r="G1815" s="2">
        <v>7</v>
      </c>
      <c r="H1815" s="61">
        <v>10.63</v>
      </c>
      <c r="I1815" s="61">
        <v>18.170000000000002</v>
      </c>
      <c r="J1815" s="47">
        <f t="shared" si="140"/>
        <v>0.51857142857142868</v>
      </c>
      <c r="K1815" s="47">
        <f t="shared" si="141"/>
        <v>0.70931326434619002</v>
      </c>
      <c r="L1815" s="8">
        <v>11.67</v>
      </c>
      <c r="M1815" s="8">
        <v>4.55</v>
      </c>
      <c r="N1815" s="8">
        <v>4.1399999999999997</v>
      </c>
      <c r="O1815" s="17">
        <f t="shared" si="142"/>
        <v>8.7741046831955896E-2</v>
      </c>
      <c r="P1815" s="17">
        <f t="shared" si="143"/>
        <v>5.8366312997347479E-2</v>
      </c>
      <c r="Q1815" s="17">
        <v>6.44</v>
      </c>
      <c r="R1815" s="9">
        <v>20220608</v>
      </c>
      <c r="S1815" s="9">
        <v>30.51</v>
      </c>
      <c r="T1815" s="9">
        <v>12.8</v>
      </c>
      <c r="U1815" s="9">
        <v>15966.4746</v>
      </c>
      <c r="V1815" s="45">
        <f t="shared" si="144"/>
        <v>-0.99919832021027366</v>
      </c>
      <c r="W1815" s="12">
        <v>40.880000000000003</v>
      </c>
      <c r="X1815" s="12">
        <v>2.29</v>
      </c>
      <c r="Y1815" s="62"/>
    </row>
    <row r="1816" spans="1:25" x14ac:dyDescent="0.2">
      <c r="A1816" s="3" t="s">
        <v>4068</v>
      </c>
      <c r="B1816" s="3" t="s">
        <v>2289</v>
      </c>
      <c r="C1816" s="6" t="s">
        <v>356</v>
      </c>
      <c r="D1816" s="6" t="s">
        <v>278</v>
      </c>
      <c r="E1816" s="6" t="s">
        <v>119</v>
      </c>
      <c r="F1816" s="6">
        <v>5851.89</v>
      </c>
      <c r="G1816" s="2">
        <v>12</v>
      </c>
      <c r="H1816" s="61"/>
      <c r="I1816" s="61"/>
      <c r="J1816" s="47">
        <f t="shared" si="140"/>
        <v>-1</v>
      </c>
      <c r="K1816" s="47" t="e">
        <f t="shared" si="141"/>
        <v>#DIV/0!</v>
      </c>
      <c r="O1816" s="17">
        <f t="shared" si="142"/>
        <v>0</v>
      </c>
      <c r="P1816" s="17" t="e">
        <f t="shared" si="143"/>
        <v>#DIV/0!</v>
      </c>
      <c r="Q1816" s="17"/>
      <c r="V1816" s="45" t="e">
        <f t="shared" si="144"/>
        <v>#DIV/0!</v>
      </c>
      <c r="X1816" s="12">
        <v>8.85</v>
      </c>
      <c r="Y1816" s="62"/>
    </row>
    <row r="1817" spans="1:25" x14ac:dyDescent="0.2">
      <c r="A1817" s="3" t="s">
        <v>4068</v>
      </c>
      <c r="B1817" s="3" t="s">
        <v>4069</v>
      </c>
      <c r="C1817" s="6" t="s">
        <v>356</v>
      </c>
      <c r="D1817" s="6" t="s">
        <v>139</v>
      </c>
      <c r="E1817" s="6" t="s">
        <v>250</v>
      </c>
      <c r="F1817" s="6">
        <v>6321.75</v>
      </c>
      <c r="G1817" s="2">
        <v>12</v>
      </c>
      <c r="H1817" s="61">
        <v>-0.11</v>
      </c>
      <c r="I1817" s="61">
        <v>0.01</v>
      </c>
      <c r="J1817" s="47">
        <f t="shared" si="140"/>
        <v>-1.0091666666666665</v>
      </c>
      <c r="K1817" s="47">
        <f t="shared" si="141"/>
        <v>1.0909090909090908</v>
      </c>
      <c r="L1817" s="8">
        <v>0.14000000000000001</v>
      </c>
      <c r="N1817" s="8">
        <v>296</v>
      </c>
      <c r="O1817" s="17">
        <f t="shared" si="142"/>
        <v>0</v>
      </c>
      <c r="P1817" s="17">
        <f t="shared" si="143"/>
        <v>2.7133333333333338</v>
      </c>
      <c r="Q1817" s="17">
        <v>20.41</v>
      </c>
      <c r="U1817" s="9">
        <v>17174.349600000001</v>
      </c>
      <c r="V1817" s="45">
        <f t="shared" si="144"/>
        <v>-1</v>
      </c>
      <c r="X1817" s="12">
        <v>2.98</v>
      </c>
      <c r="Y1817" s="62"/>
    </row>
    <row r="1818" spans="1:25" x14ac:dyDescent="0.2">
      <c r="A1818" s="3" t="s">
        <v>4070</v>
      </c>
      <c r="B1818" s="3" t="s">
        <v>1735</v>
      </c>
      <c r="C1818" s="6" t="s">
        <v>354</v>
      </c>
      <c r="D1818" s="6" t="s">
        <v>278</v>
      </c>
      <c r="E1818" s="6" t="s">
        <v>119</v>
      </c>
      <c r="F1818" s="6">
        <v>7218.83</v>
      </c>
      <c r="G1818" s="2">
        <v>12</v>
      </c>
      <c r="H1818" s="61">
        <v>0.87</v>
      </c>
      <c r="I1818" s="61">
        <v>0.71</v>
      </c>
      <c r="J1818" s="47">
        <f t="shared" si="140"/>
        <v>-0.9275000000000001</v>
      </c>
      <c r="K1818" s="47">
        <f t="shared" si="141"/>
        <v>-0.18390804597701152</v>
      </c>
      <c r="L1818" s="8">
        <v>0.55000000000000004</v>
      </c>
      <c r="M1818" s="8">
        <v>16.39</v>
      </c>
      <c r="N1818" s="8">
        <v>21</v>
      </c>
      <c r="O1818" s="17">
        <f t="shared" si="142"/>
        <v>-0.17671159029649594</v>
      </c>
      <c r="P1818" s="17">
        <f t="shared" si="143"/>
        <v>-1.1418749999999998</v>
      </c>
      <c r="Q1818" s="17">
        <v>27.11</v>
      </c>
      <c r="R1818" s="9">
        <v>20220725</v>
      </c>
      <c r="S1818" s="9">
        <v>9.35</v>
      </c>
      <c r="T1818" s="9">
        <v>-11.25</v>
      </c>
      <c r="U1818" s="9">
        <v>4143.3149400000002</v>
      </c>
      <c r="V1818" s="45">
        <f t="shared" si="144"/>
        <v>-1.0027152172023881</v>
      </c>
      <c r="W1818" s="12">
        <v>466.67</v>
      </c>
      <c r="X1818" s="12">
        <v>2.37</v>
      </c>
      <c r="Y1818" s="62">
        <v>1.29</v>
      </c>
    </row>
    <row r="1819" spans="1:25" x14ac:dyDescent="0.2">
      <c r="B1819" s="3" t="s">
        <v>2290</v>
      </c>
      <c r="C1819" s="6" t="s">
        <v>354</v>
      </c>
      <c r="D1819" s="6" t="s">
        <v>519</v>
      </c>
      <c r="E1819" s="6" t="s">
        <v>163</v>
      </c>
      <c r="F1819" s="6">
        <v>32192.94</v>
      </c>
      <c r="G1819" s="2">
        <v>12</v>
      </c>
      <c r="H1819" s="61"/>
      <c r="I1819" s="61"/>
      <c r="J1819" s="47">
        <f t="shared" si="140"/>
        <v>-1</v>
      </c>
      <c r="K1819" s="47" t="e">
        <f t="shared" si="141"/>
        <v>#DIV/0!</v>
      </c>
      <c r="O1819" s="17">
        <f t="shared" si="142"/>
        <v>0</v>
      </c>
      <c r="P1819" s="17" t="e">
        <f t="shared" si="143"/>
        <v>#DIV/0!</v>
      </c>
      <c r="Q1819" s="17"/>
      <c r="V1819" s="45" t="e">
        <f t="shared" si="144"/>
        <v>#DIV/0!</v>
      </c>
      <c r="X1819" s="12">
        <v>5.96</v>
      </c>
      <c r="Y1819" s="62"/>
    </row>
    <row r="1820" spans="1:25" x14ac:dyDescent="0.2">
      <c r="A1820" s="3" t="s">
        <v>4071</v>
      </c>
      <c r="B1820" s="3" t="s">
        <v>1913</v>
      </c>
      <c r="C1820" s="6" t="s">
        <v>354</v>
      </c>
      <c r="D1820" s="6" t="s">
        <v>233</v>
      </c>
      <c r="E1820" s="6" t="s">
        <v>108</v>
      </c>
      <c r="F1820" s="6">
        <v>6582.06</v>
      </c>
      <c r="G1820" s="2">
        <v>12</v>
      </c>
      <c r="H1820" s="61">
        <v>0.96</v>
      </c>
      <c r="I1820" s="61">
        <v>1.2</v>
      </c>
      <c r="J1820" s="47">
        <f t="shared" si="140"/>
        <v>-0.91999999999999993</v>
      </c>
      <c r="K1820" s="47">
        <f t="shared" si="141"/>
        <v>0.25</v>
      </c>
      <c r="L1820" s="8">
        <v>1.42</v>
      </c>
      <c r="M1820" s="8">
        <v>23.81</v>
      </c>
      <c r="N1820" s="8">
        <v>20.6</v>
      </c>
      <c r="O1820" s="17">
        <f t="shared" si="142"/>
        <v>-0.25880434782608697</v>
      </c>
      <c r="P1820" s="17">
        <f t="shared" si="143"/>
        <v>0.82400000000000007</v>
      </c>
      <c r="Q1820" s="17">
        <v>17.46</v>
      </c>
      <c r="R1820" s="9">
        <v>20220729</v>
      </c>
      <c r="S1820" s="9">
        <v>14.1</v>
      </c>
      <c r="U1820" s="9">
        <v>2579.0380799999998</v>
      </c>
      <c r="V1820" s="45">
        <f t="shared" si="144"/>
        <v>-1</v>
      </c>
      <c r="W1820" s="12">
        <v>4</v>
      </c>
      <c r="X1820" s="12">
        <v>0</v>
      </c>
      <c r="Y1820" s="62">
        <v>1.05</v>
      </c>
    </row>
    <row r="1821" spans="1:25" x14ac:dyDescent="0.2">
      <c r="A1821" s="3" t="s">
        <v>4072</v>
      </c>
      <c r="B1821" s="3" t="s">
        <v>1736</v>
      </c>
      <c r="C1821" s="6" t="s">
        <v>354</v>
      </c>
      <c r="D1821" s="6" t="s">
        <v>577</v>
      </c>
      <c r="E1821" s="6" t="s">
        <v>231</v>
      </c>
      <c r="F1821" s="6">
        <v>75292.97</v>
      </c>
      <c r="G1821" s="2">
        <v>1</v>
      </c>
      <c r="H1821" s="61">
        <v>2.95</v>
      </c>
      <c r="I1821" s="61">
        <v>3.18</v>
      </c>
      <c r="J1821" s="47">
        <f t="shared" si="140"/>
        <v>1.9500000000000002</v>
      </c>
      <c r="K1821" s="47">
        <f t="shared" si="141"/>
        <v>7.7966101694915246E-2</v>
      </c>
      <c r="L1821" s="8">
        <v>3.62</v>
      </c>
      <c r="M1821" s="8">
        <v>20.75</v>
      </c>
      <c r="N1821" s="8">
        <v>20.170000000000002</v>
      </c>
      <c r="O1821" s="17">
        <f t="shared" si="142"/>
        <v>0.10641025641025639</v>
      </c>
      <c r="P1821" s="17">
        <f t="shared" si="143"/>
        <v>2.5870217391304355</v>
      </c>
      <c r="Q1821" s="17">
        <v>17.690000000000001</v>
      </c>
      <c r="R1821" s="9">
        <v>20220817</v>
      </c>
      <c r="S1821" s="9">
        <v>61.28</v>
      </c>
      <c r="T1821" s="9">
        <v>4.66</v>
      </c>
      <c r="U1821" s="9">
        <v>51824.488279999998</v>
      </c>
      <c r="V1821" s="45">
        <f t="shared" si="144"/>
        <v>-0.99991008111889446</v>
      </c>
      <c r="W1821" s="12">
        <v>13.33</v>
      </c>
      <c r="X1821" s="12">
        <v>1.84</v>
      </c>
      <c r="Y1821" s="62">
        <v>1.92</v>
      </c>
    </row>
    <row r="1822" spans="1:25" x14ac:dyDescent="0.2">
      <c r="A1822" s="3" t="s">
        <v>4073</v>
      </c>
      <c r="B1822" s="3" t="s">
        <v>1737</v>
      </c>
      <c r="C1822" s="6" t="s">
        <v>356</v>
      </c>
      <c r="D1822" s="6" t="s">
        <v>139</v>
      </c>
      <c r="E1822" s="6" t="s">
        <v>250</v>
      </c>
      <c r="F1822" s="6">
        <v>4724.6000000000004</v>
      </c>
      <c r="G1822" s="2">
        <v>12</v>
      </c>
      <c r="H1822" s="61">
        <v>1.66</v>
      </c>
      <c r="I1822" s="61">
        <v>1.72</v>
      </c>
      <c r="J1822" s="47">
        <f t="shared" si="140"/>
        <v>-0.86166666666666669</v>
      </c>
      <c r="K1822" s="47">
        <f t="shared" si="141"/>
        <v>3.6144578313253045E-2</v>
      </c>
      <c r="L1822" s="8">
        <v>1.76</v>
      </c>
      <c r="M1822" s="8">
        <v>8.6199999999999992</v>
      </c>
      <c r="N1822" s="8">
        <v>8.27</v>
      </c>
      <c r="O1822" s="17">
        <f t="shared" si="142"/>
        <v>-0.10003868471953577</v>
      </c>
      <c r="P1822" s="17">
        <f t="shared" si="143"/>
        <v>2.2880333333333311</v>
      </c>
      <c r="Q1822" s="17">
        <v>8.08</v>
      </c>
      <c r="R1822" s="9">
        <v>20220531</v>
      </c>
      <c r="S1822" s="9">
        <v>15.3</v>
      </c>
      <c r="T1822" s="9">
        <v>2.75</v>
      </c>
      <c r="U1822" s="9">
        <v>5304.2001899999996</v>
      </c>
      <c r="V1822" s="45">
        <f t="shared" si="144"/>
        <v>-0.99948154294681701</v>
      </c>
      <c r="X1822" s="12">
        <v>4.1399999999999997</v>
      </c>
      <c r="Y1822" s="62"/>
    </row>
    <row r="1823" spans="1:25" x14ac:dyDescent="0.2">
      <c r="A1823" s="3" t="s">
        <v>4074</v>
      </c>
      <c r="B1823" s="3" t="s">
        <v>4075</v>
      </c>
      <c r="C1823" s="6" t="s">
        <v>356</v>
      </c>
      <c r="D1823" s="6" t="s">
        <v>232</v>
      </c>
      <c r="E1823" s="6" t="s">
        <v>60</v>
      </c>
      <c r="F1823" s="6">
        <v>5705.5</v>
      </c>
      <c r="G1823" s="2">
        <v>9</v>
      </c>
      <c r="H1823" s="61">
        <v>-0.2</v>
      </c>
      <c r="I1823" s="61">
        <v>2.38</v>
      </c>
      <c r="J1823" s="47">
        <f t="shared" si="140"/>
        <v>-1.0222222222222221</v>
      </c>
      <c r="K1823" s="47">
        <f t="shared" si="141"/>
        <v>12.9</v>
      </c>
      <c r="L1823" s="8">
        <v>2.11</v>
      </c>
      <c r="M1823" s="8">
        <v>5.55</v>
      </c>
      <c r="N1823" s="8">
        <v>3.85</v>
      </c>
      <c r="O1823" s="17">
        <f t="shared" si="142"/>
        <v>-5.4293478260869568E-2</v>
      </c>
      <c r="P1823" s="17">
        <f t="shared" si="143"/>
        <v>2.9844961240310078E-3</v>
      </c>
      <c r="Q1823" s="17">
        <v>4.34</v>
      </c>
      <c r="R1823" s="9">
        <v>20220810</v>
      </c>
      <c r="S1823" s="9">
        <v>7.94</v>
      </c>
      <c r="T1823" s="9">
        <v>-4.8899999999999997</v>
      </c>
      <c r="U1823" s="9">
        <v>41689.199209999999</v>
      </c>
      <c r="V1823" s="45">
        <f t="shared" si="144"/>
        <v>-1.0001172965682399</v>
      </c>
      <c r="X1823" s="12">
        <v>0</v>
      </c>
      <c r="Y1823" s="62"/>
    </row>
    <row r="1824" spans="1:25" x14ac:dyDescent="0.2">
      <c r="A1824" s="3" t="s">
        <v>4076</v>
      </c>
      <c r="B1824" s="3" t="s">
        <v>1738</v>
      </c>
      <c r="C1824" s="6" t="s">
        <v>356</v>
      </c>
      <c r="D1824" s="6" t="s">
        <v>173</v>
      </c>
      <c r="E1824" s="6" t="s">
        <v>163</v>
      </c>
      <c r="F1824" s="6">
        <v>39463.730000000003</v>
      </c>
      <c r="G1824" s="2">
        <v>3</v>
      </c>
      <c r="H1824" s="61">
        <v>4.42</v>
      </c>
      <c r="I1824" s="61">
        <v>4.54</v>
      </c>
      <c r="J1824" s="47">
        <f t="shared" si="140"/>
        <v>0.47333333333333333</v>
      </c>
      <c r="K1824" s="47">
        <f t="shared" si="141"/>
        <v>2.7149321266968351E-2</v>
      </c>
      <c r="M1824" s="8">
        <v>9.9700000000000006</v>
      </c>
      <c r="N1824" s="8">
        <v>12.48</v>
      </c>
      <c r="O1824" s="17">
        <f t="shared" si="142"/>
        <v>0.21063380281690142</v>
      </c>
      <c r="P1824" s="17">
        <f t="shared" si="143"/>
        <v>4.5967999999999964</v>
      </c>
      <c r="Q1824" s="17"/>
      <c r="R1824" s="9">
        <v>20220805</v>
      </c>
      <c r="S1824" s="9">
        <v>10.67</v>
      </c>
      <c r="T1824" s="9">
        <v>1.76</v>
      </c>
      <c r="V1824" s="45" t="e">
        <f t="shared" si="144"/>
        <v>#DIV/0!</v>
      </c>
      <c r="X1824" s="12">
        <v>3.08</v>
      </c>
      <c r="Y1824" s="62"/>
    </row>
    <row r="1825" spans="1:25" x14ac:dyDescent="0.2">
      <c r="A1825" s="3" t="s">
        <v>4077</v>
      </c>
      <c r="B1825" s="3" t="s">
        <v>1739</v>
      </c>
      <c r="C1825" s="6" t="s">
        <v>354</v>
      </c>
      <c r="D1825" s="6" t="s">
        <v>1344</v>
      </c>
      <c r="E1825" s="6" t="s">
        <v>201</v>
      </c>
      <c r="F1825" s="6">
        <v>4449.32</v>
      </c>
      <c r="G1825" s="2">
        <v>12</v>
      </c>
      <c r="H1825" s="61">
        <v>4.84</v>
      </c>
      <c r="I1825" s="61">
        <v>5.3</v>
      </c>
      <c r="J1825" s="47">
        <f t="shared" si="140"/>
        <v>-0.59666666666666668</v>
      </c>
      <c r="K1825" s="47">
        <f t="shared" si="141"/>
        <v>9.5041322314049576E-2</v>
      </c>
      <c r="L1825" s="8">
        <v>6.14</v>
      </c>
      <c r="M1825" s="8">
        <v>12.15</v>
      </c>
      <c r="N1825" s="8">
        <v>11.33</v>
      </c>
      <c r="O1825" s="17">
        <f t="shared" si="142"/>
        <v>-0.20363128491620111</v>
      </c>
      <c r="P1825" s="17">
        <f t="shared" si="143"/>
        <v>1.192113043478261</v>
      </c>
      <c r="Q1825" s="17">
        <v>9.7799999999999994</v>
      </c>
      <c r="R1825" s="9">
        <v>20220801</v>
      </c>
      <c r="S1825" s="9">
        <v>15.97</v>
      </c>
      <c r="T1825" s="9">
        <v>6.78</v>
      </c>
      <c r="U1825" s="9">
        <v>4476.2299800000001</v>
      </c>
      <c r="V1825" s="45">
        <f t="shared" si="144"/>
        <v>-0.99848533251636018</v>
      </c>
      <c r="W1825" s="12">
        <v>40</v>
      </c>
      <c r="X1825" s="12">
        <v>2.0699999999999998</v>
      </c>
      <c r="Y1825" s="62">
        <v>0.94</v>
      </c>
    </row>
    <row r="1826" spans="1:25" x14ac:dyDescent="0.2">
      <c r="A1826" s="3" t="s">
        <v>4078</v>
      </c>
      <c r="B1826" s="3" t="s">
        <v>2291</v>
      </c>
      <c r="C1826" s="6" t="s">
        <v>354</v>
      </c>
      <c r="D1826" s="6" t="s">
        <v>139</v>
      </c>
      <c r="E1826" s="6" t="s">
        <v>250</v>
      </c>
      <c r="F1826" s="6">
        <v>26036.93</v>
      </c>
      <c r="G1826" s="2">
        <v>12</v>
      </c>
      <c r="H1826" s="61"/>
      <c r="I1826" s="61">
        <v>1.78</v>
      </c>
      <c r="J1826" s="47">
        <f t="shared" si="140"/>
        <v>-1</v>
      </c>
      <c r="K1826" s="47" t="e">
        <f t="shared" si="141"/>
        <v>#DIV/0!</v>
      </c>
      <c r="L1826" s="8">
        <v>2.06</v>
      </c>
      <c r="M1826" s="8">
        <v>17.850000000000001</v>
      </c>
      <c r="N1826" s="8">
        <v>16.239999999999998</v>
      </c>
      <c r="O1826" s="17">
        <f t="shared" si="142"/>
        <v>-0.17850000000000002</v>
      </c>
      <c r="P1826" s="17" t="e">
        <f t="shared" si="143"/>
        <v>#DIV/0!</v>
      </c>
      <c r="Q1826" s="17">
        <v>14.03</v>
      </c>
      <c r="R1826" s="9">
        <v>20220830</v>
      </c>
      <c r="S1826" s="9">
        <v>19.100000000000001</v>
      </c>
      <c r="V1826" s="45" t="e">
        <f t="shared" si="144"/>
        <v>#DIV/0!</v>
      </c>
      <c r="X1826" s="12">
        <v>2.3199999999999998</v>
      </c>
      <c r="Y1826" s="62">
        <v>1.58</v>
      </c>
    </row>
    <row r="1827" spans="1:25" x14ac:dyDescent="0.2">
      <c r="A1827" s="3" t="s">
        <v>4079</v>
      </c>
      <c r="B1827" s="3" t="s">
        <v>1740</v>
      </c>
      <c r="C1827" s="6" t="s">
        <v>356</v>
      </c>
      <c r="D1827" s="6" t="s">
        <v>278</v>
      </c>
      <c r="E1827" s="6" t="s">
        <v>119</v>
      </c>
      <c r="F1827" s="6">
        <v>17176.45</v>
      </c>
      <c r="G1827" s="2">
        <v>12</v>
      </c>
      <c r="H1827" s="61">
        <v>0.5</v>
      </c>
      <c r="I1827" s="61">
        <v>0.33</v>
      </c>
      <c r="J1827" s="47">
        <f t="shared" si="140"/>
        <v>-0.95833333333333337</v>
      </c>
      <c r="K1827" s="47">
        <f t="shared" si="141"/>
        <v>-0.33999999999999997</v>
      </c>
      <c r="L1827" s="8">
        <v>0.39</v>
      </c>
      <c r="M1827" s="8">
        <v>12.73</v>
      </c>
      <c r="N1827" s="8">
        <v>25.45</v>
      </c>
      <c r="O1827" s="17">
        <f t="shared" si="142"/>
        <v>-0.13283478260869563</v>
      </c>
      <c r="P1827" s="17">
        <f t="shared" si="143"/>
        <v>-0.74852941176470589</v>
      </c>
      <c r="Q1827" s="17">
        <v>21.36</v>
      </c>
      <c r="R1827" s="9">
        <v>20220720</v>
      </c>
      <c r="S1827" s="9">
        <v>15.29</v>
      </c>
      <c r="T1827" s="9">
        <v>1.87</v>
      </c>
      <c r="U1827" s="9">
        <v>9300.5546799999993</v>
      </c>
      <c r="V1827" s="45">
        <f t="shared" si="144"/>
        <v>-0.99979893672320186</v>
      </c>
      <c r="X1827" s="12">
        <v>3.51</v>
      </c>
      <c r="Y1827" s="62"/>
    </row>
    <row r="1828" spans="1:25" x14ac:dyDescent="0.2">
      <c r="A1828" s="3" t="s">
        <v>4080</v>
      </c>
      <c r="B1828" s="3" t="s">
        <v>2048</v>
      </c>
      <c r="C1828" s="6" t="s">
        <v>356</v>
      </c>
      <c r="D1828" s="6" t="s">
        <v>139</v>
      </c>
      <c r="E1828" s="6" t="s">
        <v>250</v>
      </c>
      <c r="F1828" s="6">
        <v>32395.41</v>
      </c>
      <c r="G1828" s="2">
        <v>6</v>
      </c>
      <c r="H1828" s="61">
        <v>0.54</v>
      </c>
      <c r="I1828" s="61">
        <v>0.54</v>
      </c>
      <c r="J1828" s="47">
        <f t="shared" si="140"/>
        <v>-0.91</v>
      </c>
      <c r="K1828" s="47">
        <f t="shared" si="141"/>
        <v>0</v>
      </c>
      <c r="L1828" s="8">
        <v>0.6</v>
      </c>
      <c r="N1828" s="8">
        <v>26.09</v>
      </c>
      <c r="O1828" s="17">
        <f t="shared" si="142"/>
        <v>0</v>
      </c>
      <c r="P1828" s="17" t="e">
        <f t="shared" si="143"/>
        <v>#DIV/0!</v>
      </c>
      <c r="Q1828" s="17">
        <v>23.46</v>
      </c>
      <c r="U1828" s="9">
        <v>15572.429679999999</v>
      </c>
      <c r="V1828" s="45">
        <f t="shared" si="144"/>
        <v>-1</v>
      </c>
      <c r="X1828" s="12">
        <v>4.01</v>
      </c>
      <c r="Y1828" s="62">
        <v>3.1</v>
      </c>
    </row>
    <row r="1829" spans="1:25" x14ac:dyDescent="0.2">
      <c r="B1829" s="3" t="s">
        <v>2292</v>
      </c>
      <c r="C1829" s="6" t="s">
        <v>355</v>
      </c>
      <c r="D1829" s="6" t="s">
        <v>519</v>
      </c>
      <c r="E1829" s="6" t="s">
        <v>163</v>
      </c>
      <c r="F1829" s="6">
        <v>20990.19</v>
      </c>
      <c r="G1829" s="2">
        <v>12</v>
      </c>
      <c r="H1829" s="61"/>
      <c r="I1829" s="61"/>
      <c r="J1829" s="47">
        <f t="shared" si="140"/>
        <v>-1</v>
      </c>
      <c r="K1829" s="47" t="e">
        <f t="shared" si="141"/>
        <v>#DIV/0!</v>
      </c>
      <c r="O1829" s="17">
        <f t="shared" si="142"/>
        <v>0</v>
      </c>
      <c r="P1829" s="17" t="e">
        <f t="shared" si="143"/>
        <v>#DIV/0!</v>
      </c>
      <c r="Q1829" s="17"/>
      <c r="V1829" s="45" t="e">
        <f t="shared" si="144"/>
        <v>#DIV/0!</v>
      </c>
      <c r="X1829" s="12">
        <v>1.91</v>
      </c>
      <c r="Y1829" s="62"/>
    </row>
    <row r="1830" spans="1:25" x14ac:dyDescent="0.2">
      <c r="A1830" s="3" t="s">
        <v>4081</v>
      </c>
      <c r="B1830" s="3" t="s">
        <v>2049</v>
      </c>
      <c r="C1830" s="6" t="s">
        <v>356</v>
      </c>
      <c r="D1830" s="6" t="s">
        <v>641</v>
      </c>
      <c r="E1830" s="6" t="s">
        <v>250</v>
      </c>
      <c r="F1830" s="6">
        <v>8135.73</v>
      </c>
      <c r="G1830" s="2">
        <v>12</v>
      </c>
      <c r="H1830" s="61">
        <v>0.31</v>
      </c>
      <c r="I1830" s="61">
        <v>0.35</v>
      </c>
      <c r="J1830" s="47">
        <f t="shared" si="140"/>
        <v>-0.97416666666666663</v>
      </c>
      <c r="K1830" s="47">
        <f t="shared" si="141"/>
        <v>0.12903225806451607</v>
      </c>
      <c r="L1830" s="8">
        <v>0.32</v>
      </c>
      <c r="M1830" s="8">
        <v>13.49</v>
      </c>
      <c r="N1830" s="8">
        <v>17.34</v>
      </c>
      <c r="O1830" s="17">
        <f t="shared" si="142"/>
        <v>-0.13847733105218138</v>
      </c>
      <c r="P1830" s="17">
        <f t="shared" si="143"/>
        <v>1.3438500000000007</v>
      </c>
      <c r="Q1830" s="17">
        <v>18.97</v>
      </c>
      <c r="R1830" s="9">
        <v>20220713</v>
      </c>
      <c r="S1830" s="9">
        <v>17.72</v>
      </c>
      <c r="T1830" s="9">
        <v>8.1199999999999992</v>
      </c>
      <c r="U1830" s="9">
        <v>2886.07006</v>
      </c>
      <c r="V1830" s="45">
        <f t="shared" si="144"/>
        <v>-0.99718648548677302</v>
      </c>
      <c r="X1830" s="12">
        <v>21.22</v>
      </c>
      <c r="Y1830" s="62"/>
    </row>
    <row r="1831" spans="1:25" x14ac:dyDescent="0.2">
      <c r="A1831" s="3" t="s">
        <v>4082</v>
      </c>
      <c r="B1831" s="3" t="s">
        <v>1741</v>
      </c>
      <c r="C1831" s="6" t="s">
        <v>354</v>
      </c>
      <c r="D1831" s="6" t="s">
        <v>46</v>
      </c>
      <c r="E1831" s="6" t="s">
        <v>35</v>
      </c>
      <c r="F1831" s="6">
        <v>231407.56</v>
      </c>
      <c r="G1831" s="2">
        <v>3</v>
      </c>
      <c r="H1831" s="61">
        <v>17.86</v>
      </c>
      <c r="I1831" s="61">
        <v>18.420000000000002</v>
      </c>
      <c r="J1831" s="47">
        <f t="shared" si="140"/>
        <v>4.9533333333333331</v>
      </c>
      <c r="K1831" s="47">
        <f t="shared" si="141"/>
        <v>3.1354983202687696E-2</v>
      </c>
      <c r="L1831" s="8">
        <v>19.03</v>
      </c>
      <c r="M1831" s="8">
        <v>9.0299999999999994</v>
      </c>
      <c r="N1831" s="8">
        <v>8.98</v>
      </c>
      <c r="O1831" s="17">
        <f t="shared" si="142"/>
        <v>1.823014804845222E-2</v>
      </c>
      <c r="P1831" s="17">
        <f t="shared" si="143"/>
        <v>2.8639785714285604</v>
      </c>
      <c r="Q1831" s="17">
        <v>8.6999999999999993</v>
      </c>
      <c r="R1831" s="9">
        <v>20220803</v>
      </c>
      <c r="S1831" s="9">
        <v>10.96</v>
      </c>
      <c r="T1831" s="9">
        <v>0.99</v>
      </c>
      <c r="U1831" s="9">
        <v>286600.40625</v>
      </c>
      <c r="V1831" s="45">
        <f t="shared" si="144"/>
        <v>-0.99999654571320062</v>
      </c>
      <c r="W1831" s="12">
        <v>39.17</v>
      </c>
      <c r="X1831" s="12">
        <v>2.25</v>
      </c>
      <c r="Y1831" s="62">
        <v>0.4</v>
      </c>
    </row>
    <row r="1832" spans="1:25" x14ac:dyDescent="0.2">
      <c r="A1832" s="3" t="s">
        <v>4083</v>
      </c>
      <c r="B1832" s="3" t="s">
        <v>1742</v>
      </c>
      <c r="C1832" s="6" t="s">
        <v>354</v>
      </c>
      <c r="D1832" s="6" t="s">
        <v>784</v>
      </c>
      <c r="E1832" s="6" t="s">
        <v>140</v>
      </c>
      <c r="F1832" s="6">
        <v>3414.5</v>
      </c>
      <c r="G1832" s="2">
        <v>12</v>
      </c>
      <c r="H1832" s="61">
        <v>5.0999999999999996</v>
      </c>
      <c r="I1832" s="61">
        <v>9.19</v>
      </c>
      <c r="J1832" s="47">
        <f t="shared" si="140"/>
        <v>-0.57500000000000007</v>
      </c>
      <c r="K1832" s="47">
        <f t="shared" si="141"/>
        <v>0.80196078431372553</v>
      </c>
      <c r="L1832" s="8">
        <v>9.3699999999999992</v>
      </c>
      <c r="M1832" s="8">
        <v>4.82</v>
      </c>
      <c r="N1832" s="8">
        <v>3.11</v>
      </c>
      <c r="O1832" s="17">
        <f t="shared" si="142"/>
        <v>-8.3826086956521731E-2</v>
      </c>
      <c r="P1832" s="17">
        <f t="shared" si="143"/>
        <v>3.8779951100244493E-2</v>
      </c>
      <c r="Q1832" s="17">
        <v>3.05</v>
      </c>
      <c r="R1832" s="9">
        <v>20220804</v>
      </c>
      <c r="S1832" s="9">
        <v>19.170000000000002</v>
      </c>
      <c r="T1832" s="9">
        <v>17.12</v>
      </c>
      <c r="U1832" s="9">
        <v>9132.2236300000004</v>
      </c>
      <c r="V1832" s="45">
        <f t="shared" si="144"/>
        <v>-0.99812531967091123</v>
      </c>
      <c r="W1832" s="12">
        <v>19.010000000000002</v>
      </c>
      <c r="X1832" s="12">
        <v>0</v>
      </c>
      <c r="Y1832" s="62"/>
    </row>
    <row r="1833" spans="1:25" x14ac:dyDescent="0.2">
      <c r="A1833" s="3" t="s">
        <v>4084</v>
      </c>
      <c r="B1833" s="3" t="s">
        <v>1743</v>
      </c>
      <c r="C1833" s="6" t="s">
        <v>356</v>
      </c>
      <c r="D1833" s="6" t="s">
        <v>132</v>
      </c>
      <c r="E1833" s="6" t="s">
        <v>119</v>
      </c>
      <c r="F1833" s="6">
        <v>8335.31</v>
      </c>
      <c r="G1833" s="2">
        <v>12</v>
      </c>
      <c r="H1833" s="61">
        <v>2.39</v>
      </c>
      <c r="I1833" s="61">
        <v>1.83</v>
      </c>
      <c r="J1833" s="47">
        <f t="shared" si="140"/>
        <v>-0.80083333333333329</v>
      </c>
      <c r="K1833" s="47">
        <f t="shared" si="141"/>
        <v>-0.23430962343096234</v>
      </c>
      <c r="L1833" s="8">
        <v>1.98</v>
      </c>
      <c r="M1833" s="8">
        <v>24.37</v>
      </c>
      <c r="N1833" s="8">
        <v>32.450000000000003</v>
      </c>
      <c r="O1833" s="17">
        <f t="shared" si="142"/>
        <v>-0.30430801248699274</v>
      </c>
      <c r="P1833" s="17">
        <f t="shared" si="143"/>
        <v>-1.3849196428571431</v>
      </c>
      <c r="Q1833" s="17">
        <v>29.91</v>
      </c>
      <c r="R1833" s="9">
        <v>20220811</v>
      </c>
      <c r="S1833" s="9">
        <v>18.02</v>
      </c>
      <c r="T1833" s="9">
        <v>6.59</v>
      </c>
      <c r="U1833" s="9">
        <v>1896.0500400000001</v>
      </c>
      <c r="V1833" s="45">
        <f t="shared" si="144"/>
        <v>-0.99652435333405021</v>
      </c>
      <c r="W1833" s="12">
        <v>0</v>
      </c>
      <c r="X1833" s="12">
        <v>2.25</v>
      </c>
      <c r="Y1833" s="62">
        <v>2.69</v>
      </c>
    </row>
    <row r="1834" spans="1:25" x14ac:dyDescent="0.2">
      <c r="A1834" s="3" t="s">
        <v>4085</v>
      </c>
      <c r="B1834" s="3" t="s">
        <v>1744</v>
      </c>
      <c r="C1834" s="6" t="s">
        <v>354</v>
      </c>
      <c r="D1834" s="6" t="s">
        <v>191</v>
      </c>
      <c r="E1834" s="6" t="s">
        <v>208</v>
      </c>
      <c r="F1834" s="6">
        <v>211432.53</v>
      </c>
      <c r="G1834" s="2">
        <v>12</v>
      </c>
      <c r="H1834" s="61">
        <v>23.76</v>
      </c>
      <c r="I1834" s="61">
        <v>22.7</v>
      </c>
      <c r="J1834" s="47">
        <f t="shared" si="140"/>
        <v>0.98000000000000009</v>
      </c>
      <c r="K1834" s="47">
        <f t="shared" si="141"/>
        <v>-4.4612794612794708E-2</v>
      </c>
      <c r="L1834" s="8">
        <v>24.41</v>
      </c>
      <c r="M1834" s="8">
        <v>21.48</v>
      </c>
      <c r="N1834" s="8">
        <v>23.79</v>
      </c>
      <c r="O1834" s="17">
        <f t="shared" si="142"/>
        <v>0.21918367346938772</v>
      </c>
      <c r="P1834" s="17">
        <f t="shared" si="143"/>
        <v>-5.3325509433962148</v>
      </c>
      <c r="Q1834" s="17">
        <v>22.13</v>
      </c>
      <c r="R1834" s="9">
        <v>20220727</v>
      </c>
      <c r="S1834" s="9">
        <v>25.33</v>
      </c>
      <c r="T1834" s="9">
        <v>16.82</v>
      </c>
      <c r="U1834" s="9">
        <v>42521.859369999998</v>
      </c>
      <c r="V1834" s="45">
        <f t="shared" si="144"/>
        <v>-0.9996044387463483</v>
      </c>
      <c r="W1834" s="12">
        <v>17.5</v>
      </c>
      <c r="X1834" s="12">
        <v>0.22</v>
      </c>
      <c r="Y1834" s="62">
        <v>1.83</v>
      </c>
    </row>
    <row r="1835" spans="1:25" x14ac:dyDescent="0.2">
      <c r="A1835" s="3" t="s">
        <v>4086</v>
      </c>
      <c r="B1835" s="3" t="s">
        <v>1745</v>
      </c>
      <c r="C1835" s="6" t="s">
        <v>355</v>
      </c>
      <c r="D1835" s="6" t="s">
        <v>277</v>
      </c>
      <c r="E1835" s="6" t="s">
        <v>119</v>
      </c>
      <c r="F1835" s="6">
        <v>165830.76999999999</v>
      </c>
      <c r="G1835" s="2">
        <v>12</v>
      </c>
      <c r="H1835" s="61">
        <v>2.23</v>
      </c>
      <c r="I1835" s="61">
        <v>2.69</v>
      </c>
      <c r="J1835" s="47">
        <f t="shared" si="140"/>
        <v>-0.81416666666666659</v>
      </c>
      <c r="K1835" s="47">
        <f t="shared" si="141"/>
        <v>0.20627802690582958</v>
      </c>
      <c r="L1835" s="8">
        <v>5.96</v>
      </c>
      <c r="M1835" s="8">
        <v>44.25</v>
      </c>
      <c r="N1835" s="8">
        <v>49.37</v>
      </c>
      <c r="O1835" s="17">
        <f t="shared" si="142"/>
        <v>-0.54350051177072678</v>
      </c>
      <c r="P1835" s="17">
        <f t="shared" si="143"/>
        <v>2.3933717391304348</v>
      </c>
      <c r="Q1835" s="17">
        <v>22.28</v>
      </c>
      <c r="R1835" s="9">
        <v>20220804</v>
      </c>
      <c r="S1835" s="9">
        <v>5.46</v>
      </c>
      <c r="T1835" s="9">
        <v>19.13</v>
      </c>
      <c r="U1835" s="9">
        <v>81439.640620000006</v>
      </c>
      <c r="V1835" s="45">
        <f t="shared" si="144"/>
        <v>-0.99976510210685643</v>
      </c>
      <c r="W1835" s="12">
        <v>39.020000000000003</v>
      </c>
      <c r="X1835" s="12">
        <v>0</v>
      </c>
      <c r="Y1835" s="62">
        <v>1.73</v>
      </c>
    </row>
    <row r="1836" spans="1:25" x14ac:dyDescent="0.2">
      <c r="A1836" s="3" t="s">
        <v>4087</v>
      </c>
      <c r="B1836" s="3" t="s">
        <v>1746</v>
      </c>
      <c r="C1836" s="6" t="s">
        <v>354</v>
      </c>
      <c r="D1836" s="6" t="s">
        <v>162</v>
      </c>
      <c r="E1836" s="6" t="s">
        <v>201</v>
      </c>
      <c r="F1836" s="6">
        <v>5190.62</v>
      </c>
      <c r="G1836" s="2">
        <v>12</v>
      </c>
      <c r="H1836" s="61">
        <v>1.45</v>
      </c>
      <c r="I1836" s="61">
        <v>1.58</v>
      </c>
      <c r="J1836" s="47">
        <f t="shared" si="140"/>
        <v>-0.87916666666666676</v>
      </c>
      <c r="K1836" s="47">
        <f t="shared" si="141"/>
        <v>8.9655172413793185E-2</v>
      </c>
      <c r="L1836" s="8">
        <v>1.74</v>
      </c>
      <c r="M1836" s="8">
        <v>29.06</v>
      </c>
      <c r="N1836" s="8">
        <v>27.07</v>
      </c>
      <c r="O1836" s="17">
        <f t="shared" si="142"/>
        <v>-0.33054028436018956</v>
      </c>
      <c r="P1836" s="17">
        <f t="shared" si="143"/>
        <v>3.019346153846151</v>
      </c>
      <c r="Q1836" s="17">
        <v>24.61</v>
      </c>
      <c r="R1836" s="9">
        <v>20220804</v>
      </c>
      <c r="S1836" s="9">
        <v>7.55</v>
      </c>
      <c r="T1836" s="9">
        <v>-10.1</v>
      </c>
      <c r="U1836" s="9">
        <v>2134.6679600000002</v>
      </c>
      <c r="V1836" s="45">
        <f t="shared" si="144"/>
        <v>-1.0047314149972064</v>
      </c>
      <c r="W1836" s="12">
        <v>6.06</v>
      </c>
      <c r="X1836" s="12">
        <v>0</v>
      </c>
      <c r="Y1836" s="62"/>
    </row>
    <row r="1837" spans="1:25" x14ac:dyDescent="0.2">
      <c r="A1837" s="3" t="s">
        <v>4088</v>
      </c>
      <c r="B1837" s="3" t="s">
        <v>1747</v>
      </c>
      <c r="C1837" s="6" t="s">
        <v>355</v>
      </c>
      <c r="D1837" s="6" t="s">
        <v>191</v>
      </c>
      <c r="E1837" s="6" t="s">
        <v>208</v>
      </c>
      <c r="F1837" s="6">
        <v>4309.17</v>
      </c>
      <c r="G1837" s="2">
        <v>12</v>
      </c>
      <c r="H1837" s="61">
        <v>0.31</v>
      </c>
      <c r="I1837" s="61">
        <v>0.36</v>
      </c>
      <c r="J1837" s="47">
        <f t="shared" si="140"/>
        <v>-0.97416666666666663</v>
      </c>
      <c r="K1837" s="47">
        <f t="shared" si="141"/>
        <v>0.16129032258064513</v>
      </c>
      <c r="L1837" s="8">
        <v>1.1000000000000001</v>
      </c>
      <c r="M1837" s="8">
        <v>748.56</v>
      </c>
      <c r="N1837" s="8">
        <v>184.94</v>
      </c>
      <c r="O1837" s="17">
        <f t="shared" si="142"/>
        <v>-7.6841060735671514</v>
      </c>
      <c r="P1837" s="17">
        <f t="shared" si="143"/>
        <v>11.466280000000003</v>
      </c>
      <c r="Q1837" s="17">
        <v>61.53</v>
      </c>
      <c r="R1837" s="9">
        <v>20220803</v>
      </c>
      <c r="S1837" s="9">
        <v>1.64</v>
      </c>
      <c r="T1837" s="9">
        <v>62.47</v>
      </c>
      <c r="U1837" s="9">
        <v>855.68402000000003</v>
      </c>
      <c r="V1837" s="45">
        <f t="shared" si="144"/>
        <v>-0.92699407895919339</v>
      </c>
      <c r="W1837" s="12">
        <v>-20</v>
      </c>
      <c r="X1837" s="12">
        <v>0</v>
      </c>
      <c r="Y1837" s="62"/>
    </row>
    <row r="1838" spans="1:25" x14ac:dyDescent="0.2">
      <c r="A1838" s="3" t="s">
        <v>4089</v>
      </c>
      <c r="B1838" s="3" t="s">
        <v>1748</v>
      </c>
      <c r="C1838" s="6" t="s">
        <v>354</v>
      </c>
      <c r="D1838" s="6" t="s">
        <v>210</v>
      </c>
      <c r="E1838" s="6" t="s">
        <v>108</v>
      </c>
      <c r="F1838" s="6">
        <v>4837.4799999999996</v>
      </c>
      <c r="G1838" s="2">
        <v>12</v>
      </c>
      <c r="H1838" s="61">
        <v>5.08</v>
      </c>
      <c r="I1838" s="61">
        <v>5.19</v>
      </c>
      <c r="J1838" s="47">
        <f t="shared" si="140"/>
        <v>-0.57666666666666666</v>
      </c>
      <c r="K1838" s="47">
        <f t="shared" si="141"/>
        <v>2.1653543307086676E-2</v>
      </c>
      <c r="L1838" s="8">
        <v>5.68</v>
      </c>
      <c r="M1838" s="8">
        <v>11.86</v>
      </c>
      <c r="N1838" s="8">
        <v>14.96</v>
      </c>
      <c r="O1838" s="17">
        <f t="shared" si="142"/>
        <v>-0.20566473988439307</v>
      </c>
      <c r="P1838" s="17">
        <f t="shared" si="143"/>
        <v>6.9087999999999798</v>
      </c>
      <c r="Q1838" s="17">
        <v>13.67</v>
      </c>
      <c r="R1838" s="9">
        <v>20220725</v>
      </c>
      <c r="S1838" s="9">
        <v>50.2</v>
      </c>
      <c r="T1838" s="9">
        <v>8</v>
      </c>
      <c r="U1838" s="9">
        <v>1240.95703</v>
      </c>
      <c r="V1838" s="45">
        <f t="shared" si="144"/>
        <v>-0.99355336260112082</v>
      </c>
      <c r="W1838" s="12">
        <v>24.39</v>
      </c>
      <c r="X1838" s="12">
        <v>0</v>
      </c>
      <c r="Y1838" s="62"/>
    </row>
    <row r="1839" spans="1:25" x14ac:dyDescent="0.2">
      <c r="A1839" s="3" t="s">
        <v>1914</v>
      </c>
      <c r="B1839" s="3" t="s">
        <v>1915</v>
      </c>
      <c r="C1839" s="6" t="s">
        <v>354</v>
      </c>
      <c r="D1839" s="6" t="s">
        <v>621</v>
      </c>
      <c r="E1839" s="6" t="s">
        <v>146</v>
      </c>
      <c r="F1839" s="6">
        <v>4292.1499999999996</v>
      </c>
      <c r="G1839" s="2">
        <v>12</v>
      </c>
      <c r="H1839" s="61">
        <v>3.38</v>
      </c>
      <c r="I1839" s="61">
        <v>4.53</v>
      </c>
      <c r="J1839" s="47">
        <f t="shared" si="140"/>
        <v>-0.71833333333333338</v>
      </c>
      <c r="K1839" s="47">
        <f t="shared" si="141"/>
        <v>0.34023668639053267</v>
      </c>
      <c r="L1839" s="8">
        <v>5.71</v>
      </c>
      <c r="M1839" s="8">
        <v>12.72</v>
      </c>
      <c r="N1839" s="8">
        <v>11.08</v>
      </c>
      <c r="O1839" s="17">
        <f t="shared" si="142"/>
        <v>-0.17707656612529002</v>
      </c>
      <c r="P1839" s="17">
        <f t="shared" si="143"/>
        <v>0.3256556521739129</v>
      </c>
      <c r="Q1839" s="17">
        <v>8.8000000000000007</v>
      </c>
      <c r="R1839" s="9">
        <v>20220727</v>
      </c>
      <c r="S1839" s="9">
        <v>-40.93</v>
      </c>
      <c r="T1839" s="9">
        <v>-16.75</v>
      </c>
      <c r="U1839" s="9">
        <v>3594.22802</v>
      </c>
      <c r="V1839" s="45">
        <f t="shared" si="144"/>
        <v>-1.0046602496855499</v>
      </c>
      <c r="W1839" s="12">
        <v>-5.48</v>
      </c>
      <c r="X1839" s="12">
        <v>3.18</v>
      </c>
      <c r="Y1839" s="62"/>
    </row>
    <row r="1840" spans="1:25" x14ac:dyDescent="0.2">
      <c r="A1840" s="3" t="s">
        <v>4090</v>
      </c>
      <c r="B1840" s="3" t="s">
        <v>1749</v>
      </c>
      <c r="C1840" s="6" t="s">
        <v>354</v>
      </c>
      <c r="D1840" s="6" t="s">
        <v>784</v>
      </c>
      <c r="E1840" s="6" t="s">
        <v>140</v>
      </c>
      <c r="F1840" s="6">
        <v>5868.47</v>
      </c>
      <c r="G1840" s="2">
        <v>10</v>
      </c>
      <c r="H1840" s="61">
        <v>6.14</v>
      </c>
      <c r="I1840" s="61">
        <v>9.9700000000000006</v>
      </c>
      <c r="J1840" s="47">
        <f t="shared" si="140"/>
        <v>-0.38600000000000001</v>
      </c>
      <c r="K1840" s="47">
        <f t="shared" si="141"/>
        <v>0.62377850162866466</v>
      </c>
      <c r="L1840" s="8">
        <v>10.9</v>
      </c>
      <c r="M1840" s="8">
        <v>6.27</v>
      </c>
      <c r="N1840" s="8">
        <v>5.0199999999999996</v>
      </c>
      <c r="O1840" s="17">
        <f t="shared" si="142"/>
        <v>-0.16243523316062175</v>
      </c>
      <c r="P1840" s="17">
        <f t="shared" si="143"/>
        <v>8.0477284595300236E-2</v>
      </c>
      <c r="Q1840" s="17">
        <v>4.59</v>
      </c>
      <c r="R1840" s="9">
        <v>20220823</v>
      </c>
      <c r="S1840" s="9">
        <v>18.61</v>
      </c>
      <c r="T1840" s="9">
        <v>8.52</v>
      </c>
      <c r="U1840" s="9">
        <v>10278.945309999999</v>
      </c>
      <c r="V1840" s="45">
        <f t="shared" si="144"/>
        <v>-0.99917112118577855</v>
      </c>
      <c r="W1840" s="12">
        <v>26.71</v>
      </c>
      <c r="X1840" s="12">
        <v>1.6</v>
      </c>
      <c r="Y1840" s="62">
        <v>0.65</v>
      </c>
    </row>
    <row r="1841" spans="1:25" x14ac:dyDescent="0.2">
      <c r="A1841" s="3" t="s">
        <v>4091</v>
      </c>
      <c r="B1841" s="3" t="s">
        <v>1750</v>
      </c>
      <c r="C1841" s="6" t="s">
        <v>356</v>
      </c>
      <c r="D1841" s="6" t="s">
        <v>126</v>
      </c>
      <c r="E1841" s="6" t="s">
        <v>60</v>
      </c>
      <c r="F1841" s="6">
        <v>4728.3</v>
      </c>
      <c r="G1841" s="2">
        <v>3</v>
      </c>
      <c r="H1841" s="61"/>
      <c r="I1841" s="61"/>
      <c r="J1841" s="47">
        <f t="shared" si="140"/>
        <v>-1</v>
      </c>
      <c r="K1841" s="47" t="e">
        <f t="shared" si="141"/>
        <v>#DIV/0!</v>
      </c>
      <c r="O1841" s="17">
        <f t="shared" si="142"/>
        <v>0</v>
      </c>
      <c r="P1841" s="17" t="e">
        <f t="shared" si="143"/>
        <v>#DIV/0!</v>
      </c>
      <c r="Q1841" s="17"/>
      <c r="R1841" s="9">
        <v>20220624</v>
      </c>
      <c r="V1841" s="45" t="e">
        <f t="shared" si="144"/>
        <v>#DIV/0!</v>
      </c>
      <c r="X1841" s="12">
        <v>0</v>
      </c>
      <c r="Y1841" s="62"/>
    </row>
    <row r="1842" spans="1:25" x14ac:dyDescent="0.2">
      <c r="A1842" s="3" t="s">
        <v>4092</v>
      </c>
      <c r="B1842" s="3" t="s">
        <v>4093</v>
      </c>
      <c r="C1842" s="6" t="s">
        <v>354</v>
      </c>
      <c r="D1842" s="6" t="s">
        <v>177</v>
      </c>
      <c r="E1842" s="6" t="s">
        <v>119</v>
      </c>
      <c r="F1842" s="6">
        <v>8005.81</v>
      </c>
      <c r="G1842" s="2">
        <v>12</v>
      </c>
      <c r="H1842" s="61">
        <v>-2.27</v>
      </c>
      <c r="I1842" s="61">
        <v>-0.75</v>
      </c>
      <c r="J1842" s="47">
        <f t="shared" si="140"/>
        <v>-1.1891666666666667</v>
      </c>
      <c r="K1842" s="47">
        <f t="shared" si="141"/>
        <v>0.66960352422907488</v>
      </c>
      <c r="L1842" s="8">
        <v>-0.88</v>
      </c>
      <c r="O1842" s="17">
        <f t="shared" si="142"/>
        <v>0</v>
      </c>
      <c r="P1842" s="17">
        <f t="shared" si="143"/>
        <v>0</v>
      </c>
      <c r="Q1842" s="17"/>
      <c r="R1842" s="9">
        <v>20220811</v>
      </c>
      <c r="U1842" s="9">
        <v>2530.4040500000001</v>
      </c>
      <c r="V1842" s="45">
        <f t="shared" si="144"/>
        <v>-1</v>
      </c>
      <c r="W1842" s="12">
        <v>16.670000000000002</v>
      </c>
      <c r="X1842" s="12">
        <v>0</v>
      </c>
      <c r="Y1842" s="62"/>
    </row>
    <row r="1843" spans="1:25" x14ac:dyDescent="0.2">
      <c r="A1843" s="3" t="s">
        <v>4094</v>
      </c>
      <c r="B1843" s="3" t="s">
        <v>1751</v>
      </c>
      <c r="C1843" s="6" t="s">
        <v>356</v>
      </c>
      <c r="D1843" s="6" t="s">
        <v>797</v>
      </c>
      <c r="E1843" s="6" t="s">
        <v>146</v>
      </c>
      <c r="F1843" s="6">
        <v>19456.55</v>
      </c>
      <c r="G1843" s="2">
        <v>3</v>
      </c>
      <c r="H1843" s="61">
        <v>1.36</v>
      </c>
      <c r="I1843" s="61">
        <v>1.73</v>
      </c>
      <c r="J1843" s="47">
        <f t="shared" si="140"/>
        <v>-0.54666666666666663</v>
      </c>
      <c r="K1843" s="47">
        <f t="shared" si="141"/>
        <v>0.27205882352941169</v>
      </c>
      <c r="L1843" s="8">
        <v>1.8</v>
      </c>
      <c r="M1843" s="8">
        <v>12.21</v>
      </c>
      <c r="N1843" s="8">
        <v>13.02</v>
      </c>
      <c r="O1843" s="17">
        <f t="shared" si="142"/>
        <v>-0.2233536585365854</v>
      </c>
      <c r="P1843" s="17">
        <f t="shared" si="143"/>
        <v>0.47857297297297313</v>
      </c>
      <c r="Q1843" s="17">
        <v>12.48</v>
      </c>
      <c r="R1843" s="9">
        <v>20220811</v>
      </c>
      <c r="S1843" s="9">
        <v>14.62</v>
      </c>
      <c r="T1843" s="9">
        <v>-7.81</v>
      </c>
      <c r="U1843" s="9">
        <v>30895.45507</v>
      </c>
      <c r="V1843" s="45">
        <f t="shared" si="144"/>
        <v>-1.0002527879904117</v>
      </c>
      <c r="X1843" s="12">
        <v>2.21</v>
      </c>
      <c r="Y1843" s="62"/>
    </row>
    <row r="1844" spans="1:25" x14ac:dyDescent="0.2">
      <c r="A1844" s="3" t="s">
        <v>4095</v>
      </c>
      <c r="B1844" s="3" t="s">
        <v>4096</v>
      </c>
      <c r="C1844" s="6" t="s">
        <v>355</v>
      </c>
      <c r="D1844" s="6" t="s">
        <v>150</v>
      </c>
      <c r="E1844" s="6" t="s">
        <v>163</v>
      </c>
      <c r="F1844" s="6">
        <v>8996.19</v>
      </c>
      <c r="G1844" s="2">
        <v>12</v>
      </c>
      <c r="H1844" s="61">
        <v>1.73</v>
      </c>
      <c r="I1844" s="61">
        <v>1.63</v>
      </c>
      <c r="J1844" s="47">
        <f t="shared" si="140"/>
        <v>-0.85583333333333333</v>
      </c>
      <c r="K1844" s="47">
        <f t="shared" si="141"/>
        <v>-5.780346820809254E-2</v>
      </c>
      <c r="L1844" s="8">
        <v>2.09</v>
      </c>
      <c r="N1844" s="8">
        <v>17.82</v>
      </c>
      <c r="O1844" s="17">
        <f t="shared" si="142"/>
        <v>0</v>
      </c>
      <c r="P1844" s="17">
        <f t="shared" si="143"/>
        <v>-3.082859999999997</v>
      </c>
      <c r="Q1844" s="17">
        <v>13.98</v>
      </c>
      <c r="R1844" s="9">
        <v>20220809</v>
      </c>
      <c r="U1844" s="9">
        <v>1023.52001</v>
      </c>
      <c r="V1844" s="45">
        <f t="shared" si="144"/>
        <v>-1</v>
      </c>
      <c r="W1844" s="12">
        <v>10.64</v>
      </c>
      <c r="X1844" s="12">
        <v>6.04</v>
      </c>
      <c r="Y1844" s="62">
        <v>1.83</v>
      </c>
    </row>
    <row r="1845" spans="1:25" x14ac:dyDescent="0.2">
      <c r="A1845" s="3" t="s">
        <v>4097</v>
      </c>
      <c r="B1845" s="3" t="s">
        <v>1752</v>
      </c>
      <c r="C1845" s="6" t="s">
        <v>354</v>
      </c>
      <c r="D1845" s="6" t="s">
        <v>306</v>
      </c>
      <c r="E1845" s="6" t="s">
        <v>218</v>
      </c>
      <c r="F1845" s="6">
        <v>11821.22</v>
      </c>
      <c r="G1845" s="2">
        <v>12</v>
      </c>
      <c r="H1845" s="61">
        <v>35.58</v>
      </c>
      <c r="I1845" s="61">
        <v>58.99</v>
      </c>
      <c r="J1845" s="47">
        <f t="shared" si="140"/>
        <v>1.9649999999999999</v>
      </c>
      <c r="K1845" s="47">
        <f t="shared" si="141"/>
        <v>0.65795390668915132</v>
      </c>
      <c r="L1845" s="8">
        <v>67.25</v>
      </c>
      <c r="M1845" s="8">
        <v>37.22</v>
      </c>
      <c r="N1845" s="8">
        <v>25.89</v>
      </c>
      <c r="O1845" s="17">
        <f t="shared" si="142"/>
        <v>0.1894147582697201</v>
      </c>
      <c r="P1845" s="17">
        <f t="shared" si="143"/>
        <v>0.39349260999572827</v>
      </c>
      <c r="Q1845" s="17">
        <v>22.7</v>
      </c>
      <c r="R1845" s="9">
        <v>20220804</v>
      </c>
      <c r="T1845" s="9">
        <v>38.93</v>
      </c>
      <c r="U1845" s="9">
        <v>669.96001999999999</v>
      </c>
      <c r="V1845" s="45">
        <f t="shared" si="144"/>
        <v>-0.94189205499158002</v>
      </c>
      <c r="W1845" s="12">
        <v>-8.5399999999999991</v>
      </c>
      <c r="X1845" s="12">
        <v>0.79</v>
      </c>
      <c r="Y1845" s="62"/>
    </row>
    <row r="1846" spans="1:25" x14ac:dyDescent="0.2">
      <c r="A1846" s="3" t="s">
        <v>4098</v>
      </c>
      <c r="B1846" s="3" t="s">
        <v>1753</v>
      </c>
      <c r="C1846" s="6" t="s">
        <v>354</v>
      </c>
      <c r="D1846" s="6" t="s">
        <v>219</v>
      </c>
      <c r="E1846" s="6" t="s">
        <v>231</v>
      </c>
      <c r="F1846" s="6">
        <v>8410.2000000000007</v>
      </c>
      <c r="G1846" s="2">
        <v>6</v>
      </c>
      <c r="H1846" s="61">
        <v>2.89</v>
      </c>
      <c r="I1846" s="61">
        <v>3.46</v>
      </c>
      <c r="J1846" s="47">
        <f t="shared" si="140"/>
        <v>-0.51833333333333331</v>
      </c>
      <c r="K1846" s="47">
        <f t="shared" si="141"/>
        <v>0.19723183391003454</v>
      </c>
      <c r="L1846" s="8">
        <v>3.96</v>
      </c>
      <c r="M1846" s="8">
        <v>9.82</v>
      </c>
      <c r="N1846" s="8">
        <v>9.67</v>
      </c>
      <c r="O1846" s="17">
        <f t="shared" si="142"/>
        <v>-0.18945337620578781</v>
      </c>
      <c r="P1846" s="17">
        <f t="shared" si="143"/>
        <v>0.49028596491228082</v>
      </c>
      <c r="Q1846" s="17">
        <v>8.44</v>
      </c>
      <c r="R1846" s="9">
        <v>20220818</v>
      </c>
      <c r="S1846" s="9">
        <v>32.07</v>
      </c>
      <c r="T1846" s="9">
        <v>2.64</v>
      </c>
      <c r="U1846" s="9">
        <v>6698.3769499999999</v>
      </c>
      <c r="V1846" s="45">
        <f t="shared" si="144"/>
        <v>-0.99960587467386408</v>
      </c>
      <c r="W1846" s="12">
        <v>27.5</v>
      </c>
      <c r="X1846" s="12">
        <v>2.99</v>
      </c>
      <c r="Y1846" s="62">
        <v>0.77</v>
      </c>
    </row>
    <row r="1847" spans="1:25" x14ac:dyDescent="0.2">
      <c r="A1847" s="3" t="s">
        <v>4099</v>
      </c>
      <c r="B1847" s="3" t="s">
        <v>1754</v>
      </c>
      <c r="C1847" s="6" t="s">
        <v>354</v>
      </c>
      <c r="D1847" s="6" t="s">
        <v>408</v>
      </c>
      <c r="E1847" s="6" t="s">
        <v>231</v>
      </c>
      <c r="F1847" s="6">
        <v>4558.88</v>
      </c>
      <c r="G1847" s="2">
        <v>12</v>
      </c>
      <c r="H1847" s="61">
        <v>3.27</v>
      </c>
      <c r="I1847" s="61">
        <v>3.27</v>
      </c>
      <c r="J1847" s="47">
        <f t="shared" si="140"/>
        <v>-0.72750000000000004</v>
      </c>
      <c r="K1847" s="47">
        <f t="shared" si="141"/>
        <v>0</v>
      </c>
      <c r="L1847" s="8">
        <v>3.73</v>
      </c>
      <c r="M1847" s="8">
        <v>8.02</v>
      </c>
      <c r="N1847" s="8">
        <v>7.95</v>
      </c>
      <c r="O1847" s="17">
        <f t="shared" si="142"/>
        <v>-0.11024054982817869</v>
      </c>
      <c r="P1847" s="17" t="e">
        <f t="shared" si="143"/>
        <v>#DIV/0!</v>
      </c>
      <c r="Q1847" s="17">
        <v>6.96</v>
      </c>
      <c r="R1847" s="9">
        <v>20220804</v>
      </c>
      <c r="S1847" s="9">
        <v>272.95</v>
      </c>
      <c r="T1847" s="9">
        <v>13.97</v>
      </c>
      <c r="U1847" s="9">
        <v>5438.5859300000002</v>
      </c>
      <c r="V1847" s="45">
        <f t="shared" si="144"/>
        <v>-0.99743131759251247</v>
      </c>
      <c r="W1847" s="12">
        <v>15</v>
      </c>
      <c r="X1847" s="12">
        <v>1.54</v>
      </c>
      <c r="Y1847" s="62">
        <v>0.54</v>
      </c>
    </row>
    <row r="1848" spans="1:25" x14ac:dyDescent="0.2">
      <c r="A1848" s="3" t="s">
        <v>4100</v>
      </c>
      <c r="B1848" s="3" t="s">
        <v>1755</v>
      </c>
      <c r="C1848" s="6" t="s">
        <v>354</v>
      </c>
      <c r="D1848" s="6" t="s">
        <v>122</v>
      </c>
      <c r="E1848" s="6" t="s">
        <v>140</v>
      </c>
      <c r="F1848" s="6">
        <v>7393.04</v>
      </c>
      <c r="G1848" s="2">
        <v>12</v>
      </c>
      <c r="H1848" s="61">
        <v>2.11</v>
      </c>
      <c r="I1848" s="61">
        <v>2.4900000000000002</v>
      </c>
      <c r="J1848" s="47">
        <f t="shared" si="140"/>
        <v>-0.82416666666666671</v>
      </c>
      <c r="K1848" s="47">
        <f t="shared" si="141"/>
        <v>0.18009478672985799</v>
      </c>
      <c r="L1848" s="8">
        <v>2.73</v>
      </c>
      <c r="M1848" s="8">
        <v>27.91</v>
      </c>
      <c r="N1848" s="8">
        <v>26.25</v>
      </c>
      <c r="O1848" s="17">
        <f t="shared" si="142"/>
        <v>-0.33864509605662285</v>
      </c>
      <c r="P1848" s="17">
        <f t="shared" si="143"/>
        <v>1.4575657894736826</v>
      </c>
      <c r="Q1848" s="17">
        <v>23.9</v>
      </c>
      <c r="R1848" s="9">
        <v>20220801</v>
      </c>
      <c r="S1848" s="9">
        <v>38.31</v>
      </c>
      <c r="T1848" s="9">
        <v>18.88</v>
      </c>
      <c r="U1848" s="9">
        <v>1394.3699899999999</v>
      </c>
      <c r="V1848" s="45">
        <f t="shared" si="144"/>
        <v>-0.98645983481041488</v>
      </c>
      <c r="W1848" s="12">
        <v>14.81</v>
      </c>
      <c r="X1848" s="12">
        <v>0</v>
      </c>
      <c r="Y1848" s="62">
        <v>1.48</v>
      </c>
    </row>
    <row r="1849" spans="1:25" x14ac:dyDescent="0.2">
      <c r="A1849" s="3" t="s">
        <v>4101</v>
      </c>
      <c r="B1849" s="3" t="s">
        <v>1756</v>
      </c>
      <c r="C1849" s="6" t="s">
        <v>354</v>
      </c>
      <c r="D1849" s="6" t="s">
        <v>209</v>
      </c>
      <c r="E1849" s="6" t="s">
        <v>218</v>
      </c>
      <c r="F1849" s="6">
        <v>16198.54</v>
      </c>
      <c r="G1849" s="2">
        <v>12</v>
      </c>
      <c r="H1849" s="61">
        <v>1.99</v>
      </c>
      <c r="I1849" s="61">
        <v>3.71</v>
      </c>
      <c r="J1849" s="47">
        <f t="shared" si="140"/>
        <v>-0.83416666666666661</v>
      </c>
      <c r="K1849" s="47">
        <f t="shared" si="141"/>
        <v>0.86432160804020097</v>
      </c>
      <c r="L1849" s="8">
        <v>4.8600000000000003</v>
      </c>
      <c r="M1849" s="8">
        <v>51.49</v>
      </c>
      <c r="N1849" s="8">
        <v>19.149999999999999</v>
      </c>
      <c r="O1849" s="17">
        <f t="shared" si="142"/>
        <v>-0.61726273726273739</v>
      </c>
      <c r="P1849" s="17">
        <f t="shared" si="143"/>
        <v>0.22156104651162789</v>
      </c>
      <c r="Q1849" s="17">
        <v>14.63</v>
      </c>
      <c r="R1849" s="9">
        <v>20220804</v>
      </c>
      <c r="S1849" s="9">
        <v>8.24</v>
      </c>
      <c r="T1849" s="9">
        <v>10.65</v>
      </c>
      <c r="U1849" s="9">
        <v>23505.306639999999</v>
      </c>
      <c r="V1849" s="45">
        <f t="shared" si="144"/>
        <v>-0.99954691082472935</v>
      </c>
      <c r="W1849" s="12">
        <v>-93.26</v>
      </c>
      <c r="X1849" s="12">
        <v>1.97</v>
      </c>
      <c r="Y1849" s="62"/>
    </row>
    <row r="1850" spans="1:25" x14ac:dyDescent="0.2">
      <c r="A1850" s="3" t="s">
        <v>4102</v>
      </c>
      <c r="B1850" s="3" t="s">
        <v>1757</v>
      </c>
      <c r="C1850" s="6" t="s">
        <v>354</v>
      </c>
      <c r="D1850" s="6" t="s">
        <v>233</v>
      </c>
      <c r="E1850" s="6" t="s">
        <v>108</v>
      </c>
      <c r="F1850" s="6">
        <v>47394.31</v>
      </c>
      <c r="G1850" s="2">
        <v>12</v>
      </c>
      <c r="H1850" s="61">
        <v>1.99</v>
      </c>
      <c r="I1850" s="61">
        <v>2.4500000000000002</v>
      </c>
      <c r="J1850" s="47">
        <f t="shared" si="140"/>
        <v>-0.83416666666666661</v>
      </c>
      <c r="K1850" s="47">
        <f t="shared" si="141"/>
        <v>0.23115577889447245</v>
      </c>
      <c r="L1850" s="8">
        <v>3.41</v>
      </c>
      <c r="M1850" s="8">
        <v>47.93</v>
      </c>
      <c r="N1850" s="8">
        <v>39.71</v>
      </c>
      <c r="O1850" s="17">
        <f t="shared" si="142"/>
        <v>-0.57458541458541468</v>
      </c>
      <c r="P1850" s="17">
        <f t="shared" si="143"/>
        <v>1.7178891304347821</v>
      </c>
      <c r="Q1850" s="17">
        <v>28.53</v>
      </c>
      <c r="R1850" s="9">
        <v>20220804</v>
      </c>
      <c r="S1850" s="9">
        <v>6.83</v>
      </c>
      <c r="T1850" s="9">
        <v>-11.15</v>
      </c>
      <c r="U1850" s="9">
        <v>6684.2167900000004</v>
      </c>
      <c r="V1850" s="45">
        <f t="shared" si="144"/>
        <v>-1.0016681086730581</v>
      </c>
      <c r="W1850" s="12">
        <v>3.13</v>
      </c>
      <c r="X1850" s="12">
        <v>1.83</v>
      </c>
      <c r="Y1850" s="62">
        <v>2.92</v>
      </c>
    </row>
    <row r="1851" spans="1:25" x14ac:dyDescent="0.2">
      <c r="A1851" s="3" t="s">
        <v>4103</v>
      </c>
      <c r="B1851" s="3" t="s">
        <v>1758</v>
      </c>
      <c r="C1851" s="6" t="s">
        <v>355</v>
      </c>
      <c r="D1851" s="6" t="s">
        <v>174</v>
      </c>
      <c r="E1851" s="6" t="s">
        <v>231</v>
      </c>
      <c r="F1851" s="6">
        <v>3514.22</v>
      </c>
      <c r="G1851" s="2">
        <v>12</v>
      </c>
      <c r="H1851" s="61">
        <v>-0.2</v>
      </c>
      <c r="I1851" s="61">
        <v>0.81</v>
      </c>
      <c r="J1851" s="47">
        <f t="shared" si="140"/>
        <v>-1.0166666666666666</v>
      </c>
      <c r="K1851" s="47">
        <f t="shared" si="141"/>
        <v>5.05</v>
      </c>
      <c r="L1851" s="8">
        <v>1.71</v>
      </c>
      <c r="N1851" s="8">
        <v>31.15</v>
      </c>
      <c r="O1851" s="17">
        <f t="shared" si="142"/>
        <v>0</v>
      </c>
      <c r="P1851" s="17">
        <f t="shared" si="143"/>
        <v>6.1683168316831682E-2</v>
      </c>
      <c r="Q1851" s="17">
        <v>14.76</v>
      </c>
      <c r="R1851" s="9">
        <v>20220804</v>
      </c>
      <c r="S1851" s="9">
        <v>-12.01</v>
      </c>
      <c r="T1851" s="9">
        <v>-18.57</v>
      </c>
      <c r="U1851" s="9">
        <v>1450.6199899999999</v>
      </c>
      <c r="V1851" s="45">
        <f t="shared" si="144"/>
        <v>-1.012801422928137</v>
      </c>
      <c r="W1851" s="12">
        <v>0</v>
      </c>
      <c r="X1851" s="12">
        <v>0</v>
      </c>
      <c r="Y1851" s="62"/>
    </row>
    <row r="1852" spans="1:25" x14ac:dyDescent="0.2">
      <c r="A1852" s="3" t="s">
        <v>4104</v>
      </c>
      <c r="B1852" s="3" t="s">
        <v>1759</v>
      </c>
      <c r="C1852" s="6" t="s">
        <v>355</v>
      </c>
      <c r="D1852" s="6" t="s">
        <v>522</v>
      </c>
      <c r="E1852" s="6" t="s">
        <v>119</v>
      </c>
      <c r="F1852" s="6">
        <v>16794.57</v>
      </c>
      <c r="G1852" s="2">
        <v>12</v>
      </c>
      <c r="H1852" s="61">
        <v>2.66</v>
      </c>
      <c r="I1852" s="61">
        <v>2.81</v>
      </c>
      <c r="J1852" s="47">
        <f t="shared" si="140"/>
        <v>-0.77833333333333332</v>
      </c>
      <c r="K1852" s="47">
        <f t="shared" si="141"/>
        <v>5.6390977443608985E-2</v>
      </c>
      <c r="L1852" s="8">
        <v>3.19</v>
      </c>
      <c r="M1852" s="8">
        <v>24.59</v>
      </c>
      <c r="N1852" s="8">
        <v>23.86</v>
      </c>
      <c r="O1852" s="17">
        <f t="shared" si="142"/>
        <v>-0.31593147751605999</v>
      </c>
      <c r="P1852" s="17">
        <f t="shared" si="143"/>
        <v>4.2311733333333361</v>
      </c>
      <c r="Q1852" s="17">
        <v>21.06</v>
      </c>
      <c r="R1852" s="9">
        <v>20220803</v>
      </c>
      <c r="S1852" s="9">
        <v>15.2</v>
      </c>
      <c r="T1852" s="9">
        <v>7.25</v>
      </c>
      <c r="U1852" s="9">
        <v>3857.4729000000002</v>
      </c>
      <c r="V1852" s="45">
        <f t="shared" si="144"/>
        <v>-0.99812053119025157</v>
      </c>
      <c r="W1852" s="12">
        <v>8.9600000000000009</v>
      </c>
      <c r="X1852" s="12">
        <v>0</v>
      </c>
      <c r="Y1852" s="62">
        <v>1.88</v>
      </c>
    </row>
    <row r="1853" spans="1:25" x14ac:dyDescent="0.2">
      <c r="A1853" s="3" t="s">
        <v>4105</v>
      </c>
      <c r="B1853" s="3" t="s">
        <v>1760</v>
      </c>
      <c r="C1853" s="6" t="s">
        <v>354</v>
      </c>
      <c r="D1853" s="6" t="s">
        <v>215</v>
      </c>
      <c r="E1853" s="6" t="s">
        <v>163</v>
      </c>
      <c r="F1853" s="6">
        <v>4569.9399999999996</v>
      </c>
      <c r="G1853" s="2">
        <v>12</v>
      </c>
      <c r="H1853" s="61">
        <v>1.72</v>
      </c>
      <c r="I1853" s="61">
        <v>1.96</v>
      </c>
      <c r="J1853" s="47">
        <f t="shared" si="140"/>
        <v>-0.85666666666666658</v>
      </c>
      <c r="K1853" s="47">
        <f t="shared" si="141"/>
        <v>0.13953488372093023</v>
      </c>
      <c r="L1853" s="8">
        <v>2.16</v>
      </c>
      <c r="M1853" s="8">
        <v>34.18</v>
      </c>
      <c r="N1853" s="8">
        <v>30.92</v>
      </c>
      <c r="O1853" s="17">
        <f t="shared" si="142"/>
        <v>-0.39898832684824909</v>
      </c>
      <c r="P1853" s="17">
        <f t="shared" si="143"/>
        <v>2.2159333333333335</v>
      </c>
      <c r="Q1853" s="17">
        <v>27.97</v>
      </c>
      <c r="R1853" s="9">
        <v>20220803</v>
      </c>
      <c r="S1853" s="9">
        <v>4.79</v>
      </c>
      <c r="T1853" s="9">
        <v>13.31</v>
      </c>
      <c r="U1853" s="9">
        <v>260.74700000000001</v>
      </c>
      <c r="V1853" s="45">
        <f t="shared" si="144"/>
        <v>-0.94895435038562281</v>
      </c>
      <c r="W1853" s="12">
        <v>0</v>
      </c>
      <c r="X1853" s="12">
        <v>2.25</v>
      </c>
      <c r="Y1853" s="62"/>
    </row>
    <row r="1854" spans="1:25" x14ac:dyDescent="0.2">
      <c r="A1854" s="3" t="s">
        <v>4106</v>
      </c>
      <c r="B1854" s="3" t="s">
        <v>1761</v>
      </c>
      <c r="C1854" s="6" t="s">
        <v>355</v>
      </c>
      <c r="D1854" s="6" t="s">
        <v>150</v>
      </c>
      <c r="E1854" s="6" t="s">
        <v>163</v>
      </c>
      <c r="F1854" s="6">
        <v>29032.6</v>
      </c>
      <c r="G1854" s="2">
        <v>12</v>
      </c>
      <c r="H1854" s="61">
        <v>12.68</v>
      </c>
      <c r="I1854" s="61">
        <v>10.45</v>
      </c>
      <c r="J1854" s="47">
        <f t="shared" si="140"/>
        <v>5.6666666666666643E-2</v>
      </c>
      <c r="K1854" s="47">
        <f t="shared" si="141"/>
        <v>-0.17586750788643538</v>
      </c>
      <c r="L1854" s="8">
        <v>10.95</v>
      </c>
      <c r="M1854" s="8">
        <v>10.33</v>
      </c>
      <c r="N1854" s="8">
        <v>12.22</v>
      </c>
      <c r="O1854" s="17">
        <f t="shared" si="142"/>
        <v>1.822941176470589</v>
      </c>
      <c r="P1854" s="17">
        <f t="shared" si="143"/>
        <v>-0.69484125560538101</v>
      </c>
      <c r="Q1854" s="17">
        <v>11.66</v>
      </c>
      <c r="R1854" s="9">
        <v>20220804</v>
      </c>
      <c r="S1854" s="9">
        <v>33.380000000000003</v>
      </c>
      <c r="T1854" s="9">
        <v>11.23</v>
      </c>
      <c r="U1854" s="9">
        <v>7459.6240200000002</v>
      </c>
      <c r="V1854" s="45">
        <f t="shared" si="144"/>
        <v>-0.99849456219644706</v>
      </c>
      <c r="W1854" s="12">
        <v>-5.07</v>
      </c>
      <c r="X1854" s="12">
        <v>3.76</v>
      </c>
      <c r="Y1854" s="62">
        <v>2.06</v>
      </c>
    </row>
    <row r="1855" spans="1:25" x14ac:dyDescent="0.2">
      <c r="A1855" s="3" t="s">
        <v>4107</v>
      </c>
      <c r="B1855" s="3" t="s">
        <v>1762</v>
      </c>
      <c r="C1855" s="6" t="s">
        <v>354</v>
      </c>
      <c r="D1855" s="6" t="s">
        <v>306</v>
      </c>
      <c r="E1855" s="6" t="s">
        <v>218</v>
      </c>
      <c r="F1855" s="6">
        <v>56133.87</v>
      </c>
      <c r="G1855" s="2">
        <v>12</v>
      </c>
      <c r="H1855" s="61">
        <v>3.38</v>
      </c>
      <c r="I1855" s="61">
        <v>3.35</v>
      </c>
      <c r="J1855" s="47">
        <f t="shared" si="140"/>
        <v>-0.71833333333333338</v>
      </c>
      <c r="K1855" s="47">
        <f t="shared" si="141"/>
        <v>-8.8757396449703572E-3</v>
      </c>
      <c r="L1855" s="8">
        <v>3.51</v>
      </c>
      <c r="M1855" s="8">
        <v>16.89</v>
      </c>
      <c r="N1855" s="8">
        <v>17.059999999999999</v>
      </c>
      <c r="O1855" s="17">
        <f t="shared" si="142"/>
        <v>-0.23512761020881667</v>
      </c>
      <c r="P1855" s="17">
        <f t="shared" si="143"/>
        <v>-19.220933333333456</v>
      </c>
      <c r="Q1855" s="17">
        <v>16.260000000000002</v>
      </c>
      <c r="R1855" s="9">
        <v>20220804</v>
      </c>
      <c r="S1855" s="9">
        <v>14.61</v>
      </c>
      <c r="T1855" s="9">
        <v>-0.71</v>
      </c>
      <c r="U1855" s="9">
        <v>10955.16992</v>
      </c>
      <c r="V1855" s="45">
        <f t="shared" si="144"/>
        <v>-1.0000648095835285</v>
      </c>
      <c r="W1855" s="12">
        <v>-1.1200000000000001</v>
      </c>
      <c r="X1855" s="12">
        <v>5.05</v>
      </c>
      <c r="Y1855" s="62">
        <v>4.26</v>
      </c>
    </row>
    <row r="1856" spans="1:25" x14ac:dyDescent="0.2">
      <c r="A1856" s="3" t="s">
        <v>4108</v>
      </c>
      <c r="B1856" s="3" t="s">
        <v>2293</v>
      </c>
      <c r="C1856" s="6" t="s">
        <v>354</v>
      </c>
      <c r="D1856" s="6" t="s">
        <v>197</v>
      </c>
      <c r="E1856" s="6" t="s">
        <v>60</v>
      </c>
      <c r="F1856" s="6">
        <v>5626.43</v>
      </c>
      <c r="G1856" s="2">
        <v>12</v>
      </c>
      <c r="H1856" s="61"/>
      <c r="I1856" s="61"/>
      <c r="J1856" s="47">
        <f t="shared" si="140"/>
        <v>-1</v>
      </c>
      <c r="K1856" s="47" t="e">
        <f t="shared" si="141"/>
        <v>#DIV/0!</v>
      </c>
      <c r="M1856" s="8">
        <v>9.99</v>
      </c>
      <c r="O1856" s="17">
        <f t="shared" si="142"/>
        <v>-9.9900000000000003E-2</v>
      </c>
      <c r="P1856" s="17" t="e">
        <f t="shared" si="143"/>
        <v>#DIV/0!</v>
      </c>
      <c r="Q1856" s="17"/>
      <c r="R1856" s="9">
        <v>20220804</v>
      </c>
      <c r="S1856" s="9">
        <v>6.18</v>
      </c>
      <c r="T1856" s="9">
        <v>13.27</v>
      </c>
      <c r="V1856" s="45" t="e">
        <f t="shared" si="144"/>
        <v>#DIV/0!</v>
      </c>
      <c r="X1856" s="12">
        <v>0</v>
      </c>
      <c r="Y1856" s="62"/>
    </row>
    <row r="1857" spans="1:25" x14ac:dyDescent="0.2">
      <c r="A1857" s="3" t="s">
        <v>4109</v>
      </c>
      <c r="B1857" s="3" t="s">
        <v>1763</v>
      </c>
      <c r="C1857" s="6" t="s">
        <v>354</v>
      </c>
      <c r="D1857" s="6" t="s">
        <v>238</v>
      </c>
      <c r="E1857" s="6" t="s">
        <v>237</v>
      </c>
      <c r="F1857" s="6">
        <v>4080.75</v>
      </c>
      <c r="G1857" s="2">
        <v>12</v>
      </c>
      <c r="H1857" s="61">
        <v>9.0500000000000007</v>
      </c>
      <c r="I1857" s="61">
        <v>10.76</v>
      </c>
      <c r="J1857" s="47">
        <f t="shared" si="140"/>
        <v>-0.24583333333333326</v>
      </c>
      <c r="K1857" s="47">
        <f t="shared" si="141"/>
        <v>0.1889502762430938</v>
      </c>
      <c r="L1857" s="8">
        <v>10.35</v>
      </c>
      <c r="M1857" s="8">
        <v>6.36</v>
      </c>
      <c r="N1857" s="8">
        <v>5.91</v>
      </c>
      <c r="O1857" s="17">
        <f t="shared" si="142"/>
        <v>-0.25871186440677973</v>
      </c>
      <c r="P1857" s="17">
        <f t="shared" si="143"/>
        <v>0.31278070175438621</v>
      </c>
      <c r="Q1857" s="17">
        <v>6.14</v>
      </c>
      <c r="R1857" s="9">
        <v>20220726</v>
      </c>
      <c r="S1857" s="9">
        <v>30.93</v>
      </c>
      <c r="T1857" s="9">
        <v>5.71</v>
      </c>
      <c r="U1857" s="9">
        <v>1702.8830499999999</v>
      </c>
      <c r="V1857" s="45">
        <f t="shared" si="144"/>
        <v>-0.99664686309491424</v>
      </c>
      <c r="W1857" s="12">
        <v>4.9400000000000004</v>
      </c>
      <c r="X1857" s="12">
        <v>4.09</v>
      </c>
      <c r="Y1857" s="62">
        <v>0.59</v>
      </c>
    </row>
    <row r="1858" spans="1:25" x14ac:dyDescent="0.2">
      <c r="A1858" s="3" t="s">
        <v>1764</v>
      </c>
      <c r="B1858" s="3" t="s">
        <v>1765</v>
      </c>
      <c r="C1858" s="6" t="s">
        <v>354</v>
      </c>
      <c r="D1858" s="6" t="s">
        <v>123</v>
      </c>
      <c r="E1858" s="6" t="s">
        <v>108</v>
      </c>
      <c r="F1858" s="6">
        <v>16413.61</v>
      </c>
      <c r="G1858" s="2">
        <v>12</v>
      </c>
      <c r="H1858" s="61">
        <v>3.78</v>
      </c>
      <c r="I1858" s="61">
        <v>3.97</v>
      </c>
      <c r="J1858" s="47">
        <f t="shared" si="140"/>
        <v>-0.68500000000000005</v>
      </c>
      <c r="K1858" s="47">
        <f t="shared" si="141"/>
        <v>5.0264550264550373E-2</v>
      </c>
      <c r="L1858" s="8">
        <v>4.63</v>
      </c>
      <c r="M1858" s="8">
        <v>23</v>
      </c>
      <c r="N1858" s="8">
        <v>21.49</v>
      </c>
      <c r="O1858" s="17">
        <f t="shared" si="142"/>
        <v>-0.33576642335766421</v>
      </c>
      <c r="P1858" s="17">
        <f t="shared" si="143"/>
        <v>4.2753789473684112</v>
      </c>
      <c r="Q1858" s="17">
        <v>18.43</v>
      </c>
      <c r="R1858" s="9">
        <v>20220726</v>
      </c>
      <c r="S1858" s="9">
        <v>18.53</v>
      </c>
      <c r="T1858" s="9">
        <v>12.2</v>
      </c>
      <c r="U1858" s="9">
        <v>3849.6708899999999</v>
      </c>
      <c r="V1858" s="45">
        <f t="shared" si="144"/>
        <v>-0.99683089792644586</v>
      </c>
      <c r="W1858" s="12">
        <v>0</v>
      </c>
      <c r="X1858" s="12">
        <v>0.45</v>
      </c>
      <c r="Y1858" s="62">
        <v>0.94</v>
      </c>
    </row>
    <row r="1859" spans="1:25" x14ac:dyDescent="0.2">
      <c r="A1859" s="3" t="s">
        <v>4110</v>
      </c>
      <c r="B1859" s="3" t="s">
        <v>1916</v>
      </c>
      <c r="C1859" s="6" t="s">
        <v>356</v>
      </c>
      <c r="D1859" s="6" t="s">
        <v>193</v>
      </c>
      <c r="E1859" s="6" t="s">
        <v>208</v>
      </c>
      <c r="F1859" s="6">
        <v>24813.55</v>
      </c>
      <c r="G1859" s="2">
        <v>3</v>
      </c>
      <c r="H1859" s="61">
        <v>1.08</v>
      </c>
      <c r="I1859" s="61">
        <v>1.32</v>
      </c>
      <c r="J1859" s="47">
        <f t="shared" ref="J1859:J1922" si="145">(H1859-G1859)/ABS(G1859)</f>
        <v>-0.64</v>
      </c>
      <c r="K1859" s="47">
        <f t="shared" ref="K1859:K1922" si="146">(I1859-H1859)/ABS(H1859)</f>
        <v>0.22222222222222221</v>
      </c>
      <c r="L1859" s="8">
        <v>1.46</v>
      </c>
      <c r="M1859" s="8">
        <v>27.69</v>
      </c>
      <c r="N1859" s="8">
        <v>24.75</v>
      </c>
      <c r="O1859" s="17">
        <f t="shared" ref="O1859:O1922" si="147">M1859/(J1859*100)</f>
        <v>-0.43265625000000002</v>
      </c>
      <c r="P1859" s="17">
        <f t="shared" ref="P1859:P1922" si="148">N1859/(K1859*100)</f>
        <v>1.11375</v>
      </c>
      <c r="Q1859" s="17">
        <v>22.38</v>
      </c>
      <c r="R1859" s="9">
        <v>20220601</v>
      </c>
      <c r="S1859" s="9">
        <v>11.36</v>
      </c>
      <c r="U1859" s="9">
        <v>6552.3500899999999</v>
      </c>
      <c r="V1859" s="45">
        <f t="shared" ref="V1859:V1922" si="149">(T1859-U1859)/U1859</f>
        <v>-1</v>
      </c>
      <c r="X1859" s="12">
        <v>0.62</v>
      </c>
      <c r="Y1859" s="62"/>
    </row>
    <row r="1860" spans="1:25" x14ac:dyDescent="0.2">
      <c r="A1860" s="3" t="s">
        <v>4111</v>
      </c>
      <c r="B1860" s="3" t="s">
        <v>1766</v>
      </c>
      <c r="C1860" s="6" t="s">
        <v>354</v>
      </c>
      <c r="D1860" s="6" t="s">
        <v>173</v>
      </c>
      <c r="E1860" s="6" t="s">
        <v>163</v>
      </c>
      <c r="F1860" s="6">
        <v>41961.98</v>
      </c>
      <c r="G1860" s="2">
        <v>12</v>
      </c>
      <c r="H1860" s="61">
        <v>12.61</v>
      </c>
      <c r="I1860" s="61">
        <v>13.5</v>
      </c>
      <c r="J1860" s="47">
        <f t="shared" si="145"/>
        <v>5.0833333333333286E-2</v>
      </c>
      <c r="K1860" s="47">
        <f t="shared" si="146"/>
        <v>7.0578905630452077E-2</v>
      </c>
      <c r="L1860" s="8">
        <v>14.59</v>
      </c>
      <c r="M1860" s="8">
        <v>11.3</v>
      </c>
      <c r="N1860" s="8">
        <v>12.95</v>
      </c>
      <c r="O1860" s="17">
        <f t="shared" si="147"/>
        <v>2.2229508196721333</v>
      </c>
      <c r="P1860" s="17">
        <f t="shared" si="148"/>
        <v>1.8348258426966277</v>
      </c>
      <c r="Q1860" s="17">
        <v>11.99</v>
      </c>
      <c r="R1860" s="9">
        <v>20220719</v>
      </c>
      <c r="S1860" s="9">
        <v>13.78</v>
      </c>
      <c r="T1860" s="9">
        <v>4.34</v>
      </c>
      <c r="U1860" s="9">
        <v>36506.621090000001</v>
      </c>
      <c r="V1860" s="45">
        <f t="shared" si="149"/>
        <v>-0.99988111745567199</v>
      </c>
      <c r="W1860" s="12">
        <v>14.05</v>
      </c>
      <c r="X1860" s="12">
        <v>2.0099999999999998</v>
      </c>
      <c r="Y1860" s="62">
        <v>3.75</v>
      </c>
    </row>
    <row r="1861" spans="1:25" x14ac:dyDescent="0.2">
      <c r="A1861" s="3" t="s">
        <v>4112</v>
      </c>
      <c r="B1861" s="3" t="s">
        <v>1767</v>
      </c>
      <c r="C1861" s="6" t="s">
        <v>356</v>
      </c>
      <c r="D1861" s="6" t="s">
        <v>1768</v>
      </c>
      <c r="E1861" s="6" t="s">
        <v>201</v>
      </c>
      <c r="F1861" s="6">
        <v>8524.49</v>
      </c>
      <c r="G1861" s="2">
        <v>3</v>
      </c>
      <c r="H1861" s="61">
        <v>0.51</v>
      </c>
      <c r="I1861" s="61"/>
      <c r="J1861" s="47">
        <f t="shared" si="145"/>
        <v>-0.83000000000000007</v>
      </c>
      <c r="K1861" s="47">
        <f t="shared" si="146"/>
        <v>-1</v>
      </c>
      <c r="O1861" s="17">
        <f t="shared" si="147"/>
        <v>0</v>
      </c>
      <c r="P1861" s="17">
        <f t="shared" si="148"/>
        <v>0</v>
      </c>
      <c r="Q1861" s="17"/>
      <c r="R1861" s="9">
        <v>20220602</v>
      </c>
      <c r="V1861" s="45" t="e">
        <f t="shared" si="149"/>
        <v>#DIV/0!</v>
      </c>
      <c r="X1861" s="12">
        <v>1.71</v>
      </c>
      <c r="Y1861" s="62"/>
    </row>
    <row r="1862" spans="1:25" x14ac:dyDescent="0.2">
      <c r="A1862" s="3" t="s">
        <v>4113</v>
      </c>
      <c r="B1862" s="3" t="s">
        <v>1769</v>
      </c>
      <c r="C1862" s="6" t="s">
        <v>354</v>
      </c>
      <c r="D1862" s="6" t="s">
        <v>366</v>
      </c>
      <c r="E1862" s="6" t="s">
        <v>201</v>
      </c>
      <c r="F1862" s="6">
        <v>20063.21</v>
      </c>
      <c r="G1862" s="2">
        <v>12</v>
      </c>
      <c r="H1862" s="61">
        <v>1.68</v>
      </c>
      <c r="I1862" s="61">
        <v>3.52</v>
      </c>
      <c r="J1862" s="47">
        <f t="shared" si="145"/>
        <v>-0.86</v>
      </c>
      <c r="K1862" s="47">
        <f t="shared" si="146"/>
        <v>1.0952380952380953</v>
      </c>
      <c r="L1862" s="8">
        <v>3.73</v>
      </c>
      <c r="M1862" s="8">
        <v>13.38</v>
      </c>
      <c r="N1862" s="8">
        <v>9.65</v>
      </c>
      <c r="O1862" s="17">
        <f t="shared" si="147"/>
        <v>-0.15558139534883722</v>
      </c>
      <c r="P1862" s="17">
        <f t="shared" si="148"/>
        <v>8.8108695652173913E-2</v>
      </c>
      <c r="Q1862" s="17">
        <v>9.11</v>
      </c>
      <c r="R1862" s="9">
        <v>20220803</v>
      </c>
      <c r="S1862" s="9">
        <v>12.38</v>
      </c>
      <c r="T1862" s="9">
        <v>1.1299999999999999</v>
      </c>
      <c r="U1862" s="9">
        <v>10713.549800000001</v>
      </c>
      <c r="V1862" s="45">
        <f t="shared" si="149"/>
        <v>-0.99989452608882268</v>
      </c>
      <c r="W1862" s="12">
        <v>25</v>
      </c>
      <c r="X1862" s="12">
        <v>3.3</v>
      </c>
      <c r="Y1862" s="62">
        <v>0.36</v>
      </c>
    </row>
    <row r="1863" spans="1:25" x14ac:dyDescent="0.2">
      <c r="A1863" s="3" t="s">
        <v>4114</v>
      </c>
      <c r="B1863" s="3" t="s">
        <v>2050</v>
      </c>
      <c r="C1863" s="6" t="s">
        <v>356</v>
      </c>
      <c r="D1863" s="6" t="s">
        <v>224</v>
      </c>
      <c r="E1863" s="6" t="s">
        <v>231</v>
      </c>
      <c r="F1863" s="6">
        <v>24756.11</v>
      </c>
      <c r="G1863" s="2">
        <v>2</v>
      </c>
      <c r="H1863" s="61">
        <v>0.93</v>
      </c>
      <c r="I1863" s="61">
        <v>0.88</v>
      </c>
      <c r="J1863" s="47">
        <f t="shared" si="145"/>
        <v>-0.53499999999999992</v>
      </c>
      <c r="K1863" s="47">
        <f t="shared" si="146"/>
        <v>-5.3763440860215096E-2</v>
      </c>
      <c r="L1863" s="8">
        <v>0.92</v>
      </c>
      <c r="N1863" s="8">
        <v>11.13</v>
      </c>
      <c r="O1863" s="17">
        <f t="shared" si="147"/>
        <v>0</v>
      </c>
      <c r="P1863" s="17">
        <f t="shared" si="148"/>
        <v>-2.0701799999999984</v>
      </c>
      <c r="Q1863" s="17">
        <v>10.65</v>
      </c>
      <c r="U1863" s="9">
        <v>82765.742180000001</v>
      </c>
      <c r="V1863" s="45">
        <f t="shared" si="149"/>
        <v>-1</v>
      </c>
      <c r="X1863" s="12">
        <v>6.09</v>
      </c>
      <c r="Y1863" s="62">
        <v>0.34</v>
      </c>
    </row>
    <row r="1864" spans="1:25" x14ac:dyDescent="0.2">
      <c r="A1864" s="3" t="s">
        <v>4115</v>
      </c>
      <c r="B1864" s="3" t="s">
        <v>1770</v>
      </c>
      <c r="C1864" s="6" t="s">
        <v>355</v>
      </c>
      <c r="D1864" s="6" t="s">
        <v>221</v>
      </c>
      <c r="E1864" s="6" t="s">
        <v>231</v>
      </c>
      <c r="F1864" s="6">
        <v>20798.79</v>
      </c>
      <c r="G1864" s="2">
        <v>12</v>
      </c>
      <c r="H1864" s="61">
        <v>8.52</v>
      </c>
      <c r="I1864" s="61">
        <v>9.5</v>
      </c>
      <c r="J1864" s="47">
        <f t="shared" si="145"/>
        <v>-0.29000000000000004</v>
      </c>
      <c r="K1864" s="47">
        <f t="shared" si="146"/>
        <v>0.11502347417840381</v>
      </c>
      <c r="L1864" s="8">
        <v>10.37</v>
      </c>
      <c r="M1864" s="8">
        <v>21.32</v>
      </c>
      <c r="N1864" s="8">
        <v>19.57</v>
      </c>
      <c r="O1864" s="17">
        <f t="shared" si="147"/>
        <v>-0.73517241379310339</v>
      </c>
      <c r="P1864" s="17">
        <f t="shared" si="148"/>
        <v>1.701391836734693</v>
      </c>
      <c r="Q1864" s="17">
        <v>17.920000000000002</v>
      </c>
      <c r="R1864" s="9">
        <v>20220718</v>
      </c>
      <c r="S1864" s="9">
        <v>51.48</v>
      </c>
      <c r="T1864" s="9">
        <v>14.56</v>
      </c>
      <c r="U1864" s="9">
        <v>13844.49121</v>
      </c>
      <c r="V1864" s="45">
        <f t="shared" si="149"/>
        <v>-0.99894831815924856</v>
      </c>
      <c r="W1864" s="12">
        <v>17.86</v>
      </c>
      <c r="X1864" s="12">
        <v>1.98</v>
      </c>
      <c r="Y1864" s="62">
        <v>2</v>
      </c>
    </row>
    <row r="1865" spans="1:25" x14ac:dyDescent="0.2">
      <c r="A1865" s="3" t="s">
        <v>1771</v>
      </c>
      <c r="B1865" s="3" t="s">
        <v>1772</v>
      </c>
      <c r="C1865" s="6" t="s">
        <v>356</v>
      </c>
      <c r="D1865" s="6" t="s">
        <v>116</v>
      </c>
      <c r="E1865" s="6" t="s">
        <v>154</v>
      </c>
      <c r="F1865" s="6">
        <v>10633.82</v>
      </c>
      <c r="G1865" s="2">
        <v>12</v>
      </c>
      <c r="H1865" s="61">
        <v>1.6</v>
      </c>
      <c r="I1865" s="61">
        <v>1.93</v>
      </c>
      <c r="J1865" s="47">
        <f t="shared" si="145"/>
        <v>-0.8666666666666667</v>
      </c>
      <c r="K1865" s="47">
        <f t="shared" si="146"/>
        <v>0.20624999999999991</v>
      </c>
      <c r="L1865" s="8">
        <v>2.35</v>
      </c>
      <c r="M1865" s="8">
        <v>25.3</v>
      </c>
      <c r="N1865" s="8">
        <v>20.190000000000001</v>
      </c>
      <c r="O1865" s="17">
        <f t="shared" si="147"/>
        <v>-0.2919230769230769</v>
      </c>
      <c r="P1865" s="17">
        <f t="shared" si="148"/>
        <v>0.97890909090909151</v>
      </c>
      <c r="Q1865" s="17">
        <v>16.579999999999998</v>
      </c>
      <c r="R1865" s="9">
        <v>20220602</v>
      </c>
      <c r="U1865" s="9">
        <v>5081.25</v>
      </c>
      <c r="V1865" s="45">
        <f t="shared" si="149"/>
        <v>-1</v>
      </c>
      <c r="X1865" s="12">
        <v>1.28</v>
      </c>
      <c r="Y1865" s="62"/>
    </row>
    <row r="1866" spans="1:25" x14ac:dyDescent="0.2">
      <c r="A1866" s="3" t="s">
        <v>4116</v>
      </c>
      <c r="B1866" s="3" t="s">
        <v>1773</v>
      </c>
      <c r="C1866" s="6" t="s">
        <v>355</v>
      </c>
      <c r="D1866" s="6" t="s">
        <v>44</v>
      </c>
      <c r="E1866" s="6" t="s">
        <v>35</v>
      </c>
      <c r="F1866" s="6">
        <v>733215.25</v>
      </c>
      <c r="G1866" s="2">
        <v>12</v>
      </c>
      <c r="H1866" s="61">
        <v>6.4</v>
      </c>
      <c r="I1866" s="61">
        <v>11.18</v>
      </c>
      <c r="J1866" s="47">
        <f t="shared" si="145"/>
        <v>-0.46666666666666662</v>
      </c>
      <c r="K1866" s="47">
        <f t="shared" si="146"/>
        <v>0.74687499999999984</v>
      </c>
      <c r="L1866" s="8">
        <v>13.48</v>
      </c>
      <c r="M1866" s="8">
        <v>78.03</v>
      </c>
      <c r="N1866" s="8">
        <v>63.3</v>
      </c>
      <c r="O1866" s="17">
        <f t="shared" si="147"/>
        <v>-1.6720714285714287</v>
      </c>
      <c r="P1866" s="17">
        <f t="shared" si="148"/>
        <v>0.84753138075313816</v>
      </c>
      <c r="Q1866" s="17">
        <v>52.5</v>
      </c>
      <c r="R1866" s="9">
        <v>20220725</v>
      </c>
      <c r="S1866" s="9">
        <v>28.11</v>
      </c>
      <c r="T1866" s="9">
        <v>42.19</v>
      </c>
      <c r="U1866" s="9">
        <v>86179.90625</v>
      </c>
      <c r="V1866" s="45">
        <f t="shared" si="149"/>
        <v>-0.99951044272573686</v>
      </c>
      <c r="W1866" s="12">
        <v>49.77</v>
      </c>
      <c r="X1866" s="12">
        <v>0</v>
      </c>
      <c r="Y1866" s="62">
        <v>2.11</v>
      </c>
    </row>
    <row r="1867" spans="1:25" x14ac:dyDescent="0.2">
      <c r="A1867" s="3" t="s">
        <v>4117</v>
      </c>
      <c r="B1867" s="3" t="s">
        <v>1774</v>
      </c>
      <c r="C1867" s="6" t="s">
        <v>354</v>
      </c>
      <c r="D1867" s="6" t="s">
        <v>587</v>
      </c>
      <c r="E1867" s="6" t="s">
        <v>154</v>
      </c>
      <c r="F1867" s="6">
        <v>32534.93</v>
      </c>
      <c r="G1867" s="2">
        <v>9</v>
      </c>
      <c r="H1867" s="61">
        <v>8.27</v>
      </c>
      <c r="I1867" s="61">
        <v>9.06</v>
      </c>
      <c r="J1867" s="47">
        <f t="shared" si="145"/>
        <v>-8.1111111111111162E-2</v>
      </c>
      <c r="K1867" s="47">
        <f t="shared" si="146"/>
        <v>9.5525997581620434E-2</v>
      </c>
      <c r="L1867" s="8">
        <v>7.87</v>
      </c>
      <c r="M1867" s="8">
        <v>8.83</v>
      </c>
      <c r="N1867" s="8">
        <v>9.9</v>
      </c>
      <c r="O1867" s="17">
        <f t="shared" si="147"/>
        <v>-1.0886301369863007</v>
      </c>
      <c r="P1867" s="17">
        <f t="shared" si="148"/>
        <v>1.0363670886075935</v>
      </c>
      <c r="Q1867" s="17">
        <v>11.4</v>
      </c>
      <c r="R1867" s="9">
        <v>20220808</v>
      </c>
      <c r="S1867" s="9">
        <v>21.13</v>
      </c>
      <c r="T1867" s="9">
        <v>5.32</v>
      </c>
      <c r="U1867" s="9">
        <v>52012.238279999998</v>
      </c>
      <c r="V1867" s="45">
        <f t="shared" si="149"/>
        <v>-0.99989771638029956</v>
      </c>
      <c r="W1867" s="12">
        <v>25.14</v>
      </c>
      <c r="X1867" s="12">
        <v>2.0499999999999998</v>
      </c>
      <c r="Y1867" s="62">
        <v>1.33</v>
      </c>
    </row>
    <row r="1868" spans="1:25" x14ac:dyDescent="0.2">
      <c r="A1868" s="3" t="s">
        <v>4118</v>
      </c>
      <c r="B1868" s="3" t="s">
        <v>4119</v>
      </c>
      <c r="C1868" s="6" t="s">
        <v>356</v>
      </c>
      <c r="D1868" s="6" t="s">
        <v>134</v>
      </c>
      <c r="E1868" s="6" t="s">
        <v>119</v>
      </c>
      <c r="F1868" s="6">
        <v>4385.22</v>
      </c>
      <c r="G1868" s="2">
        <v>12</v>
      </c>
      <c r="H1868" s="61"/>
      <c r="I1868" s="61"/>
      <c r="J1868" s="47">
        <f t="shared" si="145"/>
        <v>-1</v>
      </c>
      <c r="K1868" s="47" t="e">
        <f t="shared" si="146"/>
        <v>#DIV/0!</v>
      </c>
      <c r="O1868" s="17">
        <f t="shared" si="147"/>
        <v>0</v>
      </c>
      <c r="P1868" s="17" t="e">
        <f t="shared" si="148"/>
        <v>#DIV/0!</v>
      </c>
      <c r="Q1868" s="17"/>
      <c r="V1868" s="45" t="e">
        <f t="shared" si="149"/>
        <v>#DIV/0!</v>
      </c>
      <c r="X1868" s="12">
        <v>0.13</v>
      </c>
      <c r="Y1868" s="62"/>
    </row>
    <row r="1869" spans="1:25" x14ac:dyDescent="0.2">
      <c r="A1869" s="3" t="s">
        <v>4120</v>
      </c>
      <c r="B1869" s="3" t="s">
        <v>1775</v>
      </c>
      <c r="C1869" s="6" t="s">
        <v>354</v>
      </c>
      <c r="D1869" s="6" t="s">
        <v>233</v>
      </c>
      <c r="E1869" s="6" t="s">
        <v>108</v>
      </c>
      <c r="F1869" s="6">
        <v>31994.44</v>
      </c>
      <c r="G1869" s="2">
        <v>12</v>
      </c>
      <c r="H1869" s="61">
        <v>6.05</v>
      </c>
      <c r="I1869" s="61">
        <v>7.06</v>
      </c>
      <c r="J1869" s="47">
        <f t="shared" si="145"/>
        <v>-0.49583333333333335</v>
      </c>
      <c r="K1869" s="47">
        <f t="shared" si="146"/>
        <v>0.16694214876033056</v>
      </c>
      <c r="L1869" s="8">
        <v>7.84</v>
      </c>
      <c r="M1869" s="8">
        <v>22.07</v>
      </c>
      <c r="N1869" s="8">
        <v>19.39</v>
      </c>
      <c r="O1869" s="17">
        <f t="shared" si="147"/>
        <v>-0.44510924369747895</v>
      </c>
      <c r="P1869" s="17">
        <f t="shared" si="148"/>
        <v>1.1614801980198022</v>
      </c>
      <c r="Q1869" s="17">
        <v>17.46</v>
      </c>
      <c r="R1869" s="9">
        <v>20220803</v>
      </c>
      <c r="S1869" s="9">
        <v>23.67</v>
      </c>
      <c r="T1869" s="9">
        <v>-1.69</v>
      </c>
      <c r="U1869" s="9">
        <v>15453.587890000001</v>
      </c>
      <c r="V1869" s="45">
        <f t="shared" si="149"/>
        <v>-1.0001093597171109</v>
      </c>
      <c r="W1869" s="12">
        <v>12</v>
      </c>
      <c r="X1869" s="12">
        <v>1.96</v>
      </c>
      <c r="Y1869" s="62">
        <v>1.72</v>
      </c>
    </row>
    <row r="1870" spans="1:25" x14ac:dyDescent="0.2">
      <c r="A1870" s="3" t="s">
        <v>4121</v>
      </c>
      <c r="B1870" s="3" t="s">
        <v>1776</v>
      </c>
      <c r="C1870" s="6" t="s">
        <v>354</v>
      </c>
      <c r="D1870" s="6" t="s">
        <v>1272</v>
      </c>
      <c r="E1870" s="6" t="s">
        <v>146</v>
      </c>
      <c r="F1870" s="6">
        <v>8458.1299999999992</v>
      </c>
      <c r="G1870" s="2">
        <v>10</v>
      </c>
      <c r="H1870" s="61">
        <v>3.61</v>
      </c>
      <c r="I1870" s="61">
        <v>4.04</v>
      </c>
      <c r="J1870" s="47">
        <f t="shared" si="145"/>
        <v>-0.63900000000000001</v>
      </c>
      <c r="K1870" s="47">
        <f t="shared" si="146"/>
        <v>0.11911357340720226</v>
      </c>
      <c r="L1870" s="8">
        <v>4.8499999999999996</v>
      </c>
      <c r="M1870" s="8">
        <v>23.59</v>
      </c>
      <c r="N1870" s="8">
        <v>20.03</v>
      </c>
      <c r="O1870" s="17">
        <f t="shared" si="147"/>
        <v>-0.36917057902973399</v>
      </c>
      <c r="P1870" s="17">
        <f t="shared" si="148"/>
        <v>1.6815883720930227</v>
      </c>
      <c r="Q1870" s="17">
        <v>16.68</v>
      </c>
      <c r="R1870" s="9">
        <v>20220602</v>
      </c>
      <c r="S1870" s="9">
        <v>31.17</v>
      </c>
      <c r="T1870" s="9">
        <v>12.01</v>
      </c>
      <c r="U1870" s="9">
        <v>4456</v>
      </c>
      <c r="V1870" s="45">
        <f t="shared" si="149"/>
        <v>-0.99730475763016158</v>
      </c>
      <c r="W1870" s="12">
        <v>1.54</v>
      </c>
      <c r="X1870" s="12">
        <v>1.48</v>
      </c>
      <c r="Y1870" s="62"/>
    </row>
    <row r="1871" spans="1:25" x14ac:dyDescent="0.2">
      <c r="A1871" s="3" t="s">
        <v>4122</v>
      </c>
      <c r="B1871" s="3" t="s">
        <v>1777</v>
      </c>
      <c r="C1871" s="6" t="s">
        <v>355</v>
      </c>
      <c r="D1871" s="6" t="s">
        <v>176</v>
      </c>
      <c r="E1871" s="6" t="s">
        <v>119</v>
      </c>
      <c r="F1871" s="6">
        <v>23771.34</v>
      </c>
      <c r="G1871" s="2">
        <v>12</v>
      </c>
      <c r="H1871" s="61">
        <v>0.8</v>
      </c>
      <c r="I1871" s="61">
        <v>1.01</v>
      </c>
      <c r="J1871" s="47">
        <f t="shared" si="145"/>
        <v>-0.93333333333333324</v>
      </c>
      <c r="K1871" s="47">
        <f t="shared" si="146"/>
        <v>0.26249999999999996</v>
      </c>
      <c r="L1871" s="8">
        <v>1.23</v>
      </c>
      <c r="M1871" s="8">
        <v>49.53</v>
      </c>
      <c r="N1871" s="8">
        <v>48.45</v>
      </c>
      <c r="O1871" s="17">
        <f t="shared" si="147"/>
        <v>-0.53067857142857144</v>
      </c>
      <c r="P1871" s="17">
        <f t="shared" si="148"/>
        <v>1.8457142857142861</v>
      </c>
      <c r="Q1871" s="17">
        <v>39.729999999999997</v>
      </c>
      <c r="R1871" s="9">
        <v>20220808</v>
      </c>
      <c r="S1871" s="9">
        <v>7.08</v>
      </c>
      <c r="T1871" s="9">
        <v>39.43</v>
      </c>
      <c r="U1871" s="9">
        <v>1584.5050000000001</v>
      </c>
      <c r="V1871" s="45">
        <f t="shared" si="149"/>
        <v>-0.97511525681521982</v>
      </c>
      <c r="W1871" s="12">
        <v>31.25</v>
      </c>
      <c r="X1871" s="12">
        <v>0</v>
      </c>
      <c r="Y1871" s="62">
        <v>2.02</v>
      </c>
    </row>
    <row r="1872" spans="1:25" x14ac:dyDescent="0.2">
      <c r="A1872" s="3" t="s">
        <v>4123</v>
      </c>
      <c r="B1872" s="3" t="s">
        <v>1778</v>
      </c>
      <c r="C1872" s="6" t="s">
        <v>356</v>
      </c>
      <c r="D1872" s="6" t="s">
        <v>141</v>
      </c>
      <c r="E1872" s="6" t="s">
        <v>119</v>
      </c>
      <c r="F1872" s="6">
        <v>13303.78</v>
      </c>
      <c r="G1872" s="2">
        <v>3</v>
      </c>
      <c r="H1872" s="61">
        <v>2.75</v>
      </c>
      <c r="I1872" s="61">
        <v>3.01</v>
      </c>
      <c r="J1872" s="47">
        <f t="shared" si="145"/>
        <v>-8.3333333333333329E-2</v>
      </c>
      <c r="K1872" s="47">
        <f t="shared" si="146"/>
        <v>9.4545454545454474E-2</v>
      </c>
      <c r="M1872" s="8">
        <v>8.8699999999999992</v>
      </c>
      <c r="N1872" s="8">
        <v>11.37</v>
      </c>
      <c r="O1872" s="17">
        <f t="shared" si="147"/>
        <v>-1.0644</v>
      </c>
      <c r="P1872" s="17">
        <f t="shared" si="148"/>
        <v>1.2025961538461547</v>
      </c>
      <c r="Q1872" s="17"/>
      <c r="R1872" s="9">
        <v>20220727</v>
      </c>
      <c r="S1872" s="9">
        <v>15.32</v>
      </c>
      <c r="T1872" s="9">
        <v>5.79</v>
      </c>
      <c r="V1872" s="45" t="e">
        <f t="shared" si="149"/>
        <v>#DIV/0!</v>
      </c>
      <c r="X1872" s="12">
        <v>1.41</v>
      </c>
      <c r="Y1872" s="62">
        <v>0.53</v>
      </c>
    </row>
    <row r="1873" spans="1:25" x14ac:dyDescent="0.2">
      <c r="A1873" s="3" t="s">
        <v>4124</v>
      </c>
      <c r="B1873" s="3" t="s">
        <v>4125</v>
      </c>
      <c r="C1873" s="6" t="s">
        <v>354</v>
      </c>
      <c r="D1873" s="6" t="s">
        <v>207</v>
      </c>
      <c r="E1873" s="6" t="s">
        <v>218</v>
      </c>
      <c r="F1873" s="6">
        <v>153945.09</v>
      </c>
      <c r="G1873" s="2">
        <v>12</v>
      </c>
      <c r="H1873" s="61">
        <v>6.47</v>
      </c>
      <c r="I1873" s="61">
        <v>11.81</v>
      </c>
      <c r="J1873" s="47">
        <f t="shared" si="145"/>
        <v>-0.46083333333333337</v>
      </c>
      <c r="K1873" s="47">
        <f t="shared" si="146"/>
        <v>0.82534775888717171</v>
      </c>
      <c r="L1873" s="8">
        <v>9.84</v>
      </c>
      <c r="M1873" s="8">
        <v>6.58</v>
      </c>
      <c r="N1873" s="8">
        <v>5</v>
      </c>
      <c r="O1873" s="17">
        <f t="shared" si="147"/>
        <v>-0.14278481012658228</v>
      </c>
      <c r="P1873" s="17">
        <f t="shared" si="148"/>
        <v>6.0580524344569273E-2</v>
      </c>
      <c r="Q1873" s="17">
        <v>6</v>
      </c>
      <c r="R1873" s="9">
        <v>20220804</v>
      </c>
      <c r="S1873" s="9">
        <v>20.96</v>
      </c>
      <c r="T1873" s="9">
        <v>-0.36</v>
      </c>
      <c r="U1873" s="9">
        <v>218902.20311999999</v>
      </c>
      <c r="V1873" s="45">
        <f t="shared" si="149"/>
        <v>-1.0000016445700173</v>
      </c>
      <c r="W1873" s="12">
        <v>21.86</v>
      </c>
      <c r="X1873" s="12">
        <v>3.63</v>
      </c>
      <c r="Y1873" s="62">
        <v>0.76</v>
      </c>
    </row>
    <row r="1874" spans="1:25" x14ac:dyDescent="0.2">
      <c r="A1874" s="3" t="s">
        <v>4126</v>
      </c>
      <c r="B1874" s="3" t="s">
        <v>1779</v>
      </c>
      <c r="C1874" s="6" t="s">
        <v>355</v>
      </c>
      <c r="D1874" s="6" t="s">
        <v>233</v>
      </c>
      <c r="E1874" s="6" t="s">
        <v>108</v>
      </c>
      <c r="F1874" s="6">
        <v>3072.37</v>
      </c>
      <c r="G1874" s="2">
        <v>12</v>
      </c>
      <c r="H1874" s="61">
        <v>4.57</v>
      </c>
      <c r="I1874" s="61">
        <v>4.8499999999999996</v>
      </c>
      <c r="J1874" s="47">
        <f t="shared" si="145"/>
        <v>-0.61916666666666664</v>
      </c>
      <c r="K1874" s="47">
        <f t="shared" si="146"/>
        <v>6.1269146608314957E-2</v>
      </c>
      <c r="L1874" s="8">
        <v>5.37</v>
      </c>
      <c r="M1874" s="8">
        <v>14.71</v>
      </c>
      <c r="N1874" s="8">
        <v>13.47</v>
      </c>
      <c r="O1874" s="17">
        <f t="shared" si="147"/>
        <v>-0.23757738896366085</v>
      </c>
      <c r="P1874" s="17">
        <f t="shared" si="148"/>
        <v>2.1984964285714339</v>
      </c>
      <c r="Q1874" s="17">
        <v>12.16</v>
      </c>
      <c r="R1874" s="9">
        <v>20220802</v>
      </c>
      <c r="S1874" s="9">
        <v>26</v>
      </c>
      <c r="T1874" s="9">
        <v>11.88</v>
      </c>
      <c r="U1874" s="9">
        <v>2587.6240200000002</v>
      </c>
      <c r="V1874" s="45">
        <f t="shared" si="149"/>
        <v>-0.99540891570484025</v>
      </c>
      <c r="W1874" s="12">
        <v>5.88</v>
      </c>
      <c r="X1874" s="12">
        <v>1.53</v>
      </c>
      <c r="Y1874" s="62">
        <v>1.1000000000000001</v>
      </c>
    </row>
    <row r="1875" spans="1:25" x14ac:dyDescent="0.2">
      <c r="A1875" s="3" t="s">
        <v>4127</v>
      </c>
      <c r="B1875" s="3" t="s">
        <v>1780</v>
      </c>
      <c r="C1875" s="6" t="s">
        <v>355</v>
      </c>
      <c r="D1875" s="6" t="s">
        <v>769</v>
      </c>
      <c r="E1875" s="6" t="s">
        <v>201</v>
      </c>
      <c r="F1875" s="6">
        <v>6985.81</v>
      </c>
      <c r="G1875" s="2">
        <v>9</v>
      </c>
      <c r="H1875" s="61">
        <v>3.73</v>
      </c>
      <c r="I1875" s="61">
        <v>4.41</v>
      </c>
      <c r="J1875" s="47">
        <f t="shared" si="145"/>
        <v>-0.5855555555555555</v>
      </c>
      <c r="K1875" s="47">
        <f t="shared" si="146"/>
        <v>0.18230563002680969</v>
      </c>
      <c r="L1875" s="8">
        <v>4.8099999999999996</v>
      </c>
      <c r="M1875" s="8">
        <v>31.21</v>
      </c>
      <c r="N1875" s="8">
        <v>29.49</v>
      </c>
      <c r="O1875" s="17">
        <f t="shared" si="147"/>
        <v>-0.53299810246679324</v>
      </c>
      <c r="P1875" s="17">
        <f t="shared" si="148"/>
        <v>1.617613235294117</v>
      </c>
      <c r="Q1875" s="17">
        <v>27.05</v>
      </c>
      <c r="R1875" s="9">
        <v>20220727</v>
      </c>
      <c r="S1875" s="9">
        <v>18.53</v>
      </c>
      <c r="T1875" s="9">
        <v>3.23</v>
      </c>
      <c r="U1875" s="9">
        <v>2821.6999500000002</v>
      </c>
      <c r="V1875" s="45">
        <f t="shared" si="149"/>
        <v>-0.99885529997617217</v>
      </c>
      <c r="W1875" s="12">
        <v>8.89</v>
      </c>
      <c r="X1875" s="12">
        <v>0.71</v>
      </c>
      <c r="Y1875" s="62"/>
    </row>
    <row r="1876" spans="1:25" x14ac:dyDescent="0.2">
      <c r="A1876" s="3" t="s">
        <v>2294</v>
      </c>
      <c r="B1876" s="3" t="s">
        <v>2295</v>
      </c>
      <c r="C1876" s="6" t="s">
        <v>356</v>
      </c>
      <c r="D1876" s="6" t="s">
        <v>521</v>
      </c>
      <c r="E1876" s="6" t="s">
        <v>201</v>
      </c>
      <c r="F1876" s="6">
        <v>22634.41</v>
      </c>
      <c r="G1876" s="2">
        <v>12</v>
      </c>
      <c r="H1876" s="61"/>
      <c r="I1876" s="61">
        <v>3.65</v>
      </c>
      <c r="J1876" s="47">
        <f t="shared" si="145"/>
        <v>-1</v>
      </c>
      <c r="K1876" s="47" t="e">
        <f t="shared" si="146"/>
        <v>#DIV/0!</v>
      </c>
      <c r="L1876" s="8">
        <v>4.4000000000000004</v>
      </c>
      <c r="N1876" s="8">
        <v>16.899999999999999</v>
      </c>
      <c r="O1876" s="17">
        <f t="shared" si="147"/>
        <v>0</v>
      </c>
      <c r="P1876" s="17" t="e">
        <f t="shared" si="148"/>
        <v>#DIV/0!</v>
      </c>
      <c r="Q1876" s="17">
        <v>14.02</v>
      </c>
      <c r="U1876" s="9">
        <v>15480</v>
      </c>
      <c r="V1876" s="45">
        <f t="shared" si="149"/>
        <v>-1</v>
      </c>
      <c r="X1876" s="12">
        <v>2</v>
      </c>
      <c r="Y1876" s="62"/>
    </row>
    <row r="1877" spans="1:25" x14ac:dyDescent="0.2">
      <c r="A1877" s="3" t="s">
        <v>4128</v>
      </c>
      <c r="B1877" s="3" t="s">
        <v>1781</v>
      </c>
      <c r="C1877" s="6" t="s">
        <v>355</v>
      </c>
      <c r="D1877" s="6" t="s">
        <v>234</v>
      </c>
      <c r="E1877" s="6" t="s">
        <v>146</v>
      </c>
      <c r="F1877" s="6">
        <v>14276.91</v>
      </c>
      <c r="G1877" s="2">
        <v>3</v>
      </c>
      <c r="H1877" s="61">
        <v>4.9800000000000004</v>
      </c>
      <c r="I1877" s="61">
        <v>5.62</v>
      </c>
      <c r="J1877" s="47">
        <f t="shared" si="145"/>
        <v>0.66000000000000014</v>
      </c>
      <c r="K1877" s="47">
        <f t="shared" si="146"/>
        <v>0.12851405622489953</v>
      </c>
      <c r="L1877" s="8">
        <v>7.95</v>
      </c>
      <c r="M1877" s="8">
        <v>23.39</v>
      </c>
      <c r="N1877" s="8">
        <v>21.95</v>
      </c>
      <c r="O1877" s="17">
        <f t="shared" si="147"/>
        <v>0.35439393939393932</v>
      </c>
      <c r="P1877" s="17">
        <f t="shared" si="148"/>
        <v>1.707984375000001</v>
      </c>
      <c r="Q1877" s="17">
        <v>15.51</v>
      </c>
      <c r="R1877" s="9">
        <v>20220801</v>
      </c>
      <c r="S1877" s="9">
        <v>12.63</v>
      </c>
      <c r="T1877" s="9">
        <v>17.64</v>
      </c>
      <c r="U1877" s="9">
        <v>3979.625</v>
      </c>
      <c r="V1877" s="45">
        <f t="shared" si="149"/>
        <v>-0.99556742155353839</v>
      </c>
      <c r="W1877" s="12">
        <v>14.85</v>
      </c>
      <c r="X1877" s="12">
        <v>0</v>
      </c>
      <c r="Y1877" s="62">
        <v>1.24</v>
      </c>
    </row>
    <row r="1878" spans="1:25" x14ac:dyDescent="0.2">
      <c r="A1878" s="3" t="s">
        <v>4129</v>
      </c>
      <c r="B1878" s="3" t="s">
        <v>1782</v>
      </c>
      <c r="C1878" s="6" t="s">
        <v>354</v>
      </c>
      <c r="D1878" s="6" t="s">
        <v>139</v>
      </c>
      <c r="E1878" s="6" t="s">
        <v>250</v>
      </c>
      <c r="F1878" s="6">
        <v>33578.699999999997</v>
      </c>
      <c r="G1878" s="2">
        <v>12</v>
      </c>
      <c r="H1878" s="61">
        <v>0.86</v>
      </c>
      <c r="I1878" s="61">
        <v>0.94</v>
      </c>
      <c r="J1878" s="47">
        <f t="shared" si="145"/>
        <v>-0.92833333333333334</v>
      </c>
      <c r="K1878" s="47">
        <f t="shared" si="146"/>
        <v>9.3023255813953445E-2</v>
      </c>
      <c r="L1878" s="8">
        <v>1.06</v>
      </c>
      <c r="M1878" s="8">
        <v>28.5</v>
      </c>
      <c r="N1878" s="8">
        <v>26.03</v>
      </c>
      <c r="O1878" s="17">
        <f t="shared" si="147"/>
        <v>-0.30700179533213645</v>
      </c>
      <c r="P1878" s="17">
        <f t="shared" si="148"/>
        <v>2.7982250000000017</v>
      </c>
      <c r="Q1878" s="17">
        <v>23.03</v>
      </c>
      <c r="R1878" s="9">
        <v>20220729</v>
      </c>
      <c r="S1878" s="9">
        <v>9.26</v>
      </c>
      <c r="T1878" s="9">
        <v>6.05</v>
      </c>
      <c r="U1878" s="9">
        <v>14166.414059999999</v>
      </c>
      <c r="V1878" s="45">
        <f t="shared" si="149"/>
        <v>-0.99957293356142385</v>
      </c>
      <c r="W1878" s="12">
        <v>4.3499999999999996</v>
      </c>
      <c r="X1878" s="12">
        <v>4.21</v>
      </c>
      <c r="Y1878" s="62">
        <v>2.66</v>
      </c>
    </row>
    <row r="1879" spans="1:25" x14ac:dyDescent="0.2">
      <c r="A1879" s="3" t="s">
        <v>4130</v>
      </c>
      <c r="B1879" s="3" t="s">
        <v>1783</v>
      </c>
      <c r="C1879" s="6" t="s">
        <v>356</v>
      </c>
      <c r="D1879" s="6" t="s">
        <v>621</v>
      </c>
      <c r="E1879" s="6" t="s">
        <v>146</v>
      </c>
      <c r="F1879" s="6">
        <v>3537.95</v>
      </c>
      <c r="G1879" s="2">
        <v>9</v>
      </c>
      <c r="H1879" s="61">
        <v>-0.97</v>
      </c>
      <c r="I1879" s="61">
        <v>0.03</v>
      </c>
      <c r="J1879" s="47">
        <f t="shared" si="145"/>
        <v>-1.1077777777777778</v>
      </c>
      <c r="K1879" s="47">
        <f t="shared" si="146"/>
        <v>1.0309278350515465</v>
      </c>
      <c r="L1879" s="8">
        <v>0.13</v>
      </c>
      <c r="N1879" s="8">
        <v>36.33</v>
      </c>
      <c r="O1879" s="17">
        <f t="shared" si="147"/>
        <v>0</v>
      </c>
      <c r="P1879" s="17">
        <f t="shared" si="148"/>
        <v>0.35240099999999991</v>
      </c>
      <c r="Q1879" s="17">
        <v>8.7200000000000006</v>
      </c>
      <c r="R1879" s="9">
        <v>20220811</v>
      </c>
      <c r="U1879" s="9">
        <v>17162.505850000001</v>
      </c>
      <c r="V1879" s="45">
        <f t="shared" si="149"/>
        <v>-1</v>
      </c>
      <c r="X1879" s="12">
        <v>0</v>
      </c>
      <c r="Y1879" s="62"/>
    </row>
    <row r="1880" spans="1:25" x14ac:dyDescent="0.2">
      <c r="A1880" s="3" t="s">
        <v>4131</v>
      </c>
      <c r="B1880" s="3" t="s">
        <v>1784</v>
      </c>
      <c r="C1880" s="6" t="s">
        <v>354</v>
      </c>
      <c r="D1880" s="6" t="s">
        <v>789</v>
      </c>
      <c r="E1880" s="6" t="s">
        <v>146</v>
      </c>
      <c r="F1880" s="6">
        <v>5458.18</v>
      </c>
      <c r="G1880" s="2">
        <v>12</v>
      </c>
      <c r="H1880" s="61">
        <v>0.32</v>
      </c>
      <c r="I1880" s="61">
        <v>0.19</v>
      </c>
      <c r="J1880" s="47">
        <f t="shared" si="145"/>
        <v>-0.97333333333333327</v>
      </c>
      <c r="K1880" s="47">
        <f t="shared" si="146"/>
        <v>-0.40625</v>
      </c>
      <c r="L1880" s="8">
        <v>0.37</v>
      </c>
      <c r="M1880" s="8">
        <v>28.71</v>
      </c>
      <c r="N1880" s="8">
        <v>52.29</v>
      </c>
      <c r="O1880" s="17">
        <f t="shared" si="147"/>
        <v>-0.29496575342465758</v>
      </c>
      <c r="P1880" s="17">
        <f t="shared" si="148"/>
        <v>-1.2871384615384616</v>
      </c>
      <c r="Q1880" s="17">
        <v>26.38</v>
      </c>
      <c r="R1880" s="9">
        <v>20220705</v>
      </c>
      <c r="S1880" s="9">
        <v>3.54</v>
      </c>
      <c r="T1880" s="9">
        <v>-1.49</v>
      </c>
      <c r="U1880" s="9">
        <v>3760.5500400000001</v>
      </c>
      <c r="V1880" s="45">
        <f t="shared" si="149"/>
        <v>-1.0003962186340165</v>
      </c>
      <c r="W1880" s="12">
        <v>-1700</v>
      </c>
      <c r="X1880" s="12">
        <v>0.8</v>
      </c>
      <c r="Y1880" s="62"/>
    </row>
    <row r="1881" spans="1:25" x14ac:dyDescent="0.2">
      <c r="A1881" s="3" t="s">
        <v>4132</v>
      </c>
      <c r="B1881" s="3" t="s">
        <v>1785</v>
      </c>
      <c r="C1881" s="6" t="s">
        <v>355</v>
      </c>
      <c r="D1881" s="6" t="s">
        <v>885</v>
      </c>
      <c r="E1881" s="6" t="s">
        <v>163</v>
      </c>
      <c r="F1881" s="6">
        <v>15679.3</v>
      </c>
      <c r="G1881" s="2">
        <v>12</v>
      </c>
      <c r="H1881" s="61">
        <v>1.64</v>
      </c>
      <c r="I1881" s="61">
        <v>1.87</v>
      </c>
      <c r="J1881" s="47">
        <f t="shared" si="145"/>
        <v>-0.86333333333333329</v>
      </c>
      <c r="K1881" s="47">
        <f t="shared" si="146"/>
        <v>0.14024390243902451</v>
      </c>
      <c r="L1881" s="8">
        <v>2.13</v>
      </c>
      <c r="M1881" s="8">
        <v>39.799999999999997</v>
      </c>
      <c r="N1881" s="8">
        <v>35.700000000000003</v>
      </c>
      <c r="O1881" s="17">
        <f t="shared" si="147"/>
        <v>-0.46100386100386098</v>
      </c>
      <c r="P1881" s="17">
        <f t="shared" si="148"/>
        <v>2.5455652173913021</v>
      </c>
      <c r="Q1881" s="17">
        <v>31.47</v>
      </c>
      <c r="R1881" s="9">
        <v>20220804</v>
      </c>
      <c r="S1881" s="9">
        <v>7.44</v>
      </c>
      <c r="T1881" s="9">
        <v>17.16</v>
      </c>
      <c r="U1881" s="9">
        <v>1213.9269999999999</v>
      </c>
      <c r="V1881" s="45">
        <f t="shared" si="149"/>
        <v>-0.98586405937095056</v>
      </c>
      <c r="W1881" s="12">
        <v>0</v>
      </c>
      <c r="X1881" s="12">
        <v>0.48</v>
      </c>
      <c r="Y1881" s="62">
        <v>2.2200000000000002</v>
      </c>
    </row>
    <row r="1882" spans="1:25" x14ac:dyDescent="0.2">
      <c r="A1882" s="3" t="s">
        <v>4133</v>
      </c>
      <c r="B1882" s="3" t="s">
        <v>4134</v>
      </c>
      <c r="C1882" s="6" t="s">
        <v>355</v>
      </c>
      <c r="D1882" s="6" t="s">
        <v>233</v>
      </c>
      <c r="E1882" s="6" t="s">
        <v>108</v>
      </c>
      <c r="F1882" s="6">
        <v>5201.05</v>
      </c>
      <c r="G1882" s="2">
        <v>12</v>
      </c>
      <c r="H1882" s="61">
        <v>0.44</v>
      </c>
      <c r="I1882" s="61">
        <v>0.52</v>
      </c>
      <c r="J1882" s="47">
        <f t="shared" si="145"/>
        <v>-0.96333333333333337</v>
      </c>
      <c r="K1882" s="47">
        <f t="shared" si="146"/>
        <v>0.18181818181818185</v>
      </c>
      <c r="L1882" s="8">
        <v>0.69</v>
      </c>
      <c r="N1882" s="8">
        <v>32.130000000000003</v>
      </c>
      <c r="O1882" s="17">
        <f t="shared" si="147"/>
        <v>0</v>
      </c>
      <c r="P1882" s="17">
        <f t="shared" si="148"/>
        <v>1.76715</v>
      </c>
      <c r="Q1882" s="17">
        <v>24.23</v>
      </c>
      <c r="R1882" s="9">
        <v>20220808</v>
      </c>
      <c r="S1882" s="9">
        <v>-22.6</v>
      </c>
      <c r="U1882" s="9">
        <v>1368.01196</v>
      </c>
      <c r="V1882" s="45">
        <f t="shared" si="149"/>
        <v>-1</v>
      </c>
      <c r="W1882" s="12">
        <v>8.33</v>
      </c>
      <c r="X1882" s="12">
        <v>0</v>
      </c>
      <c r="Y1882" s="62">
        <v>1.34</v>
      </c>
    </row>
    <row r="1883" spans="1:25" x14ac:dyDescent="0.2">
      <c r="A1883" s="3" t="s">
        <v>4135</v>
      </c>
      <c r="B1883" s="3" t="s">
        <v>1786</v>
      </c>
      <c r="C1883" s="6" t="s">
        <v>354</v>
      </c>
      <c r="D1883" s="6" t="s">
        <v>177</v>
      </c>
      <c r="E1883" s="6" t="s">
        <v>119</v>
      </c>
      <c r="F1883" s="6">
        <v>18316.919999999998</v>
      </c>
      <c r="G1883" s="2">
        <v>12</v>
      </c>
      <c r="H1883" s="61">
        <v>-0.27</v>
      </c>
      <c r="I1883" s="61">
        <v>-0.39</v>
      </c>
      <c r="J1883" s="47">
        <f t="shared" si="145"/>
        <v>-1.0225</v>
      </c>
      <c r="K1883" s="47">
        <f t="shared" si="146"/>
        <v>-0.44444444444444442</v>
      </c>
      <c r="L1883" s="8">
        <v>0.17</v>
      </c>
      <c r="O1883" s="17">
        <f t="shared" si="147"/>
        <v>0</v>
      </c>
      <c r="P1883" s="17">
        <f t="shared" si="148"/>
        <v>0</v>
      </c>
      <c r="Q1883" s="17">
        <v>585.41</v>
      </c>
      <c r="R1883" s="9">
        <v>20220804</v>
      </c>
      <c r="S1883" s="9">
        <v>-6.11</v>
      </c>
      <c r="T1883" s="9">
        <v>62.87</v>
      </c>
      <c r="U1883" s="9">
        <v>3819.93505</v>
      </c>
      <c r="V1883" s="45">
        <f t="shared" si="149"/>
        <v>-0.98354160498095378</v>
      </c>
      <c r="W1883" s="12">
        <v>100</v>
      </c>
      <c r="X1883" s="12">
        <v>0</v>
      </c>
      <c r="Y1883" s="62"/>
    </row>
    <row r="1884" spans="1:25" x14ac:dyDescent="0.2">
      <c r="A1884" s="3" t="s">
        <v>4136</v>
      </c>
      <c r="B1884" s="3" t="s">
        <v>1787</v>
      </c>
      <c r="C1884" s="6" t="s">
        <v>356</v>
      </c>
      <c r="D1884" s="6" t="s">
        <v>784</v>
      </c>
      <c r="E1884" s="6" t="s">
        <v>140</v>
      </c>
      <c r="F1884" s="6">
        <v>5830.68</v>
      </c>
      <c r="G1884" s="2">
        <v>12</v>
      </c>
      <c r="H1884" s="61">
        <v>2.1800000000000002</v>
      </c>
      <c r="I1884" s="61">
        <v>2.4</v>
      </c>
      <c r="J1884" s="47">
        <f t="shared" si="145"/>
        <v>-0.81833333333333336</v>
      </c>
      <c r="K1884" s="47">
        <f t="shared" si="146"/>
        <v>0.10091743119266043</v>
      </c>
      <c r="L1884" s="8">
        <v>2.6</v>
      </c>
      <c r="N1884" s="8">
        <v>6.79</v>
      </c>
      <c r="O1884" s="17">
        <f t="shared" si="147"/>
        <v>0</v>
      </c>
      <c r="P1884" s="17">
        <f t="shared" si="148"/>
        <v>0.6728272727272735</v>
      </c>
      <c r="Q1884" s="17">
        <v>6.28</v>
      </c>
      <c r="U1884" s="9">
        <v>5872.0898399999996</v>
      </c>
      <c r="V1884" s="45">
        <f t="shared" si="149"/>
        <v>-1</v>
      </c>
      <c r="X1884" s="12">
        <v>6.03</v>
      </c>
      <c r="Y1884" s="62"/>
    </row>
    <row r="1885" spans="1:25" x14ac:dyDescent="0.2">
      <c r="A1885" s="3" t="s">
        <v>4137</v>
      </c>
      <c r="B1885" s="3" t="s">
        <v>1788</v>
      </c>
      <c r="C1885" s="6" t="s">
        <v>354</v>
      </c>
      <c r="D1885" s="6" t="s">
        <v>177</v>
      </c>
      <c r="E1885" s="6" t="s">
        <v>119</v>
      </c>
      <c r="F1885" s="6">
        <v>30176.58</v>
      </c>
      <c r="G1885" s="2">
        <v>12</v>
      </c>
      <c r="H1885" s="61">
        <v>0.14000000000000001</v>
      </c>
      <c r="I1885" s="61">
        <v>1.86</v>
      </c>
      <c r="J1885" s="47">
        <f t="shared" si="145"/>
        <v>-0.98833333333333329</v>
      </c>
      <c r="K1885" s="47">
        <f t="shared" si="146"/>
        <v>12.285714285714286</v>
      </c>
      <c r="L1885" s="8">
        <v>1.0900000000000001</v>
      </c>
      <c r="M1885" s="8">
        <v>44.4</v>
      </c>
      <c r="N1885" s="8">
        <v>21.25</v>
      </c>
      <c r="O1885" s="17">
        <f t="shared" si="147"/>
        <v>-0.44924114671163573</v>
      </c>
      <c r="P1885" s="17">
        <f t="shared" si="148"/>
        <v>1.7296511627906977E-2</v>
      </c>
      <c r="Q1885" s="17">
        <v>36.42</v>
      </c>
      <c r="R1885" s="9">
        <v>20220728</v>
      </c>
      <c r="S1885" s="9">
        <v>3.77</v>
      </c>
      <c r="T1885" s="9">
        <v>16.96</v>
      </c>
      <c r="U1885" s="9">
        <v>5894.1757799999996</v>
      </c>
      <c r="V1885" s="45">
        <f t="shared" si="149"/>
        <v>-0.99712258326981895</v>
      </c>
      <c r="W1885" s="12">
        <v>2150</v>
      </c>
      <c r="X1885" s="12">
        <v>0</v>
      </c>
      <c r="Y1885" s="62"/>
    </row>
    <row r="1886" spans="1:25" x14ac:dyDescent="0.2">
      <c r="A1886" s="3" t="s">
        <v>4138</v>
      </c>
      <c r="B1886" s="3" t="s">
        <v>1789</v>
      </c>
      <c r="C1886" s="6" t="s">
        <v>354</v>
      </c>
      <c r="D1886" s="6" t="s">
        <v>232</v>
      </c>
      <c r="E1886" s="6" t="s">
        <v>60</v>
      </c>
      <c r="F1886" s="6">
        <v>8933.14</v>
      </c>
      <c r="G1886" s="2">
        <v>12</v>
      </c>
      <c r="H1886" s="61">
        <v>19.34</v>
      </c>
      <c r="I1886" s="61">
        <v>13.33</v>
      </c>
      <c r="J1886" s="47">
        <f t="shared" si="145"/>
        <v>0.61166666666666669</v>
      </c>
      <c r="K1886" s="47">
        <f t="shared" si="146"/>
        <v>-0.31075491209927608</v>
      </c>
      <c r="L1886" s="8">
        <v>8.1</v>
      </c>
      <c r="M1886" s="8">
        <v>2.19</v>
      </c>
      <c r="N1886" s="8">
        <v>3.34</v>
      </c>
      <c r="O1886" s="17">
        <f t="shared" si="147"/>
        <v>3.5803814713896452E-2</v>
      </c>
      <c r="P1886" s="17">
        <f t="shared" si="148"/>
        <v>-0.1074801996672213</v>
      </c>
      <c r="Q1886" s="17">
        <v>5.5</v>
      </c>
      <c r="R1886" s="9">
        <v>20220802</v>
      </c>
      <c r="S1886" s="9">
        <v>34.270000000000003</v>
      </c>
      <c r="T1886" s="9">
        <v>7.65</v>
      </c>
      <c r="U1886" s="9">
        <v>18149.089840000001</v>
      </c>
      <c r="V1886" s="45">
        <f t="shared" si="149"/>
        <v>-0.99957849125948228</v>
      </c>
      <c r="W1886" s="12">
        <v>35.270000000000003</v>
      </c>
      <c r="X1886" s="12">
        <v>4.04</v>
      </c>
      <c r="Y1886" s="62"/>
    </row>
    <row r="1887" spans="1:25" x14ac:dyDescent="0.2">
      <c r="A1887" s="3" t="s">
        <v>4139</v>
      </c>
      <c r="B1887" s="3" t="s">
        <v>1790</v>
      </c>
      <c r="C1887" s="6" t="s">
        <v>355</v>
      </c>
      <c r="D1887" s="6" t="s">
        <v>194</v>
      </c>
      <c r="E1887" s="6" t="s">
        <v>208</v>
      </c>
      <c r="F1887" s="6">
        <v>5343.21</v>
      </c>
      <c r="G1887" s="2">
        <v>12</v>
      </c>
      <c r="H1887" s="61">
        <v>-0.42</v>
      </c>
      <c r="I1887" s="61">
        <v>-0.91</v>
      </c>
      <c r="J1887" s="47">
        <f t="shared" si="145"/>
        <v>-1.0349999999999999</v>
      </c>
      <c r="K1887" s="47">
        <f t="shared" si="146"/>
        <v>-1.1666666666666667</v>
      </c>
      <c r="L1887" s="8">
        <v>-0.32</v>
      </c>
      <c r="O1887" s="17">
        <f t="shared" si="147"/>
        <v>0</v>
      </c>
      <c r="P1887" s="17">
        <f t="shared" si="148"/>
        <v>0</v>
      </c>
      <c r="Q1887" s="17"/>
      <c r="R1887" s="9">
        <v>20220803</v>
      </c>
      <c r="S1887" s="9">
        <v>-11.1</v>
      </c>
      <c r="U1887" s="9">
        <v>611.41801999999996</v>
      </c>
      <c r="V1887" s="45">
        <f t="shared" si="149"/>
        <v>-1</v>
      </c>
      <c r="W1887" s="12">
        <v>-2.7</v>
      </c>
      <c r="X1887" s="12">
        <v>0</v>
      </c>
      <c r="Y1887" s="62"/>
    </row>
    <row r="1888" spans="1:25" x14ac:dyDescent="0.2">
      <c r="A1888" s="3" t="s">
        <v>4140</v>
      </c>
      <c r="B1888" s="3" t="s">
        <v>1791</v>
      </c>
      <c r="C1888" s="6" t="s">
        <v>355</v>
      </c>
      <c r="D1888" s="6" t="s">
        <v>1093</v>
      </c>
      <c r="E1888" s="6" t="s">
        <v>119</v>
      </c>
      <c r="F1888" s="6">
        <v>160571.17000000001</v>
      </c>
      <c r="G1888" s="2">
        <v>12</v>
      </c>
      <c r="H1888" s="61">
        <v>7.94</v>
      </c>
      <c r="I1888" s="61">
        <v>8.77</v>
      </c>
      <c r="J1888" s="47">
        <f t="shared" si="145"/>
        <v>-0.33833333333333332</v>
      </c>
      <c r="K1888" s="47">
        <f t="shared" si="146"/>
        <v>0.10453400503778326</v>
      </c>
      <c r="L1888" s="8">
        <v>8.7899999999999991</v>
      </c>
      <c r="M1888" s="8">
        <v>19.920000000000002</v>
      </c>
      <c r="N1888" s="8">
        <v>19.86</v>
      </c>
      <c r="O1888" s="17">
        <f t="shared" si="147"/>
        <v>-0.58876847290640411</v>
      </c>
      <c r="P1888" s="17">
        <f t="shared" si="148"/>
        <v>1.8998602409638574</v>
      </c>
      <c r="Q1888" s="17">
        <v>19.809999999999999</v>
      </c>
      <c r="R1888" s="9">
        <v>20220720</v>
      </c>
      <c r="S1888" s="9">
        <v>64.89</v>
      </c>
      <c r="T1888" s="9">
        <v>3.08</v>
      </c>
      <c r="U1888" s="9">
        <v>18971.376950000002</v>
      </c>
      <c r="V1888" s="45">
        <f t="shared" si="149"/>
        <v>-0.99983765016065418</v>
      </c>
      <c r="W1888" s="12">
        <v>8.2899999999999991</v>
      </c>
      <c r="X1888" s="12">
        <v>2.64</v>
      </c>
      <c r="Y1888" s="62">
        <v>2.13</v>
      </c>
    </row>
    <row r="1889" spans="1:25" x14ac:dyDescent="0.2">
      <c r="A1889" s="3" t="s">
        <v>4141</v>
      </c>
      <c r="B1889" s="3" t="s">
        <v>1792</v>
      </c>
      <c r="C1889" s="6" t="s">
        <v>355</v>
      </c>
      <c r="D1889" s="6" t="s">
        <v>223</v>
      </c>
      <c r="E1889" s="6" t="s">
        <v>231</v>
      </c>
      <c r="F1889" s="6">
        <v>5398.22</v>
      </c>
      <c r="G1889" s="2">
        <v>12</v>
      </c>
      <c r="H1889" s="61">
        <v>3.41</v>
      </c>
      <c r="I1889" s="61">
        <v>3.87</v>
      </c>
      <c r="J1889" s="47">
        <f t="shared" si="145"/>
        <v>-0.71583333333333332</v>
      </c>
      <c r="K1889" s="47">
        <f t="shared" si="146"/>
        <v>0.13489736070381231</v>
      </c>
      <c r="L1889" s="8">
        <v>4.76</v>
      </c>
      <c r="M1889" s="8">
        <v>21.58</v>
      </c>
      <c r="N1889" s="8">
        <v>20.49</v>
      </c>
      <c r="O1889" s="17">
        <f t="shared" si="147"/>
        <v>-0.30146682188591384</v>
      </c>
      <c r="P1889" s="17">
        <f t="shared" si="148"/>
        <v>1.5189326086956523</v>
      </c>
      <c r="Q1889" s="17">
        <v>16.63</v>
      </c>
      <c r="R1889" s="9">
        <v>20220804</v>
      </c>
      <c r="S1889" s="9">
        <v>24.11</v>
      </c>
      <c r="T1889" s="9">
        <v>9</v>
      </c>
      <c r="U1889" s="9">
        <v>3971.11303</v>
      </c>
      <c r="V1889" s="45">
        <f t="shared" si="149"/>
        <v>-0.99773363288025074</v>
      </c>
      <c r="W1889" s="12">
        <v>18.68</v>
      </c>
      <c r="X1889" s="12">
        <v>2.3199999999999998</v>
      </c>
      <c r="Y1889" s="62">
        <v>2.0499999999999998</v>
      </c>
    </row>
    <row r="1890" spans="1:25" x14ac:dyDescent="0.2">
      <c r="A1890" s="3" t="s">
        <v>4142</v>
      </c>
      <c r="B1890" s="3" t="s">
        <v>1793</v>
      </c>
      <c r="C1890" s="6" t="s">
        <v>354</v>
      </c>
      <c r="D1890" s="6" t="s">
        <v>16</v>
      </c>
      <c r="E1890" s="6" t="s">
        <v>10</v>
      </c>
      <c r="F1890" s="6">
        <v>13838.46</v>
      </c>
      <c r="G1890" s="2">
        <v>12</v>
      </c>
      <c r="H1890" s="61">
        <v>3.34</v>
      </c>
      <c r="I1890" s="61">
        <v>4.01</v>
      </c>
      <c r="J1890" s="47">
        <f t="shared" si="145"/>
        <v>-0.72166666666666668</v>
      </c>
      <c r="K1890" s="47">
        <f t="shared" si="146"/>
        <v>0.20059880239520958</v>
      </c>
      <c r="L1890" s="8">
        <v>4.5999999999999996</v>
      </c>
      <c r="M1890" s="8">
        <v>18.489999999999998</v>
      </c>
      <c r="N1890" s="8">
        <v>16.05</v>
      </c>
      <c r="O1890" s="17">
        <f t="shared" si="147"/>
        <v>-0.2562124711316397</v>
      </c>
      <c r="P1890" s="17">
        <f t="shared" si="148"/>
        <v>0.80010447761194037</v>
      </c>
      <c r="Q1890" s="17">
        <v>13.99</v>
      </c>
      <c r="R1890" s="9">
        <v>20220804</v>
      </c>
      <c r="S1890" s="9">
        <v>12.08</v>
      </c>
      <c r="T1890" s="9">
        <v>-3.86</v>
      </c>
      <c r="U1890" s="9">
        <v>13393.41015</v>
      </c>
      <c r="V1890" s="45">
        <f t="shared" si="149"/>
        <v>-1.0002882014331504</v>
      </c>
      <c r="W1890" s="12">
        <v>22.22</v>
      </c>
      <c r="X1890" s="12">
        <v>0.12</v>
      </c>
      <c r="Y1890" s="62">
        <v>1.26</v>
      </c>
    </row>
    <row r="1891" spans="1:25" x14ac:dyDescent="0.2">
      <c r="A1891" s="3" t="s">
        <v>4074</v>
      </c>
      <c r="B1891" s="3" t="s">
        <v>4143</v>
      </c>
      <c r="C1891" s="6" t="s">
        <v>356</v>
      </c>
      <c r="D1891" s="6" t="s">
        <v>232</v>
      </c>
      <c r="E1891" s="6" t="s">
        <v>60</v>
      </c>
      <c r="F1891" s="6">
        <v>5503.18</v>
      </c>
      <c r="G1891" s="2">
        <v>9</v>
      </c>
      <c r="H1891" s="61"/>
      <c r="I1891" s="61"/>
      <c r="J1891" s="47">
        <f t="shared" si="145"/>
        <v>-1</v>
      </c>
      <c r="K1891" s="47" t="e">
        <f t="shared" si="146"/>
        <v>#DIV/0!</v>
      </c>
      <c r="M1891" s="8">
        <v>5.36</v>
      </c>
      <c r="O1891" s="17">
        <f t="shared" si="147"/>
        <v>-5.3600000000000002E-2</v>
      </c>
      <c r="P1891" s="17" t="e">
        <f t="shared" si="148"/>
        <v>#DIV/0!</v>
      </c>
      <c r="Q1891" s="17"/>
      <c r="R1891" s="9">
        <v>20220810</v>
      </c>
      <c r="S1891" s="9">
        <v>7.94</v>
      </c>
      <c r="T1891" s="9">
        <v>-1.56</v>
      </c>
      <c r="V1891" s="45" t="e">
        <f t="shared" si="149"/>
        <v>#DIV/0!</v>
      </c>
      <c r="X1891" s="12">
        <v>0</v>
      </c>
      <c r="Y1891" s="62"/>
    </row>
    <row r="1892" spans="1:25" x14ac:dyDescent="0.2">
      <c r="A1892" s="3" t="s">
        <v>4144</v>
      </c>
      <c r="B1892" s="3" t="s">
        <v>1794</v>
      </c>
      <c r="C1892" s="6" t="s">
        <v>354</v>
      </c>
      <c r="D1892" s="6" t="s">
        <v>125</v>
      </c>
      <c r="E1892" s="6" t="s">
        <v>119</v>
      </c>
      <c r="F1892" s="6">
        <v>14573.44</v>
      </c>
      <c r="G1892" s="2">
        <v>12</v>
      </c>
      <c r="H1892" s="61">
        <v>7.01</v>
      </c>
      <c r="I1892" s="61">
        <v>7.59</v>
      </c>
      <c r="J1892" s="47">
        <f t="shared" si="145"/>
        <v>-0.41583333333333333</v>
      </c>
      <c r="K1892" s="47">
        <f t="shared" si="146"/>
        <v>8.2738944365192593E-2</v>
      </c>
      <c r="L1892" s="8">
        <v>8.39</v>
      </c>
      <c r="M1892" s="8">
        <v>46.92</v>
      </c>
      <c r="N1892" s="8">
        <v>46.32</v>
      </c>
      <c r="O1892" s="17">
        <f t="shared" si="147"/>
        <v>-1.1283366733466933</v>
      </c>
      <c r="P1892" s="17">
        <f t="shared" si="148"/>
        <v>5.598331034482757</v>
      </c>
      <c r="Q1892" s="17">
        <v>41.9</v>
      </c>
      <c r="R1892" s="9">
        <v>20220727</v>
      </c>
      <c r="S1892" s="9">
        <v>10.62</v>
      </c>
      <c r="T1892" s="9">
        <v>14.95</v>
      </c>
      <c r="U1892" s="9">
        <v>1847.89294</v>
      </c>
      <c r="V1892" s="45">
        <f t="shared" si="149"/>
        <v>-0.99190970446588744</v>
      </c>
      <c r="W1892" s="12">
        <v>7.34</v>
      </c>
      <c r="X1892" s="12">
        <v>0</v>
      </c>
      <c r="Y1892" s="62"/>
    </row>
    <row r="1893" spans="1:25" x14ac:dyDescent="0.2">
      <c r="A1893" s="3" t="s">
        <v>4145</v>
      </c>
      <c r="B1893" s="3" t="s">
        <v>1795</v>
      </c>
      <c r="C1893" s="6" t="s">
        <v>354</v>
      </c>
      <c r="D1893" s="6" t="s">
        <v>177</v>
      </c>
      <c r="E1893" s="6" t="s">
        <v>119</v>
      </c>
      <c r="F1893" s="6">
        <v>11343.22</v>
      </c>
      <c r="G1893" s="2">
        <v>12</v>
      </c>
      <c r="H1893" s="61">
        <v>-0.24</v>
      </c>
      <c r="I1893" s="61">
        <v>-0.28999999999999998</v>
      </c>
      <c r="J1893" s="47">
        <f t="shared" si="145"/>
        <v>-1.02</v>
      </c>
      <c r="K1893" s="47">
        <f t="shared" si="146"/>
        <v>-0.20833333333333329</v>
      </c>
      <c r="L1893" s="8">
        <v>0.11</v>
      </c>
      <c r="O1893" s="17">
        <f t="shared" si="147"/>
        <v>0</v>
      </c>
      <c r="P1893" s="17">
        <f t="shared" si="148"/>
        <v>0</v>
      </c>
      <c r="Q1893" s="17">
        <v>357.65</v>
      </c>
      <c r="R1893" s="9">
        <v>20220809</v>
      </c>
      <c r="S1893" s="9">
        <v>-20.5</v>
      </c>
      <c r="U1893" s="9">
        <v>1377.44299</v>
      </c>
      <c r="V1893" s="45">
        <f t="shared" si="149"/>
        <v>-1</v>
      </c>
      <c r="W1893" s="12">
        <v>0</v>
      </c>
      <c r="X1893" s="12">
        <v>0</v>
      </c>
      <c r="Y1893" s="62"/>
    </row>
    <row r="1894" spans="1:25" x14ac:dyDescent="0.2">
      <c r="A1894" s="3" t="s">
        <v>4146</v>
      </c>
      <c r="B1894" s="3" t="s">
        <v>2296</v>
      </c>
      <c r="C1894" s="6" t="s">
        <v>354</v>
      </c>
      <c r="D1894" s="6" t="s">
        <v>694</v>
      </c>
      <c r="E1894" s="6" t="s">
        <v>146</v>
      </c>
      <c r="F1894" s="6">
        <v>4348.95</v>
      </c>
      <c r="G1894" s="2">
        <v>3</v>
      </c>
      <c r="H1894" s="61"/>
      <c r="I1894" s="61"/>
      <c r="J1894" s="47">
        <f t="shared" si="145"/>
        <v>-1</v>
      </c>
      <c r="K1894" s="47" t="e">
        <f t="shared" si="146"/>
        <v>#DIV/0!</v>
      </c>
      <c r="M1894" s="8">
        <v>13.43</v>
      </c>
      <c r="O1894" s="17">
        <f t="shared" si="147"/>
        <v>-0.1343</v>
      </c>
      <c r="P1894" s="17" t="e">
        <f t="shared" si="148"/>
        <v>#DIV/0!</v>
      </c>
      <c r="Q1894" s="17"/>
      <c r="R1894" s="9">
        <v>20220802</v>
      </c>
      <c r="S1894" s="9">
        <v>16.2</v>
      </c>
      <c r="T1894" s="9">
        <v>1.17</v>
      </c>
      <c r="V1894" s="45" t="e">
        <f t="shared" si="149"/>
        <v>#DIV/0!</v>
      </c>
      <c r="W1894" s="12">
        <v>300</v>
      </c>
      <c r="X1894" s="12">
        <v>0</v>
      </c>
      <c r="Y1894" s="62"/>
    </row>
    <row r="1895" spans="1:25" x14ac:dyDescent="0.2">
      <c r="A1895" s="3" t="s">
        <v>4146</v>
      </c>
      <c r="B1895" s="3" t="s">
        <v>1796</v>
      </c>
      <c r="C1895" s="6" t="s">
        <v>354</v>
      </c>
      <c r="D1895" s="6" t="s">
        <v>694</v>
      </c>
      <c r="E1895" s="6" t="s">
        <v>146</v>
      </c>
      <c r="F1895" s="6">
        <v>4806.2299999999996</v>
      </c>
      <c r="G1895" s="2">
        <v>3</v>
      </c>
      <c r="H1895" s="61">
        <v>0.77</v>
      </c>
      <c r="I1895" s="61">
        <v>0.68</v>
      </c>
      <c r="J1895" s="47">
        <f t="shared" si="145"/>
        <v>-0.74333333333333329</v>
      </c>
      <c r="K1895" s="47">
        <f t="shared" si="146"/>
        <v>-0.11688311688311684</v>
      </c>
      <c r="L1895" s="8">
        <v>0.86</v>
      </c>
      <c r="M1895" s="8">
        <v>14.84</v>
      </c>
      <c r="N1895" s="8">
        <v>14.9</v>
      </c>
      <c r="O1895" s="17">
        <f t="shared" si="147"/>
        <v>-0.19964125560538118</v>
      </c>
      <c r="P1895" s="17">
        <f t="shared" si="148"/>
        <v>-1.2747777777777782</v>
      </c>
      <c r="Q1895" s="17">
        <v>11.73</v>
      </c>
      <c r="R1895" s="9">
        <v>20220802</v>
      </c>
      <c r="S1895" s="9">
        <v>16.2</v>
      </c>
      <c r="T1895" s="9">
        <v>1.17</v>
      </c>
      <c r="U1895" s="9">
        <v>6082.0751899999996</v>
      </c>
      <c r="V1895" s="45">
        <f t="shared" si="149"/>
        <v>-0.99980763144758167</v>
      </c>
      <c r="W1895" s="12">
        <v>-125</v>
      </c>
      <c r="X1895" s="12">
        <v>0</v>
      </c>
      <c r="Y1895" s="62"/>
    </row>
    <row r="1896" spans="1:25" x14ac:dyDescent="0.2">
      <c r="A1896" s="3" t="s">
        <v>4147</v>
      </c>
      <c r="B1896" s="3" t="s">
        <v>1797</v>
      </c>
      <c r="C1896" s="6" t="s">
        <v>355</v>
      </c>
      <c r="D1896" s="6" t="s">
        <v>235</v>
      </c>
      <c r="E1896" s="6" t="s">
        <v>237</v>
      </c>
      <c r="F1896" s="6">
        <v>14955.54</v>
      </c>
      <c r="G1896" s="2">
        <v>12</v>
      </c>
      <c r="H1896" s="61">
        <v>-14.55</v>
      </c>
      <c r="I1896" s="61">
        <v>-0.61</v>
      </c>
      <c r="J1896" s="47">
        <f t="shared" si="145"/>
        <v>-2.2124999999999999</v>
      </c>
      <c r="K1896" s="47">
        <f t="shared" si="146"/>
        <v>0.95807560137457048</v>
      </c>
      <c r="L1896" s="8">
        <v>6.41</v>
      </c>
      <c r="O1896" s="17">
        <f t="shared" si="147"/>
        <v>0</v>
      </c>
      <c r="P1896" s="17">
        <f t="shared" si="148"/>
        <v>0</v>
      </c>
      <c r="Q1896" s="17">
        <v>7.19</v>
      </c>
      <c r="R1896" s="9">
        <v>20220719</v>
      </c>
      <c r="S1896" s="9">
        <v>-73.540000000000006</v>
      </c>
      <c r="T1896" s="9">
        <v>-17.2</v>
      </c>
      <c r="U1896" s="9">
        <v>42244.078119999998</v>
      </c>
      <c r="V1896" s="45">
        <f t="shared" si="149"/>
        <v>-1.0004071576600899</v>
      </c>
      <c r="W1896" s="12">
        <v>-1.19</v>
      </c>
      <c r="X1896" s="12">
        <v>0</v>
      </c>
      <c r="Y1896" s="62"/>
    </row>
    <row r="1897" spans="1:25" x14ac:dyDescent="0.2">
      <c r="A1897" s="3" t="s">
        <v>4148</v>
      </c>
      <c r="B1897" s="3" t="s">
        <v>1798</v>
      </c>
      <c r="C1897" s="6" t="s">
        <v>354</v>
      </c>
      <c r="D1897" s="6" t="s">
        <v>176</v>
      </c>
      <c r="E1897" s="6" t="s">
        <v>119</v>
      </c>
      <c r="F1897" s="6">
        <v>45360.55</v>
      </c>
      <c r="G1897" s="2">
        <v>12</v>
      </c>
      <c r="H1897" s="61">
        <v>-1.05</v>
      </c>
      <c r="I1897" s="61">
        <v>-3.57</v>
      </c>
      <c r="J1897" s="47">
        <f t="shared" si="145"/>
        <v>-1.0875000000000001</v>
      </c>
      <c r="K1897" s="47">
        <f t="shared" si="146"/>
        <v>-2.3999999999999995</v>
      </c>
      <c r="L1897" s="8">
        <v>-0.06</v>
      </c>
      <c r="M1897" s="8">
        <v>37.869999999999997</v>
      </c>
      <c r="O1897" s="17">
        <f t="shared" si="147"/>
        <v>-0.34822988505747121</v>
      </c>
      <c r="P1897" s="17">
        <f t="shared" si="148"/>
        <v>0</v>
      </c>
      <c r="Q1897" s="17"/>
      <c r="R1897" s="9">
        <v>20220803</v>
      </c>
      <c r="S1897" s="9">
        <v>9.68</v>
      </c>
      <c r="T1897" s="9">
        <v>14.81</v>
      </c>
      <c r="U1897" s="9">
        <v>30325.105459999999</v>
      </c>
      <c r="V1897" s="45">
        <f t="shared" si="149"/>
        <v>-0.99951162577094621</v>
      </c>
      <c r="W1897" s="12">
        <v>33.33</v>
      </c>
      <c r="X1897" s="12">
        <v>0</v>
      </c>
      <c r="Y1897" s="62"/>
    </row>
    <row r="1898" spans="1:25" x14ac:dyDescent="0.2">
      <c r="A1898" s="3" t="s">
        <v>1799</v>
      </c>
      <c r="B1898" s="3" t="s">
        <v>1799</v>
      </c>
      <c r="C1898" s="6" t="s">
        <v>354</v>
      </c>
      <c r="D1898" s="6" t="s">
        <v>69</v>
      </c>
      <c r="E1898" s="6" t="s">
        <v>163</v>
      </c>
      <c r="F1898" s="6">
        <v>65806.8</v>
      </c>
      <c r="G1898" s="2">
        <v>12</v>
      </c>
      <c r="H1898" s="61">
        <v>1.98</v>
      </c>
      <c r="I1898" s="61">
        <v>2.29</v>
      </c>
      <c r="J1898" s="47">
        <f t="shared" si="145"/>
        <v>-0.83499999999999996</v>
      </c>
      <c r="K1898" s="47">
        <f t="shared" si="146"/>
        <v>0.1565656565656566</v>
      </c>
      <c r="L1898" s="8">
        <v>2.33</v>
      </c>
      <c r="M1898" s="8">
        <v>8.7100000000000009</v>
      </c>
      <c r="N1898" s="8">
        <v>8.27</v>
      </c>
      <c r="O1898" s="17">
        <f t="shared" si="147"/>
        <v>-0.104311377245509</v>
      </c>
      <c r="P1898" s="17">
        <f t="shared" si="148"/>
        <v>0.52821290322580627</v>
      </c>
      <c r="Q1898" s="17">
        <v>8.1</v>
      </c>
      <c r="R1898" s="9">
        <v>20220719</v>
      </c>
      <c r="S1898" s="9">
        <v>12.96</v>
      </c>
      <c r="T1898" s="9">
        <v>-1.1000000000000001</v>
      </c>
      <c r="U1898" s="9">
        <v>35942.945310000003</v>
      </c>
      <c r="V1898" s="45">
        <f t="shared" si="149"/>
        <v>-1.0000306040584741</v>
      </c>
      <c r="W1898" s="12">
        <v>17.309999999999999</v>
      </c>
      <c r="X1898" s="12">
        <v>0.86</v>
      </c>
      <c r="Y1898" s="62">
        <v>0.64</v>
      </c>
    </row>
    <row r="1899" spans="1:25" x14ac:dyDescent="0.2">
      <c r="A1899" s="3" t="s">
        <v>4149</v>
      </c>
      <c r="B1899" s="3" t="s">
        <v>1800</v>
      </c>
      <c r="C1899" s="6" t="s">
        <v>356</v>
      </c>
      <c r="D1899" s="6" t="s">
        <v>157</v>
      </c>
      <c r="E1899" s="6" t="s">
        <v>146</v>
      </c>
      <c r="F1899" s="6">
        <v>6490.26</v>
      </c>
      <c r="G1899" s="2">
        <v>3</v>
      </c>
      <c r="H1899" s="61">
        <v>0.49</v>
      </c>
      <c r="I1899" s="61">
        <v>0.43</v>
      </c>
      <c r="J1899" s="47">
        <f t="shared" si="145"/>
        <v>-0.83666666666666656</v>
      </c>
      <c r="K1899" s="47">
        <f t="shared" si="146"/>
        <v>-0.12244897959183673</v>
      </c>
      <c r="L1899" s="8">
        <v>0.54</v>
      </c>
      <c r="N1899" s="8">
        <v>24.27</v>
      </c>
      <c r="O1899" s="17">
        <f t="shared" si="147"/>
        <v>0</v>
      </c>
      <c r="P1899" s="17">
        <f t="shared" si="148"/>
        <v>-1.9820500000000001</v>
      </c>
      <c r="Q1899" s="17">
        <v>19.309999999999999</v>
      </c>
      <c r="U1899" s="9">
        <v>2691.0029199999999</v>
      </c>
      <c r="V1899" s="45">
        <f t="shared" si="149"/>
        <v>-1</v>
      </c>
      <c r="X1899" s="12">
        <v>0</v>
      </c>
      <c r="Y1899" s="62">
        <v>3.13</v>
      </c>
    </row>
    <row r="1900" spans="1:25" x14ac:dyDescent="0.2">
      <c r="A1900" s="3" t="s">
        <v>4150</v>
      </c>
      <c r="B1900" s="3" t="s">
        <v>1917</v>
      </c>
      <c r="C1900" s="6" t="s">
        <v>355</v>
      </c>
      <c r="D1900" s="6" t="s">
        <v>106</v>
      </c>
      <c r="E1900" s="6" t="s">
        <v>163</v>
      </c>
      <c r="F1900" s="6">
        <v>4997.6899999999996</v>
      </c>
      <c r="G1900" s="2">
        <v>12</v>
      </c>
      <c r="H1900" s="61">
        <v>2.87</v>
      </c>
      <c r="I1900" s="61">
        <v>2.61</v>
      </c>
      <c r="J1900" s="47">
        <f t="shared" si="145"/>
        <v>-0.76083333333333325</v>
      </c>
      <c r="K1900" s="47">
        <f t="shared" si="146"/>
        <v>-9.0592334494773594E-2</v>
      </c>
      <c r="L1900" s="8">
        <v>2.72</v>
      </c>
      <c r="M1900" s="8">
        <v>14.21</v>
      </c>
      <c r="N1900" s="8">
        <v>14.13</v>
      </c>
      <c r="O1900" s="17">
        <f t="shared" si="147"/>
        <v>-0.18676889375684558</v>
      </c>
      <c r="P1900" s="17">
        <f t="shared" si="148"/>
        <v>-1.5597346153846141</v>
      </c>
      <c r="Q1900" s="17">
        <v>13.58</v>
      </c>
      <c r="R1900" s="9">
        <v>20220722</v>
      </c>
      <c r="S1900" s="9">
        <v>7.55</v>
      </c>
      <c r="T1900" s="9">
        <v>11.98</v>
      </c>
      <c r="U1900" s="9">
        <v>1007.21002</v>
      </c>
      <c r="V1900" s="45">
        <f t="shared" si="149"/>
        <v>-0.98810575772468978</v>
      </c>
      <c r="W1900" s="12">
        <v>0</v>
      </c>
      <c r="X1900" s="12">
        <v>3.9</v>
      </c>
      <c r="Y1900" s="62"/>
    </row>
    <row r="1901" spans="1:25" x14ac:dyDescent="0.2">
      <c r="A1901" s="3" t="s">
        <v>4151</v>
      </c>
      <c r="B1901" s="3" t="s">
        <v>4152</v>
      </c>
      <c r="C1901" s="6" t="s">
        <v>355</v>
      </c>
      <c r="D1901" s="6" t="s">
        <v>106</v>
      </c>
      <c r="E1901" s="6" t="s">
        <v>163</v>
      </c>
      <c r="F1901" s="6">
        <v>3309.77</v>
      </c>
      <c r="G1901" s="2">
        <v>12</v>
      </c>
      <c r="H1901" s="61">
        <v>3.04</v>
      </c>
      <c r="I1901" s="61">
        <v>2.66</v>
      </c>
      <c r="J1901" s="47">
        <f t="shared" si="145"/>
        <v>-0.7466666666666667</v>
      </c>
      <c r="K1901" s="47">
        <f t="shared" si="146"/>
        <v>-0.12499999999999996</v>
      </c>
      <c r="L1901" s="8">
        <v>3.29</v>
      </c>
      <c r="M1901" s="8">
        <v>11.31</v>
      </c>
      <c r="N1901" s="8">
        <v>11.73</v>
      </c>
      <c r="O1901" s="17">
        <f t="shared" si="147"/>
        <v>-0.15147321428571428</v>
      </c>
      <c r="P1901" s="17">
        <f t="shared" si="148"/>
        <v>-0.93840000000000034</v>
      </c>
      <c r="Q1901" s="17">
        <v>9.5</v>
      </c>
      <c r="R1901" s="9">
        <v>20220719</v>
      </c>
      <c r="S1901" s="9">
        <v>11.93</v>
      </c>
      <c r="T1901" s="9">
        <v>11.8</v>
      </c>
      <c r="U1901" s="9">
        <v>871.79998000000001</v>
      </c>
      <c r="V1901" s="45">
        <f t="shared" si="149"/>
        <v>-0.98646478519074987</v>
      </c>
      <c r="W1901" s="12">
        <v>-5.66</v>
      </c>
      <c r="X1901" s="12">
        <v>2.69</v>
      </c>
      <c r="Y1901" s="62"/>
    </row>
    <row r="1902" spans="1:25" x14ac:dyDescent="0.2">
      <c r="A1902" s="3" t="s">
        <v>4153</v>
      </c>
      <c r="B1902" s="3" t="s">
        <v>4154</v>
      </c>
      <c r="C1902" s="6" t="s">
        <v>356</v>
      </c>
      <c r="D1902" s="6" t="s">
        <v>187</v>
      </c>
      <c r="E1902" s="6" t="s">
        <v>208</v>
      </c>
      <c r="F1902" s="6">
        <v>17422.919999999998</v>
      </c>
      <c r="G1902" s="2">
        <v>12</v>
      </c>
      <c r="H1902" s="61">
        <v>7.09</v>
      </c>
      <c r="I1902" s="61">
        <v>5.48</v>
      </c>
      <c r="J1902" s="47">
        <f t="shared" si="145"/>
        <v>-0.40916666666666668</v>
      </c>
      <c r="K1902" s="47">
        <f t="shared" si="146"/>
        <v>-0.22708039492242588</v>
      </c>
      <c r="L1902" s="8">
        <v>5.87</v>
      </c>
      <c r="N1902" s="8">
        <v>16.82</v>
      </c>
      <c r="O1902" s="17">
        <f t="shared" si="147"/>
        <v>0</v>
      </c>
      <c r="P1902" s="17">
        <f t="shared" si="148"/>
        <v>-0.74070683229813694</v>
      </c>
      <c r="Q1902" s="17">
        <v>15.7</v>
      </c>
      <c r="R1902" s="9">
        <v>20220526</v>
      </c>
      <c r="U1902" s="9">
        <v>6086.1801699999996</v>
      </c>
      <c r="V1902" s="45">
        <f t="shared" si="149"/>
        <v>-1</v>
      </c>
      <c r="X1902" s="12">
        <v>0</v>
      </c>
      <c r="Y1902" s="62"/>
    </row>
    <row r="1903" spans="1:25" x14ac:dyDescent="0.2">
      <c r="A1903" s="3" t="s">
        <v>4155</v>
      </c>
      <c r="B1903" s="3" t="s">
        <v>4156</v>
      </c>
      <c r="C1903" s="6" t="s">
        <v>356</v>
      </c>
      <c r="D1903" s="6" t="s">
        <v>176</v>
      </c>
      <c r="E1903" s="6" t="s">
        <v>119</v>
      </c>
      <c r="F1903" s="6">
        <v>6105.57</v>
      </c>
      <c r="G1903" s="2">
        <v>12</v>
      </c>
      <c r="H1903" s="61">
        <v>2.33</v>
      </c>
      <c r="I1903" s="61">
        <v>1.96</v>
      </c>
      <c r="J1903" s="47">
        <f t="shared" si="145"/>
        <v>-0.80583333333333329</v>
      </c>
      <c r="K1903" s="47">
        <f t="shared" si="146"/>
        <v>-0.15879828326180262</v>
      </c>
      <c r="L1903" s="8">
        <v>2.2799999999999998</v>
      </c>
      <c r="M1903" s="8">
        <v>14.43</v>
      </c>
      <c r="N1903" s="8">
        <v>16.64</v>
      </c>
      <c r="O1903" s="17">
        <f t="shared" si="147"/>
        <v>-0.17906928645294726</v>
      </c>
      <c r="P1903" s="17">
        <f t="shared" si="148"/>
        <v>-1.04787027027027</v>
      </c>
      <c r="Q1903" s="17">
        <v>14.3</v>
      </c>
      <c r="R1903" s="9">
        <v>20220531</v>
      </c>
      <c r="U1903" s="9">
        <v>6143.5497999999998</v>
      </c>
      <c r="V1903" s="45">
        <f t="shared" si="149"/>
        <v>-1</v>
      </c>
      <c r="X1903" s="12">
        <v>0</v>
      </c>
      <c r="Y1903" s="62"/>
    </row>
    <row r="1904" spans="1:25" x14ac:dyDescent="0.2">
      <c r="A1904" s="3" t="s">
        <v>4157</v>
      </c>
      <c r="B1904" s="3" t="s">
        <v>1801</v>
      </c>
      <c r="C1904" s="6" t="s">
        <v>354</v>
      </c>
      <c r="D1904" s="6" t="s">
        <v>216</v>
      </c>
      <c r="E1904" s="6" t="s">
        <v>163</v>
      </c>
      <c r="F1904" s="6">
        <v>15152.71</v>
      </c>
      <c r="G1904" s="2">
        <v>12</v>
      </c>
      <c r="H1904" s="61">
        <v>2.0099999999999998</v>
      </c>
      <c r="I1904" s="61">
        <v>2.2999999999999998</v>
      </c>
      <c r="J1904" s="47">
        <f t="shared" si="145"/>
        <v>-0.83250000000000002</v>
      </c>
      <c r="K1904" s="47">
        <f t="shared" si="146"/>
        <v>0.14427860696517417</v>
      </c>
      <c r="L1904" s="8">
        <v>2.4900000000000002</v>
      </c>
      <c r="M1904" s="8">
        <v>22.77</v>
      </c>
      <c r="N1904" s="8">
        <v>20.73</v>
      </c>
      <c r="O1904" s="17">
        <f t="shared" si="147"/>
        <v>-0.2735135135135135</v>
      </c>
      <c r="P1904" s="17">
        <f t="shared" si="148"/>
        <v>1.4368034482758616</v>
      </c>
      <c r="Q1904" s="17">
        <v>19.09</v>
      </c>
      <c r="R1904" s="9">
        <v>20220727</v>
      </c>
      <c r="S1904" s="9">
        <v>4.79</v>
      </c>
      <c r="T1904" s="9">
        <v>7.01</v>
      </c>
      <c r="U1904" s="9">
        <v>1488.5510200000001</v>
      </c>
      <c r="V1904" s="45">
        <f t="shared" si="149"/>
        <v>-0.99529072238316696</v>
      </c>
      <c r="W1904" s="12">
        <v>0</v>
      </c>
      <c r="X1904" s="12">
        <v>3.19</v>
      </c>
      <c r="Y1904" s="62">
        <v>2.31</v>
      </c>
    </row>
    <row r="1905" spans="1:25" x14ac:dyDescent="0.2">
      <c r="A1905" s="3" t="s">
        <v>4158</v>
      </c>
      <c r="B1905" s="3" t="s">
        <v>1802</v>
      </c>
      <c r="C1905" s="6" t="s">
        <v>355</v>
      </c>
      <c r="D1905" s="6" t="s">
        <v>122</v>
      </c>
      <c r="E1905" s="6" t="s">
        <v>140</v>
      </c>
      <c r="F1905" s="6">
        <v>4834.29</v>
      </c>
      <c r="G1905" s="2">
        <v>12</v>
      </c>
      <c r="H1905" s="61">
        <v>7.64</v>
      </c>
      <c r="I1905" s="61">
        <v>9.6</v>
      </c>
      <c r="J1905" s="47">
        <f t="shared" si="145"/>
        <v>-0.36333333333333334</v>
      </c>
      <c r="K1905" s="47">
        <f t="shared" si="146"/>
        <v>0.25654450261780104</v>
      </c>
      <c r="L1905" s="8">
        <v>8.9700000000000006</v>
      </c>
      <c r="M1905" s="8">
        <v>7.92</v>
      </c>
      <c r="N1905" s="8">
        <v>8.0299999999999994</v>
      </c>
      <c r="O1905" s="17">
        <f t="shared" si="147"/>
        <v>-0.21798165137614678</v>
      </c>
      <c r="P1905" s="17">
        <f t="shared" si="148"/>
        <v>0.31300612244897957</v>
      </c>
      <c r="Q1905" s="17">
        <v>8.59</v>
      </c>
      <c r="R1905" s="9">
        <v>20220720</v>
      </c>
      <c r="S1905" s="9">
        <v>31.01</v>
      </c>
      <c r="T1905" s="9">
        <v>18.100000000000001</v>
      </c>
      <c r="U1905" s="9">
        <v>9350.0995999999996</v>
      </c>
      <c r="V1905" s="45">
        <f t="shared" si="149"/>
        <v>-0.99806419174401095</v>
      </c>
      <c r="W1905" s="12">
        <v>49.25</v>
      </c>
      <c r="X1905" s="12">
        <v>1.04</v>
      </c>
      <c r="Y1905" s="62"/>
    </row>
    <row r="1906" spans="1:25" x14ac:dyDescent="0.2">
      <c r="A1906" s="3" t="s">
        <v>1803</v>
      </c>
      <c r="B1906" s="3" t="s">
        <v>1803</v>
      </c>
      <c r="C1906" s="6" t="s">
        <v>354</v>
      </c>
      <c r="D1906" s="6" t="s">
        <v>264</v>
      </c>
      <c r="E1906" s="6" t="s">
        <v>250</v>
      </c>
      <c r="F1906" s="6">
        <v>8884.82</v>
      </c>
      <c r="G1906" s="2">
        <v>9</v>
      </c>
      <c r="H1906" s="61">
        <v>3.04</v>
      </c>
      <c r="I1906" s="61">
        <v>2.93</v>
      </c>
      <c r="J1906" s="47">
        <f t="shared" si="145"/>
        <v>-0.66222222222222227</v>
      </c>
      <c r="K1906" s="47">
        <f t="shared" si="146"/>
        <v>-3.6184210526315749E-2</v>
      </c>
      <c r="L1906" s="8">
        <v>3.35</v>
      </c>
      <c r="M1906" s="8">
        <v>16.09</v>
      </c>
      <c r="N1906" s="8">
        <v>14.44</v>
      </c>
      <c r="O1906" s="17">
        <f t="shared" si="147"/>
        <v>-0.24296979865771809</v>
      </c>
      <c r="P1906" s="17">
        <f t="shared" si="148"/>
        <v>-3.9906909090909135</v>
      </c>
      <c r="Q1906" s="17">
        <v>12.65</v>
      </c>
      <c r="R1906" s="9">
        <v>20220803</v>
      </c>
      <c r="S1906" s="9">
        <v>10.8</v>
      </c>
      <c r="T1906" s="9">
        <v>3.05</v>
      </c>
      <c r="V1906" s="45" t="e">
        <f t="shared" si="149"/>
        <v>#DIV/0!</v>
      </c>
      <c r="W1906" s="12">
        <v>1.6</v>
      </c>
      <c r="X1906" s="12">
        <v>3.26</v>
      </c>
      <c r="Y1906" s="62">
        <v>1.8</v>
      </c>
    </row>
    <row r="1907" spans="1:25" x14ac:dyDescent="0.2">
      <c r="A1907" s="3" t="s">
        <v>4159</v>
      </c>
      <c r="B1907" s="3" t="s">
        <v>1804</v>
      </c>
      <c r="C1907" s="6" t="s">
        <v>354</v>
      </c>
      <c r="D1907" s="6" t="s">
        <v>206</v>
      </c>
      <c r="E1907" s="6" t="s">
        <v>218</v>
      </c>
      <c r="F1907" s="6">
        <v>4073.6</v>
      </c>
      <c r="G1907" s="2">
        <v>12</v>
      </c>
      <c r="H1907" s="61">
        <v>0.1</v>
      </c>
      <c r="I1907" s="61">
        <v>0.18</v>
      </c>
      <c r="J1907" s="47">
        <f t="shared" si="145"/>
        <v>-0.9916666666666667</v>
      </c>
      <c r="K1907" s="47">
        <f t="shared" si="146"/>
        <v>0.79999999999999982</v>
      </c>
      <c r="L1907" s="8">
        <v>0.27</v>
      </c>
      <c r="M1907" s="8">
        <v>17.88</v>
      </c>
      <c r="N1907" s="8">
        <v>16.89</v>
      </c>
      <c r="O1907" s="17">
        <f t="shared" si="147"/>
        <v>-0.18030252100840335</v>
      </c>
      <c r="P1907" s="17">
        <f t="shared" si="148"/>
        <v>0.21112500000000003</v>
      </c>
      <c r="Q1907" s="17">
        <v>11.26</v>
      </c>
      <c r="R1907" s="9">
        <v>20220810</v>
      </c>
      <c r="S1907" s="9">
        <v>10.33</v>
      </c>
      <c r="T1907" s="9">
        <v>-6.69</v>
      </c>
      <c r="V1907" s="45" t="e">
        <f t="shared" si="149"/>
        <v>#DIV/0!</v>
      </c>
      <c r="X1907" s="12">
        <v>2.02</v>
      </c>
      <c r="Y1907" s="62">
        <v>0.74</v>
      </c>
    </row>
    <row r="1908" spans="1:25" x14ac:dyDescent="0.2">
      <c r="A1908" s="3" t="s">
        <v>4160</v>
      </c>
      <c r="B1908" s="3" t="s">
        <v>1805</v>
      </c>
      <c r="C1908" s="6" t="s">
        <v>354</v>
      </c>
      <c r="D1908" s="6" t="s">
        <v>190</v>
      </c>
      <c r="E1908" s="6" t="s">
        <v>208</v>
      </c>
      <c r="F1908" s="6">
        <v>9219.77</v>
      </c>
      <c r="G1908" s="2">
        <v>12</v>
      </c>
      <c r="H1908" s="61">
        <v>11.7</v>
      </c>
      <c r="I1908" s="61">
        <v>11.38</v>
      </c>
      <c r="J1908" s="47">
        <f t="shared" si="145"/>
        <v>-2.500000000000006E-2</v>
      </c>
      <c r="K1908" s="47">
        <f t="shared" si="146"/>
        <v>-2.7350427350427226E-2</v>
      </c>
      <c r="L1908" s="8">
        <v>13.42</v>
      </c>
      <c r="M1908" s="8">
        <v>10.69</v>
      </c>
      <c r="N1908" s="8">
        <v>10.83</v>
      </c>
      <c r="O1908" s="17">
        <f t="shared" si="147"/>
        <v>-4.2759999999999891</v>
      </c>
      <c r="P1908" s="17">
        <f t="shared" si="148"/>
        <v>-3.9597187500000182</v>
      </c>
      <c r="Q1908" s="17">
        <v>9.19</v>
      </c>
      <c r="R1908" s="9">
        <v>20220725</v>
      </c>
      <c r="S1908" s="9">
        <v>15.06</v>
      </c>
      <c r="T1908" s="9">
        <v>4.76</v>
      </c>
      <c r="U1908" s="9">
        <v>13476.532219999999</v>
      </c>
      <c r="V1908" s="45">
        <f t="shared" si="149"/>
        <v>-0.99964679340929141</v>
      </c>
      <c r="W1908" s="12">
        <v>-12.96</v>
      </c>
      <c r="X1908" s="12">
        <v>0.65</v>
      </c>
      <c r="Y1908" s="62">
        <v>2.64</v>
      </c>
    </row>
    <row r="1909" spans="1:25" x14ac:dyDescent="0.2">
      <c r="A1909" s="3" t="s">
        <v>4161</v>
      </c>
      <c r="B1909" s="3" t="s">
        <v>1806</v>
      </c>
      <c r="C1909" s="6" t="s">
        <v>354</v>
      </c>
      <c r="D1909" s="6" t="s">
        <v>869</v>
      </c>
      <c r="E1909" s="6" t="s">
        <v>119</v>
      </c>
      <c r="F1909" s="6">
        <v>15630.83</v>
      </c>
      <c r="G1909" s="2">
        <v>6</v>
      </c>
      <c r="H1909" s="61">
        <v>9.67</v>
      </c>
      <c r="I1909" s="61">
        <v>5.83</v>
      </c>
      <c r="J1909" s="47">
        <f t="shared" si="145"/>
        <v>0.61166666666666669</v>
      </c>
      <c r="K1909" s="47">
        <f t="shared" si="146"/>
        <v>-0.39710444674250256</v>
      </c>
      <c r="L1909" s="8">
        <v>7.4</v>
      </c>
      <c r="M1909" s="8">
        <v>36.700000000000003</v>
      </c>
      <c r="N1909" s="8">
        <v>44.38</v>
      </c>
      <c r="O1909" s="17">
        <f t="shared" si="147"/>
        <v>0.6</v>
      </c>
      <c r="P1909" s="17">
        <f t="shared" si="148"/>
        <v>-1.1175901041666669</v>
      </c>
      <c r="Q1909" s="17">
        <v>34.96</v>
      </c>
      <c r="R1909" s="9">
        <v>20220826</v>
      </c>
      <c r="S1909" s="9">
        <v>-632.62</v>
      </c>
      <c r="T1909" s="9">
        <v>18.489999999999998</v>
      </c>
      <c r="U1909" s="9">
        <v>1635.52001</v>
      </c>
      <c r="V1909" s="45">
        <f t="shared" si="149"/>
        <v>-0.98869472712840734</v>
      </c>
      <c r="W1909" s="12">
        <v>-59.2</v>
      </c>
      <c r="X1909" s="12">
        <v>0.93</v>
      </c>
      <c r="Y1909" s="62"/>
    </row>
    <row r="1910" spans="1:25" x14ac:dyDescent="0.2">
      <c r="A1910" s="3" t="s">
        <v>4162</v>
      </c>
      <c r="B1910" s="3" t="s">
        <v>2051</v>
      </c>
      <c r="C1910" s="6" t="s">
        <v>354</v>
      </c>
      <c r="D1910" s="6" t="s">
        <v>643</v>
      </c>
      <c r="E1910" s="6" t="s">
        <v>154</v>
      </c>
      <c r="F1910" s="6">
        <v>115213.45</v>
      </c>
      <c r="G1910" s="2">
        <v>12</v>
      </c>
      <c r="H1910" s="61">
        <v>2.85</v>
      </c>
      <c r="I1910" s="61">
        <v>2.67</v>
      </c>
      <c r="J1910" s="47">
        <f t="shared" si="145"/>
        <v>-0.76250000000000007</v>
      </c>
      <c r="K1910" s="47">
        <f t="shared" si="146"/>
        <v>-6.3157894736842163E-2</v>
      </c>
      <c r="L1910" s="8">
        <v>2.94</v>
      </c>
      <c r="N1910" s="8">
        <v>16.39</v>
      </c>
      <c r="O1910" s="17">
        <f t="shared" si="147"/>
        <v>0</v>
      </c>
      <c r="P1910" s="17">
        <f t="shared" si="148"/>
        <v>-2.5950833333333314</v>
      </c>
      <c r="Q1910" s="17">
        <v>14.89</v>
      </c>
      <c r="U1910" s="9">
        <v>62607.730459999999</v>
      </c>
      <c r="V1910" s="45">
        <f t="shared" si="149"/>
        <v>-1</v>
      </c>
      <c r="X1910" s="12">
        <v>4.1100000000000003</v>
      </c>
      <c r="Y1910" s="62">
        <v>2.4900000000000002</v>
      </c>
    </row>
    <row r="1911" spans="1:25" x14ac:dyDescent="0.2">
      <c r="A1911" s="3" t="s">
        <v>4163</v>
      </c>
      <c r="B1911" s="3" t="s">
        <v>1807</v>
      </c>
      <c r="C1911" s="6" t="s">
        <v>355</v>
      </c>
      <c r="D1911" s="6" t="s">
        <v>221</v>
      </c>
      <c r="E1911" s="6" t="s">
        <v>231</v>
      </c>
      <c r="F1911" s="6">
        <v>19739.77</v>
      </c>
      <c r="G1911" s="2">
        <v>1</v>
      </c>
      <c r="H1911" s="61">
        <v>17.190000000000001</v>
      </c>
      <c r="I1911" s="61">
        <v>18.600000000000001</v>
      </c>
      <c r="J1911" s="47">
        <f t="shared" si="145"/>
        <v>16.190000000000001</v>
      </c>
      <c r="K1911" s="47">
        <f t="shared" si="146"/>
        <v>8.2024432809773132E-2</v>
      </c>
      <c r="L1911" s="8">
        <v>20.59</v>
      </c>
      <c r="M1911" s="8">
        <v>18.7</v>
      </c>
      <c r="N1911" s="8">
        <v>20.32</v>
      </c>
      <c r="O1911" s="17">
        <f t="shared" si="147"/>
        <v>1.1550339715873994E-2</v>
      </c>
      <c r="P1911" s="17">
        <f t="shared" si="148"/>
        <v>2.477310638297872</v>
      </c>
      <c r="Q1911" s="17">
        <v>18.350000000000001</v>
      </c>
      <c r="R1911" s="9">
        <v>20220824</v>
      </c>
      <c r="S1911" s="9">
        <v>60.36</v>
      </c>
      <c r="T1911" s="9">
        <v>7.58</v>
      </c>
      <c r="U1911" s="9">
        <v>9198.1347600000008</v>
      </c>
      <c r="V1911" s="45">
        <f t="shared" si="149"/>
        <v>-0.99917591987965182</v>
      </c>
      <c r="W1911" s="12">
        <v>41.89</v>
      </c>
      <c r="X1911" s="12">
        <v>0</v>
      </c>
      <c r="Y1911" s="62">
        <v>1.98</v>
      </c>
    </row>
    <row r="1912" spans="1:25" x14ac:dyDescent="0.2">
      <c r="A1912" s="3" t="s">
        <v>4164</v>
      </c>
      <c r="B1912" s="3" t="s">
        <v>1808</v>
      </c>
      <c r="C1912" s="6" t="s">
        <v>355</v>
      </c>
      <c r="D1912" s="6" t="s">
        <v>103</v>
      </c>
      <c r="E1912" s="6" t="s">
        <v>163</v>
      </c>
      <c r="F1912" s="6">
        <v>4422.6899999999996</v>
      </c>
      <c r="G1912" s="2">
        <v>12</v>
      </c>
      <c r="H1912" s="61">
        <v>7.51</v>
      </c>
      <c r="I1912" s="61">
        <v>8.17</v>
      </c>
      <c r="J1912" s="47">
        <f t="shared" si="145"/>
        <v>-0.3741666666666667</v>
      </c>
      <c r="K1912" s="47">
        <f t="shared" si="146"/>
        <v>8.7882822902796295E-2</v>
      </c>
      <c r="L1912" s="8">
        <v>8.58</v>
      </c>
      <c r="M1912" s="8">
        <v>12.12</v>
      </c>
      <c r="N1912" s="8">
        <v>11.19</v>
      </c>
      <c r="O1912" s="17">
        <f t="shared" si="147"/>
        <v>-0.32391982182628054</v>
      </c>
      <c r="P1912" s="17">
        <f t="shared" si="148"/>
        <v>1.2732863636363632</v>
      </c>
      <c r="Q1912" s="17">
        <v>10.65</v>
      </c>
      <c r="R1912" s="9">
        <v>20220726</v>
      </c>
      <c r="S1912" s="9">
        <v>12.16</v>
      </c>
      <c r="T1912" s="9">
        <v>7.2</v>
      </c>
      <c r="U1912" s="9">
        <v>1406.2330300000001</v>
      </c>
      <c r="V1912" s="45">
        <f t="shared" si="149"/>
        <v>-0.99487993821336995</v>
      </c>
      <c r="W1912" s="12">
        <v>31.52</v>
      </c>
      <c r="X1912" s="12">
        <v>1.62</v>
      </c>
      <c r="Y1912" s="62"/>
    </row>
    <row r="1913" spans="1:25" x14ac:dyDescent="0.2">
      <c r="A1913" s="3" t="s">
        <v>4165</v>
      </c>
      <c r="B1913" s="3" t="s">
        <v>2052</v>
      </c>
      <c r="C1913" s="6" t="s">
        <v>354</v>
      </c>
      <c r="D1913" s="6" t="s">
        <v>143</v>
      </c>
      <c r="E1913" s="6" t="s">
        <v>119</v>
      </c>
      <c r="F1913" s="6">
        <v>21442.1</v>
      </c>
      <c r="G1913" s="2">
        <v>12</v>
      </c>
      <c r="H1913" s="61">
        <v>0.82</v>
      </c>
      <c r="I1913" s="61">
        <v>1.26</v>
      </c>
      <c r="J1913" s="47">
        <f t="shared" si="145"/>
        <v>-0.93166666666666664</v>
      </c>
      <c r="K1913" s="47">
        <f t="shared" si="146"/>
        <v>0.53658536585365868</v>
      </c>
      <c r="L1913" s="8">
        <v>1.07</v>
      </c>
      <c r="M1913" s="8">
        <v>8.99</v>
      </c>
      <c r="N1913" s="8">
        <v>6.85</v>
      </c>
      <c r="O1913" s="17">
        <f t="shared" si="147"/>
        <v>-9.6493738819320232E-2</v>
      </c>
      <c r="P1913" s="17">
        <f t="shared" si="148"/>
        <v>0.12765909090909086</v>
      </c>
      <c r="Q1913" s="17">
        <v>8.07</v>
      </c>
      <c r="R1913" s="9">
        <v>20220727</v>
      </c>
      <c r="S1913" s="9">
        <v>24.35</v>
      </c>
      <c r="T1913" s="9">
        <v>10.26</v>
      </c>
      <c r="U1913" s="9">
        <v>9205.3398400000005</v>
      </c>
      <c r="V1913" s="45">
        <f t="shared" si="149"/>
        <v>-0.99888542952478332</v>
      </c>
      <c r="W1913" s="12">
        <v>7.69</v>
      </c>
      <c r="X1913" s="12">
        <v>2.5099999999999998</v>
      </c>
      <c r="Y1913" s="62"/>
    </row>
    <row r="1914" spans="1:25" x14ac:dyDescent="0.2">
      <c r="A1914" s="3" t="s">
        <v>4166</v>
      </c>
      <c r="B1914" s="3" t="s">
        <v>1809</v>
      </c>
      <c r="C1914" s="6" t="s">
        <v>355</v>
      </c>
      <c r="D1914" s="6" t="s">
        <v>113</v>
      </c>
      <c r="E1914" s="6" t="s">
        <v>163</v>
      </c>
      <c r="F1914" s="6">
        <v>3754.9</v>
      </c>
      <c r="G1914" s="2">
        <v>12</v>
      </c>
      <c r="H1914" s="61">
        <v>1.95</v>
      </c>
      <c r="I1914" s="61">
        <v>1.66</v>
      </c>
      <c r="J1914" s="47">
        <f t="shared" si="145"/>
        <v>-0.83750000000000002</v>
      </c>
      <c r="K1914" s="47">
        <f t="shared" si="146"/>
        <v>-0.14871794871794874</v>
      </c>
      <c r="L1914" s="8">
        <v>2.06</v>
      </c>
      <c r="M1914" s="8">
        <v>9.35</v>
      </c>
      <c r="N1914" s="8">
        <v>10.44</v>
      </c>
      <c r="O1914" s="17">
        <f t="shared" si="147"/>
        <v>-0.11164179104477612</v>
      </c>
      <c r="P1914" s="17">
        <f t="shared" si="148"/>
        <v>-0.70199999999999985</v>
      </c>
      <c r="Q1914" s="17">
        <v>8.3800000000000008</v>
      </c>
      <c r="R1914" s="9">
        <v>20220720</v>
      </c>
      <c r="S1914" s="9">
        <v>14.89</v>
      </c>
      <c r="T1914" s="9">
        <v>2.6</v>
      </c>
      <c r="U1914" s="9">
        <v>1579</v>
      </c>
      <c r="V1914" s="45">
        <f t="shared" si="149"/>
        <v>-0.99835338822039266</v>
      </c>
      <c r="W1914" s="12">
        <v>7.69</v>
      </c>
      <c r="X1914" s="12">
        <v>4.8600000000000003</v>
      </c>
      <c r="Y1914" s="62"/>
    </row>
    <row r="1915" spans="1:25" x14ac:dyDescent="0.2">
      <c r="A1915" s="3" t="s">
        <v>4167</v>
      </c>
      <c r="B1915" s="3" t="s">
        <v>4168</v>
      </c>
      <c r="C1915" s="6" t="s">
        <v>356</v>
      </c>
      <c r="D1915" s="6" t="s">
        <v>69</v>
      </c>
      <c r="E1915" s="6" t="s">
        <v>163</v>
      </c>
      <c r="F1915" s="6">
        <v>25164.34</v>
      </c>
      <c r="G1915" s="2">
        <v>12</v>
      </c>
      <c r="H1915" s="61"/>
      <c r="I1915" s="61"/>
      <c r="J1915" s="47">
        <f t="shared" si="145"/>
        <v>-1</v>
      </c>
      <c r="K1915" s="47" t="e">
        <f t="shared" si="146"/>
        <v>#DIV/0!</v>
      </c>
      <c r="O1915" s="17">
        <f t="shared" si="147"/>
        <v>0</v>
      </c>
      <c r="P1915" s="17" t="e">
        <f t="shared" si="148"/>
        <v>#DIV/0!</v>
      </c>
      <c r="Q1915" s="17"/>
      <c r="V1915" s="45" t="e">
        <f t="shared" si="149"/>
        <v>#DIV/0!</v>
      </c>
      <c r="X1915" s="12">
        <v>3.2</v>
      </c>
      <c r="Y1915" s="62"/>
    </row>
    <row r="1916" spans="1:25" x14ac:dyDescent="0.2">
      <c r="A1916" s="3" t="s">
        <v>4169</v>
      </c>
      <c r="B1916" s="3" t="s">
        <v>1810</v>
      </c>
      <c r="C1916" s="6" t="s">
        <v>354</v>
      </c>
      <c r="D1916" s="6" t="s">
        <v>735</v>
      </c>
      <c r="E1916" s="6" t="s">
        <v>201</v>
      </c>
      <c r="F1916" s="6">
        <v>3043.09</v>
      </c>
      <c r="G1916" s="2">
        <v>8</v>
      </c>
      <c r="H1916" s="61">
        <v>8.01</v>
      </c>
      <c r="I1916" s="61">
        <v>6.91</v>
      </c>
      <c r="J1916" s="47">
        <f t="shared" si="145"/>
        <v>1.2499999999999734E-3</v>
      </c>
      <c r="K1916" s="47">
        <f t="shared" si="146"/>
        <v>-0.13732833957553053</v>
      </c>
      <c r="L1916" s="8">
        <v>8.11</v>
      </c>
      <c r="M1916" s="8">
        <v>22.26</v>
      </c>
      <c r="N1916" s="8">
        <v>23.42</v>
      </c>
      <c r="O1916" s="17">
        <f t="shared" si="147"/>
        <v>178.08000000000382</v>
      </c>
      <c r="P1916" s="17">
        <f t="shared" si="148"/>
        <v>-1.7054018181818189</v>
      </c>
      <c r="Q1916" s="17">
        <v>19.940000000000001</v>
      </c>
      <c r="R1916" s="9">
        <v>20220629</v>
      </c>
      <c r="S1916" s="9">
        <v>7.36</v>
      </c>
      <c r="T1916" s="9">
        <v>3.49</v>
      </c>
      <c r="U1916" s="9">
        <v>1972.91003</v>
      </c>
      <c r="V1916" s="45">
        <f t="shared" si="149"/>
        <v>-0.99823103945596547</v>
      </c>
      <c r="W1916" s="12">
        <v>-23.46</v>
      </c>
      <c r="X1916" s="12">
        <v>0.74</v>
      </c>
      <c r="Y1916" s="62"/>
    </row>
    <row r="1917" spans="1:25" x14ac:dyDescent="0.2">
      <c r="A1917" s="3" t="s">
        <v>4170</v>
      </c>
      <c r="B1917" s="3" t="s">
        <v>1811</v>
      </c>
      <c r="C1917" s="6" t="s">
        <v>354</v>
      </c>
      <c r="D1917" s="6" t="s">
        <v>189</v>
      </c>
      <c r="E1917" s="6" t="s">
        <v>208</v>
      </c>
      <c r="F1917" s="6">
        <v>471177.91</v>
      </c>
      <c r="G1917" s="2">
        <v>12</v>
      </c>
      <c r="H1917" s="61">
        <v>18.850000000000001</v>
      </c>
      <c r="I1917" s="61">
        <v>21.75</v>
      </c>
      <c r="J1917" s="47">
        <f t="shared" si="145"/>
        <v>0.57083333333333341</v>
      </c>
      <c r="K1917" s="47">
        <f t="shared" si="146"/>
        <v>0.15384615384615377</v>
      </c>
      <c r="L1917" s="8">
        <v>24.9</v>
      </c>
      <c r="M1917" s="8">
        <v>26.17</v>
      </c>
      <c r="N1917" s="8">
        <v>23.09</v>
      </c>
      <c r="O1917" s="17">
        <f t="shared" si="147"/>
        <v>0.45845255474452551</v>
      </c>
      <c r="P1917" s="17">
        <f t="shared" si="148"/>
        <v>1.5008500000000007</v>
      </c>
      <c r="Q1917" s="17">
        <v>20.170000000000002</v>
      </c>
      <c r="R1917" s="9">
        <v>20220715</v>
      </c>
      <c r="S1917" s="9">
        <v>24.74</v>
      </c>
      <c r="T1917" s="9">
        <v>8.82</v>
      </c>
      <c r="U1917" s="9">
        <v>320896.96875</v>
      </c>
      <c r="V1917" s="45">
        <f t="shared" si="149"/>
        <v>-0.99997251454248892</v>
      </c>
      <c r="W1917" s="12">
        <v>1.67</v>
      </c>
      <c r="X1917" s="12">
        <v>1.1499999999999999</v>
      </c>
      <c r="Y1917" s="62">
        <v>1.56</v>
      </c>
    </row>
    <row r="1918" spans="1:25" x14ac:dyDescent="0.2">
      <c r="A1918" s="3" t="s">
        <v>4171</v>
      </c>
      <c r="B1918" s="3" t="s">
        <v>1812</v>
      </c>
      <c r="C1918" s="6" t="s">
        <v>356</v>
      </c>
      <c r="D1918" s="6" t="s">
        <v>544</v>
      </c>
      <c r="E1918" s="6" t="s">
        <v>146</v>
      </c>
      <c r="F1918" s="6">
        <v>21493.279999999999</v>
      </c>
      <c r="G1918" s="2">
        <v>12</v>
      </c>
      <c r="H1918" s="61">
        <v>0.23</v>
      </c>
      <c r="I1918" s="61">
        <v>0.23</v>
      </c>
      <c r="J1918" s="47">
        <f t="shared" si="145"/>
        <v>-0.98083333333333333</v>
      </c>
      <c r="K1918" s="47">
        <f t="shared" si="146"/>
        <v>0</v>
      </c>
      <c r="L1918" s="8">
        <v>0.26</v>
      </c>
      <c r="M1918" s="8">
        <v>30.1</v>
      </c>
      <c r="N1918" s="8">
        <v>29.46</v>
      </c>
      <c r="O1918" s="17">
        <f t="shared" si="147"/>
        <v>-0.30688190314358543</v>
      </c>
      <c r="P1918" s="17" t="e">
        <f t="shared" si="148"/>
        <v>#DIV/0!</v>
      </c>
      <c r="Q1918" s="17">
        <v>26.63</v>
      </c>
      <c r="R1918" s="9">
        <v>20220527</v>
      </c>
      <c r="U1918" s="9">
        <v>7582.9047799999998</v>
      </c>
      <c r="V1918" s="45">
        <f t="shared" si="149"/>
        <v>-1</v>
      </c>
      <c r="W1918" s="12">
        <v>0</v>
      </c>
      <c r="X1918" s="12">
        <v>0.66</v>
      </c>
      <c r="Y1918" s="62"/>
    </row>
    <row r="1919" spans="1:25" x14ac:dyDescent="0.2">
      <c r="A1919" s="3" t="s">
        <v>1813</v>
      </c>
      <c r="B1919" s="3" t="s">
        <v>1814</v>
      </c>
      <c r="C1919" s="6" t="s">
        <v>354</v>
      </c>
      <c r="D1919" s="6" t="s">
        <v>167</v>
      </c>
      <c r="E1919" s="6" t="s">
        <v>163</v>
      </c>
      <c r="F1919" s="6">
        <v>7233.37</v>
      </c>
      <c r="G1919" s="2">
        <v>12</v>
      </c>
      <c r="H1919" s="61">
        <v>4.29</v>
      </c>
      <c r="I1919" s="61">
        <v>5.01</v>
      </c>
      <c r="J1919" s="47">
        <f t="shared" si="145"/>
        <v>-0.64249999999999996</v>
      </c>
      <c r="K1919" s="47">
        <f t="shared" si="146"/>
        <v>0.16783216783216778</v>
      </c>
      <c r="L1919" s="8">
        <v>5.79</v>
      </c>
      <c r="M1919" s="8">
        <v>7.7</v>
      </c>
      <c r="N1919" s="8">
        <v>7.18</v>
      </c>
      <c r="O1919" s="17">
        <f t="shared" si="147"/>
        <v>-0.1198443579766537</v>
      </c>
      <c r="P1919" s="17">
        <f t="shared" si="148"/>
        <v>0.4278083333333334</v>
      </c>
      <c r="Q1919" s="17">
        <v>6.21</v>
      </c>
      <c r="R1919" s="9">
        <v>20220802</v>
      </c>
      <c r="S1919" s="9">
        <v>8.67</v>
      </c>
      <c r="T1919" s="9">
        <v>3.07</v>
      </c>
      <c r="U1919" s="9">
        <v>12035.62304</v>
      </c>
      <c r="V1919" s="45">
        <f t="shared" si="149"/>
        <v>-0.99974492388222891</v>
      </c>
      <c r="W1919" s="12">
        <v>67.900000000000006</v>
      </c>
      <c r="X1919" s="12">
        <v>3.34</v>
      </c>
      <c r="Y1919" s="62">
        <v>0.6</v>
      </c>
    </row>
    <row r="1920" spans="1:25" x14ac:dyDescent="0.2">
      <c r="A1920" s="3" t="s">
        <v>4172</v>
      </c>
      <c r="B1920" s="3" t="s">
        <v>1815</v>
      </c>
      <c r="C1920" s="6" t="s">
        <v>354</v>
      </c>
      <c r="D1920" s="6" t="s">
        <v>239</v>
      </c>
      <c r="E1920" s="6" t="s">
        <v>237</v>
      </c>
      <c r="F1920" s="6">
        <v>138975.69</v>
      </c>
      <c r="G1920" s="2">
        <v>12</v>
      </c>
      <c r="H1920" s="61">
        <v>9.9</v>
      </c>
      <c r="I1920" s="61">
        <v>11.67</v>
      </c>
      <c r="J1920" s="47">
        <f t="shared" si="145"/>
        <v>-0.17499999999999996</v>
      </c>
      <c r="K1920" s="47">
        <f t="shared" si="146"/>
        <v>0.17878787878787875</v>
      </c>
      <c r="L1920" s="8">
        <v>12.79</v>
      </c>
      <c r="M1920" s="8">
        <v>21.03</v>
      </c>
      <c r="N1920" s="8">
        <v>18.97</v>
      </c>
      <c r="O1920" s="17">
        <f t="shared" si="147"/>
        <v>-1.201714285714286</v>
      </c>
      <c r="P1920" s="17">
        <f t="shared" si="148"/>
        <v>1.0610338983050849</v>
      </c>
      <c r="Q1920" s="17">
        <v>17.3</v>
      </c>
      <c r="R1920" s="9">
        <v>20220728</v>
      </c>
      <c r="S1920" s="9">
        <v>50.2</v>
      </c>
      <c r="T1920" s="9">
        <v>-0.85</v>
      </c>
      <c r="U1920" s="9">
        <v>24561.73632</v>
      </c>
      <c r="V1920" s="45">
        <f t="shared" si="149"/>
        <v>-1.0000346066739307</v>
      </c>
      <c r="W1920" s="12">
        <v>0.78</v>
      </c>
      <c r="X1920" s="12">
        <v>2.13</v>
      </c>
      <c r="Y1920" s="62">
        <v>1.9</v>
      </c>
    </row>
    <row r="1921" spans="1:25" x14ac:dyDescent="0.2">
      <c r="A1921" s="3" t="s">
        <v>4173</v>
      </c>
      <c r="B1921" s="3" t="s">
        <v>1816</v>
      </c>
      <c r="C1921" s="6" t="s">
        <v>354</v>
      </c>
      <c r="D1921" s="6" t="s">
        <v>126</v>
      </c>
      <c r="E1921" s="6" t="s">
        <v>60</v>
      </c>
      <c r="F1921" s="6">
        <v>5085.42</v>
      </c>
      <c r="G1921" s="2">
        <v>12</v>
      </c>
      <c r="H1921" s="61">
        <v>1.94</v>
      </c>
      <c r="I1921" s="61">
        <v>3.26</v>
      </c>
      <c r="J1921" s="47">
        <f t="shared" si="145"/>
        <v>-0.83833333333333337</v>
      </c>
      <c r="K1921" s="47">
        <f t="shared" si="146"/>
        <v>0.68041237113402053</v>
      </c>
      <c r="L1921" s="8">
        <v>3.05</v>
      </c>
      <c r="M1921" s="8">
        <v>10.51</v>
      </c>
      <c r="N1921" s="8">
        <v>9.2100000000000009</v>
      </c>
      <c r="O1921" s="17">
        <f t="shared" si="147"/>
        <v>-0.12536779324055664</v>
      </c>
      <c r="P1921" s="17">
        <f t="shared" si="148"/>
        <v>0.13535909090909096</v>
      </c>
      <c r="Q1921" s="17">
        <v>9.86</v>
      </c>
      <c r="R1921" s="9">
        <v>20220801</v>
      </c>
      <c r="S1921" s="9">
        <v>21.64</v>
      </c>
      <c r="T1921" s="9">
        <v>2.52</v>
      </c>
      <c r="U1921" s="9">
        <v>11129.25</v>
      </c>
      <c r="V1921" s="45">
        <f t="shared" si="149"/>
        <v>-0.99977356964755038</v>
      </c>
      <c r="W1921" s="12">
        <v>27.38</v>
      </c>
      <c r="X1921" s="12">
        <v>0</v>
      </c>
      <c r="Y1921" s="62">
        <v>0.57999999999999996</v>
      </c>
    </row>
    <row r="1922" spans="1:25" x14ac:dyDescent="0.2">
      <c r="A1922" s="3" t="s">
        <v>4174</v>
      </c>
      <c r="B1922" s="3" t="s">
        <v>4175</v>
      </c>
      <c r="C1922" s="6" t="s">
        <v>356</v>
      </c>
      <c r="D1922" s="6" t="s">
        <v>69</v>
      </c>
      <c r="E1922" s="6" t="s">
        <v>163</v>
      </c>
      <c r="F1922" s="6">
        <v>35788.949999999997</v>
      </c>
      <c r="G1922" s="2">
        <v>12</v>
      </c>
      <c r="H1922" s="61">
        <v>3.52</v>
      </c>
      <c r="I1922" s="61">
        <v>3.85</v>
      </c>
      <c r="J1922" s="47">
        <f t="shared" si="145"/>
        <v>-0.70666666666666667</v>
      </c>
      <c r="K1922" s="47">
        <f t="shared" si="146"/>
        <v>9.3750000000000014E-2</v>
      </c>
      <c r="L1922" s="8">
        <v>4.79</v>
      </c>
      <c r="N1922" s="8">
        <v>11.12</v>
      </c>
      <c r="O1922" s="17">
        <f t="shared" si="147"/>
        <v>0</v>
      </c>
      <c r="P1922" s="17">
        <f t="shared" si="148"/>
        <v>1.186133333333333</v>
      </c>
      <c r="Q1922" s="17">
        <v>8.94</v>
      </c>
      <c r="U1922" s="9">
        <v>8011.0200100000002</v>
      </c>
      <c r="V1922" s="45">
        <f t="shared" si="149"/>
        <v>-1</v>
      </c>
      <c r="X1922" s="12">
        <v>4.01</v>
      </c>
      <c r="Y1922" s="62">
        <v>0.71</v>
      </c>
    </row>
    <row r="1923" spans="1:25" x14ac:dyDescent="0.2">
      <c r="A1923" s="3" t="s">
        <v>4176</v>
      </c>
      <c r="B1923" s="3" t="s">
        <v>1817</v>
      </c>
      <c r="C1923" s="6" t="s">
        <v>354</v>
      </c>
      <c r="D1923" s="6" t="s">
        <v>910</v>
      </c>
      <c r="E1923" s="6" t="s">
        <v>237</v>
      </c>
      <c r="F1923" s="6">
        <v>155862.45000000001</v>
      </c>
      <c r="G1923" s="2">
        <v>12</v>
      </c>
      <c r="H1923" s="61">
        <v>11.63</v>
      </c>
      <c r="I1923" s="61">
        <v>12.82</v>
      </c>
      <c r="J1923" s="47">
        <f t="shared" ref="J1923:J1986" si="150">(H1923-G1923)/ABS(G1923)</f>
        <v>-3.0833333333333268E-2</v>
      </c>
      <c r="K1923" s="47">
        <f t="shared" ref="K1923:K1986" si="151">(I1923-H1923)/ABS(H1923)</f>
        <v>0.10232158211521922</v>
      </c>
      <c r="L1923" s="8">
        <v>13.22</v>
      </c>
      <c r="M1923" s="8">
        <v>14.37</v>
      </c>
      <c r="N1923" s="8">
        <v>13.91</v>
      </c>
      <c r="O1923" s="17">
        <f t="shared" ref="O1923:O1986" si="152">M1923/(J1923*100)</f>
        <v>-4.6605405405405502</v>
      </c>
      <c r="P1923" s="17">
        <f t="shared" ref="P1923:P1986" si="153">N1923/(K1923*100)</f>
        <v>1.3594394957983198</v>
      </c>
      <c r="Q1923" s="17">
        <v>13.49</v>
      </c>
      <c r="R1923" s="9">
        <v>20220726</v>
      </c>
      <c r="S1923" s="9">
        <v>82.94</v>
      </c>
      <c r="T1923" s="9">
        <v>9.7100000000000009</v>
      </c>
      <c r="U1923" s="9">
        <v>102293.125</v>
      </c>
      <c r="V1923" s="45">
        <f t="shared" ref="V1923:V1986" si="154">(T1923-U1923)/U1923</f>
        <v>-0.99990507670970064</v>
      </c>
      <c r="W1923" s="12">
        <v>6.27</v>
      </c>
      <c r="X1923" s="12">
        <v>3.41</v>
      </c>
      <c r="Y1923" s="62">
        <v>1.55</v>
      </c>
    </row>
    <row r="1924" spans="1:25" x14ac:dyDescent="0.2">
      <c r="A1924" s="3" t="s">
        <v>4177</v>
      </c>
      <c r="B1924" s="3" t="s">
        <v>1818</v>
      </c>
      <c r="C1924" s="6" t="s">
        <v>355</v>
      </c>
      <c r="D1924" s="6" t="s">
        <v>134</v>
      </c>
      <c r="E1924" s="6" t="s">
        <v>119</v>
      </c>
      <c r="F1924" s="6">
        <v>3653.75</v>
      </c>
      <c r="G1924" s="2">
        <v>12</v>
      </c>
      <c r="H1924" s="61">
        <v>1.93</v>
      </c>
      <c r="I1924" s="61">
        <v>1.95</v>
      </c>
      <c r="J1924" s="47">
        <f t="shared" si="150"/>
        <v>-0.83916666666666673</v>
      </c>
      <c r="K1924" s="47">
        <f t="shared" si="151"/>
        <v>1.0362694300518144E-2</v>
      </c>
      <c r="L1924" s="8">
        <v>2.42</v>
      </c>
      <c r="M1924" s="8">
        <v>15.85</v>
      </c>
      <c r="N1924" s="8">
        <v>22.08</v>
      </c>
      <c r="O1924" s="17">
        <f t="shared" si="152"/>
        <v>-0.18887785501489571</v>
      </c>
      <c r="P1924" s="17">
        <f t="shared" si="153"/>
        <v>21.307199999999977</v>
      </c>
      <c r="Q1924" s="17">
        <v>17.829999999999998</v>
      </c>
      <c r="R1924" s="9">
        <v>20220809</v>
      </c>
      <c r="S1924" s="9">
        <v>20.27</v>
      </c>
      <c r="U1924" s="9">
        <v>1271.5400299999999</v>
      </c>
      <c r="V1924" s="45">
        <f t="shared" si="154"/>
        <v>-1</v>
      </c>
      <c r="W1924" s="12">
        <v>17.309999999999999</v>
      </c>
      <c r="X1924" s="12">
        <v>0</v>
      </c>
      <c r="Y1924" s="62"/>
    </row>
    <row r="1925" spans="1:25" x14ac:dyDescent="0.2">
      <c r="A1925" s="3" t="s">
        <v>4178</v>
      </c>
      <c r="B1925" s="3" t="s">
        <v>1819</v>
      </c>
      <c r="C1925" s="6" t="s">
        <v>354</v>
      </c>
      <c r="D1925" s="6" t="s">
        <v>121</v>
      </c>
      <c r="E1925" s="6" t="s">
        <v>140</v>
      </c>
      <c r="F1925" s="6">
        <v>20397.82</v>
      </c>
      <c r="G1925" s="2">
        <v>12</v>
      </c>
      <c r="H1925" s="61">
        <v>21.68</v>
      </c>
      <c r="I1925" s="61">
        <v>29.64</v>
      </c>
      <c r="J1925" s="47">
        <f t="shared" si="150"/>
        <v>0.80666666666666664</v>
      </c>
      <c r="K1925" s="47">
        <f t="shared" si="151"/>
        <v>0.36715867158671589</v>
      </c>
      <c r="L1925" s="8">
        <v>33.31</v>
      </c>
      <c r="M1925" s="8">
        <v>11.69</v>
      </c>
      <c r="N1925" s="8">
        <v>9.61</v>
      </c>
      <c r="O1925" s="17">
        <f t="shared" si="152"/>
        <v>0.14491735537190084</v>
      </c>
      <c r="P1925" s="17">
        <f t="shared" si="153"/>
        <v>0.26173969849246231</v>
      </c>
      <c r="Q1925" s="17">
        <v>8.5500000000000007</v>
      </c>
      <c r="R1925" s="9">
        <v>20220727</v>
      </c>
      <c r="S1925" s="9">
        <v>31.29</v>
      </c>
      <c r="T1925" s="9">
        <v>9.16</v>
      </c>
      <c r="U1925" s="9">
        <v>11281.422850000001</v>
      </c>
      <c r="V1925" s="45">
        <f t="shared" si="154"/>
        <v>-0.99918804568166686</v>
      </c>
      <c r="W1925" s="12">
        <v>8.52</v>
      </c>
      <c r="X1925" s="12">
        <v>0</v>
      </c>
      <c r="Y1925" s="62">
        <v>0.55000000000000004</v>
      </c>
    </row>
    <row r="1926" spans="1:25" x14ac:dyDescent="0.2">
      <c r="A1926" s="3" t="s">
        <v>1820</v>
      </c>
      <c r="B1926" s="3" t="s">
        <v>1821</v>
      </c>
      <c r="C1926" s="6" t="s">
        <v>354</v>
      </c>
      <c r="D1926" s="6" t="s">
        <v>97</v>
      </c>
      <c r="E1926" s="6" t="s">
        <v>163</v>
      </c>
      <c r="F1926" s="6">
        <v>77466.490000000005</v>
      </c>
      <c r="G1926" s="2">
        <v>12</v>
      </c>
      <c r="H1926" s="61">
        <v>5.13</v>
      </c>
      <c r="I1926" s="61">
        <v>4.4400000000000004</v>
      </c>
      <c r="J1926" s="47">
        <f t="shared" si="150"/>
        <v>-0.57250000000000001</v>
      </c>
      <c r="K1926" s="47">
        <f t="shared" si="151"/>
        <v>-0.1345029239766081</v>
      </c>
      <c r="L1926" s="8">
        <v>5.28</v>
      </c>
      <c r="M1926" s="8">
        <v>11.24</v>
      </c>
      <c r="N1926" s="8">
        <v>11.75</v>
      </c>
      <c r="O1926" s="17">
        <f t="shared" si="152"/>
        <v>-0.19633187772925764</v>
      </c>
      <c r="P1926" s="17">
        <f t="shared" si="153"/>
        <v>-0.87358695652173968</v>
      </c>
      <c r="Q1926" s="17">
        <v>9.8699999999999992</v>
      </c>
      <c r="R1926" s="9">
        <v>20220721</v>
      </c>
      <c r="S1926" s="9">
        <v>15.24</v>
      </c>
      <c r="T1926" s="9">
        <v>7.0000000000000007E-2</v>
      </c>
      <c r="U1926" s="9">
        <v>24634.5664</v>
      </c>
      <c r="V1926" s="45">
        <f t="shared" si="154"/>
        <v>-0.99999715846429515</v>
      </c>
      <c r="W1926" s="12">
        <v>6.45</v>
      </c>
      <c r="X1926" s="12">
        <v>3.53</v>
      </c>
      <c r="Y1926" s="62">
        <v>1.81</v>
      </c>
    </row>
    <row r="1927" spans="1:25" x14ac:dyDescent="0.2">
      <c r="A1927" s="3" t="s">
        <v>4179</v>
      </c>
      <c r="B1927" s="3" t="s">
        <v>1822</v>
      </c>
      <c r="C1927" s="6" t="s">
        <v>354</v>
      </c>
      <c r="D1927" s="6" t="s">
        <v>155</v>
      </c>
      <c r="E1927" s="6" t="s">
        <v>154</v>
      </c>
      <c r="F1927" s="6">
        <v>7379.47</v>
      </c>
      <c r="G1927" s="2">
        <v>12</v>
      </c>
      <c r="H1927" s="61">
        <v>1.59</v>
      </c>
      <c r="I1927" s="61">
        <v>2.27</v>
      </c>
      <c r="J1927" s="47">
        <f t="shared" si="150"/>
        <v>-0.86750000000000005</v>
      </c>
      <c r="K1927" s="47">
        <f t="shared" si="151"/>
        <v>0.42767295597484273</v>
      </c>
      <c r="L1927" s="8">
        <v>2.66</v>
      </c>
      <c r="M1927" s="8">
        <v>18.309999999999999</v>
      </c>
      <c r="N1927" s="8">
        <v>14.54</v>
      </c>
      <c r="O1927" s="17">
        <f t="shared" si="152"/>
        <v>-0.21106628242074926</v>
      </c>
      <c r="P1927" s="17">
        <f t="shared" si="153"/>
        <v>0.33997941176470592</v>
      </c>
      <c r="Q1927" s="17">
        <v>12.38</v>
      </c>
      <c r="R1927" s="9">
        <v>20220808</v>
      </c>
      <c r="S1927" s="9">
        <v>12.01</v>
      </c>
      <c r="T1927" s="9">
        <v>3.36</v>
      </c>
      <c r="U1927" s="9">
        <v>33632.621090000001</v>
      </c>
      <c r="V1927" s="45">
        <f t="shared" si="154"/>
        <v>-0.99990009699241078</v>
      </c>
      <c r="W1927" s="12">
        <v>2.86</v>
      </c>
      <c r="X1927" s="12">
        <v>0</v>
      </c>
      <c r="Y1927" s="62">
        <v>0.73</v>
      </c>
    </row>
    <row r="1928" spans="1:25" x14ac:dyDescent="0.2">
      <c r="A1928" s="3" t="s">
        <v>4180</v>
      </c>
      <c r="B1928" s="3" t="s">
        <v>1823</v>
      </c>
      <c r="C1928" s="6" t="s">
        <v>355</v>
      </c>
      <c r="D1928" s="6" t="s">
        <v>187</v>
      </c>
      <c r="E1928" s="6" t="s">
        <v>208</v>
      </c>
      <c r="F1928" s="6">
        <v>10182.42</v>
      </c>
      <c r="G1928" s="2">
        <v>12</v>
      </c>
      <c r="H1928" s="61">
        <v>11.36</v>
      </c>
      <c r="I1928" s="61">
        <v>17.23</v>
      </c>
      <c r="J1928" s="47">
        <f t="shared" si="150"/>
        <v>-5.3333333333333378E-2</v>
      </c>
      <c r="K1928" s="47">
        <f t="shared" si="151"/>
        <v>0.51672535211267612</v>
      </c>
      <c r="L1928" s="8">
        <v>18.96</v>
      </c>
      <c r="M1928" s="8">
        <v>15.56</v>
      </c>
      <c r="N1928" s="8">
        <v>13.04</v>
      </c>
      <c r="O1928" s="17">
        <f t="shared" si="152"/>
        <v>-2.9174999999999978</v>
      </c>
      <c r="P1928" s="17">
        <f t="shared" si="153"/>
        <v>0.25235843270868819</v>
      </c>
      <c r="Q1928" s="17">
        <v>11.86</v>
      </c>
      <c r="R1928" s="9">
        <v>20220803</v>
      </c>
      <c r="S1928" s="9">
        <v>17.62</v>
      </c>
      <c r="T1928" s="9">
        <v>-1.44</v>
      </c>
      <c r="U1928" s="9">
        <v>1901.8160399999999</v>
      </c>
      <c r="V1928" s="45">
        <f t="shared" si="154"/>
        <v>-1.0007571710248064</v>
      </c>
      <c r="W1928" s="12">
        <v>69.930000000000007</v>
      </c>
      <c r="X1928" s="12">
        <v>0</v>
      </c>
      <c r="Y1928" s="62">
        <v>4.9800000000000004</v>
      </c>
    </row>
    <row r="1929" spans="1:25" x14ac:dyDescent="0.2">
      <c r="A1929" s="3" t="s">
        <v>4181</v>
      </c>
      <c r="B1929" s="3" t="s">
        <v>1824</v>
      </c>
      <c r="C1929" s="6" t="s">
        <v>354</v>
      </c>
      <c r="D1929" s="6" t="s">
        <v>153</v>
      </c>
      <c r="E1929" s="6" t="s">
        <v>108</v>
      </c>
      <c r="F1929" s="6">
        <v>396511.56</v>
      </c>
      <c r="G1929" s="2">
        <v>9</v>
      </c>
      <c r="H1929" s="61">
        <v>5.82</v>
      </c>
      <c r="I1929" s="61">
        <v>7.15</v>
      </c>
      <c r="J1929" s="47">
        <f t="shared" si="150"/>
        <v>-0.35333333333333328</v>
      </c>
      <c r="K1929" s="47">
        <f t="shared" si="151"/>
        <v>0.22852233676975944</v>
      </c>
      <c r="L1929" s="8">
        <v>8.31</v>
      </c>
      <c r="M1929" s="8">
        <v>31.08</v>
      </c>
      <c r="N1929" s="8">
        <v>29.18</v>
      </c>
      <c r="O1929" s="17">
        <f t="shared" si="152"/>
        <v>-0.87962264150943403</v>
      </c>
      <c r="P1929" s="17">
        <f t="shared" si="153"/>
        <v>1.2768992481203008</v>
      </c>
      <c r="Q1929" s="17">
        <v>25.1</v>
      </c>
      <c r="R1929" s="9">
        <v>20220726</v>
      </c>
      <c r="S1929" s="9">
        <v>42.89</v>
      </c>
      <c r="T1929" s="9">
        <v>6.54</v>
      </c>
      <c r="U1929" s="9">
        <v>28594.617180000001</v>
      </c>
      <c r="V1929" s="45">
        <f t="shared" si="154"/>
        <v>-0.99977128562488415</v>
      </c>
      <c r="W1929" s="12">
        <v>8.48</v>
      </c>
      <c r="X1929" s="12">
        <v>0.72</v>
      </c>
      <c r="Y1929" s="62">
        <v>1.78</v>
      </c>
    </row>
    <row r="1930" spans="1:25" x14ac:dyDescent="0.2">
      <c r="A1930" s="3" t="s">
        <v>4182</v>
      </c>
      <c r="B1930" s="3" t="s">
        <v>1825</v>
      </c>
      <c r="C1930" s="6" t="s">
        <v>354</v>
      </c>
      <c r="D1930" s="6" t="s">
        <v>160</v>
      </c>
      <c r="E1930" s="6" t="s">
        <v>146</v>
      </c>
      <c r="F1930" s="6">
        <v>6044.94</v>
      </c>
      <c r="G1930" s="2">
        <v>12</v>
      </c>
      <c r="H1930" s="61">
        <v>4.17</v>
      </c>
      <c r="I1930" s="61">
        <v>9.93</v>
      </c>
      <c r="J1930" s="47">
        <f t="shared" si="150"/>
        <v>-0.65249999999999997</v>
      </c>
      <c r="K1930" s="47">
        <f t="shared" si="151"/>
        <v>1.3812949640287771</v>
      </c>
      <c r="L1930" s="8">
        <v>11.67</v>
      </c>
      <c r="M1930" s="8">
        <v>22.34</v>
      </c>
      <c r="N1930" s="8">
        <v>14.69</v>
      </c>
      <c r="O1930" s="17">
        <f t="shared" si="152"/>
        <v>-0.34237547892720305</v>
      </c>
      <c r="P1930" s="17">
        <f t="shared" si="153"/>
        <v>0.10634947916666666</v>
      </c>
      <c r="Q1930" s="17">
        <v>12.5</v>
      </c>
      <c r="R1930" s="9">
        <v>20220727</v>
      </c>
      <c r="S1930" s="9">
        <v>9.84</v>
      </c>
      <c r="T1930" s="9">
        <v>14.64</v>
      </c>
      <c r="U1930" s="9">
        <v>4633.3730400000004</v>
      </c>
      <c r="V1930" s="45">
        <f t="shared" si="154"/>
        <v>-0.99684031484760394</v>
      </c>
      <c r="W1930" s="12">
        <v>15.65</v>
      </c>
      <c r="X1930" s="12">
        <v>1.7</v>
      </c>
      <c r="Y1930" s="62"/>
    </row>
    <row r="1931" spans="1:25" x14ac:dyDescent="0.2">
      <c r="A1931" s="3" t="s">
        <v>4183</v>
      </c>
      <c r="B1931" s="3" t="s">
        <v>2297</v>
      </c>
      <c r="C1931" s="6" t="s">
        <v>354</v>
      </c>
      <c r="D1931" s="6" t="s">
        <v>199</v>
      </c>
      <c r="E1931" s="6" t="s">
        <v>218</v>
      </c>
      <c r="F1931" s="6">
        <v>4494.82</v>
      </c>
      <c r="G1931" s="2">
        <v>12</v>
      </c>
      <c r="H1931" s="61"/>
      <c r="I1931" s="61"/>
      <c r="J1931" s="47">
        <f t="shared" si="150"/>
        <v>-1</v>
      </c>
      <c r="K1931" s="47" t="e">
        <f t="shared" si="151"/>
        <v>#DIV/0!</v>
      </c>
      <c r="O1931" s="17">
        <f t="shared" si="152"/>
        <v>0</v>
      </c>
      <c r="P1931" s="17" t="e">
        <f t="shared" si="153"/>
        <v>#DIV/0!</v>
      </c>
      <c r="Q1931" s="17"/>
      <c r="R1931" s="9">
        <v>20220801</v>
      </c>
      <c r="S1931" s="9">
        <v>-344.1</v>
      </c>
      <c r="V1931" s="45" t="e">
        <f t="shared" si="154"/>
        <v>#DIV/0!</v>
      </c>
      <c r="X1931" s="12">
        <v>0</v>
      </c>
      <c r="Y1931" s="62"/>
    </row>
    <row r="1932" spans="1:25" x14ac:dyDescent="0.2">
      <c r="A1932" s="3" t="s">
        <v>1826</v>
      </c>
      <c r="B1932" s="3" t="s">
        <v>1826</v>
      </c>
      <c r="C1932" s="6" t="s">
        <v>354</v>
      </c>
      <c r="D1932" s="6" t="s">
        <v>946</v>
      </c>
      <c r="E1932" s="6" t="s">
        <v>60</v>
      </c>
      <c r="F1932" s="6">
        <v>88083.09</v>
      </c>
      <c r="G1932" s="2">
        <v>12</v>
      </c>
      <c r="H1932" s="61">
        <v>4.16</v>
      </c>
      <c r="I1932" s="61">
        <v>4.3899999999999997</v>
      </c>
      <c r="J1932" s="47">
        <f t="shared" si="150"/>
        <v>-0.65333333333333332</v>
      </c>
      <c r="K1932" s="47">
        <f t="shared" si="151"/>
        <v>5.5288461538461425E-2</v>
      </c>
      <c r="L1932" s="8">
        <v>3.49</v>
      </c>
      <c r="M1932" s="8">
        <v>3.56</v>
      </c>
      <c r="N1932" s="8">
        <v>4.01</v>
      </c>
      <c r="O1932" s="17">
        <f t="shared" si="152"/>
        <v>-5.4489795918367355E-2</v>
      </c>
      <c r="P1932" s="17">
        <f t="shared" si="153"/>
        <v>0.72528695652174058</v>
      </c>
      <c r="Q1932" s="17">
        <v>5.05</v>
      </c>
      <c r="R1932" s="9">
        <v>20220728</v>
      </c>
      <c r="S1932" s="9">
        <v>66.28</v>
      </c>
      <c r="T1932" s="9">
        <v>10.89</v>
      </c>
      <c r="U1932" s="9">
        <v>53958.648430000001</v>
      </c>
      <c r="V1932" s="45">
        <f t="shared" si="154"/>
        <v>-0.99979817878473876</v>
      </c>
      <c r="W1932" s="12">
        <v>-13.33</v>
      </c>
      <c r="X1932" s="12">
        <v>8.23</v>
      </c>
      <c r="Y1932" s="62">
        <v>1.08</v>
      </c>
    </row>
    <row r="1933" spans="1:25" x14ac:dyDescent="0.2">
      <c r="A1933" s="3" t="s">
        <v>4184</v>
      </c>
      <c r="B1933" s="3" t="s">
        <v>2298</v>
      </c>
      <c r="C1933" s="6" t="s">
        <v>356</v>
      </c>
      <c r="D1933" s="6" t="s">
        <v>525</v>
      </c>
      <c r="E1933" s="6" t="s">
        <v>140</v>
      </c>
      <c r="F1933" s="6">
        <v>58552.93</v>
      </c>
      <c r="G1933" s="2">
        <v>12</v>
      </c>
      <c r="H1933" s="61"/>
      <c r="I1933" s="61"/>
      <c r="J1933" s="47">
        <f t="shared" si="150"/>
        <v>-1</v>
      </c>
      <c r="K1933" s="47" t="e">
        <f t="shared" si="151"/>
        <v>#DIV/0!</v>
      </c>
      <c r="O1933" s="17">
        <f t="shared" si="152"/>
        <v>0</v>
      </c>
      <c r="P1933" s="17" t="e">
        <f t="shared" si="153"/>
        <v>#DIV/0!</v>
      </c>
      <c r="Q1933" s="17"/>
      <c r="V1933" s="45" t="e">
        <f t="shared" si="154"/>
        <v>#DIV/0!</v>
      </c>
      <c r="X1933" s="12">
        <v>3.6</v>
      </c>
      <c r="Y1933" s="62"/>
    </row>
    <row r="1934" spans="1:25" x14ac:dyDescent="0.2">
      <c r="A1934" s="3" t="s">
        <v>4185</v>
      </c>
      <c r="B1934" s="3" t="s">
        <v>1827</v>
      </c>
      <c r="C1934" s="6" t="s">
        <v>354</v>
      </c>
      <c r="D1934" s="6" t="s">
        <v>177</v>
      </c>
      <c r="E1934" s="6" t="s">
        <v>119</v>
      </c>
      <c r="F1934" s="6">
        <v>25547.96</v>
      </c>
      <c r="G1934" s="2">
        <v>1</v>
      </c>
      <c r="H1934" s="61">
        <v>3.69</v>
      </c>
      <c r="I1934" s="61">
        <v>4.0199999999999996</v>
      </c>
      <c r="J1934" s="47">
        <f t="shared" si="150"/>
        <v>2.69</v>
      </c>
      <c r="K1934" s="47">
        <f t="shared" si="151"/>
        <v>8.9430894308942993E-2</v>
      </c>
      <c r="L1934" s="8">
        <v>4.7</v>
      </c>
      <c r="M1934" s="8">
        <v>44.49</v>
      </c>
      <c r="N1934" s="8">
        <v>41.18</v>
      </c>
      <c r="O1934" s="17">
        <f t="shared" si="152"/>
        <v>0.16539033457249072</v>
      </c>
      <c r="P1934" s="17">
        <f t="shared" si="153"/>
        <v>4.6046727272727326</v>
      </c>
      <c r="Q1934" s="17">
        <v>35.21</v>
      </c>
      <c r="R1934" s="9">
        <v>20220601</v>
      </c>
      <c r="S1934" s="9">
        <v>15.61</v>
      </c>
      <c r="T1934" s="9">
        <v>28.39</v>
      </c>
      <c r="U1934" s="9">
        <v>2166.8269</v>
      </c>
      <c r="V1934" s="45">
        <f t="shared" si="154"/>
        <v>-0.98689789202820033</v>
      </c>
      <c r="W1934" s="12">
        <v>2.27</v>
      </c>
      <c r="X1934" s="12">
        <v>0</v>
      </c>
      <c r="Y1934" s="62">
        <v>2.2799999999999998</v>
      </c>
    </row>
    <row r="1935" spans="1:25" x14ac:dyDescent="0.2">
      <c r="A1935" s="3" t="s">
        <v>4186</v>
      </c>
      <c r="B1935" s="3" t="s">
        <v>2053</v>
      </c>
      <c r="C1935" s="6" t="s">
        <v>356</v>
      </c>
      <c r="D1935" s="6" t="s">
        <v>270</v>
      </c>
      <c r="E1935" s="6" t="s">
        <v>250</v>
      </c>
      <c r="F1935" s="6">
        <v>19851.21</v>
      </c>
      <c r="G1935" s="2">
        <v>12</v>
      </c>
      <c r="H1935" s="61">
        <v>1.5</v>
      </c>
      <c r="I1935" s="61">
        <v>1.81</v>
      </c>
      <c r="J1935" s="47">
        <f t="shared" si="150"/>
        <v>-0.875</v>
      </c>
      <c r="K1935" s="47">
        <f t="shared" si="151"/>
        <v>0.20666666666666669</v>
      </c>
      <c r="N1935" s="8">
        <v>15.67</v>
      </c>
      <c r="O1935" s="17">
        <f t="shared" si="152"/>
        <v>0</v>
      </c>
      <c r="P1935" s="17">
        <f t="shared" si="153"/>
        <v>0.75822580645161286</v>
      </c>
      <c r="Q1935" s="17"/>
      <c r="V1935" s="45" t="e">
        <f t="shared" si="154"/>
        <v>#DIV/0!</v>
      </c>
      <c r="X1935" s="12">
        <v>2.2599999999999998</v>
      </c>
      <c r="Y1935" s="62">
        <v>0.5</v>
      </c>
    </row>
    <row r="1936" spans="1:25" x14ac:dyDescent="0.2">
      <c r="A1936" s="3" t="s">
        <v>4187</v>
      </c>
      <c r="B1936" s="3" t="s">
        <v>4188</v>
      </c>
      <c r="C1936" s="6" t="s">
        <v>354</v>
      </c>
      <c r="D1936" s="6" t="s">
        <v>1977</v>
      </c>
      <c r="E1936" s="6" t="s">
        <v>218</v>
      </c>
      <c r="F1936" s="6">
        <v>3593.05</v>
      </c>
      <c r="G1936" s="2">
        <v>12</v>
      </c>
      <c r="H1936" s="61"/>
      <c r="I1936" s="61">
        <v>5.34</v>
      </c>
      <c r="J1936" s="47">
        <f t="shared" si="150"/>
        <v>-1</v>
      </c>
      <c r="K1936" s="47" t="e">
        <f t="shared" si="151"/>
        <v>#DIV/0!</v>
      </c>
      <c r="L1936" s="8">
        <v>4.8899999999999997</v>
      </c>
      <c r="M1936" s="8">
        <v>8.1199999999999992</v>
      </c>
      <c r="N1936" s="8">
        <v>4.08</v>
      </c>
      <c r="O1936" s="17">
        <f t="shared" si="152"/>
        <v>-8.1199999999999994E-2</v>
      </c>
      <c r="P1936" s="17" t="e">
        <f t="shared" si="153"/>
        <v>#DIV/0!</v>
      </c>
      <c r="Q1936" s="17">
        <v>4.4400000000000004</v>
      </c>
      <c r="R1936" s="9">
        <v>20220815</v>
      </c>
      <c r="S1936" s="9">
        <v>27.58</v>
      </c>
      <c r="T1936" s="9">
        <v>9.34</v>
      </c>
      <c r="U1936" s="9">
        <v>2870.3998999999999</v>
      </c>
      <c r="V1936" s="45">
        <f t="shared" si="154"/>
        <v>-0.9967460979914331</v>
      </c>
      <c r="W1936" s="12">
        <v>58.33</v>
      </c>
      <c r="X1936" s="12">
        <v>0.87</v>
      </c>
      <c r="Y1936" s="62"/>
    </row>
    <row r="1937" spans="1:25" x14ac:dyDescent="0.2">
      <c r="A1937" s="3" t="s">
        <v>1828</v>
      </c>
      <c r="B1937" s="3" t="s">
        <v>1829</v>
      </c>
      <c r="C1937" s="6" t="s">
        <v>354</v>
      </c>
      <c r="D1937" s="6" t="s">
        <v>694</v>
      </c>
      <c r="E1937" s="6" t="s">
        <v>146</v>
      </c>
      <c r="F1937" s="6">
        <v>19005.63</v>
      </c>
      <c r="G1937" s="2">
        <v>3</v>
      </c>
      <c r="H1937" s="61">
        <v>3.19</v>
      </c>
      <c r="I1937" s="61">
        <v>3.33</v>
      </c>
      <c r="J1937" s="47">
        <f t="shared" si="150"/>
        <v>6.3333333333333311E-2</v>
      </c>
      <c r="K1937" s="47">
        <f t="shared" si="151"/>
        <v>4.3887147335423239E-2</v>
      </c>
      <c r="L1937" s="8">
        <v>3.73</v>
      </c>
      <c r="M1937" s="8">
        <v>15.37</v>
      </c>
      <c r="N1937" s="8">
        <v>14.66</v>
      </c>
      <c r="O1937" s="17">
        <f t="shared" si="152"/>
        <v>2.4268421052631584</v>
      </c>
      <c r="P1937" s="17">
        <f t="shared" si="153"/>
        <v>3.340385714285711</v>
      </c>
      <c r="Q1937" s="17">
        <v>13.11</v>
      </c>
      <c r="R1937" s="9">
        <v>20220729</v>
      </c>
      <c r="S1937" s="9">
        <v>35.47</v>
      </c>
      <c r="T1937" s="9">
        <v>-4.8899999999999997</v>
      </c>
      <c r="U1937" s="9">
        <v>12421.17187</v>
      </c>
      <c r="V1937" s="45">
        <f t="shared" si="154"/>
        <v>-1.0003936826614412</v>
      </c>
      <c r="W1937" s="12">
        <v>0</v>
      </c>
      <c r="X1937" s="12">
        <v>4.09</v>
      </c>
      <c r="Y1937" s="62">
        <v>1.51</v>
      </c>
    </row>
    <row r="1938" spans="1:25" x14ac:dyDescent="0.2">
      <c r="B1938" s="3" t="s">
        <v>2299</v>
      </c>
      <c r="C1938" s="6" t="s">
        <v>354</v>
      </c>
      <c r="D1938" s="6" t="s">
        <v>519</v>
      </c>
      <c r="E1938" s="6" t="s">
        <v>163</v>
      </c>
      <c r="F1938" s="6">
        <v>9980.0400000000009</v>
      </c>
      <c r="G1938" s="2">
        <v>12</v>
      </c>
      <c r="H1938" s="61"/>
      <c r="I1938" s="61"/>
      <c r="J1938" s="47">
        <f t="shared" si="150"/>
        <v>-1</v>
      </c>
      <c r="K1938" s="47" t="e">
        <f t="shared" si="151"/>
        <v>#DIV/0!</v>
      </c>
      <c r="O1938" s="17">
        <f t="shared" si="152"/>
        <v>0</v>
      </c>
      <c r="P1938" s="17" t="e">
        <f t="shared" si="153"/>
        <v>#DIV/0!</v>
      </c>
      <c r="Q1938" s="17"/>
      <c r="V1938" s="45" t="e">
        <f t="shared" si="154"/>
        <v>#DIV/0!</v>
      </c>
      <c r="X1938" s="12">
        <v>2.14</v>
      </c>
      <c r="Y1938" s="62"/>
    </row>
    <row r="1939" spans="1:25" x14ac:dyDescent="0.2">
      <c r="A1939" s="3" t="s">
        <v>4189</v>
      </c>
      <c r="B1939" s="3" t="s">
        <v>1830</v>
      </c>
      <c r="C1939" s="6" t="s">
        <v>355</v>
      </c>
      <c r="D1939" s="6" t="s">
        <v>178</v>
      </c>
      <c r="E1939" s="6" t="s">
        <v>119</v>
      </c>
      <c r="F1939" s="6">
        <v>5067.5</v>
      </c>
      <c r="G1939" s="2">
        <v>12</v>
      </c>
      <c r="H1939" s="61">
        <v>0.17</v>
      </c>
      <c r="I1939" s="61">
        <v>0.14000000000000001</v>
      </c>
      <c r="J1939" s="47">
        <f t="shared" si="150"/>
        <v>-0.98583333333333334</v>
      </c>
      <c r="K1939" s="47">
        <f t="shared" si="151"/>
        <v>-0.1764705882352941</v>
      </c>
      <c r="L1939" s="8">
        <v>0.11</v>
      </c>
      <c r="M1939" s="8">
        <v>329.17</v>
      </c>
      <c r="N1939" s="8">
        <v>144.51</v>
      </c>
      <c r="O1939" s="17">
        <f t="shared" si="152"/>
        <v>-3.339002535925613</v>
      </c>
      <c r="P1939" s="17">
        <f t="shared" si="153"/>
        <v>-8.1889000000000003</v>
      </c>
      <c r="Q1939" s="17">
        <v>179.54</v>
      </c>
      <c r="R1939" s="9">
        <v>20220804</v>
      </c>
      <c r="S1939" s="9">
        <v>2.5299999999999998</v>
      </c>
      <c r="T1939" s="9">
        <v>8.59</v>
      </c>
      <c r="U1939" s="9">
        <v>1586.90002</v>
      </c>
      <c r="V1939" s="45">
        <f t="shared" si="154"/>
        <v>-0.99458693056163683</v>
      </c>
      <c r="W1939" s="12">
        <v>-150</v>
      </c>
      <c r="X1939" s="12">
        <v>0</v>
      </c>
      <c r="Y1939" s="62"/>
    </row>
    <row r="1940" spans="1:25" x14ac:dyDescent="0.2">
      <c r="A1940" s="3" t="s">
        <v>4190</v>
      </c>
      <c r="B1940" s="3" t="s">
        <v>1831</v>
      </c>
      <c r="C1940" s="6" t="s">
        <v>355</v>
      </c>
      <c r="D1940" s="6" t="s">
        <v>129</v>
      </c>
      <c r="E1940" s="6" t="s">
        <v>119</v>
      </c>
      <c r="F1940" s="6">
        <v>3287.6</v>
      </c>
      <c r="G1940" s="2">
        <v>6</v>
      </c>
      <c r="H1940" s="61">
        <v>0.8</v>
      </c>
      <c r="I1940" s="61">
        <v>0.94</v>
      </c>
      <c r="J1940" s="47">
        <f t="shared" si="150"/>
        <v>-0.8666666666666667</v>
      </c>
      <c r="K1940" s="47">
        <f t="shared" si="151"/>
        <v>0.17499999999999988</v>
      </c>
      <c r="L1940" s="8">
        <v>0.95</v>
      </c>
      <c r="M1940" s="8">
        <v>15.69</v>
      </c>
      <c r="N1940" s="8">
        <v>15.43</v>
      </c>
      <c r="O1940" s="17">
        <f t="shared" si="152"/>
        <v>-0.18103846153846151</v>
      </c>
      <c r="P1940" s="17">
        <f t="shared" si="153"/>
        <v>0.88171428571428623</v>
      </c>
      <c r="Q1940" s="17">
        <v>15.19</v>
      </c>
      <c r="R1940" s="9">
        <v>20220811</v>
      </c>
      <c r="S1940" s="9">
        <v>22.22</v>
      </c>
      <c r="T1940" s="9">
        <v>10.42</v>
      </c>
      <c r="U1940" s="9">
        <v>1279.06799</v>
      </c>
      <c r="V1940" s="45">
        <f t="shared" si="154"/>
        <v>-0.99185344322470292</v>
      </c>
      <c r="W1940" s="12">
        <v>4.76</v>
      </c>
      <c r="X1940" s="12">
        <v>0</v>
      </c>
      <c r="Y1940" s="62"/>
    </row>
    <row r="1941" spans="1:25" x14ac:dyDescent="0.2">
      <c r="A1941" s="3" t="s">
        <v>4191</v>
      </c>
      <c r="B1941" s="3" t="s">
        <v>1832</v>
      </c>
      <c r="C1941" s="6" t="s">
        <v>354</v>
      </c>
      <c r="D1941" s="6" t="s">
        <v>215</v>
      </c>
      <c r="E1941" s="6" t="s">
        <v>163</v>
      </c>
      <c r="F1941" s="6">
        <v>28947.84</v>
      </c>
      <c r="G1941" s="2">
        <v>12</v>
      </c>
      <c r="H1941" s="61">
        <v>1.8</v>
      </c>
      <c r="I1941" s="61">
        <v>1.95</v>
      </c>
      <c r="J1941" s="47">
        <f t="shared" si="150"/>
        <v>-0.85</v>
      </c>
      <c r="K1941" s="47">
        <f t="shared" si="151"/>
        <v>8.3333333333333287E-2</v>
      </c>
      <c r="L1941" s="8">
        <v>2.1</v>
      </c>
      <c r="M1941" s="8">
        <v>16.61</v>
      </c>
      <c r="N1941" s="8">
        <v>15.43</v>
      </c>
      <c r="O1941" s="17">
        <f t="shared" si="152"/>
        <v>-0.19541176470588234</v>
      </c>
      <c r="P1941" s="17">
        <f t="shared" si="153"/>
        <v>1.851600000000001</v>
      </c>
      <c r="Q1941" s="17">
        <v>14.31</v>
      </c>
      <c r="R1941" s="9">
        <v>20220727</v>
      </c>
      <c r="S1941" s="9">
        <v>10.42</v>
      </c>
      <c r="T1941" s="9">
        <v>23.52</v>
      </c>
      <c r="U1941" s="9">
        <v>2437.1608799999999</v>
      </c>
      <c r="V1941" s="45">
        <f t="shared" si="154"/>
        <v>-0.99034942658360736</v>
      </c>
      <c r="W1941" s="12">
        <v>0</v>
      </c>
      <c r="X1941" s="12">
        <v>4.79</v>
      </c>
      <c r="Y1941" s="62">
        <v>2.19</v>
      </c>
    </row>
    <row r="1942" spans="1:25" x14ac:dyDescent="0.2">
      <c r="A1942" s="3" t="s">
        <v>4192</v>
      </c>
      <c r="B1942" s="3" t="s">
        <v>1833</v>
      </c>
      <c r="C1942" s="6" t="s">
        <v>354</v>
      </c>
      <c r="D1942" s="6" t="s">
        <v>961</v>
      </c>
      <c r="E1942" s="6" t="s">
        <v>119</v>
      </c>
      <c r="F1942" s="6">
        <v>6097.12</v>
      </c>
      <c r="G1942" s="2">
        <v>12</v>
      </c>
      <c r="H1942" s="61">
        <v>1.35</v>
      </c>
      <c r="I1942" s="61">
        <v>1.1499999999999999</v>
      </c>
      <c r="J1942" s="47">
        <f t="shared" si="150"/>
        <v>-0.88750000000000007</v>
      </c>
      <c r="K1942" s="47">
        <f t="shared" si="151"/>
        <v>-0.14814814814814828</v>
      </c>
      <c r="L1942" s="8">
        <v>1.25</v>
      </c>
      <c r="M1942" s="8">
        <v>6.96</v>
      </c>
      <c r="N1942" s="8">
        <v>7.77</v>
      </c>
      <c r="O1942" s="17">
        <f t="shared" si="152"/>
        <v>-7.8422535211267602E-2</v>
      </c>
      <c r="P1942" s="17">
        <f t="shared" si="153"/>
        <v>-0.52447499999999958</v>
      </c>
      <c r="Q1942" s="17">
        <v>7.16</v>
      </c>
      <c r="R1942" s="9">
        <v>20220817</v>
      </c>
      <c r="S1942" s="9">
        <v>15.31</v>
      </c>
      <c r="T1942" s="9">
        <v>13.11</v>
      </c>
      <c r="U1942" s="9">
        <v>15572.976559999999</v>
      </c>
      <c r="V1942" s="45">
        <f t="shared" si="154"/>
        <v>-0.99915815708387601</v>
      </c>
      <c r="W1942" s="12">
        <v>10</v>
      </c>
      <c r="X1942" s="12">
        <v>0</v>
      </c>
      <c r="Y1942" s="62"/>
    </row>
    <row r="1943" spans="1:25" x14ac:dyDescent="0.2">
      <c r="A1943" s="3" t="s">
        <v>4193</v>
      </c>
      <c r="B1943" s="3" t="s">
        <v>1834</v>
      </c>
      <c r="C1943" s="6" t="s">
        <v>355</v>
      </c>
      <c r="D1943" s="6" t="s">
        <v>185</v>
      </c>
      <c r="E1943" s="6" t="s">
        <v>208</v>
      </c>
      <c r="F1943" s="6">
        <v>3237.91</v>
      </c>
      <c r="G1943" s="2">
        <v>12</v>
      </c>
      <c r="H1943" s="61">
        <v>3.65</v>
      </c>
      <c r="I1943" s="61">
        <v>2.16</v>
      </c>
      <c r="J1943" s="47">
        <f t="shared" si="150"/>
        <v>-0.6958333333333333</v>
      </c>
      <c r="K1943" s="47">
        <f t="shared" si="151"/>
        <v>-0.40821917808219171</v>
      </c>
      <c r="L1943" s="8">
        <v>-2.72</v>
      </c>
      <c r="M1943" s="8">
        <v>2.7</v>
      </c>
      <c r="N1943" s="8">
        <v>11.32</v>
      </c>
      <c r="O1943" s="17">
        <f t="shared" si="152"/>
        <v>-3.8802395209580842E-2</v>
      </c>
      <c r="P1943" s="17">
        <f t="shared" si="153"/>
        <v>-0.27730201342281885</v>
      </c>
      <c r="Q1943" s="17"/>
      <c r="R1943" s="9">
        <v>20220804</v>
      </c>
      <c r="S1943" s="9">
        <v>96.39</v>
      </c>
      <c r="U1943" s="9">
        <v>1510.59997</v>
      </c>
      <c r="V1943" s="45">
        <f t="shared" si="154"/>
        <v>-1</v>
      </c>
      <c r="W1943" s="12">
        <v>19.940000000000001</v>
      </c>
      <c r="X1943" s="12">
        <v>0</v>
      </c>
      <c r="Y1943" s="62">
        <v>1.03</v>
      </c>
    </row>
    <row r="1944" spans="1:25" x14ac:dyDescent="0.2">
      <c r="A1944" s="3" t="s">
        <v>4194</v>
      </c>
      <c r="B1944" s="3" t="s">
        <v>1835</v>
      </c>
      <c r="C1944" s="6" t="s">
        <v>355</v>
      </c>
      <c r="D1944" s="6" t="s">
        <v>151</v>
      </c>
      <c r="E1944" s="6" t="s">
        <v>163</v>
      </c>
      <c r="F1944" s="6">
        <v>4564.42</v>
      </c>
      <c r="G1944" s="2">
        <v>12</v>
      </c>
      <c r="H1944" s="61">
        <v>4.22</v>
      </c>
      <c r="I1944" s="61">
        <v>3.63</v>
      </c>
      <c r="J1944" s="47">
        <f t="shared" si="150"/>
        <v>-0.64833333333333332</v>
      </c>
      <c r="K1944" s="47">
        <f t="shared" si="151"/>
        <v>-0.13981042654028433</v>
      </c>
      <c r="L1944" s="8">
        <v>3.44</v>
      </c>
      <c r="M1944" s="8">
        <v>6.9</v>
      </c>
      <c r="N1944" s="8">
        <v>7.2</v>
      </c>
      <c r="O1944" s="17">
        <f t="shared" si="152"/>
        <v>-0.10642673521850901</v>
      </c>
      <c r="P1944" s="17">
        <f t="shared" si="153"/>
        <v>-0.51498305084745777</v>
      </c>
      <c r="Q1944" s="17">
        <v>7.61</v>
      </c>
      <c r="R1944" s="9">
        <v>20220803</v>
      </c>
      <c r="S1944" s="9">
        <v>39.130000000000003</v>
      </c>
      <c r="T1944" s="9">
        <v>30.87</v>
      </c>
      <c r="U1944" s="9">
        <v>1630.4339500000001</v>
      </c>
      <c r="V1944" s="45">
        <f t="shared" si="154"/>
        <v>-0.98106639033123677</v>
      </c>
      <c r="W1944" s="12">
        <v>0.79</v>
      </c>
      <c r="X1944" s="12">
        <v>3.67</v>
      </c>
      <c r="Y1944" s="62"/>
    </row>
    <row r="1945" spans="1:25" x14ac:dyDescent="0.2">
      <c r="A1945" s="3" t="s">
        <v>4195</v>
      </c>
      <c r="B1945" s="3" t="s">
        <v>2054</v>
      </c>
      <c r="C1945" s="6" t="s">
        <v>354</v>
      </c>
      <c r="D1945" s="6" t="s">
        <v>139</v>
      </c>
      <c r="E1945" s="6" t="s">
        <v>250</v>
      </c>
      <c r="F1945" s="6">
        <v>18278.63</v>
      </c>
      <c r="G1945" s="2">
        <v>12</v>
      </c>
      <c r="H1945" s="61">
        <v>0.55000000000000004</v>
      </c>
      <c r="I1945" s="61">
        <v>0.54</v>
      </c>
      <c r="J1945" s="47">
        <f t="shared" si="150"/>
        <v>-0.95416666666666661</v>
      </c>
      <c r="K1945" s="47">
        <f t="shared" si="151"/>
        <v>-1.8181818181818195E-2</v>
      </c>
      <c r="L1945" s="8">
        <v>0.62</v>
      </c>
      <c r="M1945" s="8">
        <v>16.27</v>
      </c>
      <c r="N1945" s="8">
        <v>20.309999999999999</v>
      </c>
      <c r="O1945" s="17">
        <f t="shared" si="152"/>
        <v>-0.17051528384279477</v>
      </c>
      <c r="P1945" s="17">
        <f t="shared" si="153"/>
        <v>-11.170499999999992</v>
      </c>
      <c r="Q1945" s="17">
        <v>17.579999999999998</v>
      </c>
      <c r="R1945" s="9">
        <v>20220726</v>
      </c>
      <c r="S1945" s="9">
        <v>8.51</v>
      </c>
      <c r="T1945" s="9">
        <v>-12.22</v>
      </c>
      <c r="U1945" s="9">
        <v>9160.1650300000001</v>
      </c>
      <c r="V1945" s="45">
        <f t="shared" si="154"/>
        <v>-1.0013340371008577</v>
      </c>
      <c r="W1945" s="12">
        <v>-35.71</v>
      </c>
      <c r="X1945" s="12">
        <v>2.31</v>
      </c>
      <c r="Y1945" s="62">
        <v>1.23</v>
      </c>
    </row>
    <row r="1946" spans="1:25" x14ac:dyDescent="0.2">
      <c r="A1946" s="3" t="s">
        <v>4196</v>
      </c>
      <c r="B1946" s="3" t="s">
        <v>1836</v>
      </c>
      <c r="C1946" s="6" t="s">
        <v>356</v>
      </c>
      <c r="D1946" s="6" t="s">
        <v>139</v>
      </c>
      <c r="E1946" s="6" t="s">
        <v>250</v>
      </c>
      <c r="F1946" s="6">
        <v>13023.38</v>
      </c>
      <c r="G1946" s="2">
        <v>12</v>
      </c>
      <c r="H1946" s="61">
        <v>0.56999999999999995</v>
      </c>
      <c r="I1946" s="61">
        <v>0.61</v>
      </c>
      <c r="J1946" s="47">
        <f t="shared" si="150"/>
        <v>-0.95250000000000001</v>
      </c>
      <c r="K1946" s="47">
        <f t="shared" si="151"/>
        <v>7.0175438596491294E-2</v>
      </c>
      <c r="L1946" s="8">
        <v>0.82</v>
      </c>
      <c r="N1946" s="8">
        <v>19.420000000000002</v>
      </c>
      <c r="O1946" s="17">
        <f t="shared" si="152"/>
        <v>0</v>
      </c>
      <c r="P1946" s="17">
        <f t="shared" si="153"/>
        <v>2.7673499999999978</v>
      </c>
      <c r="Q1946" s="17">
        <v>14.33</v>
      </c>
      <c r="U1946" s="9">
        <v>11035.009760000001</v>
      </c>
      <c r="V1946" s="45">
        <f t="shared" si="154"/>
        <v>-1</v>
      </c>
      <c r="X1946" s="12">
        <v>1.57</v>
      </c>
      <c r="Y1946" s="62">
        <v>1.55</v>
      </c>
    </row>
    <row r="1947" spans="1:25" x14ac:dyDescent="0.2">
      <c r="A1947" s="3" t="s">
        <v>4197</v>
      </c>
      <c r="B1947" s="3" t="s">
        <v>341</v>
      </c>
      <c r="C1947" s="6" t="s">
        <v>356</v>
      </c>
      <c r="D1947" s="6" t="s">
        <v>54</v>
      </c>
      <c r="E1947" s="6" t="s">
        <v>35</v>
      </c>
      <c r="F1947" s="6">
        <v>5192.07</v>
      </c>
      <c r="G1947" s="2">
        <v>12</v>
      </c>
      <c r="H1947" s="61">
        <v>0.31</v>
      </c>
      <c r="I1947" s="61">
        <v>0.44</v>
      </c>
      <c r="J1947" s="47">
        <f t="shared" si="150"/>
        <v>-0.97416666666666663</v>
      </c>
      <c r="K1947" s="47">
        <f t="shared" si="151"/>
        <v>0.41935483870967744</v>
      </c>
      <c r="L1947" s="8">
        <v>1.03</v>
      </c>
      <c r="N1947" s="8">
        <v>24.6</v>
      </c>
      <c r="O1947" s="17">
        <f t="shared" si="152"/>
        <v>0</v>
      </c>
      <c r="P1947" s="17">
        <f t="shared" si="153"/>
        <v>0.58661538461538465</v>
      </c>
      <c r="Q1947" s="17">
        <v>10.34</v>
      </c>
      <c r="U1947" s="9">
        <v>21802.220700000002</v>
      </c>
      <c r="V1947" s="45">
        <f t="shared" si="154"/>
        <v>-1</v>
      </c>
      <c r="X1947" s="12">
        <v>1.44</v>
      </c>
      <c r="Y1947" s="62">
        <v>0.47</v>
      </c>
    </row>
    <row r="1948" spans="1:25" x14ac:dyDescent="0.2">
      <c r="A1948" s="3" t="s">
        <v>4198</v>
      </c>
      <c r="B1948" s="3" t="s">
        <v>241</v>
      </c>
      <c r="C1948" s="6" t="s">
        <v>354</v>
      </c>
      <c r="D1948" s="6" t="s">
        <v>207</v>
      </c>
      <c r="E1948" s="6" t="s">
        <v>218</v>
      </c>
      <c r="F1948" s="6">
        <v>52285.31</v>
      </c>
      <c r="G1948" s="2">
        <v>12</v>
      </c>
      <c r="H1948" s="61">
        <v>1.77</v>
      </c>
      <c r="I1948" s="61">
        <v>14.09</v>
      </c>
      <c r="J1948" s="47">
        <f t="shared" si="150"/>
        <v>-0.85250000000000004</v>
      </c>
      <c r="K1948" s="47">
        <f t="shared" si="151"/>
        <v>6.9604519774011298</v>
      </c>
      <c r="L1948" s="8">
        <v>10.84</v>
      </c>
      <c r="M1948" s="8">
        <v>19.77</v>
      </c>
      <c r="N1948" s="8">
        <v>9.09</v>
      </c>
      <c r="O1948" s="17">
        <f t="shared" si="152"/>
        <v>-0.23190615835777126</v>
      </c>
      <c r="P1948" s="17">
        <f t="shared" si="153"/>
        <v>1.3059496753246753E-2</v>
      </c>
      <c r="Q1948" s="17">
        <v>11.82</v>
      </c>
      <c r="R1948" s="9">
        <v>20220804</v>
      </c>
      <c r="S1948" s="9">
        <v>13.69</v>
      </c>
      <c r="T1948" s="9">
        <v>-1.52</v>
      </c>
      <c r="U1948" s="9">
        <v>158370.39061999999</v>
      </c>
      <c r="V1948" s="45">
        <f t="shared" si="154"/>
        <v>-1.0000095977536838</v>
      </c>
      <c r="W1948" s="12">
        <v>43.48</v>
      </c>
      <c r="X1948" s="12">
        <v>3.06</v>
      </c>
      <c r="Y1948" s="62">
        <v>1.52</v>
      </c>
    </row>
    <row r="1949" spans="1:25" x14ac:dyDescent="0.2">
      <c r="A1949" s="3" t="s">
        <v>4199</v>
      </c>
      <c r="B1949" s="3" t="s">
        <v>4200</v>
      </c>
      <c r="C1949" s="6" t="s">
        <v>356</v>
      </c>
      <c r="D1949" s="6" t="s">
        <v>4201</v>
      </c>
      <c r="E1949" s="6" t="s">
        <v>218</v>
      </c>
      <c r="F1949" s="6">
        <v>3250.78</v>
      </c>
      <c r="G1949" s="2">
        <v>12</v>
      </c>
      <c r="H1949" s="61">
        <v>-0.82</v>
      </c>
      <c r="I1949" s="61">
        <v>0.15</v>
      </c>
      <c r="J1949" s="47">
        <f t="shared" si="150"/>
        <v>-1.0683333333333334</v>
      </c>
      <c r="K1949" s="47">
        <f t="shared" si="151"/>
        <v>1.1829268292682926</v>
      </c>
      <c r="L1949" s="8">
        <v>0.28000000000000003</v>
      </c>
      <c r="M1949" s="8">
        <v>3.05</v>
      </c>
      <c r="N1949" s="8">
        <v>18.93</v>
      </c>
      <c r="O1949" s="17">
        <f t="shared" si="152"/>
        <v>-2.8549141965678624E-2</v>
      </c>
      <c r="P1949" s="17">
        <f t="shared" si="153"/>
        <v>0.16002680412371134</v>
      </c>
      <c r="Q1949" s="17">
        <v>10.14</v>
      </c>
      <c r="R1949" s="9">
        <v>20220727</v>
      </c>
      <c r="S1949" s="9">
        <v>5.51</v>
      </c>
      <c r="T1949" s="9">
        <v>-2.0699999999999998</v>
      </c>
      <c r="U1949" s="9">
        <v>4752.2997999999998</v>
      </c>
      <c r="V1949" s="45">
        <f t="shared" si="154"/>
        <v>-1.0004355785802908</v>
      </c>
      <c r="X1949" s="12">
        <v>0</v>
      </c>
      <c r="Y1949" s="62"/>
    </row>
    <row r="1950" spans="1:25" x14ac:dyDescent="0.2">
      <c r="A1950" s="3" t="s">
        <v>4202</v>
      </c>
      <c r="B1950" s="3" t="s">
        <v>1918</v>
      </c>
      <c r="C1950" s="6" t="s">
        <v>356</v>
      </c>
      <c r="D1950" s="6" t="s">
        <v>1919</v>
      </c>
      <c r="E1950" s="6" t="s">
        <v>60</v>
      </c>
      <c r="F1950" s="6">
        <v>5267.2</v>
      </c>
      <c r="G1950" s="2">
        <v>3</v>
      </c>
      <c r="H1950" s="61">
        <v>1.39</v>
      </c>
      <c r="I1950" s="61">
        <v>1.32</v>
      </c>
      <c r="J1950" s="47">
        <f t="shared" si="150"/>
        <v>-0.53666666666666674</v>
      </c>
      <c r="K1950" s="47">
        <f t="shared" si="151"/>
        <v>-5.0359712230215715E-2</v>
      </c>
      <c r="M1950" s="8">
        <v>5.09</v>
      </c>
      <c r="N1950" s="8">
        <v>4.47</v>
      </c>
      <c r="O1950" s="17">
        <f t="shared" si="152"/>
        <v>-9.4844720496894394E-2</v>
      </c>
      <c r="P1950" s="17">
        <f t="shared" si="153"/>
        <v>-0.88761428571428758</v>
      </c>
      <c r="Q1950" s="17"/>
      <c r="R1950" s="9">
        <v>20220608</v>
      </c>
      <c r="S1950" s="9">
        <v>14.73</v>
      </c>
      <c r="T1950" s="9">
        <v>1.26</v>
      </c>
      <c r="U1950" s="9">
        <v>18310.185539999999</v>
      </c>
      <c r="V1950" s="45">
        <f t="shared" si="154"/>
        <v>-0.99993118584204155</v>
      </c>
      <c r="X1950" s="12">
        <v>1.27</v>
      </c>
      <c r="Y1950" s="62"/>
    </row>
    <row r="1951" spans="1:25" x14ac:dyDescent="0.2">
      <c r="A1951" s="3" t="s">
        <v>4203</v>
      </c>
      <c r="B1951" s="3" t="s">
        <v>418</v>
      </c>
      <c r="C1951" s="6" t="s">
        <v>356</v>
      </c>
      <c r="D1951" s="6" t="s">
        <v>54</v>
      </c>
      <c r="E1951" s="6" t="s">
        <v>35</v>
      </c>
      <c r="F1951" s="6">
        <v>35219.39</v>
      </c>
      <c r="G1951" s="2">
        <v>12</v>
      </c>
      <c r="H1951" s="61">
        <v>1.72</v>
      </c>
      <c r="I1951" s="61">
        <v>1.75</v>
      </c>
      <c r="J1951" s="47">
        <f t="shared" si="150"/>
        <v>-0.85666666666666658</v>
      </c>
      <c r="K1951" s="47">
        <f t="shared" si="151"/>
        <v>1.7441860465116296E-2</v>
      </c>
      <c r="L1951" s="8">
        <v>1.91</v>
      </c>
      <c r="M1951" s="8">
        <v>10.01</v>
      </c>
      <c r="N1951" s="8">
        <v>9.8800000000000008</v>
      </c>
      <c r="O1951" s="17">
        <f t="shared" si="152"/>
        <v>-0.11684824902723737</v>
      </c>
      <c r="P1951" s="17">
        <f t="shared" si="153"/>
        <v>5.6645333333333276</v>
      </c>
      <c r="Q1951" s="17">
        <v>9.0399999999999991</v>
      </c>
      <c r="R1951" s="9">
        <v>20220719</v>
      </c>
      <c r="S1951" s="9">
        <v>22.19</v>
      </c>
      <c r="T1951" s="9">
        <v>0.68</v>
      </c>
      <c r="U1951" s="9">
        <v>44953.058590000001</v>
      </c>
      <c r="V1951" s="45">
        <f t="shared" si="154"/>
        <v>-0.99998487310938722</v>
      </c>
      <c r="W1951" s="12">
        <v>-7.5</v>
      </c>
      <c r="X1951" s="12">
        <v>6.36</v>
      </c>
      <c r="Y1951" s="62">
        <v>1.05</v>
      </c>
    </row>
    <row r="1952" spans="1:25" x14ac:dyDescent="0.2">
      <c r="A1952" s="3" t="s">
        <v>452</v>
      </c>
      <c r="B1952" s="3" t="s">
        <v>453</v>
      </c>
      <c r="C1952" s="6" t="s">
        <v>355</v>
      </c>
      <c r="D1952" s="6" t="s">
        <v>104</v>
      </c>
      <c r="E1952" s="6" t="s">
        <v>163</v>
      </c>
      <c r="F1952" s="6">
        <v>6374.39</v>
      </c>
      <c r="G1952" s="2">
        <v>12</v>
      </c>
      <c r="H1952" s="61">
        <v>1.17</v>
      </c>
      <c r="I1952" s="61">
        <v>1.22</v>
      </c>
      <c r="J1952" s="47">
        <f t="shared" si="150"/>
        <v>-0.90249999999999997</v>
      </c>
      <c r="K1952" s="47">
        <f t="shared" si="151"/>
        <v>4.2735042735042778E-2</v>
      </c>
      <c r="L1952" s="8">
        <v>1.37</v>
      </c>
      <c r="M1952" s="8">
        <v>10.85</v>
      </c>
      <c r="N1952" s="8">
        <v>10.32</v>
      </c>
      <c r="O1952" s="17">
        <f t="shared" si="152"/>
        <v>-0.12022160664819945</v>
      </c>
      <c r="P1952" s="17">
        <f t="shared" si="153"/>
        <v>2.4148799999999975</v>
      </c>
      <c r="Q1952" s="17">
        <v>9.17</v>
      </c>
      <c r="R1952" s="9">
        <v>20220728</v>
      </c>
      <c r="S1952" s="9">
        <v>10.35</v>
      </c>
      <c r="T1952" s="9">
        <v>11.85</v>
      </c>
      <c r="U1952" s="9">
        <v>1726.63</v>
      </c>
      <c r="V1952" s="45">
        <f t="shared" si="154"/>
        <v>-0.99313691989598241</v>
      </c>
      <c r="W1952" s="12">
        <v>3.7</v>
      </c>
      <c r="X1952" s="12">
        <v>3.49</v>
      </c>
      <c r="Y1952" s="62"/>
    </row>
    <row r="1953" spans="1:25" x14ac:dyDescent="0.2">
      <c r="A1953" s="3" t="s">
        <v>4204</v>
      </c>
      <c r="B1953" s="3" t="s">
        <v>243</v>
      </c>
      <c r="C1953" s="6" t="s">
        <v>354</v>
      </c>
      <c r="D1953" s="6" t="s">
        <v>118</v>
      </c>
      <c r="E1953" s="6" t="s">
        <v>140</v>
      </c>
      <c r="F1953" s="6">
        <v>21832.15</v>
      </c>
      <c r="G1953" s="2">
        <v>12</v>
      </c>
      <c r="H1953" s="61">
        <v>4.96</v>
      </c>
      <c r="I1953" s="61">
        <v>6.28</v>
      </c>
      <c r="J1953" s="47">
        <f t="shared" si="150"/>
        <v>-0.58666666666666667</v>
      </c>
      <c r="K1953" s="47">
        <f t="shared" si="151"/>
        <v>0.26612903225806456</v>
      </c>
      <c r="L1953" s="8">
        <v>8.1</v>
      </c>
      <c r="M1953" s="8">
        <v>32.28</v>
      </c>
      <c r="N1953" s="8">
        <v>26.14</v>
      </c>
      <c r="O1953" s="17">
        <f t="shared" si="152"/>
        <v>-0.55022727272727279</v>
      </c>
      <c r="P1953" s="17">
        <f t="shared" si="153"/>
        <v>0.9822303030303029</v>
      </c>
      <c r="Q1953" s="17">
        <v>20.27</v>
      </c>
      <c r="R1953" s="9">
        <v>20220803</v>
      </c>
      <c r="S1953" s="9">
        <v>10.49</v>
      </c>
      <c r="T1953" s="9">
        <v>8.5</v>
      </c>
      <c r="U1953" s="9">
        <v>7218.7578100000001</v>
      </c>
      <c r="V1953" s="45">
        <f t="shared" si="154"/>
        <v>-0.99882251209644057</v>
      </c>
      <c r="W1953" s="12">
        <v>17.739999999999998</v>
      </c>
      <c r="X1953" s="12">
        <v>0.97</v>
      </c>
      <c r="Y1953" s="62">
        <v>1.46</v>
      </c>
    </row>
    <row r="1954" spans="1:25" x14ac:dyDescent="0.2">
      <c r="A1954" s="3" t="s">
        <v>4205</v>
      </c>
      <c r="B1954" s="3" t="s">
        <v>454</v>
      </c>
      <c r="C1954" s="6" t="s">
        <v>354</v>
      </c>
      <c r="D1954" s="6" t="s">
        <v>366</v>
      </c>
      <c r="E1954" s="6" t="s">
        <v>201</v>
      </c>
      <c r="F1954" s="6">
        <v>5503.04</v>
      </c>
      <c r="G1954" s="2">
        <v>12</v>
      </c>
      <c r="H1954" s="61">
        <v>10.85</v>
      </c>
      <c r="I1954" s="61">
        <v>13.35</v>
      </c>
      <c r="J1954" s="47">
        <f t="shared" si="150"/>
        <v>-9.5833333333333368E-2</v>
      </c>
      <c r="K1954" s="47">
        <f t="shared" si="151"/>
        <v>0.2304147465437788</v>
      </c>
      <c r="L1954" s="8">
        <v>15.09</v>
      </c>
      <c r="M1954" s="8">
        <v>22.59</v>
      </c>
      <c r="N1954" s="8">
        <v>19.34</v>
      </c>
      <c r="O1954" s="17">
        <f t="shared" si="152"/>
        <v>-2.3572173913043466</v>
      </c>
      <c r="P1954" s="17">
        <f t="shared" si="153"/>
        <v>0.83935599999999999</v>
      </c>
      <c r="Q1954" s="17">
        <v>17.11</v>
      </c>
      <c r="R1954" s="9">
        <v>20220720</v>
      </c>
      <c r="S1954" s="9">
        <v>17.600000000000001</v>
      </c>
      <c r="T1954" s="9">
        <v>5.16</v>
      </c>
      <c r="U1954" s="9">
        <v>4035.1799299999998</v>
      </c>
      <c r="V1954" s="45">
        <f t="shared" si="154"/>
        <v>-0.9987212466136548</v>
      </c>
      <c r="W1954" s="12">
        <v>33.479999999999997</v>
      </c>
      <c r="X1954" s="12">
        <v>0.85</v>
      </c>
      <c r="Y1954" s="62"/>
    </row>
    <row r="1955" spans="1:25" x14ac:dyDescent="0.2">
      <c r="A1955" s="3" t="s">
        <v>4206</v>
      </c>
      <c r="B1955" s="3" t="s">
        <v>244</v>
      </c>
      <c r="C1955" s="6" t="s">
        <v>354</v>
      </c>
      <c r="D1955" s="6" t="s">
        <v>132</v>
      </c>
      <c r="E1955" s="6" t="s">
        <v>119</v>
      </c>
      <c r="F1955" s="6">
        <v>52362.559999999998</v>
      </c>
      <c r="G1955" s="2">
        <v>1</v>
      </c>
      <c r="H1955" s="61">
        <v>7.2</v>
      </c>
      <c r="I1955" s="61">
        <v>7.01</v>
      </c>
      <c r="J1955" s="47">
        <f t="shared" si="150"/>
        <v>6.2</v>
      </c>
      <c r="K1955" s="47">
        <f t="shared" si="151"/>
        <v>-2.6388888888888941E-2</v>
      </c>
      <c r="L1955" s="8">
        <v>7.73</v>
      </c>
      <c r="M1955" s="8">
        <v>18.37</v>
      </c>
      <c r="N1955" s="8">
        <v>17.739999999999998</v>
      </c>
      <c r="O1955" s="17">
        <f t="shared" si="152"/>
        <v>2.9629032258064517E-2</v>
      </c>
      <c r="P1955" s="17">
        <f t="shared" si="153"/>
        <v>-6.7225263157894597</v>
      </c>
      <c r="Q1955" s="17">
        <v>16.09</v>
      </c>
      <c r="R1955" s="9">
        <v>20220825</v>
      </c>
      <c r="S1955" s="9">
        <v>30.26</v>
      </c>
      <c r="T1955" s="9">
        <v>13.51</v>
      </c>
      <c r="U1955" s="9">
        <v>13744.66113</v>
      </c>
      <c r="V1955" s="45">
        <f t="shared" si="154"/>
        <v>-0.99901707289308772</v>
      </c>
      <c r="W1955" s="12">
        <v>-18.47</v>
      </c>
      <c r="X1955" s="12">
        <v>0</v>
      </c>
      <c r="Y1955" s="62">
        <v>1.41</v>
      </c>
    </row>
    <row r="1956" spans="1:25" x14ac:dyDescent="0.2">
      <c r="A1956" s="3" t="s">
        <v>317</v>
      </c>
      <c r="B1956" s="3" t="s">
        <v>318</v>
      </c>
      <c r="C1956" s="6" t="s">
        <v>354</v>
      </c>
      <c r="D1956" s="6" t="s">
        <v>215</v>
      </c>
      <c r="E1956" s="6" t="s">
        <v>163</v>
      </c>
      <c r="F1956" s="6">
        <v>6716.77</v>
      </c>
      <c r="G1956" s="2">
        <v>12</v>
      </c>
      <c r="H1956" s="61">
        <v>2.79</v>
      </c>
      <c r="I1956" s="61">
        <v>3.2</v>
      </c>
      <c r="J1956" s="47">
        <f t="shared" si="150"/>
        <v>-0.76750000000000007</v>
      </c>
      <c r="K1956" s="47">
        <f t="shared" si="151"/>
        <v>0.1469534050179212</v>
      </c>
      <c r="L1956" s="8">
        <v>3.32</v>
      </c>
      <c r="M1956" s="8">
        <v>11.68</v>
      </c>
      <c r="N1956" s="8">
        <v>10.95</v>
      </c>
      <c r="O1956" s="17">
        <f t="shared" si="152"/>
        <v>-0.15218241042345276</v>
      </c>
      <c r="P1956" s="17">
        <f t="shared" si="153"/>
        <v>0.74513414634146302</v>
      </c>
      <c r="Q1956" s="17">
        <v>10.56</v>
      </c>
      <c r="R1956" s="9">
        <v>20220801</v>
      </c>
      <c r="S1956" s="9">
        <v>2.9</v>
      </c>
      <c r="T1956" s="9">
        <v>-10.6</v>
      </c>
      <c r="U1956" s="9">
        <v>1721.2550000000001</v>
      </c>
      <c r="V1956" s="45">
        <f t="shared" si="154"/>
        <v>-1.0061582972888967</v>
      </c>
      <c r="W1956" s="12">
        <v>3.95</v>
      </c>
      <c r="X1956" s="12">
        <v>6.05</v>
      </c>
      <c r="Y1956" s="62"/>
    </row>
    <row r="1957" spans="1:25" x14ac:dyDescent="0.2">
      <c r="A1957" s="3" t="s">
        <v>4207</v>
      </c>
      <c r="B1957" s="3" t="s">
        <v>4208</v>
      </c>
      <c r="C1957" s="6" t="s">
        <v>355</v>
      </c>
      <c r="D1957" s="6" t="s">
        <v>200</v>
      </c>
      <c r="E1957" s="6" t="s">
        <v>218</v>
      </c>
      <c r="F1957" s="6">
        <v>5308.63</v>
      </c>
      <c r="G1957" s="2">
        <v>12</v>
      </c>
      <c r="H1957" s="61">
        <v>0.38</v>
      </c>
      <c r="I1957" s="61">
        <v>1.52</v>
      </c>
      <c r="J1957" s="47">
        <f t="shared" si="150"/>
        <v>-0.96833333333333327</v>
      </c>
      <c r="K1957" s="47">
        <f t="shared" si="151"/>
        <v>3.0000000000000004</v>
      </c>
      <c r="L1957" s="8">
        <v>2.0699999999999998</v>
      </c>
      <c r="M1957" s="8">
        <v>35.57</v>
      </c>
      <c r="N1957" s="8">
        <v>20.85</v>
      </c>
      <c r="O1957" s="17">
        <f t="shared" si="152"/>
        <v>-0.36733218588640276</v>
      </c>
      <c r="P1957" s="17">
        <f t="shared" si="153"/>
        <v>6.9499999999999992E-2</v>
      </c>
      <c r="Q1957" s="17">
        <v>15.3</v>
      </c>
      <c r="R1957" s="9">
        <v>20220801</v>
      </c>
      <c r="S1957" s="9">
        <v>3.22</v>
      </c>
      <c r="T1957" s="9">
        <v>24.67</v>
      </c>
      <c r="U1957" s="9">
        <v>824.39697000000001</v>
      </c>
      <c r="V1957" s="45">
        <f t="shared" si="154"/>
        <v>-0.97007509622457744</v>
      </c>
      <c r="W1957" s="12">
        <v>-30.3</v>
      </c>
      <c r="X1957" s="12">
        <v>8.4600000000000009</v>
      </c>
      <c r="Y1957" s="62"/>
    </row>
    <row r="1958" spans="1:25" x14ac:dyDescent="0.2">
      <c r="B1958" s="3" t="s">
        <v>2300</v>
      </c>
      <c r="C1958" s="6" t="s">
        <v>354</v>
      </c>
      <c r="D1958" s="6" t="s">
        <v>519</v>
      </c>
      <c r="E1958" s="6" t="s">
        <v>163</v>
      </c>
      <c r="F1958" s="6">
        <v>42727.22</v>
      </c>
      <c r="G1958" s="2">
        <v>12</v>
      </c>
      <c r="H1958" s="61"/>
      <c r="I1958" s="61"/>
      <c r="J1958" s="47">
        <f t="shared" si="150"/>
        <v>-1</v>
      </c>
      <c r="K1958" s="47" t="e">
        <f t="shared" si="151"/>
        <v>#DIV/0!</v>
      </c>
      <c r="O1958" s="17">
        <f t="shared" si="152"/>
        <v>0</v>
      </c>
      <c r="P1958" s="17" t="e">
        <f t="shared" si="153"/>
        <v>#DIV/0!</v>
      </c>
      <c r="Q1958" s="17"/>
      <c r="V1958" s="45" t="e">
        <f t="shared" si="154"/>
        <v>#DIV/0!</v>
      </c>
      <c r="X1958" s="12">
        <v>3.09</v>
      </c>
      <c r="Y1958" s="62"/>
    </row>
    <row r="1959" spans="1:25" x14ac:dyDescent="0.2">
      <c r="A1959" s="3" t="s">
        <v>4209</v>
      </c>
      <c r="B1959" s="3" t="s">
        <v>502</v>
      </c>
      <c r="C1959" s="6" t="s">
        <v>354</v>
      </c>
      <c r="D1959" s="6" t="s">
        <v>233</v>
      </c>
      <c r="E1959" s="6" t="s">
        <v>108</v>
      </c>
      <c r="F1959" s="6">
        <v>4397.09</v>
      </c>
      <c r="G1959" s="2">
        <v>12</v>
      </c>
      <c r="H1959" s="61">
        <v>2.85</v>
      </c>
      <c r="I1959" s="61">
        <v>3.25</v>
      </c>
      <c r="J1959" s="47">
        <f t="shared" si="150"/>
        <v>-0.76250000000000007</v>
      </c>
      <c r="K1959" s="47">
        <f t="shared" si="151"/>
        <v>0.14035087719298242</v>
      </c>
      <c r="L1959" s="8">
        <v>3.1</v>
      </c>
      <c r="M1959" s="8">
        <v>9.2899999999999991</v>
      </c>
      <c r="N1959" s="8">
        <v>8.4</v>
      </c>
      <c r="O1959" s="17">
        <f t="shared" si="152"/>
        <v>-0.12183606557377048</v>
      </c>
      <c r="P1959" s="17">
        <f t="shared" si="153"/>
        <v>0.59850000000000025</v>
      </c>
      <c r="Q1959" s="17">
        <v>8.81</v>
      </c>
      <c r="R1959" s="9">
        <v>20220805</v>
      </c>
      <c r="S1959" s="9">
        <v>102.18</v>
      </c>
      <c r="U1959" s="9">
        <v>3199.8400799999999</v>
      </c>
      <c r="V1959" s="45">
        <f t="shared" si="154"/>
        <v>-1</v>
      </c>
      <c r="W1959" s="12">
        <v>7.69</v>
      </c>
      <c r="X1959" s="12">
        <v>0.37</v>
      </c>
      <c r="Y1959" s="62">
        <v>1.36</v>
      </c>
    </row>
    <row r="1960" spans="1:25" x14ac:dyDescent="0.2">
      <c r="A1960" s="3" t="s">
        <v>4210</v>
      </c>
      <c r="B1960" s="3" t="s">
        <v>363</v>
      </c>
      <c r="C1960" s="6" t="s">
        <v>355</v>
      </c>
      <c r="D1960" s="6" t="s">
        <v>278</v>
      </c>
      <c r="E1960" s="6" t="s">
        <v>119</v>
      </c>
      <c r="F1960" s="6">
        <v>47383.77</v>
      </c>
      <c r="G1960" s="2">
        <v>3</v>
      </c>
      <c r="H1960" s="61">
        <v>1.05</v>
      </c>
      <c r="I1960" s="61">
        <v>1.2</v>
      </c>
      <c r="J1960" s="47">
        <f t="shared" si="150"/>
        <v>-0.65</v>
      </c>
      <c r="K1960" s="47">
        <f t="shared" si="151"/>
        <v>0.14285714285714277</v>
      </c>
      <c r="L1960" s="8">
        <v>1.32</v>
      </c>
      <c r="N1960" s="8">
        <v>14</v>
      </c>
      <c r="O1960" s="17">
        <f t="shared" si="152"/>
        <v>0</v>
      </c>
      <c r="P1960" s="17">
        <f t="shared" si="153"/>
        <v>0.98000000000000065</v>
      </c>
      <c r="Q1960" s="17">
        <v>12.75</v>
      </c>
      <c r="U1960" s="9">
        <v>49922.09375</v>
      </c>
      <c r="V1960" s="45">
        <f t="shared" si="154"/>
        <v>-1</v>
      </c>
      <c r="X1960" s="12">
        <v>5.88</v>
      </c>
      <c r="Y1960" s="62">
        <v>4.67</v>
      </c>
    </row>
    <row r="1961" spans="1:25" x14ac:dyDescent="0.2">
      <c r="A1961" s="3" t="s">
        <v>4211</v>
      </c>
      <c r="B1961" s="3" t="s">
        <v>455</v>
      </c>
      <c r="C1961" s="6" t="s">
        <v>356</v>
      </c>
      <c r="D1961" s="6" t="s">
        <v>213</v>
      </c>
      <c r="E1961" s="6" t="s">
        <v>163</v>
      </c>
      <c r="F1961" s="6">
        <v>20973.88</v>
      </c>
      <c r="G1961" s="2">
        <v>12</v>
      </c>
      <c r="H1961" s="61"/>
      <c r="I1961" s="61">
        <v>1.35</v>
      </c>
      <c r="J1961" s="47">
        <f t="shared" si="150"/>
        <v>-1</v>
      </c>
      <c r="K1961" s="47" t="e">
        <f t="shared" si="151"/>
        <v>#DIV/0!</v>
      </c>
      <c r="L1961" s="8">
        <v>1.39</v>
      </c>
      <c r="N1961" s="8">
        <v>13.55</v>
      </c>
      <c r="O1961" s="17">
        <f t="shared" si="152"/>
        <v>0</v>
      </c>
      <c r="P1961" s="17" t="e">
        <f t="shared" si="153"/>
        <v>#DIV/0!</v>
      </c>
      <c r="Q1961" s="17">
        <v>13.11</v>
      </c>
      <c r="U1961" s="9">
        <v>4884.06005</v>
      </c>
      <c r="V1961" s="45">
        <f t="shared" si="154"/>
        <v>-1</v>
      </c>
      <c r="X1961" s="12">
        <v>4.59</v>
      </c>
      <c r="Y1961" s="62">
        <v>2.62</v>
      </c>
    </row>
    <row r="1962" spans="1:25" x14ac:dyDescent="0.2">
      <c r="A1962" s="3" t="s">
        <v>4212</v>
      </c>
      <c r="B1962" s="3" t="s">
        <v>352</v>
      </c>
      <c r="C1962" s="6" t="s">
        <v>356</v>
      </c>
      <c r="D1962" s="6" t="s">
        <v>199</v>
      </c>
      <c r="E1962" s="6" t="s">
        <v>218</v>
      </c>
      <c r="F1962" s="6">
        <v>3382.42</v>
      </c>
      <c r="G1962" s="2">
        <v>12</v>
      </c>
      <c r="H1962" s="61">
        <v>2.83</v>
      </c>
      <c r="I1962" s="61">
        <v>2.42</v>
      </c>
      <c r="J1962" s="47">
        <f t="shared" si="150"/>
        <v>-0.76416666666666666</v>
      </c>
      <c r="K1962" s="47">
        <f t="shared" si="151"/>
        <v>-0.14487632508833928</v>
      </c>
      <c r="L1962" s="8">
        <v>2.81</v>
      </c>
      <c r="N1962" s="8">
        <v>11.12</v>
      </c>
      <c r="O1962" s="17">
        <f t="shared" si="152"/>
        <v>0</v>
      </c>
      <c r="P1962" s="17">
        <f t="shared" si="153"/>
        <v>-0.76755121951219474</v>
      </c>
      <c r="Q1962" s="17">
        <v>9.57</v>
      </c>
      <c r="R1962" s="9">
        <v>20220720</v>
      </c>
      <c r="U1962" s="9">
        <v>1307.1199899999999</v>
      </c>
      <c r="V1962" s="45">
        <f t="shared" si="154"/>
        <v>-1</v>
      </c>
      <c r="X1962" s="12">
        <v>3.98</v>
      </c>
      <c r="Y1962" s="62"/>
    </row>
    <row r="1963" spans="1:25" x14ac:dyDescent="0.2">
      <c r="A1963" s="3" t="s">
        <v>4213</v>
      </c>
      <c r="B1963" s="3" t="s">
        <v>245</v>
      </c>
      <c r="C1963" s="6" t="s">
        <v>354</v>
      </c>
      <c r="D1963" s="6" t="s">
        <v>170</v>
      </c>
      <c r="E1963" s="6" t="s">
        <v>163</v>
      </c>
      <c r="F1963" s="6">
        <v>6894.74</v>
      </c>
      <c r="G1963" s="2">
        <v>12</v>
      </c>
      <c r="H1963" s="61">
        <v>7.97</v>
      </c>
      <c r="I1963" s="61">
        <v>6.3</v>
      </c>
      <c r="J1963" s="47">
        <f t="shared" si="150"/>
        <v>-0.33583333333333337</v>
      </c>
      <c r="K1963" s="47">
        <f t="shared" si="151"/>
        <v>-0.20953575909661229</v>
      </c>
      <c r="L1963" s="8">
        <v>7.55</v>
      </c>
      <c r="M1963" s="8">
        <v>9.74</v>
      </c>
      <c r="N1963" s="8">
        <v>10.71</v>
      </c>
      <c r="O1963" s="17">
        <f t="shared" si="152"/>
        <v>-0.29002481389578161</v>
      </c>
      <c r="P1963" s="17">
        <f t="shared" si="153"/>
        <v>-0.51112994011976054</v>
      </c>
      <c r="Q1963" s="17">
        <v>8.94</v>
      </c>
      <c r="R1963" s="9">
        <v>20220804</v>
      </c>
      <c r="S1963" s="9">
        <v>9.16</v>
      </c>
      <c r="T1963" s="9">
        <v>-6.28</v>
      </c>
      <c r="U1963" s="9">
        <v>1056.3800000000001</v>
      </c>
      <c r="V1963" s="45">
        <f t="shared" si="154"/>
        <v>-1.0059448304587364</v>
      </c>
      <c r="W1963" s="12">
        <v>8.09</v>
      </c>
      <c r="X1963" s="12">
        <v>1.19</v>
      </c>
      <c r="Y1963" s="62">
        <v>3.46</v>
      </c>
    </row>
    <row r="1964" spans="1:25" x14ac:dyDescent="0.2">
      <c r="A1964" s="3" t="s">
        <v>4214</v>
      </c>
      <c r="B1964" s="3" t="s">
        <v>2055</v>
      </c>
      <c r="C1964" s="6" t="s">
        <v>355</v>
      </c>
      <c r="D1964" s="6" t="s">
        <v>307</v>
      </c>
      <c r="E1964" s="6" t="s">
        <v>119</v>
      </c>
      <c r="F1964" s="6">
        <v>3578.54</v>
      </c>
      <c r="G1964" s="2">
        <v>12</v>
      </c>
      <c r="H1964" s="61">
        <v>0.11</v>
      </c>
      <c r="I1964" s="61">
        <v>0.18</v>
      </c>
      <c r="J1964" s="47">
        <f t="shared" si="150"/>
        <v>-0.99083333333333334</v>
      </c>
      <c r="K1964" s="47">
        <f t="shared" si="151"/>
        <v>0.63636363636363624</v>
      </c>
      <c r="L1964" s="8">
        <v>0.37</v>
      </c>
      <c r="M1964" s="8">
        <v>296.91000000000003</v>
      </c>
      <c r="N1964" s="8">
        <v>182.71</v>
      </c>
      <c r="O1964" s="17">
        <f t="shared" si="152"/>
        <v>-2.9965685449957951</v>
      </c>
      <c r="P1964" s="17">
        <f t="shared" si="153"/>
        <v>2.8711571428571436</v>
      </c>
      <c r="Q1964" s="17">
        <v>88.57</v>
      </c>
      <c r="R1964" s="9">
        <v>20220801</v>
      </c>
      <c r="S1964" s="9">
        <v>-19.97</v>
      </c>
      <c r="T1964" s="9">
        <v>13.62</v>
      </c>
      <c r="U1964" s="9">
        <v>488.37799000000001</v>
      </c>
      <c r="V1964" s="45">
        <f t="shared" si="154"/>
        <v>-0.97211176531522236</v>
      </c>
      <c r="W1964" s="12">
        <v>10</v>
      </c>
      <c r="X1964" s="12">
        <v>0</v>
      </c>
      <c r="Y1964" s="62"/>
    </row>
    <row r="1965" spans="1:25" x14ac:dyDescent="0.2">
      <c r="A1965" s="3" t="s">
        <v>4215</v>
      </c>
      <c r="B1965" s="3" t="s">
        <v>441</v>
      </c>
      <c r="C1965" s="6" t="s">
        <v>355</v>
      </c>
      <c r="D1965" s="6" t="s">
        <v>132</v>
      </c>
      <c r="E1965" s="6" t="s">
        <v>119</v>
      </c>
      <c r="F1965" s="6">
        <v>3258.4</v>
      </c>
      <c r="G1965" s="2">
        <v>1</v>
      </c>
      <c r="H1965" s="61">
        <v>2.29</v>
      </c>
      <c r="I1965" s="61">
        <v>2.52</v>
      </c>
      <c r="J1965" s="47">
        <f t="shared" si="150"/>
        <v>1.29</v>
      </c>
      <c r="K1965" s="47">
        <f t="shared" si="151"/>
        <v>0.10043668122270741</v>
      </c>
      <c r="L1965" s="8">
        <v>2.77</v>
      </c>
      <c r="M1965" s="8">
        <v>22.1</v>
      </c>
      <c r="N1965" s="8">
        <v>19.989999999999998</v>
      </c>
      <c r="O1965" s="17">
        <f t="shared" si="152"/>
        <v>0.17131782945736435</v>
      </c>
      <c r="P1965" s="17">
        <f t="shared" si="153"/>
        <v>1.9903086956521741</v>
      </c>
      <c r="Q1965" s="17">
        <v>18.22</v>
      </c>
      <c r="R1965" s="9">
        <v>20220607</v>
      </c>
      <c r="S1965" s="9">
        <v>12.68</v>
      </c>
      <c r="T1965" s="9">
        <v>-0.97</v>
      </c>
      <c r="U1965" s="9">
        <v>943.60900000000004</v>
      </c>
      <c r="V1965" s="45">
        <f t="shared" si="154"/>
        <v>-1.0010279681520631</v>
      </c>
      <c r="W1965" s="12">
        <v>-1.72</v>
      </c>
      <c r="X1965" s="12">
        <v>0</v>
      </c>
      <c r="Y1965" s="62">
        <v>1.43</v>
      </c>
    </row>
    <row r="1966" spans="1:25" x14ac:dyDescent="0.2">
      <c r="A1966" s="3" t="s">
        <v>4216</v>
      </c>
      <c r="B1966" s="3" t="s">
        <v>247</v>
      </c>
      <c r="C1966" s="6" t="s">
        <v>355</v>
      </c>
      <c r="D1966" s="6" t="s">
        <v>123</v>
      </c>
      <c r="E1966" s="6" t="s">
        <v>108</v>
      </c>
      <c r="F1966" s="6">
        <v>27429.16</v>
      </c>
      <c r="G1966" s="2">
        <v>12</v>
      </c>
      <c r="H1966" s="61">
        <v>5.24</v>
      </c>
      <c r="I1966" s="61">
        <v>5.7</v>
      </c>
      <c r="J1966" s="47">
        <f t="shared" si="150"/>
        <v>-0.56333333333333335</v>
      </c>
      <c r="K1966" s="47">
        <f t="shared" si="151"/>
        <v>8.7786259541984726E-2</v>
      </c>
      <c r="L1966" s="8">
        <v>6.18</v>
      </c>
      <c r="M1966" s="8">
        <v>32.049999999999997</v>
      </c>
      <c r="N1966" s="8">
        <v>30.48</v>
      </c>
      <c r="O1966" s="17">
        <f t="shared" si="152"/>
        <v>-0.56893491124260342</v>
      </c>
      <c r="P1966" s="17">
        <f t="shared" si="153"/>
        <v>3.4720695652173914</v>
      </c>
      <c r="Q1966" s="17">
        <v>28.13</v>
      </c>
      <c r="R1966" s="9">
        <v>20220802</v>
      </c>
      <c r="S1966" s="9">
        <v>32.1</v>
      </c>
      <c r="T1966" s="9">
        <v>8.64</v>
      </c>
      <c r="U1966" s="9">
        <v>3046.7758699999999</v>
      </c>
      <c r="V1966" s="45">
        <f t="shared" si="154"/>
        <v>-0.99716421543012945</v>
      </c>
      <c r="W1966" s="12">
        <v>-3.6</v>
      </c>
      <c r="X1966" s="12">
        <v>0.71</v>
      </c>
      <c r="Y1966" s="62">
        <v>2.98</v>
      </c>
    </row>
    <row r="1967" spans="1:25" x14ac:dyDescent="0.2">
      <c r="A1967" s="3" t="s">
        <v>4217</v>
      </c>
      <c r="B1967" s="3" t="s">
        <v>296</v>
      </c>
      <c r="C1967" s="6" t="s">
        <v>355</v>
      </c>
      <c r="D1967" s="6" t="s">
        <v>178</v>
      </c>
      <c r="E1967" s="6" t="s">
        <v>119</v>
      </c>
      <c r="F1967" s="6">
        <v>18919.48</v>
      </c>
      <c r="G1967" s="2">
        <v>12</v>
      </c>
      <c r="H1967" s="61">
        <v>5.43</v>
      </c>
      <c r="I1967" s="61">
        <v>5.95</v>
      </c>
      <c r="J1967" s="47">
        <f t="shared" si="150"/>
        <v>-0.54749999999999999</v>
      </c>
      <c r="K1967" s="47">
        <f t="shared" si="151"/>
        <v>9.5764272559852759E-2</v>
      </c>
      <c r="L1967" s="8">
        <v>7.01</v>
      </c>
      <c r="M1967" s="8">
        <v>30.73</v>
      </c>
      <c r="N1967" s="8">
        <v>29.03</v>
      </c>
      <c r="O1967" s="17">
        <f t="shared" si="152"/>
        <v>-0.56127853881278544</v>
      </c>
      <c r="P1967" s="17">
        <f t="shared" si="153"/>
        <v>3.0314019230769205</v>
      </c>
      <c r="Q1967" s="17">
        <v>24.64</v>
      </c>
      <c r="R1967" s="9">
        <v>20220728</v>
      </c>
      <c r="S1967" s="9">
        <v>-46.72</v>
      </c>
      <c r="T1967" s="9">
        <v>3.03</v>
      </c>
      <c r="U1967" s="9">
        <v>1429.9599599999999</v>
      </c>
      <c r="V1967" s="45">
        <f t="shared" si="154"/>
        <v>-0.99788105955078632</v>
      </c>
      <c r="W1967" s="12">
        <v>2.88</v>
      </c>
      <c r="X1967" s="12">
        <v>0</v>
      </c>
      <c r="Y1967" s="62"/>
    </row>
    <row r="1968" spans="1:25" x14ac:dyDescent="0.2">
      <c r="A1968" s="3" t="s">
        <v>4218</v>
      </c>
      <c r="B1968" s="3" t="s">
        <v>503</v>
      </c>
      <c r="C1968" s="6" t="s">
        <v>354</v>
      </c>
      <c r="D1968" s="6" t="s">
        <v>134</v>
      </c>
      <c r="E1968" s="6" t="s">
        <v>119</v>
      </c>
      <c r="F1968" s="6">
        <v>4090.81</v>
      </c>
      <c r="G1968" s="2">
        <v>12</v>
      </c>
      <c r="H1968" s="61">
        <v>1.01</v>
      </c>
      <c r="I1968" s="61">
        <v>0.68</v>
      </c>
      <c r="J1968" s="47">
        <f t="shared" si="150"/>
        <v>-0.91583333333333339</v>
      </c>
      <c r="K1968" s="47">
        <f t="shared" si="151"/>
        <v>-0.32673267326732669</v>
      </c>
      <c r="L1968" s="8">
        <v>1.06</v>
      </c>
      <c r="M1968" s="8">
        <v>23.11</v>
      </c>
      <c r="N1968" s="8">
        <v>15.89</v>
      </c>
      <c r="O1968" s="17">
        <f t="shared" si="152"/>
        <v>-0.25233848953594173</v>
      </c>
      <c r="P1968" s="17">
        <f t="shared" si="153"/>
        <v>-0.48633030303030311</v>
      </c>
      <c r="Q1968" s="17">
        <v>10.210000000000001</v>
      </c>
      <c r="R1968" s="9">
        <v>20220727</v>
      </c>
      <c r="S1968" s="9">
        <v>15.67</v>
      </c>
      <c r="U1968" s="9">
        <v>5621.0229399999998</v>
      </c>
      <c r="V1968" s="45">
        <f t="shared" si="154"/>
        <v>-1</v>
      </c>
      <c r="W1968" s="12">
        <v>50</v>
      </c>
      <c r="X1968" s="12">
        <v>0.09</v>
      </c>
      <c r="Y1968" s="62">
        <v>0.87</v>
      </c>
    </row>
    <row r="1969" spans="1:25" x14ac:dyDescent="0.2">
      <c r="A1969" s="3" t="s">
        <v>4219</v>
      </c>
      <c r="B1969" s="3" t="s">
        <v>297</v>
      </c>
      <c r="C1969" s="6" t="s">
        <v>355</v>
      </c>
      <c r="D1969" s="6" t="s">
        <v>185</v>
      </c>
      <c r="E1969" s="6" t="s">
        <v>208</v>
      </c>
      <c r="F1969" s="6">
        <v>68964.59</v>
      </c>
      <c r="G1969" s="2">
        <v>12</v>
      </c>
      <c r="H1969" s="61">
        <v>12.93</v>
      </c>
      <c r="I1969" s="61">
        <v>14.13</v>
      </c>
      <c r="J1969" s="47">
        <f t="shared" si="150"/>
        <v>7.7499999999999972E-2</v>
      </c>
      <c r="K1969" s="47">
        <f t="shared" si="151"/>
        <v>9.2807424593967597E-2</v>
      </c>
      <c r="L1969" s="8">
        <v>15.03</v>
      </c>
      <c r="M1969" s="8">
        <v>19.89</v>
      </c>
      <c r="N1969" s="8">
        <v>19.079999999999998</v>
      </c>
      <c r="O1969" s="17">
        <f t="shared" si="152"/>
        <v>2.5664516129032267</v>
      </c>
      <c r="P1969" s="17">
        <f t="shared" si="153"/>
        <v>2.0558699999999983</v>
      </c>
      <c r="Q1969" s="17">
        <v>17.940000000000001</v>
      </c>
      <c r="R1969" s="9">
        <v>20220804</v>
      </c>
      <c r="S1969" s="9">
        <v>32.24</v>
      </c>
      <c r="T1969" s="9">
        <v>34.93</v>
      </c>
      <c r="U1969" s="9">
        <v>8600.2939399999996</v>
      </c>
      <c r="V1969" s="45">
        <f t="shared" si="154"/>
        <v>-0.99593851091094221</v>
      </c>
      <c r="W1969" s="12">
        <v>-2.2200000000000002</v>
      </c>
      <c r="X1969" s="12">
        <v>0</v>
      </c>
      <c r="Y1969" s="62">
        <v>1.76</v>
      </c>
    </row>
    <row r="1970" spans="1:25" x14ac:dyDescent="0.2">
      <c r="A1970" s="3" t="s">
        <v>4220</v>
      </c>
      <c r="B1970" s="3" t="s">
        <v>4221</v>
      </c>
      <c r="C1970" s="6" t="s">
        <v>354</v>
      </c>
      <c r="D1970" s="6" t="s">
        <v>180</v>
      </c>
      <c r="E1970" s="6" t="s">
        <v>146</v>
      </c>
      <c r="F1970" s="6">
        <v>3689.96</v>
      </c>
      <c r="G1970" s="2">
        <v>1</v>
      </c>
      <c r="H1970" s="61">
        <v>7.02</v>
      </c>
      <c r="I1970" s="61">
        <v>6.91</v>
      </c>
      <c r="J1970" s="47">
        <f t="shared" si="150"/>
        <v>6.02</v>
      </c>
      <c r="K1970" s="47">
        <f t="shared" si="151"/>
        <v>-1.5669515669515591E-2</v>
      </c>
      <c r="L1970" s="8">
        <v>7.85</v>
      </c>
      <c r="N1970" s="8">
        <v>6.45</v>
      </c>
      <c r="O1970" s="17">
        <f t="shared" si="152"/>
        <v>0</v>
      </c>
      <c r="P1970" s="17">
        <f t="shared" si="153"/>
        <v>-4.1162727272727482</v>
      </c>
      <c r="Q1970" s="17">
        <v>5.68</v>
      </c>
      <c r="R1970" s="9">
        <v>20220531</v>
      </c>
      <c r="U1970" s="9">
        <v>6929.1518500000002</v>
      </c>
      <c r="V1970" s="45">
        <f t="shared" si="154"/>
        <v>-1</v>
      </c>
      <c r="W1970" s="12">
        <v>2.27</v>
      </c>
      <c r="X1970" s="12">
        <v>0</v>
      </c>
      <c r="Y1970" s="62">
        <v>0.69</v>
      </c>
    </row>
    <row r="1971" spans="1:25" x14ac:dyDescent="0.2">
      <c r="A1971" s="3" t="s">
        <v>4222</v>
      </c>
      <c r="B1971" s="3" t="s">
        <v>248</v>
      </c>
      <c r="C1971" s="6" t="s">
        <v>354</v>
      </c>
      <c r="D1971" s="6" t="s">
        <v>246</v>
      </c>
      <c r="E1971" s="6" t="s">
        <v>250</v>
      </c>
      <c r="F1971" s="6">
        <v>11197.15</v>
      </c>
      <c r="G1971" s="2">
        <v>12</v>
      </c>
      <c r="H1971" s="61">
        <v>0.28999999999999998</v>
      </c>
      <c r="I1971" s="61">
        <v>2.1800000000000002</v>
      </c>
      <c r="J1971" s="47">
        <f t="shared" si="150"/>
        <v>-0.97583333333333344</v>
      </c>
      <c r="K1971" s="47">
        <f t="shared" si="151"/>
        <v>6.5172413793103461</v>
      </c>
      <c r="L1971" s="8">
        <v>5.09</v>
      </c>
      <c r="M1971" s="8">
        <v>17.059999999999999</v>
      </c>
      <c r="N1971" s="8">
        <v>11.89</v>
      </c>
      <c r="O1971" s="17">
        <f t="shared" si="152"/>
        <v>-0.1748249359521776</v>
      </c>
      <c r="P1971" s="17">
        <f t="shared" si="153"/>
        <v>1.824391534391534E-2</v>
      </c>
      <c r="Q1971" s="17">
        <v>5.09</v>
      </c>
      <c r="R1971" s="9">
        <v>20220804</v>
      </c>
      <c r="S1971" s="9">
        <v>13.6</v>
      </c>
      <c r="T1971" s="9">
        <v>20.87</v>
      </c>
      <c r="U1971" s="9">
        <v>16105.339840000001</v>
      </c>
      <c r="V1971" s="45">
        <f t="shared" si="154"/>
        <v>-0.9987041564967063</v>
      </c>
      <c r="W1971" s="12">
        <v>-126.09</v>
      </c>
      <c r="X1971" s="12">
        <v>2.62</v>
      </c>
      <c r="Y1971" s="62"/>
    </row>
    <row r="1972" spans="1:25" x14ac:dyDescent="0.2">
      <c r="B1972" s="3" t="s">
        <v>2301</v>
      </c>
      <c r="C1972" s="6" t="s">
        <v>354</v>
      </c>
      <c r="D1972" s="6" t="s">
        <v>519</v>
      </c>
      <c r="E1972" s="6" t="s">
        <v>163</v>
      </c>
      <c r="F1972" s="6">
        <v>260554.5</v>
      </c>
      <c r="G1972" s="2">
        <v>12</v>
      </c>
      <c r="H1972" s="61"/>
      <c r="I1972" s="61"/>
      <c r="J1972" s="47">
        <f t="shared" si="150"/>
        <v>-1</v>
      </c>
      <c r="K1972" s="47" t="e">
        <f t="shared" si="151"/>
        <v>#DIV/0!</v>
      </c>
      <c r="O1972" s="17">
        <f t="shared" si="152"/>
        <v>0</v>
      </c>
      <c r="P1972" s="17" t="e">
        <f t="shared" si="153"/>
        <v>#DIV/0!</v>
      </c>
      <c r="Q1972" s="17"/>
      <c r="V1972" s="45" t="e">
        <f t="shared" si="154"/>
        <v>#DIV/0!</v>
      </c>
      <c r="X1972" s="12">
        <v>1.46</v>
      </c>
      <c r="Y1972" s="62"/>
    </row>
    <row r="1973" spans="1:25" x14ac:dyDescent="0.2">
      <c r="A1973" s="3" t="s">
        <v>4223</v>
      </c>
      <c r="B1973" s="3" t="s">
        <v>249</v>
      </c>
      <c r="C1973" s="6" t="s">
        <v>354</v>
      </c>
      <c r="D1973" s="6" t="s">
        <v>215</v>
      </c>
      <c r="E1973" s="6" t="s">
        <v>163</v>
      </c>
      <c r="F1973" s="6">
        <v>22534.83</v>
      </c>
      <c r="G1973" s="2">
        <v>12</v>
      </c>
      <c r="H1973" s="61">
        <v>2.87</v>
      </c>
      <c r="I1973" s="61">
        <v>3.05</v>
      </c>
      <c r="J1973" s="47">
        <f t="shared" si="150"/>
        <v>-0.76083333333333325</v>
      </c>
      <c r="K1973" s="47">
        <f t="shared" si="151"/>
        <v>6.2717770034843107E-2</v>
      </c>
      <c r="L1973" s="8">
        <v>3.32</v>
      </c>
      <c r="M1973" s="8">
        <v>18.920000000000002</v>
      </c>
      <c r="N1973" s="8">
        <v>18.46</v>
      </c>
      <c r="O1973" s="17">
        <f t="shared" si="152"/>
        <v>-0.24867469879518075</v>
      </c>
      <c r="P1973" s="17">
        <f t="shared" si="153"/>
        <v>2.943344444444449</v>
      </c>
      <c r="Q1973" s="17">
        <v>16.98</v>
      </c>
      <c r="R1973" s="9">
        <v>20220805</v>
      </c>
      <c r="S1973" s="9">
        <v>1.35</v>
      </c>
      <c r="T1973" s="9">
        <v>1.51</v>
      </c>
      <c r="U1973" s="9">
        <v>4236.7612300000001</v>
      </c>
      <c r="V1973" s="45">
        <f t="shared" si="154"/>
        <v>-0.99964359568122274</v>
      </c>
      <c r="W1973" s="12">
        <v>2.6</v>
      </c>
      <c r="X1973" s="12">
        <v>3.19</v>
      </c>
      <c r="Y1973" s="62">
        <v>3.39</v>
      </c>
    </row>
    <row r="1974" spans="1:25" x14ac:dyDescent="0.2">
      <c r="A1974" s="3" t="s">
        <v>4224</v>
      </c>
      <c r="B1974" s="3" t="s">
        <v>478</v>
      </c>
      <c r="C1974" s="6" t="s">
        <v>355</v>
      </c>
      <c r="D1974" s="6" t="s">
        <v>195</v>
      </c>
      <c r="E1974" s="6" t="s">
        <v>208</v>
      </c>
      <c r="F1974" s="6">
        <v>14560.32</v>
      </c>
      <c r="G1974" s="2">
        <v>12</v>
      </c>
      <c r="H1974" s="61">
        <v>3.7</v>
      </c>
      <c r="I1974" s="61">
        <v>3.46</v>
      </c>
      <c r="J1974" s="47">
        <f t="shared" si="150"/>
        <v>-0.69166666666666676</v>
      </c>
      <c r="K1974" s="47">
        <f t="shared" si="151"/>
        <v>-6.4864864864864924E-2</v>
      </c>
      <c r="L1974" s="8">
        <v>3.39</v>
      </c>
      <c r="M1974" s="8">
        <v>3.25</v>
      </c>
      <c r="N1974" s="8">
        <v>3.47</v>
      </c>
      <c r="O1974" s="17">
        <f t="shared" si="152"/>
        <v>-4.6987951807228916E-2</v>
      </c>
      <c r="P1974" s="17">
        <f t="shared" si="153"/>
        <v>-0.53495833333333287</v>
      </c>
      <c r="Q1974" s="17">
        <v>3.54</v>
      </c>
      <c r="R1974" s="9">
        <v>20220808</v>
      </c>
      <c r="S1974" s="9">
        <v>21.5</v>
      </c>
      <c r="T1974" s="9">
        <v>7.98</v>
      </c>
      <c r="U1974" s="9">
        <v>17097.689450000002</v>
      </c>
      <c r="V1974" s="45">
        <f t="shared" si="154"/>
        <v>-0.99953327026886662</v>
      </c>
      <c r="W1974" s="12">
        <v>14.81</v>
      </c>
      <c r="X1974" s="12">
        <v>4</v>
      </c>
      <c r="Y1974" s="62">
        <v>0.51</v>
      </c>
    </row>
    <row r="1975" spans="1:25" x14ac:dyDescent="0.2">
      <c r="A1975" s="3" t="s">
        <v>4225</v>
      </c>
      <c r="B1975" s="3" t="s">
        <v>419</v>
      </c>
      <c r="C1975" s="6" t="s">
        <v>354</v>
      </c>
      <c r="D1975" s="6" t="s">
        <v>128</v>
      </c>
      <c r="E1975" s="6" t="s">
        <v>60</v>
      </c>
      <c r="F1975" s="6">
        <v>5859.14</v>
      </c>
      <c r="G1975" s="2">
        <v>9</v>
      </c>
      <c r="H1975" s="61">
        <v>1.92</v>
      </c>
      <c r="I1975" s="61">
        <v>2.09</v>
      </c>
      <c r="J1975" s="47">
        <f t="shared" si="150"/>
        <v>-0.78666666666666663</v>
      </c>
      <c r="K1975" s="47">
        <f t="shared" si="151"/>
        <v>8.854166666666663E-2</v>
      </c>
      <c r="L1975" s="8">
        <v>2.48</v>
      </c>
      <c r="M1975" s="8">
        <v>16.36</v>
      </c>
      <c r="N1975" s="8">
        <v>15.77</v>
      </c>
      <c r="O1975" s="17">
        <f t="shared" si="152"/>
        <v>-0.20796610169491528</v>
      </c>
      <c r="P1975" s="17">
        <f t="shared" si="153"/>
        <v>1.7810823529411772</v>
      </c>
      <c r="Q1975" s="17">
        <v>13.27</v>
      </c>
      <c r="R1975" s="9">
        <v>20220803</v>
      </c>
      <c r="S1975" s="9">
        <v>278.10000000000002</v>
      </c>
      <c r="T1975" s="9">
        <v>8.4700000000000006</v>
      </c>
      <c r="U1975" s="9">
        <v>3623.0300200000001</v>
      </c>
      <c r="V1975" s="45">
        <f t="shared" si="154"/>
        <v>-0.99766217780331834</v>
      </c>
      <c r="W1975" s="12">
        <v>0</v>
      </c>
      <c r="X1975" s="12">
        <v>1.52</v>
      </c>
      <c r="Y1975" s="62"/>
    </row>
    <row r="1976" spans="1:25" x14ac:dyDescent="0.2">
      <c r="A1976" s="3" t="s">
        <v>4226</v>
      </c>
      <c r="B1976" s="3" t="s">
        <v>324</v>
      </c>
      <c r="C1976" s="6" t="s">
        <v>356</v>
      </c>
      <c r="D1976" s="6" t="s">
        <v>46</v>
      </c>
      <c r="E1976" s="6" t="s">
        <v>35</v>
      </c>
      <c r="F1976" s="6">
        <v>104028.8</v>
      </c>
      <c r="G1976" s="2">
        <v>12</v>
      </c>
      <c r="H1976" s="61">
        <v>3.04</v>
      </c>
      <c r="I1976" s="61">
        <v>3.49</v>
      </c>
      <c r="J1976" s="47">
        <f t="shared" si="150"/>
        <v>-0.7466666666666667</v>
      </c>
      <c r="K1976" s="47">
        <f t="shared" si="151"/>
        <v>0.14802631578947373</v>
      </c>
      <c r="L1976" s="8">
        <v>3.66</v>
      </c>
      <c r="M1976" s="8">
        <v>5.91</v>
      </c>
      <c r="N1976" s="8">
        <v>5.95</v>
      </c>
      <c r="O1976" s="17">
        <f t="shared" si="152"/>
        <v>-7.9151785714285716E-2</v>
      </c>
      <c r="P1976" s="17">
        <f t="shared" si="153"/>
        <v>0.40195555555555545</v>
      </c>
      <c r="Q1976" s="17">
        <v>5.67</v>
      </c>
      <c r="R1976" s="9">
        <v>20220602</v>
      </c>
      <c r="S1976" s="9">
        <v>10.48</v>
      </c>
      <c r="T1976" s="9">
        <v>2.29</v>
      </c>
      <c r="U1976" s="9">
        <v>291869.9375</v>
      </c>
      <c r="V1976" s="45">
        <f t="shared" si="154"/>
        <v>-0.9999921540395027</v>
      </c>
      <c r="W1976" s="12">
        <v>38.299999999999997</v>
      </c>
      <c r="X1976" s="12">
        <v>2.54</v>
      </c>
      <c r="Y1976" s="62"/>
    </row>
    <row r="1977" spans="1:25" x14ac:dyDescent="0.2">
      <c r="A1977" s="3" t="s">
        <v>4227</v>
      </c>
      <c r="B1977" s="3" t="s">
        <v>514</v>
      </c>
      <c r="C1977" s="6" t="s">
        <v>356</v>
      </c>
      <c r="D1977" s="6" t="s">
        <v>306</v>
      </c>
      <c r="E1977" s="6" t="s">
        <v>218</v>
      </c>
      <c r="F1977" s="6">
        <v>24577.64</v>
      </c>
      <c r="G1977" s="2">
        <v>12</v>
      </c>
      <c r="H1977" s="61">
        <v>0.1</v>
      </c>
      <c r="I1977" s="61">
        <v>-0.15</v>
      </c>
      <c r="J1977" s="47">
        <f t="shared" si="150"/>
        <v>-0.9916666666666667</v>
      </c>
      <c r="K1977" s="47">
        <f t="shared" si="151"/>
        <v>-2.5</v>
      </c>
      <c r="L1977" s="8">
        <v>0.14000000000000001</v>
      </c>
      <c r="M1977" s="8">
        <v>270.42</v>
      </c>
      <c r="O1977" s="17">
        <f t="shared" si="152"/>
        <v>-2.7269243697478993</v>
      </c>
      <c r="P1977" s="17">
        <f t="shared" si="153"/>
        <v>0</v>
      </c>
      <c r="Q1977" s="17">
        <v>56.6</v>
      </c>
      <c r="R1977" s="9">
        <v>20220810</v>
      </c>
      <c r="S1977" s="9">
        <v>0.84</v>
      </c>
      <c r="T1977" s="9">
        <v>14</v>
      </c>
      <c r="U1977" s="9">
        <v>15856.95507</v>
      </c>
      <c r="V1977" s="45">
        <f t="shared" si="154"/>
        <v>-0.99911710666151243</v>
      </c>
      <c r="X1977" s="12">
        <v>0.14000000000000001</v>
      </c>
      <c r="Y1977" s="62"/>
    </row>
    <row r="1978" spans="1:25" x14ac:dyDescent="0.2">
      <c r="B1978" s="3" t="s">
        <v>2302</v>
      </c>
      <c r="C1978" s="6" t="s">
        <v>354</v>
      </c>
      <c r="D1978" s="6" t="s">
        <v>519</v>
      </c>
      <c r="E1978" s="6" t="s">
        <v>163</v>
      </c>
      <c r="F1978" s="6">
        <v>72910.350000000006</v>
      </c>
      <c r="G1978" s="2">
        <v>12</v>
      </c>
      <c r="H1978" s="61"/>
      <c r="I1978" s="61"/>
      <c r="J1978" s="47">
        <f t="shared" si="150"/>
        <v>-1</v>
      </c>
      <c r="K1978" s="47" t="e">
        <f t="shared" si="151"/>
        <v>#DIV/0!</v>
      </c>
      <c r="O1978" s="17">
        <f t="shared" si="152"/>
        <v>0</v>
      </c>
      <c r="P1978" s="17" t="e">
        <f t="shared" si="153"/>
        <v>#DIV/0!</v>
      </c>
      <c r="Q1978" s="17"/>
      <c r="V1978" s="45" t="e">
        <f t="shared" si="154"/>
        <v>#DIV/0!</v>
      </c>
      <c r="X1978" s="12">
        <v>3.21</v>
      </c>
      <c r="Y1978" s="62"/>
    </row>
    <row r="1979" spans="1:25" x14ac:dyDescent="0.2">
      <c r="A1979" s="3" t="s">
        <v>4228</v>
      </c>
      <c r="B1979" s="3" t="s">
        <v>353</v>
      </c>
      <c r="C1979" s="6" t="s">
        <v>354</v>
      </c>
      <c r="D1979" s="6" t="s">
        <v>277</v>
      </c>
      <c r="E1979" s="6" t="s">
        <v>119</v>
      </c>
      <c r="F1979" s="6">
        <v>214139.83</v>
      </c>
      <c r="G1979" s="2">
        <v>12</v>
      </c>
      <c r="H1979" s="61">
        <v>5.35</v>
      </c>
      <c r="I1979" s="61">
        <v>5.4</v>
      </c>
      <c r="J1979" s="47">
        <f t="shared" si="150"/>
        <v>-0.5541666666666667</v>
      </c>
      <c r="K1979" s="47">
        <f t="shared" si="151"/>
        <v>9.3457943925234974E-3</v>
      </c>
      <c r="L1979" s="8">
        <v>5.59</v>
      </c>
      <c r="M1979" s="8">
        <v>9.3699999999999992</v>
      </c>
      <c r="N1979" s="8">
        <v>9.4499999999999993</v>
      </c>
      <c r="O1979" s="17">
        <f t="shared" si="152"/>
        <v>-0.16908270676691725</v>
      </c>
      <c r="P1979" s="17">
        <f t="shared" si="153"/>
        <v>10.111499999999856</v>
      </c>
      <c r="Q1979" s="17">
        <v>9.1300000000000008</v>
      </c>
      <c r="R1979" s="9">
        <v>20220722</v>
      </c>
      <c r="S1979" s="9">
        <v>28.15</v>
      </c>
      <c r="T1979" s="9">
        <v>1.17</v>
      </c>
      <c r="U1979" s="9">
        <v>136368.89061999999</v>
      </c>
      <c r="V1979" s="45">
        <f t="shared" si="154"/>
        <v>-0.99999142033058497</v>
      </c>
      <c r="W1979" s="12">
        <v>0</v>
      </c>
      <c r="X1979" s="12">
        <v>5.0199999999999996</v>
      </c>
      <c r="Y1979" s="62">
        <v>2.63</v>
      </c>
    </row>
    <row r="1980" spans="1:25" x14ac:dyDescent="0.2">
      <c r="A1980" s="3" t="s">
        <v>4229</v>
      </c>
      <c r="B1980" s="3" t="s">
        <v>404</v>
      </c>
      <c r="C1980" s="6" t="s">
        <v>354</v>
      </c>
      <c r="D1980" s="6" t="s">
        <v>174</v>
      </c>
      <c r="E1980" s="6" t="s">
        <v>231</v>
      </c>
      <c r="F1980" s="6">
        <v>5926.45</v>
      </c>
      <c r="G1980" s="2">
        <v>12</v>
      </c>
      <c r="H1980" s="61">
        <v>2.46</v>
      </c>
      <c r="I1980" s="61">
        <v>-5.54</v>
      </c>
      <c r="J1980" s="47">
        <f t="shared" si="150"/>
        <v>-0.79499999999999993</v>
      </c>
      <c r="K1980" s="47">
        <f t="shared" si="151"/>
        <v>-3.2520325203252032</v>
      </c>
      <c r="L1980" s="8">
        <v>-3</v>
      </c>
      <c r="O1980" s="17">
        <f t="shared" si="152"/>
        <v>0</v>
      </c>
      <c r="P1980" s="17">
        <f t="shared" si="153"/>
        <v>0</v>
      </c>
      <c r="Q1980" s="17"/>
      <c r="R1980" s="9">
        <v>20220804</v>
      </c>
      <c r="S1980" s="9">
        <v>-10.53</v>
      </c>
      <c r="T1980" s="9">
        <v>34.57</v>
      </c>
      <c r="U1980" s="9">
        <v>13271.43066</v>
      </c>
      <c r="V1980" s="45">
        <f t="shared" si="154"/>
        <v>-0.99739515649174182</v>
      </c>
      <c r="W1980" s="12">
        <v>-26.45</v>
      </c>
      <c r="X1980" s="12">
        <v>0</v>
      </c>
      <c r="Y1980" s="62"/>
    </row>
    <row r="1981" spans="1:25" x14ac:dyDescent="0.2">
      <c r="A1981" s="3" t="s">
        <v>4230</v>
      </c>
      <c r="B1981" s="3" t="s">
        <v>342</v>
      </c>
      <c r="C1981" s="6" t="s">
        <v>354</v>
      </c>
      <c r="D1981" s="6" t="s">
        <v>238</v>
      </c>
      <c r="E1981" s="6" t="s">
        <v>237</v>
      </c>
      <c r="F1981" s="6">
        <v>16575.28</v>
      </c>
      <c r="G1981" s="2">
        <v>12</v>
      </c>
      <c r="H1981" s="61">
        <v>4.25</v>
      </c>
      <c r="I1981" s="61">
        <v>4.9400000000000004</v>
      </c>
      <c r="J1981" s="47">
        <f t="shared" si="150"/>
        <v>-0.64583333333333337</v>
      </c>
      <c r="K1981" s="47">
        <f t="shared" si="151"/>
        <v>0.16235294117647067</v>
      </c>
      <c r="L1981" s="8">
        <v>5.55</v>
      </c>
      <c r="M1981" s="8">
        <v>20.12</v>
      </c>
      <c r="N1981" s="8">
        <v>18.37</v>
      </c>
      <c r="O1981" s="17">
        <f t="shared" si="152"/>
        <v>-0.31153548387096769</v>
      </c>
      <c r="P1981" s="17">
        <f t="shared" si="153"/>
        <v>1.1314855072463761</v>
      </c>
      <c r="Q1981" s="17">
        <v>16.350000000000001</v>
      </c>
      <c r="R1981" s="9">
        <v>20220804</v>
      </c>
      <c r="S1981" s="9">
        <v>8.27</v>
      </c>
      <c r="T1981" s="9">
        <v>22.75</v>
      </c>
      <c r="U1981" s="9">
        <v>8450.6298800000004</v>
      </c>
      <c r="V1981" s="45">
        <f t="shared" si="154"/>
        <v>-0.99730789298276545</v>
      </c>
      <c r="W1981" s="12">
        <v>-0.88</v>
      </c>
      <c r="X1981" s="12">
        <v>0.66</v>
      </c>
      <c r="Y1981" s="62">
        <v>1.46</v>
      </c>
    </row>
    <row r="1982" spans="1:25" x14ac:dyDescent="0.2">
      <c r="A1982" s="3" t="s">
        <v>4231</v>
      </c>
      <c r="B1982" s="3" t="s">
        <v>405</v>
      </c>
      <c r="C1982" s="6" t="s">
        <v>354</v>
      </c>
      <c r="D1982" s="6" t="s">
        <v>113</v>
      </c>
      <c r="E1982" s="6" t="s">
        <v>163</v>
      </c>
      <c r="F1982" s="6">
        <v>8755.7199999999993</v>
      </c>
      <c r="G1982" s="2">
        <v>12</v>
      </c>
      <c r="H1982" s="61">
        <v>8.68</v>
      </c>
      <c r="I1982" s="61">
        <v>9.8800000000000008</v>
      </c>
      <c r="J1982" s="47">
        <f t="shared" si="150"/>
        <v>-0.27666666666666667</v>
      </c>
      <c r="K1982" s="47">
        <f t="shared" si="151"/>
        <v>0.1382488479262674</v>
      </c>
      <c r="L1982" s="8">
        <v>11.83</v>
      </c>
      <c r="M1982" s="8">
        <v>8.84</v>
      </c>
      <c r="N1982" s="8">
        <v>8.18</v>
      </c>
      <c r="O1982" s="17">
        <f t="shared" si="152"/>
        <v>-0.31951807228915663</v>
      </c>
      <c r="P1982" s="17">
        <f t="shared" si="153"/>
        <v>0.59168666666666614</v>
      </c>
      <c r="Q1982" s="17">
        <v>6.84</v>
      </c>
      <c r="R1982" s="9">
        <v>20220721</v>
      </c>
      <c r="S1982" s="9">
        <v>21.77</v>
      </c>
      <c r="T1982" s="9">
        <v>20.09</v>
      </c>
      <c r="U1982" s="9">
        <v>2443.9399400000002</v>
      </c>
      <c r="V1982" s="45">
        <f t="shared" si="154"/>
        <v>-0.99177966705679343</v>
      </c>
      <c r="W1982" s="12">
        <v>6.22</v>
      </c>
      <c r="X1982" s="12">
        <v>1.73</v>
      </c>
      <c r="Y1982" s="62">
        <v>0.82</v>
      </c>
    </row>
    <row r="1983" spans="1:25" x14ac:dyDescent="0.2">
      <c r="A1983" s="3" t="s">
        <v>4232</v>
      </c>
      <c r="B1983" s="3" t="s">
        <v>251</v>
      </c>
      <c r="C1983" s="6" t="s">
        <v>354</v>
      </c>
      <c r="D1983" s="6" t="s">
        <v>166</v>
      </c>
      <c r="E1983" s="6" t="s">
        <v>119</v>
      </c>
      <c r="F1983" s="6">
        <v>19268.68</v>
      </c>
      <c r="G1983" s="2">
        <v>12</v>
      </c>
      <c r="H1983" s="61">
        <v>11</v>
      </c>
      <c r="I1983" s="61">
        <v>12.05</v>
      </c>
      <c r="J1983" s="47">
        <f t="shared" si="150"/>
        <v>-8.3333333333333329E-2</v>
      </c>
      <c r="K1983" s="47">
        <f t="shared" si="151"/>
        <v>9.5454545454545514E-2</v>
      </c>
      <c r="L1983" s="8">
        <v>13.23</v>
      </c>
      <c r="M1983" s="8">
        <v>27.27</v>
      </c>
      <c r="N1983" s="8">
        <v>26.54</v>
      </c>
      <c r="O1983" s="17">
        <f t="shared" si="152"/>
        <v>-3.2724000000000002</v>
      </c>
      <c r="P1983" s="17">
        <f t="shared" si="153"/>
        <v>2.7803809523809502</v>
      </c>
      <c r="Q1983" s="17">
        <v>24.18</v>
      </c>
      <c r="R1983" s="9">
        <v>20220802</v>
      </c>
      <c r="S1983" s="9">
        <v>221.08</v>
      </c>
      <c r="T1983" s="9">
        <v>3.86</v>
      </c>
      <c r="U1983" s="9">
        <v>2944.5139100000001</v>
      </c>
      <c r="V1983" s="45">
        <f t="shared" si="154"/>
        <v>-0.99868908753091945</v>
      </c>
      <c r="W1983" s="12">
        <v>20.69</v>
      </c>
      <c r="X1983" s="12">
        <v>0</v>
      </c>
      <c r="Y1983" s="62">
        <v>2.95</v>
      </c>
    </row>
    <row r="1984" spans="1:25" x14ac:dyDescent="0.2">
      <c r="A1984" s="3" t="s">
        <v>4233</v>
      </c>
      <c r="B1984" s="3" t="s">
        <v>371</v>
      </c>
      <c r="C1984" s="6" t="s">
        <v>355</v>
      </c>
      <c r="D1984" s="6" t="s">
        <v>175</v>
      </c>
      <c r="E1984" s="6" t="s">
        <v>119</v>
      </c>
      <c r="F1984" s="6">
        <v>5187.62</v>
      </c>
      <c r="G1984" s="2">
        <v>12</v>
      </c>
      <c r="H1984" s="61">
        <v>3.08</v>
      </c>
      <c r="I1984" s="61">
        <v>2.77</v>
      </c>
      <c r="J1984" s="47">
        <f t="shared" si="150"/>
        <v>-0.74333333333333329</v>
      </c>
      <c r="K1984" s="47">
        <f t="shared" si="151"/>
        <v>-0.10064935064935067</v>
      </c>
      <c r="L1984" s="8">
        <v>3.1</v>
      </c>
      <c r="M1984" s="8">
        <v>7.1</v>
      </c>
      <c r="N1984" s="8">
        <v>7.91</v>
      </c>
      <c r="O1984" s="17">
        <f t="shared" si="152"/>
        <v>-9.551569506726458E-2</v>
      </c>
      <c r="P1984" s="17">
        <f t="shared" si="153"/>
        <v>-0.7858967741935482</v>
      </c>
      <c r="Q1984" s="17">
        <v>7.07</v>
      </c>
      <c r="R1984" s="9">
        <v>20220530</v>
      </c>
      <c r="S1984" s="9">
        <v>13.38</v>
      </c>
      <c r="T1984" s="9">
        <v>19.03</v>
      </c>
      <c r="U1984" s="9">
        <v>2292.4169900000002</v>
      </c>
      <c r="V1984" s="45">
        <f t="shared" si="154"/>
        <v>-0.9916987179544503</v>
      </c>
      <c r="W1984" s="12">
        <v>0</v>
      </c>
      <c r="X1984" s="12">
        <v>0</v>
      </c>
      <c r="Y1984" s="62">
        <v>0.63</v>
      </c>
    </row>
    <row r="1985" spans="1:25" x14ac:dyDescent="0.2">
      <c r="A1985" s="3" t="s">
        <v>4234</v>
      </c>
      <c r="B1985" s="3" t="s">
        <v>379</v>
      </c>
      <c r="C1985" s="6" t="s">
        <v>355</v>
      </c>
      <c r="D1985" s="6" t="s">
        <v>222</v>
      </c>
      <c r="E1985" s="6" t="s">
        <v>231</v>
      </c>
      <c r="F1985" s="6">
        <v>37176.81</v>
      </c>
      <c r="G1985" s="2">
        <v>8</v>
      </c>
      <c r="H1985" s="61">
        <v>4.7699999999999996</v>
      </c>
      <c r="I1985" s="61">
        <v>5.05</v>
      </c>
      <c r="J1985" s="47">
        <f t="shared" si="150"/>
        <v>-0.40375000000000005</v>
      </c>
      <c r="K1985" s="47">
        <f t="shared" si="151"/>
        <v>5.8700209643605929E-2</v>
      </c>
      <c r="L1985" s="8">
        <v>4.74</v>
      </c>
      <c r="M1985" s="8">
        <v>7.23</v>
      </c>
      <c r="N1985" s="8">
        <v>8.52</v>
      </c>
      <c r="O1985" s="17">
        <f t="shared" si="152"/>
        <v>-0.17907120743034052</v>
      </c>
      <c r="P1985" s="17">
        <f t="shared" si="153"/>
        <v>1.4514428571428557</v>
      </c>
      <c r="Q1985" s="17">
        <v>9.09</v>
      </c>
      <c r="R1985" s="9">
        <v>20220707</v>
      </c>
      <c r="S1985" s="9">
        <v>19.149999999999999</v>
      </c>
      <c r="T1985" s="9">
        <v>3.18</v>
      </c>
      <c r="U1985" s="9">
        <v>132349.73436999999</v>
      </c>
      <c r="V1985" s="45">
        <f t="shared" si="154"/>
        <v>-0.99997597275117223</v>
      </c>
      <c r="W1985" s="12">
        <v>14.39</v>
      </c>
      <c r="X1985" s="12">
        <v>4.4400000000000004</v>
      </c>
      <c r="Y1985" s="62">
        <v>2.35</v>
      </c>
    </row>
    <row r="1986" spans="1:25" x14ac:dyDescent="0.2">
      <c r="A1986" s="3" t="s">
        <v>4235</v>
      </c>
      <c r="B1986" s="3" t="s">
        <v>4236</v>
      </c>
      <c r="C1986" s="6" t="s">
        <v>355</v>
      </c>
      <c r="D1986" s="6" t="s">
        <v>789</v>
      </c>
      <c r="E1986" s="6" t="s">
        <v>146</v>
      </c>
      <c r="F1986" s="6">
        <v>43634.66</v>
      </c>
      <c r="G1986" s="2">
        <v>12</v>
      </c>
      <c r="H1986" s="61">
        <v>2.78</v>
      </c>
      <c r="I1986" s="61">
        <v>1.67</v>
      </c>
      <c r="J1986" s="47">
        <f t="shared" si="150"/>
        <v>-0.76833333333333342</v>
      </c>
      <c r="K1986" s="47">
        <f t="shared" si="151"/>
        <v>-0.39928057553956831</v>
      </c>
      <c r="L1986" s="8">
        <v>2.04</v>
      </c>
      <c r="M1986" s="8">
        <v>8.64</v>
      </c>
      <c r="N1986" s="8">
        <v>10.77</v>
      </c>
      <c r="O1986" s="17">
        <f t="shared" si="152"/>
        <v>-0.11245119305856832</v>
      </c>
      <c r="P1986" s="17">
        <f t="shared" si="153"/>
        <v>-0.26973513513513514</v>
      </c>
      <c r="Q1986" s="17">
        <v>8.8000000000000007</v>
      </c>
      <c r="R1986" s="9">
        <v>20220802</v>
      </c>
      <c r="S1986" s="9">
        <v>10.38</v>
      </c>
      <c r="T1986" s="9">
        <v>12.55</v>
      </c>
      <c r="U1986" s="9">
        <v>41835.460930000001</v>
      </c>
      <c r="V1986" s="45">
        <f t="shared" si="154"/>
        <v>-0.99970001525688934</v>
      </c>
      <c r="W1986" s="12">
        <v>23.21</v>
      </c>
      <c r="X1986" s="12">
        <v>0</v>
      </c>
      <c r="Y1986" s="62">
        <v>1.08</v>
      </c>
    </row>
    <row r="1987" spans="1:25" x14ac:dyDescent="0.2">
      <c r="A1987" s="3" t="s">
        <v>4237</v>
      </c>
      <c r="B1987" s="3" t="s">
        <v>479</v>
      </c>
      <c r="C1987" s="6" t="s">
        <v>354</v>
      </c>
      <c r="D1987" s="6" t="s">
        <v>104</v>
      </c>
      <c r="E1987" s="6" t="s">
        <v>163</v>
      </c>
      <c r="F1987" s="6">
        <v>8563.5499999999993</v>
      </c>
      <c r="G1987" s="2">
        <v>12</v>
      </c>
      <c r="H1987" s="61">
        <v>4.6399999999999997</v>
      </c>
      <c r="I1987" s="61">
        <v>5.25</v>
      </c>
      <c r="J1987" s="47">
        <f t="shared" ref="J1987:J2050" si="155">(H1987-G1987)/ABS(G1987)</f>
        <v>-0.6133333333333334</v>
      </c>
      <c r="K1987" s="47">
        <f t="shared" ref="K1987:K2050" si="156">(I1987-H1987)/ABS(H1987)</f>
        <v>0.13146551724137939</v>
      </c>
      <c r="L1987" s="8">
        <v>6.24</v>
      </c>
      <c r="M1987" s="8">
        <v>9.85</v>
      </c>
      <c r="N1987" s="8">
        <v>9.09</v>
      </c>
      <c r="O1987" s="17">
        <f t="shared" ref="O1987:O2050" si="157">M1987/(J1987*100)</f>
        <v>-0.1605978260869565</v>
      </c>
      <c r="P1987" s="17">
        <f t="shared" ref="P1987:P2050" si="158">N1987/(K1987*100)</f>
        <v>0.69143606557377002</v>
      </c>
      <c r="Q1987" s="17">
        <v>7.64</v>
      </c>
      <c r="R1987" s="9">
        <v>20220728</v>
      </c>
      <c r="S1987" s="9">
        <v>11.74</v>
      </c>
      <c r="T1987" s="9">
        <v>2.4500000000000002</v>
      </c>
      <c r="U1987" s="9">
        <v>2359.4890099999998</v>
      </c>
      <c r="V1987" s="45">
        <f t="shared" ref="V1987:V2050" si="159">(T1987-U1987)/U1987</f>
        <v>-0.99896163957974959</v>
      </c>
      <c r="W1987" s="12">
        <v>6.9</v>
      </c>
      <c r="X1987" s="12">
        <v>3.36</v>
      </c>
      <c r="Y1987" s="62"/>
    </row>
    <row r="1988" spans="1:25" x14ac:dyDescent="0.2">
      <c r="A1988" s="3" t="s">
        <v>4238</v>
      </c>
      <c r="B1988" s="3" t="s">
        <v>2056</v>
      </c>
      <c r="C1988" s="6" t="s">
        <v>354</v>
      </c>
      <c r="D1988" s="6" t="s">
        <v>183</v>
      </c>
      <c r="E1988" s="6" t="s">
        <v>201</v>
      </c>
      <c r="F1988" s="6">
        <v>3371.89</v>
      </c>
      <c r="G1988" s="2">
        <v>12</v>
      </c>
      <c r="H1988" s="61">
        <v>0.63</v>
      </c>
      <c r="I1988" s="61">
        <v>0.89</v>
      </c>
      <c r="J1988" s="47">
        <f t="shared" si="155"/>
        <v>-0.9474999999999999</v>
      </c>
      <c r="K1988" s="47">
        <f t="shared" si="156"/>
        <v>0.41269841269841273</v>
      </c>
      <c r="M1988" s="8">
        <v>33.17</v>
      </c>
      <c r="N1988" s="8">
        <v>26.31</v>
      </c>
      <c r="O1988" s="17">
        <f t="shared" si="157"/>
        <v>-0.35007915567282327</v>
      </c>
      <c r="P1988" s="17">
        <f t="shared" si="158"/>
        <v>0.63751153846153841</v>
      </c>
      <c r="Q1988" s="17"/>
      <c r="R1988" s="9">
        <v>20220802</v>
      </c>
      <c r="S1988" s="9">
        <v>29.17</v>
      </c>
      <c r="T1988" s="9">
        <v>-2.3199999999999998</v>
      </c>
      <c r="V1988" s="45" t="e">
        <f t="shared" si="159"/>
        <v>#DIV/0!</v>
      </c>
      <c r="W1988" s="12">
        <v>-16.670000000000002</v>
      </c>
      <c r="X1988" s="12">
        <v>0</v>
      </c>
      <c r="Y1988" s="62"/>
    </row>
    <row r="1989" spans="1:25" x14ac:dyDescent="0.2">
      <c r="A1989" s="3" t="s">
        <v>4239</v>
      </c>
      <c r="B1989" s="3" t="s">
        <v>480</v>
      </c>
      <c r="C1989" s="6" t="s">
        <v>354</v>
      </c>
      <c r="D1989" s="6" t="s">
        <v>142</v>
      </c>
      <c r="E1989" s="6" t="s">
        <v>119</v>
      </c>
      <c r="F1989" s="6">
        <v>6189.34</v>
      </c>
      <c r="G1989" s="2">
        <v>12</v>
      </c>
      <c r="H1989" s="61">
        <v>9.35</v>
      </c>
      <c r="I1989" s="61">
        <v>14.23</v>
      </c>
      <c r="J1989" s="47">
        <f t="shared" si="155"/>
        <v>-0.22083333333333335</v>
      </c>
      <c r="K1989" s="47">
        <f t="shared" si="156"/>
        <v>0.52192513368983973</v>
      </c>
      <c r="L1989" s="8">
        <v>15.46</v>
      </c>
      <c r="M1989" s="8">
        <v>10.02</v>
      </c>
      <c r="N1989" s="8">
        <v>8.58</v>
      </c>
      <c r="O1989" s="17">
        <f t="shared" si="157"/>
        <v>-0.45373584905660369</v>
      </c>
      <c r="P1989" s="17">
        <f t="shared" si="158"/>
        <v>0.16439139344262291</v>
      </c>
      <c r="Q1989" s="17">
        <v>7.89</v>
      </c>
      <c r="R1989" s="9">
        <v>20220804</v>
      </c>
      <c r="S1989" s="9">
        <v>17.89</v>
      </c>
      <c r="T1989" s="9">
        <v>22.48</v>
      </c>
      <c r="U1989" s="9">
        <v>20867.554680000001</v>
      </c>
      <c r="V1989" s="45">
        <f t="shared" si="159"/>
        <v>-0.99892272955098349</v>
      </c>
      <c r="W1989" s="12">
        <v>65</v>
      </c>
      <c r="X1989" s="12">
        <v>0</v>
      </c>
      <c r="Y1989" s="62">
        <v>0.86</v>
      </c>
    </row>
    <row r="1990" spans="1:25" x14ac:dyDescent="0.2">
      <c r="A1990" s="3" t="s">
        <v>4240</v>
      </c>
      <c r="B1990" s="3" t="s">
        <v>252</v>
      </c>
      <c r="C1990" s="6" t="s">
        <v>354</v>
      </c>
      <c r="D1990" s="6" t="s">
        <v>272</v>
      </c>
      <c r="E1990" s="6" t="s">
        <v>108</v>
      </c>
      <c r="F1990" s="6">
        <v>32492.79</v>
      </c>
      <c r="G1990" s="2">
        <v>12</v>
      </c>
      <c r="H1990" s="61">
        <v>3.21</v>
      </c>
      <c r="I1990" s="61">
        <v>3.73</v>
      </c>
      <c r="J1990" s="47">
        <f t="shared" si="155"/>
        <v>-0.73249999999999993</v>
      </c>
      <c r="K1990" s="47">
        <f t="shared" si="156"/>
        <v>0.161993769470405</v>
      </c>
      <c r="L1990" s="8">
        <v>4.18</v>
      </c>
      <c r="M1990" s="8">
        <v>37.72</v>
      </c>
      <c r="N1990" s="8">
        <v>33.880000000000003</v>
      </c>
      <c r="O1990" s="17">
        <f t="shared" si="157"/>
        <v>-0.51494880546075084</v>
      </c>
      <c r="P1990" s="17">
        <f t="shared" si="158"/>
        <v>2.0914384615384618</v>
      </c>
      <c r="Q1990" s="17">
        <v>30.2</v>
      </c>
      <c r="R1990" s="9">
        <v>20220803</v>
      </c>
      <c r="S1990" s="9">
        <v>12.72</v>
      </c>
      <c r="T1990" s="9">
        <v>7.04</v>
      </c>
      <c r="U1990" s="9">
        <v>7023.0331999999999</v>
      </c>
      <c r="V1990" s="45">
        <f t="shared" si="159"/>
        <v>-0.99899758412077566</v>
      </c>
      <c r="W1990" s="12">
        <v>-1.2</v>
      </c>
      <c r="X1990" s="12">
        <v>0.73</v>
      </c>
      <c r="Y1990" s="62">
        <v>2.64</v>
      </c>
    </row>
    <row r="1991" spans="1:25" x14ac:dyDescent="0.2">
      <c r="A1991" s="3" t="s">
        <v>4241</v>
      </c>
      <c r="B1991" s="3" t="s">
        <v>1920</v>
      </c>
      <c r="C1991" s="6" t="s">
        <v>354</v>
      </c>
      <c r="D1991" s="6" t="s">
        <v>876</v>
      </c>
      <c r="E1991" s="6" t="s">
        <v>163</v>
      </c>
      <c r="F1991" s="6">
        <v>3528.37</v>
      </c>
      <c r="G1991" s="2">
        <v>12</v>
      </c>
      <c r="H1991" s="61">
        <v>8.0299999999999994</v>
      </c>
      <c r="I1991" s="61">
        <v>9.3800000000000008</v>
      </c>
      <c r="J1991" s="47">
        <f t="shared" si="155"/>
        <v>-0.33083333333333337</v>
      </c>
      <c r="K1991" s="47">
        <f t="shared" si="156"/>
        <v>0.16811955168119572</v>
      </c>
      <c r="L1991" s="8">
        <v>10.53</v>
      </c>
      <c r="M1991" s="8">
        <v>12.56</v>
      </c>
      <c r="N1991" s="8">
        <v>11.35</v>
      </c>
      <c r="O1991" s="17">
        <f t="shared" si="157"/>
        <v>-0.37964735516372794</v>
      </c>
      <c r="P1991" s="17">
        <f t="shared" si="158"/>
        <v>0.67511481481481406</v>
      </c>
      <c r="Q1991" s="17">
        <v>10.11</v>
      </c>
      <c r="R1991" s="9">
        <v>20220804</v>
      </c>
      <c r="S1991" s="9">
        <v>18.989999999999998</v>
      </c>
      <c r="T1991" s="9">
        <v>15.93</v>
      </c>
      <c r="U1991" s="9">
        <v>1479.5849599999999</v>
      </c>
      <c r="V1991" s="45">
        <f t="shared" si="159"/>
        <v>-0.98923346720150485</v>
      </c>
      <c r="W1991" s="12">
        <v>24.71</v>
      </c>
      <c r="X1991" s="12">
        <v>2.25</v>
      </c>
      <c r="Y1991" s="62"/>
    </row>
    <row r="1992" spans="1:25" x14ac:dyDescent="0.2">
      <c r="A1992" s="3" t="s">
        <v>4242</v>
      </c>
      <c r="B1992" s="3" t="s">
        <v>253</v>
      </c>
      <c r="C1992" s="6" t="s">
        <v>355</v>
      </c>
      <c r="D1992" s="6" t="s">
        <v>177</v>
      </c>
      <c r="E1992" s="6" t="s">
        <v>119</v>
      </c>
      <c r="F1992" s="6">
        <v>42037.5</v>
      </c>
      <c r="G1992" s="2">
        <v>1</v>
      </c>
      <c r="H1992" s="61">
        <v>3.91</v>
      </c>
      <c r="I1992" s="61">
        <v>3.6</v>
      </c>
      <c r="J1992" s="47">
        <f t="shared" si="155"/>
        <v>2.91</v>
      </c>
      <c r="K1992" s="47">
        <f t="shared" si="156"/>
        <v>-7.9283887468030695E-2</v>
      </c>
      <c r="L1992" s="8">
        <v>4.5599999999999996</v>
      </c>
      <c r="M1992" s="8">
        <v>42.68</v>
      </c>
      <c r="N1992" s="8">
        <v>46.74</v>
      </c>
      <c r="O1992" s="17">
        <f t="shared" si="157"/>
        <v>0.14666666666666667</v>
      </c>
      <c r="P1992" s="17">
        <f t="shared" si="158"/>
        <v>-5.8952709677419355</v>
      </c>
      <c r="Q1992" s="17">
        <v>36.840000000000003</v>
      </c>
      <c r="R1992" s="9">
        <v>20220825</v>
      </c>
      <c r="S1992" s="9">
        <v>1.39</v>
      </c>
      <c r="T1992" s="9">
        <v>25.97</v>
      </c>
      <c r="U1992" s="9">
        <v>6203.6362300000001</v>
      </c>
      <c r="V1992" s="45">
        <f t="shared" si="159"/>
        <v>-0.99581374551357271</v>
      </c>
      <c r="W1992" s="12">
        <v>-3.49</v>
      </c>
      <c r="X1992" s="12">
        <v>0</v>
      </c>
      <c r="Y1992" s="62">
        <v>2.2999999999999998</v>
      </c>
    </row>
    <row r="1993" spans="1:25" x14ac:dyDescent="0.2">
      <c r="A1993" s="3" t="s">
        <v>4243</v>
      </c>
      <c r="B1993" s="3" t="s">
        <v>254</v>
      </c>
      <c r="C1993" s="6" t="s">
        <v>355</v>
      </c>
      <c r="D1993" s="6" t="s">
        <v>133</v>
      </c>
      <c r="E1993" s="6" t="s">
        <v>119</v>
      </c>
      <c r="F1993" s="6">
        <v>19003.02</v>
      </c>
      <c r="G1993" s="2">
        <v>6</v>
      </c>
      <c r="H1993" s="61">
        <v>3.83</v>
      </c>
      <c r="I1993" s="61">
        <v>8.2200000000000006</v>
      </c>
      <c r="J1993" s="47">
        <f t="shared" si="155"/>
        <v>-0.36166666666666664</v>
      </c>
      <c r="K1993" s="47">
        <f t="shared" si="156"/>
        <v>1.1462140992167102</v>
      </c>
      <c r="L1993" s="8">
        <v>9.65</v>
      </c>
      <c r="M1993" s="8">
        <v>7.06</v>
      </c>
      <c r="N1993" s="8">
        <v>7.39</v>
      </c>
      <c r="O1993" s="17">
        <f t="shared" si="157"/>
        <v>-0.19520737327188939</v>
      </c>
      <c r="P1993" s="17">
        <f t="shared" si="158"/>
        <v>6.447312072892937E-2</v>
      </c>
      <c r="Q1993" s="17">
        <v>6.29</v>
      </c>
      <c r="R1993" s="9">
        <v>20220803</v>
      </c>
      <c r="S1993" s="9">
        <v>20.88</v>
      </c>
      <c r="T1993" s="9">
        <v>-3.14</v>
      </c>
      <c r="U1993" s="9">
        <v>18884.0625</v>
      </c>
      <c r="V1993" s="45">
        <f t="shared" si="159"/>
        <v>-1.0001662777805358</v>
      </c>
      <c r="W1993" s="12">
        <v>12.24</v>
      </c>
      <c r="X1993" s="12">
        <v>0</v>
      </c>
      <c r="Y1993" s="62"/>
    </row>
    <row r="1994" spans="1:25" x14ac:dyDescent="0.2">
      <c r="A1994" s="3" t="s">
        <v>4244</v>
      </c>
      <c r="B1994" s="3" t="s">
        <v>2057</v>
      </c>
      <c r="C1994" s="6" t="s">
        <v>354</v>
      </c>
      <c r="D1994" s="6" t="s">
        <v>233</v>
      </c>
      <c r="E1994" s="6" t="s">
        <v>108</v>
      </c>
      <c r="F1994" s="6">
        <v>4256.57</v>
      </c>
      <c r="G1994" s="2">
        <v>12</v>
      </c>
      <c r="H1994" s="61">
        <v>-0.97</v>
      </c>
      <c r="I1994" s="61">
        <v>-0.31</v>
      </c>
      <c r="J1994" s="47">
        <f t="shared" si="155"/>
        <v>-1.0808333333333333</v>
      </c>
      <c r="K1994" s="47">
        <f t="shared" si="156"/>
        <v>0.68041237113402053</v>
      </c>
      <c r="L1994" s="8">
        <v>0.01</v>
      </c>
      <c r="O1994" s="17">
        <f t="shared" si="157"/>
        <v>0</v>
      </c>
      <c r="P1994" s="17">
        <f t="shared" si="158"/>
        <v>0</v>
      </c>
      <c r="Q1994" s="17">
        <v>108</v>
      </c>
      <c r="R1994" s="9">
        <v>20220616</v>
      </c>
      <c r="S1994" s="9">
        <v>-68.930000000000007</v>
      </c>
      <c r="U1994" s="9">
        <v>553.92998999999998</v>
      </c>
      <c r="V1994" s="45">
        <f t="shared" si="159"/>
        <v>-1</v>
      </c>
      <c r="X1994" s="12">
        <v>0</v>
      </c>
      <c r="Y1994" s="62"/>
    </row>
    <row r="1995" spans="1:25" x14ac:dyDescent="0.2">
      <c r="A1995" s="3" t="s">
        <v>4245</v>
      </c>
      <c r="B1995" s="3" t="s">
        <v>4246</v>
      </c>
      <c r="C1995" s="6" t="s">
        <v>354</v>
      </c>
      <c r="D1995" s="6" t="s">
        <v>233</v>
      </c>
      <c r="E1995" s="6" t="s">
        <v>108</v>
      </c>
      <c r="F1995" s="6">
        <v>5077.33</v>
      </c>
      <c r="G1995" s="2">
        <v>12</v>
      </c>
      <c r="H1995" s="61"/>
      <c r="I1995" s="61">
        <v>-2.11</v>
      </c>
      <c r="J1995" s="47">
        <f t="shared" si="155"/>
        <v>-1</v>
      </c>
      <c r="K1995" s="47" t="e">
        <f t="shared" si="156"/>
        <v>#DIV/0!</v>
      </c>
      <c r="L1995" s="8">
        <v>-1.27</v>
      </c>
      <c r="O1995" s="17">
        <f t="shared" si="157"/>
        <v>0</v>
      </c>
      <c r="P1995" s="17" t="e">
        <f t="shared" si="158"/>
        <v>#DIV/0!</v>
      </c>
      <c r="Q1995" s="17"/>
      <c r="R1995" s="9">
        <v>20220811</v>
      </c>
      <c r="U1995" s="9">
        <v>3483.8000400000001</v>
      </c>
      <c r="V1995" s="45">
        <f t="shared" si="159"/>
        <v>-1</v>
      </c>
      <c r="W1995" s="12">
        <v>35.229999999999997</v>
      </c>
      <c r="X1995" s="12">
        <v>0</v>
      </c>
      <c r="Y1995" s="62"/>
    </row>
    <row r="1996" spans="1:25" x14ac:dyDescent="0.2">
      <c r="A1996" s="3" t="s">
        <v>4247</v>
      </c>
      <c r="B1996" s="3" t="s">
        <v>255</v>
      </c>
      <c r="C1996" s="6" t="s">
        <v>354</v>
      </c>
      <c r="D1996" s="6" t="s">
        <v>246</v>
      </c>
      <c r="E1996" s="6" t="s">
        <v>250</v>
      </c>
      <c r="F1996" s="6">
        <v>33246.800000000003</v>
      </c>
      <c r="G1996" s="2">
        <v>12</v>
      </c>
      <c r="H1996" s="61">
        <v>4.07</v>
      </c>
      <c r="I1996" s="61">
        <v>4.33</v>
      </c>
      <c r="J1996" s="47">
        <f t="shared" si="155"/>
        <v>-0.66083333333333327</v>
      </c>
      <c r="K1996" s="47">
        <f t="shared" si="156"/>
        <v>6.3882063882063828E-2</v>
      </c>
      <c r="L1996" s="8">
        <v>4.58</v>
      </c>
      <c r="M1996" s="8">
        <v>24.57</v>
      </c>
      <c r="N1996" s="8">
        <v>24.35</v>
      </c>
      <c r="O1996" s="17">
        <f t="shared" si="157"/>
        <v>-0.37180327868852464</v>
      </c>
      <c r="P1996" s="17">
        <f t="shared" si="158"/>
        <v>3.8117115384615419</v>
      </c>
      <c r="Q1996" s="17">
        <v>23.03</v>
      </c>
      <c r="R1996" s="9">
        <v>20220802</v>
      </c>
      <c r="S1996" s="9">
        <v>12.17</v>
      </c>
      <c r="T1996" s="9">
        <v>1.17</v>
      </c>
      <c r="U1996" s="9">
        <v>8207.4560500000007</v>
      </c>
      <c r="V1996" s="45">
        <f t="shared" si="159"/>
        <v>-0.99985744669324184</v>
      </c>
      <c r="W1996" s="12">
        <v>7.83</v>
      </c>
      <c r="X1996" s="12">
        <v>2.76</v>
      </c>
      <c r="Y1996" s="62">
        <v>4.01</v>
      </c>
    </row>
    <row r="1997" spans="1:25" x14ac:dyDescent="0.2">
      <c r="A1997" s="3" t="s">
        <v>4248</v>
      </c>
      <c r="B1997" s="3" t="s">
        <v>504</v>
      </c>
      <c r="C1997" s="6" t="s">
        <v>356</v>
      </c>
      <c r="D1997" s="6" t="s">
        <v>145</v>
      </c>
      <c r="E1997" s="6" t="s">
        <v>140</v>
      </c>
      <c r="F1997" s="6">
        <v>5088.3999999999996</v>
      </c>
      <c r="G1997" s="2">
        <v>12</v>
      </c>
      <c r="H1997" s="61">
        <v>0.46</v>
      </c>
      <c r="I1997" s="61">
        <v>0.56000000000000005</v>
      </c>
      <c r="J1997" s="47">
        <f t="shared" si="155"/>
        <v>-0.96166666666666656</v>
      </c>
      <c r="K1997" s="47">
        <f t="shared" si="156"/>
        <v>0.21739130434782614</v>
      </c>
      <c r="L1997" s="8">
        <v>0.64</v>
      </c>
      <c r="N1997" s="8">
        <v>17.600000000000001</v>
      </c>
      <c r="O1997" s="17">
        <f t="shared" si="157"/>
        <v>0</v>
      </c>
      <c r="P1997" s="17">
        <f t="shared" si="158"/>
        <v>0.80959999999999988</v>
      </c>
      <c r="Q1997" s="17">
        <v>15.39</v>
      </c>
      <c r="R1997" s="9">
        <v>20220601</v>
      </c>
      <c r="U1997" s="9">
        <v>2850.5668900000001</v>
      </c>
      <c r="V1997" s="45">
        <f t="shared" si="159"/>
        <v>-1</v>
      </c>
      <c r="X1997" s="12">
        <v>1.33</v>
      </c>
      <c r="Y1997" s="62"/>
    </row>
    <row r="1998" spans="1:25" x14ac:dyDescent="0.2">
      <c r="A1998" s="3" t="s">
        <v>387</v>
      </c>
      <c r="B1998" s="3" t="s">
        <v>388</v>
      </c>
      <c r="C1998" s="6" t="s">
        <v>356</v>
      </c>
      <c r="D1998" s="6" t="s">
        <v>53</v>
      </c>
      <c r="E1998" s="6" t="s">
        <v>35</v>
      </c>
      <c r="F1998" s="6">
        <v>12687.6</v>
      </c>
      <c r="G1998" s="2">
        <v>12</v>
      </c>
      <c r="H1998" s="61">
        <v>1.36</v>
      </c>
      <c r="I1998" s="61">
        <v>1.36</v>
      </c>
      <c r="J1998" s="47">
        <f t="shared" si="155"/>
        <v>-0.88666666666666671</v>
      </c>
      <c r="K1998" s="47">
        <f t="shared" si="156"/>
        <v>0</v>
      </c>
      <c r="L1998" s="8">
        <v>1.55</v>
      </c>
      <c r="N1998" s="8">
        <v>8.59</v>
      </c>
      <c r="O1998" s="17">
        <f t="shared" si="157"/>
        <v>0</v>
      </c>
      <c r="P1998" s="17" t="e">
        <f t="shared" si="158"/>
        <v>#DIV/0!</v>
      </c>
      <c r="Q1998" s="17">
        <v>7.49</v>
      </c>
      <c r="U1998" s="9">
        <v>32990.289060000003</v>
      </c>
      <c r="V1998" s="45">
        <f t="shared" si="159"/>
        <v>-1</v>
      </c>
      <c r="X1998" s="12">
        <v>3.39</v>
      </c>
      <c r="Y1998" s="62"/>
    </row>
    <row r="1999" spans="1:25" x14ac:dyDescent="0.2">
      <c r="A1999" s="3" t="s">
        <v>4249</v>
      </c>
      <c r="B1999" s="3" t="s">
        <v>302</v>
      </c>
      <c r="C1999" s="6" t="s">
        <v>354</v>
      </c>
      <c r="D1999" s="6" t="s">
        <v>215</v>
      </c>
      <c r="E1999" s="6" t="s">
        <v>163</v>
      </c>
      <c r="F1999" s="6">
        <v>40212.46</v>
      </c>
      <c r="G1999" s="2">
        <v>12</v>
      </c>
      <c r="H1999" s="61">
        <v>3.19</v>
      </c>
      <c r="I1999" s="61">
        <v>3.54</v>
      </c>
      <c r="J1999" s="47">
        <f t="shared" si="155"/>
        <v>-0.73416666666666675</v>
      </c>
      <c r="K1999" s="47">
        <f t="shared" si="156"/>
        <v>0.10971786833855803</v>
      </c>
      <c r="L1999" s="8">
        <v>4.05</v>
      </c>
      <c r="M1999" s="8">
        <v>27.34</v>
      </c>
      <c r="N1999" s="8">
        <v>25</v>
      </c>
      <c r="O1999" s="17">
        <f t="shared" si="157"/>
        <v>-0.37239500567536887</v>
      </c>
      <c r="P1999" s="17">
        <f t="shared" si="158"/>
        <v>2.278571428571428</v>
      </c>
      <c r="Q1999" s="17">
        <v>21.89</v>
      </c>
      <c r="R1999" s="9">
        <v>20220804</v>
      </c>
      <c r="S1999" s="9">
        <v>1.81</v>
      </c>
      <c r="T1999" s="9">
        <v>1.83</v>
      </c>
      <c r="U1999" s="9">
        <v>5642.83007</v>
      </c>
      <c r="V1999" s="45">
        <f t="shared" si="159"/>
        <v>-0.99967569464660488</v>
      </c>
      <c r="W1999" s="12">
        <v>0</v>
      </c>
      <c r="X1999" s="12">
        <v>2.75</v>
      </c>
      <c r="Y1999" s="62">
        <v>3.02</v>
      </c>
    </row>
    <row r="2000" spans="1:25" x14ac:dyDescent="0.2">
      <c r="A2000" s="3" t="s">
        <v>4250</v>
      </c>
      <c r="B2000" s="3" t="s">
        <v>406</v>
      </c>
      <c r="C2000" s="6" t="s">
        <v>355</v>
      </c>
      <c r="D2000" s="6" t="s">
        <v>223</v>
      </c>
      <c r="E2000" s="6" t="s">
        <v>231</v>
      </c>
      <c r="F2000" s="6">
        <v>3982.85</v>
      </c>
      <c r="G2000" s="2">
        <v>12</v>
      </c>
      <c r="H2000" s="61">
        <v>0.81</v>
      </c>
      <c r="I2000" s="61">
        <v>0.84</v>
      </c>
      <c r="J2000" s="47">
        <f t="shared" si="155"/>
        <v>-0.9325</v>
      </c>
      <c r="K2000" s="47">
        <f t="shared" si="156"/>
        <v>3.7037037037036931E-2</v>
      </c>
      <c r="L2000" s="8">
        <v>1.02</v>
      </c>
      <c r="M2000" s="8">
        <v>23.53</v>
      </c>
      <c r="N2000" s="8">
        <v>22.24</v>
      </c>
      <c r="O2000" s="17">
        <f t="shared" si="157"/>
        <v>-0.25233243967828417</v>
      </c>
      <c r="P2000" s="17">
        <f t="shared" si="158"/>
        <v>6.0048000000000172</v>
      </c>
      <c r="Q2000" s="17">
        <v>18.28</v>
      </c>
      <c r="R2000" s="9">
        <v>20220810</v>
      </c>
      <c r="S2000" s="9">
        <v>34.82</v>
      </c>
      <c r="T2000" s="9">
        <v>9.7899999999999991</v>
      </c>
      <c r="U2000" s="9">
        <v>2085.2009200000002</v>
      </c>
      <c r="V2000" s="45">
        <f t="shared" si="159"/>
        <v>-0.99530500878543637</v>
      </c>
      <c r="W2000" s="12">
        <v>-5.56</v>
      </c>
      <c r="X2000" s="12">
        <v>2.69</v>
      </c>
      <c r="Y2000" s="62">
        <v>1.76</v>
      </c>
    </row>
    <row r="2001" spans="1:25" x14ac:dyDescent="0.2">
      <c r="A2001" s="3" t="s">
        <v>4251</v>
      </c>
      <c r="B2001" s="3" t="s">
        <v>420</v>
      </c>
      <c r="C2001" s="6" t="s">
        <v>354</v>
      </c>
      <c r="D2001" s="6" t="s">
        <v>209</v>
      </c>
      <c r="E2001" s="6" t="s">
        <v>218</v>
      </c>
      <c r="F2001" s="6">
        <v>10946.48</v>
      </c>
      <c r="G2001" s="2">
        <v>12</v>
      </c>
      <c r="H2001" s="61">
        <v>2.2200000000000002</v>
      </c>
      <c r="I2001" s="61">
        <v>2.88</v>
      </c>
      <c r="J2001" s="47">
        <f t="shared" si="155"/>
        <v>-0.81499999999999995</v>
      </c>
      <c r="K2001" s="47">
        <f t="shared" si="156"/>
        <v>0.29729729729729715</v>
      </c>
      <c r="L2001" s="8">
        <v>3.17</v>
      </c>
      <c r="M2001" s="8">
        <v>10.9</v>
      </c>
      <c r="N2001" s="8">
        <v>9.41</v>
      </c>
      <c r="O2001" s="17">
        <f t="shared" si="157"/>
        <v>-0.13374233128834356</v>
      </c>
      <c r="P2001" s="17">
        <f t="shared" si="158"/>
        <v>0.31651818181818198</v>
      </c>
      <c r="Q2001" s="17">
        <v>8.5500000000000007</v>
      </c>
      <c r="R2001" s="9">
        <v>20220808</v>
      </c>
      <c r="S2001" s="9">
        <v>33.049999999999997</v>
      </c>
      <c r="T2001" s="9">
        <v>9.0299999999999994</v>
      </c>
      <c r="U2001" s="9">
        <v>3350.82006</v>
      </c>
      <c r="V2001" s="45">
        <f t="shared" si="159"/>
        <v>-0.99730513729824088</v>
      </c>
      <c r="W2001" s="12">
        <v>22.95</v>
      </c>
      <c r="X2001" s="12">
        <v>7.37</v>
      </c>
      <c r="Y2001" s="62"/>
    </row>
    <row r="2002" spans="1:25" x14ac:dyDescent="0.2">
      <c r="A2002" s="3" t="s">
        <v>256</v>
      </c>
      <c r="B2002" s="3" t="s">
        <v>256</v>
      </c>
      <c r="C2002" s="6" t="s">
        <v>354</v>
      </c>
      <c r="D2002" s="6" t="s">
        <v>153</v>
      </c>
      <c r="E2002" s="6" t="s">
        <v>108</v>
      </c>
      <c r="F2002" s="6">
        <v>7402.7</v>
      </c>
      <c r="G2002" s="2">
        <v>12</v>
      </c>
      <c r="H2002" s="61">
        <v>9.0299999999999994</v>
      </c>
      <c r="I2002" s="61">
        <v>12.68</v>
      </c>
      <c r="J2002" s="47">
        <f t="shared" si="155"/>
        <v>-0.24750000000000005</v>
      </c>
      <c r="K2002" s="47">
        <f t="shared" si="156"/>
        <v>0.4042081949058694</v>
      </c>
      <c r="L2002" s="8">
        <v>13.74</v>
      </c>
      <c r="M2002" s="8">
        <v>16.100000000000001</v>
      </c>
      <c r="N2002" s="8">
        <v>12.97</v>
      </c>
      <c r="O2002" s="17">
        <f t="shared" si="157"/>
        <v>-0.65050505050505036</v>
      </c>
      <c r="P2002" s="17">
        <f t="shared" si="158"/>
        <v>0.32087424657534241</v>
      </c>
      <c r="Q2002" s="17">
        <v>11.98</v>
      </c>
      <c r="R2002" s="9">
        <v>20220804</v>
      </c>
      <c r="S2002" s="9">
        <v>21.38</v>
      </c>
      <c r="T2002" s="9">
        <v>8.8699999999999992</v>
      </c>
      <c r="U2002" s="9">
        <v>2200.82006</v>
      </c>
      <c r="V2002" s="45">
        <f t="shared" si="159"/>
        <v>-0.99596968413673947</v>
      </c>
      <c r="W2002" s="12">
        <v>6.27</v>
      </c>
      <c r="X2002" s="12">
        <v>0</v>
      </c>
      <c r="Y2002" s="62">
        <v>0.73</v>
      </c>
    </row>
    <row r="2003" spans="1:25" x14ac:dyDescent="0.2">
      <c r="A2003" s="3" t="s">
        <v>2303</v>
      </c>
      <c r="B2003" s="3" t="s">
        <v>2304</v>
      </c>
      <c r="C2003" s="6" t="s">
        <v>354</v>
      </c>
      <c r="D2003" s="6" t="s">
        <v>69</v>
      </c>
      <c r="E2003" s="6" t="s">
        <v>163</v>
      </c>
      <c r="F2003" s="6">
        <v>8663.92</v>
      </c>
      <c r="G2003" s="2">
        <v>12</v>
      </c>
      <c r="H2003" s="61"/>
      <c r="I2003" s="61"/>
      <c r="J2003" s="47">
        <f t="shared" si="155"/>
        <v>-1</v>
      </c>
      <c r="K2003" s="47" t="e">
        <f t="shared" si="156"/>
        <v>#DIV/0!</v>
      </c>
      <c r="M2003" s="8">
        <v>3.73</v>
      </c>
      <c r="O2003" s="17">
        <f t="shared" si="157"/>
        <v>-3.73E-2</v>
      </c>
      <c r="P2003" s="17" t="e">
        <f t="shared" si="158"/>
        <v>#DIV/0!</v>
      </c>
      <c r="Q2003" s="17"/>
      <c r="R2003" s="9">
        <v>20220816</v>
      </c>
      <c r="S2003" s="9">
        <v>9.93</v>
      </c>
      <c r="T2003" s="9">
        <v>3.35</v>
      </c>
      <c r="V2003" s="45" t="e">
        <f t="shared" si="159"/>
        <v>#DIV/0!</v>
      </c>
      <c r="X2003" s="12">
        <v>4.3</v>
      </c>
      <c r="Y2003" s="62"/>
    </row>
    <row r="2004" spans="1:25" x14ac:dyDescent="0.2">
      <c r="A2004" s="3" t="s">
        <v>481</v>
      </c>
      <c r="B2004" s="3" t="s">
        <v>257</v>
      </c>
      <c r="C2004" s="6" t="s">
        <v>354</v>
      </c>
      <c r="D2004" s="6" t="s">
        <v>97</v>
      </c>
      <c r="E2004" s="6" t="s">
        <v>163</v>
      </c>
      <c r="F2004" s="6">
        <v>172840.05</v>
      </c>
      <c r="G2004" s="2">
        <v>12</v>
      </c>
      <c r="H2004" s="61">
        <v>4.68</v>
      </c>
      <c r="I2004" s="61">
        <v>4.1399999999999997</v>
      </c>
      <c r="J2004" s="47">
        <f t="shared" si="155"/>
        <v>-0.61</v>
      </c>
      <c r="K2004" s="47">
        <f t="shared" si="156"/>
        <v>-0.1153846153846154</v>
      </c>
      <c r="L2004" s="8">
        <v>5.1100000000000003</v>
      </c>
      <c r="M2004" s="8">
        <v>9.48</v>
      </c>
      <c r="N2004" s="8">
        <v>11.01</v>
      </c>
      <c r="O2004" s="17">
        <f t="shared" si="157"/>
        <v>-0.15540983606557376</v>
      </c>
      <c r="P2004" s="17">
        <f t="shared" si="158"/>
        <v>-0.95419999999999983</v>
      </c>
      <c r="Q2004" s="17">
        <v>8.93</v>
      </c>
      <c r="R2004" s="9">
        <v>20220713</v>
      </c>
      <c r="S2004" s="9">
        <v>12.2</v>
      </c>
      <c r="T2004" s="9">
        <v>-5.29</v>
      </c>
      <c r="U2004" s="9">
        <v>73390.195309999996</v>
      </c>
      <c r="V2004" s="45">
        <f t="shared" si="159"/>
        <v>-1.0000720804731156</v>
      </c>
      <c r="W2004" s="12">
        <v>8.64</v>
      </c>
      <c r="X2004" s="12">
        <v>2.19</v>
      </c>
      <c r="Y2004" s="62">
        <v>1.08</v>
      </c>
    </row>
    <row r="2005" spans="1:25" x14ac:dyDescent="0.2">
      <c r="A2005" s="3" t="s">
        <v>4252</v>
      </c>
      <c r="B2005" s="3" t="s">
        <v>4253</v>
      </c>
      <c r="C2005" s="6" t="s">
        <v>354</v>
      </c>
      <c r="D2005" s="6" t="s">
        <v>314</v>
      </c>
      <c r="E2005" s="6" t="s">
        <v>60</v>
      </c>
      <c r="F2005" s="6">
        <v>9054.75</v>
      </c>
      <c r="G2005" s="2">
        <v>12</v>
      </c>
      <c r="H2005" s="61">
        <v>26.99</v>
      </c>
      <c r="I2005" s="61">
        <v>25.02</v>
      </c>
      <c r="J2005" s="47">
        <f t="shared" si="155"/>
        <v>1.2491666666666665</v>
      </c>
      <c r="K2005" s="47">
        <f t="shared" si="156"/>
        <v>-7.2989996294924003E-2</v>
      </c>
      <c r="L2005" s="8">
        <v>13.74</v>
      </c>
      <c r="M2005" s="8">
        <v>3.05</v>
      </c>
      <c r="N2005" s="8">
        <v>3.64</v>
      </c>
      <c r="O2005" s="17">
        <f t="shared" si="157"/>
        <v>2.4416277518345565E-2</v>
      </c>
      <c r="P2005" s="17">
        <f t="shared" si="158"/>
        <v>-0.49869847715736071</v>
      </c>
      <c r="Q2005" s="17">
        <v>6.63</v>
      </c>
      <c r="R2005" s="9">
        <v>20220727</v>
      </c>
      <c r="S2005" s="9">
        <v>42.84</v>
      </c>
      <c r="U2005" s="9">
        <v>8449</v>
      </c>
      <c r="V2005" s="45">
        <f t="shared" si="159"/>
        <v>-1</v>
      </c>
      <c r="W2005" s="12">
        <v>2.2999999999999998</v>
      </c>
      <c r="X2005" s="12">
        <v>1.1000000000000001</v>
      </c>
      <c r="Y2005" s="62"/>
    </row>
    <row r="2006" spans="1:25" x14ac:dyDescent="0.2">
      <c r="A2006" s="3" t="s">
        <v>4254</v>
      </c>
      <c r="B2006" s="3" t="s">
        <v>421</v>
      </c>
      <c r="C2006" s="6" t="s">
        <v>354</v>
      </c>
      <c r="D2006" s="6" t="s">
        <v>160</v>
      </c>
      <c r="E2006" s="6" t="s">
        <v>146</v>
      </c>
      <c r="F2006" s="6">
        <v>7247.34</v>
      </c>
      <c r="G2006" s="2">
        <v>12</v>
      </c>
      <c r="H2006" s="61">
        <v>3.01</v>
      </c>
      <c r="I2006" s="61">
        <v>3.56</v>
      </c>
      <c r="J2006" s="47">
        <f t="shared" si="155"/>
        <v>-0.74916666666666665</v>
      </c>
      <c r="K2006" s="47">
        <f t="shared" si="156"/>
        <v>0.18272425249169447</v>
      </c>
      <c r="L2006" s="8">
        <v>3.98</v>
      </c>
      <c r="M2006" s="8">
        <v>20.98</v>
      </c>
      <c r="N2006" s="8">
        <v>22.11</v>
      </c>
      <c r="O2006" s="17">
        <f t="shared" si="157"/>
        <v>-0.28004449388209118</v>
      </c>
      <c r="P2006" s="17">
        <f t="shared" si="158"/>
        <v>1.2100199999999992</v>
      </c>
      <c r="Q2006" s="17">
        <v>19.75</v>
      </c>
      <c r="R2006" s="9">
        <v>20220727</v>
      </c>
      <c r="S2006" s="9">
        <v>31.6</v>
      </c>
      <c r="T2006" s="9">
        <v>-1.72</v>
      </c>
      <c r="U2006" s="9">
        <v>1410.2120299999999</v>
      </c>
      <c r="V2006" s="45">
        <f t="shared" si="159"/>
        <v>-1.0012196747463571</v>
      </c>
      <c r="W2006" s="12">
        <v>43.94</v>
      </c>
      <c r="X2006" s="12">
        <v>1.63</v>
      </c>
      <c r="Y2006" s="62">
        <v>1.88</v>
      </c>
    </row>
    <row r="2007" spans="1:25" x14ac:dyDescent="0.2">
      <c r="A2007" s="3" t="s">
        <v>4255</v>
      </c>
      <c r="B2007" s="3" t="s">
        <v>2058</v>
      </c>
      <c r="C2007" s="6" t="s">
        <v>354</v>
      </c>
      <c r="D2007" s="6" t="s">
        <v>205</v>
      </c>
      <c r="E2007" s="6" t="s">
        <v>218</v>
      </c>
      <c r="F2007" s="6">
        <v>4011.09</v>
      </c>
      <c r="G2007" s="2">
        <v>12</v>
      </c>
      <c r="H2007" s="61">
        <v>0.66</v>
      </c>
      <c r="I2007" s="61">
        <v>1.52</v>
      </c>
      <c r="J2007" s="47">
        <f t="shared" si="155"/>
        <v>-0.94499999999999995</v>
      </c>
      <c r="K2007" s="47">
        <f t="shared" si="156"/>
        <v>1.303030303030303</v>
      </c>
      <c r="L2007" s="8">
        <v>2.1</v>
      </c>
      <c r="M2007" s="8">
        <v>58.87</v>
      </c>
      <c r="N2007" s="8">
        <v>34.909999999999997</v>
      </c>
      <c r="O2007" s="17">
        <f t="shared" si="157"/>
        <v>-0.62296296296296294</v>
      </c>
      <c r="P2007" s="17">
        <f t="shared" si="158"/>
        <v>0.26791395348837205</v>
      </c>
      <c r="Q2007" s="17">
        <v>25.29</v>
      </c>
      <c r="R2007" s="9">
        <v>20220727</v>
      </c>
      <c r="S2007" s="9">
        <v>8.1</v>
      </c>
      <c r="T2007" s="9">
        <v>-4.72</v>
      </c>
      <c r="U2007" s="9">
        <v>670.41998000000001</v>
      </c>
      <c r="V2007" s="45">
        <f t="shared" si="159"/>
        <v>-1.0070403629677027</v>
      </c>
      <c r="W2007" s="12">
        <v>3.45</v>
      </c>
      <c r="X2007" s="12">
        <v>0.83</v>
      </c>
      <c r="Y2007" s="62"/>
    </row>
    <row r="2008" spans="1:25" x14ac:dyDescent="0.2">
      <c r="A2008" s="3" t="s">
        <v>4256</v>
      </c>
      <c r="B2008" s="3" t="s">
        <v>258</v>
      </c>
      <c r="C2008" s="6" t="s">
        <v>354</v>
      </c>
      <c r="D2008" s="6" t="s">
        <v>161</v>
      </c>
      <c r="E2008" s="6" t="s">
        <v>146</v>
      </c>
      <c r="F2008" s="6">
        <v>10057.969999999999</v>
      </c>
      <c r="G2008" s="2">
        <v>12</v>
      </c>
      <c r="H2008" s="61">
        <v>26.41</v>
      </c>
      <c r="I2008" s="61">
        <v>24.86</v>
      </c>
      <c r="J2008" s="47">
        <f t="shared" si="155"/>
        <v>1.2008333333333334</v>
      </c>
      <c r="K2008" s="47">
        <f t="shared" si="156"/>
        <v>-5.8689890193108697E-2</v>
      </c>
      <c r="L2008" s="8">
        <v>26.43</v>
      </c>
      <c r="M2008" s="8">
        <v>7.22</v>
      </c>
      <c r="N2008" s="8">
        <v>7.2</v>
      </c>
      <c r="O2008" s="17">
        <f t="shared" si="157"/>
        <v>6.0124913254684241E-2</v>
      </c>
      <c r="P2008" s="17">
        <f t="shared" si="158"/>
        <v>-1.2267870967741932</v>
      </c>
      <c r="Q2008" s="17">
        <v>6.77</v>
      </c>
      <c r="R2008" s="9">
        <v>20220720</v>
      </c>
      <c r="S2008" s="9">
        <v>30.56</v>
      </c>
      <c r="T2008" s="9">
        <v>-0.19</v>
      </c>
      <c r="U2008" s="9">
        <v>22141.277340000001</v>
      </c>
      <c r="V2008" s="45">
        <f t="shared" si="159"/>
        <v>-1.0000085812573991</v>
      </c>
      <c r="W2008" s="12">
        <v>8.3699999999999992</v>
      </c>
      <c r="X2008" s="12">
        <v>3.91</v>
      </c>
      <c r="Y2008" s="62">
        <v>1.34</v>
      </c>
    </row>
    <row r="2009" spans="1:25" x14ac:dyDescent="0.2">
      <c r="A2009" s="3" t="s">
        <v>4257</v>
      </c>
      <c r="B2009" s="3" t="s">
        <v>456</v>
      </c>
      <c r="C2009" s="6" t="s">
        <v>356</v>
      </c>
      <c r="D2009" s="6" t="s">
        <v>193</v>
      </c>
      <c r="E2009" s="6" t="s">
        <v>208</v>
      </c>
      <c r="F2009" s="6">
        <v>9480.08</v>
      </c>
      <c r="G2009" s="2">
        <v>12</v>
      </c>
      <c r="H2009" s="61"/>
      <c r="I2009" s="61">
        <v>0.86</v>
      </c>
      <c r="J2009" s="47">
        <f t="shared" si="155"/>
        <v>-1</v>
      </c>
      <c r="K2009" s="47" t="e">
        <f t="shared" si="156"/>
        <v>#DIV/0!</v>
      </c>
      <c r="L2009" s="8">
        <v>1</v>
      </c>
      <c r="N2009" s="8">
        <v>23.92</v>
      </c>
      <c r="O2009" s="17">
        <f t="shared" si="157"/>
        <v>0</v>
      </c>
      <c r="P2009" s="17" t="e">
        <f t="shared" si="158"/>
        <v>#DIV/0!</v>
      </c>
      <c r="Q2009" s="17">
        <v>20.58</v>
      </c>
      <c r="U2009" s="9">
        <v>3050.5500400000001</v>
      </c>
      <c r="V2009" s="45">
        <f t="shared" si="159"/>
        <v>-1</v>
      </c>
      <c r="X2009" s="12">
        <v>0</v>
      </c>
      <c r="Y2009" s="62"/>
    </row>
    <row r="2010" spans="1:25" x14ac:dyDescent="0.2">
      <c r="A2010" s="3" t="s">
        <v>505</v>
      </c>
      <c r="B2010" s="3" t="s">
        <v>506</v>
      </c>
      <c r="C2010" s="6" t="s">
        <v>354</v>
      </c>
      <c r="D2010" s="6" t="s">
        <v>125</v>
      </c>
      <c r="E2010" s="6" t="s">
        <v>119</v>
      </c>
      <c r="F2010" s="6">
        <v>32465.26</v>
      </c>
      <c r="G2010" s="2">
        <v>3</v>
      </c>
      <c r="H2010" s="61">
        <v>0.28999999999999998</v>
      </c>
      <c r="I2010" s="61">
        <v>0.31</v>
      </c>
      <c r="J2010" s="47">
        <f t="shared" si="155"/>
        <v>-0.90333333333333332</v>
      </c>
      <c r="K2010" s="47">
        <f t="shared" si="156"/>
        <v>6.8965517241379379E-2</v>
      </c>
      <c r="L2010" s="8">
        <v>0.33</v>
      </c>
      <c r="M2010" s="8">
        <v>20.48</v>
      </c>
      <c r="N2010" s="8">
        <v>19.48</v>
      </c>
      <c r="O2010" s="17">
        <f t="shared" si="157"/>
        <v>-0.22671586715867159</v>
      </c>
      <c r="P2010" s="17">
        <f t="shared" si="158"/>
        <v>2.8245999999999971</v>
      </c>
      <c r="Q2010" s="17">
        <v>18</v>
      </c>
      <c r="R2010" s="9">
        <v>20220721</v>
      </c>
      <c r="S2010" s="9">
        <v>19.329999999999998</v>
      </c>
      <c r="T2010" s="9">
        <v>3.07</v>
      </c>
      <c r="U2010" s="9">
        <v>12005.66699</v>
      </c>
      <c r="V2010" s="45">
        <f t="shared" si="159"/>
        <v>-0.99974428742671628</v>
      </c>
      <c r="W2010" s="12">
        <v>-12.5</v>
      </c>
      <c r="X2010" s="12">
        <v>1.18</v>
      </c>
      <c r="Y2010" s="62">
        <v>2.16</v>
      </c>
    </row>
    <row r="2011" spans="1:25" x14ac:dyDescent="0.2">
      <c r="A2011" s="3" t="s">
        <v>4258</v>
      </c>
      <c r="B2011" s="3" t="s">
        <v>429</v>
      </c>
      <c r="C2011" s="6" t="s">
        <v>355</v>
      </c>
      <c r="D2011" s="6" t="s">
        <v>134</v>
      </c>
      <c r="E2011" s="6" t="s">
        <v>119</v>
      </c>
      <c r="F2011" s="6">
        <v>3693.47</v>
      </c>
      <c r="G2011" s="2">
        <v>12</v>
      </c>
      <c r="H2011" s="61">
        <v>-1.39</v>
      </c>
      <c r="I2011" s="61">
        <v>-1.21</v>
      </c>
      <c r="J2011" s="47">
        <f t="shared" si="155"/>
        <v>-1.1158333333333335</v>
      </c>
      <c r="K2011" s="47">
        <f t="shared" si="156"/>
        <v>0.12949640287769781</v>
      </c>
      <c r="L2011" s="8">
        <v>-0.17</v>
      </c>
      <c r="O2011" s="17">
        <f t="shared" si="157"/>
        <v>0</v>
      </c>
      <c r="P2011" s="17">
        <f t="shared" si="158"/>
        <v>0</v>
      </c>
      <c r="Q2011" s="17"/>
      <c r="R2011" s="9">
        <v>20220810</v>
      </c>
      <c r="S2011" s="9">
        <v>-136.41</v>
      </c>
      <c r="T2011" s="9">
        <v>31.25</v>
      </c>
      <c r="U2011" s="9">
        <v>1426.1619800000001</v>
      </c>
      <c r="V2011" s="45">
        <f t="shared" si="159"/>
        <v>-0.97808804298653373</v>
      </c>
      <c r="W2011" s="12">
        <v>-12.5</v>
      </c>
      <c r="X2011" s="12">
        <v>0</v>
      </c>
      <c r="Y2011" s="62"/>
    </row>
    <row r="2012" spans="1:25" x14ac:dyDescent="0.2">
      <c r="A2012" s="3" t="s">
        <v>4259</v>
      </c>
      <c r="B2012" s="3" t="s">
        <v>364</v>
      </c>
      <c r="C2012" s="6" t="s">
        <v>356</v>
      </c>
      <c r="D2012" s="6" t="s">
        <v>239</v>
      </c>
      <c r="E2012" s="6" t="s">
        <v>237</v>
      </c>
      <c r="F2012" s="6">
        <v>7275.49</v>
      </c>
      <c r="G2012" s="2">
        <v>3</v>
      </c>
      <c r="H2012" s="61">
        <v>-3.48</v>
      </c>
      <c r="I2012" s="61">
        <v>1.78</v>
      </c>
      <c r="J2012" s="47">
        <f t="shared" si="155"/>
        <v>-2.16</v>
      </c>
      <c r="K2012" s="47">
        <f t="shared" si="156"/>
        <v>1.5114942528735631</v>
      </c>
      <c r="L2012" s="8">
        <v>3.15</v>
      </c>
      <c r="N2012" s="8">
        <v>21.36</v>
      </c>
      <c r="O2012" s="17">
        <f t="shared" si="157"/>
        <v>0</v>
      </c>
      <c r="P2012" s="17">
        <f t="shared" si="158"/>
        <v>0.1413171102661597</v>
      </c>
      <c r="Q2012" s="17">
        <v>12.07</v>
      </c>
      <c r="R2012" s="9">
        <v>20220527</v>
      </c>
      <c r="S2012" s="9">
        <v>-17.21</v>
      </c>
      <c r="U2012" s="9">
        <v>12431.554679999999</v>
      </c>
      <c r="V2012" s="45">
        <f t="shared" si="159"/>
        <v>-1</v>
      </c>
      <c r="X2012" s="12">
        <v>1.69</v>
      </c>
      <c r="Y2012" s="62"/>
    </row>
    <row r="2013" spans="1:25" x14ac:dyDescent="0.2">
      <c r="A2013" s="3" t="s">
        <v>4260</v>
      </c>
      <c r="B2013" s="3" t="s">
        <v>457</v>
      </c>
      <c r="C2013" s="6" t="s">
        <v>354</v>
      </c>
      <c r="D2013" s="6" t="s">
        <v>177</v>
      </c>
      <c r="E2013" s="6" t="s">
        <v>119</v>
      </c>
      <c r="F2013" s="6">
        <v>3667.79</v>
      </c>
      <c r="G2013" s="2">
        <v>12</v>
      </c>
      <c r="H2013" s="61">
        <v>0.3</v>
      </c>
      <c r="I2013" s="61">
        <v>-0.69</v>
      </c>
      <c r="J2013" s="47">
        <f t="shared" si="155"/>
        <v>-0.97499999999999998</v>
      </c>
      <c r="K2013" s="47">
        <f t="shared" si="156"/>
        <v>-3.3000000000000003</v>
      </c>
      <c r="L2013" s="8">
        <v>-0.2</v>
      </c>
      <c r="M2013" s="8">
        <v>352.15</v>
      </c>
      <c r="O2013" s="17">
        <f t="shared" si="157"/>
        <v>-3.6117948717948716</v>
      </c>
      <c r="P2013" s="17">
        <f t="shared" si="158"/>
        <v>0</v>
      </c>
      <c r="Q2013" s="17"/>
      <c r="R2013" s="9">
        <v>20220802</v>
      </c>
      <c r="S2013" s="9">
        <v>-67.489999999999995</v>
      </c>
      <c r="T2013" s="9">
        <v>20.399999999999999</v>
      </c>
      <c r="U2013" s="9">
        <v>533.56298000000004</v>
      </c>
      <c r="V2013" s="45">
        <f t="shared" si="159"/>
        <v>-0.96176646288316336</v>
      </c>
      <c r="W2013" s="12">
        <v>66.67</v>
      </c>
      <c r="X2013" s="12">
        <v>0</v>
      </c>
      <c r="Y2013" s="62"/>
    </row>
    <row r="2014" spans="1:25" x14ac:dyDescent="0.2">
      <c r="A2014" s="3" t="s">
        <v>4261</v>
      </c>
      <c r="B2014" s="3" t="s">
        <v>259</v>
      </c>
      <c r="C2014" s="6" t="s">
        <v>354</v>
      </c>
      <c r="D2014" s="6" t="s">
        <v>127</v>
      </c>
      <c r="E2014" s="6" t="s">
        <v>60</v>
      </c>
      <c r="F2014" s="6">
        <v>16483.88</v>
      </c>
      <c r="G2014" s="2">
        <v>12</v>
      </c>
      <c r="H2014" s="61">
        <v>15.43</v>
      </c>
      <c r="I2014" s="61">
        <v>21.79</v>
      </c>
      <c r="J2014" s="47">
        <f t="shared" si="155"/>
        <v>0.28583333333333333</v>
      </c>
      <c r="K2014" s="47">
        <f t="shared" si="156"/>
        <v>0.41218405703175631</v>
      </c>
      <c r="L2014" s="8">
        <v>17.46</v>
      </c>
      <c r="M2014" s="8">
        <v>6.57</v>
      </c>
      <c r="N2014" s="8">
        <v>5.89</v>
      </c>
      <c r="O2014" s="17">
        <f t="shared" si="157"/>
        <v>0.22985422740524783</v>
      </c>
      <c r="P2014" s="17">
        <f t="shared" si="158"/>
        <v>0.14289732704402514</v>
      </c>
      <c r="Q2014" s="17">
        <v>7.36</v>
      </c>
      <c r="R2014" s="9">
        <v>20220802</v>
      </c>
      <c r="S2014" s="9">
        <v>30.67</v>
      </c>
      <c r="T2014" s="9">
        <v>6.43</v>
      </c>
      <c r="U2014" s="9">
        <v>14832.32128</v>
      </c>
      <c r="V2014" s="45">
        <f t="shared" si="159"/>
        <v>-0.9995664872760901</v>
      </c>
      <c r="W2014" s="12">
        <v>24.04</v>
      </c>
      <c r="X2014" s="12">
        <v>0.93</v>
      </c>
      <c r="Y2014" s="62">
        <v>0.18</v>
      </c>
    </row>
    <row r="2015" spans="1:25" x14ac:dyDescent="0.2">
      <c r="A2015" s="3" t="s">
        <v>4262</v>
      </c>
      <c r="B2015" s="3" t="s">
        <v>4263</v>
      </c>
      <c r="C2015" s="6" t="s">
        <v>354</v>
      </c>
      <c r="D2015" s="6" t="s">
        <v>200</v>
      </c>
      <c r="E2015" s="6" t="s">
        <v>218</v>
      </c>
      <c r="F2015" s="6">
        <v>3269.63</v>
      </c>
      <c r="G2015" s="2">
        <v>12</v>
      </c>
      <c r="H2015" s="61">
        <v>12.99</v>
      </c>
      <c r="I2015" s="61">
        <v>23.83</v>
      </c>
      <c r="J2015" s="47">
        <f t="shared" si="155"/>
        <v>8.2500000000000018E-2</v>
      </c>
      <c r="K2015" s="47">
        <f t="shared" si="156"/>
        <v>0.83448806774441864</v>
      </c>
      <c r="L2015" s="8">
        <v>28.82</v>
      </c>
      <c r="M2015" s="8">
        <v>5.4</v>
      </c>
      <c r="N2015" s="8">
        <v>3.5</v>
      </c>
      <c r="O2015" s="17">
        <f t="shared" si="157"/>
        <v>0.65454545454545443</v>
      </c>
      <c r="P2015" s="17">
        <f t="shared" si="158"/>
        <v>4.1941881918819195E-2</v>
      </c>
      <c r="Q2015" s="17">
        <v>2.89</v>
      </c>
      <c r="R2015" s="9">
        <v>20220803</v>
      </c>
      <c r="U2015" s="9">
        <v>1901.8249499999999</v>
      </c>
      <c r="V2015" s="45">
        <f t="shared" si="159"/>
        <v>-1</v>
      </c>
      <c r="W2015" s="12">
        <v>-8.5299999999999994</v>
      </c>
      <c r="X2015" s="12">
        <v>1.2</v>
      </c>
      <c r="Y2015" s="62"/>
    </row>
    <row r="2016" spans="1:25" x14ac:dyDescent="0.2">
      <c r="A2016" s="3" t="s">
        <v>4264</v>
      </c>
      <c r="B2016" s="3" t="s">
        <v>2305</v>
      </c>
      <c r="C2016" s="6" t="s">
        <v>356</v>
      </c>
      <c r="D2016" s="6" t="s">
        <v>314</v>
      </c>
      <c r="E2016" s="6" t="s">
        <v>60</v>
      </c>
      <c r="F2016" s="6">
        <v>19028.650000000001</v>
      </c>
      <c r="G2016" s="2">
        <v>12</v>
      </c>
      <c r="H2016" s="61"/>
      <c r="I2016" s="61"/>
      <c r="J2016" s="47">
        <f t="shared" si="155"/>
        <v>-1</v>
      </c>
      <c r="K2016" s="47" t="e">
        <f t="shared" si="156"/>
        <v>#DIV/0!</v>
      </c>
      <c r="O2016" s="17">
        <f t="shared" si="157"/>
        <v>0</v>
      </c>
      <c r="P2016" s="17" t="e">
        <f t="shared" si="158"/>
        <v>#DIV/0!</v>
      </c>
      <c r="Q2016" s="17"/>
      <c r="V2016" s="45" t="e">
        <f t="shared" si="159"/>
        <v>#DIV/0!</v>
      </c>
      <c r="X2016" s="12">
        <v>4.67</v>
      </c>
      <c r="Y2016" s="62"/>
    </row>
    <row r="2017" spans="1:25" x14ac:dyDescent="0.2">
      <c r="A2017" s="3" t="s">
        <v>4265</v>
      </c>
      <c r="B2017" s="3" t="s">
        <v>2306</v>
      </c>
      <c r="C2017" s="6" t="s">
        <v>356</v>
      </c>
      <c r="D2017" s="6" t="s">
        <v>219</v>
      </c>
      <c r="E2017" s="6" t="s">
        <v>231</v>
      </c>
      <c r="F2017" s="6">
        <v>3571.04</v>
      </c>
      <c r="G2017" s="2">
        <v>6</v>
      </c>
      <c r="H2017" s="61"/>
      <c r="I2017" s="61"/>
      <c r="J2017" s="47">
        <f t="shared" si="155"/>
        <v>-1</v>
      </c>
      <c r="K2017" s="47" t="e">
        <f t="shared" si="156"/>
        <v>#DIV/0!</v>
      </c>
      <c r="O2017" s="17">
        <f t="shared" si="157"/>
        <v>0</v>
      </c>
      <c r="P2017" s="17" t="e">
        <f t="shared" si="158"/>
        <v>#DIV/0!</v>
      </c>
      <c r="Q2017" s="17"/>
      <c r="V2017" s="45" t="e">
        <f t="shared" si="159"/>
        <v>#DIV/0!</v>
      </c>
      <c r="X2017" s="12">
        <v>2.27</v>
      </c>
      <c r="Y2017" s="62"/>
    </row>
    <row r="2018" spans="1:25" x14ac:dyDescent="0.2">
      <c r="A2018" s="3" t="s">
        <v>4266</v>
      </c>
      <c r="B2018" s="3" t="s">
        <v>260</v>
      </c>
      <c r="C2018" s="6" t="s">
        <v>354</v>
      </c>
      <c r="D2018" s="6" t="s">
        <v>272</v>
      </c>
      <c r="E2018" s="6" t="s">
        <v>108</v>
      </c>
      <c r="F2018" s="6">
        <v>65598.559999999998</v>
      </c>
      <c r="G2018" s="2">
        <v>12</v>
      </c>
      <c r="H2018" s="61">
        <v>4.83</v>
      </c>
      <c r="I2018" s="61">
        <v>5.55</v>
      </c>
      <c r="J2018" s="47">
        <f t="shared" si="155"/>
        <v>-0.59750000000000003</v>
      </c>
      <c r="K2018" s="47">
        <f t="shared" si="156"/>
        <v>0.14906832298136641</v>
      </c>
      <c r="L2018" s="8">
        <v>6.18</v>
      </c>
      <c r="M2018" s="8">
        <v>31.1</v>
      </c>
      <c r="N2018" s="8">
        <v>28.48</v>
      </c>
      <c r="O2018" s="17">
        <f t="shared" si="157"/>
        <v>-0.52050209205020925</v>
      </c>
      <c r="P2018" s="17">
        <f t="shared" si="158"/>
        <v>1.9105333333333341</v>
      </c>
      <c r="Q2018" s="17">
        <v>25.57</v>
      </c>
      <c r="R2018" s="9">
        <v>20220726</v>
      </c>
      <c r="S2018" s="9">
        <v>29.67</v>
      </c>
      <c r="T2018" s="9">
        <v>4.42</v>
      </c>
      <c r="U2018" s="9">
        <v>19388.320309999999</v>
      </c>
      <c r="V2018" s="45">
        <f t="shared" si="159"/>
        <v>-0.9997720276986698</v>
      </c>
      <c r="W2018" s="12">
        <v>15.18</v>
      </c>
      <c r="X2018" s="12">
        <v>1.65</v>
      </c>
      <c r="Y2018" s="62">
        <v>2.62</v>
      </c>
    </row>
    <row r="2019" spans="1:25" x14ac:dyDescent="0.2">
      <c r="A2019" s="3" t="s">
        <v>4267</v>
      </c>
      <c r="B2019" s="3" t="s">
        <v>261</v>
      </c>
      <c r="C2019" s="6" t="s">
        <v>354</v>
      </c>
      <c r="D2019" s="6" t="s">
        <v>206</v>
      </c>
      <c r="E2019" s="6" t="s">
        <v>218</v>
      </c>
      <c r="F2019" s="6">
        <v>44968.98</v>
      </c>
      <c r="G2019" s="2">
        <v>12</v>
      </c>
      <c r="H2019" s="61">
        <v>1.27</v>
      </c>
      <c r="I2019" s="61">
        <v>1.55</v>
      </c>
      <c r="J2019" s="47">
        <f t="shared" si="155"/>
        <v>-0.89416666666666667</v>
      </c>
      <c r="K2019" s="47">
        <f t="shared" si="156"/>
        <v>0.22047244094488191</v>
      </c>
      <c r="L2019" s="8">
        <v>1.59</v>
      </c>
      <c r="M2019" s="8">
        <v>26.18</v>
      </c>
      <c r="N2019" s="8">
        <v>23.77</v>
      </c>
      <c r="O2019" s="17">
        <f t="shared" si="157"/>
        <v>-0.29278657968313138</v>
      </c>
      <c r="P2019" s="17">
        <f t="shared" si="158"/>
        <v>1.0781392857142855</v>
      </c>
      <c r="Q2019" s="17">
        <v>23.28</v>
      </c>
      <c r="R2019" s="9">
        <v>20220801</v>
      </c>
      <c r="S2019" s="9">
        <v>12.2</v>
      </c>
      <c r="T2019" s="9">
        <v>3.43</v>
      </c>
      <c r="U2019" s="9">
        <v>12012.95703</v>
      </c>
      <c r="V2019" s="45">
        <f t="shared" si="159"/>
        <v>-0.99971447496303911</v>
      </c>
      <c r="W2019" s="12">
        <v>13.89</v>
      </c>
      <c r="X2019" s="12">
        <v>4.5999999999999996</v>
      </c>
      <c r="Y2019" s="62">
        <v>6.79</v>
      </c>
    </row>
    <row r="2020" spans="1:25" x14ac:dyDescent="0.2">
      <c r="A2020" s="3" t="s">
        <v>4268</v>
      </c>
      <c r="B2020" s="3" t="s">
        <v>458</v>
      </c>
      <c r="C2020" s="6" t="s">
        <v>355</v>
      </c>
      <c r="D2020" s="6" t="s">
        <v>147</v>
      </c>
      <c r="E2020" s="6" t="s">
        <v>146</v>
      </c>
      <c r="F2020" s="6">
        <v>14898.71</v>
      </c>
      <c r="G2020" s="2">
        <v>9</v>
      </c>
      <c r="H2020" s="61">
        <v>0.72</v>
      </c>
      <c r="I2020" s="61">
        <v>0.9</v>
      </c>
      <c r="J2020" s="47">
        <f t="shared" si="155"/>
        <v>-0.91999999999999993</v>
      </c>
      <c r="K2020" s="47">
        <f t="shared" si="156"/>
        <v>0.25000000000000006</v>
      </c>
      <c r="L2020" s="8">
        <v>1.17</v>
      </c>
      <c r="M2020" s="8">
        <v>32.520000000000003</v>
      </c>
      <c r="N2020" s="8">
        <v>32.159999999999997</v>
      </c>
      <c r="O2020" s="17">
        <f t="shared" si="157"/>
        <v>-0.35347826086956524</v>
      </c>
      <c r="P2020" s="17">
        <f t="shared" si="158"/>
        <v>1.2863999999999995</v>
      </c>
      <c r="Q2020" s="17">
        <v>24.65</v>
      </c>
      <c r="R2020" s="9">
        <v>20220802</v>
      </c>
      <c r="S2020" s="9">
        <v>362.14</v>
      </c>
      <c r="U2020" s="9">
        <v>5902.83007</v>
      </c>
      <c r="V2020" s="45">
        <f t="shared" si="159"/>
        <v>-1</v>
      </c>
      <c r="W2020" s="12">
        <v>-14.29</v>
      </c>
      <c r="X2020" s="12">
        <v>2.0699999999999998</v>
      </c>
      <c r="Y2020" s="62">
        <v>1.1100000000000001</v>
      </c>
    </row>
    <row r="2021" spans="1:25" x14ac:dyDescent="0.2">
      <c r="A2021" s="3" t="s">
        <v>4269</v>
      </c>
      <c r="B2021" s="3" t="s">
        <v>4270</v>
      </c>
      <c r="C2021" s="6" t="s">
        <v>356</v>
      </c>
      <c r="D2021" s="6" t="s">
        <v>224</v>
      </c>
      <c r="E2021" s="6" t="s">
        <v>231</v>
      </c>
      <c r="F2021" s="6">
        <v>63808.33</v>
      </c>
      <c r="G2021" s="2">
        <v>12</v>
      </c>
      <c r="H2021" s="61">
        <v>1.23</v>
      </c>
      <c r="I2021" s="61">
        <v>1.43</v>
      </c>
      <c r="J2021" s="47">
        <f t="shared" si="155"/>
        <v>-0.89749999999999996</v>
      </c>
      <c r="K2021" s="47">
        <f t="shared" si="156"/>
        <v>0.16260162601626013</v>
      </c>
      <c r="L2021" s="8">
        <v>1.6</v>
      </c>
      <c r="M2021" s="8">
        <v>28.55</v>
      </c>
      <c r="N2021" s="8">
        <v>25.55</v>
      </c>
      <c r="O2021" s="17">
        <f t="shared" si="157"/>
        <v>-0.3181058495821727</v>
      </c>
      <c r="P2021" s="17">
        <f t="shared" si="158"/>
        <v>1.5713250000000003</v>
      </c>
      <c r="Q2021" s="17">
        <v>22.91</v>
      </c>
      <c r="R2021" s="9">
        <v>20220728</v>
      </c>
      <c r="S2021" s="9">
        <v>25.25</v>
      </c>
      <c r="T2021" s="9">
        <v>4.1100000000000003</v>
      </c>
      <c r="U2021" s="9">
        <v>40731.410150000003</v>
      </c>
      <c r="V2021" s="45">
        <f t="shared" si="159"/>
        <v>-0.99989909507220931</v>
      </c>
      <c r="W2021" s="12">
        <v>-3.12</v>
      </c>
      <c r="X2021" s="12">
        <v>1</v>
      </c>
      <c r="Y2021" s="62">
        <v>2.5499999999999998</v>
      </c>
    </row>
    <row r="2022" spans="1:25" x14ac:dyDescent="0.2">
      <c r="A2022" s="3" t="s">
        <v>4271</v>
      </c>
      <c r="B2022" s="3" t="s">
        <v>422</v>
      </c>
      <c r="C2022" s="6" t="s">
        <v>354</v>
      </c>
      <c r="D2022" s="6" t="s">
        <v>121</v>
      </c>
      <c r="E2022" s="6" t="s">
        <v>140</v>
      </c>
      <c r="F2022" s="6">
        <v>9140.57</v>
      </c>
      <c r="G2022" s="2">
        <v>3</v>
      </c>
      <c r="H2022" s="61">
        <v>3.87</v>
      </c>
      <c r="I2022" s="61">
        <v>4.18</v>
      </c>
      <c r="J2022" s="47">
        <f t="shared" si="155"/>
        <v>0.29000000000000004</v>
      </c>
      <c r="K2022" s="47">
        <f t="shared" si="156"/>
        <v>8.0103359173126512E-2</v>
      </c>
      <c r="L2022" s="8">
        <v>5.35</v>
      </c>
      <c r="M2022" s="8">
        <v>30.44</v>
      </c>
      <c r="N2022" s="8">
        <v>25.92</v>
      </c>
      <c r="O2022" s="17">
        <f t="shared" si="157"/>
        <v>1.049655172413793</v>
      </c>
      <c r="P2022" s="17">
        <f t="shared" si="158"/>
        <v>3.2358193548387137</v>
      </c>
      <c r="Q2022" s="17">
        <v>20.25</v>
      </c>
      <c r="R2022" s="9">
        <v>20220804</v>
      </c>
      <c r="S2022" s="9">
        <v>37.32</v>
      </c>
      <c r="T2022" s="9">
        <v>16.88</v>
      </c>
      <c r="U2022" s="9">
        <v>3128.75</v>
      </c>
      <c r="V2022" s="45">
        <f t="shared" si="159"/>
        <v>-0.99460487415101873</v>
      </c>
      <c r="W2022" s="12">
        <v>18.75</v>
      </c>
      <c r="X2022" s="12">
        <v>0.41</v>
      </c>
      <c r="Y2022" s="62"/>
    </row>
    <row r="2023" spans="1:25" x14ac:dyDescent="0.2">
      <c r="A2023" s="3" t="s">
        <v>4272</v>
      </c>
      <c r="B2023" s="3" t="s">
        <v>367</v>
      </c>
      <c r="C2023" s="6" t="s">
        <v>354</v>
      </c>
      <c r="D2023" s="6" t="s">
        <v>224</v>
      </c>
      <c r="E2023" s="6" t="s">
        <v>231</v>
      </c>
      <c r="F2023" s="6">
        <v>346850.5</v>
      </c>
      <c r="G2023" s="2">
        <v>1</v>
      </c>
      <c r="H2023" s="61">
        <v>6.41</v>
      </c>
      <c r="I2023" s="61">
        <v>6.43</v>
      </c>
      <c r="J2023" s="47">
        <f t="shared" si="155"/>
        <v>5.41</v>
      </c>
      <c r="K2023" s="47">
        <f t="shared" si="156"/>
        <v>3.120124804992133E-3</v>
      </c>
      <c r="L2023" s="8">
        <v>6.97</v>
      </c>
      <c r="M2023" s="8">
        <v>20.79</v>
      </c>
      <c r="N2023" s="8">
        <v>19.59</v>
      </c>
      <c r="O2023" s="17">
        <f t="shared" si="157"/>
        <v>3.842883548983364E-2</v>
      </c>
      <c r="P2023" s="17">
        <f t="shared" si="158"/>
        <v>62.785950000001336</v>
      </c>
      <c r="Q2023" s="17">
        <v>18.07</v>
      </c>
      <c r="R2023" s="9">
        <v>20220816</v>
      </c>
      <c r="S2023" s="9">
        <v>19.05</v>
      </c>
      <c r="T2023" s="9">
        <v>3.58</v>
      </c>
      <c r="U2023" s="9">
        <v>594867.9375</v>
      </c>
      <c r="V2023" s="45">
        <f t="shared" si="159"/>
        <v>-0.99999398185752786</v>
      </c>
      <c r="W2023" s="12">
        <v>-10.96</v>
      </c>
      <c r="X2023" s="12">
        <v>1.78</v>
      </c>
      <c r="Y2023" s="62">
        <v>3.56</v>
      </c>
    </row>
    <row r="2024" spans="1:25" x14ac:dyDescent="0.2">
      <c r="A2024" s="3" t="s">
        <v>4273</v>
      </c>
      <c r="B2024" s="3" t="s">
        <v>2307</v>
      </c>
      <c r="C2024" s="6" t="s">
        <v>356</v>
      </c>
      <c r="D2024" s="6" t="s">
        <v>155</v>
      </c>
      <c r="E2024" s="6" t="s">
        <v>154</v>
      </c>
      <c r="F2024" s="6">
        <v>17584.419999999998</v>
      </c>
      <c r="G2024" s="2">
        <v>12</v>
      </c>
      <c r="H2024" s="61"/>
      <c r="I2024" s="61"/>
      <c r="J2024" s="47">
        <f t="shared" si="155"/>
        <v>-1</v>
      </c>
      <c r="K2024" s="47" t="e">
        <f t="shared" si="156"/>
        <v>#DIV/0!</v>
      </c>
      <c r="M2024" s="8">
        <v>17.91</v>
      </c>
      <c r="O2024" s="17">
        <f t="shared" si="157"/>
        <v>-0.17910000000000001</v>
      </c>
      <c r="P2024" s="17" t="e">
        <f t="shared" si="158"/>
        <v>#DIV/0!</v>
      </c>
      <c r="Q2024" s="17"/>
      <c r="R2024" s="9">
        <v>20220729</v>
      </c>
      <c r="S2024" s="9">
        <v>9.8000000000000007</v>
      </c>
      <c r="T2024" s="9">
        <v>3.84</v>
      </c>
      <c r="V2024" s="45" t="e">
        <f t="shared" si="159"/>
        <v>#DIV/0!</v>
      </c>
      <c r="X2024" s="12">
        <v>1.57</v>
      </c>
      <c r="Y2024" s="62"/>
    </row>
    <row r="2025" spans="1:25" x14ac:dyDescent="0.2">
      <c r="A2025" s="3" t="s">
        <v>435</v>
      </c>
      <c r="B2025" s="3" t="s">
        <v>435</v>
      </c>
      <c r="C2025" s="6" t="s">
        <v>354</v>
      </c>
      <c r="D2025" s="6" t="s">
        <v>124</v>
      </c>
      <c r="E2025" s="6" t="s">
        <v>108</v>
      </c>
      <c r="F2025" s="6">
        <v>3525.99</v>
      </c>
      <c r="G2025" s="2">
        <v>3</v>
      </c>
      <c r="H2025" s="61">
        <v>3.37</v>
      </c>
      <c r="I2025" s="61">
        <v>3.66</v>
      </c>
      <c r="J2025" s="47">
        <f t="shared" si="155"/>
        <v>0.12333333333333336</v>
      </c>
      <c r="K2025" s="47">
        <f t="shared" si="156"/>
        <v>8.6053412462908013E-2</v>
      </c>
      <c r="L2025" s="8">
        <v>4.0999999999999996</v>
      </c>
      <c r="M2025" s="8">
        <v>20.92</v>
      </c>
      <c r="N2025" s="8">
        <v>19.7</v>
      </c>
      <c r="O2025" s="17">
        <f t="shared" si="157"/>
        <v>1.696216216216216</v>
      </c>
      <c r="P2025" s="17">
        <f t="shared" si="158"/>
        <v>2.2892758620689651</v>
      </c>
      <c r="Q2025" s="17">
        <v>17.62</v>
      </c>
      <c r="R2025" s="9">
        <v>20220721</v>
      </c>
      <c r="S2025" s="9">
        <v>20.260000000000002</v>
      </c>
      <c r="T2025" s="9">
        <v>9.98</v>
      </c>
      <c r="U2025" s="9">
        <v>1138.47595</v>
      </c>
      <c r="V2025" s="45">
        <f t="shared" si="159"/>
        <v>-0.99123389475201473</v>
      </c>
      <c r="W2025" s="12">
        <v>9.1999999999999993</v>
      </c>
      <c r="X2025" s="12">
        <v>0</v>
      </c>
      <c r="Y2025" s="62">
        <v>1.55</v>
      </c>
    </row>
    <row r="2026" spans="1:25" x14ac:dyDescent="0.2">
      <c r="A2026" s="3" t="s">
        <v>4274</v>
      </c>
      <c r="B2026" s="3" t="s">
        <v>4275</v>
      </c>
      <c r="C2026" s="6" t="s">
        <v>354</v>
      </c>
      <c r="D2026" s="6" t="s">
        <v>228</v>
      </c>
      <c r="E2026" s="6" t="s">
        <v>119</v>
      </c>
      <c r="F2026" s="6">
        <v>8706.36</v>
      </c>
      <c r="G2026" s="2">
        <v>6</v>
      </c>
      <c r="H2026" s="61">
        <v>-0.9</v>
      </c>
      <c r="I2026" s="61">
        <v>-0.59</v>
      </c>
      <c r="J2026" s="47">
        <f t="shared" si="155"/>
        <v>-1.1500000000000001</v>
      </c>
      <c r="K2026" s="47">
        <f t="shared" si="156"/>
        <v>0.3444444444444445</v>
      </c>
      <c r="L2026" s="8">
        <v>7.0000000000000007E-2</v>
      </c>
      <c r="O2026" s="17">
        <f t="shared" si="157"/>
        <v>0</v>
      </c>
      <c r="P2026" s="17">
        <f t="shared" si="158"/>
        <v>0</v>
      </c>
      <c r="Q2026" s="17">
        <v>1026.96</v>
      </c>
      <c r="R2026" s="9">
        <v>20220816</v>
      </c>
      <c r="S2026" s="9">
        <v>-6.21</v>
      </c>
      <c r="T2026" s="9">
        <v>-20.28</v>
      </c>
      <c r="U2026" s="9">
        <v>725.45799999999997</v>
      </c>
      <c r="V2026" s="45">
        <f t="shared" si="159"/>
        <v>-1.0279547541001683</v>
      </c>
      <c r="W2026" s="12">
        <v>14.29</v>
      </c>
      <c r="X2026" s="12">
        <v>0</v>
      </c>
      <c r="Y2026" s="62"/>
    </row>
    <row r="2027" spans="1:25" x14ac:dyDescent="0.2">
      <c r="A2027" s="3" t="s">
        <v>4276</v>
      </c>
      <c r="B2027" s="3" t="s">
        <v>1921</v>
      </c>
      <c r="C2027" s="6" t="s">
        <v>355</v>
      </c>
      <c r="D2027" s="6" t="s">
        <v>221</v>
      </c>
      <c r="E2027" s="6" t="s">
        <v>231</v>
      </c>
      <c r="F2027" s="6">
        <v>3641.91</v>
      </c>
      <c r="G2027" s="2">
        <v>1</v>
      </c>
      <c r="H2027" s="61">
        <v>0.88</v>
      </c>
      <c r="I2027" s="61">
        <v>0.98</v>
      </c>
      <c r="J2027" s="47">
        <f t="shared" si="155"/>
        <v>-0.12</v>
      </c>
      <c r="K2027" s="47">
        <f t="shared" si="156"/>
        <v>0.1136363636363636</v>
      </c>
      <c r="L2027" s="8">
        <v>1.1100000000000001</v>
      </c>
      <c r="M2027" s="8">
        <v>17.79</v>
      </c>
      <c r="N2027" s="8">
        <v>16.38</v>
      </c>
      <c r="O2027" s="17">
        <f t="shared" si="157"/>
        <v>-1.4824999999999999</v>
      </c>
      <c r="P2027" s="17">
        <f t="shared" si="158"/>
        <v>1.4414400000000005</v>
      </c>
      <c r="Q2027" s="17">
        <v>14.46</v>
      </c>
      <c r="R2027" s="9">
        <v>20220818</v>
      </c>
      <c r="S2027" s="9">
        <v>8.93</v>
      </c>
      <c r="U2027" s="9">
        <v>6217.2070299999996</v>
      </c>
      <c r="V2027" s="45">
        <f t="shared" si="159"/>
        <v>-1</v>
      </c>
      <c r="W2027" s="12">
        <v>13.33</v>
      </c>
      <c r="X2027" s="12">
        <v>0</v>
      </c>
      <c r="Y2027" s="62">
        <v>1.5</v>
      </c>
    </row>
    <row r="2028" spans="1:25" x14ac:dyDescent="0.2">
      <c r="A2028" s="3" t="s">
        <v>4277</v>
      </c>
      <c r="B2028" s="3" t="s">
        <v>2308</v>
      </c>
      <c r="C2028" s="6" t="s">
        <v>356</v>
      </c>
      <c r="D2028" s="6" t="s">
        <v>204</v>
      </c>
      <c r="E2028" s="6" t="s">
        <v>218</v>
      </c>
      <c r="F2028" s="6">
        <v>20860.39</v>
      </c>
      <c r="G2028" s="2">
        <v>12</v>
      </c>
      <c r="H2028" s="61"/>
      <c r="I2028" s="61"/>
      <c r="J2028" s="47">
        <f t="shared" si="155"/>
        <v>-1</v>
      </c>
      <c r="K2028" s="47" t="e">
        <f t="shared" si="156"/>
        <v>#DIV/0!</v>
      </c>
      <c r="O2028" s="17">
        <f t="shared" si="157"/>
        <v>0</v>
      </c>
      <c r="P2028" s="17" t="e">
        <f t="shared" si="158"/>
        <v>#DIV/0!</v>
      </c>
      <c r="Q2028" s="17"/>
      <c r="R2028" s="9">
        <v>20220601</v>
      </c>
      <c r="V2028" s="45" t="e">
        <f t="shared" si="159"/>
        <v>#DIV/0!</v>
      </c>
      <c r="X2028" s="12">
        <v>9.7200000000000006</v>
      </c>
      <c r="Y2028" s="62"/>
    </row>
    <row r="2029" spans="1:25" x14ac:dyDescent="0.2">
      <c r="A2029" s="3" t="s">
        <v>4278</v>
      </c>
      <c r="B2029" s="3" t="s">
        <v>262</v>
      </c>
      <c r="C2029" s="6" t="s">
        <v>354</v>
      </c>
      <c r="D2029" s="6" t="s">
        <v>215</v>
      </c>
      <c r="E2029" s="6" t="s">
        <v>163</v>
      </c>
      <c r="F2029" s="6">
        <v>16134.96</v>
      </c>
      <c r="G2029" s="2">
        <v>12</v>
      </c>
      <c r="H2029" s="61">
        <v>4.9800000000000004</v>
      </c>
      <c r="I2029" s="61">
        <v>5.2</v>
      </c>
      <c r="J2029" s="47">
        <f t="shared" si="155"/>
        <v>-0.58499999999999996</v>
      </c>
      <c r="K2029" s="47">
        <f t="shared" si="156"/>
        <v>4.4176706827309183E-2</v>
      </c>
      <c r="L2029" s="8">
        <v>5.36</v>
      </c>
      <c r="M2029" s="8">
        <v>16.21</v>
      </c>
      <c r="N2029" s="8">
        <v>16.07</v>
      </c>
      <c r="O2029" s="17">
        <f t="shared" si="157"/>
        <v>-0.2770940170940171</v>
      </c>
      <c r="P2029" s="17">
        <f t="shared" si="158"/>
        <v>3.6376636363636408</v>
      </c>
      <c r="Q2029" s="17">
        <v>15.61</v>
      </c>
      <c r="R2029" s="9">
        <v>20220729</v>
      </c>
      <c r="S2029" s="9">
        <v>6.88</v>
      </c>
      <c r="T2029" s="9">
        <v>15.11</v>
      </c>
      <c r="U2029" s="9">
        <v>1398.8940399999999</v>
      </c>
      <c r="V2029" s="45">
        <f t="shared" si="159"/>
        <v>-0.9891986100677076</v>
      </c>
      <c r="W2029" s="12">
        <v>5.47</v>
      </c>
      <c r="X2029" s="12">
        <v>5.05</v>
      </c>
      <c r="Y2029" s="62">
        <v>8.83</v>
      </c>
    </row>
    <row r="2030" spans="1:25" x14ac:dyDescent="0.2">
      <c r="A2030" s="3" t="s">
        <v>4279</v>
      </c>
      <c r="B2030" s="3" t="s">
        <v>308</v>
      </c>
      <c r="C2030" s="6" t="s">
        <v>354</v>
      </c>
      <c r="D2030" s="6" t="s">
        <v>197</v>
      </c>
      <c r="E2030" s="6" t="s">
        <v>60</v>
      </c>
      <c r="F2030" s="6">
        <v>19119.93</v>
      </c>
      <c r="G2030" s="2">
        <v>12</v>
      </c>
      <c r="H2030" s="61">
        <v>1.33</v>
      </c>
      <c r="I2030" s="61">
        <v>1.46</v>
      </c>
      <c r="J2030" s="47">
        <f t="shared" si="155"/>
        <v>-0.88916666666666666</v>
      </c>
      <c r="K2030" s="47">
        <f t="shared" si="156"/>
        <v>9.774436090225555E-2</v>
      </c>
      <c r="L2030" s="8">
        <v>1.5</v>
      </c>
      <c r="M2030" s="8">
        <v>32.58</v>
      </c>
      <c r="N2030" s="8">
        <v>29.02</v>
      </c>
      <c r="O2030" s="17">
        <f t="shared" si="157"/>
        <v>-0.36641049671977505</v>
      </c>
      <c r="P2030" s="17">
        <f t="shared" si="158"/>
        <v>2.9689692307692335</v>
      </c>
      <c r="Q2030" s="17">
        <v>28.22</v>
      </c>
      <c r="R2030" s="9">
        <v>20220811</v>
      </c>
      <c r="S2030" s="9">
        <v>9.6</v>
      </c>
      <c r="T2030" s="9">
        <v>9.57</v>
      </c>
      <c r="U2030" s="9">
        <v>1288.6550199999999</v>
      </c>
      <c r="V2030" s="45">
        <f t="shared" si="159"/>
        <v>-0.99257365248924423</v>
      </c>
      <c r="W2030" s="12">
        <v>2.94</v>
      </c>
      <c r="X2030" s="12">
        <v>1.42</v>
      </c>
      <c r="Y2030" s="62">
        <v>5.8</v>
      </c>
    </row>
    <row r="2031" spans="1:25" x14ac:dyDescent="0.2">
      <c r="A2031" s="3" t="s">
        <v>343</v>
      </c>
      <c r="B2031" s="3" t="s">
        <v>343</v>
      </c>
      <c r="C2031" s="6" t="s">
        <v>354</v>
      </c>
      <c r="D2031" s="6" t="s">
        <v>9</v>
      </c>
      <c r="E2031" s="6" t="s">
        <v>108</v>
      </c>
      <c r="F2031" s="6">
        <v>12818.08</v>
      </c>
      <c r="G2031" s="2">
        <v>12</v>
      </c>
      <c r="H2031" s="61">
        <v>5.28</v>
      </c>
      <c r="I2031" s="61">
        <v>5.95</v>
      </c>
      <c r="J2031" s="47">
        <f t="shared" si="155"/>
        <v>-0.55999999999999994</v>
      </c>
      <c r="K2031" s="47">
        <f t="shared" si="156"/>
        <v>0.12689393939393936</v>
      </c>
      <c r="L2031" s="8">
        <v>6.78</v>
      </c>
      <c r="N2031" s="8">
        <v>9.75</v>
      </c>
      <c r="O2031" s="17">
        <f t="shared" si="157"/>
        <v>0</v>
      </c>
      <c r="P2031" s="17">
        <f t="shared" si="158"/>
        <v>0.76835820895522411</v>
      </c>
      <c r="Q2031" s="17">
        <v>8.5500000000000007</v>
      </c>
      <c r="U2031" s="9">
        <v>14685.5</v>
      </c>
      <c r="V2031" s="45">
        <f t="shared" si="159"/>
        <v>-1</v>
      </c>
      <c r="X2031" s="12">
        <v>2.97</v>
      </c>
      <c r="Y2031" s="62">
        <v>0.94</v>
      </c>
    </row>
    <row r="2032" spans="1:25" x14ac:dyDescent="0.2">
      <c r="A2032" s="3" t="s">
        <v>4280</v>
      </c>
      <c r="B2032" s="3" t="s">
        <v>263</v>
      </c>
      <c r="C2032" s="6" t="s">
        <v>354</v>
      </c>
      <c r="D2032" s="6" t="s">
        <v>173</v>
      </c>
      <c r="E2032" s="6" t="s">
        <v>163</v>
      </c>
      <c r="F2032" s="6">
        <v>18592.71</v>
      </c>
      <c r="G2032" s="2">
        <v>12</v>
      </c>
      <c r="H2032" s="61">
        <v>3.19</v>
      </c>
      <c r="I2032" s="61">
        <v>3.85</v>
      </c>
      <c r="J2032" s="47">
        <f t="shared" si="155"/>
        <v>-0.73416666666666675</v>
      </c>
      <c r="K2032" s="47">
        <f t="shared" si="156"/>
        <v>0.20689655172413798</v>
      </c>
      <c r="L2032" s="8">
        <v>4.26</v>
      </c>
      <c r="M2032" s="8">
        <v>18.55</v>
      </c>
      <c r="N2032" s="8">
        <v>18.2</v>
      </c>
      <c r="O2032" s="17">
        <f t="shared" si="157"/>
        <v>-0.25266742338251985</v>
      </c>
      <c r="P2032" s="17">
        <f t="shared" si="158"/>
        <v>0.87966666666666649</v>
      </c>
      <c r="Q2032" s="17">
        <v>16.47</v>
      </c>
      <c r="R2032" s="9">
        <v>20220728</v>
      </c>
      <c r="S2032" s="9">
        <v>15.77</v>
      </c>
      <c r="T2032" s="9">
        <v>4.49</v>
      </c>
      <c r="U2032" s="9">
        <v>10938.396479999999</v>
      </c>
      <c r="V2032" s="45">
        <f t="shared" si="159"/>
        <v>-0.99958951935887408</v>
      </c>
      <c r="W2032" s="12">
        <v>19.57</v>
      </c>
      <c r="X2032" s="12">
        <v>0.49</v>
      </c>
      <c r="Y2032" s="62">
        <v>2.02</v>
      </c>
    </row>
    <row r="2033" spans="1:25" x14ac:dyDescent="0.2">
      <c r="A2033" s="3" t="s">
        <v>4281</v>
      </c>
      <c r="B2033" s="3" t="s">
        <v>265</v>
      </c>
      <c r="C2033" s="6" t="s">
        <v>354</v>
      </c>
      <c r="D2033" s="6" t="s">
        <v>211</v>
      </c>
      <c r="E2033" s="6" t="s">
        <v>60</v>
      </c>
      <c r="F2033" s="6">
        <v>12079.98</v>
      </c>
      <c r="G2033" s="2">
        <v>9</v>
      </c>
      <c r="H2033" s="61">
        <v>3.29</v>
      </c>
      <c r="I2033" s="61">
        <v>5.1100000000000003</v>
      </c>
      <c r="J2033" s="47">
        <f t="shared" si="155"/>
        <v>-0.63444444444444448</v>
      </c>
      <c r="K2033" s="47">
        <f t="shared" si="156"/>
        <v>0.55319148936170226</v>
      </c>
      <c r="L2033" s="8">
        <v>5.59</v>
      </c>
      <c r="M2033" s="8">
        <v>11.7</v>
      </c>
      <c r="N2033" s="8">
        <v>9.27</v>
      </c>
      <c r="O2033" s="17">
        <f t="shared" si="157"/>
        <v>-0.18441330998248684</v>
      </c>
      <c r="P2033" s="17">
        <f t="shared" si="158"/>
        <v>0.16757307692307688</v>
      </c>
      <c r="Q2033" s="17">
        <v>8.48</v>
      </c>
      <c r="R2033" s="9">
        <v>20220804</v>
      </c>
      <c r="S2033" s="9">
        <v>9.32</v>
      </c>
      <c r="T2033" s="9">
        <v>5.56</v>
      </c>
      <c r="U2033" s="9">
        <v>21401.533200000002</v>
      </c>
      <c r="V2033" s="45">
        <f t="shared" si="159"/>
        <v>-0.99974020552882625</v>
      </c>
      <c r="W2033" s="12">
        <v>15.84</v>
      </c>
      <c r="X2033" s="12">
        <v>2.11</v>
      </c>
      <c r="Y2033" s="62">
        <v>0.42</v>
      </c>
    </row>
    <row r="2034" spans="1:25" x14ac:dyDescent="0.2">
      <c r="A2034" s="3" t="s">
        <v>4282</v>
      </c>
      <c r="B2034" s="3" t="s">
        <v>436</v>
      </c>
      <c r="C2034" s="6" t="s">
        <v>356</v>
      </c>
      <c r="D2034" s="6" t="s">
        <v>233</v>
      </c>
      <c r="E2034" s="6" t="s">
        <v>108</v>
      </c>
      <c r="F2034" s="6">
        <v>4710.12</v>
      </c>
      <c r="G2034" s="2">
        <v>12</v>
      </c>
      <c r="H2034" s="61">
        <v>0.09</v>
      </c>
      <c r="I2034" s="61">
        <v>0.04</v>
      </c>
      <c r="J2034" s="47">
        <f t="shared" si="155"/>
        <v>-0.99250000000000005</v>
      </c>
      <c r="K2034" s="47">
        <f t="shared" si="156"/>
        <v>-0.55555555555555558</v>
      </c>
      <c r="L2034" s="8">
        <v>0.11</v>
      </c>
      <c r="M2034" s="8">
        <v>22.74</v>
      </c>
      <c r="N2034" s="8">
        <v>39.799999999999997</v>
      </c>
      <c r="O2034" s="17">
        <f t="shared" si="157"/>
        <v>-0.22911838790931988</v>
      </c>
      <c r="P2034" s="17">
        <f t="shared" si="158"/>
        <v>-0.71639999999999993</v>
      </c>
      <c r="Q2034" s="17">
        <v>14.47</v>
      </c>
      <c r="R2034" s="9">
        <v>20220601</v>
      </c>
      <c r="S2034" s="9">
        <v>8.6300000000000008</v>
      </c>
      <c r="T2034" s="9">
        <v>-2.4700000000000002</v>
      </c>
      <c r="U2034" s="9">
        <v>5666.4399400000002</v>
      </c>
      <c r="V2034" s="45">
        <f t="shared" si="159"/>
        <v>-1.0004358997935483</v>
      </c>
      <c r="X2034" s="12">
        <v>1.88</v>
      </c>
      <c r="Y2034" s="62"/>
    </row>
    <row r="2035" spans="1:25" x14ac:dyDescent="0.2">
      <c r="A2035" s="3" t="s">
        <v>4283</v>
      </c>
      <c r="B2035" s="3" t="s">
        <v>442</v>
      </c>
      <c r="C2035" s="6" t="s">
        <v>355</v>
      </c>
      <c r="D2035" s="6" t="s">
        <v>156</v>
      </c>
      <c r="E2035" s="6" t="s">
        <v>146</v>
      </c>
      <c r="F2035" s="6">
        <v>7899.52</v>
      </c>
      <c r="G2035" s="2">
        <v>12</v>
      </c>
      <c r="H2035" s="61">
        <v>0.76</v>
      </c>
      <c r="I2035" s="61">
        <v>1.32</v>
      </c>
      <c r="J2035" s="47">
        <f t="shared" si="155"/>
        <v>-0.93666666666666665</v>
      </c>
      <c r="K2035" s="47">
        <f t="shared" si="156"/>
        <v>0.73684210526315796</v>
      </c>
      <c r="L2035" s="8">
        <v>1.71</v>
      </c>
      <c r="M2035" s="8">
        <v>37.770000000000003</v>
      </c>
      <c r="N2035" s="8">
        <v>27</v>
      </c>
      <c r="O2035" s="17">
        <f t="shared" si="157"/>
        <v>-0.40323843416370109</v>
      </c>
      <c r="P2035" s="17">
        <f t="shared" si="158"/>
        <v>0.36642857142857138</v>
      </c>
      <c r="Q2035" s="17">
        <v>20.76</v>
      </c>
      <c r="R2035" s="9">
        <v>20220804</v>
      </c>
      <c r="S2035" s="9">
        <v>11.13</v>
      </c>
      <c r="T2035" s="9">
        <v>41.67</v>
      </c>
      <c r="U2035" s="9">
        <v>2156.3400799999999</v>
      </c>
      <c r="V2035" s="45">
        <f t="shared" si="159"/>
        <v>-0.98067558990973258</v>
      </c>
      <c r="W2035" s="12">
        <v>0</v>
      </c>
      <c r="X2035" s="12">
        <v>0</v>
      </c>
      <c r="Y2035" s="62">
        <v>1.02</v>
      </c>
    </row>
    <row r="2036" spans="1:25" x14ac:dyDescent="0.2">
      <c r="A2036" s="3" t="s">
        <v>4284</v>
      </c>
      <c r="B2036" s="3" t="s">
        <v>407</v>
      </c>
      <c r="C2036" s="6" t="s">
        <v>354</v>
      </c>
      <c r="D2036" s="6" t="s">
        <v>408</v>
      </c>
      <c r="E2036" s="6" t="s">
        <v>231</v>
      </c>
      <c r="F2036" s="6">
        <v>9104.0400000000009</v>
      </c>
      <c r="G2036" s="2">
        <v>1</v>
      </c>
      <c r="H2036" s="61">
        <v>14.23</v>
      </c>
      <c r="I2036" s="61">
        <v>15.73</v>
      </c>
      <c r="J2036" s="47">
        <f t="shared" si="155"/>
        <v>13.23</v>
      </c>
      <c r="K2036" s="47">
        <f t="shared" si="156"/>
        <v>0.10541110330288124</v>
      </c>
      <c r="L2036" s="8">
        <v>16.03</v>
      </c>
      <c r="M2036" s="8">
        <v>8.4</v>
      </c>
      <c r="N2036" s="8">
        <v>8.26</v>
      </c>
      <c r="O2036" s="17">
        <f t="shared" si="157"/>
        <v>6.3492063492063492E-3</v>
      </c>
      <c r="P2036" s="17">
        <f t="shared" si="158"/>
        <v>0.78359866666666667</v>
      </c>
      <c r="Q2036" s="17">
        <v>8.11</v>
      </c>
      <c r="R2036" s="9">
        <v>20220824</v>
      </c>
      <c r="S2036" s="9">
        <v>76.64</v>
      </c>
      <c r="T2036" s="9">
        <v>10.01</v>
      </c>
      <c r="U2036" s="9">
        <v>8613.0820299999996</v>
      </c>
      <c r="V2036" s="45">
        <f t="shared" si="159"/>
        <v>-0.99883781438918906</v>
      </c>
      <c r="W2036" s="12">
        <v>17.059999999999999</v>
      </c>
      <c r="X2036" s="12">
        <v>2.4</v>
      </c>
      <c r="Y2036" s="62">
        <v>1.44</v>
      </c>
    </row>
    <row r="2037" spans="1:25" x14ac:dyDescent="0.2">
      <c r="A2037" s="3" t="s">
        <v>4285</v>
      </c>
      <c r="B2037" s="3" t="s">
        <v>266</v>
      </c>
      <c r="C2037" s="6" t="s">
        <v>354</v>
      </c>
      <c r="D2037" s="6" t="s">
        <v>117</v>
      </c>
      <c r="E2037" s="6" t="s">
        <v>140</v>
      </c>
      <c r="F2037" s="6">
        <v>9726.27</v>
      </c>
      <c r="G2037" s="2">
        <v>12</v>
      </c>
      <c r="H2037" s="61">
        <v>10.51</v>
      </c>
      <c r="I2037" s="61">
        <v>14.46</v>
      </c>
      <c r="J2037" s="47">
        <f t="shared" si="155"/>
        <v>-0.12416666666666669</v>
      </c>
      <c r="K2037" s="47">
        <f t="shared" si="156"/>
        <v>0.3758325404376785</v>
      </c>
      <c r="L2037" s="8">
        <v>14.53</v>
      </c>
      <c r="M2037" s="8">
        <v>20.38</v>
      </c>
      <c r="N2037" s="8">
        <v>17.260000000000002</v>
      </c>
      <c r="O2037" s="17">
        <f t="shared" si="157"/>
        <v>-1.6413422818791941</v>
      </c>
      <c r="P2037" s="17">
        <f t="shared" si="158"/>
        <v>0.45924708860759483</v>
      </c>
      <c r="Q2037" s="17">
        <v>17.170000000000002</v>
      </c>
      <c r="R2037" s="9">
        <v>20220728</v>
      </c>
      <c r="S2037" s="9">
        <v>23.76</v>
      </c>
      <c r="T2037" s="9">
        <v>8.32</v>
      </c>
      <c r="U2037" s="9">
        <v>7199.4282199999998</v>
      </c>
      <c r="V2037" s="45">
        <f t="shared" si="159"/>
        <v>-0.99884435266999583</v>
      </c>
      <c r="W2037" s="12">
        <v>59.34</v>
      </c>
      <c r="X2037" s="12">
        <v>3.53</v>
      </c>
      <c r="Y2037" s="62"/>
    </row>
    <row r="2038" spans="1:25" x14ac:dyDescent="0.2">
      <c r="A2038" s="3" t="s">
        <v>4285</v>
      </c>
      <c r="B2038" s="3" t="s">
        <v>2309</v>
      </c>
      <c r="C2038" s="6" t="s">
        <v>354</v>
      </c>
      <c r="D2038" s="6" t="s">
        <v>117</v>
      </c>
      <c r="E2038" s="6" t="s">
        <v>140</v>
      </c>
      <c r="F2038" s="6">
        <v>10376.17</v>
      </c>
      <c r="G2038" s="2">
        <v>12</v>
      </c>
      <c r="H2038" s="61"/>
      <c r="I2038" s="61"/>
      <c r="J2038" s="47">
        <f t="shared" si="155"/>
        <v>-1</v>
      </c>
      <c r="K2038" s="47" t="e">
        <f t="shared" si="156"/>
        <v>#DIV/0!</v>
      </c>
      <c r="M2038" s="8">
        <v>21.74</v>
      </c>
      <c r="O2038" s="17">
        <f t="shared" si="157"/>
        <v>-0.21739999999999998</v>
      </c>
      <c r="P2038" s="17" t="e">
        <f t="shared" si="158"/>
        <v>#DIV/0!</v>
      </c>
      <c r="Q2038" s="17"/>
      <c r="R2038" s="9">
        <v>20220728</v>
      </c>
      <c r="S2038" s="9">
        <v>23.76</v>
      </c>
      <c r="T2038" s="9">
        <v>8.32</v>
      </c>
      <c r="V2038" s="45" t="e">
        <f t="shared" si="159"/>
        <v>#DIV/0!</v>
      </c>
      <c r="X2038" s="12">
        <v>3.3</v>
      </c>
      <c r="Y2038" s="62"/>
    </row>
    <row r="2039" spans="1:25" x14ac:dyDescent="0.2">
      <c r="A2039" s="3" t="s">
        <v>4286</v>
      </c>
      <c r="B2039" s="3" t="s">
        <v>267</v>
      </c>
      <c r="C2039" s="6" t="s">
        <v>354</v>
      </c>
      <c r="D2039" s="6" t="s">
        <v>186</v>
      </c>
      <c r="E2039" s="6" t="s">
        <v>208</v>
      </c>
      <c r="F2039" s="6">
        <v>22627.14</v>
      </c>
      <c r="G2039" s="2">
        <v>12</v>
      </c>
      <c r="H2039" s="61">
        <v>8.49</v>
      </c>
      <c r="I2039" s="61">
        <v>9.31</v>
      </c>
      <c r="J2039" s="47">
        <f t="shared" si="155"/>
        <v>-0.29249999999999998</v>
      </c>
      <c r="K2039" s="47">
        <f t="shared" si="156"/>
        <v>9.6584216725559516E-2</v>
      </c>
      <c r="L2039" s="8">
        <v>10.32</v>
      </c>
      <c r="M2039" s="8">
        <v>34.479999999999997</v>
      </c>
      <c r="N2039" s="8">
        <v>32.799999999999997</v>
      </c>
      <c r="O2039" s="17">
        <f t="shared" si="157"/>
        <v>-1.1788034188034187</v>
      </c>
      <c r="P2039" s="17">
        <f t="shared" si="158"/>
        <v>3.3959999999999986</v>
      </c>
      <c r="Q2039" s="17">
        <v>29.59</v>
      </c>
      <c r="R2039" s="9">
        <v>20220804</v>
      </c>
      <c r="S2039" s="9">
        <v>30.33</v>
      </c>
      <c r="T2039" s="9">
        <v>13.8</v>
      </c>
      <c r="U2039" s="9">
        <v>3057.4331000000002</v>
      </c>
      <c r="V2039" s="45">
        <f t="shared" si="159"/>
        <v>-0.99548640982528769</v>
      </c>
      <c r="W2039" s="12">
        <v>5.5</v>
      </c>
      <c r="X2039" s="12">
        <v>0.24</v>
      </c>
      <c r="Y2039" s="62">
        <v>3.15</v>
      </c>
    </row>
    <row r="2040" spans="1:25" x14ac:dyDescent="0.2">
      <c r="A2040" s="3" t="s">
        <v>4287</v>
      </c>
      <c r="B2040" s="3" t="s">
        <v>482</v>
      </c>
      <c r="C2040" s="6" t="s">
        <v>355</v>
      </c>
      <c r="D2040" s="6" t="s">
        <v>103</v>
      </c>
      <c r="E2040" s="6" t="s">
        <v>163</v>
      </c>
      <c r="F2040" s="6">
        <v>4956.9799999999996</v>
      </c>
      <c r="G2040" s="2">
        <v>12</v>
      </c>
      <c r="H2040" s="61">
        <v>7.55</v>
      </c>
      <c r="I2040" s="61">
        <v>7.78</v>
      </c>
      <c r="J2040" s="47">
        <f t="shared" si="155"/>
        <v>-0.37083333333333335</v>
      </c>
      <c r="K2040" s="47">
        <f t="shared" si="156"/>
        <v>3.0463576158940454E-2</v>
      </c>
      <c r="L2040" s="8">
        <v>8.91</v>
      </c>
      <c r="M2040" s="8">
        <v>12.16</v>
      </c>
      <c r="N2040" s="8">
        <v>11.13</v>
      </c>
      <c r="O2040" s="17">
        <f t="shared" si="157"/>
        <v>-0.32791011235955053</v>
      </c>
      <c r="P2040" s="17">
        <f t="shared" si="158"/>
        <v>3.6535434782608629</v>
      </c>
      <c r="Q2040" s="17">
        <v>9.7100000000000009</v>
      </c>
      <c r="R2040" s="9">
        <v>20220718</v>
      </c>
      <c r="S2040" s="9">
        <v>10.95</v>
      </c>
      <c r="T2040" s="9">
        <v>10.89</v>
      </c>
      <c r="U2040" s="9">
        <v>1850.7669599999999</v>
      </c>
      <c r="V2040" s="45">
        <f t="shared" si="159"/>
        <v>-0.99411595288042098</v>
      </c>
      <c r="W2040" s="12">
        <v>34.42</v>
      </c>
      <c r="X2040" s="12">
        <v>1.57</v>
      </c>
      <c r="Y2040" s="62">
        <v>0.65</v>
      </c>
    </row>
    <row r="2041" spans="1:25" x14ac:dyDescent="0.2">
      <c r="A2041" s="3" t="s">
        <v>4288</v>
      </c>
      <c r="B2041" s="3" t="s">
        <v>515</v>
      </c>
      <c r="C2041" s="6" t="s">
        <v>356</v>
      </c>
      <c r="D2041" s="6" t="s">
        <v>362</v>
      </c>
      <c r="E2041" s="6" t="s">
        <v>154</v>
      </c>
      <c r="F2041" s="6">
        <v>25595.33</v>
      </c>
      <c r="G2041" s="2">
        <v>12</v>
      </c>
      <c r="H2041" s="61">
        <v>3.87</v>
      </c>
      <c r="I2041" s="61">
        <v>3.99</v>
      </c>
      <c r="J2041" s="47">
        <f t="shared" si="155"/>
        <v>-0.67749999999999988</v>
      </c>
      <c r="K2041" s="47">
        <f t="shared" si="156"/>
        <v>3.1007751937984523E-2</v>
      </c>
      <c r="L2041" s="8">
        <v>4.34</v>
      </c>
      <c r="N2041" s="8">
        <v>24.44</v>
      </c>
      <c r="O2041" s="17">
        <f t="shared" si="157"/>
        <v>0</v>
      </c>
      <c r="P2041" s="17">
        <f t="shared" si="158"/>
        <v>7.8818999999999928</v>
      </c>
      <c r="Q2041" s="17">
        <v>22.47</v>
      </c>
      <c r="V2041" s="45" t="e">
        <f t="shared" si="159"/>
        <v>#DIV/0!</v>
      </c>
      <c r="X2041" s="12">
        <v>1.88</v>
      </c>
      <c r="Y2041" s="62">
        <v>2.68</v>
      </c>
    </row>
    <row r="2042" spans="1:25" x14ac:dyDescent="0.2">
      <c r="A2042" s="3" t="s">
        <v>4289</v>
      </c>
      <c r="B2042" s="3" t="s">
        <v>2310</v>
      </c>
      <c r="C2042" s="6" t="s">
        <v>354</v>
      </c>
      <c r="D2042" s="6" t="s">
        <v>173</v>
      </c>
      <c r="E2042" s="6" t="s">
        <v>163</v>
      </c>
      <c r="F2042" s="6">
        <v>3649.78</v>
      </c>
      <c r="G2042" s="2">
        <v>12</v>
      </c>
      <c r="H2042" s="61"/>
      <c r="I2042" s="61"/>
      <c r="J2042" s="47">
        <f t="shared" si="155"/>
        <v>-1</v>
      </c>
      <c r="K2042" s="47" t="e">
        <f t="shared" si="156"/>
        <v>#DIV/0!</v>
      </c>
      <c r="O2042" s="17">
        <f t="shared" si="157"/>
        <v>0</v>
      </c>
      <c r="P2042" s="17" t="e">
        <f t="shared" si="158"/>
        <v>#DIV/0!</v>
      </c>
      <c r="Q2042" s="17"/>
      <c r="R2042" s="9">
        <v>20220805</v>
      </c>
      <c r="S2042" s="9">
        <v>-6.75</v>
      </c>
      <c r="V2042" s="45" t="e">
        <f t="shared" si="159"/>
        <v>#DIV/0!</v>
      </c>
      <c r="X2042" s="12">
        <v>0.08</v>
      </c>
      <c r="Y2042" s="62"/>
    </row>
    <row r="2043" spans="1:25" x14ac:dyDescent="0.2">
      <c r="A2043" s="3" t="s">
        <v>4290</v>
      </c>
      <c r="B2043" s="3" t="s">
        <v>389</v>
      </c>
      <c r="C2043" s="6" t="s">
        <v>354</v>
      </c>
      <c r="D2043" s="6" t="s">
        <v>270</v>
      </c>
      <c r="E2043" s="6" t="s">
        <v>250</v>
      </c>
      <c r="F2043" s="6">
        <v>11632.9</v>
      </c>
      <c r="G2043" s="2">
        <v>12</v>
      </c>
      <c r="H2043" s="61">
        <v>1.66</v>
      </c>
      <c r="I2043" s="61">
        <v>1.79</v>
      </c>
      <c r="J2043" s="47">
        <f t="shared" si="155"/>
        <v>-0.86166666666666669</v>
      </c>
      <c r="K2043" s="47">
        <f t="shared" si="156"/>
        <v>7.8313253012048265E-2</v>
      </c>
      <c r="L2043" s="8">
        <v>1.91</v>
      </c>
      <c r="M2043" s="8">
        <v>26.81</v>
      </c>
      <c r="N2043" s="8">
        <v>25.61</v>
      </c>
      <c r="O2043" s="17">
        <f t="shared" si="157"/>
        <v>-0.31114119922630556</v>
      </c>
      <c r="P2043" s="17">
        <f t="shared" si="158"/>
        <v>3.2701999999999969</v>
      </c>
      <c r="Q2043" s="17">
        <v>23.96</v>
      </c>
      <c r="R2043" s="9">
        <v>20220803</v>
      </c>
      <c r="S2043" s="9">
        <v>8.77</v>
      </c>
      <c r="T2043" s="9">
        <v>24.08</v>
      </c>
      <c r="U2043" s="9">
        <v>2022.5</v>
      </c>
      <c r="V2043" s="45">
        <f t="shared" si="159"/>
        <v>-0.98809394313967869</v>
      </c>
      <c r="W2043" s="12">
        <v>2.7</v>
      </c>
      <c r="X2043" s="12">
        <v>2.34</v>
      </c>
      <c r="Y2043" s="62">
        <v>4.18</v>
      </c>
    </row>
    <row r="2044" spans="1:25" x14ac:dyDescent="0.2">
      <c r="A2044" s="3" t="s">
        <v>4291</v>
      </c>
      <c r="B2044" s="3" t="s">
        <v>443</v>
      </c>
      <c r="C2044" s="6" t="s">
        <v>354</v>
      </c>
      <c r="D2044" s="6" t="s">
        <v>165</v>
      </c>
      <c r="E2044" s="6" t="s">
        <v>119</v>
      </c>
      <c r="F2044" s="6">
        <v>4276.2</v>
      </c>
      <c r="G2044" s="2">
        <v>12</v>
      </c>
      <c r="H2044" s="61">
        <v>5.44</v>
      </c>
      <c r="I2044" s="61">
        <v>6.07</v>
      </c>
      <c r="J2044" s="47">
        <f t="shared" si="155"/>
        <v>-0.54666666666666663</v>
      </c>
      <c r="K2044" s="47">
        <f t="shared" si="156"/>
        <v>0.11580882352941174</v>
      </c>
      <c r="L2044" s="8">
        <v>6.29</v>
      </c>
      <c r="M2044" s="8">
        <v>21.59</v>
      </c>
      <c r="N2044" s="8">
        <v>21.08</v>
      </c>
      <c r="O2044" s="17">
        <f t="shared" si="157"/>
        <v>-0.39493902439024392</v>
      </c>
      <c r="P2044" s="17">
        <f t="shared" si="158"/>
        <v>1.82024126984127</v>
      </c>
      <c r="Q2044" s="17">
        <v>20.309999999999999</v>
      </c>
      <c r="R2044" s="9">
        <v>20220803</v>
      </c>
      <c r="S2044" s="9">
        <v>17.41</v>
      </c>
      <c r="T2044" s="9">
        <v>3.95</v>
      </c>
      <c r="U2044" s="9">
        <v>1902.4599599999999</v>
      </c>
      <c r="V2044" s="45">
        <f t="shared" si="159"/>
        <v>-0.99792374079715185</v>
      </c>
      <c r="W2044" s="12">
        <v>17.27</v>
      </c>
      <c r="X2044" s="12">
        <v>0.81</v>
      </c>
      <c r="Y2044" s="62">
        <v>2.63</v>
      </c>
    </row>
    <row r="2045" spans="1:25" x14ac:dyDescent="0.2">
      <c r="A2045" s="3" t="s">
        <v>4292</v>
      </c>
      <c r="B2045" s="3" t="s">
        <v>4293</v>
      </c>
      <c r="C2045" s="6" t="s">
        <v>355</v>
      </c>
      <c r="D2045" s="6" t="s">
        <v>169</v>
      </c>
      <c r="E2045" s="6" t="s">
        <v>163</v>
      </c>
      <c r="F2045" s="6">
        <v>23201.82</v>
      </c>
      <c r="G2045" s="2">
        <v>12</v>
      </c>
      <c r="H2045" s="61">
        <v>13.38</v>
      </c>
      <c r="I2045" s="61">
        <v>13.63</v>
      </c>
      <c r="J2045" s="47">
        <f t="shared" si="155"/>
        <v>0.11500000000000006</v>
      </c>
      <c r="K2045" s="47">
        <f t="shared" si="156"/>
        <v>1.8684603886397606E-2</v>
      </c>
      <c r="L2045" s="8">
        <v>15.6</v>
      </c>
      <c r="M2045" s="8">
        <v>16.36</v>
      </c>
      <c r="N2045" s="8">
        <v>15.27</v>
      </c>
      <c r="O2045" s="17">
        <f t="shared" si="157"/>
        <v>1.4226086956521733</v>
      </c>
      <c r="P2045" s="17">
        <f t="shared" si="158"/>
        <v>8.172504</v>
      </c>
      <c r="Q2045" s="17">
        <v>13.34</v>
      </c>
      <c r="R2045" s="9">
        <v>20220802</v>
      </c>
      <c r="S2045" s="9">
        <v>13.43</v>
      </c>
      <c r="T2045" s="9">
        <v>4.3</v>
      </c>
      <c r="U2045" s="9">
        <v>9008.3720699999994</v>
      </c>
      <c r="V2045" s="45">
        <f t="shared" si="159"/>
        <v>-0.99952266625239439</v>
      </c>
      <c r="W2045" s="12">
        <v>5.98</v>
      </c>
      <c r="X2045" s="12">
        <v>1.58</v>
      </c>
      <c r="Y2045" s="62">
        <v>0.98</v>
      </c>
    </row>
    <row r="2046" spans="1:25" x14ac:dyDescent="0.2">
      <c r="A2046" s="3" t="s">
        <v>4294</v>
      </c>
      <c r="B2046" s="3" t="s">
        <v>268</v>
      </c>
      <c r="C2046" s="6" t="s">
        <v>354</v>
      </c>
      <c r="D2046" s="6" t="s">
        <v>153</v>
      </c>
      <c r="E2046" s="6" t="s">
        <v>108</v>
      </c>
      <c r="F2046" s="6">
        <v>6798.06</v>
      </c>
      <c r="G2046" s="2">
        <v>12</v>
      </c>
      <c r="H2046" s="61">
        <v>2.08</v>
      </c>
      <c r="I2046" s="61">
        <v>1.8</v>
      </c>
      <c r="J2046" s="47">
        <f t="shared" si="155"/>
        <v>-0.82666666666666666</v>
      </c>
      <c r="K2046" s="47">
        <f t="shared" si="156"/>
        <v>-0.13461538461538464</v>
      </c>
      <c r="L2046" s="8">
        <v>1.95</v>
      </c>
      <c r="M2046" s="8">
        <v>7.79</v>
      </c>
      <c r="N2046" s="8">
        <v>9.77</v>
      </c>
      <c r="O2046" s="17">
        <f t="shared" si="157"/>
        <v>-9.4233870967741926E-2</v>
      </c>
      <c r="P2046" s="17">
        <f t="shared" si="158"/>
        <v>-0.7257714285714284</v>
      </c>
      <c r="Q2046" s="17">
        <v>9.0500000000000007</v>
      </c>
      <c r="R2046" s="9">
        <v>20220803</v>
      </c>
      <c r="S2046" s="9">
        <v>269.10000000000002</v>
      </c>
      <c r="T2046" s="9">
        <v>-3.04</v>
      </c>
      <c r="U2046" s="9">
        <v>4560.45507</v>
      </c>
      <c r="V2046" s="45">
        <f t="shared" si="159"/>
        <v>-1.0006666001426037</v>
      </c>
      <c r="W2046" s="12">
        <v>15.91</v>
      </c>
      <c r="X2046" s="12">
        <v>5.34</v>
      </c>
      <c r="Y2046" s="62"/>
    </row>
    <row r="2047" spans="1:25" x14ac:dyDescent="0.2">
      <c r="A2047" s="3" t="s">
        <v>4295</v>
      </c>
      <c r="B2047" s="3" t="s">
        <v>269</v>
      </c>
      <c r="C2047" s="6" t="s">
        <v>355</v>
      </c>
      <c r="D2047" s="6" t="s">
        <v>165</v>
      </c>
      <c r="E2047" s="6" t="s">
        <v>119</v>
      </c>
      <c r="F2047" s="6">
        <v>6311.73</v>
      </c>
      <c r="G2047" s="2">
        <v>9</v>
      </c>
      <c r="H2047" s="61">
        <v>3.3</v>
      </c>
      <c r="I2047" s="61">
        <v>3.31</v>
      </c>
      <c r="J2047" s="47">
        <f t="shared" si="155"/>
        <v>-0.6333333333333333</v>
      </c>
      <c r="K2047" s="47">
        <f t="shared" si="156"/>
        <v>3.0303030303031006E-3</v>
      </c>
      <c r="L2047" s="8">
        <v>4.53</v>
      </c>
      <c r="M2047" s="8">
        <v>35.22</v>
      </c>
      <c r="N2047" s="8">
        <v>30.23</v>
      </c>
      <c r="O2047" s="17">
        <f t="shared" si="157"/>
        <v>-0.55610526315789477</v>
      </c>
      <c r="P2047" s="17">
        <f t="shared" si="158"/>
        <v>99.758999999997698</v>
      </c>
      <c r="Q2047" s="17">
        <v>22.09</v>
      </c>
      <c r="R2047" s="9">
        <v>20220801</v>
      </c>
      <c r="S2047" s="9">
        <v>8.5299999999999994</v>
      </c>
      <c r="T2047" s="9">
        <v>1.05</v>
      </c>
      <c r="U2047" s="9">
        <v>2444.2390099999998</v>
      </c>
      <c r="V2047" s="45">
        <f t="shared" si="159"/>
        <v>-0.99957041844283456</v>
      </c>
      <c r="W2047" s="12">
        <v>-16.28</v>
      </c>
      <c r="X2047" s="12">
        <v>0.76</v>
      </c>
      <c r="Y2047" s="62">
        <v>2.2400000000000002</v>
      </c>
    </row>
    <row r="2048" spans="1:25" x14ac:dyDescent="0.2">
      <c r="A2048" s="3" t="s">
        <v>4296</v>
      </c>
      <c r="B2048" s="3" t="s">
        <v>423</v>
      </c>
      <c r="C2048" s="6" t="s">
        <v>354</v>
      </c>
      <c r="D2048" s="6" t="s">
        <v>147</v>
      </c>
      <c r="E2048" s="6" t="s">
        <v>146</v>
      </c>
      <c r="F2048" s="6">
        <v>4913.47</v>
      </c>
      <c r="G2048" s="2">
        <v>12</v>
      </c>
      <c r="H2048" s="61">
        <v>1.9</v>
      </c>
      <c r="I2048" s="61">
        <v>2.4700000000000002</v>
      </c>
      <c r="J2048" s="47">
        <f t="shared" si="155"/>
        <v>-0.84166666666666667</v>
      </c>
      <c r="K2048" s="47">
        <f t="shared" si="156"/>
        <v>0.30000000000000016</v>
      </c>
      <c r="L2048" s="8">
        <v>2.78</v>
      </c>
      <c r="M2048" s="8">
        <v>27.42</v>
      </c>
      <c r="N2048" s="8">
        <v>26.7</v>
      </c>
      <c r="O2048" s="17">
        <f t="shared" si="157"/>
        <v>-0.32578217821782179</v>
      </c>
      <c r="P2048" s="17">
        <f t="shared" si="158"/>
        <v>0.88999999999999957</v>
      </c>
      <c r="Q2048" s="17">
        <v>23.82</v>
      </c>
      <c r="R2048" s="9">
        <v>20220804</v>
      </c>
      <c r="S2048" s="9">
        <v>53.6</v>
      </c>
      <c r="T2048" s="9">
        <v>7.52</v>
      </c>
      <c r="U2048" s="9">
        <v>1281.64501</v>
      </c>
      <c r="V2048" s="45">
        <f t="shared" si="159"/>
        <v>-0.99413254064789747</v>
      </c>
      <c r="W2048" s="12">
        <v>13.24</v>
      </c>
      <c r="X2048" s="12">
        <v>0.73</v>
      </c>
      <c r="Y2048" s="62"/>
    </row>
    <row r="2049" spans="1:25" x14ac:dyDescent="0.2">
      <c r="A2049" s="3" t="s">
        <v>4297</v>
      </c>
      <c r="B2049" s="3" t="s">
        <v>4298</v>
      </c>
      <c r="C2049" s="6" t="s">
        <v>356</v>
      </c>
      <c r="D2049" s="6" t="s">
        <v>153</v>
      </c>
      <c r="E2049" s="6" t="s">
        <v>108</v>
      </c>
      <c r="F2049" s="6">
        <v>5004.12</v>
      </c>
      <c r="G2049" s="2">
        <v>12</v>
      </c>
      <c r="H2049" s="61">
        <v>1.5</v>
      </c>
      <c r="I2049" s="61">
        <v>2.36</v>
      </c>
      <c r="J2049" s="47">
        <f t="shared" si="155"/>
        <v>-0.875</v>
      </c>
      <c r="K2049" s="47">
        <f t="shared" si="156"/>
        <v>0.57333333333333325</v>
      </c>
      <c r="L2049" s="8">
        <v>3.1</v>
      </c>
      <c r="N2049" s="8">
        <v>15.91</v>
      </c>
      <c r="O2049" s="17">
        <f t="shared" si="157"/>
        <v>0</v>
      </c>
      <c r="P2049" s="17">
        <f t="shared" si="158"/>
        <v>0.27750000000000002</v>
      </c>
      <c r="Q2049" s="17">
        <v>12.12</v>
      </c>
      <c r="U2049" s="9">
        <v>6411.6201099999998</v>
      </c>
      <c r="V2049" s="45">
        <f t="shared" si="159"/>
        <v>-1</v>
      </c>
      <c r="X2049" s="12">
        <v>0</v>
      </c>
      <c r="Y2049" s="62"/>
    </row>
    <row r="2050" spans="1:25" x14ac:dyDescent="0.2">
      <c r="A2050" s="3" t="s">
        <v>4299</v>
      </c>
      <c r="B2050" s="3" t="s">
        <v>483</v>
      </c>
      <c r="C2050" s="6" t="s">
        <v>356</v>
      </c>
      <c r="D2050" s="6" t="s">
        <v>155</v>
      </c>
      <c r="E2050" s="6" t="s">
        <v>154</v>
      </c>
      <c r="F2050" s="6">
        <v>11133.2</v>
      </c>
      <c r="G2050" s="2">
        <v>3</v>
      </c>
      <c r="H2050" s="61">
        <v>2.73</v>
      </c>
      <c r="I2050" s="61">
        <v>3.13</v>
      </c>
      <c r="J2050" s="47">
        <f t="shared" si="155"/>
        <v>-9.0000000000000011E-2</v>
      </c>
      <c r="K2050" s="47">
        <f t="shared" si="156"/>
        <v>0.1465201465201465</v>
      </c>
      <c r="L2050" s="8">
        <v>3.36</v>
      </c>
      <c r="N2050" s="8">
        <v>14.95</v>
      </c>
      <c r="O2050" s="17">
        <f t="shared" si="157"/>
        <v>0</v>
      </c>
      <c r="P2050" s="17">
        <f t="shared" si="158"/>
        <v>1.0203375000000001</v>
      </c>
      <c r="Q2050" s="17">
        <v>13.92</v>
      </c>
      <c r="R2050" s="9">
        <v>20220628</v>
      </c>
      <c r="U2050" s="9">
        <v>4055</v>
      </c>
      <c r="V2050" s="45">
        <f t="shared" si="159"/>
        <v>-1</v>
      </c>
      <c r="X2050" s="12">
        <v>1.56</v>
      </c>
      <c r="Y2050" s="62"/>
    </row>
    <row r="2051" spans="1:25" x14ac:dyDescent="0.2">
      <c r="A2051" s="3" t="s">
        <v>4300</v>
      </c>
      <c r="B2051" s="3" t="s">
        <v>516</v>
      </c>
      <c r="C2051" s="6" t="s">
        <v>354</v>
      </c>
      <c r="D2051" s="6" t="s">
        <v>122</v>
      </c>
      <c r="E2051" s="6" t="s">
        <v>140</v>
      </c>
      <c r="F2051" s="6">
        <v>28990.75</v>
      </c>
      <c r="G2051" s="2">
        <v>12</v>
      </c>
      <c r="H2051" s="61">
        <v>3.39</v>
      </c>
      <c r="I2051" s="61">
        <v>3.2</v>
      </c>
      <c r="J2051" s="47">
        <f t="shared" ref="J2051:J2114" si="160">(H2051-G2051)/ABS(G2051)</f>
        <v>-0.71749999999999992</v>
      </c>
      <c r="K2051" s="47">
        <f t="shared" ref="K2051:K2114" si="161">(I2051-H2051)/ABS(H2051)</f>
        <v>-5.6047197640117979E-2</v>
      </c>
      <c r="L2051" s="8">
        <v>1.4</v>
      </c>
      <c r="M2051" s="8">
        <v>10.33</v>
      </c>
      <c r="N2051" s="8">
        <v>12.17</v>
      </c>
      <c r="O2051" s="17">
        <f t="shared" ref="O2051:O2114" si="162">M2051/(J2051*100)</f>
        <v>-0.14397212543554011</v>
      </c>
      <c r="P2051" s="17">
        <f t="shared" ref="P2051:P2114" si="163">N2051/(K2051*100)</f>
        <v>-2.1713842105263161</v>
      </c>
      <c r="Q2051" s="17">
        <v>27.81</v>
      </c>
      <c r="R2051" s="9">
        <v>20220729</v>
      </c>
      <c r="S2051" s="9">
        <v>27.03</v>
      </c>
      <c r="T2051" s="9">
        <v>7.41</v>
      </c>
      <c r="U2051" s="9">
        <v>11248</v>
      </c>
      <c r="V2051" s="45">
        <f t="shared" ref="V2051:V2114" si="164">(T2051-U2051)/U2051</f>
        <v>-0.99934121621621619</v>
      </c>
      <c r="W2051" s="12">
        <v>14.91</v>
      </c>
      <c r="X2051" s="12">
        <v>1.85</v>
      </c>
      <c r="Y2051" s="62"/>
    </row>
    <row r="2052" spans="1:25" x14ac:dyDescent="0.2">
      <c r="A2052" s="3" t="s">
        <v>4301</v>
      </c>
      <c r="B2052" s="3" t="s">
        <v>1922</v>
      </c>
      <c r="C2052" s="6" t="s">
        <v>356</v>
      </c>
      <c r="D2052" s="6" t="s">
        <v>124</v>
      </c>
      <c r="E2052" s="6" t="s">
        <v>108</v>
      </c>
      <c r="F2052" s="6">
        <v>5456.83</v>
      </c>
      <c r="G2052" s="2">
        <v>6</v>
      </c>
      <c r="H2052" s="61">
        <v>0.38</v>
      </c>
      <c r="I2052" s="61">
        <v>0.47</v>
      </c>
      <c r="J2052" s="47">
        <f t="shared" si="160"/>
        <v>-0.93666666666666665</v>
      </c>
      <c r="K2052" s="47">
        <f t="shared" si="161"/>
        <v>0.2368421052631578</v>
      </c>
      <c r="L2052" s="8">
        <v>0.62</v>
      </c>
      <c r="N2052" s="8">
        <v>22.17</v>
      </c>
      <c r="O2052" s="17">
        <f t="shared" si="162"/>
        <v>0</v>
      </c>
      <c r="P2052" s="17">
        <f t="shared" si="163"/>
        <v>0.93606666666666705</v>
      </c>
      <c r="Q2052" s="17">
        <v>16.809999999999999</v>
      </c>
      <c r="U2052" s="9">
        <v>7006.81005</v>
      </c>
      <c r="V2052" s="45">
        <f t="shared" si="164"/>
        <v>-1</v>
      </c>
      <c r="X2052" s="12">
        <v>2.88</v>
      </c>
      <c r="Y2052" s="62"/>
    </row>
    <row r="2053" spans="1:25" x14ac:dyDescent="0.2">
      <c r="A2053" s="3" t="s">
        <v>4302</v>
      </c>
      <c r="B2053" s="3" t="s">
        <v>271</v>
      </c>
      <c r="C2053" s="6" t="s">
        <v>355</v>
      </c>
      <c r="D2053" s="6" t="s">
        <v>157</v>
      </c>
      <c r="E2053" s="6" t="s">
        <v>146</v>
      </c>
      <c r="F2053" s="6">
        <v>7471.62</v>
      </c>
      <c r="G2053" s="2">
        <v>12</v>
      </c>
      <c r="H2053" s="61">
        <v>-6.03</v>
      </c>
      <c r="I2053" s="61">
        <v>-2.96</v>
      </c>
      <c r="J2053" s="47">
        <f t="shared" si="160"/>
        <v>-1.5025000000000002</v>
      </c>
      <c r="K2053" s="47">
        <f t="shared" si="161"/>
        <v>0.50912106135986734</v>
      </c>
      <c r="L2053" s="8">
        <v>1.81</v>
      </c>
      <c r="O2053" s="17">
        <f t="shared" si="162"/>
        <v>0</v>
      </c>
      <c r="P2053" s="17">
        <f t="shared" si="163"/>
        <v>0</v>
      </c>
      <c r="Q2053" s="17">
        <v>35.64</v>
      </c>
      <c r="R2053" s="9">
        <v>20220803</v>
      </c>
      <c r="T2053" s="9">
        <v>-18.09</v>
      </c>
      <c r="U2053" s="9">
        <v>4292.1479399999998</v>
      </c>
      <c r="V2053" s="45">
        <f t="shared" si="164"/>
        <v>-1.0042146729919099</v>
      </c>
      <c r="W2053" s="12">
        <v>-5.22</v>
      </c>
      <c r="X2053" s="12">
        <v>0</v>
      </c>
      <c r="Y2053" s="62"/>
    </row>
    <row r="2054" spans="1:25" x14ac:dyDescent="0.2">
      <c r="A2054" s="3" t="s">
        <v>4303</v>
      </c>
      <c r="B2054" s="3" t="s">
        <v>484</v>
      </c>
      <c r="C2054" s="6" t="s">
        <v>354</v>
      </c>
      <c r="D2054" s="6" t="s">
        <v>232</v>
      </c>
      <c r="E2054" s="6" t="s">
        <v>60</v>
      </c>
      <c r="F2054" s="6">
        <v>6695.71</v>
      </c>
      <c r="G2054" s="2">
        <v>12</v>
      </c>
      <c r="H2054" s="61">
        <v>14.61</v>
      </c>
      <c r="I2054" s="61">
        <v>11.44</v>
      </c>
      <c r="J2054" s="47">
        <f t="shared" si="160"/>
        <v>0.21749999999999994</v>
      </c>
      <c r="K2054" s="47">
        <f t="shared" si="161"/>
        <v>-0.21697467488021904</v>
      </c>
      <c r="L2054" s="8">
        <v>4.43</v>
      </c>
      <c r="M2054" s="8">
        <v>1.67</v>
      </c>
      <c r="N2054" s="8">
        <v>2.2400000000000002</v>
      </c>
      <c r="O2054" s="17">
        <f t="shared" si="162"/>
        <v>7.678160919540232E-2</v>
      </c>
      <c r="P2054" s="17">
        <f t="shared" si="163"/>
        <v>-0.10323785488958991</v>
      </c>
      <c r="Q2054" s="17">
        <v>5.8</v>
      </c>
      <c r="R2054" s="9">
        <v>20220804</v>
      </c>
      <c r="S2054" s="9">
        <v>54.02</v>
      </c>
      <c r="T2054" s="9">
        <v>5.37</v>
      </c>
      <c r="U2054" s="9">
        <v>20892.626950000002</v>
      </c>
      <c r="V2054" s="45">
        <f t="shared" si="164"/>
        <v>-0.99974297152709179</v>
      </c>
      <c r="W2054" s="12">
        <v>1.67</v>
      </c>
      <c r="X2054" s="12">
        <v>0.78</v>
      </c>
      <c r="Y2054" s="62"/>
    </row>
    <row r="2055" spans="1:25" x14ac:dyDescent="0.2">
      <c r="B2055" s="3" t="s">
        <v>2311</v>
      </c>
      <c r="C2055" s="6" t="s">
        <v>354</v>
      </c>
      <c r="D2055" s="6" t="s">
        <v>519</v>
      </c>
      <c r="E2055" s="6" t="s">
        <v>163</v>
      </c>
      <c r="F2055" s="6">
        <v>5656.99</v>
      </c>
      <c r="G2055" s="2">
        <v>12</v>
      </c>
      <c r="H2055" s="61"/>
      <c r="I2055" s="61"/>
      <c r="J2055" s="47">
        <f t="shared" si="160"/>
        <v>-1</v>
      </c>
      <c r="K2055" s="47" t="e">
        <f t="shared" si="161"/>
        <v>#DIV/0!</v>
      </c>
      <c r="O2055" s="17">
        <f t="shared" si="162"/>
        <v>0</v>
      </c>
      <c r="P2055" s="17" t="e">
        <f t="shared" si="163"/>
        <v>#DIV/0!</v>
      </c>
      <c r="Q2055" s="17"/>
      <c r="V2055" s="45" t="e">
        <f t="shared" si="164"/>
        <v>#DIV/0!</v>
      </c>
      <c r="X2055" s="12">
        <v>0</v>
      </c>
      <c r="Y2055" s="62"/>
    </row>
    <row r="2056" spans="1:25" x14ac:dyDescent="0.2">
      <c r="A2056" s="3" t="s">
        <v>4304</v>
      </c>
      <c r="B2056" s="3" t="s">
        <v>273</v>
      </c>
      <c r="C2056" s="6" t="s">
        <v>355</v>
      </c>
      <c r="D2056" s="6" t="s">
        <v>246</v>
      </c>
      <c r="E2056" s="6" t="s">
        <v>250</v>
      </c>
      <c r="F2056" s="6">
        <v>40827.21</v>
      </c>
      <c r="G2056" s="2">
        <v>12</v>
      </c>
      <c r="H2056" s="61">
        <v>2.96</v>
      </c>
      <c r="I2056" s="61">
        <v>3.16</v>
      </c>
      <c r="J2056" s="47">
        <f t="shared" si="160"/>
        <v>-0.7533333333333333</v>
      </c>
      <c r="K2056" s="47">
        <f t="shared" si="161"/>
        <v>6.7567567567567627E-2</v>
      </c>
      <c r="L2056" s="8">
        <v>3.4</v>
      </c>
      <c r="M2056" s="8">
        <v>25.07</v>
      </c>
      <c r="N2056" s="8">
        <v>23.71</v>
      </c>
      <c r="O2056" s="17">
        <f t="shared" si="162"/>
        <v>-0.33278761061946904</v>
      </c>
      <c r="P2056" s="17">
        <f t="shared" si="163"/>
        <v>3.5090799999999973</v>
      </c>
      <c r="Q2056" s="17">
        <v>22.07</v>
      </c>
      <c r="R2056" s="9">
        <v>20220804</v>
      </c>
      <c r="S2056" s="9">
        <v>10.54</v>
      </c>
      <c r="T2056" s="9">
        <v>3.04</v>
      </c>
      <c r="U2056" s="9">
        <v>13679.577139999999</v>
      </c>
      <c r="V2056" s="45">
        <f t="shared" si="164"/>
        <v>-0.99977777090849451</v>
      </c>
      <c r="W2056" s="12">
        <v>2.94</v>
      </c>
      <c r="X2056" s="12">
        <v>2.6</v>
      </c>
      <c r="Y2056" s="62">
        <v>3.69</v>
      </c>
    </row>
    <row r="2057" spans="1:25" x14ac:dyDescent="0.2">
      <c r="B2057" s="3" t="s">
        <v>2312</v>
      </c>
      <c r="C2057" s="6" t="s">
        <v>354</v>
      </c>
      <c r="D2057" s="6" t="s">
        <v>519</v>
      </c>
      <c r="E2057" s="6" t="s">
        <v>163</v>
      </c>
      <c r="F2057" s="6">
        <v>7218.9</v>
      </c>
      <c r="G2057" s="2">
        <v>12</v>
      </c>
      <c r="H2057" s="61"/>
      <c r="I2057" s="61"/>
      <c r="J2057" s="47">
        <f t="shared" si="160"/>
        <v>-1</v>
      </c>
      <c r="K2057" s="47" t="e">
        <f t="shared" si="161"/>
        <v>#DIV/0!</v>
      </c>
      <c r="O2057" s="17">
        <f t="shared" si="162"/>
        <v>0</v>
      </c>
      <c r="P2057" s="17" t="e">
        <f t="shared" si="163"/>
        <v>#DIV/0!</v>
      </c>
      <c r="Q2057" s="17"/>
      <c r="V2057" s="45" t="e">
        <f t="shared" si="164"/>
        <v>#DIV/0!</v>
      </c>
      <c r="X2057" s="12">
        <v>1.72</v>
      </c>
      <c r="Y2057" s="62"/>
    </row>
    <row r="2058" spans="1:25" x14ac:dyDescent="0.2">
      <c r="B2058" s="3" t="s">
        <v>2313</v>
      </c>
      <c r="C2058" s="6" t="s">
        <v>354</v>
      </c>
      <c r="D2058" s="6" t="s">
        <v>519</v>
      </c>
      <c r="E2058" s="6" t="s">
        <v>163</v>
      </c>
      <c r="F2058" s="6">
        <v>34640.699999999997</v>
      </c>
      <c r="G2058" s="2">
        <v>12</v>
      </c>
      <c r="H2058" s="61"/>
      <c r="I2058" s="61"/>
      <c r="J2058" s="47">
        <f t="shared" si="160"/>
        <v>-1</v>
      </c>
      <c r="K2058" s="47" t="e">
        <f t="shared" si="161"/>
        <v>#DIV/0!</v>
      </c>
      <c r="O2058" s="17">
        <f t="shared" si="162"/>
        <v>0</v>
      </c>
      <c r="P2058" s="17" t="e">
        <f t="shared" si="163"/>
        <v>#DIV/0!</v>
      </c>
      <c r="Q2058" s="17"/>
      <c r="V2058" s="45" t="e">
        <f t="shared" si="164"/>
        <v>#DIV/0!</v>
      </c>
      <c r="X2058" s="12">
        <v>1.82</v>
      </c>
      <c r="Y2058" s="62"/>
    </row>
    <row r="2059" spans="1:25" x14ac:dyDescent="0.2">
      <c r="B2059" s="3" t="s">
        <v>2314</v>
      </c>
      <c r="C2059" s="6" t="s">
        <v>354</v>
      </c>
      <c r="D2059" s="6" t="s">
        <v>519</v>
      </c>
      <c r="E2059" s="6" t="s">
        <v>163</v>
      </c>
      <c r="F2059" s="6">
        <v>16223.79</v>
      </c>
      <c r="G2059" s="2">
        <v>12</v>
      </c>
      <c r="H2059" s="61"/>
      <c r="I2059" s="61"/>
      <c r="J2059" s="47">
        <f t="shared" si="160"/>
        <v>-1</v>
      </c>
      <c r="K2059" s="47" t="e">
        <f t="shared" si="161"/>
        <v>#DIV/0!</v>
      </c>
      <c r="O2059" s="17">
        <f t="shared" si="162"/>
        <v>0</v>
      </c>
      <c r="P2059" s="17" t="e">
        <f t="shared" si="163"/>
        <v>#DIV/0!</v>
      </c>
      <c r="Q2059" s="17"/>
      <c r="V2059" s="45" t="e">
        <f t="shared" si="164"/>
        <v>#DIV/0!</v>
      </c>
      <c r="X2059" s="12">
        <v>2.71</v>
      </c>
      <c r="Y2059" s="62"/>
    </row>
    <row r="2060" spans="1:25" x14ac:dyDescent="0.2">
      <c r="B2060" s="3" t="s">
        <v>2315</v>
      </c>
      <c r="C2060" s="6" t="s">
        <v>354</v>
      </c>
      <c r="D2060" s="6" t="s">
        <v>519</v>
      </c>
      <c r="E2060" s="6" t="s">
        <v>163</v>
      </c>
      <c r="F2060" s="6">
        <v>15534.97</v>
      </c>
      <c r="G2060" s="2">
        <v>12</v>
      </c>
      <c r="H2060" s="61"/>
      <c r="I2060" s="61"/>
      <c r="J2060" s="47">
        <f t="shared" si="160"/>
        <v>-1</v>
      </c>
      <c r="K2060" s="47" t="e">
        <f t="shared" si="161"/>
        <v>#DIV/0!</v>
      </c>
      <c r="O2060" s="17">
        <f t="shared" si="162"/>
        <v>0</v>
      </c>
      <c r="P2060" s="17" t="e">
        <f t="shared" si="163"/>
        <v>#DIV/0!</v>
      </c>
      <c r="Q2060" s="17"/>
      <c r="V2060" s="45" t="e">
        <f t="shared" si="164"/>
        <v>#DIV/0!</v>
      </c>
      <c r="X2060" s="12">
        <v>0.74</v>
      </c>
      <c r="Y2060" s="62"/>
    </row>
    <row r="2061" spans="1:25" x14ac:dyDescent="0.2">
      <c r="A2061" s="3" t="s">
        <v>4305</v>
      </c>
      <c r="B2061" s="3" t="s">
        <v>1923</v>
      </c>
      <c r="C2061" s="6" t="s">
        <v>355</v>
      </c>
      <c r="D2061" s="6" t="s">
        <v>177</v>
      </c>
      <c r="E2061" s="6" t="s">
        <v>119</v>
      </c>
      <c r="F2061" s="6">
        <v>8172.8</v>
      </c>
      <c r="G2061" s="2">
        <v>12</v>
      </c>
      <c r="H2061" s="61">
        <v>0.04</v>
      </c>
      <c r="I2061" s="61">
        <v>0.01</v>
      </c>
      <c r="J2061" s="47">
        <f t="shared" si="160"/>
        <v>-0.9966666666666667</v>
      </c>
      <c r="K2061" s="47">
        <f t="shared" si="161"/>
        <v>-0.75</v>
      </c>
      <c r="L2061" s="8">
        <v>0.06</v>
      </c>
      <c r="N2061" s="8">
        <v>2109</v>
      </c>
      <c r="O2061" s="17">
        <f t="shared" si="162"/>
        <v>0</v>
      </c>
      <c r="P2061" s="17">
        <f t="shared" si="163"/>
        <v>-28.12</v>
      </c>
      <c r="Q2061" s="17">
        <v>238.76</v>
      </c>
      <c r="R2061" s="9">
        <v>20220719</v>
      </c>
      <c r="S2061" s="9">
        <v>-108.35</v>
      </c>
      <c r="U2061" s="9">
        <v>1429.76098</v>
      </c>
      <c r="V2061" s="45">
        <f t="shared" si="164"/>
        <v>-1</v>
      </c>
      <c r="W2061" s="12">
        <v>200</v>
      </c>
      <c r="X2061" s="12">
        <v>0</v>
      </c>
      <c r="Y2061" s="62">
        <v>70.3</v>
      </c>
    </row>
    <row r="2062" spans="1:25" x14ac:dyDescent="0.2">
      <c r="A2062" s="3" t="s">
        <v>4306</v>
      </c>
      <c r="B2062" s="3" t="s">
        <v>424</v>
      </c>
      <c r="C2062" s="6" t="s">
        <v>356</v>
      </c>
      <c r="D2062" s="6" t="s">
        <v>264</v>
      </c>
      <c r="E2062" s="6" t="s">
        <v>250</v>
      </c>
      <c r="F2062" s="6">
        <v>16938.12</v>
      </c>
      <c r="G2062" s="2">
        <v>12</v>
      </c>
      <c r="H2062" s="61">
        <v>3.83</v>
      </c>
      <c r="I2062" s="61">
        <v>4.22</v>
      </c>
      <c r="J2062" s="47">
        <f t="shared" si="160"/>
        <v>-0.68083333333333329</v>
      </c>
      <c r="K2062" s="47">
        <f t="shared" si="161"/>
        <v>0.10182767624020879</v>
      </c>
      <c r="L2062" s="8">
        <v>4.8099999999999996</v>
      </c>
      <c r="N2062" s="8">
        <v>14.21</v>
      </c>
      <c r="O2062" s="17">
        <f t="shared" si="162"/>
        <v>0</v>
      </c>
      <c r="P2062" s="17">
        <f t="shared" si="163"/>
        <v>1.395494871794873</v>
      </c>
      <c r="Q2062" s="17">
        <v>12.46</v>
      </c>
      <c r="U2062" s="9">
        <v>16324.79003</v>
      </c>
      <c r="V2062" s="45">
        <f t="shared" si="164"/>
        <v>-1</v>
      </c>
      <c r="X2062" s="12">
        <v>3.42</v>
      </c>
      <c r="Y2062" s="62"/>
    </row>
    <row r="2063" spans="1:25" x14ac:dyDescent="0.2">
      <c r="A2063" s="3" t="s">
        <v>4307</v>
      </c>
      <c r="B2063" s="3" t="s">
        <v>274</v>
      </c>
      <c r="C2063" s="6" t="s">
        <v>354</v>
      </c>
      <c r="D2063" s="6" t="s">
        <v>204</v>
      </c>
      <c r="E2063" s="6" t="s">
        <v>218</v>
      </c>
      <c r="F2063" s="6">
        <v>407100.19</v>
      </c>
      <c r="G2063" s="2">
        <v>12</v>
      </c>
      <c r="H2063" s="61">
        <v>5.26</v>
      </c>
      <c r="I2063" s="61">
        <v>10.17</v>
      </c>
      <c r="J2063" s="47">
        <f t="shared" si="160"/>
        <v>-0.56166666666666665</v>
      </c>
      <c r="K2063" s="47">
        <f t="shared" si="161"/>
        <v>0.93346007604562742</v>
      </c>
      <c r="L2063" s="8">
        <v>8.81</v>
      </c>
      <c r="M2063" s="8">
        <v>14.21</v>
      </c>
      <c r="N2063" s="8">
        <v>9.5</v>
      </c>
      <c r="O2063" s="17">
        <f t="shared" si="162"/>
        <v>-0.25299703264094958</v>
      </c>
      <c r="P2063" s="17">
        <f t="shared" si="163"/>
        <v>0.10177189409368635</v>
      </c>
      <c r="Q2063" s="17">
        <v>10.97</v>
      </c>
      <c r="R2063" s="9">
        <v>20220729</v>
      </c>
      <c r="S2063" s="9">
        <v>16.97</v>
      </c>
      <c r="T2063" s="9">
        <v>-2.59</v>
      </c>
      <c r="U2063" s="9">
        <v>359881.0625</v>
      </c>
      <c r="V2063" s="45">
        <f t="shared" si="164"/>
        <v>-1.0000071968221447</v>
      </c>
      <c r="W2063" s="12">
        <v>-8</v>
      </c>
      <c r="X2063" s="12">
        <v>3.64</v>
      </c>
      <c r="Y2063" s="62">
        <v>0.47</v>
      </c>
    </row>
    <row r="2064" spans="1:25" x14ac:dyDescent="0.2">
      <c r="A2064" s="3" t="s">
        <v>390</v>
      </c>
      <c r="B2064" s="3" t="s">
        <v>390</v>
      </c>
      <c r="C2064" s="6" t="s">
        <v>355</v>
      </c>
      <c r="D2064" s="6" t="s">
        <v>151</v>
      </c>
      <c r="E2064" s="6" t="s">
        <v>163</v>
      </c>
      <c r="F2064" s="6">
        <v>12651.4</v>
      </c>
      <c r="G2064" s="2">
        <v>12</v>
      </c>
      <c r="H2064" s="61">
        <v>1.1599999999999999</v>
      </c>
      <c r="I2064" s="61">
        <v>1.35</v>
      </c>
      <c r="J2064" s="47">
        <f t="shared" si="160"/>
        <v>-0.90333333333333332</v>
      </c>
      <c r="K2064" s="47">
        <f t="shared" si="161"/>
        <v>0.16379310344827602</v>
      </c>
      <c r="L2064" s="8">
        <v>1.67</v>
      </c>
      <c r="M2064" s="8">
        <v>17.8</v>
      </c>
      <c r="N2064" s="8">
        <v>16.809999999999999</v>
      </c>
      <c r="O2064" s="17">
        <f t="shared" si="162"/>
        <v>-0.19704797047970482</v>
      </c>
      <c r="P2064" s="17">
        <f t="shared" si="163"/>
        <v>1.0262947368421043</v>
      </c>
      <c r="Q2064" s="17">
        <v>13.54</v>
      </c>
      <c r="R2064" s="9">
        <v>20220802</v>
      </c>
      <c r="S2064" s="9">
        <v>26.26</v>
      </c>
      <c r="U2064" s="9">
        <v>3233.5900799999999</v>
      </c>
      <c r="V2064" s="45">
        <f t="shared" si="164"/>
        <v>-1</v>
      </c>
      <c r="W2064" s="12">
        <v>-9.68</v>
      </c>
      <c r="X2064" s="12">
        <v>0</v>
      </c>
      <c r="Y2064" s="62">
        <v>0.92</v>
      </c>
    </row>
    <row r="2065" spans="1:25" x14ac:dyDescent="0.2">
      <c r="A2065" s="3" t="s">
        <v>4308</v>
      </c>
      <c r="B2065" s="3" t="s">
        <v>507</v>
      </c>
      <c r="C2065" s="6" t="s">
        <v>354</v>
      </c>
      <c r="D2065" s="6" t="s">
        <v>46</v>
      </c>
      <c r="E2065" s="6" t="s">
        <v>35</v>
      </c>
      <c r="F2065" s="6">
        <v>17737.61</v>
      </c>
      <c r="G2065" s="2">
        <v>12</v>
      </c>
      <c r="H2065" s="61">
        <v>-0.96</v>
      </c>
      <c r="I2065" s="61">
        <v>-1.48</v>
      </c>
      <c r="J2065" s="47">
        <f t="shared" si="160"/>
        <v>-1.08</v>
      </c>
      <c r="K2065" s="47">
        <f t="shared" si="161"/>
        <v>-0.54166666666666674</v>
      </c>
      <c r="L2065" s="8">
        <v>-0.73</v>
      </c>
      <c r="O2065" s="17">
        <f t="shared" si="162"/>
        <v>0</v>
      </c>
      <c r="P2065" s="17">
        <f t="shared" si="163"/>
        <v>0</v>
      </c>
      <c r="Q2065" s="17"/>
      <c r="R2065" s="9">
        <v>20220825</v>
      </c>
      <c r="S2065" s="9">
        <v>-14.59</v>
      </c>
      <c r="U2065" s="9">
        <v>5211.4199200000003</v>
      </c>
      <c r="V2065" s="45">
        <f t="shared" si="164"/>
        <v>-1</v>
      </c>
      <c r="X2065" s="12">
        <v>0</v>
      </c>
      <c r="Y2065" s="62"/>
    </row>
    <row r="2066" spans="1:25" x14ac:dyDescent="0.2">
      <c r="A2066" s="3" t="s">
        <v>4309</v>
      </c>
      <c r="B2066" s="3" t="s">
        <v>275</v>
      </c>
      <c r="C2066" s="6" t="s">
        <v>354</v>
      </c>
      <c r="D2066" s="6" t="s">
        <v>240</v>
      </c>
      <c r="E2066" s="6" t="s">
        <v>237</v>
      </c>
      <c r="F2066" s="6">
        <v>6021.21</v>
      </c>
      <c r="G2066" s="2">
        <v>12</v>
      </c>
      <c r="H2066" s="61">
        <v>4.1500000000000004</v>
      </c>
      <c r="I2066" s="61">
        <v>5.46</v>
      </c>
      <c r="J2066" s="47">
        <f t="shared" si="160"/>
        <v>-0.65416666666666667</v>
      </c>
      <c r="K2066" s="47">
        <f t="shared" si="161"/>
        <v>0.3156626506024095</v>
      </c>
      <c r="L2066" s="8">
        <v>5.65</v>
      </c>
      <c r="M2066" s="8">
        <v>9.7100000000000009</v>
      </c>
      <c r="N2066" s="8">
        <v>9.59</v>
      </c>
      <c r="O2066" s="17">
        <f t="shared" si="162"/>
        <v>-0.14843312101910827</v>
      </c>
      <c r="P2066" s="17">
        <f t="shared" si="163"/>
        <v>0.3038053435114505</v>
      </c>
      <c r="Q2066" s="17">
        <v>9.26</v>
      </c>
      <c r="R2066" s="9">
        <v>20220727</v>
      </c>
      <c r="S2066" s="9">
        <v>36.79</v>
      </c>
      <c r="T2066" s="9">
        <v>1.53</v>
      </c>
      <c r="U2066" s="9">
        <v>13085.784170000001</v>
      </c>
      <c r="V2066" s="45">
        <f t="shared" si="164"/>
        <v>-0.99988307922703568</v>
      </c>
      <c r="W2066" s="12">
        <v>32.979999999999997</v>
      </c>
      <c r="X2066" s="12">
        <v>0</v>
      </c>
      <c r="Y2066" s="62">
        <v>0.77</v>
      </c>
    </row>
    <row r="2067" spans="1:25" x14ac:dyDescent="0.2">
      <c r="A2067" s="3" t="s">
        <v>4310</v>
      </c>
      <c r="B2067" s="3" t="s">
        <v>276</v>
      </c>
      <c r="C2067" s="6" t="s">
        <v>355</v>
      </c>
      <c r="D2067" s="6" t="s">
        <v>186</v>
      </c>
      <c r="E2067" s="6" t="s">
        <v>208</v>
      </c>
      <c r="F2067" s="6">
        <v>8391.84</v>
      </c>
      <c r="G2067" s="2">
        <v>12</v>
      </c>
      <c r="H2067" s="61">
        <v>2.89</v>
      </c>
      <c r="I2067" s="61">
        <v>2.44</v>
      </c>
      <c r="J2067" s="47">
        <f t="shared" si="160"/>
        <v>-0.75916666666666666</v>
      </c>
      <c r="K2067" s="47">
        <f t="shared" si="161"/>
        <v>-0.15570934256055369</v>
      </c>
      <c r="L2067" s="8">
        <v>2.67</v>
      </c>
      <c r="M2067" s="8">
        <v>14.59</v>
      </c>
      <c r="N2067" s="8">
        <v>15.95</v>
      </c>
      <c r="O2067" s="17">
        <f t="shared" si="162"/>
        <v>-0.19218441273326015</v>
      </c>
      <c r="P2067" s="17">
        <f t="shared" si="163"/>
        <v>-1.0243444444444441</v>
      </c>
      <c r="Q2067" s="17">
        <v>14.6</v>
      </c>
      <c r="R2067" s="9">
        <v>20220804</v>
      </c>
      <c r="S2067" s="9">
        <v>11.63</v>
      </c>
      <c r="T2067" s="9">
        <v>-0.36</v>
      </c>
      <c r="U2067" s="9">
        <v>4145.5917900000004</v>
      </c>
      <c r="V2067" s="45">
        <f t="shared" si="164"/>
        <v>-1.0000868392302562</v>
      </c>
      <c r="W2067" s="12">
        <v>4</v>
      </c>
      <c r="X2067" s="12">
        <v>1.28</v>
      </c>
      <c r="Y2067" s="62"/>
    </row>
    <row r="2068" spans="1:25" x14ac:dyDescent="0.2">
      <c r="A2068" s="3" t="s">
        <v>4311</v>
      </c>
      <c r="B2068" s="3" t="s">
        <v>4312</v>
      </c>
      <c r="C2068" s="6" t="s">
        <v>356</v>
      </c>
      <c r="D2068" s="6" t="s">
        <v>230</v>
      </c>
      <c r="E2068" s="6" t="s">
        <v>146</v>
      </c>
      <c r="F2068" s="6">
        <v>3840.26</v>
      </c>
      <c r="G2068" s="2">
        <v>12</v>
      </c>
      <c r="H2068" s="61">
        <v>5.57</v>
      </c>
      <c r="I2068" s="61">
        <v>7.27</v>
      </c>
      <c r="J2068" s="47">
        <f t="shared" si="160"/>
        <v>-0.53583333333333327</v>
      </c>
      <c r="K2068" s="47">
        <f t="shared" si="161"/>
        <v>0.30520646319569106</v>
      </c>
      <c r="L2068" s="8">
        <v>9.0299999999999994</v>
      </c>
      <c r="N2068" s="8">
        <v>20.079999999999998</v>
      </c>
      <c r="O2068" s="17">
        <f t="shared" si="162"/>
        <v>0</v>
      </c>
      <c r="P2068" s="17">
        <f t="shared" si="163"/>
        <v>0.65791529411764726</v>
      </c>
      <c r="Q2068" s="17">
        <v>16.170000000000002</v>
      </c>
      <c r="U2068" s="9">
        <v>2016.9599599999999</v>
      </c>
      <c r="V2068" s="45">
        <f t="shared" si="164"/>
        <v>-1</v>
      </c>
      <c r="X2068" s="12">
        <v>2.29</v>
      </c>
      <c r="Y2068" s="62"/>
    </row>
    <row r="2069" spans="1:25" x14ac:dyDescent="0.2">
      <c r="A2069" s="3" t="s">
        <v>4313</v>
      </c>
      <c r="B2069" s="3" t="s">
        <v>344</v>
      </c>
      <c r="C2069" s="6" t="s">
        <v>354</v>
      </c>
      <c r="D2069" s="6" t="s">
        <v>183</v>
      </c>
      <c r="E2069" s="6" t="s">
        <v>201</v>
      </c>
      <c r="F2069" s="6">
        <v>15115.18</v>
      </c>
      <c r="G2069" s="2">
        <v>12</v>
      </c>
      <c r="H2069" s="61">
        <v>2.4700000000000002</v>
      </c>
      <c r="I2069" s="61">
        <v>2.5499999999999998</v>
      </c>
      <c r="J2069" s="47">
        <f t="shared" si="160"/>
        <v>-0.79416666666666658</v>
      </c>
      <c r="K2069" s="47">
        <f t="shared" si="161"/>
        <v>3.2388663967611184E-2</v>
      </c>
      <c r="L2069" s="8">
        <v>3.16</v>
      </c>
      <c r="M2069" s="8">
        <v>35.119999999999997</v>
      </c>
      <c r="N2069" s="8">
        <v>32.979999999999997</v>
      </c>
      <c r="O2069" s="17">
        <f t="shared" si="162"/>
        <v>-0.4422245540398741</v>
      </c>
      <c r="P2069" s="17">
        <f t="shared" si="163"/>
        <v>10.182575000000046</v>
      </c>
      <c r="Q2069" s="17">
        <v>26.54</v>
      </c>
      <c r="R2069" s="9">
        <v>20220802</v>
      </c>
      <c r="S2069" s="9">
        <v>13.8</v>
      </c>
      <c r="T2069" s="9">
        <v>2.33</v>
      </c>
      <c r="U2069" s="9">
        <v>5315.0249000000003</v>
      </c>
      <c r="V2069" s="45">
        <f t="shared" si="164"/>
        <v>-0.99956162011583427</v>
      </c>
      <c r="W2069" s="12">
        <v>11.9</v>
      </c>
      <c r="X2069" s="12">
        <v>1.43</v>
      </c>
      <c r="Y2069" s="62">
        <v>2.75</v>
      </c>
    </row>
    <row r="2070" spans="1:25" x14ac:dyDescent="0.2">
      <c r="A2070" s="3" t="s">
        <v>4314</v>
      </c>
      <c r="B2070" s="3" t="s">
        <v>298</v>
      </c>
      <c r="C2070" s="6" t="s">
        <v>354</v>
      </c>
      <c r="D2070" s="6" t="s">
        <v>173</v>
      </c>
      <c r="E2070" s="6" t="s">
        <v>163</v>
      </c>
      <c r="F2070" s="6">
        <v>11219.63</v>
      </c>
      <c r="G2070" s="2">
        <v>12</v>
      </c>
      <c r="H2070" s="61"/>
      <c r="I2070" s="61"/>
      <c r="J2070" s="47">
        <f t="shared" si="160"/>
        <v>-1</v>
      </c>
      <c r="K2070" s="47" t="e">
        <f t="shared" si="161"/>
        <v>#DIV/0!</v>
      </c>
      <c r="M2070" s="8">
        <v>15.6</v>
      </c>
      <c r="O2070" s="17">
        <f t="shared" si="162"/>
        <v>-0.156</v>
      </c>
      <c r="P2070" s="17" t="e">
        <f t="shared" si="163"/>
        <v>#DIV/0!</v>
      </c>
      <c r="Q2070" s="17"/>
      <c r="R2070" s="9">
        <v>20220804</v>
      </c>
      <c r="S2070" s="9">
        <v>8.2200000000000006</v>
      </c>
      <c r="T2070" s="9">
        <v>15.15</v>
      </c>
      <c r="V2070" s="45" t="e">
        <f t="shared" si="164"/>
        <v>#DIV/0!</v>
      </c>
      <c r="W2070" s="12">
        <v>9.44</v>
      </c>
      <c r="X2070" s="12">
        <v>0</v>
      </c>
      <c r="Y2070" s="62"/>
    </row>
    <row r="2071" spans="1:25" x14ac:dyDescent="0.2">
      <c r="A2071" s="3" t="s">
        <v>4315</v>
      </c>
      <c r="B2071" s="3" t="s">
        <v>430</v>
      </c>
      <c r="C2071" s="6" t="s">
        <v>356</v>
      </c>
      <c r="D2071" s="6" t="s">
        <v>174</v>
      </c>
      <c r="E2071" s="6" t="s">
        <v>231</v>
      </c>
      <c r="F2071" s="6">
        <v>25143.29</v>
      </c>
      <c r="G2071" s="2">
        <v>3</v>
      </c>
      <c r="H2071" s="61">
        <v>0.17</v>
      </c>
      <c r="I2071" s="61">
        <v>0.23</v>
      </c>
      <c r="J2071" s="47">
        <f t="shared" si="160"/>
        <v>-0.94333333333333336</v>
      </c>
      <c r="K2071" s="47">
        <f t="shared" si="161"/>
        <v>0.3529411764705882</v>
      </c>
      <c r="L2071" s="8">
        <v>0.28999999999999998</v>
      </c>
      <c r="N2071" s="8">
        <v>28.78</v>
      </c>
      <c r="O2071" s="17">
        <f t="shared" si="162"/>
        <v>0</v>
      </c>
      <c r="P2071" s="17">
        <f t="shared" si="163"/>
        <v>0.81543333333333345</v>
      </c>
      <c r="Q2071" s="17">
        <v>22.83</v>
      </c>
      <c r="R2071" s="9">
        <v>20220601</v>
      </c>
      <c r="U2071" s="9">
        <v>15616.839840000001</v>
      </c>
      <c r="V2071" s="45">
        <f t="shared" si="164"/>
        <v>-1</v>
      </c>
      <c r="X2071" s="12">
        <v>0</v>
      </c>
      <c r="Y2071" s="62"/>
    </row>
    <row r="2072" spans="1:25" x14ac:dyDescent="0.2">
      <c r="A2072" s="3" t="s">
        <v>4316</v>
      </c>
      <c r="B2072" s="3" t="s">
        <v>4317</v>
      </c>
      <c r="C2072" s="6" t="s">
        <v>356</v>
      </c>
      <c r="D2072" s="6" t="s">
        <v>46</v>
      </c>
      <c r="E2072" s="6" t="s">
        <v>35</v>
      </c>
      <c r="F2072" s="6">
        <v>6955.65</v>
      </c>
      <c r="G2072" s="2">
        <v>12</v>
      </c>
      <c r="H2072" s="61">
        <v>3.84</v>
      </c>
      <c r="I2072" s="61">
        <v>3.38</v>
      </c>
      <c r="J2072" s="47">
        <f t="shared" si="160"/>
        <v>-0.68</v>
      </c>
      <c r="K2072" s="47">
        <f t="shared" si="161"/>
        <v>-0.11979166666666666</v>
      </c>
      <c r="L2072" s="8">
        <v>3.62</v>
      </c>
      <c r="M2072" s="8">
        <v>5.91</v>
      </c>
      <c r="N2072" s="8">
        <v>5.9</v>
      </c>
      <c r="O2072" s="17">
        <f t="shared" si="162"/>
        <v>-8.6911764705882355E-2</v>
      </c>
      <c r="P2072" s="17">
        <f t="shared" si="163"/>
        <v>-0.49252173913043484</v>
      </c>
      <c r="Q2072" s="17">
        <v>5.5</v>
      </c>
      <c r="R2072" s="9">
        <v>20220804</v>
      </c>
      <c r="S2072" s="9">
        <v>14.73</v>
      </c>
      <c r="T2072" s="9">
        <v>1.24</v>
      </c>
      <c r="U2072" s="9">
        <v>17343.945309999999</v>
      </c>
      <c r="V2072" s="45">
        <f t="shared" si="164"/>
        <v>-0.99992850530961452</v>
      </c>
      <c r="W2072" s="12">
        <v>-28.13</v>
      </c>
      <c r="X2072" s="12">
        <v>0</v>
      </c>
      <c r="Y2072" s="62"/>
    </row>
    <row r="2073" spans="1:25" x14ac:dyDescent="0.2">
      <c r="A2073" s="3" t="s">
        <v>391</v>
      </c>
      <c r="B2073" s="3" t="s">
        <v>392</v>
      </c>
      <c r="C2073" s="6" t="s">
        <v>356</v>
      </c>
      <c r="D2073" s="6" t="s">
        <v>315</v>
      </c>
      <c r="E2073" s="6" t="s">
        <v>60</v>
      </c>
      <c r="F2073" s="6">
        <v>13215.17</v>
      </c>
      <c r="G2073" s="2">
        <v>12</v>
      </c>
      <c r="H2073" s="61">
        <v>2.82</v>
      </c>
      <c r="I2073" s="61">
        <v>6.11</v>
      </c>
      <c r="J2073" s="47">
        <f t="shared" si="160"/>
        <v>-0.76500000000000001</v>
      </c>
      <c r="K2073" s="47">
        <f t="shared" si="161"/>
        <v>1.166666666666667</v>
      </c>
      <c r="L2073" s="8">
        <v>4.49</v>
      </c>
      <c r="M2073" s="8">
        <v>7.27</v>
      </c>
      <c r="N2073" s="8">
        <v>4.25</v>
      </c>
      <c r="O2073" s="17">
        <f t="shared" si="162"/>
        <v>-9.5032679738562081E-2</v>
      </c>
      <c r="P2073" s="17">
        <f t="shared" si="163"/>
        <v>3.6428571428571421E-2</v>
      </c>
      <c r="Q2073" s="17">
        <v>5.78</v>
      </c>
      <c r="R2073" s="9">
        <v>20220719</v>
      </c>
      <c r="S2073" s="9">
        <v>23.95</v>
      </c>
      <c r="T2073" s="9">
        <v>6.6</v>
      </c>
      <c r="U2073" s="9">
        <v>26135.960930000001</v>
      </c>
      <c r="V2073" s="45">
        <f t="shared" si="164"/>
        <v>-0.99974747436998102</v>
      </c>
      <c r="W2073" s="12">
        <v>471.43</v>
      </c>
      <c r="X2073" s="12">
        <v>4.24</v>
      </c>
      <c r="Y2073" s="62"/>
    </row>
    <row r="2074" spans="1:25" x14ac:dyDescent="0.2">
      <c r="A2074" s="3" t="s">
        <v>4318</v>
      </c>
      <c r="B2074" s="3" t="s">
        <v>459</v>
      </c>
      <c r="C2074" s="6" t="s">
        <v>356</v>
      </c>
      <c r="D2074" s="6" t="s">
        <v>141</v>
      </c>
      <c r="E2074" s="6" t="s">
        <v>119</v>
      </c>
      <c r="F2074" s="6">
        <v>8856.7900000000009</v>
      </c>
      <c r="G2074" s="2">
        <v>2</v>
      </c>
      <c r="H2074" s="61">
        <v>3.02</v>
      </c>
      <c r="I2074" s="61">
        <v>3.64</v>
      </c>
      <c r="J2074" s="47">
        <f t="shared" si="160"/>
        <v>0.51</v>
      </c>
      <c r="K2074" s="47">
        <f t="shared" si="161"/>
        <v>0.20529801324503313</v>
      </c>
      <c r="L2074" s="8">
        <v>3.73</v>
      </c>
      <c r="M2074" s="8">
        <v>30.75</v>
      </c>
      <c r="N2074" s="8">
        <v>18.25</v>
      </c>
      <c r="O2074" s="17">
        <f t="shared" si="162"/>
        <v>0.6029411764705882</v>
      </c>
      <c r="P2074" s="17">
        <f t="shared" si="163"/>
        <v>0.88895161290322566</v>
      </c>
      <c r="Q2074" s="17">
        <v>17.809999999999999</v>
      </c>
      <c r="R2074" s="9">
        <v>20220527</v>
      </c>
      <c r="S2074" s="9">
        <v>11.84</v>
      </c>
      <c r="U2074" s="9">
        <v>4726.3652300000003</v>
      </c>
      <c r="V2074" s="45">
        <f t="shared" si="164"/>
        <v>-1</v>
      </c>
      <c r="W2074" s="12">
        <v>8.4499999999999993</v>
      </c>
      <c r="X2074" s="12">
        <v>0.87</v>
      </c>
      <c r="Y2074" s="62"/>
    </row>
    <row r="2075" spans="1:25" x14ac:dyDescent="0.2">
      <c r="A2075" s="3" t="s">
        <v>437</v>
      </c>
      <c r="B2075" s="3" t="s">
        <v>437</v>
      </c>
      <c r="C2075" s="6" t="s">
        <v>354</v>
      </c>
      <c r="D2075" s="6" t="s">
        <v>180</v>
      </c>
      <c r="E2075" s="6" t="s">
        <v>146</v>
      </c>
      <c r="F2075" s="6">
        <v>3905.65</v>
      </c>
      <c r="G2075" s="2">
        <v>12</v>
      </c>
      <c r="H2075" s="61">
        <v>2.54</v>
      </c>
      <c r="I2075" s="61">
        <v>2.91</v>
      </c>
      <c r="J2075" s="47">
        <f t="shared" si="160"/>
        <v>-0.78833333333333344</v>
      </c>
      <c r="K2075" s="47">
        <f t="shared" si="161"/>
        <v>0.14566929133858272</v>
      </c>
      <c r="L2075" s="8">
        <v>3.5</v>
      </c>
      <c r="M2075" s="8">
        <v>17.989999999999998</v>
      </c>
      <c r="N2075" s="8">
        <v>15.6</v>
      </c>
      <c r="O2075" s="17">
        <f t="shared" si="162"/>
        <v>-0.22820295983086675</v>
      </c>
      <c r="P2075" s="17">
        <f t="shared" si="163"/>
        <v>1.0709189189189185</v>
      </c>
      <c r="Q2075" s="17">
        <v>12.96</v>
      </c>
      <c r="R2075" s="9">
        <v>20220804</v>
      </c>
      <c r="S2075" s="9">
        <v>47.22</v>
      </c>
      <c r="T2075" s="9">
        <v>22.77</v>
      </c>
      <c r="U2075" s="9">
        <v>1684.98803</v>
      </c>
      <c r="V2075" s="45">
        <f t="shared" si="164"/>
        <v>-0.98648655088665527</v>
      </c>
      <c r="W2075" s="12">
        <v>3.13</v>
      </c>
      <c r="X2075" s="12">
        <v>0</v>
      </c>
      <c r="Y2075" s="62">
        <v>0.95</v>
      </c>
    </row>
    <row r="2076" spans="1:25" x14ac:dyDescent="0.2">
      <c r="A2076" s="3" t="s">
        <v>4319</v>
      </c>
      <c r="B2076" s="3" t="s">
        <v>4320</v>
      </c>
      <c r="C2076" s="6" t="s">
        <v>354</v>
      </c>
      <c r="D2076" s="6" t="s">
        <v>233</v>
      </c>
      <c r="E2076" s="6" t="s">
        <v>108</v>
      </c>
      <c r="F2076" s="6">
        <v>6113.31</v>
      </c>
      <c r="G2076" s="2">
        <v>12</v>
      </c>
      <c r="H2076" s="61"/>
      <c r="I2076" s="61"/>
      <c r="J2076" s="47">
        <f t="shared" si="160"/>
        <v>-1</v>
      </c>
      <c r="K2076" s="47" t="e">
        <f t="shared" si="161"/>
        <v>#DIV/0!</v>
      </c>
      <c r="O2076" s="17">
        <f t="shared" si="162"/>
        <v>0</v>
      </c>
      <c r="P2076" s="17" t="e">
        <f t="shared" si="163"/>
        <v>#DIV/0!</v>
      </c>
      <c r="Q2076" s="17"/>
      <c r="R2076" s="9">
        <v>20220608</v>
      </c>
      <c r="V2076" s="45" t="e">
        <f t="shared" si="164"/>
        <v>#DIV/0!</v>
      </c>
      <c r="X2076" s="12">
        <v>0</v>
      </c>
      <c r="Y2076" s="62"/>
    </row>
    <row r="2077" spans="1:25" x14ac:dyDescent="0.2">
      <c r="A2077" s="3" t="s">
        <v>4321</v>
      </c>
      <c r="B2077" s="3" t="s">
        <v>2059</v>
      </c>
      <c r="C2077" s="6" t="s">
        <v>355</v>
      </c>
      <c r="D2077" s="6" t="s">
        <v>175</v>
      </c>
      <c r="E2077" s="6" t="s">
        <v>119</v>
      </c>
      <c r="F2077" s="6">
        <v>6708.75</v>
      </c>
      <c r="G2077" s="2">
        <v>12</v>
      </c>
      <c r="H2077" s="61">
        <v>0.4</v>
      </c>
      <c r="I2077" s="61"/>
      <c r="J2077" s="47">
        <f t="shared" si="160"/>
        <v>-0.96666666666666667</v>
      </c>
      <c r="K2077" s="47">
        <f t="shared" si="161"/>
        <v>-1</v>
      </c>
      <c r="O2077" s="17">
        <f t="shared" si="162"/>
        <v>0</v>
      </c>
      <c r="P2077" s="17">
        <f t="shared" si="163"/>
        <v>0</v>
      </c>
      <c r="Q2077" s="17"/>
      <c r="R2077" s="9">
        <v>20220727</v>
      </c>
      <c r="S2077" s="9">
        <v>-1.26</v>
      </c>
      <c r="T2077" s="9">
        <v>28.76</v>
      </c>
      <c r="V2077" s="45" t="e">
        <f t="shared" si="164"/>
        <v>#DIV/0!</v>
      </c>
      <c r="W2077" s="12">
        <v>-76.47</v>
      </c>
      <c r="X2077" s="12">
        <v>0</v>
      </c>
      <c r="Y2077" s="62"/>
    </row>
    <row r="2078" spans="1:25" x14ac:dyDescent="0.2">
      <c r="A2078" s="3" t="s">
        <v>4322</v>
      </c>
      <c r="B2078" s="3" t="s">
        <v>4323</v>
      </c>
      <c r="C2078" s="6" t="s">
        <v>354</v>
      </c>
      <c r="D2078" s="6" t="s">
        <v>226</v>
      </c>
      <c r="E2078" s="6" t="s">
        <v>201</v>
      </c>
      <c r="F2078" s="6">
        <v>4155.46</v>
      </c>
      <c r="G2078" s="2">
        <v>12</v>
      </c>
      <c r="H2078" s="61">
        <v>-1.74</v>
      </c>
      <c r="I2078" s="61">
        <v>-0.17</v>
      </c>
      <c r="J2078" s="47">
        <f t="shared" si="160"/>
        <v>-1.145</v>
      </c>
      <c r="K2078" s="47">
        <f t="shared" si="161"/>
        <v>0.90229885057471271</v>
      </c>
      <c r="L2078" s="8">
        <v>-0.03</v>
      </c>
      <c r="O2078" s="17">
        <f t="shared" si="162"/>
        <v>0</v>
      </c>
      <c r="P2078" s="17">
        <f t="shared" si="163"/>
        <v>0</v>
      </c>
      <c r="Q2078" s="17"/>
      <c r="R2078" s="9">
        <v>20220815</v>
      </c>
      <c r="S2078" s="9">
        <v>-8.3000000000000007</v>
      </c>
      <c r="U2078" s="9">
        <v>406.21301</v>
      </c>
      <c r="V2078" s="45">
        <f t="shared" si="164"/>
        <v>-1</v>
      </c>
      <c r="W2078" s="12">
        <v>78.569999999999993</v>
      </c>
      <c r="X2078" s="12">
        <v>0</v>
      </c>
      <c r="Y2078" s="62"/>
    </row>
    <row r="2079" spans="1:25" x14ac:dyDescent="0.2">
      <c r="A2079" s="3" t="s">
        <v>4324</v>
      </c>
      <c r="B2079" s="3" t="s">
        <v>279</v>
      </c>
      <c r="C2079" s="6" t="s">
        <v>354</v>
      </c>
      <c r="D2079" s="6" t="s">
        <v>223</v>
      </c>
      <c r="E2079" s="6" t="s">
        <v>231</v>
      </c>
      <c r="F2079" s="6">
        <v>33580.89</v>
      </c>
      <c r="G2079" s="2">
        <v>12</v>
      </c>
      <c r="H2079" s="61">
        <v>4.51</v>
      </c>
      <c r="I2079" s="61">
        <v>4.63</v>
      </c>
      <c r="J2079" s="47">
        <f t="shared" si="160"/>
        <v>-0.62416666666666665</v>
      </c>
      <c r="K2079" s="47">
        <f t="shared" si="161"/>
        <v>2.6607538802660778E-2</v>
      </c>
      <c r="L2079" s="8">
        <v>5.4</v>
      </c>
      <c r="M2079" s="8">
        <v>26.46</v>
      </c>
      <c r="N2079" s="8">
        <v>25.44</v>
      </c>
      <c r="O2079" s="17">
        <f t="shared" si="162"/>
        <v>-0.42392523364485984</v>
      </c>
      <c r="P2079" s="17">
        <f t="shared" si="163"/>
        <v>9.5611999999999906</v>
      </c>
      <c r="Q2079" s="17">
        <v>21.83</v>
      </c>
      <c r="R2079" s="9">
        <v>20220804</v>
      </c>
      <c r="S2079" s="9">
        <v>-16.34</v>
      </c>
      <c r="T2079" s="9">
        <v>-0.28999999999999998</v>
      </c>
      <c r="U2079" s="9">
        <v>6896.8579099999997</v>
      </c>
      <c r="V2079" s="45">
        <f t="shared" si="164"/>
        <v>-1.0000420481331911</v>
      </c>
      <c r="W2079" s="12">
        <v>-1.87</v>
      </c>
      <c r="X2079" s="12">
        <v>1.94</v>
      </c>
      <c r="Y2079" s="62">
        <v>2.17</v>
      </c>
    </row>
    <row r="2080" spans="1:25" x14ac:dyDescent="0.2">
      <c r="A2080" s="3" t="s">
        <v>4325</v>
      </c>
      <c r="B2080" s="3" t="s">
        <v>280</v>
      </c>
      <c r="C2080" s="6" t="s">
        <v>354</v>
      </c>
      <c r="D2080" s="6" t="s">
        <v>223</v>
      </c>
      <c r="E2080" s="6" t="s">
        <v>231</v>
      </c>
      <c r="F2080" s="6">
        <v>18231.560000000001</v>
      </c>
      <c r="G2080" s="2">
        <v>12</v>
      </c>
      <c r="H2080" s="61">
        <v>1.43</v>
      </c>
      <c r="I2080" s="61">
        <v>0.77</v>
      </c>
      <c r="J2080" s="47">
        <f t="shared" si="160"/>
        <v>-0.88083333333333336</v>
      </c>
      <c r="K2080" s="47">
        <f t="shared" si="161"/>
        <v>-0.46153846153846151</v>
      </c>
      <c r="L2080" s="8">
        <v>1.81</v>
      </c>
      <c r="M2080" s="8">
        <v>47.29</v>
      </c>
      <c r="N2080" s="8">
        <v>55.64</v>
      </c>
      <c r="O2080" s="17">
        <f t="shared" si="162"/>
        <v>-0.53687795648060543</v>
      </c>
      <c r="P2080" s="17">
        <f t="shared" si="163"/>
        <v>-1.2055333333333333</v>
      </c>
      <c r="Q2080" s="17">
        <v>23.77</v>
      </c>
      <c r="R2080" s="9">
        <v>20220727</v>
      </c>
      <c r="S2080" s="9">
        <v>5.38</v>
      </c>
      <c r="T2080" s="9">
        <v>5.56</v>
      </c>
      <c r="U2080" s="9">
        <v>10272.76269</v>
      </c>
      <c r="V2080" s="45">
        <f t="shared" si="164"/>
        <v>-0.99945876292796954</v>
      </c>
      <c r="W2080" s="12">
        <v>-17.239999999999998</v>
      </c>
      <c r="X2080" s="12">
        <v>1.1200000000000001</v>
      </c>
      <c r="Y2080" s="62">
        <v>7.23</v>
      </c>
    </row>
    <row r="2081" spans="1:25" x14ac:dyDescent="0.2">
      <c r="A2081" s="3" t="s">
        <v>4326</v>
      </c>
      <c r="B2081" s="3" t="s">
        <v>295</v>
      </c>
      <c r="C2081" s="6" t="s">
        <v>355</v>
      </c>
      <c r="D2081" s="6" t="s">
        <v>176</v>
      </c>
      <c r="E2081" s="6" t="s">
        <v>119</v>
      </c>
      <c r="F2081" s="6">
        <v>3179.21</v>
      </c>
      <c r="G2081" s="2">
        <v>12</v>
      </c>
      <c r="H2081" s="61">
        <v>0.17</v>
      </c>
      <c r="I2081" s="61">
        <v>2.39</v>
      </c>
      <c r="J2081" s="47">
        <f t="shared" si="160"/>
        <v>-0.98583333333333334</v>
      </c>
      <c r="K2081" s="47">
        <f t="shared" si="161"/>
        <v>13.058823529411764</v>
      </c>
      <c r="L2081" s="8">
        <v>3.21</v>
      </c>
      <c r="M2081" s="8">
        <v>32.369999999999997</v>
      </c>
      <c r="N2081" s="8">
        <v>17.059999999999999</v>
      </c>
      <c r="O2081" s="17">
        <f t="shared" si="162"/>
        <v>-0.32835164835164832</v>
      </c>
      <c r="P2081" s="17">
        <f t="shared" si="163"/>
        <v>1.3063963963963964E-2</v>
      </c>
      <c r="Q2081" s="17">
        <v>12.7</v>
      </c>
      <c r="R2081" s="9">
        <v>20220531</v>
      </c>
      <c r="S2081" s="9">
        <v>2.0299999999999998</v>
      </c>
      <c r="T2081" s="9">
        <v>19.36</v>
      </c>
      <c r="U2081" s="9">
        <v>2834.87988</v>
      </c>
      <c r="V2081" s="45">
        <f t="shared" si="164"/>
        <v>-0.99317078648143631</v>
      </c>
      <c r="W2081" s="12">
        <v>784.62</v>
      </c>
      <c r="X2081" s="12">
        <v>4.9800000000000004</v>
      </c>
      <c r="Y2081" s="62"/>
    </row>
    <row r="2082" spans="1:25" x14ac:dyDescent="0.2">
      <c r="A2082" s="3" t="s">
        <v>4327</v>
      </c>
      <c r="B2082" s="3" t="s">
        <v>2316</v>
      </c>
      <c r="C2082" s="6" t="s">
        <v>355</v>
      </c>
      <c r="D2082" s="6" t="s">
        <v>213</v>
      </c>
      <c r="E2082" s="6" t="s">
        <v>163</v>
      </c>
      <c r="F2082" s="6">
        <v>9475.5300000000007</v>
      </c>
      <c r="G2082" s="2">
        <v>12</v>
      </c>
      <c r="H2082" s="61"/>
      <c r="I2082" s="61"/>
      <c r="J2082" s="47">
        <f t="shared" si="160"/>
        <v>-1</v>
      </c>
      <c r="K2082" s="47" t="e">
        <f t="shared" si="161"/>
        <v>#DIV/0!</v>
      </c>
      <c r="O2082" s="17">
        <f t="shared" si="162"/>
        <v>0</v>
      </c>
      <c r="P2082" s="17" t="e">
        <f t="shared" si="163"/>
        <v>#DIV/0!</v>
      </c>
      <c r="Q2082" s="17"/>
      <c r="R2082" s="9">
        <v>20220804</v>
      </c>
      <c r="S2082" s="9">
        <v>-7.61</v>
      </c>
      <c r="T2082" s="9">
        <v>59.5</v>
      </c>
      <c r="V2082" s="45" t="e">
        <f t="shared" si="164"/>
        <v>#DIV/0!</v>
      </c>
      <c r="X2082" s="12">
        <v>0</v>
      </c>
      <c r="Y2082" s="62"/>
    </row>
    <row r="2083" spans="1:25" x14ac:dyDescent="0.2">
      <c r="A2083" s="3" t="s">
        <v>4328</v>
      </c>
      <c r="B2083" s="3" t="s">
        <v>281</v>
      </c>
      <c r="C2083" s="6" t="s">
        <v>354</v>
      </c>
      <c r="D2083" s="6" t="s">
        <v>193</v>
      </c>
      <c r="E2083" s="6" t="s">
        <v>208</v>
      </c>
      <c r="F2083" s="6">
        <v>25285.51</v>
      </c>
      <c r="G2083" s="2">
        <v>12</v>
      </c>
      <c r="H2083" s="61">
        <v>7.38</v>
      </c>
      <c r="I2083" s="61">
        <v>6.72</v>
      </c>
      <c r="J2083" s="47">
        <f t="shared" si="160"/>
        <v>-0.38500000000000001</v>
      </c>
      <c r="K2083" s="47">
        <f t="shared" si="161"/>
        <v>-8.9430894308943104E-2</v>
      </c>
      <c r="L2083" s="8">
        <v>7.09</v>
      </c>
      <c r="M2083" s="8">
        <v>16.600000000000001</v>
      </c>
      <c r="N2083" s="8">
        <v>17.940000000000001</v>
      </c>
      <c r="O2083" s="17">
        <f t="shared" si="162"/>
        <v>-0.4311688311688312</v>
      </c>
      <c r="P2083" s="17">
        <f t="shared" si="163"/>
        <v>-2.0060181818181815</v>
      </c>
      <c r="Q2083" s="17">
        <v>17.010000000000002</v>
      </c>
      <c r="R2083" s="9">
        <v>20220802</v>
      </c>
      <c r="S2083" s="9">
        <v>12.23</v>
      </c>
      <c r="T2083" s="9">
        <v>-1.1100000000000001</v>
      </c>
      <c r="U2083" s="9">
        <v>6809.9819299999999</v>
      </c>
      <c r="V2083" s="45">
        <f t="shared" si="164"/>
        <v>-1.0001629960272156</v>
      </c>
      <c r="W2083" s="12">
        <v>15</v>
      </c>
      <c r="X2083" s="12">
        <v>0.8</v>
      </c>
      <c r="Y2083" s="62">
        <v>2.91</v>
      </c>
    </row>
    <row r="2084" spans="1:25" x14ac:dyDescent="0.2">
      <c r="A2084" s="3" t="s">
        <v>4329</v>
      </c>
      <c r="B2084" s="3" t="s">
        <v>282</v>
      </c>
      <c r="C2084" s="6" t="s">
        <v>355</v>
      </c>
      <c r="D2084" s="6" t="s">
        <v>184</v>
      </c>
      <c r="E2084" s="6" t="s">
        <v>201</v>
      </c>
      <c r="F2084" s="6">
        <v>17459.27</v>
      </c>
      <c r="G2084" s="2">
        <v>12</v>
      </c>
      <c r="H2084" s="61">
        <v>18.23</v>
      </c>
      <c r="I2084" s="61">
        <v>18.97</v>
      </c>
      <c r="J2084" s="47">
        <f t="shared" si="160"/>
        <v>0.51916666666666667</v>
      </c>
      <c r="K2084" s="47">
        <f t="shared" si="161"/>
        <v>4.059243006034001E-2</v>
      </c>
      <c r="L2084" s="8">
        <v>21.5</v>
      </c>
      <c r="M2084" s="8">
        <v>18.82</v>
      </c>
      <c r="N2084" s="8">
        <v>17.52</v>
      </c>
      <c r="O2084" s="17">
        <f t="shared" si="162"/>
        <v>0.36250401284109152</v>
      </c>
      <c r="P2084" s="17">
        <f t="shared" si="163"/>
        <v>4.3160756756756848</v>
      </c>
      <c r="Q2084" s="17">
        <v>15.46</v>
      </c>
      <c r="R2084" s="9">
        <v>20220802</v>
      </c>
      <c r="S2084" s="9">
        <v>31.2</v>
      </c>
      <c r="T2084" s="9">
        <v>9.0500000000000007</v>
      </c>
      <c r="U2084" s="9">
        <v>5915.9428699999999</v>
      </c>
      <c r="V2084" s="45">
        <f t="shared" si="164"/>
        <v>-0.9984702353963063</v>
      </c>
      <c r="W2084" s="12">
        <v>4.7</v>
      </c>
      <c r="X2084" s="12">
        <v>0</v>
      </c>
      <c r="Y2084" s="62"/>
    </row>
    <row r="2085" spans="1:25" x14ac:dyDescent="0.2">
      <c r="A2085" s="3" t="s">
        <v>4330</v>
      </c>
      <c r="B2085" s="3" t="s">
        <v>4331</v>
      </c>
      <c r="C2085" s="6" t="s">
        <v>355</v>
      </c>
      <c r="D2085" s="6" t="s">
        <v>177</v>
      </c>
      <c r="E2085" s="6" t="s">
        <v>119</v>
      </c>
      <c r="F2085" s="6">
        <v>3591.27</v>
      </c>
      <c r="G2085" s="2">
        <v>12</v>
      </c>
      <c r="H2085" s="61">
        <v>9</v>
      </c>
      <c r="I2085" s="61">
        <v>6.67</v>
      </c>
      <c r="J2085" s="47">
        <f t="shared" si="160"/>
        <v>-0.25</v>
      </c>
      <c r="K2085" s="47">
        <f t="shared" si="161"/>
        <v>-0.25888888888888889</v>
      </c>
      <c r="L2085" s="8">
        <v>7.51</v>
      </c>
      <c r="M2085" s="8">
        <v>9.32</v>
      </c>
      <c r="N2085" s="8">
        <v>11.39</v>
      </c>
      <c r="O2085" s="17">
        <f t="shared" si="162"/>
        <v>-0.37280000000000002</v>
      </c>
      <c r="P2085" s="17">
        <f t="shared" si="163"/>
        <v>-0.43995708154506441</v>
      </c>
      <c r="Q2085" s="17">
        <v>10.119999999999999</v>
      </c>
      <c r="R2085" s="9">
        <v>20220804</v>
      </c>
      <c r="S2085" s="9">
        <v>22.44</v>
      </c>
      <c r="T2085" s="9">
        <v>11.45</v>
      </c>
      <c r="U2085" s="9">
        <v>1516.85998</v>
      </c>
      <c r="V2085" s="45">
        <f t="shared" si="164"/>
        <v>-0.99245151157590694</v>
      </c>
      <c r="W2085" s="12">
        <v>-5.38</v>
      </c>
      <c r="X2085" s="12">
        <v>0</v>
      </c>
      <c r="Y2085" s="62"/>
    </row>
    <row r="2086" spans="1:25" x14ac:dyDescent="0.2">
      <c r="A2086" s="3" t="s">
        <v>4332</v>
      </c>
      <c r="B2086" s="3" t="s">
        <v>283</v>
      </c>
      <c r="C2086" s="6" t="s">
        <v>354</v>
      </c>
      <c r="D2086" s="6" t="s">
        <v>177</v>
      </c>
      <c r="E2086" s="6" t="s">
        <v>119</v>
      </c>
      <c r="F2086" s="6">
        <v>11477.41</v>
      </c>
      <c r="G2086" s="2">
        <v>12</v>
      </c>
      <c r="H2086" s="61">
        <v>0.65</v>
      </c>
      <c r="I2086" s="61">
        <v>0.71</v>
      </c>
      <c r="J2086" s="47">
        <f t="shared" si="160"/>
        <v>-0.9458333333333333</v>
      </c>
      <c r="K2086" s="47">
        <f t="shared" si="161"/>
        <v>9.2307692307692216E-2</v>
      </c>
      <c r="L2086" s="8">
        <v>1.08</v>
      </c>
      <c r="M2086" s="8">
        <v>161.47999999999999</v>
      </c>
      <c r="N2086" s="8">
        <v>131.12</v>
      </c>
      <c r="O2086" s="17">
        <f t="shared" si="162"/>
        <v>-1.7072775330396475</v>
      </c>
      <c r="P2086" s="17">
        <f t="shared" si="163"/>
        <v>14.204666666666682</v>
      </c>
      <c r="Q2086" s="17">
        <v>86.62</v>
      </c>
      <c r="R2086" s="9">
        <v>20220804</v>
      </c>
      <c r="S2086" s="9">
        <v>-36.18</v>
      </c>
      <c r="T2086" s="9">
        <v>32.85</v>
      </c>
      <c r="U2086" s="9">
        <v>1695.1979899999999</v>
      </c>
      <c r="V2086" s="45">
        <f t="shared" si="164"/>
        <v>-0.98062173256824126</v>
      </c>
      <c r="W2086" s="12">
        <v>-14.29</v>
      </c>
      <c r="X2086" s="12">
        <v>0</v>
      </c>
      <c r="Y2086" s="62">
        <v>3.69</v>
      </c>
    </row>
    <row r="2087" spans="1:25" x14ac:dyDescent="0.2">
      <c r="A2087" s="3" t="s">
        <v>4333</v>
      </c>
      <c r="B2087" s="3" t="s">
        <v>380</v>
      </c>
      <c r="C2087" s="6" t="s">
        <v>355</v>
      </c>
      <c r="D2087" s="6" t="s">
        <v>176</v>
      </c>
      <c r="E2087" s="6" t="s">
        <v>119</v>
      </c>
      <c r="F2087" s="6">
        <v>9445.9699999999993</v>
      </c>
      <c r="G2087" s="2">
        <v>12</v>
      </c>
      <c r="H2087" s="61">
        <v>-1.27</v>
      </c>
      <c r="I2087" s="61">
        <v>1.97</v>
      </c>
      <c r="J2087" s="47">
        <f t="shared" si="160"/>
        <v>-1.1058333333333332</v>
      </c>
      <c r="K2087" s="47">
        <f t="shared" si="161"/>
        <v>2.5511811023622051</v>
      </c>
      <c r="L2087" s="8">
        <v>2.72</v>
      </c>
      <c r="N2087" s="8">
        <v>19.45</v>
      </c>
      <c r="O2087" s="17">
        <f t="shared" si="162"/>
        <v>0</v>
      </c>
      <c r="P2087" s="17">
        <f t="shared" si="163"/>
        <v>7.6239197530864181E-2</v>
      </c>
      <c r="Q2087" s="17">
        <v>14.1</v>
      </c>
      <c r="R2087" s="9">
        <v>20220804</v>
      </c>
      <c r="S2087" s="9">
        <v>-7.61</v>
      </c>
      <c r="T2087" s="9">
        <v>59.5</v>
      </c>
      <c r="U2087" s="9">
        <v>6375.7890600000001</v>
      </c>
      <c r="V2087" s="45">
        <f t="shared" si="164"/>
        <v>-0.99066782174879542</v>
      </c>
      <c r="W2087" s="12">
        <v>81.48</v>
      </c>
      <c r="X2087" s="12">
        <v>0</v>
      </c>
      <c r="Y2087" s="62"/>
    </row>
    <row r="2088" spans="1:25" x14ac:dyDescent="0.2">
      <c r="A2088" s="3" t="s">
        <v>4334</v>
      </c>
      <c r="B2088" s="3" t="s">
        <v>508</v>
      </c>
      <c r="C2088" s="6" t="s">
        <v>355</v>
      </c>
      <c r="D2088" s="6" t="s">
        <v>130</v>
      </c>
      <c r="E2088" s="6" t="s">
        <v>119</v>
      </c>
      <c r="F2088" s="6">
        <v>15042.51</v>
      </c>
      <c r="G2088" s="2">
        <v>12</v>
      </c>
      <c r="H2088" s="61">
        <v>0.51</v>
      </c>
      <c r="I2088" s="61">
        <v>0.75</v>
      </c>
      <c r="J2088" s="47">
        <f t="shared" si="160"/>
        <v>-0.95750000000000002</v>
      </c>
      <c r="K2088" s="47">
        <f t="shared" si="161"/>
        <v>0.47058823529411764</v>
      </c>
      <c r="L2088" s="8">
        <v>1.01</v>
      </c>
      <c r="M2088" s="8">
        <v>59.19</v>
      </c>
      <c r="N2088" s="8">
        <v>49.72</v>
      </c>
      <c r="O2088" s="17">
        <f t="shared" si="162"/>
        <v>-0.61817232375979114</v>
      </c>
      <c r="P2088" s="17">
        <f t="shared" si="163"/>
        <v>1.0565500000000001</v>
      </c>
      <c r="Q2088" s="17">
        <v>37.06</v>
      </c>
      <c r="R2088" s="9">
        <v>20220801</v>
      </c>
      <c r="S2088" s="9">
        <v>8.4600000000000009</v>
      </c>
      <c r="U2088" s="9">
        <v>1058.3900100000001</v>
      </c>
      <c r="V2088" s="45">
        <f t="shared" si="164"/>
        <v>-1</v>
      </c>
      <c r="W2088" s="12">
        <v>20</v>
      </c>
      <c r="X2088" s="12">
        <v>0</v>
      </c>
      <c r="Y2088" s="62">
        <v>1.5</v>
      </c>
    </row>
    <row r="2089" spans="1:25" x14ac:dyDescent="0.2">
      <c r="A2089" s="3" t="s">
        <v>4335</v>
      </c>
      <c r="B2089" s="3" t="s">
        <v>2060</v>
      </c>
      <c r="C2089" s="6" t="s">
        <v>354</v>
      </c>
      <c r="D2089" s="6" t="s">
        <v>242</v>
      </c>
      <c r="E2089" s="6" t="s">
        <v>237</v>
      </c>
      <c r="F2089" s="6">
        <v>8330.44</v>
      </c>
      <c r="G2089" s="2">
        <v>12</v>
      </c>
      <c r="H2089" s="61">
        <v>38.28</v>
      </c>
      <c r="I2089" s="61">
        <v>41.24</v>
      </c>
      <c r="J2089" s="47">
        <f t="shared" si="160"/>
        <v>2.19</v>
      </c>
      <c r="K2089" s="47">
        <f t="shared" si="161"/>
        <v>7.7324973876698039E-2</v>
      </c>
      <c r="L2089" s="8">
        <v>15.45</v>
      </c>
      <c r="M2089" s="8">
        <v>1.45</v>
      </c>
      <c r="N2089" s="8">
        <v>1.69</v>
      </c>
      <c r="O2089" s="17">
        <f t="shared" si="162"/>
        <v>6.6210045662100456E-3</v>
      </c>
      <c r="P2089" s="17">
        <f t="shared" si="163"/>
        <v>0.21855810810810802</v>
      </c>
      <c r="Q2089" s="17">
        <v>4.5</v>
      </c>
      <c r="R2089" s="9">
        <v>20220817</v>
      </c>
      <c r="S2089" s="9">
        <v>167.57</v>
      </c>
      <c r="U2089" s="9">
        <v>13151.58496</v>
      </c>
      <c r="V2089" s="45">
        <f t="shared" si="164"/>
        <v>-1</v>
      </c>
      <c r="W2089" s="12">
        <v>12.17</v>
      </c>
      <c r="X2089" s="12">
        <v>97.8</v>
      </c>
      <c r="Y2089" s="62"/>
    </row>
    <row r="2090" spans="1:25" x14ac:dyDescent="0.2">
      <c r="A2090" s="3" t="s">
        <v>4336</v>
      </c>
      <c r="B2090" s="3" t="s">
        <v>284</v>
      </c>
      <c r="C2090" s="6" t="s">
        <v>355</v>
      </c>
      <c r="D2090" s="6" t="s">
        <v>113</v>
      </c>
      <c r="E2090" s="6" t="s">
        <v>163</v>
      </c>
      <c r="F2090" s="6">
        <v>8535.1200000000008</v>
      </c>
      <c r="G2090" s="2">
        <v>12</v>
      </c>
      <c r="H2090" s="61">
        <v>6.8</v>
      </c>
      <c r="I2090" s="61">
        <v>5.61</v>
      </c>
      <c r="J2090" s="47">
        <f t="shared" si="160"/>
        <v>-0.43333333333333335</v>
      </c>
      <c r="K2090" s="47">
        <f t="shared" si="161"/>
        <v>-0.17499999999999993</v>
      </c>
      <c r="L2090" s="8">
        <v>6.39</v>
      </c>
      <c r="M2090" s="8">
        <v>9.18</v>
      </c>
      <c r="N2090" s="8">
        <v>10.06</v>
      </c>
      <c r="O2090" s="17">
        <f t="shared" si="162"/>
        <v>-0.21184615384615382</v>
      </c>
      <c r="P2090" s="17">
        <f t="shared" si="163"/>
        <v>-0.57485714285714307</v>
      </c>
      <c r="Q2090" s="17">
        <v>8.82</v>
      </c>
      <c r="R2090" s="9">
        <v>20220718</v>
      </c>
      <c r="S2090" s="9">
        <v>14.53</v>
      </c>
      <c r="T2090" s="9">
        <v>1.87</v>
      </c>
      <c r="U2090" s="9">
        <v>2980.7519499999999</v>
      </c>
      <c r="V2090" s="45">
        <f t="shared" si="164"/>
        <v>-0.99937264152423022</v>
      </c>
      <c r="W2090" s="12">
        <v>10.43</v>
      </c>
      <c r="X2090" s="12">
        <v>2.7</v>
      </c>
      <c r="Y2090" s="62">
        <v>8.5299999999999994</v>
      </c>
    </row>
    <row r="2091" spans="1:25" x14ac:dyDescent="0.2">
      <c r="A2091" s="3" t="s">
        <v>4337</v>
      </c>
      <c r="B2091" s="3" t="s">
        <v>381</v>
      </c>
      <c r="C2091" s="6" t="s">
        <v>356</v>
      </c>
      <c r="D2091" s="6" t="s">
        <v>174</v>
      </c>
      <c r="E2091" s="6" t="s">
        <v>231</v>
      </c>
      <c r="F2091" s="6">
        <v>10433.06</v>
      </c>
      <c r="G2091" s="2">
        <v>12</v>
      </c>
      <c r="H2091" s="61">
        <v>0.52</v>
      </c>
      <c r="I2091" s="61">
        <v>0.38</v>
      </c>
      <c r="J2091" s="47">
        <f t="shared" si="160"/>
        <v>-0.95666666666666667</v>
      </c>
      <c r="K2091" s="47">
        <f t="shared" si="161"/>
        <v>-0.26923076923076927</v>
      </c>
      <c r="L2091" s="8">
        <v>0.65</v>
      </c>
      <c r="M2091" s="8">
        <v>31.09</v>
      </c>
      <c r="N2091" s="8">
        <v>51.69</v>
      </c>
      <c r="O2091" s="17">
        <f t="shared" si="162"/>
        <v>-0.32498257839721251</v>
      </c>
      <c r="P2091" s="17">
        <f t="shared" si="163"/>
        <v>-1.9199142857142855</v>
      </c>
      <c r="Q2091" s="17">
        <v>30.38</v>
      </c>
      <c r="R2091" s="9">
        <v>20220804</v>
      </c>
      <c r="S2091" s="9">
        <v>12.77</v>
      </c>
      <c r="U2091" s="9">
        <v>11656.809569999999</v>
      </c>
      <c r="V2091" s="45">
        <f t="shared" si="164"/>
        <v>-1</v>
      </c>
      <c r="X2091" s="12">
        <v>0</v>
      </c>
      <c r="Y2091" s="62"/>
    </row>
    <row r="2092" spans="1:25" x14ac:dyDescent="0.2">
      <c r="A2092" s="3" t="s">
        <v>4338</v>
      </c>
      <c r="B2092" s="3" t="s">
        <v>460</v>
      </c>
      <c r="C2092" s="6" t="s">
        <v>355</v>
      </c>
      <c r="D2092" s="6" t="s">
        <v>177</v>
      </c>
      <c r="E2092" s="6" t="s">
        <v>119</v>
      </c>
      <c r="F2092" s="6">
        <v>32006.26</v>
      </c>
      <c r="G2092" s="2">
        <v>1</v>
      </c>
      <c r="H2092" s="61">
        <v>4.8499999999999996</v>
      </c>
      <c r="I2092" s="61">
        <v>3.71</v>
      </c>
      <c r="J2092" s="47">
        <f t="shared" si="160"/>
        <v>3.8499999999999996</v>
      </c>
      <c r="K2092" s="47">
        <f t="shared" si="161"/>
        <v>-0.23505154639175252</v>
      </c>
      <c r="L2092" s="8">
        <v>4.09</v>
      </c>
      <c r="M2092" s="8">
        <v>22.34</v>
      </c>
      <c r="N2092" s="8">
        <v>28.85</v>
      </c>
      <c r="O2092" s="17">
        <f t="shared" si="162"/>
        <v>5.8025974025974036E-2</v>
      </c>
      <c r="P2092" s="17">
        <f t="shared" si="163"/>
        <v>-1.2273903508771933</v>
      </c>
      <c r="Q2092" s="17">
        <v>26.16</v>
      </c>
      <c r="R2092" s="9">
        <v>20220829</v>
      </c>
      <c r="S2092" s="9">
        <v>16.559999999999999</v>
      </c>
      <c r="T2092" s="9">
        <v>163.07</v>
      </c>
      <c r="U2092" s="9">
        <v>4568.5761700000003</v>
      </c>
      <c r="V2092" s="45">
        <f t="shared" si="164"/>
        <v>-0.96430616587487039</v>
      </c>
      <c r="W2092" s="12">
        <v>17.05</v>
      </c>
      <c r="X2092" s="12">
        <v>0</v>
      </c>
      <c r="Y2092" s="62">
        <v>1.48</v>
      </c>
    </row>
    <row r="2093" spans="1:25" x14ac:dyDescent="0.2">
      <c r="A2093" s="3" t="s">
        <v>4339</v>
      </c>
      <c r="B2093" s="3" t="s">
        <v>316</v>
      </c>
      <c r="C2093" s="6" t="s">
        <v>355</v>
      </c>
      <c r="D2093" s="6" t="s">
        <v>176</v>
      </c>
      <c r="E2093" s="6" t="s">
        <v>119</v>
      </c>
      <c r="F2093" s="6">
        <v>20052.46</v>
      </c>
      <c r="G2093" s="2">
        <v>7</v>
      </c>
      <c r="H2093" s="61">
        <v>0.47</v>
      </c>
      <c r="I2093" s="61">
        <v>0.55000000000000004</v>
      </c>
      <c r="J2093" s="47">
        <f t="shared" si="160"/>
        <v>-0.93285714285714294</v>
      </c>
      <c r="K2093" s="47">
        <f t="shared" si="161"/>
        <v>0.17021276595744697</v>
      </c>
      <c r="L2093" s="8">
        <v>0.9</v>
      </c>
      <c r="M2093" s="8">
        <v>245.05</v>
      </c>
      <c r="N2093" s="8">
        <v>257.89999999999998</v>
      </c>
      <c r="O2093" s="17">
        <f t="shared" si="162"/>
        <v>-2.6268759571209799</v>
      </c>
      <c r="P2093" s="17">
        <f t="shared" si="163"/>
        <v>15.151624999999983</v>
      </c>
      <c r="Q2093" s="17">
        <v>157.34</v>
      </c>
      <c r="R2093" s="9">
        <v>20220908</v>
      </c>
      <c r="S2093" s="9">
        <v>-58.33</v>
      </c>
      <c r="T2093" s="9">
        <v>51.47</v>
      </c>
      <c r="U2093" s="9">
        <v>1049.2800199999999</v>
      </c>
      <c r="V2093" s="45">
        <f t="shared" si="164"/>
        <v>-0.95094731718993364</v>
      </c>
      <c r="W2093" s="12">
        <v>54.55</v>
      </c>
      <c r="X2093" s="12">
        <v>0</v>
      </c>
      <c r="Y2093" s="62">
        <v>6.59</v>
      </c>
    </row>
    <row r="2094" spans="1:25" x14ac:dyDescent="0.2">
      <c r="A2094" s="3" t="s">
        <v>4340</v>
      </c>
      <c r="B2094" s="3" t="s">
        <v>1924</v>
      </c>
      <c r="C2094" s="6" t="s">
        <v>354</v>
      </c>
      <c r="D2094" s="6" t="s">
        <v>240</v>
      </c>
      <c r="E2094" s="6" t="s">
        <v>237</v>
      </c>
      <c r="F2094" s="6">
        <v>14939.92</v>
      </c>
      <c r="G2094" s="2">
        <v>12</v>
      </c>
      <c r="H2094" s="61">
        <v>0.89</v>
      </c>
      <c r="I2094" s="61">
        <v>1.1499999999999999</v>
      </c>
      <c r="J2094" s="47">
        <f t="shared" si="160"/>
        <v>-0.92583333333333329</v>
      </c>
      <c r="K2094" s="47">
        <f t="shared" si="161"/>
        <v>0.29213483146067404</v>
      </c>
      <c r="L2094" s="8">
        <v>1.48</v>
      </c>
      <c r="M2094" s="8">
        <v>24.5</v>
      </c>
      <c r="N2094" s="8">
        <v>21.52</v>
      </c>
      <c r="O2094" s="17">
        <f t="shared" si="162"/>
        <v>-0.26462646264626466</v>
      </c>
      <c r="P2094" s="17">
        <f t="shared" si="163"/>
        <v>0.73664615384615417</v>
      </c>
      <c r="Q2094" s="17">
        <v>16.72</v>
      </c>
      <c r="R2094" s="9">
        <v>20220817</v>
      </c>
      <c r="S2094" s="9">
        <v>11</v>
      </c>
      <c r="T2094" s="9">
        <v>24.48</v>
      </c>
      <c r="U2094" s="9">
        <v>5541.1699200000003</v>
      </c>
      <c r="V2094" s="45">
        <f t="shared" si="164"/>
        <v>-0.9955821603824776</v>
      </c>
      <c r="W2094" s="12">
        <v>0</v>
      </c>
      <c r="X2094" s="12">
        <v>0</v>
      </c>
      <c r="Y2094" s="62">
        <v>1.1599999999999999</v>
      </c>
    </row>
    <row r="2095" spans="1:25" x14ac:dyDescent="0.2">
      <c r="A2095" s="3" t="s">
        <v>4341</v>
      </c>
      <c r="B2095" s="3" t="s">
        <v>285</v>
      </c>
      <c r="C2095" s="6" t="s">
        <v>354</v>
      </c>
      <c r="D2095" s="6" t="s">
        <v>187</v>
      </c>
      <c r="E2095" s="6" t="s">
        <v>208</v>
      </c>
      <c r="F2095" s="6">
        <v>78077.289999999994</v>
      </c>
      <c r="G2095" s="2">
        <v>12</v>
      </c>
      <c r="H2095" s="61">
        <v>4.66</v>
      </c>
      <c r="I2095" s="61">
        <v>5.07</v>
      </c>
      <c r="J2095" s="47">
        <f t="shared" si="160"/>
        <v>-0.61166666666666669</v>
      </c>
      <c r="K2095" s="47">
        <f t="shared" si="161"/>
        <v>8.798283261802578E-2</v>
      </c>
      <c r="L2095" s="8">
        <v>5.79</v>
      </c>
      <c r="M2095" s="8">
        <v>34.85</v>
      </c>
      <c r="N2095" s="8">
        <v>32.75</v>
      </c>
      <c r="O2095" s="17">
        <f t="shared" si="162"/>
        <v>-0.5697547683923706</v>
      </c>
      <c r="P2095" s="17">
        <f t="shared" si="163"/>
        <v>3.7223170731707307</v>
      </c>
      <c r="Q2095" s="17">
        <v>28.64</v>
      </c>
      <c r="R2095" s="9">
        <v>20220804</v>
      </c>
      <c r="S2095" s="9">
        <v>49.62</v>
      </c>
      <c r="T2095" s="9">
        <v>9.5500000000000007</v>
      </c>
      <c r="U2095" s="9">
        <v>8324.8720699999994</v>
      </c>
      <c r="V2095" s="45">
        <f t="shared" si="164"/>
        <v>-0.99885283522440971</v>
      </c>
      <c r="W2095" s="12">
        <v>8.1999999999999993</v>
      </c>
      <c r="X2095" s="12">
        <v>0.78</v>
      </c>
      <c r="Y2095" s="62">
        <v>2.78</v>
      </c>
    </row>
    <row r="2096" spans="1:25" x14ac:dyDescent="0.2">
      <c r="A2096" s="3" t="s">
        <v>4342</v>
      </c>
      <c r="B2096" s="3" t="s">
        <v>345</v>
      </c>
      <c r="C2096" s="6" t="s">
        <v>356</v>
      </c>
      <c r="D2096" s="6" t="s">
        <v>172</v>
      </c>
      <c r="E2096" s="6" t="s">
        <v>163</v>
      </c>
      <c r="F2096" s="6">
        <v>70009.27</v>
      </c>
      <c r="G2096" s="2">
        <v>12</v>
      </c>
      <c r="H2096" s="61">
        <v>2.93</v>
      </c>
      <c r="I2096" s="61">
        <v>3.77</v>
      </c>
      <c r="J2096" s="47">
        <f t="shared" si="160"/>
        <v>-0.75583333333333336</v>
      </c>
      <c r="K2096" s="47">
        <f t="shared" si="161"/>
        <v>0.28668941979522178</v>
      </c>
      <c r="L2096" s="8">
        <v>4.1100000000000003</v>
      </c>
      <c r="N2096" s="8">
        <v>12.36</v>
      </c>
      <c r="O2096" s="17">
        <f t="shared" si="162"/>
        <v>0</v>
      </c>
      <c r="P2096" s="17">
        <f t="shared" si="163"/>
        <v>0.43112857142857153</v>
      </c>
      <c r="Q2096" s="17">
        <v>11.31</v>
      </c>
      <c r="U2096" s="9">
        <v>45826.148430000001</v>
      </c>
      <c r="V2096" s="45">
        <f t="shared" si="164"/>
        <v>-1</v>
      </c>
      <c r="X2096" s="12">
        <v>3.92</v>
      </c>
      <c r="Y2096" s="62"/>
    </row>
    <row r="2097" spans="1:25" x14ac:dyDescent="0.2">
      <c r="A2097" s="3" t="s">
        <v>4343</v>
      </c>
      <c r="B2097" s="3" t="s">
        <v>4344</v>
      </c>
      <c r="C2097" s="6" t="s">
        <v>354</v>
      </c>
      <c r="D2097" s="6" t="s">
        <v>181</v>
      </c>
      <c r="E2097" s="6" t="s">
        <v>201</v>
      </c>
      <c r="F2097" s="6">
        <v>3489.3</v>
      </c>
      <c r="G2097" s="2">
        <v>12</v>
      </c>
      <c r="H2097" s="61">
        <v>0.8</v>
      </c>
      <c r="I2097" s="61">
        <v>1.1299999999999999</v>
      </c>
      <c r="J2097" s="47">
        <f t="shared" si="160"/>
        <v>-0.93333333333333324</v>
      </c>
      <c r="K2097" s="47">
        <f t="shared" si="161"/>
        <v>0.41249999999999981</v>
      </c>
      <c r="L2097" s="8">
        <v>1.41</v>
      </c>
      <c r="M2097" s="8">
        <v>17.420000000000002</v>
      </c>
      <c r="N2097" s="8">
        <v>24.51</v>
      </c>
      <c r="O2097" s="17">
        <f t="shared" si="162"/>
        <v>-0.18664285714285717</v>
      </c>
      <c r="P2097" s="17">
        <f t="shared" si="163"/>
        <v>0.59418181818181848</v>
      </c>
      <c r="Q2097" s="17">
        <v>19.649999999999999</v>
      </c>
      <c r="R2097" s="9">
        <v>20220719</v>
      </c>
      <c r="S2097" s="9">
        <v>22.48</v>
      </c>
      <c r="T2097" s="9">
        <v>-1.41</v>
      </c>
      <c r="U2097" s="9">
        <v>1232.09997</v>
      </c>
      <c r="V2097" s="45">
        <f t="shared" si="164"/>
        <v>-1.0011443876587385</v>
      </c>
      <c r="W2097" s="12">
        <v>9.09</v>
      </c>
      <c r="X2097" s="12">
        <v>0.43</v>
      </c>
      <c r="Y2097" s="62">
        <v>1.23</v>
      </c>
    </row>
    <row r="2098" spans="1:25" x14ac:dyDescent="0.2">
      <c r="H2098" s="61"/>
      <c r="I2098" s="61"/>
      <c r="J2098" s="47" t="e">
        <f t="shared" si="160"/>
        <v>#DIV/0!</v>
      </c>
      <c r="K2098" s="47" t="e">
        <f t="shared" si="161"/>
        <v>#DIV/0!</v>
      </c>
      <c r="O2098" s="17" t="e">
        <f t="shared" si="162"/>
        <v>#DIV/0!</v>
      </c>
      <c r="P2098" s="17" t="e">
        <f t="shared" si="163"/>
        <v>#DIV/0!</v>
      </c>
      <c r="Q2098" s="17"/>
      <c r="V2098" s="45" t="e">
        <f t="shared" si="164"/>
        <v>#DIV/0!</v>
      </c>
      <c r="Y2098" s="62"/>
    </row>
    <row r="2099" spans="1:25" x14ac:dyDescent="0.2">
      <c r="H2099" s="61"/>
      <c r="I2099" s="61"/>
      <c r="J2099" s="47" t="e">
        <f t="shared" si="160"/>
        <v>#DIV/0!</v>
      </c>
      <c r="K2099" s="47" t="e">
        <f t="shared" si="161"/>
        <v>#DIV/0!</v>
      </c>
      <c r="O2099" s="17" t="e">
        <f t="shared" si="162"/>
        <v>#DIV/0!</v>
      </c>
      <c r="P2099" s="17" t="e">
        <f t="shared" si="163"/>
        <v>#DIV/0!</v>
      </c>
      <c r="Q2099" s="17"/>
      <c r="V2099" s="45" t="e">
        <f t="shared" si="164"/>
        <v>#DIV/0!</v>
      </c>
      <c r="Y2099" s="62"/>
    </row>
    <row r="2100" spans="1:25" x14ac:dyDescent="0.2">
      <c r="H2100" s="61"/>
      <c r="I2100" s="61"/>
      <c r="J2100" s="47" t="e">
        <f t="shared" si="160"/>
        <v>#DIV/0!</v>
      </c>
      <c r="K2100" s="47" t="e">
        <f t="shared" si="161"/>
        <v>#DIV/0!</v>
      </c>
      <c r="O2100" s="17" t="e">
        <f t="shared" si="162"/>
        <v>#DIV/0!</v>
      </c>
      <c r="P2100" s="17" t="e">
        <f t="shared" si="163"/>
        <v>#DIV/0!</v>
      </c>
      <c r="Q2100" s="17"/>
      <c r="V2100" s="45" t="e">
        <f t="shared" si="164"/>
        <v>#DIV/0!</v>
      </c>
      <c r="Y2100" s="62"/>
    </row>
    <row r="2101" spans="1:25" x14ac:dyDescent="0.2">
      <c r="H2101" s="61"/>
      <c r="I2101" s="61"/>
      <c r="J2101" s="47" t="e">
        <f t="shared" si="160"/>
        <v>#DIV/0!</v>
      </c>
      <c r="K2101" s="47" t="e">
        <f t="shared" si="161"/>
        <v>#DIV/0!</v>
      </c>
      <c r="O2101" s="17" t="e">
        <f t="shared" si="162"/>
        <v>#DIV/0!</v>
      </c>
      <c r="P2101" s="17" t="e">
        <f t="shared" si="163"/>
        <v>#DIV/0!</v>
      </c>
      <c r="Q2101" s="17"/>
      <c r="V2101" s="45" t="e">
        <f t="shared" si="164"/>
        <v>#DIV/0!</v>
      </c>
      <c r="Y2101" s="62"/>
    </row>
    <row r="2102" spans="1:25" x14ac:dyDescent="0.2">
      <c r="H2102" s="61"/>
      <c r="I2102" s="61"/>
      <c r="J2102" s="47" t="e">
        <f t="shared" si="160"/>
        <v>#DIV/0!</v>
      </c>
      <c r="K2102" s="47" t="e">
        <f t="shared" si="161"/>
        <v>#DIV/0!</v>
      </c>
      <c r="O2102" s="17" t="e">
        <f t="shared" si="162"/>
        <v>#DIV/0!</v>
      </c>
      <c r="P2102" s="17" t="e">
        <f t="shared" si="163"/>
        <v>#DIV/0!</v>
      </c>
      <c r="Q2102" s="17"/>
      <c r="V2102" s="45" t="e">
        <f t="shared" si="164"/>
        <v>#DIV/0!</v>
      </c>
      <c r="Y2102" s="62"/>
    </row>
    <row r="2103" spans="1:25" x14ac:dyDescent="0.2">
      <c r="H2103" s="61"/>
      <c r="I2103" s="61"/>
      <c r="J2103" s="47" t="e">
        <f t="shared" si="160"/>
        <v>#DIV/0!</v>
      </c>
      <c r="K2103" s="47" t="e">
        <f t="shared" si="161"/>
        <v>#DIV/0!</v>
      </c>
      <c r="O2103" s="17" t="e">
        <f t="shared" si="162"/>
        <v>#DIV/0!</v>
      </c>
      <c r="P2103" s="17" t="e">
        <f t="shared" si="163"/>
        <v>#DIV/0!</v>
      </c>
      <c r="Q2103" s="17"/>
      <c r="V2103" s="45" t="e">
        <f t="shared" si="164"/>
        <v>#DIV/0!</v>
      </c>
      <c r="Y2103" s="62"/>
    </row>
    <row r="2104" spans="1:25" x14ac:dyDescent="0.2">
      <c r="H2104" s="61"/>
      <c r="I2104" s="61"/>
      <c r="J2104" s="47" t="e">
        <f t="shared" si="160"/>
        <v>#DIV/0!</v>
      </c>
      <c r="K2104" s="47" t="e">
        <f t="shared" si="161"/>
        <v>#DIV/0!</v>
      </c>
      <c r="O2104" s="17" t="e">
        <f t="shared" si="162"/>
        <v>#DIV/0!</v>
      </c>
      <c r="P2104" s="17" t="e">
        <f t="shared" si="163"/>
        <v>#DIV/0!</v>
      </c>
      <c r="Q2104" s="17"/>
      <c r="V2104" s="45" t="e">
        <f t="shared" si="164"/>
        <v>#DIV/0!</v>
      </c>
      <c r="Y2104" s="62"/>
    </row>
    <row r="2105" spans="1:25" x14ac:dyDescent="0.2">
      <c r="H2105" s="61"/>
      <c r="I2105" s="61"/>
      <c r="J2105" s="47" t="e">
        <f t="shared" si="160"/>
        <v>#DIV/0!</v>
      </c>
      <c r="K2105" s="47" t="e">
        <f t="shared" si="161"/>
        <v>#DIV/0!</v>
      </c>
      <c r="O2105" s="17" t="e">
        <f t="shared" si="162"/>
        <v>#DIV/0!</v>
      </c>
      <c r="P2105" s="17" t="e">
        <f t="shared" si="163"/>
        <v>#DIV/0!</v>
      </c>
      <c r="Q2105" s="17"/>
      <c r="V2105" s="45" t="e">
        <f t="shared" si="164"/>
        <v>#DIV/0!</v>
      </c>
      <c r="Y2105" s="62"/>
    </row>
    <row r="2106" spans="1:25" x14ac:dyDescent="0.2">
      <c r="H2106" s="61"/>
      <c r="I2106" s="61"/>
      <c r="J2106" s="47" t="e">
        <f t="shared" si="160"/>
        <v>#DIV/0!</v>
      </c>
      <c r="K2106" s="47" t="e">
        <f t="shared" si="161"/>
        <v>#DIV/0!</v>
      </c>
      <c r="O2106" s="17" t="e">
        <f t="shared" si="162"/>
        <v>#DIV/0!</v>
      </c>
      <c r="P2106" s="17" t="e">
        <f t="shared" si="163"/>
        <v>#DIV/0!</v>
      </c>
      <c r="Q2106" s="17"/>
      <c r="V2106" s="45" t="e">
        <f t="shared" si="164"/>
        <v>#DIV/0!</v>
      </c>
      <c r="Y2106" s="62"/>
    </row>
    <row r="2107" spans="1:25" x14ac:dyDescent="0.2">
      <c r="H2107" s="61"/>
      <c r="I2107" s="61"/>
      <c r="J2107" s="47" t="e">
        <f t="shared" si="160"/>
        <v>#DIV/0!</v>
      </c>
      <c r="K2107" s="47" t="e">
        <f t="shared" si="161"/>
        <v>#DIV/0!</v>
      </c>
      <c r="O2107" s="17" t="e">
        <f t="shared" si="162"/>
        <v>#DIV/0!</v>
      </c>
      <c r="P2107" s="17" t="e">
        <f t="shared" si="163"/>
        <v>#DIV/0!</v>
      </c>
      <c r="Q2107" s="17"/>
      <c r="V2107" s="45" t="e">
        <f t="shared" si="164"/>
        <v>#DIV/0!</v>
      </c>
      <c r="Y2107" s="62"/>
    </row>
    <row r="2108" spans="1:25" x14ac:dyDescent="0.2">
      <c r="H2108" s="61"/>
      <c r="I2108" s="61"/>
      <c r="J2108" s="47" t="e">
        <f t="shared" si="160"/>
        <v>#DIV/0!</v>
      </c>
      <c r="K2108" s="47" t="e">
        <f t="shared" si="161"/>
        <v>#DIV/0!</v>
      </c>
      <c r="O2108" s="17" t="e">
        <f t="shared" si="162"/>
        <v>#DIV/0!</v>
      </c>
      <c r="P2108" s="17" t="e">
        <f t="shared" si="163"/>
        <v>#DIV/0!</v>
      </c>
      <c r="Q2108" s="17"/>
      <c r="V2108" s="45" t="e">
        <f t="shared" si="164"/>
        <v>#DIV/0!</v>
      </c>
      <c r="Y2108" s="62"/>
    </row>
    <row r="2109" spans="1:25" x14ac:dyDescent="0.2">
      <c r="H2109" s="61"/>
      <c r="I2109" s="61"/>
      <c r="J2109" s="47" t="e">
        <f t="shared" si="160"/>
        <v>#DIV/0!</v>
      </c>
      <c r="K2109" s="47" t="e">
        <f t="shared" si="161"/>
        <v>#DIV/0!</v>
      </c>
      <c r="O2109" s="17" t="e">
        <f t="shared" si="162"/>
        <v>#DIV/0!</v>
      </c>
      <c r="P2109" s="17" t="e">
        <f t="shared" si="163"/>
        <v>#DIV/0!</v>
      </c>
      <c r="Q2109" s="17"/>
      <c r="V2109" s="45" t="e">
        <f t="shared" si="164"/>
        <v>#DIV/0!</v>
      </c>
      <c r="Y2109" s="62"/>
    </row>
    <row r="2110" spans="1:25" x14ac:dyDescent="0.2">
      <c r="H2110" s="61"/>
      <c r="I2110" s="61"/>
      <c r="J2110" s="47" t="e">
        <f t="shared" si="160"/>
        <v>#DIV/0!</v>
      </c>
      <c r="K2110" s="47" t="e">
        <f t="shared" si="161"/>
        <v>#DIV/0!</v>
      </c>
      <c r="O2110" s="17" t="e">
        <f t="shared" si="162"/>
        <v>#DIV/0!</v>
      </c>
      <c r="P2110" s="17" t="e">
        <f t="shared" si="163"/>
        <v>#DIV/0!</v>
      </c>
      <c r="Q2110" s="17"/>
      <c r="V2110" s="45" t="e">
        <f t="shared" si="164"/>
        <v>#DIV/0!</v>
      </c>
      <c r="Y2110" s="62"/>
    </row>
    <row r="2111" spans="1:25" x14ac:dyDescent="0.2">
      <c r="H2111" s="61"/>
      <c r="I2111" s="61"/>
      <c r="J2111" s="47" t="e">
        <f t="shared" si="160"/>
        <v>#DIV/0!</v>
      </c>
      <c r="K2111" s="47" t="e">
        <f t="shared" si="161"/>
        <v>#DIV/0!</v>
      </c>
      <c r="O2111" s="17" t="e">
        <f t="shared" si="162"/>
        <v>#DIV/0!</v>
      </c>
      <c r="P2111" s="17" t="e">
        <f t="shared" si="163"/>
        <v>#DIV/0!</v>
      </c>
      <c r="Q2111" s="17"/>
      <c r="V2111" s="45" t="e">
        <f t="shared" si="164"/>
        <v>#DIV/0!</v>
      </c>
      <c r="Y2111" s="62"/>
    </row>
    <row r="2112" spans="1:25" x14ac:dyDescent="0.2">
      <c r="H2112" s="61"/>
      <c r="I2112" s="61"/>
      <c r="J2112" s="47" t="e">
        <f t="shared" si="160"/>
        <v>#DIV/0!</v>
      </c>
      <c r="K2112" s="47" t="e">
        <f t="shared" si="161"/>
        <v>#DIV/0!</v>
      </c>
      <c r="O2112" s="17" t="e">
        <f t="shared" si="162"/>
        <v>#DIV/0!</v>
      </c>
      <c r="P2112" s="17" t="e">
        <f t="shared" si="163"/>
        <v>#DIV/0!</v>
      </c>
      <c r="Q2112" s="17"/>
      <c r="V2112" s="45" t="e">
        <f t="shared" si="164"/>
        <v>#DIV/0!</v>
      </c>
      <c r="Y2112" s="62"/>
    </row>
    <row r="2113" spans="8:25" x14ac:dyDescent="0.2">
      <c r="H2113" s="61"/>
      <c r="I2113" s="61"/>
      <c r="J2113" s="47" t="e">
        <f t="shared" si="160"/>
        <v>#DIV/0!</v>
      </c>
      <c r="K2113" s="47" t="e">
        <f t="shared" si="161"/>
        <v>#DIV/0!</v>
      </c>
      <c r="O2113" s="17" t="e">
        <f t="shared" si="162"/>
        <v>#DIV/0!</v>
      </c>
      <c r="P2113" s="17" t="e">
        <f t="shared" si="163"/>
        <v>#DIV/0!</v>
      </c>
      <c r="Q2113" s="17"/>
      <c r="V2113" s="45" t="e">
        <f t="shared" si="164"/>
        <v>#DIV/0!</v>
      </c>
      <c r="Y2113" s="62"/>
    </row>
    <row r="2114" spans="8:25" x14ac:dyDescent="0.2">
      <c r="H2114" s="61"/>
      <c r="I2114" s="61"/>
      <c r="J2114" s="47" t="e">
        <f t="shared" si="160"/>
        <v>#DIV/0!</v>
      </c>
      <c r="K2114" s="47" t="e">
        <f t="shared" si="161"/>
        <v>#DIV/0!</v>
      </c>
      <c r="O2114" s="17" t="e">
        <f t="shared" si="162"/>
        <v>#DIV/0!</v>
      </c>
      <c r="P2114" s="17" t="e">
        <f t="shared" si="163"/>
        <v>#DIV/0!</v>
      </c>
      <c r="Q2114" s="17"/>
      <c r="V2114" s="45" t="e">
        <f t="shared" si="164"/>
        <v>#DIV/0!</v>
      </c>
      <c r="Y2114" s="62"/>
    </row>
    <row r="2115" spans="8:25" x14ac:dyDescent="0.2">
      <c r="H2115" s="61"/>
      <c r="I2115" s="61"/>
      <c r="J2115" s="47" t="e">
        <f t="shared" ref="J2115:J2178" si="165">(H2115-G2115)/ABS(G2115)</f>
        <v>#DIV/0!</v>
      </c>
      <c r="K2115" s="47" t="e">
        <f t="shared" ref="K2115:K2178" si="166">(I2115-H2115)/ABS(H2115)</f>
        <v>#DIV/0!</v>
      </c>
      <c r="O2115" s="17" t="e">
        <f t="shared" ref="O2115:O2178" si="167">M2115/(J2115*100)</f>
        <v>#DIV/0!</v>
      </c>
      <c r="P2115" s="17" t="e">
        <f t="shared" ref="P2115:P2178" si="168">N2115/(K2115*100)</f>
        <v>#DIV/0!</v>
      </c>
      <c r="Q2115" s="17"/>
      <c r="V2115" s="45" t="e">
        <f t="shared" ref="V2115:V2178" si="169">(T2115-U2115)/U2115</f>
        <v>#DIV/0!</v>
      </c>
      <c r="Y2115" s="62"/>
    </row>
    <row r="2116" spans="8:25" x14ac:dyDescent="0.2">
      <c r="H2116" s="61"/>
      <c r="I2116" s="61"/>
      <c r="J2116" s="47" t="e">
        <f t="shared" si="165"/>
        <v>#DIV/0!</v>
      </c>
      <c r="K2116" s="47" t="e">
        <f t="shared" si="166"/>
        <v>#DIV/0!</v>
      </c>
      <c r="O2116" s="17" t="e">
        <f t="shared" si="167"/>
        <v>#DIV/0!</v>
      </c>
      <c r="P2116" s="17" t="e">
        <f t="shared" si="168"/>
        <v>#DIV/0!</v>
      </c>
      <c r="Q2116" s="17"/>
      <c r="V2116" s="45" t="e">
        <f t="shared" si="169"/>
        <v>#DIV/0!</v>
      </c>
      <c r="Y2116" s="62"/>
    </row>
    <row r="2117" spans="8:25" x14ac:dyDescent="0.2">
      <c r="H2117" s="61"/>
      <c r="I2117" s="61"/>
      <c r="J2117" s="47" t="e">
        <f t="shared" si="165"/>
        <v>#DIV/0!</v>
      </c>
      <c r="K2117" s="47" t="e">
        <f t="shared" si="166"/>
        <v>#DIV/0!</v>
      </c>
      <c r="O2117" s="17" t="e">
        <f t="shared" si="167"/>
        <v>#DIV/0!</v>
      </c>
      <c r="P2117" s="17" t="e">
        <f t="shared" si="168"/>
        <v>#DIV/0!</v>
      </c>
      <c r="Q2117" s="17"/>
      <c r="V2117" s="45" t="e">
        <f t="shared" si="169"/>
        <v>#DIV/0!</v>
      </c>
      <c r="Y2117" s="62"/>
    </row>
    <row r="2118" spans="8:25" x14ac:dyDescent="0.2">
      <c r="H2118" s="61"/>
      <c r="I2118" s="61"/>
      <c r="J2118" s="47" t="e">
        <f t="shared" si="165"/>
        <v>#DIV/0!</v>
      </c>
      <c r="K2118" s="47" t="e">
        <f t="shared" si="166"/>
        <v>#DIV/0!</v>
      </c>
      <c r="O2118" s="17" t="e">
        <f t="shared" si="167"/>
        <v>#DIV/0!</v>
      </c>
      <c r="P2118" s="17" t="e">
        <f t="shared" si="168"/>
        <v>#DIV/0!</v>
      </c>
      <c r="Q2118" s="17"/>
      <c r="V2118" s="45" t="e">
        <f t="shared" si="169"/>
        <v>#DIV/0!</v>
      </c>
      <c r="Y2118" s="62"/>
    </row>
    <row r="2119" spans="8:25" x14ac:dyDescent="0.2">
      <c r="H2119" s="61"/>
      <c r="I2119" s="61"/>
      <c r="J2119" s="47" t="e">
        <f t="shared" si="165"/>
        <v>#DIV/0!</v>
      </c>
      <c r="K2119" s="47" t="e">
        <f t="shared" si="166"/>
        <v>#DIV/0!</v>
      </c>
      <c r="O2119" s="17" t="e">
        <f t="shared" si="167"/>
        <v>#DIV/0!</v>
      </c>
      <c r="P2119" s="17" t="e">
        <f t="shared" si="168"/>
        <v>#DIV/0!</v>
      </c>
      <c r="Q2119" s="17"/>
      <c r="V2119" s="45" t="e">
        <f t="shared" si="169"/>
        <v>#DIV/0!</v>
      </c>
      <c r="Y2119" s="62"/>
    </row>
    <row r="2120" spans="8:25" x14ac:dyDescent="0.2">
      <c r="H2120" s="61"/>
      <c r="I2120" s="61"/>
      <c r="J2120" s="47" t="e">
        <f t="shared" si="165"/>
        <v>#DIV/0!</v>
      </c>
      <c r="K2120" s="47" t="e">
        <f t="shared" si="166"/>
        <v>#DIV/0!</v>
      </c>
      <c r="O2120" s="17" t="e">
        <f t="shared" si="167"/>
        <v>#DIV/0!</v>
      </c>
      <c r="P2120" s="17" t="e">
        <f t="shared" si="168"/>
        <v>#DIV/0!</v>
      </c>
      <c r="Q2120" s="17"/>
      <c r="V2120" s="45" t="e">
        <f t="shared" si="169"/>
        <v>#DIV/0!</v>
      </c>
      <c r="Y2120" s="62"/>
    </row>
    <row r="2121" spans="8:25" x14ac:dyDescent="0.2">
      <c r="H2121" s="61"/>
      <c r="I2121" s="61"/>
      <c r="J2121" s="47" t="e">
        <f t="shared" si="165"/>
        <v>#DIV/0!</v>
      </c>
      <c r="K2121" s="47" t="e">
        <f t="shared" si="166"/>
        <v>#DIV/0!</v>
      </c>
      <c r="O2121" s="17" t="e">
        <f t="shared" si="167"/>
        <v>#DIV/0!</v>
      </c>
      <c r="P2121" s="17" t="e">
        <f t="shared" si="168"/>
        <v>#DIV/0!</v>
      </c>
      <c r="Q2121" s="17"/>
      <c r="V2121" s="45" t="e">
        <f t="shared" si="169"/>
        <v>#DIV/0!</v>
      </c>
      <c r="Y2121" s="62"/>
    </row>
    <row r="2122" spans="8:25" x14ac:dyDescent="0.2">
      <c r="H2122" s="61"/>
      <c r="I2122" s="61"/>
      <c r="J2122" s="47" t="e">
        <f t="shared" si="165"/>
        <v>#DIV/0!</v>
      </c>
      <c r="K2122" s="47" t="e">
        <f t="shared" si="166"/>
        <v>#DIV/0!</v>
      </c>
      <c r="O2122" s="17" t="e">
        <f t="shared" si="167"/>
        <v>#DIV/0!</v>
      </c>
      <c r="P2122" s="17" t="e">
        <f t="shared" si="168"/>
        <v>#DIV/0!</v>
      </c>
      <c r="Q2122" s="17"/>
      <c r="V2122" s="45" t="e">
        <f t="shared" si="169"/>
        <v>#DIV/0!</v>
      </c>
      <c r="Y2122" s="62"/>
    </row>
    <row r="2123" spans="8:25" x14ac:dyDescent="0.2">
      <c r="H2123" s="61"/>
      <c r="I2123" s="61"/>
      <c r="J2123" s="47" t="e">
        <f t="shared" si="165"/>
        <v>#DIV/0!</v>
      </c>
      <c r="K2123" s="47" t="e">
        <f t="shared" si="166"/>
        <v>#DIV/0!</v>
      </c>
      <c r="O2123" s="17" t="e">
        <f t="shared" si="167"/>
        <v>#DIV/0!</v>
      </c>
      <c r="P2123" s="17" t="e">
        <f t="shared" si="168"/>
        <v>#DIV/0!</v>
      </c>
      <c r="Q2123" s="17"/>
      <c r="V2123" s="45" t="e">
        <f t="shared" si="169"/>
        <v>#DIV/0!</v>
      </c>
      <c r="Y2123" s="62"/>
    </row>
    <row r="2124" spans="8:25" x14ac:dyDescent="0.2">
      <c r="H2124" s="61"/>
      <c r="I2124" s="61"/>
      <c r="J2124" s="47" t="e">
        <f t="shared" si="165"/>
        <v>#DIV/0!</v>
      </c>
      <c r="K2124" s="47" t="e">
        <f t="shared" si="166"/>
        <v>#DIV/0!</v>
      </c>
      <c r="O2124" s="17" t="e">
        <f t="shared" si="167"/>
        <v>#DIV/0!</v>
      </c>
      <c r="P2124" s="17" t="e">
        <f t="shared" si="168"/>
        <v>#DIV/0!</v>
      </c>
      <c r="Q2124" s="17"/>
      <c r="V2124" s="45" t="e">
        <f t="shared" si="169"/>
        <v>#DIV/0!</v>
      </c>
      <c r="Y2124" s="62"/>
    </row>
    <row r="2125" spans="8:25" x14ac:dyDescent="0.2">
      <c r="H2125" s="61"/>
      <c r="I2125" s="61"/>
      <c r="J2125" s="47" t="e">
        <f t="shared" si="165"/>
        <v>#DIV/0!</v>
      </c>
      <c r="K2125" s="47" t="e">
        <f t="shared" si="166"/>
        <v>#DIV/0!</v>
      </c>
      <c r="O2125" s="17" t="e">
        <f t="shared" si="167"/>
        <v>#DIV/0!</v>
      </c>
      <c r="P2125" s="17" t="e">
        <f t="shared" si="168"/>
        <v>#DIV/0!</v>
      </c>
      <c r="Q2125" s="17"/>
      <c r="V2125" s="45" t="e">
        <f t="shared" si="169"/>
        <v>#DIV/0!</v>
      </c>
      <c r="Y2125" s="62"/>
    </row>
    <row r="2126" spans="8:25" x14ac:dyDescent="0.2">
      <c r="H2126" s="61"/>
      <c r="I2126" s="61"/>
      <c r="J2126" s="47" t="e">
        <f t="shared" si="165"/>
        <v>#DIV/0!</v>
      </c>
      <c r="K2126" s="47" t="e">
        <f t="shared" si="166"/>
        <v>#DIV/0!</v>
      </c>
      <c r="O2126" s="17" t="e">
        <f t="shared" si="167"/>
        <v>#DIV/0!</v>
      </c>
      <c r="P2126" s="17" t="e">
        <f t="shared" si="168"/>
        <v>#DIV/0!</v>
      </c>
      <c r="Q2126" s="17"/>
      <c r="V2126" s="45" t="e">
        <f t="shared" si="169"/>
        <v>#DIV/0!</v>
      </c>
      <c r="Y2126" s="62"/>
    </row>
    <row r="2127" spans="8:25" x14ac:dyDescent="0.2">
      <c r="H2127" s="61"/>
      <c r="I2127" s="61"/>
      <c r="J2127" s="47" t="e">
        <f t="shared" si="165"/>
        <v>#DIV/0!</v>
      </c>
      <c r="K2127" s="47" t="e">
        <f t="shared" si="166"/>
        <v>#DIV/0!</v>
      </c>
      <c r="O2127" s="17" t="e">
        <f t="shared" si="167"/>
        <v>#DIV/0!</v>
      </c>
      <c r="P2127" s="17" t="e">
        <f t="shared" si="168"/>
        <v>#DIV/0!</v>
      </c>
      <c r="Q2127" s="17"/>
      <c r="V2127" s="45" t="e">
        <f t="shared" si="169"/>
        <v>#DIV/0!</v>
      </c>
      <c r="Y2127" s="62"/>
    </row>
    <row r="2128" spans="8:25" x14ac:dyDescent="0.2">
      <c r="H2128" s="61"/>
      <c r="I2128" s="61"/>
      <c r="J2128" s="47" t="e">
        <f t="shared" si="165"/>
        <v>#DIV/0!</v>
      </c>
      <c r="K2128" s="47" t="e">
        <f t="shared" si="166"/>
        <v>#DIV/0!</v>
      </c>
      <c r="O2128" s="17" t="e">
        <f t="shared" si="167"/>
        <v>#DIV/0!</v>
      </c>
      <c r="P2128" s="17" t="e">
        <f t="shared" si="168"/>
        <v>#DIV/0!</v>
      </c>
      <c r="Q2128" s="17"/>
      <c r="V2128" s="45" t="e">
        <f t="shared" si="169"/>
        <v>#DIV/0!</v>
      </c>
      <c r="Y2128" s="62"/>
    </row>
    <row r="2129" spans="8:25" x14ac:dyDescent="0.2">
      <c r="H2129" s="61"/>
      <c r="I2129" s="61"/>
      <c r="J2129" s="47" t="e">
        <f t="shared" si="165"/>
        <v>#DIV/0!</v>
      </c>
      <c r="K2129" s="47" t="e">
        <f t="shared" si="166"/>
        <v>#DIV/0!</v>
      </c>
      <c r="O2129" s="17" t="e">
        <f t="shared" si="167"/>
        <v>#DIV/0!</v>
      </c>
      <c r="P2129" s="17" t="e">
        <f t="shared" si="168"/>
        <v>#DIV/0!</v>
      </c>
      <c r="Q2129" s="17"/>
      <c r="V2129" s="45" t="e">
        <f t="shared" si="169"/>
        <v>#DIV/0!</v>
      </c>
      <c r="Y2129" s="62"/>
    </row>
    <row r="2130" spans="8:25" x14ac:dyDescent="0.2">
      <c r="H2130" s="61"/>
      <c r="I2130" s="61"/>
      <c r="J2130" s="47" t="e">
        <f t="shared" si="165"/>
        <v>#DIV/0!</v>
      </c>
      <c r="K2130" s="47" t="e">
        <f t="shared" si="166"/>
        <v>#DIV/0!</v>
      </c>
      <c r="O2130" s="17" t="e">
        <f t="shared" si="167"/>
        <v>#DIV/0!</v>
      </c>
      <c r="P2130" s="17" t="e">
        <f t="shared" si="168"/>
        <v>#DIV/0!</v>
      </c>
      <c r="Q2130" s="17"/>
      <c r="V2130" s="45" t="e">
        <f t="shared" si="169"/>
        <v>#DIV/0!</v>
      </c>
      <c r="Y2130" s="62"/>
    </row>
    <row r="2131" spans="8:25" x14ac:dyDescent="0.2">
      <c r="H2131" s="61"/>
      <c r="I2131" s="61"/>
      <c r="J2131" s="47" t="e">
        <f t="shared" si="165"/>
        <v>#DIV/0!</v>
      </c>
      <c r="K2131" s="47" t="e">
        <f t="shared" si="166"/>
        <v>#DIV/0!</v>
      </c>
      <c r="O2131" s="17" t="e">
        <f t="shared" si="167"/>
        <v>#DIV/0!</v>
      </c>
      <c r="P2131" s="17" t="e">
        <f t="shared" si="168"/>
        <v>#DIV/0!</v>
      </c>
      <c r="Q2131" s="17"/>
      <c r="V2131" s="45" t="e">
        <f t="shared" si="169"/>
        <v>#DIV/0!</v>
      </c>
      <c r="Y2131" s="62"/>
    </row>
    <row r="2132" spans="8:25" x14ac:dyDescent="0.2">
      <c r="H2132" s="61"/>
      <c r="I2132" s="61"/>
      <c r="J2132" s="47" t="e">
        <f t="shared" si="165"/>
        <v>#DIV/0!</v>
      </c>
      <c r="K2132" s="47" t="e">
        <f t="shared" si="166"/>
        <v>#DIV/0!</v>
      </c>
      <c r="O2132" s="17" t="e">
        <f t="shared" si="167"/>
        <v>#DIV/0!</v>
      </c>
      <c r="P2132" s="17" t="e">
        <f t="shared" si="168"/>
        <v>#DIV/0!</v>
      </c>
      <c r="Q2132" s="17"/>
      <c r="V2132" s="45" t="e">
        <f t="shared" si="169"/>
        <v>#DIV/0!</v>
      </c>
      <c r="Y2132" s="62"/>
    </row>
    <row r="2133" spans="8:25" x14ac:dyDescent="0.2">
      <c r="H2133" s="61"/>
      <c r="I2133" s="61"/>
      <c r="J2133" s="47" t="e">
        <f t="shared" si="165"/>
        <v>#DIV/0!</v>
      </c>
      <c r="K2133" s="47" t="e">
        <f t="shared" si="166"/>
        <v>#DIV/0!</v>
      </c>
      <c r="O2133" s="17" t="e">
        <f t="shared" si="167"/>
        <v>#DIV/0!</v>
      </c>
      <c r="P2133" s="17" t="e">
        <f t="shared" si="168"/>
        <v>#DIV/0!</v>
      </c>
      <c r="Q2133" s="17"/>
      <c r="V2133" s="45" t="e">
        <f t="shared" si="169"/>
        <v>#DIV/0!</v>
      </c>
      <c r="Y2133" s="62"/>
    </row>
    <row r="2134" spans="8:25" x14ac:dyDescent="0.2">
      <c r="H2134" s="61"/>
      <c r="I2134" s="61"/>
      <c r="J2134" s="47" t="e">
        <f t="shared" si="165"/>
        <v>#DIV/0!</v>
      </c>
      <c r="K2134" s="47" t="e">
        <f t="shared" si="166"/>
        <v>#DIV/0!</v>
      </c>
      <c r="O2134" s="17" t="e">
        <f t="shared" si="167"/>
        <v>#DIV/0!</v>
      </c>
      <c r="P2134" s="17" t="e">
        <f t="shared" si="168"/>
        <v>#DIV/0!</v>
      </c>
      <c r="Q2134" s="17"/>
      <c r="V2134" s="45" t="e">
        <f t="shared" si="169"/>
        <v>#DIV/0!</v>
      </c>
      <c r="Y2134" s="62"/>
    </row>
    <row r="2135" spans="8:25" x14ac:dyDescent="0.2">
      <c r="H2135" s="61"/>
      <c r="I2135" s="61"/>
      <c r="J2135" s="47" t="e">
        <f t="shared" si="165"/>
        <v>#DIV/0!</v>
      </c>
      <c r="K2135" s="47" t="e">
        <f t="shared" si="166"/>
        <v>#DIV/0!</v>
      </c>
      <c r="O2135" s="17" t="e">
        <f t="shared" si="167"/>
        <v>#DIV/0!</v>
      </c>
      <c r="P2135" s="17" t="e">
        <f t="shared" si="168"/>
        <v>#DIV/0!</v>
      </c>
      <c r="Q2135" s="17"/>
      <c r="V2135" s="45" t="e">
        <f t="shared" si="169"/>
        <v>#DIV/0!</v>
      </c>
      <c r="Y2135" s="62"/>
    </row>
    <row r="2136" spans="8:25" x14ac:dyDescent="0.2">
      <c r="H2136" s="61"/>
      <c r="I2136" s="61"/>
      <c r="J2136" s="47" t="e">
        <f t="shared" si="165"/>
        <v>#DIV/0!</v>
      </c>
      <c r="K2136" s="47" t="e">
        <f t="shared" si="166"/>
        <v>#DIV/0!</v>
      </c>
      <c r="O2136" s="17" t="e">
        <f t="shared" si="167"/>
        <v>#DIV/0!</v>
      </c>
      <c r="P2136" s="17" t="e">
        <f t="shared" si="168"/>
        <v>#DIV/0!</v>
      </c>
      <c r="Q2136" s="17"/>
      <c r="V2136" s="45" t="e">
        <f t="shared" si="169"/>
        <v>#DIV/0!</v>
      </c>
      <c r="Y2136" s="62"/>
    </row>
    <row r="2137" spans="8:25" x14ac:dyDescent="0.2">
      <c r="H2137" s="61"/>
      <c r="I2137" s="61"/>
      <c r="J2137" s="47" t="e">
        <f t="shared" si="165"/>
        <v>#DIV/0!</v>
      </c>
      <c r="K2137" s="47" t="e">
        <f t="shared" si="166"/>
        <v>#DIV/0!</v>
      </c>
      <c r="O2137" s="17" t="e">
        <f t="shared" si="167"/>
        <v>#DIV/0!</v>
      </c>
      <c r="P2137" s="17" t="e">
        <f t="shared" si="168"/>
        <v>#DIV/0!</v>
      </c>
      <c r="Q2137" s="17"/>
      <c r="V2137" s="45" t="e">
        <f t="shared" si="169"/>
        <v>#DIV/0!</v>
      </c>
      <c r="Y2137" s="62"/>
    </row>
    <row r="2138" spans="8:25" x14ac:dyDescent="0.2">
      <c r="H2138" s="61"/>
      <c r="I2138" s="61"/>
      <c r="J2138" s="47" t="e">
        <f t="shared" si="165"/>
        <v>#DIV/0!</v>
      </c>
      <c r="K2138" s="47" t="e">
        <f t="shared" si="166"/>
        <v>#DIV/0!</v>
      </c>
      <c r="O2138" s="17" t="e">
        <f t="shared" si="167"/>
        <v>#DIV/0!</v>
      </c>
      <c r="P2138" s="17" t="e">
        <f t="shared" si="168"/>
        <v>#DIV/0!</v>
      </c>
      <c r="Q2138" s="17"/>
      <c r="V2138" s="45" t="e">
        <f t="shared" si="169"/>
        <v>#DIV/0!</v>
      </c>
      <c r="Y2138" s="62"/>
    </row>
    <row r="2139" spans="8:25" x14ac:dyDescent="0.2">
      <c r="H2139" s="61"/>
      <c r="I2139" s="61"/>
      <c r="J2139" s="47" t="e">
        <f t="shared" si="165"/>
        <v>#DIV/0!</v>
      </c>
      <c r="K2139" s="47" t="e">
        <f t="shared" si="166"/>
        <v>#DIV/0!</v>
      </c>
      <c r="O2139" s="17" t="e">
        <f t="shared" si="167"/>
        <v>#DIV/0!</v>
      </c>
      <c r="P2139" s="17" t="e">
        <f t="shared" si="168"/>
        <v>#DIV/0!</v>
      </c>
      <c r="Q2139" s="17"/>
      <c r="V2139" s="45" t="e">
        <f t="shared" si="169"/>
        <v>#DIV/0!</v>
      </c>
      <c r="Y2139" s="62"/>
    </row>
    <row r="2140" spans="8:25" x14ac:dyDescent="0.2">
      <c r="H2140" s="61"/>
      <c r="I2140" s="61"/>
      <c r="J2140" s="47" t="e">
        <f t="shared" si="165"/>
        <v>#DIV/0!</v>
      </c>
      <c r="K2140" s="47" t="e">
        <f t="shared" si="166"/>
        <v>#DIV/0!</v>
      </c>
      <c r="O2140" s="17" t="e">
        <f t="shared" si="167"/>
        <v>#DIV/0!</v>
      </c>
      <c r="P2140" s="17" t="e">
        <f t="shared" si="168"/>
        <v>#DIV/0!</v>
      </c>
      <c r="Q2140" s="17"/>
      <c r="V2140" s="45" t="e">
        <f t="shared" si="169"/>
        <v>#DIV/0!</v>
      </c>
      <c r="Y2140" s="62"/>
    </row>
    <row r="2141" spans="8:25" x14ac:dyDescent="0.2">
      <c r="H2141" s="61"/>
      <c r="I2141" s="61"/>
      <c r="J2141" s="47" t="e">
        <f t="shared" si="165"/>
        <v>#DIV/0!</v>
      </c>
      <c r="K2141" s="47" t="e">
        <f t="shared" si="166"/>
        <v>#DIV/0!</v>
      </c>
      <c r="O2141" s="17" t="e">
        <f t="shared" si="167"/>
        <v>#DIV/0!</v>
      </c>
      <c r="P2141" s="17" t="e">
        <f t="shared" si="168"/>
        <v>#DIV/0!</v>
      </c>
      <c r="Q2141" s="17"/>
      <c r="V2141" s="45" t="e">
        <f t="shared" si="169"/>
        <v>#DIV/0!</v>
      </c>
      <c r="Y2141" s="62"/>
    </row>
    <row r="2142" spans="8:25" x14ac:dyDescent="0.2">
      <c r="H2142" s="61"/>
      <c r="I2142" s="61"/>
      <c r="J2142" s="47" t="e">
        <f t="shared" si="165"/>
        <v>#DIV/0!</v>
      </c>
      <c r="K2142" s="47" t="e">
        <f t="shared" si="166"/>
        <v>#DIV/0!</v>
      </c>
      <c r="O2142" s="17" t="e">
        <f t="shared" si="167"/>
        <v>#DIV/0!</v>
      </c>
      <c r="P2142" s="17" t="e">
        <f t="shared" si="168"/>
        <v>#DIV/0!</v>
      </c>
      <c r="Q2142" s="17"/>
      <c r="V2142" s="45" t="e">
        <f t="shared" si="169"/>
        <v>#DIV/0!</v>
      </c>
      <c r="Y2142" s="62"/>
    </row>
    <row r="2143" spans="8:25" x14ac:dyDescent="0.2">
      <c r="H2143" s="61"/>
      <c r="I2143" s="61"/>
      <c r="J2143" s="47" t="e">
        <f t="shared" si="165"/>
        <v>#DIV/0!</v>
      </c>
      <c r="K2143" s="47" t="e">
        <f t="shared" si="166"/>
        <v>#DIV/0!</v>
      </c>
      <c r="O2143" s="17" t="e">
        <f t="shared" si="167"/>
        <v>#DIV/0!</v>
      </c>
      <c r="P2143" s="17" t="e">
        <f t="shared" si="168"/>
        <v>#DIV/0!</v>
      </c>
      <c r="Q2143" s="17"/>
      <c r="V2143" s="45" t="e">
        <f t="shared" si="169"/>
        <v>#DIV/0!</v>
      </c>
      <c r="Y2143" s="62"/>
    </row>
    <row r="2144" spans="8:25" x14ac:dyDescent="0.2">
      <c r="H2144" s="61"/>
      <c r="I2144" s="61"/>
      <c r="J2144" s="47" t="e">
        <f t="shared" si="165"/>
        <v>#DIV/0!</v>
      </c>
      <c r="K2144" s="47" t="e">
        <f t="shared" si="166"/>
        <v>#DIV/0!</v>
      </c>
      <c r="O2144" s="17" t="e">
        <f t="shared" si="167"/>
        <v>#DIV/0!</v>
      </c>
      <c r="P2144" s="17" t="e">
        <f t="shared" si="168"/>
        <v>#DIV/0!</v>
      </c>
      <c r="Q2144" s="17"/>
      <c r="V2144" s="45" t="e">
        <f t="shared" si="169"/>
        <v>#DIV/0!</v>
      </c>
      <c r="Y2144" s="62"/>
    </row>
    <row r="2145" spans="8:25" x14ac:dyDescent="0.2">
      <c r="H2145" s="61"/>
      <c r="I2145" s="61"/>
      <c r="J2145" s="47" t="e">
        <f t="shared" si="165"/>
        <v>#DIV/0!</v>
      </c>
      <c r="K2145" s="47" t="e">
        <f t="shared" si="166"/>
        <v>#DIV/0!</v>
      </c>
      <c r="O2145" s="17" t="e">
        <f t="shared" si="167"/>
        <v>#DIV/0!</v>
      </c>
      <c r="P2145" s="17" t="e">
        <f t="shared" si="168"/>
        <v>#DIV/0!</v>
      </c>
      <c r="Q2145" s="17"/>
      <c r="V2145" s="45" t="e">
        <f t="shared" si="169"/>
        <v>#DIV/0!</v>
      </c>
      <c r="Y2145" s="62"/>
    </row>
    <row r="2146" spans="8:25" x14ac:dyDescent="0.2">
      <c r="H2146" s="61"/>
      <c r="I2146" s="61"/>
      <c r="J2146" s="47" t="e">
        <f t="shared" si="165"/>
        <v>#DIV/0!</v>
      </c>
      <c r="K2146" s="47" t="e">
        <f t="shared" si="166"/>
        <v>#DIV/0!</v>
      </c>
      <c r="O2146" s="17" t="e">
        <f t="shared" si="167"/>
        <v>#DIV/0!</v>
      </c>
      <c r="P2146" s="17" t="e">
        <f t="shared" si="168"/>
        <v>#DIV/0!</v>
      </c>
      <c r="Q2146" s="17"/>
      <c r="V2146" s="45" t="e">
        <f t="shared" si="169"/>
        <v>#DIV/0!</v>
      </c>
      <c r="Y2146" s="62"/>
    </row>
    <row r="2147" spans="8:25" x14ac:dyDescent="0.2">
      <c r="H2147" s="61"/>
      <c r="I2147" s="61"/>
      <c r="J2147" s="47" t="e">
        <f t="shared" si="165"/>
        <v>#DIV/0!</v>
      </c>
      <c r="K2147" s="47" t="e">
        <f t="shared" si="166"/>
        <v>#DIV/0!</v>
      </c>
      <c r="O2147" s="17" t="e">
        <f t="shared" si="167"/>
        <v>#DIV/0!</v>
      </c>
      <c r="P2147" s="17" t="e">
        <f t="shared" si="168"/>
        <v>#DIV/0!</v>
      </c>
      <c r="Q2147" s="17"/>
      <c r="V2147" s="45" t="e">
        <f t="shared" si="169"/>
        <v>#DIV/0!</v>
      </c>
      <c r="Y2147" s="62"/>
    </row>
    <row r="2148" spans="8:25" x14ac:dyDescent="0.2">
      <c r="H2148" s="61"/>
      <c r="I2148" s="61"/>
      <c r="J2148" s="47" t="e">
        <f t="shared" si="165"/>
        <v>#DIV/0!</v>
      </c>
      <c r="K2148" s="47" t="e">
        <f t="shared" si="166"/>
        <v>#DIV/0!</v>
      </c>
      <c r="O2148" s="17" t="e">
        <f t="shared" si="167"/>
        <v>#DIV/0!</v>
      </c>
      <c r="P2148" s="17" t="e">
        <f t="shared" si="168"/>
        <v>#DIV/0!</v>
      </c>
      <c r="Q2148" s="17"/>
      <c r="V2148" s="45" t="e">
        <f t="shared" si="169"/>
        <v>#DIV/0!</v>
      </c>
      <c r="Y2148" s="62"/>
    </row>
    <row r="2149" spans="8:25" x14ac:dyDescent="0.2">
      <c r="H2149" s="61"/>
      <c r="I2149" s="61"/>
      <c r="J2149" s="47" t="e">
        <f t="shared" si="165"/>
        <v>#DIV/0!</v>
      </c>
      <c r="K2149" s="47" t="e">
        <f t="shared" si="166"/>
        <v>#DIV/0!</v>
      </c>
      <c r="O2149" s="17" t="e">
        <f t="shared" si="167"/>
        <v>#DIV/0!</v>
      </c>
      <c r="P2149" s="17" t="e">
        <f t="shared" si="168"/>
        <v>#DIV/0!</v>
      </c>
      <c r="Q2149" s="17"/>
      <c r="V2149" s="45" t="e">
        <f t="shared" si="169"/>
        <v>#DIV/0!</v>
      </c>
      <c r="Y2149" s="62"/>
    </row>
    <row r="2150" spans="8:25" x14ac:dyDescent="0.2">
      <c r="H2150" s="61"/>
      <c r="I2150" s="61"/>
      <c r="J2150" s="47" t="e">
        <f t="shared" si="165"/>
        <v>#DIV/0!</v>
      </c>
      <c r="K2150" s="47" t="e">
        <f t="shared" si="166"/>
        <v>#DIV/0!</v>
      </c>
      <c r="O2150" s="17" t="e">
        <f t="shared" si="167"/>
        <v>#DIV/0!</v>
      </c>
      <c r="P2150" s="17" t="e">
        <f t="shared" si="168"/>
        <v>#DIV/0!</v>
      </c>
      <c r="Q2150" s="17"/>
      <c r="V2150" s="45" t="e">
        <f t="shared" si="169"/>
        <v>#DIV/0!</v>
      </c>
      <c r="Y2150" s="62"/>
    </row>
    <row r="2151" spans="8:25" x14ac:dyDescent="0.2">
      <c r="H2151" s="61"/>
      <c r="I2151" s="61"/>
      <c r="J2151" s="47" t="e">
        <f t="shared" si="165"/>
        <v>#DIV/0!</v>
      </c>
      <c r="K2151" s="47" t="e">
        <f t="shared" si="166"/>
        <v>#DIV/0!</v>
      </c>
      <c r="O2151" s="17" t="e">
        <f t="shared" si="167"/>
        <v>#DIV/0!</v>
      </c>
      <c r="P2151" s="17" t="e">
        <f t="shared" si="168"/>
        <v>#DIV/0!</v>
      </c>
      <c r="Q2151" s="17"/>
      <c r="V2151" s="45" t="e">
        <f t="shared" si="169"/>
        <v>#DIV/0!</v>
      </c>
      <c r="Y2151" s="62"/>
    </row>
    <row r="2152" spans="8:25" x14ac:dyDescent="0.2">
      <c r="H2152" s="61"/>
      <c r="I2152" s="61"/>
      <c r="J2152" s="47" t="e">
        <f t="shared" si="165"/>
        <v>#DIV/0!</v>
      </c>
      <c r="K2152" s="47" t="e">
        <f t="shared" si="166"/>
        <v>#DIV/0!</v>
      </c>
      <c r="O2152" s="17" t="e">
        <f t="shared" si="167"/>
        <v>#DIV/0!</v>
      </c>
      <c r="P2152" s="17" t="e">
        <f t="shared" si="168"/>
        <v>#DIV/0!</v>
      </c>
      <c r="Q2152" s="17"/>
      <c r="V2152" s="45" t="e">
        <f t="shared" si="169"/>
        <v>#DIV/0!</v>
      </c>
      <c r="Y2152" s="62"/>
    </row>
    <row r="2153" spans="8:25" x14ac:dyDescent="0.2">
      <c r="H2153" s="61"/>
      <c r="I2153" s="61"/>
      <c r="J2153" s="47" t="e">
        <f t="shared" si="165"/>
        <v>#DIV/0!</v>
      </c>
      <c r="K2153" s="47" t="e">
        <f t="shared" si="166"/>
        <v>#DIV/0!</v>
      </c>
      <c r="O2153" s="17" t="e">
        <f t="shared" si="167"/>
        <v>#DIV/0!</v>
      </c>
      <c r="P2153" s="17" t="e">
        <f t="shared" si="168"/>
        <v>#DIV/0!</v>
      </c>
      <c r="Q2153" s="17"/>
      <c r="V2153" s="45" t="e">
        <f t="shared" si="169"/>
        <v>#DIV/0!</v>
      </c>
      <c r="Y2153" s="62"/>
    </row>
    <row r="2154" spans="8:25" x14ac:dyDescent="0.2">
      <c r="H2154" s="61"/>
      <c r="I2154" s="61"/>
      <c r="J2154" s="47" t="e">
        <f t="shared" si="165"/>
        <v>#DIV/0!</v>
      </c>
      <c r="K2154" s="47" t="e">
        <f t="shared" si="166"/>
        <v>#DIV/0!</v>
      </c>
      <c r="O2154" s="17" t="e">
        <f t="shared" si="167"/>
        <v>#DIV/0!</v>
      </c>
      <c r="P2154" s="17" t="e">
        <f t="shared" si="168"/>
        <v>#DIV/0!</v>
      </c>
      <c r="Q2154" s="17"/>
      <c r="V2154" s="45" t="e">
        <f t="shared" si="169"/>
        <v>#DIV/0!</v>
      </c>
      <c r="Y2154" s="62"/>
    </row>
    <row r="2155" spans="8:25" x14ac:dyDescent="0.2">
      <c r="H2155" s="61"/>
      <c r="I2155" s="61"/>
      <c r="J2155" s="47" t="e">
        <f t="shared" si="165"/>
        <v>#DIV/0!</v>
      </c>
      <c r="K2155" s="47" t="e">
        <f t="shared" si="166"/>
        <v>#DIV/0!</v>
      </c>
      <c r="O2155" s="17" t="e">
        <f t="shared" si="167"/>
        <v>#DIV/0!</v>
      </c>
      <c r="P2155" s="17" t="e">
        <f t="shared" si="168"/>
        <v>#DIV/0!</v>
      </c>
      <c r="Q2155" s="17"/>
      <c r="V2155" s="45" t="e">
        <f t="shared" si="169"/>
        <v>#DIV/0!</v>
      </c>
      <c r="Y2155" s="62"/>
    </row>
    <row r="2156" spans="8:25" x14ac:dyDescent="0.2">
      <c r="H2156" s="61"/>
      <c r="I2156" s="61"/>
      <c r="J2156" s="47" t="e">
        <f t="shared" si="165"/>
        <v>#DIV/0!</v>
      </c>
      <c r="K2156" s="47" t="e">
        <f t="shared" si="166"/>
        <v>#DIV/0!</v>
      </c>
      <c r="O2156" s="17" t="e">
        <f t="shared" si="167"/>
        <v>#DIV/0!</v>
      </c>
      <c r="P2156" s="17" t="e">
        <f t="shared" si="168"/>
        <v>#DIV/0!</v>
      </c>
      <c r="Q2156" s="17"/>
      <c r="V2156" s="45" t="e">
        <f t="shared" si="169"/>
        <v>#DIV/0!</v>
      </c>
      <c r="Y2156" s="62"/>
    </row>
    <row r="2157" spans="8:25" x14ac:dyDescent="0.2">
      <c r="H2157" s="61"/>
      <c r="I2157" s="61"/>
      <c r="J2157" s="47" t="e">
        <f t="shared" si="165"/>
        <v>#DIV/0!</v>
      </c>
      <c r="K2157" s="47" t="e">
        <f t="shared" si="166"/>
        <v>#DIV/0!</v>
      </c>
      <c r="O2157" s="17" t="e">
        <f t="shared" si="167"/>
        <v>#DIV/0!</v>
      </c>
      <c r="P2157" s="17" t="e">
        <f t="shared" si="168"/>
        <v>#DIV/0!</v>
      </c>
      <c r="Q2157" s="17"/>
      <c r="V2157" s="45" t="e">
        <f t="shared" si="169"/>
        <v>#DIV/0!</v>
      </c>
      <c r="Y2157" s="62"/>
    </row>
    <row r="2158" spans="8:25" x14ac:dyDescent="0.2">
      <c r="H2158" s="61"/>
      <c r="I2158" s="61"/>
      <c r="J2158" s="47" t="e">
        <f t="shared" si="165"/>
        <v>#DIV/0!</v>
      </c>
      <c r="K2158" s="47" t="e">
        <f t="shared" si="166"/>
        <v>#DIV/0!</v>
      </c>
      <c r="O2158" s="17" t="e">
        <f t="shared" si="167"/>
        <v>#DIV/0!</v>
      </c>
      <c r="P2158" s="17" t="e">
        <f t="shared" si="168"/>
        <v>#DIV/0!</v>
      </c>
      <c r="Q2158" s="17"/>
      <c r="V2158" s="45" t="e">
        <f t="shared" si="169"/>
        <v>#DIV/0!</v>
      </c>
      <c r="Y2158" s="62"/>
    </row>
    <row r="2159" spans="8:25" x14ac:dyDescent="0.2">
      <c r="H2159" s="61"/>
      <c r="I2159" s="61"/>
      <c r="J2159" s="47" t="e">
        <f t="shared" si="165"/>
        <v>#DIV/0!</v>
      </c>
      <c r="K2159" s="47" t="e">
        <f t="shared" si="166"/>
        <v>#DIV/0!</v>
      </c>
      <c r="O2159" s="17" t="e">
        <f t="shared" si="167"/>
        <v>#DIV/0!</v>
      </c>
      <c r="P2159" s="17" t="e">
        <f t="shared" si="168"/>
        <v>#DIV/0!</v>
      </c>
      <c r="Q2159" s="17"/>
      <c r="V2159" s="45" t="e">
        <f t="shared" si="169"/>
        <v>#DIV/0!</v>
      </c>
      <c r="Y2159" s="62"/>
    </row>
    <row r="2160" spans="8:25" x14ac:dyDescent="0.2">
      <c r="H2160" s="61"/>
      <c r="I2160" s="61"/>
      <c r="J2160" s="47" t="e">
        <f t="shared" si="165"/>
        <v>#DIV/0!</v>
      </c>
      <c r="K2160" s="47" t="e">
        <f t="shared" si="166"/>
        <v>#DIV/0!</v>
      </c>
      <c r="O2160" s="17" t="e">
        <f t="shared" si="167"/>
        <v>#DIV/0!</v>
      </c>
      <c r="P2160" s="17" t="e">
        <f t="shared" si="168"/>
        <v>#DIV/0!</v>
      </c>
      <c r="Q2160" s="17"/>
      <c r="V2160" s="45" t="e">
        <f t="shared" si="169"/>
        <v>#DIV/0!</v>
      </c>
      <c r="Y2160" s="62"/>
    </row>
    <row r="2161" spans="8:25" x14ac:dyDescent="0.2">
      <c r="H2161" s="61"/>
      <c r="I2161" s="61"/>
      <c r="J2161" s="47" t="e">
        <f t="shared" si="165"/>
        <v>#DIV/0!</v>
      </c>
      <c r="K2161" s="47" t="e">
        <f t="shared" si="166"/>
        <v>#DIV/0!</v>
      </c>
      <c r="O2161" s="17" t="e">
        <f t="shared" si="167"/>
        <v>#DIV/0!</v>
      </c>
      <c r="P2161" s="17" t="e">
        <f t="shared" si="168"/>
        <v>#DIV/0!</v>
      </c>
      <c r="Q2161" s="17"/>
      <c r="V2161" s="45" t="e">
        <f t="shared" si="169"/>
        <v>#DIV/0!</v>
      </c>
      <c r="Y2161" s="62"/>
    </row>
    <row r="2162" spans="8:25" x14ac:dyDescent="0.2">
      <c r="H2162" s="61"/>
      <c r="I2162" s="61"/>
      <c r="J2162" s="47" t="e">
        <f t="shared" si="165"/>
        <v>#DIV/0!</v>
      </c>
      <c r="K2162" s="47" t="e">
        <f t="shared" si="166"/>
        <v>#DIV/0!</v>
      </c>
      <c r="O2162" s="17" t="e">
        <f t="shared" si="167"/>
        <v>#DIV/0!</v>
      </c>
      <c r="P2162" s="17" t="e">
        <f t="shared" si="168"/>
        <v>#DIV/0!</v>
      </c>
      <c r="Q2162" s="17"/>
      <c r="V2162" s="45" t="e">
        <f t="shared" si="169"/>
        <v>#DIV/0!</v>
      </c>
      <c r="Y2162" s="62"/>
    </row>
    <row r="2163" spans="8:25" x14ac:dyDescent="0.2">
      <c r="H2163" s="61"/>
      <c r="I2163" s="61"/>
      <c r="J2163" s="47" t="e">
        <f t="shared" si="165"/>
        <v>#DIV/0!</v>
      </c>
      <c r="K2163" s="47" t="e">
        <f t="shared" si="166"/>
        <v>#DIV/0!</v>
      </c>
      <c r="O2163" s="17" t="e">
        <f t="shared" si="167"/>
        <v>#DIV/0!</v>
      </c>
      <c r="P2163" s="17" t="e">
        <f t="shared" si="168"/>
        <v>#DIV/0!</v>
      </c>
      <c r="Q2163" s="17"/>
      <c r="V2163" s="45" t="e">
        <f t="shared" si="169"/>
        <v>#DIV/0!</v>
      </c>
      <c r="Y2163" s="62"/>
    </row>
    <row r="2164" spans="8:25" x14ac:dyDescent="0.2">
      <c r="H2164" s="61"/>
      <c r="I2164" s="61"/>
      <c r="J2164" s="47" t="e">
        <f t="shared" si="165"/>
        <v>#DIV/0!</v>
      </c>
      <c r="K2164" s="47" t="e">
        <f t="shared" si="166"/>
        <v>#DIV/0!</v>
      </c>
      <c r="O2164" s="17" t="e">
        <f t="shared" si="167"/>
        <v>#DIV/0!</v>
      </c>
      <c r="P2164" s="17" t="e">
        <f t="shared" si="168"/>
        <v>#DIV/0!</v>
      </c>
      <c r="Q2164" s="17"/>
      <c r="V2164" s="45" t="e">
        <f t="shared" si="169"/>
        <v>#DIV/0!</v>
      </c>
      <c r="Y2164" s="62"/>
    </row>
    <row r="2165" spans="8:25" x14ac:dyDescent="0.2">
      <c r="H2165" s="61"/>
      <c r="I2165" s="61"/>
      <c r="J2165" s="47" t="e">
        <f t="shared" si="165"/>
        <v>#DIV/0!</v>
      </c>
      <c r="K2165" s="47" t="e">
        <f t="shared" si="166"/>
        <v>#DIV/0!</v>
      </c>
      <c r="O2165" s="17" t="e">
        <f t="shared" si="167"/>
        <v>#DIV/0!</v>
      </c>
      <c r="P2165" s="17" t="e">
        <f t="shared" si="168"/>
        <v>#DIV/0!</v>
      </c>
      <c r="Q2165" s="17"/>
      <c r="V2165" s="45" t="e">
        <f t="shared" si="169"/>
        <v>#DIV/0!</v>
      </c>
      <c r="Y2165" s="62"/>
    </row>
    <row r="2166" spans="8:25" x14ac:dyDescent="0.2">
      <c r="H2166" s="61"/>
      <c r="I2166" s="61"/>
      <c r="J2166" s="47" t="e">
        <f t="shared" si="165"/>
        <v>#DIV/0!</v>
      </c>
      <c r="K2166" s="47" t="e">
        <f t="shared" si="166"/>
        <v>#DIV/0!</v>
      </c>
      <c r="O2166" s="17" t="e">
        <f t="shared" si="167"/>
        <v>#DIV/0!</v>
      </c>
      <c r="P2166" s="17" t="e">
        <f t="shared" si="168"/>
        <v>#DIV/0!</v>
      </c>
      <c r="Q2166" s="17"/>
      <c r="V2166" s="45" t="e">
        <f t="shared" si="169"/>
        <v>#DIV/0!</v>
      </c>
      <c r="Y2166" s="62"/>
    </row>
    <row r="2167" spans="8:25" x14ac:dyDescent="0.2">
      <c r="H2167" s="61"/>
      <c r="I2167" s="61"/>
      <c r="J2167" s="47" t="e">
        <f t="shared" si="165"/>
        <v>#DIV/0!</v>
      </c>
      <c r="K2167" s="47" t="e">
        <f t="shared" si="166"/>
        <v>#DIV/0!</v>
      </c>
      <c r="O2167" s="17" t="e">
        <f t="shared" si="167"/>
        <v>#DIV/0!</v>
      </c>
      <c r="P2167" s="17" t="e">
        <f t="shared" si="168"/>
        <v>#DIV/0!</v>
      </c>
      <c r="Q2167" s="17"/>
      <c r="V2167" s="45" t="e">
        <f t="shared" si="169"/>
        <v>#DIV/0!</v>
      </c>
      <c r="Y2167" s="62"/>
    </row>
    <row r="2168" spans="8:25" x14ac:dyDescent="0.2">
      <c r="H2168" s="61"/>
      <c r="I2168" s="61"/>
      <c r="J2168" s="47" t="e">
        <f t="shared" si="165"/>
        <v>#DIV/0!</v>
      </c>
      <c r="K2168" s="47" t="e">
        <f t="shared" si="166"/>
        <v>#DIV/0!</v>
      </c>
      <c r="O2168" s="17" t="e">
        <f t="shared" si="167"/>
        <v>#DIV/0!</v>
      </c>
      <c r="P2168" s="17" t="e">
        <f t="shared" si="168"/>
        <v>#DIV/0!</v>
      </c>
      <c r="Q2168" s="17"/>
      <c r="V2168" s="45" t="e">
        <f t="shared" si="169"/>
        <v>#DIV/0!</v>
      </c>
      <c r="Y2168" s="62"/>
    </row>
    <row r="2169" spans="8:25" x14ac:dyDescent="0.2">
      <c r="H2169" s="61"/>
      <c r="I2169" s="61"/>
      <c r="J2169" s="47" t="e">
        <f t="shared" si="165"/>
        <v>#DIV/0!</v>
      </c>
      <c r="K2169" s="47" t="e">
        <f t="shared" si="166"/>
        <v>#DIV/0!</v>
      </c>
      <c r="O2169" s="17" t="e">
        <f t="shared" si="167"/>
        <v>#DIV/0!</v>
      </c>
      <c r="P2169" s="17" t="e">
        <f t="shared" si="168"/>
        <v>#DIV/0!</v>
      </c>
      <c r="Q2169" s="17"/>
      <c r="V2169" s="45" t="e">
        <f t="shared" si="169"/>
        <v>#DIV/0!</v>
      </c>
      <c r="Y2169" s="62"/>
    </row>
    <row r="2170" spans="8:25" x14ac:dyDescent="0.2">
      <c r="H2170" s="61"/>
      <c r="I2170" s="61"/>
      <c r="J2170" s="47" t="e">
        <f t="shared" si="165"/>
        <v>#DIV/0!</v>
      </c>
      <c r="K2170" s="47" t="e">
        <f t="shared" si="166"/>
        <v>#DIV/0!</v>
      </c>
      <c r="O2170" s="17" t="e">
        <f t="shared" si="167"/>
        <v>#DIV/0!</v>
      </c>
      <c r="P2170" s="17" t="e">
        <f t="shared" si="168"/>
        <v>#DIV/0!</v>
      </c>
      <c r="Q2170" s="17"/>
      <c r="V2170" s="45" t="e">
        <f t="shared" si="169"/>
        <v>#DIV/0!</v>
      </c>
      <c r="Y2170" s="62"/>
    </row>
    <row r="2171" spans="8:25" x14ac:dyDescent="0.2">
      <c r="H2171" s="61"/>
      <c r="I2171" s="61"/>
      <c r="J2171" s="47" t="e">
        <f t="shared" si="165"/>
        <v>#DIV/0!</v>
      </c>
      <c r="K2171" s="47" t="e">
        <f t="shared" si="166"/>
        <v>#DIV/0!</v>
      </c>
      <c r="O2171" s="17" t="e">
        <f t="shared" si="167"/>
        <v>#DIV/0!</v>
      </c>
      <c r="P2171" s="17" t="e">
        <f t="shared" si="168"/>
        <v>#DIV/0!</v>
      </c>
      <c r="Q2171" s="17"/>
      <c r="V2171" s="45" t="e">
        <f t="shared" si="169"/>
        <v>#DIV/0!</v>
      </c>
      <c r="Y2171" s="62"/>
    </row>
    <row r="2172" spans="8:25" x14ac:dyDescent="0.2">
      <c r="H2172" s="61"/>
      <c r="I2172" s="61"/>
      <c r="J2172" s="47" t="e">
        <f t="shared" si="165"/>
        <v>#DIV/0!</v>
      </c>
      <c r="K2172" s="47" t="e">
        <f t="shared" si="166"/>
        <v>#DIV/0!</v>
      </c>
      <c r="O2172" s="17" t="e">
        <f t="shared" si="167"/>
        <v>#DIV/0!</v>
      </c>
      <c r="P2172" s="17" t="e">
        <f t="shared" si="168"/>
        <v>#DIV/0!</v>
      </c>
      <c r="Q2172" s="17"/>
      <c r="V2172" s="45" t="e">
        <f t="shared" si="169"/>
        <v>#DIV/0!</v>
      </c>
      <c r="Y2172" s="62"/>
    </row>
    <row r="2173" spans="8:25" x14ac:dyDescent="0.2">
      <c r="H2173" s="61"/>
      <c r="I2173" s="61"/>
      <c r="J2173" s="47" t="e">
        <f t="shared" si="165"/>
        <v>#DIV/0!</v>
      </c>
      <c r="K2173" s="47" t="e">
        <f t="shared" si="166"/>
        <v>#DIV/0!</v>
      </c>
      <c r="O2173" s="17" t="e">
        <f t="shared" si="167"/>
        <v>#DIV/0!</v>
      </c>
      <c r="P2173" s="17" t="e">
        <f t="shared" si="168"/>
        <v>#DIV/0!</v>
      </c>
      <c r="Q2173" s="17"/>
      <c r="V2173" s="45" t="e">
        <f t="shared" si="169"/>
        <v>#DIV/0!</v>
      </c>
      <c r="Y2173" s="62"/>
    </row>
    <row r="2174" spans="8:25" x14ac:dyDescent="0.2">
      <c r="H2174" s="61"/>
      <c r="I2174" s="61"/>
      <c r="J2174" s="47" t="e">
        <f t="shared" si="165"/>
        <v>#DIV/0!</v>
      </c>
      <c r="K2174" s="47" t="e">
        <f t="shared" si="166"/>
        <v>#DIV/0!</v>
      </c>
      <c r="O2174" s="17" t="e">
        <f t="shared" si="167"/>
        <v>#DIV/0!</v>
      </c>
      <c r="P2174" s="17" t="e">
        <f t="shared" si="168"/>
        <v>#DIV/0!</v>
      </c>
      <c r="Q2174" s="17"/>
      <c r="V2174" s="45" t="e">
        <f t="shared" si="169"/>
        <v>#DIV/0!</v>
      </c>
      <c r="Y2174" s="62"/>
    </row>
    <row r="2175" spans="8:25" x14ac:dyDescent="0.2">
      <c r="H2175" s="61"/>
      <c r="I2175" s="61"/>
      <c r="J2175" s="47" t="e">
        <f t="shared" si="165"/>
        <v>#DIV/0!</v>
      </c>
      <c r="K2175" s="47" t="e">
        <f t="shared" si="166"/>
        <v>#DIV/0!</v>
      </c>
      <c r="O2175" s="17" t="e">
        <f t="shared" si="167"/>
        <v>#DIV/0!</v>
      </c>
      <c r="P2175" s="17" t="e">
        <f t="shared" si="168"/>
        <v>#DIV/0!</v>
      </c>
      <c r="Q2175" s="17"/>
      <c r="V2175" s="45" t="e">
        <f t="shared" si="169"/>
        <v>#DIV/0!</v>
      </c>
      <c r="Y2175" s="62"/>
    </row>
    <row r="2176" spans="8:25" x14ac:dyDescent="0.2">
      <c r="H2176" s="61"/>
      <c r="I2176" s="61"/>
      <c r="J2176" s="47" t="e">
        <f t="shared" si="165"/>
        <v>#DIV/0!</v>
      </c>
      <c r="K2176" s="47" t="e">
        <f t="shared" si="166"/>
        <v>#DIV/0!</v>
      </c>
      <c r="O2176" s="17" t="e">
        <f t="shared" si="167"/>
        <v>#DIV/0!</v>
      </c>
      <c r="P2176" s="17" t="e">
        <f t="shared" si="168"/>
        <v>#DIV/0!</v>
      </c>
      <c r="Q2176" s="17"/>
      <c r="V2176" s="45" t="e">
        <f t="shared" si="169"/>
        <v>#DIV/0!</v>
      </c>
      <c r="Y2176" s="62"/>
    </row>
    <row r="2177" spans="8:25" x14ac:dyDescent="0.2">
      <c r="H2177" s="61"/>
      <c r="I2177" s="61"/>
      <c r="J2177" s="47" t="e">
        <f t="shared" si="165"/>
        <v>#DIV/0!</v>
      </c>
      <c r="K2177" s="47" t="e">
        <f t="shared" si="166"/>
        <v>#DIV/0!</v>
      </c>
      <c r="O2177" s="17" t="e">
        <f t="shared" si="167"/>
        <v>#DIV/0!</v>
      </c>
      <c r="P2177" s="17" t="e">
        <f t="shared" si="168"/>
        <v>#DIV/0!</v>
      </c>
      <c r="Q2177" s="17"/>
      <c r="V2177" s="45" t="e">
        <f t="shared" si="169"/>
        <v>#DIV/0!</v>
      </c>
      <c r="Y2177" s="62"/>
    </row>
    <row r="2178" spans="8:25" x14ac:dyDescent="0.2">
      <c r="H2178" s="61"/>
      <c r="I2178" s="61"/>
      <c r="J2178" s="47" t="e">
        <f t="shared" si="165"/>
        <v>#DIV/0!</v>
      </c>
      <c r="K2178" s="47" t="e">
        <f t="shared" si="166"/>
        <v>#DIV/0!</v>
      </c>
      <c r="O2178" s="17" t="e">
        <f t="shared" si="167"/>
        <v>#DIV/0!</v>
      </c>
      <c r="P2178" s="17" t="e">
        <f t="shared" si="168"/>
        <v>#DIV/0!</v>
      </c>
      <c r="Q2178" s="17"/>
      <c r="V2178" s="45" t="e">
        <f t="shared" si="169"/>
        <v>#DIV/0!</v>
      </c>
      <c r="Y2178" s="62"/>
    </row>
    <row r="2179" spans="8:25" x14ac:dyDescent="0.2">
      <c r="H2179" s="61"/>
      <c r="I2179" s="61"/>
      <c r="J2179" s="47" t="e">
        <f t="shared" ref="J2179:J2242" si="170">(H2179-G2179)/ABS(G2179)</f>
        <v>#DIV/0!</v>
      </c>
      <c r="K2179" s="47" t="e">
        <f t="shared" ref="K2179:K2242" si="171">(I2179-H2179)/ABS(H2179)</f>
        <v>#DIV/0!</v>
      </c>
      <c r="O2179" s="17" t="e">
        <f t="shared" ref="O2179:O2242" si="172">M2179/(J2179*100)</f>
        <v>#DIV/0!</v>
      </c>
      <c r="P2179" s="17" t="e">
        <f t="shared" ref="P2179:P2242" si="173">N2179/(K2179*100)</f>
        <v>#DIV/0!</v>
      </c>
      <c r="Q2179" s="17"/>
      <c r="V2179" s="45" t="e">
        <f t="shared" ref="V2179:V2242" si="174">(T2179-U2179)/U2179</f>
        <v>#DIV/0!</v>
      </c>
      <c r="Y2179" s="62"/>
    </row>
    <row r="2180" spans="8:25" x14ac:dyDescent="0.2">
      <c r="H2180" s="61"/>
      <c r="I2180" s="61"/>
      <c r="J2180" s="47" t="e">
        <f t="shared" si="170"/>
        <v>#DIV/0!</v>
      </c>
      <c r="K2180" s="47" t="e">
        <f t="shared" si="171"/>
        <v>#DIV/0!</v>
      </c>
      <c r="O2180" s="17" t="e">
        <f t="shared" si="172"/>
        <v>#DIV/0!</v>
      </c>
      <c r="P2180" s="17" t="e">
        <f t="shared" si="173"/>
        <v>#DIV/0!</v>
      </c>
      <c r="Q2180" s="17"/>
      <c r="V2180" s="45" t="e">
        <f t="shared" si="174"/>
        <v>#DIV/0!</v>
      </c>
      <c r="Y2180" s="62"/>
    </row>
    <row r="2181" spans="8:25" x14ac:dyDescent="0.2">
      <c r="H2181" s="61"/>
      <c r="I2181" s="61"/>
      <c r="J2181" s="47" t="e">
        <f t="shared" si="170"/>
        <v>#DIV/0!</v>
      </c>
      <c r="K2181" s="47" t="e">
        <f t="shared" si="171"/>
        <v>#DIV/0!</v>
      </c>
      <c r="O2181" s="17" t="e">
        <f t="shared" si="172"/>
        <v>#DIV/0!</v>
      </c>
      <c r="P2181" s="17" t="e">
        <f t="shared" si="173"/>
        <v>#DIV/0!</v>
      </c>
      <c r="Q2181" s="17"/>
      <c r="V2181" s="45" t="e">
        <f t="shared" si="174"/>
        <v>#DIV/0!</v>
      </c>
      <c r="Y2181" s="62"/>
    </row>
    <row r="2182" spans="8:25" x14ac:dyDescent="0.2">
      <c r="H2182" s="61"/>
      <c r="I2182" s="61"/>
      <c r="J2182" s="47" t="e">
        <f t="shared" si="170"/>
        <v>#DIV/0!</v>
      </c>
      <c r="K2182" s="47" t="e">
        <f t="shared" si="171"/>
        <v>#DIV/0!</v>
      </c>
      <c r="O2182" s="17" t="e">
        <f t="shared" si="172"/>
        <v>#DIV/0!</v>
      </c>
      <c r="P2182" s="17" t="e">
        <f t="shared" si="173"/>
        <v>#DIV/0!</v>
      </c>
      <c r="Q2182" s="17"/>
      <c r="V2182" s="45" t="e">
        <f t="shared" si="174"/>
        <v>#DIV/0!</v>
      </c>
      <c r="Y2182" s="62"/>
    </row>
    <row r="2183" spans="8:25" x14ac:dyDescent="0.2">
      <c r="H2183" s="61"/>
      <c r="I2183" s="61"/>
      <c r="J2183" s="47" t="e">
        <f t="shared" si="170"/>
        <v>#DIV/0!</v>
      </c>
      <c r="K2183" s="47" t="e">
        <f t="shared" si="171"/>
        <v>#DIV/0!</v>
      </c>
      <c r="O2183" s="17" t="e">
        <f t="shared" si="172"/>
        <v>#DIV/0!</v>
      </c>
      <c r="P2183" s="17" t="e">
        <f t="shared" si="173"/>
        <v>#DIV/0!</v>
      </c>
      <c r="Q2183" s="17"/>
      <c r="V2183" s="45" t="e">
        <f t="shared" si="174"/>
        <v>#DIV/0!</v>
      </c>
      <c r="Y2183" s="62"/>
    </row>
    <row r="2184" spans="8:25" x14ac:dyDescent="0.2">
      <c r="H2184" s="61"/>
      <c r="I2184" s="61"/>
      <c r="J2184" s="47" t="e">
        <f t="shared" si="170"/>
        <v>#DIV/0!</v>
      </c>
      <c r="K2184" s="47" t="e">
        <f t="shared" si="171"/>
        <v>#DIV/0!</v>
      </c>
      <c r="O2184" s="17" t="e">
        <f t="shared" si="172"/>
        <v>#DIV/0!</v>
      </c>
      <c r="P2184" s="17" t="e">
        <f t="shared" si="173"/>
        <v>#DIV/0!</v>
      </c>
      <c r="Q2184" s="17"/>
      <c r="V2184" s="45" t="e">
        <f t="shared" si="174"/>
        <v>#DIV/0!</v>
      </c>
      <c r="Y2184" s="62"/>
    </row>
    <row r="2185" spans="8:25" x14ac:dyDescent="0.2">
      <c r="H2185" s="61"/>
      <c r="I2185" s="61"/>
      <c r="J2185" s="47" t="e">
        <f t="shared" si="170"/>
        <v>#DIV/0!</v>
      </c>
      <c r="K2185" s="47" t="e">
        <f t="shared" si="171"/>
        <v>#DIV/0!</v>
      </c>
      <c r="O2185" s="17" t="e">
        <f t="shared" si="172"/>
        <v>#DIV/0!</v>
      </c>
      <c r="P2185" s="17" t="e">
        <f t="shared" si="173"/>
        <v>#DIV/0!</v>
      </c>
      <c r="Q2185" s="17"/>
      <c r="V2185" s="45" t="e">
        <f t="shared" si="174"/>
        <v>#DIV/0!</v>
      </c>
      <c r="Y2185" s="62"/>
    </row>
    <row r="2186" spans="8:25" x14ac:dyDescent="0.2">
      <c r="H2186" s="61"/>
      <c r="I2186" s="61"/>
      <c r="J2186" s="47" t="e">
        <f t="shared" si="170"/>
        <v>#DIV/0!</v>
      </c>
      <c r="K2186" s="47" t="e">
        <f t="shared" si="171"/>
        <v>#DIV/0!</v>
      </c>
      <c r="O2186" s="17" t="e">
        <f t="shared" si="172"/>
        <v>#DIV/0!</v>
      </c>
      <c r="P2186" s="17" t="e">
        <f t="shared" si="173"/>
        <v>#DIV/0!</v>
      </c>
      <c r="Q2186" s="17"/>
      <c r="V2186" s="45" t="e">
        <f t="shared" si="174"/>
        <v>#DIV/0!</v>
      </c>
      <c r="Y2186" s="62"/>
    </row>
    <row r="2187" spans="8:25" x14ac:dyDescent="0.2">
      <c r="H2187" s="61"/>
      <c r="I2187" s="61"/>
      <c r="J2187" s="47" t="e">
        <f t="shared" si="170"/>
        <v>#DIV/0!</v>
      </c>
      <c r="K2187" s="47" t="e">
        <f t="shared" si="171"/>
        <v>#DIV/0!</v>
      </c>
      <c r="O2187" s="17" t="e">
        <f t="shared" si="172"/>
        <v>#DIV/0!</v>
      </c>
      <c r="P2187" s="17" t="e">
        <f t="shared" si="173"/>
        <v>#DIV/0!</v>
      </c>
      <c r="Q2187" s="17"/>
      <c r="V2187" s="45" t="e">
        <f t="shared" si="174"/>
        <v>#DIV/0!</v>
      </c>
      <c r="Y2187" s="62"/>
    </row>
    <row r="2188" spans="8:25" x14ac:dyDescent="0.2">
      <c r="H2188" s="61"/>
      <c r="I2188" s="61"/>
      <c r="J2188" s="47" t="e">
        <f t="shared" si="170"/>
        <v>#DIV/0!</v>
      </c>
      <c r="K2188" s="47" t="e">
        <f t="shared" si="171"/>
        <v>#DIV/0!</v>
      </c>
      <c r="O2188" s="17" t="e">
        <f t="shared" si="172"/>
        <v>#DIV/0!</v>
      </c>
      <c r="P2188" s="17" t="e">
        <f t="shared" si="173"/>
        <v>#DIV/0!</v>
      </c>
      <c r="Q2188" s="17"/>
      <c r="V2188" s="45" t="e">
        <f t="shared" si="174"/>
        <v>#DIV/0!</v>
      </c>
      <c r="Y2188" s="62"/>
    </row>
    <row r="2189" spans="8:25" x14ac:dyDescent="0.2">
      <c r="H2189" s="61"/>
      <c r="I2189" s="61"/>
      <c r="J2189" s="47" t="e">
        <f t="shared" si="170"/>
        <v>#DIV/0!</v>
      </c>
      <c r="K2189" s="47" t="e">
        <f t="shared" si="171"/>
        <v>#DIV/0!</v>
      </c>
      <c r="O2189" s="17" t="e">
        <f t="shared" si="172"/>
        <v>#DIV/0!</v>
      </c>
      <c r="P2189" s="17" t="e">
        <f t="shared" si="173"/>
        <v>#DIV/0!</v>
      </c>
      <c r="Q2189" s="17"/>
      <c r="V2189" s="45" t="e">
        <f t="shared" si="174"/>
        <v>#DIV/0!</v>
      </c>
      <c r="Y2189" s="62"/>
    </row>
    <row r="2190" spans="8:25" x14ac:dyDescent="0.2">
      <c r="H2190" s="61"/>
      <c r="I2190" s="61"/>
      <c r="J2190" s="47" t="e">
        <f t="shared" si="170"/>
        <v>#DIV/0!</v>
      </c>
      <c r="K2190" s="47" t="e">
        <f t="shared" si="171"/>
        <v>#DIV/0!</v>
      </c>
      <c r="O2190" s="17" t="e">
        <f t="shared" si="172"/>
        <v>#DIV/0!</v>
      </c>
      <c r="P2190" s="17" t="e">
        <f t="shared" si="173"/>
        <v>#DIV/0!</v>
      </c>
      <c r="Q2190" s="17"/>
      <c r="V2190" s="45" t="e">
        <f t="shared" si="174"/>
        <v>#DIV/0!</v>
      </c>
      <c r="Y2190" s="62"/>
    </row>
    <row r="2191" spans="8:25" x14ac:dyDescent="0.2">
      <c r="H2191" s="61"/>
      <c r="I2191" s="61"/>
      <c r="J2191" s="47" t="e">
        <f t="shared" si="170"/>
        <v>#DIV/0!</v>
      </c>
      <c r="K2191" s="47" t="e">
        <f t="shared" si="171"/>
        <v>#DIV/0!</v>
      </c>
      <c r="O2191" s="17" t="e">
        <f t="shared" si="172"/>
        <v>#DIV/0!</v>
      </c>
      <c r="P2191" s="17" t="e">
        <f t="shared" si="173"/>
        <v>#DIV/0!</v>
      </c>
      <c r="Q2191" s="17"/>
      <c r="V2191" s="45" t="e">
        <f t="shared" si="174"/>
        <v>#DIV/0!</v>
      </c>
      <c r="Y2191" s="62"/>
    </row>
    <row r="2192" spans="8:25" x14ac:dyDescent="0.2">
      <c r="H2192" s="61"/>
      <c r="I2192" s="61"/>
      <c r="J2192" s="47" t="e">
        <f t="shared" si="170"/>
        <v>#DIV/0!</v>
      </c>
      <c r="K2192" s="47" t="e">
        <f t="shared" si="171"/>
        <v>#DIV/0!</v>
      </c>
      <c r="O2192" s="17" t="e">
        <f t="shared" si="172"/>
        <v>#DIV/0!</v>
      </c>
      <c r="P2192" s="17" t="e">
        <f t="shared" si="173"/>
        <v>#DIV/0!</v>
      </c>
      <c r="Q2192" s="17"/>
      <c r="V2192" s="45" t="e">
        <f t="shared" si="174"/>
        <v>#DIV/0!</v>
      </c>
      <c r="Y2192" s="62"/>
    </row>
    <row r="2193" spans="8:25" x14ac:dyDescent="0.2">
      <c r="H2193" s="61"/>
      <c r="I2193" s="61"/>
      <c r="J2193" s="47" t="e">
        <f t="shared" si="170"/>
        <v>#DIV/0!</v>
      </c>
      <c r="K2193" s="47" t="e">
        <f t="shared" si="171"/>
        <v>#DIV/0!</v>
      </c>
      <c r="O2193" s="17" t="e">
        <f t="shared" si="172"/>
        <v>#DIV/0!</v>
      </c>
      <c r="P2193" s="17" t="e">
        <f t="shared" si="173"/>
        <v>#DIV/0!</v>
      </c>
      <c r="Q2193" s="17"/>
      <c r="V2193" s="45" t="e">
        <f t="shared" si="174"/>
        <v>#DIV/0!</v>
      </c>
      <c r="Y2193" s="62"/>
    </row>
    <row r="2194" spans="8:25" x14ac:dyDescent="0.2">
      <c r="H2194" s="61"/>
      <c r="I2194" s="61"/>
      <c r="J2194" s="47" t="e">
        <f t="shared" si="170"/>
        <v>#DIV/0!</v>
      </c>
      <c r="K2194" s="47" t="e">
        <f t="shared" si="171"/>
        <v>#DIV/0!</v>
      </c>
      <c r="O2194" s="17" t="e">
        <f t="shared" si="172"/>
        <v>#DIV/0!</v>
      </c>
      <c r="P2194" s="17" t="e">
        <f t="shared" si="173"/>
        <v>#DIV/0!</v>
      </c>
      <c r="Q2194" s="17"/>
      <c r="V2194" s="45" t="e">
        <f t="shared" si="174"/>
        <v>#DIV/0!</v>
      </c>
      <c r="Y2194" s="62"/>
    </row>
    <row r="2195" spans="8:25" x14ac:dyDescent="0.2">
      <c r="H2195" s="61"/>
      <c r="I2195" s="61"/>
      <c r="J2195" s="47" t="e">
        <f t="shared" si="170"/>
        <v>#DIV/0!</v>
      </c>
      <c r="K2195" s="47" t="e">
        <f t="shared" si="171"/>
        <v>#DIV/0!</v>
      </c>
      <c r="O2195" s="17" t="e">
        <f t="shared" si="172"/>
        <v>#DIV/0!</v>
      </c>
      <c r="P2195" s="17" t="e">
        <f t="shared" si="173"/>
        <v>#DIV/0!</v>
      </c>
      <c r="Q2195" s="17"/>
      <c r="V2195" s="45" t="e">
        <f t="shared" si="174"/>
        <v>#DIV/0!</v>
      </c>
      <c r="Y2195" s="62"/>
    </row>
    <row r="2196" spans="8:25" x14ac:dyDescent="0.2">
      <c r="H2196" s="61"/>
      <c r="I2196" s="61"/>
      <c r="J2196" s="47" t="e">
        <f t="shared" si="170"/>
        <v>#DIV/0!</v>
      </c>
      <c r="K2196" s="47" t="e">
        <f t="shared" si="171"/>
        <v>#DIV/0!</v>
      </c>
      <c r="O2196" s="17" t="e">
        <f t="shared" si="172"/>
        <v>#DIV/0!</v>
      </c>
      <c r="P2196" s="17" t="e">
        <f t="shared" si="173"/>
        <v>#DIV/0!</v>
      </c>
      <c r="Q2196" s="17"/>
      <c r="V2196" s="45" t="e">
        <f t="shared" si="174"/>
        <v>#DIV/0!</v>
      </c>
      <c r="Y2196" s="62"/>
    </row>
    <row r="2197" spans="8:25" x14ac:dyDescent="0.2">
      <c r="H2197" s="61"/>
      <c r="I2197" s="61"/>
      <c r="J2197" s="47" t="e">
        <f t="shared" si="170"/>
        <v>#DIV/0!</v>
      </c>
      <c r="K2197" s="47" t="e">
        <f t="shared" si="171"/>
        <v>#DIV/0!</v>
      </c>
      <c r="O2197" s="17" t="e">
        <f t="shared" si="172"/>
        <v>#DIV/0!</v>
      </c>
      <c r="P2197" s="17" t="e">
        <f t="shared" si="173"/>
        <v>#DIV/0!</v>
      </c>
      <c r="Q2197" s="17"/>
      <c r="V2197" s="45" t="e">
        <f t="shared" si="174"/>
        <v>#DIV/0!</v>
      </c>
      <c r="Y2197" s="62"/>
    </row>
    <row r="2198" spans="8:25" x14ac:dyDescent="0.2">
      <c r="H2198" s="61"/>
      <c r="I2198" s="61"/>
      <c r="J2198" s="47" t="e">
        <f t="shared" si="170"/>
        <v>#DIV/0!</v>
      </c>
      <c r="K2198" s="47" t="e">
        <f t="shared" si="171"/>
        <v>#DIV/0!</v>
      </c>
      <c r="O2198" s="17" t="e">
        <f t="shared" si="172"/>
        <v>#DIV/0!</v>
      </c>
      <c r="P2198" s="17" t="e">
        <f t="shared" si="173"/>
        <v>#DIV/0!</v>
      </c>
      <c r="Q2198" s="17"/>
      <c r="V2198" s="45" t="e">
        <f t="shared" si="174"/>
        <v>#DIV/0!</v>
      </c>
      <c r="Y2198" s="62"/>
    </row>
    <row r="2199" spans="8:25" x14ac:dyDescent="0.2">
      <c r="H2199" s="61"/>
      <c r="I2199" s="61"/>
      <c r="J2199" s="47" t="e">
        <f t="shared" si="170"/>
        <v>#DIV/0!</v>
      </c>
      <c r="K2199" s="47" t="e">
        <f t="shared" si="171"/>
        <v>#DIV/0!</v>
      </c>
      <c r="O2199" s="17" t="e">
        <f t="shared" si="172"/>
        <v>#DIV/0!</v>
      </c>
      <c r="P2199" s="17" t="e">
        <f t="shared" si="173"/>
        <v>#DIV/0!</v>
      </c>
      <c r="Q2199" s="17"/>
      <c r="V2199" s="45" t="e">
        <f t="shared" si="174"/>
        <v>#DIV/0!</v>
      </c>
      <c r="Y2199" s="62"/>
    </row>
    <row r="2200" spans="8:25" x14ac:dyDescent="0.2">
      <c r="H2200" s="61"/>
      <c r="I2200" s="61"/>
      <c r="J2200" s="47" t="e">
        <f t="shared" si="170"/>
        <v>#DIV/0!</v>
      </c>
      <c r="K2200" s="47" t="e">
        <f t="shared" si="171"/>
        <v>#DIV/0!</v>
      </c>
      <c r="O2200" s="17" t="e">
        <f t="shared" si="172"/>
        <v>#DIV/0!</v>
      </c>
      <c r="P2200" s="17" t="e">
        <f t="shared" si="173"/>
        <v>#DIV/0!</v>
      </c>
      <c r="Q2200" s="17"/>
      <c r="V2200" s="45" t="e">
        <f t="shared" si="174"/>
        <v>#DIV/0!</v>
      </c>
      <c r="Y2200" s="62"/>
    </row>
    <row r="2201" spans="8:25" x14ac:dyDescent="0.2">
      <c r="H2201" s="61"/>
      <c r="I2201" s="61"/>
      <c r="J2201" s="47" t="e">
        <f t="shared" si="170"/>
        <v>#DIV/0!</v>
      </c>
      <c r="K2201" s="47" t="e">
        <f t="shared" si="171"/>
        <v>#DIV/0!</v>
      </c>
      <c r="O2201" s="17" t="e">
        <f t="shared" si="172"/>
        <v>#DIV/0!</v>
      </c>
      <c r="P2201" s="17" t="e">
        <f t="shared" si="173"/>
        <v>#DIV/0!</v>
      </c>
      <c r="Q2201" s="17"/>
      <c r="V2201" s="45" t="e">
        <f t="shared" si="174"/>
        <v>#DIV/0!</v>
      </c>
      <c r="Y2201" s="62"/>
    </row>
    <row r="2202" spans="8:25" x14ac:dyDescent="0.2">
      <c r="H2202" s="61"/>
      <c r="I2202" s="61"/>
      <c r="J2202" s="47" t="e">
        <f t="shared" si="170"/>
        <v>#DIV/0!</v>
      </c>
      <c r="K2202" s="47" t="e">
        <f t="shared" si="171"/>
        <v>#DIV/0!</v>
      </c>
      <c r="O2202" s="17" t="e">
        <f t="shared" si="172"/>
        <v>#DIV/0!</v>
      </c>
      <c r="P2202" s="17" t="e">
        <f t="shared" si="173"/>
        <v>#DIV/0!</v>
      </c>
      <c r="Q2202" s="17"/>
      <c r="V2202" s="45" t="e">
        <f t="shared" si="174"/>
        <v>#DIV/0!</v>
      </c>
      <c r="Y2202" s="62"/>
    </row>
    <row r="2203" spans="8:25" x14ac:dyDescent="0.2">
      <c r="H2203" s="61"/>
      <c r="I2203" s="61"/>
      <c r="J2203" s="47" t="e">
        <f t="shared" si="170"/>
        <v>#DIV/0!</v>
      </c>
      <c r="K2203" s="47" t="e">
        <f t="shared" si="171"/>
        <v>#DIV/0!</v>
      </c>
      <c r="O2203" s="17" t="e">
        <f t="shared" si="172"/>
        <v>#DIV/0!</v>
      </c>
      <c r="P2203" s="17" t="e">
        <f t="shared" si="173"/>
        <v>#DIV/0!</v>
      </c>
      <c r="Q2203" s="17"/>
      <c r="V2203" s="45" t="e">
        <f t="shared" si="174"/>
        <v>#DIV/0!</v>
      </c>
      <c r="Y2203" s="62"/>
    </row>
    <row r="2204" spans="8:25" x14ac:dyDescent="0.2">
      <c r="H2204" s="61"/>
      <c r="I2204" s="61"/>
      <c r="J2204" s="47" t="e">
        <f t="shared" si="170"/>
        <v>#DIV/0!</v>
      </c>
      <c r="K2204" s="47" t="e">
        <f t="shared" si="171"/>
        <v>#DIV/0!</v>
      </c>
      <c r="O2204" s="17" t="e">
        <f t="shared" si="172"/>
        <v>#DIV/0!</v>
      </c>
      <c r="P2204" s="17" t="e">
        <f t="shared" si="173"/>
        <v>#DIV/0!</v>
      </c>
      <c r="Q2204" s="17"/>
      <c r="V2204" s="45" t="e">
        <f t="shared" si="174"/>
        <v>#DIV/0!</v>
      </c>
      <c r="Y2204" s="62"/>
    </row>
    <row r="2205" spans="8:25" x14ac:dyDescent="0.2">
      <c r="H2205" s="61"/>
      <c r="I2205" s="61"/>
      <c r="J2205" s="47" t="e">
        <f t="shared" si="170"/>
        <v>#DIV/0!</v>
      </c>
      <c r="K2205" s="47" t="e">
        <f t="shared" si="171"/>
        <v>#DIV/0!</v>
      </c>
      <c r="O2205" s="17" t="e">
        <f t="shared" si="172"/>
        <v>#DIV/0!</v>
      </c>
      <c r="P2205" s="17" t="e">
        <f t="shared" si="173"/>
        <v>#DIV/0!</v>
      </c>
      <c r="Q2205" s="17"/>
      <c r="V2205" s="45" t="e">
        <f t="shared" si="174"/>
        <v>#DIV/0!</v>
      </c>
      <c r="Y2205" s="62"/>
    </row>
    <row r="2206" spans="8:25" x14ac:dyDescent="0.2">
      <c r="H2206" s="61"/>
      <c r="I2206" s="61"/>
      <c r="J2206" s="47" t="e">
        <f t="shared" si="170"/>
        <v>#DIV/0!</v>
      </c>
      <c r="K2206" s="47" t="e">
        <f t="shared" si="171"/>
        <v>#DIV/0!</v>
      </c>
      <c r="O2206" s="17" t="e">
        <f t="shared" si="172"/>
        <v>#DIV/0!</v>
      </c>
      <c r="P2206" s="17" t="e">
        <f t="shared" si="173"/>
        <v>#DIV/0!</v>
      </c>
      <c r="Q2206" s="17"/>
      <c r="V2206" s="45" t="e">
        <f t="shared" si="174"/>
        <v>#DIV/0!</v>
      </c>
      <c r="Y2206" s="62"/>
    </row>
    <row r="2207" spans="8:25" x14ac:dyDescent="0.2">
      <c r="H2207" s="61"/>
      <c r="I2207" s="61"/>
      <c r="J2207" s="47" t="e">
        <f t="shared" si="170"/>
        <v>#DIV/0!</v>
      </c>
      <c r="K2207" s="47" t="e">
        <f t="shared" si="171"/>
        <v>#DIV/0!</v>
      </c>
      <c r="O2207" s="17" t="e">
        <f t="shared" si="172"/>
        <v>#DIV/0!</v>
      </c>
      <c r="P2207" s="17" t="e">
        <f t="shared" si="173"/>
        <v>#DIV/0!</v>
      </c>
      <c r="Q2207" s="17"/>
      <c r="V2207" s="45" t="e">
        <f t="shared" si="174"/>
        <v>#DIV/0!</v>
      </c>
      <c r="Y2207" s="62"/>
    </row>
    <row r="2208" spans="8:25" x14ac:dyDescent="0.2">
      <c r="H2208" s="61"/>
      <c r="I2208" s="61"/>
      <c r="J2208" s="47" t="e">
        <f t="shared" si="170"/>
        <v>#DIV/0!</v>
      </c>
      <c r="K2208" s="47" t="e">
        <f t="shared" si="171"/>
        <v>#DIV/0!</v>
      </c>
      <c r="O2208" s="17" t="e">
        <f t="shared" si="172"/>
        <v>#DIV/0!</v>
      </c>
      <c r="P2208" s="17" t="e">
        <f t="shared" si="173"/>
        <v>#DIV/0!</v>
      </c>
      <c r="Q2208" s="17"/>
      <c r="V2208" s="45" t="e">
        <f t="shared" si="174"/>
        <v>#DIV/0!</v>
      </c>
      <c r="Y2208" s="62"/>
    </row>
    <row r="2209" spans="8:25" x14ac:dyDescent="0.2">
      <c r="H2209" s="61"/>
      <c r="I2209" s="61"/>
      <c r="J2209" s="47" t="e">
        <f t="shared" si="170"/>
        <v>#DIV/0!</v>
      </c>
      <c r="K2209" s="47" t="e">
        <f t="shared" si="171"/>
        <v>#DIV/0!</v>
      </c>
      <c r="O2209" s="17" t="e">
        <f t="shared" si="172"/>
        <v>#DIV/0!</v>
      </c>
      <c r="P2209" s="17" t="e">
        <f t="shared" si="173"/>
        <v>#DIV/0!</v>
      </c>
      <c r="Q2209" s="17"/>
      <c r="V2209" s="45" t="e">
        <f t="shared" si="174"/>
        <v>#DIV/0!</v>
      </c>
      <c r="Y2209" s="62"/>
    </row>
    <row r="2210" spans="8:25" x14ac:dyDescent="0.2">
      <c r="H2210" s="61"/>
      <c r="I2210" s="61"/>
      <c r="J2210" s="47" t="e">
        <f t="shared" si="170"/>
        <v>#DIV/0!</v>
      </c>
      <c r="K2210" s="47" t="e">
        <f t="shared" si="171"/>
        <v>#DIV/0!</v>
      </c>
      <c r="O2210" s="17" t="e">
        <f t="shared" si="172"/>
        <v>#DIV/0!</v>
      </c>
      <c r="P2210" s="17" t="e">
        <f t="shared" si="173"/>
        <v>#DIV/0!</v>
      </c>
      <c r="Q2210" s="17"/>
      <c r="V2210" s="45" t="e">
        <f t="shared" si="174"/>
        <v>#DIV/0!</v>
      </c>
      <c r="Y2210" s="62"/>
    </row>
    <row r="2211" spans="8:25" x14ac:dyDescent="0.2">
      <c r="H2211" s="61"/>
      <c r="I2211" s="61"/>
      <c r="J2211" s="47" t="e">
        <f t="shared" si="170"/>
        <v>#DIV/0!</v>
      </c>
      <c r="K2211" s="47" t="e">
        <f t="shared" si="171"/>
        <v>#DIV/0!</v>
      </c>
      <c r="O2211" s="17" t="e">
        <f t="shared" si="172"/>
        <v>#DIV/0!</v>
      </c>
      <c r="P2211" s="17" t="e">
        <f t="shared" si="173"/>
        <v>#DIV/0!</v>
      </c>
      <c r="Q2211" s="17"/>
      <c r="V2211" s="45" t="e">
        <f t="shared" si="174"/>
        <v>#DIV/0!</v>
      </c>
      <c r="Y2211" s="62"/>
    </row>
    <row r="2212" spans="8:25" x14ac:dyDescent="0.2">
      <c r="H2212" s="61"/>
      <c r="I2212" s="61"/>
      <c r="J2212" s="47" t="e">
        <f t="shared" si="170"/>
        <v>#DIV/0!</v>
      </c>
      <c r="K2212" s="47" t="e">
        <f t="shared" si="171"/>
        <v>#DIV/0!</v>
      </c>
      <c r="O2212" s="17" t="e">
        <f t="shared" si="172"/>
        <v>#DIV/0!</v>
      </c>
      <c r="P2212" s="17" t="e">
        <f t="shared" si="173"/>
        <v>#DIV/0!</v>
      </c>
      <c r="Q2212" s="17"/>
      <c r="V2212" s="45" t="e">
        <f t="shared" si="174"/>
        <v>#DIV/0!</v>
      </c>
      <c r="Y2212" s="62"/>
    </row>
    <row r="2213" spans="8:25" x14ac:dyDescent="0.2">
      <c r="H2213" s="61"/>
      <c r="I2213" s="61"/>
      <c r="J2213" s="47" t="e">
        <f t="shared" si="170"/>
        <v>#DIV/0!</v>
      </c>
      <c r="K2213" s="47" t="e">
        <f t="shared" si="171"/>
        <v>#DIV/0!</v>
      </c>
      <c r="O2213" s="17" t="e">
        <f t="shared" si="172"/>
        <v>#DIV/0!</v>
      </c>
      <c r="P2213" s="17" t="e">
        <f t="shared" si="173"/>
        <v>#DIV/0!</v>
      </c>
      <c r="Q2213" s="17"/>
      <c r="V2213" s="45" t="e">
        <f t="shared" si="174"/>
        <v>#DIV/0!</v>
      </c>
      <c r="Y2213" s="62"/>
    </row>
    <row r="2214" spans="8:25" x14ac:dyDescent="0.2">
      <c r="H2214" s="61"/>
      <c r="I2214" s="61"/>
      <c r="J2214" s="47" t="e">
        <f t="shared" si="170"/>
        <v>#DIV/0!</v>
      </c>
      <c r="K2214" s="47" t="e">
        <f t="shared" si="171"/>
        <v>#DIV/0!</v>
      </c>
      <c r="O2214" s="17" t="e">
        <f t="shared" si="172"/>
        <v>#DIV/0!</v>
      </c>
      <c r="P2214" s="17" t="e">
        <f t="shared" si="173"/>
        <v>#DIV/0!</v>
      </c>
      <c r="Q2214" s="17"/>
      <c r="V2214" s="45" t="e">
        <f t="shared" si="174"/>
        <v>#DIV/0!</v>
      </c>
      <c r="Y2214" s="62"/>
    </row>
    <row r="2215" spans="8:25" x14ac:dyDescent="0.2">
      <c r="H2215" s="61"/>
      <c r="I2215" s="61"/>
      <c r="J2215" s="47" t="e">
        <f t="shared" si="170"/>
        <v>#DIV/0!</v>
      </c>
      <c r="K2215" s="47" t="e">
        <f t="shared" si="171"/>
        <v>#DIV/0!</v>
      </c>
      <c r="O2215" s="17" t="e">
        <f t="shared" si="172"/>
        <v>#DIV/0!</v>
      </c>
      <c r="P2215" s="17" t="e">
        <f t="shared" si="173"/>
        <v>#DIV/0!</v>
      </c>
      <c r="Q2215" s="17"/>
      <c r="V2215" s="45" t="e">
        <f t="shared" si="174"/>
        <v>#DIV/0!</v>
      </c>
      <c r="Y2215" s="62"/>
    </row>
    <row r="2216" spans="8:25" x14ac:dyDescent="0.2">
      <c r="H2216" s="61"/>
      <c r="I2216" s="61"/>
      <c r="J2216" s="47" t="e">
        <f t="shared" si="170"/>
        <v>#DIV/0!</v>
      </c>
      <c r="K2216" s="47" t="e">
        <f t="shared" si="171"/>
        <v>#DIV/0!</v>
      </c>
      <c r="O2216" s="17" t="e">
        <f t="shared" si="172"/>
        <v>#DIV/0!</v>
      </c>
      <c r="P2216" s="17" t="e">
        <f t="shared" si="173"/>
        <v>#DIV/0!</v>
      </c>
      <c r="Q2216" s="17"/>
      <c r="V2216" s="45" t="e">
        <f t="shared" si="174"/>
        <v>#DIV/0!</v>
      </c>
      <c r="Y2216" s="62"/>
    </row>
    <row r="2217" spans="8:25" x14ac:dyDescent="0.2">
      <c r="H2217" s="61"/>
      <c r="I2217" s="61"/>
      <c r="J2217" s="47" t="e">
        <f t="shared" si="170"/>
        <v>#DIV/0!</v>
      </c>
      <c r="K2217" s="47" t="e">
        <f t="shared" si="171"/>
        <v>#DIV/0!</v>
      </c>
      <c r="O2217" s="17" t="e">
        <f t="shared" si="172"/>
        <v>#DIV/0!</v>
      </c>
      <c r="P2217" s="17" t="e">
        <f t="shared" si="173"/>
        <v>#DIV/0!</v>
      </c>
      <c r="Q2217" s="17"/>
      <c r="V2217" s="45" t="e">
        <f t="shared" si="174"/>
        <v>#DIV/0!</v>
      </c>
      <c r="Y2217" s="62"/>
    </row>
    <row r="2218" spans="8:25" x14ac:dyDescent="0.2">
      <c r="H2218" s="61"/>
      <c r="I2218" s="61"/>
      <c r="J2218" s="47" t="e">
        <f t="shared" si="170"/>
        <v>#DIV/0!</v>
      </c>
      <c r="K2218" s="47" t="e">
        <f t="shared" si="171"/>
        <v>#DIV/0!</v>
      </c>
      <c r="O2218" s="17" t="e">
        <f t="shared" si="172"/>
        <v>#DIV/0!</v>
      </c>
      <c r="P2218" s="17" t="e">
        <f t="shared" si="173"/>
        <v>#DIV/0!</v>
      </c>
      <c r="Q2218" s="17"/>
      <c r="V2218" s="45" t="e">
        <f t="shared" si="174"/>
        <v>#DIV/0!</v>
      </c>
      <c r="Y2218" s="62"/>
    </row>
    <row r="2219" spans="8:25" x14ac:dyDescent="0.2">
      <c r="H2219" s="61"/>
      <c r="I2219" s="61"/>
      <c r="J2219" s="47" t="e">
        <f t="shared" si="170"/>
        <v>#DIV/0!</v>
      </c>
      <c r="K2219" s="47" t="e">
        <f t="shared" si="171"/>
        <v>#DIV/0!</v>
      </c>
      <c r="O2219" s="17" t="e">
        <f t="shared" si="172"/>
        <v>#DIV/0!</v>
      </c>
      <c r="P2219" s="17" t="e">
        <f t="shared" si="173"/>
        <v>#DIV/0!</v>
      </c>
      <c r="Q2219" s="17"/>
      <c r="V2219" s="45" t="e">
        <f t="shared" si="174"/>
        <v>#DIV/0!</v>
      </c>
      <c r="Y2219" s="62"/>
    </row>
    <row r="2220" spans="8:25" x14ac:dyDescent="0.2">
      <c r="H2220" s="61"/>
      <c r="I2220" s="61"/>
      <c r="J2220" s="47" t="e">
        <f t="shared" si="170"/>
        <v>#DIV/0!</v>
      </c>
      <c r="K2220" s="47" t="e">
        <f t="shared" si="171"/>
        <v>#DIV/0!</v>
      </c>
      <c r="O2220" s="17" t="e">
        <f t="shared" si="172"/>
        <v>#DIV/0!</v>
      </c>
      <c r="P2220" s="17" t="e">
        <f t="shared" si="173"/>
        <v>#DIV/0!</v>
      </c>
      <c r="Q2220" s="17"/>
      <c r="V2220" s="45" t="e">
        <f t="shared" si="174"/>
        <v>#DIV/0!</v>
      </c>
      <c r="Y2220" s="62"/>
    </row>
    <row r="2221" spans="8:25" x14ac:dyDescent="0.2">
      <c r="H2221" s="61"/>
      <c r="I2221" s="61"/>
      <c r="J2221" s="47" t="e">
        <f t="shared" si="170"/>
        <v>#DIV/0!</v>
      </c>
      <c r="K2221" s="47" t="e">
        <f t="shared" si="171"/>
        <v>#DIV/0!</v>
      </c>
      <c r="O2221" s="17" t="e">
        <f t="shared" si="172"/>
        <v>#DIV/0!</v>
      </c>
      <c r="P2221" s="17" t="e">
        <f t="shared" si="173"/>
        <v>#DIV/0!</v>
      </c>
      <c r="Q2221" s="17"/>
      <c r="V2221" s="45" t="e">
        <f t="shared" si="174"/>
        <v>#DIV/0!</v>
      </c>
      <c r="Y2221" s="62"/>
    </row>
    <row r="2222" spans="8:25" x14ac:dyDescent="0.2">
      <c r="H2222" s="61"/>
      <c r="I2222" s="61"/>
      <c r="J2222" s="47" t="e">
        <f t="shared" si="170"/>
        <v>#DIV/0!</v>
      </c>
      <c r="K2222" s="47" t="e">
        <f t="shared" si="171"/>
        <v>#DIV/0!</v>
      </c>
      <c r="O2222" s="17" t="e">
        <f t="shared" si="172"/>
        <v>#DIV/0!</v>
      </c>
      <c r="P2222" s="17" t="e">
        <f t="shared" si="173"/>
        <v>#DIV/0!</v>
      </c>
      <c r="Q2222" s="17"/>
      <c r="V2222" s="45" t="e">
        <f t="shared" si="174"/>
        <v>#DIV/0!</v>
      </c>
      <c r="Y2222" s="62"/>
    </row>
    <row r="2223" spans="8:25" x14ac:dyDescent="0.2">
      <c r="H2223" s="61"/>
      <c r="I2223" s="61"/>
      <c r="J2223" s="47" t="e">
        <f t="shared" si="170"/>
        <v>#DIV/0!</v>
      </c>
      <c r="K2223" s="47" t="e">
        <f t="shared" si="171"/>
        <v>#DIV/0!</v>
      </c>
      <c r="O2223" s="17" t="e">
        <f t="shared" si="172"/>
        <v>#DIV/0!</v>
      </c>
      <c r="P2223" s="17" t="e">
        <f t="shared" si="173"/>
        <v>#DIV/0!</v>
      </c>
      <c r="Q2223" s="17"/>
      <c r="V2223" s="45" t="e">
        <f t="shared" si="174"/>
        <v>#DIV/0!</v>
      </c>
      <c r="Y2223" s="62"/>
    </row>
    <row r="2224" spans="8:25" x14ac:dyDescent="0.2">
      <c r="H2224" s="61"/>
      <c r="I2224" s="61"/>
      <c r="J2224" s="47" t="e">
        <f t="shared" si="170"/>
        <v>#DIV/0!</v>
      </c>
      <c r="K2224" s="47" t="e">
        <f t="shared" si="171"/>
        <v>#DIV/0!</v>
      </c>
      <c r="O2224" s="17" t="e">
        <f t="shared" si="172"/>
        <v>#DIV/0!</v>
      </c>
      <c r="P2224" s="17" t="e">
        <f t="shared" si="173"/>
        <v>#DIV/0!</v>
      </c>
      <c r="Q2224" s="17"/>
      <c r="V2224" s="45" t="e">
        <f t="shared" si="174"/>
        <v>#DIV/0!</v>
      </c>
      <c r="Y2224" s="62"/>
    </row>
    <row r="2225" spans="8:25" x14ac:dyDescent="0.2">
      <c r="H2225" s="61"/>
      <c r="I2225" s="61"/>
      <c r="J2225" s="47" t="e">
        <f t="shared" si="170"/>
        <v>#DIV/0!</v>
      </c>
      <c r="K2225" s="47" t="e">
        <f t="shared" si="171"/>
        <v>#DIV/0!</v>
      </c>
      <c r="O2225" s="17" t="e">
        <f t="shared" si="172"/>
        <v>#DIV/0!</v>
      </c>
      <c r="P2225" s="17" t="e">
        <f t="shared" si="173"/>
        <v>#DIV/0!</v>
      </c>
      <c r="Q2225" s="17"/>
      <c r="V2225" s="45" t="e">
        <f t="shared" si="174"/>
        <v>#DIV/0!</v>
      </c>
      <c r="Y2225" s="62"/>
    </row>
    <row r="2226" spans="8:25" x14ac:dyDescent="0.2">
      <c r="H2226" s="61"/>
      <c r="I2226" s="61"/>
      <c r="J2226" s="47" t="e">
        <f t="shared" si="170"/>
        <v>#DIV/0!</v>
      </c>
      <c r="K2226" s="47" t="e">
        <f t="shared" si="171"/>
        <v>#DIV/0!</v>
      </c>
      <c r="O2226" s="17" t="e">
        <f t="shared" si="172"/>
        <v>#DIV/0!</v>
      </c>
      <c r="P2226" s="17" t="e">
        <f t="shared" si="173"/>
        <v>#DIV/0!</v>
      </c>
      <c r="Q2226" s="17"/>
      <c r="V2226" s="45" t="e">
        <f t="shared" si="174"/>
        <v>#DIV/0!</v>
      </c>
      <c r="Y2226" s="62"/>
    </row>
    <row r="2227" spans="8:25" x14ac:dyDescent="0.2">
      <c r="H2227" s="61"/>
      <c r="I2227" s="61"/>
      <c r="J2227" s="47" t="e">
        <f t="shared" si="170"/>
        <v>#DIV/0!</v>
      </c>
      <c r="K2227" s="47" t="e">
        <f t="shared" si="171"/>
        <v>#DIV/0!</v>
      </c>
      <c r="O2227" s="17" t="e">
        <f t="shared" si="172"/>
        <v>#DIV/0!</v>
      </c>
      <c r="P2227" s="17" t="e">
        <f t="shared" si="173"/>
        <v>#DIV/0!</v>
      </c>
      <c r="Q2227" s="17"/>
      <c r="V2227" s="45" t="e">
        <f t="shared" si="174"/>
        <v>#DIV/0!</v>
      </c>
      <c r="Y2227" s="62"/>
    </row>
    <row r="2228" spans="8:25" x14ac:dyDescent="0.2">
      <c r="H2228" s="61"/>
      <c r="I2228" s="61"/>
      <c r="J2228" s="47" t="e">
        <f t="shared" si="170"/>
        <v>#DIV/0!</v>
      </c>
      <c r="K2228" s="47" t="e">
        <f t="shared" si="171"/>
        <v>#DIV/0!</v>
      </c>
      <c r="O2228" s="17" t="e">
        <f t="shared" si="172"/>
        <v>#DIV/0!</v>
      </c>
      <c r="P2228" s="17" t="e">
        <f t="shared" si="173"/>
        <v>#DIV/0!</v>
      </c>
      <c r="Q2228" s="17"/>
      <c r="V2228" s="45" t="e">
        <f t="shared" si="174"/>
        <v>#DIV/0!</v>
      </c>
      <c r="Y2228" s="62"/>
    </row>
    <row r="2229" spans="8:25" x14ac:dyDescent="0.2">
      <c r="H2229" s="61"/>
      <c r="I2229" s="61"/>
      <c r="J2229" s="47" t="e">
        <f t="shared" si="170"/>
        <v>#DIV/0!</v>
      </c>
      <c r="K2229" s="47" t="e">
        <f t="shared" si="171"/>
        <v>#DIV/0!</v>
      </c>
      <c r="O2229" s="17" t="e">
        <f t="shared" si="172"/>
        <v>#DIV/0!</v>
      </c>
      <c r="P2229" s="17" t="e">
        <f t="shared" si="173"/>
        <v>#DIV/0!</v>
      </c>
      <c r="Q2229" s="17"/>
      <c r="V2229" s="45" t="e">
        <f t="shared" si="174"/>
        <v>#DIV/0!</v>
      </c>
      <c r="Y2229" s="62"/>
    </row>
    <row r="2230" spans="8:25" x14ac:dyDescent="0.2">
      <c r="H2230" s="61"/>
      <c r="I2230" s="61"/>
      <c r="J2230" s="47" t="e">
        <f t="shared" si="170"/>
        <v>#DIV/0!</v>
      </c>
      <c r="K2230" s="47" t="e">
        <f t="shared" si="171"/>
        <v>#DIV/0!</v>
      </c>
      <c r="O2230" s="17" t="e">
        <f t="shared" si="172"/>
        <v>#DIV/0!</v>
      </c>
      <c r="P2230" s="17" t="e">
        <f t="shared" si="173"/>
        <v>#DIV/0!</v>
      </c>
      <c r="Q2230" s="17"/>
      <c r="V2230" s="45" t="e">
        <f t="shared" si="174"/>
        <v>#DIV/0!</v>
      </c>
      <c r="Y2230" s="62"/>
    </row>
    <row r="2231" spans="8:25" x14ac:dyDescent="0.2">
      <c r="H2231" s="61"/>
      <c r="I2231" s="61"/>
      <c r="J2231" s="47" t="e">
        <f t="shared" si="170"/>
        <v>#DIV/0!</v>
      </c>
      <c r="K2231" s="47" t="e">
        <f t="shared" si="171"/>
        <v>#DIV/0!</v>
      </c>
      <c r="O2231" s="17" t="e">
        <f t="shared" si="172"/>
        <v>#DIV/0!</v>
      </c>
      <c r="P2231" s="17" t="e">
        <f t="shared" si="173"/>
        <v>#DIV/0!</v>
      </c>
      <c r="Q2231" s="17"/>
      <c r="V2231" s="45" t="e">
        <f t="shared" si="174"/>
        <v>#DIV/0!</v>
      </c>
      <c r="Y2231" s="62"/>
    </row>
    <row r="2232" spans="8:25" x14ac:dyDescent="0.2">
      <c r="H2232" s="61"/>
      <c r="I2232" s="61"/>
      <c r="J2232" s="47" t="e">
        <f t="shared" si="170"/>
        <v>#DIV/0!</v>
      </c>
      <c r="K2232" s="47" t="e">
        <f t="shared" si="171"/>
        <v>#DIV/0!</v>
      </c>
      <c r="O2232" s="17" t="e">
        <f t="shared" si="172"/>
        <v>#DIV/0!</v>
      </c>
      <c r="P2232" s="17" t="e">
        <f t="shared" si="173"/>
        <v>#DIV/0!</v>
      </c>
      <c r="Q2232" s="17"/>
      <c r="V2232" s="45" t="e">
        <f t="shared" si="174"/>
        <v>#DIV/0!</v>
      </c>
      <c r="Y2232" s="62"/>
    </row>
    <row r="2233" spans="8:25" x14ac:dyDescent="0.2">
      <c r="H2233" s="61"/>
      <c r="I2233" s="61"/>
      <c r="J2233" s="47" t="e">
        <f t="shared" si="170"/>
        <v>#DIV/0!</v>
      </c>
      <c r="K2233" s="47" t="e">
        <f t="shared" si="171"/>
        <v>#DIV/0!</v>
      </c>
      <c r="O2233" s="17" t="e">
        <f t="shared" si="172"/>
        <v>#DIV/0!</v>
      </c>
      <c r="P2233" s="17" t="e">
        <f t="shared" si="173"/>
        <v>#DIV/0!</v>
      </c>
      <c r="Q2233" s="17"/>
      <c r="V2233" s="45" t="e">
        <f t="shared" si="174"/>
        <v>#DIV/0!</v>
      </c>
      <c r="Y2233" s="62"/>
    </row>
    <row r="2234" spans="8:25" x14ac:dyDescent="0.2">
      <c r="H2234" s="61"/>
      <c r="I2234" s="61"/>
      <c r="J2234" s="47" t="e">
        <f t="shared" si="170"/>
        <v>#DIV/0!</v>
      </c>
      <c r="K2234" s="47" t="e">
        <f t="shared" si="171"/>
        <v>#DIV/0!</v>
      </c>
      <c r="O2234" s="17" t="e">
        <f t="shared" si="172"/>
        <v>#DIV/0!</v>
      </c>
      <c r="P2234" s="17" t="e">
        <f t="shared" si="173"/>
        <v>#DIV/0!</v>
      </c>
      <c r="Q2234" s="17"/>
      <c r="V2234" s="45" t="e">
        <f t="shared" si="174"/>
        <v>#DIV/0!</v>
      </c>
      <c r="Y2234" s="62"/>
    </row>
    <row r="2235" spans="8:25" x14ac:dyDescent="0.2">
      <c r="H2235" s="61"/>
      <c r="I2235" s="61"/>
      <c r="J2235" s="47" t="e">
        <f t="shared" si="170"/>
        <v>#DIV/0!</v>
      </c>
      <c r="K2235" s="47" t="e">
        <f t="shared" si="171"/>
        <v>#DIV/0!</v>
      </c>
      <c r="O2235" s="17" t="e">
        <f t="shared" si="172"/>
        <v>#DIV/0!</v>
      </c>
      <c r="P2235" s="17" t="e">
        <f t="shared" si="173"/>
        <v>#DIV/0!</v>
      </c>
      <c r="Q2235" s="17"/>
      <c r="V2235" s="45" t="e">
        <f t="shared" si="174"/>
        <v>#DIV/0!</v>
      </c>
      <c r="Y2235" s="62"/>
    </row>
    <row r="2236" spans="8:25" x14ac:dyDescent="0.2">
      <c r="H2236" s="61"/>
      <c r="I2236" s="61"/>
      <c r="J2236" s="47" t="e">
        <f t="shared" si="170"/>
        <v>#DIV/0!</v>
      </c>
      <c r="K2236" s="47" t="e">
        <f t="shared" si="171"/>
        <v>#DIV/0!</v>
      </c>
      <c r="O2236" s="17" t="e">
        <f t="shared" si="172"/>
        <v>#DIV/0!</v>
      </c>
      <c r="P2236" s="17" t="e">
        <f t="shared" si="173"/>
        <v>#DIV/0!</v>
      </c>
      <c r="Q2236" s="17"/>
      <c r="V2236" s="45" t="e">
        <f t="shared" si="174"/>
        <v>#DIV/0!</v>
      </c>
      <c r="Y2236" s="62"/>
    </row>
    <row r="2237" spans="8:25" x14ac:dyDescent="0.2">
      <c r="H2237" s="61"/>
      <c r="I2237" s="61"/>
      <c r="J2237" s="47" t="e">
        <f t="shared" si="170"/>
        <v>#DIV/0!</v>
      </c>
      <c r="K2237" s="47" t="e">
        <f t="shared" si="171"/>
        <v>#DIV/0!</v>
      </c>
      <c r="O2237" s="17" t="e">
        <f t="shared" si="172"/>
        <v>#DIV/0!</v>
      </c>
      <c r="P2237" s="17" t="e">
        <f t="shared" si="173"/>
        <v>#DIV/0!</v>
      </c>
      <c r="Q2237" s="17"/>
      <c r="V2237" s="45" t="e">
        <f t="shared" si="174"/>
        <v>#DIV/0!</v>
      </c>
      <c r="Y2237" s="62"/>
    </row>
    <row r="2238" spans="8:25" x14ac:dyDescent="0.2">
      <c r="H2238" s="61"/>
      <c r="I2238" s="61"/>
      <c r="J2238" s="47" t="e">
        <f t="shared" si="170"/>
        <v>#DIV/0!</v>
      </c>
      <c r="K2238" s="47" t="e">
        <f t="shared" si="171"/>
        <v>#DIV/0!</v>
      </c>
      <c r="O2238" s="17" t="e">
        <f t="shared" si="172"/>
        <v>#DIV/0!</v>
      </c>
      <c r="P2238" s="17" t="e">
        <f t="shared" si="173"/>
        <v>#DIV/0!</v>
      </c>
      <c r="Q2238" s="17"/>
      <c r="V2238" s="45" t="e">
        <f t="shared" si="174"/>
        <v>#DIV/0!</v>
      </c>
      <c r="Y2238" s="62"/>
    </row>
    <row r="2239" spans="8:25" x14ac:dyDescent="0.2">
      <c r="H2239" s="61"/>
      <c r="I2239" s="61"/>
      <c r="J2239" s="47" t="e">
        <f t="shared" si="170"/>
        <v>#DIV/0!</v>
      </c>
      <c r="K2239" s="47" t="e">
        <f t="shared" si="171"/>
        <v>#DIV/0!</v>
      </c>
      <c r="O2239" s="17" t="e">
        <f t="shared" si="172"/>
        <v>#DIV/0!</v>
      </c>
      <c r="P2239" s="17" t="e">
        <f t="shared" si="173"/>
        <v>#DIV/0!</v>
      </c>
      <c r="Q2239" s="17"/>
      <c r="V2239" s="45" t="e">
        <f t="shared" si="174"/>
        <v>#DIV/0!</v>
      </c>
      <c r="Y2239" s="62"/>
    </row>
    <row r="2240" spans="8:25" x14ac:dyDescent="0.2">
      <c r="H2240" s="61"/>
      <c r="I2240" s="61"/>
      <c r="J2240" s="47" t="e">
        <f t="shared" si="170"/>
        <v>#DIV/0!</v>
      </c>
      <c r="K2240" s="47" t="e">
        <f t="shared" si="171"/>
        <v>#DIV/0!</v>
      </c>
      <c r="O2240" s="17" t="e">
        <f t="shared" si="172"/>
        <v>#DIV/0!</v>
      </c>
      <c r="P2240" s="17" t="e">
        <f t="shared" si="173"/>
        <v>#DIV/0!</v>
      </c>
      <c r="Q2240" s="17"/>
      <c r="V2240" s="45" t="e">
        <f t="shared" si="174"/>
        <v>#DIV/0!</v>
      </c>
      <c r="Y2240" s="62"/>
    </row>
    <row r="2241" spans="8:25" x14ac:dyDescent="0.2">
      <c r="H2241" s="61"/>
      <c r="I2241" s="61"/>
      <c r="J2241" s="47" t="e">
        <f t="shared" si="170"/>
        <v>#DIV/0!</v>
      </c>
      <c r="K2241" s="47" t="e">
        <f t="shared" si="171"/>
        <v>#DIV/0!</v>
      </c>
      <c r="O2241" s="17" t="e">
        <f t="shared" si="172"/>
        <v>#DIV/0!</v>
      </c>
      <c r="P2241" s="17" t="e">
        <f t="shared" si="173"/>
        <v>#DIV/0!</v>
      </c>
      <c r="Q2241" s="17"/>
      <c r="V2241" s="45" t="e">
        <f t="shared" si="174"/>
        <v>#DIV/0!</v>
      </c>
      <c r="Y2241" s="62"/>
    </row>
    <row r="2242" spans="8:25" x14ac:dyDescent="0.2">
      <c r="H2242" s="61"/>
      <c r="I2242" s="61"/>
      <c r="J2242" s="47" t="e">
        <f t="shared" si="170"/>
        <v>#DIV/0!</v>
      </c>
      <c r="K2242" s="47" t="e">
        <f t="shared" si="171"/>
        <v>#DIV/0!</v>
      </c>
      <c r="O2242" s="17" t="e">
        <f t="shared" si="172"/>
        <v>#DIV/0!</v>
      </c>
      <c r="P2242" s="17" t="e">
        <f t="shared" si="173"/>
        <v>#DIV/0!</v>
      </c>
      <c r="Q2242" s="17"/>
      <c r="V2242" s="45" t="e">
        <f t="shared" si="174"/>
        <v>#DIV/0!</v>
      </c>
      <c r="Y2242" s="62"/>
    </row>
    <row r="2243" spans="8:25" x14ac:dyDescent="0.2">
      <c r="H2243" s="61"/>
      <c r="I2243" s="61"/>
      <c r="J2243" s="47" t="e">
        <f t="shared" ref="J2243:J2306" si="175">(H2243-G2243)/ABS(G2243)</f>
        <v>#DIV/0!</v>
      </c>
      <c r="K2243" s="47" t="e">
        <f t="shared" ref="K2243:K2306" si="176">(I2243-H2243)/ABS(H2243)</f>
        <v>#DIV/0!</v>
      </c>
      <c r="O2243" s="17" t="e">
        <f t="shared" ref="O2243:O2306" si="177">M2243/(J2243*100)</f>
        <v>#DIV/0!</v>
      </c>
      <c r="P2243" s="17" t="e">
        <f t="shared" ref="P2243:P2306" si="178">N2243/(K2243*100)</f>
        <v>#DIV/0!</v>
      </c>
      <c r="Q2243" s="17"/>
      <c r="V2243" s="45" t="e">
        <f t="shared" ref="V2243:V2306" si="179">(T2243-U2243)/U2243</f>
        <v>#DIV/0!</v>
      </c>
      <c r="Y2243" s="62"/>
    </row>
    <row r="2244" spans="8:25" x14ac:dyDescent="0.2">
      <c r="H2244" s="61"/>
      <c r="I2244" s="61"/>
      <c r="J2244" s="47" t="e">
        <f t="shared" si="175"/>
        <v>#DIV/0!</v>
      </c>
      <c r="K2244" s="47" t="e">
        <f t="shared" si="176"/>
        <v>#DIV/0!</v>
      </c>
      <c r="O2244" s="17" t="e">
        <f t="shared" si="177"/>
        <v>#DIV/0!</v>
      </c>
      <c r="P2244" s="17" t="e">
        <f t="shared" si="178"/>
        <v>#DIV/0!</v>
      </c>
      <c r="Q2244" s="17"/>
      <c r="V2244" s="45" t="e">
        <f t="shared" si="179"/>
        <v>#DIV/0!</v>
      </c>
      <c r="Y2244" s="62"/>
    </row>
    <row r="2245" spans="8:25" x14ac:dyDescent="0.2">
      <c r="H2245" s="61"/>
      <c r="I2245" s="61"/>
      <c r="J2245" s="47" t="e">
        <f t="shared" si="175"/>
        <v>#DIV/0!</v>
      </c>
      <c r="K2245" s="47" t="e">
        <f t="shared" si="176"/>
        <v>#DIV/0!</v>
      </c>
      <c r="O2245" s="17" t="e">
        <f t="shared" si="177"/>
        <v>#DIV/0!</v>
      </c>
      <c r="P2245" s="17" t="e">
        <f t="shared" si="178"/>
        <v>#DIV/0!</v>
      </c>
      <c r="Q2245" s="17"/>
      <c r="V2245" s="45" t="e">
        <f t="shared" si="179"/>
        <v>#DIV/0!</v>
      </c>
      <c r="Y2245" s="62"/>
    </row>
    <row r="2246" spans="8:25" x14ac:dyDescent="0.2">
      <c r="H2246" s="61"/>
      <c r="I2246" s="61"/>
      <c r="J2246" s="47" t="e">
        <f t="shared" si="175"/>
        <v>#DIV/0!</v>
      </c>
      <c r="K2246" s="47" t="e">
        <f t="shared" si="176"/>
        <v>#DIV/0!</v>
      </c>
      <c r="O2246" s="17" t="e">
        <f t="shared" si="177"/>
        <v>#DIV/0!</v>
      </c>
      <c r="P2246" s="17" t="e">
        <f t="shared" si="178"/>
        <v>#DIV/0!</v>
      </c>
      <c r="Q2246" s="17"/>
      <c r="V2246" s="45" t="e">
        <f t="shared" si="179"/>
        <v>#DIV/0!</v>
      </c>
      <c r="Y2246" s="62"/>
    </row>
    <row r="2247" spans="8:25" x14ac:dyDescent="0.2">
      <c r="H2247" s="61"/>
      <c r="I2247" s="61"/>
      <c r="J2247" s="47" t="e">
        <f t="shared" si="175"/>
        <v>#DIV/0!</v>
      </c>
      <c r="K2247" s="47" t="e">
        <f t="shared" si="176"/>
        <v>#DIV/0!</v>
      </c>
      <c r="O2247" s="17" t="e">
        <f t="shared" si="177"/>
        <v>#DIV/0!</v>
      </c>
      <c r="P2247" s="17" t="e">
        <f t="shared" si="178"/>
        <v>#DIV/0!</v>
      </c>
      <c r="Q2247" s="17"/>
      <c r="V2247" s="45" t="e">
        <f t="shared" si="179"/>
        <v>#DIV/0!</v>
      </c>
      <c r="Y2247" s="62"/>
    </row>
    <row r="2248" spans="8:25" x14ac:dyDescent="0.2">
      <c r="H2248" s="61"/>
      <c r="I2248" s="61"/>
      <c r="J2248" s="47" t="e">
        <f t="shared" si="175"/>
        <v>#DIV/0!</v>
      </c>
      <c r="K2248" s="47" t="e">
        <f t="shared" si="176"/>
        <v>#DIV/0!</v>
      </c>
      <c r="O2248" s="17" t="e">
        <f t="shared" si="177"/>
        <v>#DIV/0!</v>
      </c>
      <c r="P2248" s="17" t="e">
        <f t="shared" si="178"/>
        <v>#DIV/0!</v>
      </c>
      <c r="Q2248" s="17"/>
      <c r="V2248" s="45" t="e">
        <f t="shared" si="179"/>
        <v>#DIV/0!</v>
      </c>
      <c r="Y2248" s="62"/>
    </row>
    <row r="2249" spans="8:25" x14ac:dyDescent="0.2">
      <c r="H2249" s="61"/>
      <c r="I2249" s="61"/>
      <c r="J2249" s="47" t="e">
        <f t="shared" si="175"/>
        <v>#DIV/0!</v>
      </c>
      <c r="K2249" s="47" t="e">
        <f t="shared" si="176"/>
        <v>#DIV/0!</v>
      </c>
      <c r="O2249" s="17" t="e">
        <f t="shared" si="177"/>
        <v>#DIV/0!</v>
      </c>
      <c r="P2249" s="17" t="e">
        <f t="shared" si="178"/>
        <v>#DIV/0!</v>
      </c>
      <c r="Q2249" s="17"/>
      <c r="V2249" s="45" t="e">
        <f t="shared" si="179"/>
        <v>#DIV/0!</v>
      </c>
      <c r="Y2249" s="62"/>
    </row>
    <row r="2250" spans="8:25" x14ac:dyDescent="0.2">
      <c r="H2250" s="61"/>
      <c r="I2250" s="61"/>
      <c r="J2250" s="47" t="e">
        <f t="shared" si="175"/>
        <v>#DIV/0!</v>
      </c>
      <c r="K2250" s="47" t="e">
        <f t="shared" si="176"/>
        <v>#DIV/0!</v>
      </c>
      <c r="O2250" s="17" t="e">
        <f t="shared" si="177"/>
        <v>#DIV/0!</v>
      </c>
      <c r="P2250" s="17" t="e">
        <f t="shared" si="178"/>
        <v>#DIV/0!</v>
      </c>
      <c r="Q2250" s="17"/>
      <c r="V2250" s="45" t="e">
        <f t="shared" si="179"/>
        <v>#DIV/0!</v>
      </c>
      <c r="Y2250" s="62"/>
    </row>
    <row r="2251" spans="8:25" x14ac:dyDescent="0.2">
      <c r="H2251" s="61"/>
      <c r="I2251" s="61"/>
      <c r="J2251" s="47" t="e">
        <f t="shared" si="175"/>
        <v>#DIV/0!</v>
      </c>
      <c r="K2251" s="47" t="e">
        <f t="shared" si="176"/>
        <v>#DIV/0!</v>
      </c>
      <c r="O2251" s="17" t="e">
        <f t="shared" si="177"/>
        <v>#DIV/0!</v>
      </c>
      <c r="P2251" s="17" t="e">
        <f t="shared" si="178"/>
        <v>#DIV/0!</v>
      </c>
      <c r="Q2251" s="17"/>
      <c r="V2251" s="45" t="e">
        <f t="shared" si="179"/>
        <v>#DIV/0!</v>
      </c>
      <c r="Y2251" s="62"/>
    </row>
    <row r="2252" spans="8:25" x14ac:dyDescent="0.2">
      <c r="H2252" s="61"/>
      <c r="I2252" s="61"/>
      <c r="J2252" s="47" t="e">
        <f t="shared" si="175"/>
        <v>#DIV/0!</v>
      </c>
      <c r="K2252" s="47" t="e">
        <f t="shared" si="176"/>
        <v>#DIV/0!</v>
      </c>
      <c r="O2252" s="17" t="e">
        <f t="shared" si="177"/>
        <v>#DIV/0!</v>
      </c>
      <c r="P2252" s="17" t="e">
        <f t="shared" si="178"/>
        <v>#DIV/0!</v>
      </c>
      <c r="Q2252" s="17"/>
      <c r="V2252" s="45" t="e">
        <f t="shared" si="179"/>
        <v>#DIV/0!</v>
      </c>
      <c r="Y2252" s="62"/>
    </row>
    <row r="2253" spans="8:25" x14ac:dyDescent="0.2">
      <c r="H2253" s="61"/>
      <c r="I2253" s="61"/>
      <c r="J2253" s="47" t="e">
        <f t="shared" si="175"/>
        <v>#DIV/0!</v>
      </c>
      <c r="K2253" s="47" t="e">
        <f t="shared" si="176"/>
        <v>#DIV/0!</v>
      </c>
      <c r="O2253" s="17" t="e">
        <f t="shared" si="177"/>
        <v>#DIV/0!</v>
      </c>
      <c r="P2253" s="17" t="e">
        <f t="shared" si="178"/>
        <v>#DIV/0!</v>
      </c>
      <c r="Q2253" s="17"/>
      <c r="V2253" s="45" t="e">
        <f t="shared" si="179"/>
        <v>#DIV/0!</v>
      </c>
      <c r="Y2253" s="62"/>
    </row>
    <row r="2254" spans="8:25" x14ac:dyDescent="0.2">
      <c r="H2254" s="61"/>
      <c r="I2254" s="61"/>
      <c r="J2254" s="47" t="e">
        <f t="shared" si="175"/>
        <v>#DIV/0!</v>
      </c>
      <c r="K2254" s="47" t="e">
        <f t="shared" si="176"/>
        <v>#DIV/0!</v>
      </c>
      <c r="O2254" s="17" t="e">
        <f t="shared" si="177"/>
        <v>#DIV/0!</v>
      </c>
      <c r="P2254" s="17" t="e">
        <f t="shared" si="178"/>
        <v>#DIV/0!</v>
      </c>
      <c r="Q2254" s="17"/>
      <c r="V2254" s="45" t="e">
        <f t="shared" si="179"/>
        <v>#DIV/0!</v>
      </c>
      <c r="Y2254" s="62"/>
    </row>
    <row r="2255" spans="8:25" x14ac:dyDescent="0.2">
      <c r="H2255" s="61"/>
      <c r="I2255" s="61"/>
      <c r="J2255" s="47" t="e">
        <f t="shared" si="175"/>
        <v>#DIV/0!</v>
      </c>
      <c r="K2255" s="47" t="e">
        <f t="shared" si="176"/>
        <v>#DIV/0!</v>
      </c>
      <c r="O2255" s="17" t="e">
        <f t="shared" si="177"/>
        <v>#DIV/0!</v>
      </c>
      <c r="P2255" s="17" t="e">
        <f t="shared" si="178"/>
        <v>#DIV/0!</v>
      </c>
      <c r="Q2255" s="17"/>
      <c r="V2255" s="45" t="e">
        <f t="shared" si="179"/>
        <v>#DIV/0!</v>
      </c>
      <c r="Y2255" s="62"/>
    </row>
    <row r="2256" spans="8:25" x14ac:dyDescent="0.2">
      <c r="H2256" s="61"/>
      <c r="I2256" s="61"/>
      <c r="J2256" s="47" t="e">
        <f t="shared" si="175"/>
        <v>#DIV/0!</v>
      </c>
      <c r="K2256" s="47" t="e">
        <f t="shared" si="176"/>
        <v>#DIV/0!</v>
      </c>
      <c r="O2256" s="17" t="e">
        <f t="shared" si="177"/>
        <v>#DIV/0!</v>
      </c>
      <c r="P2256" s="17" t="e">
        <f t="shared" si="178"/>
        <v>#DIV/0!</v>
      </c>
      <c r="Q2256" s="17"/>
      <c r="V2256" s="45" t="e">
        <f t="shared" si="179"/>
        <v>#DIV/0!</v>
      </c>
      <c r="Y2256" s="62"/>
    </row>
    <row r="2257" spans="8:25" x14ac:dyDescent="0.2">
      <c r="H2257" s="61"/>
      <c r="I2257" s="61"/>
      <c r="J2257" s="47" t="e">
        <f t="shared" si="175"/>
        <v>#DIV/0!</v>
      </c>
      <c r="K2257" s="47" t="e">
        <f t="shared" si="176"/>
        <v>#DIV/0!</v>
      </c>
      <c r="O2257" s="17" t="e">
        <f t="shared" si="177"/>
        <v>#DIV/0!</v>
      </c>
      <c r="P2257" s="17" t="e">
        <f t="shared" si="178"/>
        <v>#DIV/0!</v>
      </c>
      <c r="Q2257" s="17"/>
      <c r="V2257" s="45" t="e">
        <f t="shared" si="179"/>
        <v>#DIV/0!</v>
      </c>
      <c r="Y2257" s="62"/>
    </row>
    <row r="2258" spans="8:25" x14ac:dyDescent="0.2">
      <c r="H2258" s="61"/>
      <c r="I2258" s="61"/>
      <c r="J2258" s="47" t="e">
        <f t="shared" si="175"/>
        <v>#DIV/0!</v>
      </c>
      <c r="K2258" s="47" t="e">
        <f t="shared" si="176"/>
        <v>#DIV/0!</v>
      </c>
      <c r="O2258" s="17" t="e">
        <f t="shared" si="177"/>
        <v>#DIV/0!</v>
      </c>
      <c r="P2258" s="17" t="e">
        <f t="shared" si="178"/>
        <v>#DIV/0!</v>
      </c>
      <c r="Q2258" s="17"/>
      <c r="V2258" s="45" t="e">
        <f t="shared" si="179"/>
        <v>#DIV/0!</v>
      </c>
      <c r="Y2258" s="62"/>
    </row>
    <row r="2259" spans="8:25" x14ac:dyDescent="0.2">
      <c r="H2259" s="61"/>
      <c r="I2259" s="61"/>
      <c r="J2259" s="47" t="e">
        <f t="shared" si="175"/>
        <v>#DIV/0!</v>
      </c>
      <c r="K2259" s="47" t="e">
        <f t="shared" si="176"/>
        <v>#DIV/0!</v>
      </c>
      <c r="O2259" s="17" t="e">
        <f t="shared" si="177"/>
        <v>#DIV/0!</v>
      </c>
      <c r="P2259" s="17" t="e">
        <f t="shared" si="178"/>
        <v>#DIV/0!</v>
      </c>
      <c r="Q2259" s="17"/>
      <c r="V2259" s="45" t="e">
        <f t="shared" si="179"/>
        <v>#DIV/0!</v>
      </c>
      <c r="Y2259" s="62"/>
    </row>
    <row r="2260" spans="8:25" x14ac:dyDescent="0.2">
      <c r="H2260" s="61"/>
      <c r="I2260" s="61"/>
      <c r="J2260" s="47" t="e">
        <f t="shared" si="175"/>
        <v>#DIV/0!</v>
      </c>
      <c r="K2260" s="47" t="e">
        <f t="shared" si="176"/>
        <v>#DIV/0!</v>
      </c>
      <c r="O2260" s="17" t="e">
        <f t="shared" si="177"/>
        <v>#DIV/0!</v>
      </c>
      <c r="P2260" s="17" t="e">
        <f t="shared" si="178"/>
        <v>#DIV/0!</v>
      </c>
      <c r="Q2260" s="17"/>
      <c r="V2260" s="45" t="e">
        <f t="shared" si="179"/>
        <v>#DIV/0!</v>
      </c>
      <c r="Y2260" s="62"/>
    </row>
    <row r="2261" spans="8:25" x14ac:dyDescent="0.2">
      <c r="H2261" s="61"/>
      <c r="I2261" s="61"/>
      <c r="J2261" s="47" t="e">
        <f t="shared" si="175"/>
        <v>#DIV/0!</v>
      </c>
      <c r="K2261" s="47" t="e">
        <f t="shared" si="176"/>
        <v>#DIV/0!</v>
      </c>
      <c r="O2261" s="17" t="e">
        <f t="shared" si="177"/>
        <v>#DIV/0!</v>
      </c>
      <c r="P2261" s="17" t="e">
        <f t="shared" si="178"/>
        <v>#DIV/0!</v>
      </c>
      <c r="Q2261" s="17"/>
      <c r="V2261" s="45" t="e">
        <f t="shared" si="179"/>
        <v>#DIV/0!</v>
      </c>
      <c r="Y2261" s="62"/>
    </row>
    <row r="2262" spans="8:25" x14ac:dyDescent="0.2">
      <c r="H2262" s="61"/>
      <c r="I2262" s="61"/>
      <c r="J2262" s="47" t="e">
        <f t="shared" si="175"/>
        <v>#DIV/0!</v>
      </c>
      <c r="K2262" s="47" t="e">
        <f t="shared" si="176"/>
        <v>#DIV/0!</v>
      </c>
      <c r="O2262" s="17" t="e">
        <f t="shared" si="177"/>
        <v>#DIV/0!</v>
      </c>
      <c r="P2262" s="17" t="e">
        <f t="shared" si="178"/>
        <v>#DIV/0!</v>
      </c>
      <c r="Q2262" s="17"/>
      <c r="V2262" s="45" t="e">
        <f t="shared" si="179"/>
        <v>#DIV/0!</v>
      </c>
      <c r="Y2262" s="62"/>
    </row>
    <row r="2263" spans="8:25" x14ac:dyDescent="0.2">
      <c r="H2263" s="61"/>
      <c r="I2263" s="61"/>
      <c r="J2263" s="47" t="e">
        <f t="shared" si="175"/>
        <v>#DIV/0!</v>
      </c>
      <c r="K2263" s="47" t="e">
        <f t="shared" si="176"/>
        <v>#DIV/0!</v>
      </c>
      <c r="O2263" s="17" t="e">
        <f t="shared" si="177"/>
        <v>#DIV/0!</v>
      </c>
      <c r="P2263" s="17" t="e">
        <f t="shared" si="178"/>
        <v>#DIV/0!</v>
      </c>
      <c r="Q2263" s="17"/>
      <c r="V2263" s="45" t="e">
        <f t="shared" si="179"/>
        <v>#DIV/0!</v>
      </c>
      <c r="Y2263" s="62"/>
    </row>
    <row r="2264" spans="8:25" x14ac:dyDescent="0.2">
      <c r="H2264" s="61"/>
      <c r="I2264" s="61"/>
      <c r="J2264" s="47" t="e">
        <f t="shared" si="175"/>
        <v>#DIV/0!</v>
      </c>
      <c r="K2264" s="47" t="e">
        <f t="shared" si="176"/>
        <v>#DIV/0!</v>
      </c>
      <c r="O2264" s="17" t="e">
        <f t="shared" si="177"/>
        <v>#DIV/0!</v>
      </c>
      <c r="P2264" s="17" t="e">
        <f t="shared" si="178"/>
        <v>#DIV/0!</v>
      </c>
      <c r="Q2264" s="17"/>
      <c r="V2264" s="45" t="e">
        <f t="shared" si="179"/>
        <v>#DIV/0!</v>
      </c>
      <c r="Y2264" s="62"/>
    </row>
    <row r="2265" spans="8:25" x14ac:dyDescent="0.2">
      <c r="H2265" s="61"/>
      <c r="I2265" s="61"/>
      <c r="J2265" s="47" t="e">
        <f t="shared" si="175"/>
        <v>#DIV/0!</v>
      </c>
      <c r="K2265" s="47" t="e">
        <f t="shared" si="176"/>
        <v>#DIV/0!</v>
      </c>
      <c r="O2265" s="17" t="e">
        <f t="shared" si="177"/>
        <v>#DIV/0!</v>
      </c>
      <c r="P2265" s="17" t="e">
        <f t="shared" si="178"/>
        <v>#DIV/0!</v>
      </c>
      <c r="Q2265" s="17"/>
      <c r="V2265" s="45" t="e">
        <f t="shared" si="179"/>
        <v>#DIV/0!</v>
      </c>
      <c r="Y2265" s="62"/>
    </row>
    <row r="2266" spans="8:25" x14ac:dyDescent="0.2">
      <c r="H2266" s="61"/>
      <c r="I2266" s="61"/>
      <c r="J2266" s="47" t="e">
        <f t="shared" si="175"/>
        <v>#DIV/0!</v>
      </c>
      <c r="K2266" s="47" t="e">
        <f t="shared" si="176"/>
        <v>#DIV/0!</v>
      </c>
      <c r="O2266" s="17" t="e">
        <f t="shared" si="177"/>
        <v>#DIV/0!</v>
      </c>
      <c r="P2266" s="17" t="e">
        <f t="shared" si="178"/>
        <v>#DIV/0!</v>
      </c>
      <c r="Q2266" s="17"/>
      <c r="V2266" s="45" t="e">
        <f t="shared" si="179"/>
        <v>#DIV/0!</v>
      </c>
      <c r="Y2266" s="62"/>
    </row>
    <row r="2267" spans="8:25" x14ac:dyDescent="0.2">
      <c r="H2267" s="61"/>
      <c r="I2267" s="61"/>
      <c r="J2267" s="47" t="e">
        <f t="shared" si="175"/>
        <v>#DIV/0!</v>
      </c>
      <c r="K2267" s="47" t="e">
        <f t="shared" si="176"/>
        <v>#DIV/0!</v>
      </c>
      <c r="O2267" s="17" t="e">
        <f t="shared" si="177"/>
        <v>#DIV/0!</v>
      </c>
      <c r="P2267" s="17" t="e">
        <f t="shared" si="178"/>
        <v>#DIV/0!</v>
      </c>
      <c r="Q2267" s="17"/>
      <c r="V2267" s="45" t="e">
        <f t="shared" si="179"/>
        <v>#DIV/0!</v>
      </c>
      <c r="Y2267" s="62"/>
    </row>
    <row r="2268" spans="8:25" x14ac:dyDescent="0.2">
      <c r="H2268" s="61"/>
      <c r="I2268" s="61"/>
      <c r="J2268" s="47" t="e">
        <f t="shared" si="175"/>
        <v>#DIV/0!</v>
      </c>
      <c r="K2268" s="47" t="e">
        <f t="shared" si="176"/>
        <v>#DIV/0!</v>
      </c>
      <c r="O2268" s="17" t="e">
        <f t="shared" si="177"/>
        <v>#DIV/0!</v>
      </c>
      <c r="P2268" s="17" t="e">
        <f t="shared" si="178"/>
        <v>#DIV/0!</v>
      </c>
      <c r="Q2268" s="17"/>
      <c r="V2268" s="45" t="e">
        <f t="shared" si="179"/>
        <v>#DIV/0!</v>
      </c>
      <c r="Y2268" s="62"/>
    </row>
    <row r="2269" spans="8:25" x14ac:dyDescent="0.2">
      <c r="H2269" s="61"/>
      <c r="I2269" s="61"/>
      <c r="J2269" s="47" t="e">
        <f t="shared" si="175"/>
        <v>#DIV/0!</v>
      </c>
      <c r="K2269" s="47" t="e">
        <f t="shared" si="176"/>
        <v>#DIV/0!</v>
      </c>
      <c r="O2269" s="17" t="e">
        <f t="shared" si="177"/>
        <v>#DIV/0!</v>
      </c>
      <c r="P2269" s="17" t="e">
        <f t="shared" si="178"/>
        <v>#DIV/0!</v>
      </c>
      <c r="Q2269" s="17"/>
      <c r="V2269" s="45" t="e">
        <f t="shared" si="179"/>
        <v>#DIV/0!</v>
      </c>
      <c r="Y2269" s="62"/>
    </row>
    <row r="2270" spans="8:25" x14ac:dyDescent="0.2">
      <c r="H2270" s="61"/>
      <c r="I2270" s="61"/>
      <c r="J2270" s="47" t="e">
        <f t="shared" si="175"/>
        <v>#DIV/0!</v>
      </c>
      <c r="K2270" s="47" t="e">
        <f t="shared" si="176"/>
        <v>#DIV/0!</v>
      </c>
      <c r="O2270" s="17" t="e">
        <f t="shared" si="177"/>
        <v>#DIV/0!</v>
      </c>
      <c r="P2270" s="17" t="e">
        <f t="shared" si="178"/>
        <v>#DIV/0!</v>
      </c>
      <c r="Q2270" s="17"/>
      <c r="V2270" s="45" t="e">
        <f t="shared" si="179"/>
        <v>#DIV/0!</v>
      </c>
      <c r="Y2270" s="62"/>
    </row>
    <row r="2271" spans="8:25" x14ac:dyDescent="0.2">
      <c r="H2271" s="61"/>
      <c r="I2271" s="61"/>
      <c r="J2271" s="47" t="e">
        <f t="shared" si="175"/>
        <v>#DIV/0!</v>
      </c>
      <c r="K2271" s="47" t="e">
        <f t="shared" si="176"/>
        <v>#DIV/0!</v>
      </c>
      <c r="O2271" s="17" t="e">
        <f t="shared" si="177"/>
        <v>#DIV/0!</v>
      </c>
      <c r="P2271" s="17" t="e">
        <f t="shared" si="178"/>
        <v>#DIV/0!</v>
      </c>
      <c r="Q2271" s="17"/>
      <c r="V2271" s="45" t="e">
        <f t="shared" si="179"/>
        <v>#DIV/0!</v>
      </c>
      <c r="Y2271" s="62"/>
    </row>
    <row r="2272" spans="8:25" x14ac:dyDescent="0.2">
      <c r="H2272" s="61"/>
      <c r="I2272" s="61"/>
      <c r="J2272" s="47" t="e">
        <f t="shared" si="175"/>
        <v>#DIV/0!</v>
      </c>
      <c r="K2272" s="47" t="e">
        <f t="shared" si="176"/>
        <v>#DIV/0!</v>
      </c>
      <c r="O2272" s="17" t="e">
        <f t="shared" si="177"/>
        <v>#DIV/0!</v>
      </c>
      <c r="P2272" s="17" t="e">
        <f t="shared" si="178"/>
        <v>#DIV/0!</v>
      </c>
      <c r="Q2272" s="17"/>
      <c r="V2272" s="45" t="e">
        <f t="shared" si="179"/>
        <v>#DIV/0!</v>
      </c>
      <c r="Y2272" s="62"/>
    </row>
    <row r="2273" spans="8:25" x14ac:dyDescent="0.2">
      <c r="H2273" s="61"/>
      <c r="I2273" s="61"/>
      <c r="J2273" s="47" t="e">
        <f t="shared" si="175"/>
        <v>#DIV/0!</v>
      </c>
      <c r="K2273" s="47" t="e">
        <f t="shared" si="176"/>
        <v>#DIV/0!</v>
      </c>
      <c r="O2273" s="17" t="e">
        <f t="shared" si="177"/>
        <v>#DIV/0!</v>
      </c>
      <c r="P2273" s="17" t="e">
        <f t="shared" si="178"/>
        <v>#DIV/0!</v>
      </c>
      <c r="Q2273" s="17"/>
      <c r="V2273" s="45" t="e">
        <f t="shared" si="179"/>
        <v>#DIV/0!</v>
      </c>
      <c r="Y2273" s="62"/>
    </row>
    <row r="2274" spans="8:25" x14ac:dyDescent="0.2">
      <c r="H2274" s="61"/>
      <c r="I2274" s="61"/>
      <c r="J2274" s="47" t="e">
        <f t="shared" si="175"/>
        <v>#DIV/0!</v>
      </c>
      <c r="K2274" s="47" t="e">
        <f t="shared" si="176"/>
        <v>#DIV/0!</v>
      </c>
      <c r="O2274" s="17" t="e">
        <f t="shared" si="177"/>
        <v>#DIV/0!</v>
      </c>
      <c r="P2274" s="17" t="e">
        <f t="shared" si="178"/>
        <v>#DIV/0!</v>
      </c>
      <c r="Q2274" s="17"/>
      <c r="V2274" s="45" t="e">
        <f t="shared" si="179"/>
        <v>#DIV/0!</v>
      </c>
      <c r="Y2274" s="62"/>
    </row>
    <row r="2275" spans="8:25" x14ac:dyDescent="0.2">
      <c r="H2275" s="61"/>
      <c r="I2275" s="61"/>
      <c r="J2275" s="47" t="e">
        <f t="shared" si="175"/>
        <v>#DIV/0!</v>
      </c>
      <c r="K2275" s="47" t="e">
        <f t="shared" si="176"/>
        <v>#DIV/0!</v>
      </c>
      <c r="O2275" s="17" t="e">
        <f t="shared" si="177"/>
        <v>#DIV/0!</v>
      </c>
      <c r="P2275" s="17" t="e">
        <f t="shared" si="178"/>
        <v>#DIV/0!</v>
      </c>
      <c r="Q2275" s="17"/>
      <c r="V2275" s="45" t="e">
        <f t="shared" si="179"/>
        <v>#DIV/0!</v>
      </c>
      <c r="Y2275" s="62"/>
    </row>
    <row r="2276" spans="8:25" x14ac:dyDescent="0.2">
      <c r="H2276" s="61"/>
      <c r="I2276" s="61"/>
      <c r="J2276" s="47" t="e">
        <f t="shared" si="175"/>
        <v>#DIV/0!</v>
      </c>
      <c r="K2276" s="47" t="e">
        <f t="shared" si="176"/>
        <v>#DIV/0!</v>
      </c>
      <c r="O2276" s="17" t="e">
        <f t="shared" si="177"/>
        <v>#DIV/0!</v>
      </c>
      <c r="P2276" s="17" t="e">
        <f t="shared" si="178"/>
        <v>#DIV/0!</v>
      </c>
      <c r="Q2276" s="17"/>
      <c r="V2276" s="45" t="e">
        <f t="shared" si="179"/>
        <v>#DIV/0!</v>
      </c>
      <c r="Y2276" s="62"/>
    </row>
    <row r="2277" spans="8:25" x14ac:dyDescent="0.2">
      <c r="H2277" s="61"/>
      <c r="I2277" s="61"/>
      <c r="J2277" s="47" t="e">
        <f t="shared" si="175"/>
        <v>#DIV/0!</v>
      </c>
      <c r="K2277" s="47" t="e">
        <f t="shared" si="176"/>
        <v>#DIV/0!</v>
      </c>
      <c r="O2277" s="17" t="e">
        <f t="shared" si="177"/>
        <v>#DIV/0!</v>
      </c>
      <c r="P2277" s="17" t="e">
        <f t="shared" si="178"/>
        <v>#DIV/0!</v>
      </c>
      <c r="Q2277" s="17"/>
      <c r="V2277" s="45" t="e">
        <f t="shared" si="179"/>
        <v>#DIV/0!</v>
      </c>
      <c r="Y2277" s="62"/>
    </row>
    <row r="2278" spans="8:25" x14ac:dyDescent="0.2">
      <c r="H2278" s="61"/>
      <c r="I2278" s="61"/>
      <c r="J2278" s="47" t="e">
        <f t="shared" si="175"/>
        <v>#DIV/0!</v>
      </c>
      <c r="K2278" s="47" t="e">
        <f t="shared" si="176"/>
        <v>#DIV/0!</v>
      </c>
      <c r="O2278" s="17" t="e">
        <f t="shared" si="177"/>
        <v>#DIV/0!</v>
      </c>
      <c r="P2278" s="17" t="e">
        <f t="shared" si="178"/>
        <v>#DIV/0!</v>
      </c>
      <c r="Q2278" s="17"/>
      <c r="V2278" s="45" t="e">
        <f t="shared" si="179"/>
        <v>#DIV/0!</v>
      </c>
      <c r="Y2278" s="62"/>
    </row>
    <row r="2279" spans="8:25" x14ac:dyDescent="0.2">
      <c r="H2279" s="61"/>
      <c r="I2279" s="61"/>
      <c r="J2279" s="47" t="e">
        <f t="shared" si="175"/>
        <v>#DIV/0!</v>
      </c>
      <c r="K2279" s="47" t="e">
        <f t="shared" si="176"/>
        <v>#DIV/0!</v>
      </c>
      <c r="O2279" s="17" t="e">
        <f t="shared" si="177"/>
        <v>#DIV/0!</v>
      </c>
      <c r="P2279" s="17" t="e">
        <f t="shared" si="178"/>
        <v>#DIV/0!</v>
      </c>
      <c r="Q2279" s="17"/>
      <c r="V2279" s="45" t="e">
        <f t="shared" si="179"/>
        <v>#DIV/0!</v>
      </c>
      <c r="Y2279" s="62"/>
    </row>
    <row r="2280" spans="8:25" x14ac:dyDescent="0.2">
      <c r="H2280" s="61"/>
      <c r="I2280" s="61"/>
      <c r="J2280" s="47" t="e">
        <f t="shared" si="175"/>
        <v>#DIV/0!</v>
      </c>
      <c r="K2280" s="47" t="e">
        <f t="shared" si="176"/>
        <v>#DIV/0!</v>
      </c>
      <c r="O2280" s="17" t="e">
        <f t="shared" si="177"/>
        <v>#DIV/0!</v>
      </c>
      <c r="P2280" s="17" t="e">
        <f t="shared" si="178"/>
        <v>#DIV/0!</v>
      </c>
      <c r="Q2280" s="17"/>
      <c r="V2280" s="45" t="e">
        <f t="shared" si="179"/>
        <v>#DIV/0!</v>
      </c>
      <c r="Y2280" s="62"/>
    </row>
    <row r="2281" spans="8:25" x14ac:dyDescent="0.2">
      <c r="H2281" s="61"/>
      <c r="I2281" s="61"/>
      <c r="J2281" s="47" t="e">
        <f t="shared" si="175"/>
        <v>#DIV/0!</v>
      </c>
      <c r="K2281" s="47" t="e">
        <f t="shared" si="176"/>
        <v>#DIV/0!</v>
      </c>
      <c r="O2281" s="17" t="e">
        <f t="shared" si="177"/>
        <v>#DIV/0!</v>
      </c>
      <c r="P2281" s="17" t="e">
        <f t="shared" si="178"/>
        <v>#DIV/0!</v>
      </c>
      <c r="Q2281" s="17"/>
      <c r="V2281" s="45" t="e">
        <f t="shared" si="179"/>
        <v>#DIV/0!</v>
      </c>
      <c r="Y2281" s="62"/>
    </row>
    <row r="2282" spans="8:25" x14ac:dyDescent="0.2">
      <c r="H2282" s="61"/>
      <c r="I2282" s="61"/>
      <c r="J2282" s="47" t="e">
        <f t="shared" si="175"/>
        <v>#DIV/0!</v>
      </c>
      <c r="K2282" s="47" t="e">
        <f t="shared" si="176"/>
        <v>#DIV/0!</v>
      </c>
      <c r="O2282" s="17" t="e">
        <f t="shared" si="177"/>
        <v>#DIV/0!</v>
      </c>
      <c r="P2282" s="17" t="e">
        <f t="shared" si="178"/>
        <v>#DIV/0!</v>
      </c>
      <c r="Q2282" s="17"/>
      <c r="V2282" s="45" t="e">
        <f t="shared" si="179"/>
        <v>#DIV/0!</v>
      </c>
      <c r="Y2282" s="62"/>
    </row>
    <row r="2283" spans="8:25" x14ac:dyDescent="0.2">
      <c r="H2283" s="61"/>
      <c r="I2283" s="61"/>
      <c r="J2283" s="47" t="e">
        <f t="shared" si="175"/>
        <v>#DIV/0!</v>
      </c>
      <c r="K2283" s="47" t="e">
        <f t="shared" si="176"/>
        <v>#DIV/0!</v>
      </c>
      <c r="O2283" s="17" t="e">
        <f t="shared" si="177"/>
        <v>#DIV/0!</v>
      </c>
      <c r="P2283" s="17" t="e">
        <f t="shared" si="178"/>
        <v>#DIV/0!</v>
      </c>
      <c r="Q2283" s="17"/>
      <c r="V2283" s="45" t="e">
        <f t="shared" si="179"/>
        <v>#DIV/0!</v>
      </c>
      <c r="Y2283" s="62"/>
    </row>
    <row r="2284" spans="8:25" x14ac:dyDescent="0.2">
      <c r="H2284" s="61"/>
      <c r="I2284" s="61"/>
      <c r="J2284" s="47" t="e">
        <f t="shared" si="175"/>
        <v>#DIV/0!</v>
      </c>
      <c r="K2284" s="47" t="e">
        <f t="shared" si="176"/>
        <v>#DIV/0!</v>
      </c>
      <c r="O2284" s="17" t="e">
        <f t="shared" si="177"/>
        <v>#DIV/0!</v>
      </c>
      <c r="P2284" s="17" t="e">
        <f t="shared" si="178"/>
        <v>#DIV/0!</v>
      </c>
      <c r="Q2284" s="17"/>
      <c r="V2284" s="45" t="e">
        <f t="shared" si="179"/>
        <v>#DIV/0!</v>
      </c>
      <c r="Y2284" s="62"/>
    </row>
    <row r="2285" spans="8:25" x14ac:dyDescent="0.2">
      <c r="H2285" s="61"/>
      <c r="I2285" s="61"/>
      <c r="J2285" s="47" t="e">
        <f t="shared" si="175"/>
        <v>#DIV/0!</v>
      </c>
      <c r="K2285" s="47" t="e">
        <f t="shared" si="176"/>
        <v>#DIV/0!</v>
      </c>
      <c r="O2285" s="17" t="e">
        <f t="shared" si="177"/>
        <v>#DIV/0!</v>
      </c>
      <c r="P2285" s="17" t="e">
        <f t="shared" si="178"/>
        <v>#DIV/0!</v>
      </c>
      <c r="Q2285" s="17"/>
      <c r="V2285" s="45" t="e">
        <f t="shared" si="179"/>
        <v>#DIV/0!</v>
      </c>
      <c r="Y2285" s="62"/>
    </row>
    <row r="2286" spans="8:25" x14ac:dyDescent="0.2">
      <c r="H2286" s="61"/>
      <c r="I2286" s="61"/>
      <c r="J2286" s="47" t="e">
        <f t="shared" si="175"/>
        <v>#DIV/0!</v>
      </c>
      <c r="K2286" s="47" t="e">
        <f t="shared" si="176"/>
        <v>#DIV/0!</v>
      </c>
      <c r="O2286" s="17" t="e">
        <f t="shared" si="177"/>
        <v>#DIV/0!</v>
      </c>
      <c r="P2286" s="17" t="e">
        <f t="shared" si="178"/>
        <v>#DIV/0!</v>
      </c>
      <c r="Q2286" s="17"/>
      <c r="V2286" s="45" t="e">
        <f t="shared" si="179"/>
        <v>#DIV/0!</v>
      </c>
      <c r="Y2286" s="62"/>
    </row>
    <row r="2287" spans="8:25" x14ac:dyDescent="0.2">
      <c r="H2287" s="61"/>
      <c r="I2287" s="61"/>
      <c r="J2287" s="47" t="e">
        <f t="shared" si="175"/>
        <v>#DIV/0!</v>
      </c>
      <c r="K2287" s="47" t="e">
        <f t="shared" si="176"/>
        <v>#DIV/0!</v>
      </c>
      <c r="O2287" s="17" t="e">
        <f t="shared" si="177"/>
        <v>#DIV/0!</v>
      </c>
      <c r="P2287" s="17" t="e">
        <f t="shared" si="178"/>
        <v>#DIV/0!</v>
      </c>
      <c r="Q2287" s="17"/>
      <c r="V2287" s="45" t="e">
        <f t="shared" si="179"/>
        <v>#DIV/0!</v>
      </c>
      <c r="Y2287" s="62"/>
    </row>
    <row r="2288" spans="8:25" x14ac:dyDescent="0.2">
      <c r="H2288" s="61"/>
      <c r="I2288" s="61"/>
      <c r="J2288" s="47" t="e">
        <f t="shared" si="175"/>
        <v>#DIV/0!</v>
      </c>
      <c r="K2288" s="47" t="e">
        <f t="shared" si="176"/>
        <v>#DIV/0!</v>
      </c>
      <c r="O2288" s="17" t="e">
        <f t="shared" si="177"/>
        <v>#DIV/0!</v>
      </c>
      <c r="P2288" s="17" t="e">
        <f t="shared" si="178"/>
        <v>#DIV/0!</v>
      </c>
      <c r="Q2288" s="17"/>
      <c r="V2288" s="45" t="e">
        <f t="shared" si="179"/>
        <v>#DIV/0!</v>
      </c>
      <c r="Y2288" s="62"/>
    </row>
    <row r="2289" spans="8:25" x14ac:dyDescent="0.2">
      <c r="H2289" s="61"/>
      <c r="I2289" s="61"/>
      <c r="J2289" s="47" t="e">
        <f t="shared" si="175"/>
        <v>#DIV/0!</v>
      </c>
      <c r="K2289" s="47" t="e">
        <f t="shared" si="176"/>
        <v>#DIV/0!</v>
      </c>
      <c r="O2289" s="17" t="e">
        <f t="shared" si="177"/>
        <v>#DIV/0!</v>
      </c>
      <c r="P2289" s="17" t="e">
        <f t="shared" si="178"/>
        <v>#DIV/0!</v>
      </c>
      <c r="Q2289" s="17"/>
      <c r="V2289" s="45" t="e">
        <f t="shared" si="179"/>
        <v>#DIV/0!</v>
      </c>
      <c r="Y2289" s="62"/>
    </row>
    <row r="2290" spans="8:25" x14ac:dyDescent="0.2">
      <c r="H2290" s="61"/>
      <c r="I2290" s="61"/>
      <c r="J2290" s="47" t="e">
        <f t="shared" si="175"/>
        <v>#DIV/0!</v>
      </c>
      <c r="K2290" s="47" t="e">
        <f t="shared" si="176"/>
        <v>#DIV/0!</v>
      </c>
      <c r="O2290" s="17" t="e">
        <f t="shared" si="177"/>
        <v>#DIV/0!</v>
      </c>
      <c r="P2290" s="17" t="e">
        <f t="shared" si="178"/>
        <v>#DIV/0!</v>
      </c>
      <c r="Q2290" s="17"/>
      <c r="V2290" s="45" t="e">
        <f t="shared" si="179"/>
        <v>#DIV/0!</v>
      </c>
      <c r="Y2290" s="62"/>
    </row>
    <row r="2291" spans="8:25" x14ac:dyDescent="0.2">
      <c r="H2291" s="61"/>
      <c r="I2291" s="61"/>
      <c r="J2291" s="47" t="e">
        <f t="shared" si="175"/>
        <v>#DIV/0!</v>
      </c>
      <c r="K2291" s="47" t="e">
        <f t="shared" si="176"/>
        <v>#DIV/0!</v>
      </c>
      <c r="O2291" s="17" t="e">
        <f t="shared" si="177"/>
        <v>#DIV/0!</v>
      </c>
      <c r="P2291" s="17" t="e">
        <f t="shared" si="178"/>
        <v>#DIV/0!</v>
      </c>
      <c r="Q2291" s="17"/>
      <c r="V2291" s="45" t="e">
        <f t="shared" si="179"/>
        <v>#DIV/0!</v>
      </c>
      <c r="Y2291" s="62"/>
    </row>
    <row r="2292" spans="8:25" x14ac:dyDescent="0.2">
      <c r="H2292" s="61"/>
      <c r="I2292" s="61"/>
      <c r="J2292" s="47" t="e">
        <f t="shared" si="175"/>
        <v>#DIV/0!</v>
      </c>
      <c r="K2292" s="47" t="e">
        <f t="shared" si="176"/>
        <v>#DIV/0!</v>
      </c>
      <c r="O2292" s="17" t="e">
        <f t="shared" si="177"/>
        <v>#DIV/0!</v>
      </c>
      <c r="P2292" s="17" t="e">
        <f t="shared" si="178"/>
        <v>#DIV/0!</v>
      </c>
      <c r="Q2292" s="17"/>
      <c r="V2292" s="45" t="e">
        <f t="shared" si="179"/>
        <v>#DIV/0!</v>
      </c>
      <c r="Y2292" s="62"/>
    </row>
    <row r="2293" spans="8:25" x14ac:dyDescent="0.2">
      <c r="H2293" s="61"/>
      <c r="I2293" s="61"/>
      <c r="J2293" s="47" t="e">
        <f t="shared" si="175"/>
        <v>#DIV/0!</v>
      </c>
      <c r="K2293" s="47" t="e">
        <f t="shared" si="176"/>
        <v>#DIV/0!</v>
      </c>
      <c r="O2293" s="17" t="e">
        <f t="shared" si="177"/>
        <v>#DIV/0!</v>
      </c>
      <c r="P2293" s="17" t="e">
        <f t="shared" si="178"/>
        <v>#DIV/0!</v>
      </c>
      <c r="Q2293" s="17"/>
      <c r="V2293" s="45" t="e">
        <f t="shared" si="179"/>
        <v>#DIV/0!</v>
      </c>
      <c r="Y2293" s="62"/>
    </row>
    <row r="2294" spans="8:25" x14ac:dyDescent="0.2">
      <c r="H2294" s="61"/>
      <c r="I2294" s="61"/>
      <c r="J2294" s="47" t="e">
        <f t="shared" si="175"/>
        <v>#DIV/0!</v>
      </c>
      <c r="K2294" s="47" t="e">
        <f t="shared" si="176"/>
        <v>#DIV/0!</v>
      </c>
      <c r="O2294" s="17" t="e">
        <f t="shared" si="177"/>
        <v>#DIV/0!</v>
      </c>
      <c r="P2294" s="17" t="e">
        <f t="shared" si="178"/>
        <v>#DIV/0!</v>
      </c>
      <c r="Q2294" s="17"/>
      <c r="V2294" s="45" t="e">
        <f t="shared" si="179"/>
        <v>#DIV/0!</v>
      </c>
      <c r="Y2294" s="62"/>
    </row>
    <row r="2295" spans="8:25" x14ac:dyDescent="0.2">
      <c r="H2295" s="61"/>
      <c r="I2295" s="61"/>
      <c r="J2295" s="47" t="e">
        <f t="shared" si="175"/>
        <v>#DIV/0!</v>
      </c>
      <c r="K2295" s="47" t="e">
        <f t="shared" si="176"/>
        <v>#DIV/0!</v>
      </c>
      <c r="O2295" s="17" t="e">
        <f t="shared" si="177"/>
        <v>#DIV/0!</v>
      </c>
      <c r="P2295" s="17" t="e">
        <f t="shared" si="178"/>
        <v>#DIV/0!</v>
      </c>
      <c r="Q2295" s="17"/>
      <c r="V2295" s="45" t="e">
        <f t="shared" si="179"/>
        <v>#DIV/0!</v>
      </c>
      <c r="Y2295" s="62"/>
    </row>
    <row r="2296" spans="8:25" x14ac:dyDescent="0.2">
      <c r="H2296" s="61"/>
      <c r="I2296" s="61"/>
      <c r="J2296" s="47" t="e">
        <f t="shared" si="175"/>
        <v>#DIV/0!</v>
      </c>
      <c r="K2296" s="47" t="e">
        <f t="shared" si="176"/>
        <v>#DIV/0!</v>
      </c>
      <c r="O2296" s="17" t="e">
        <f t="shared" si="177"/>
        <v>#DIV/0!</v>
      </c>
      <c r="P2296" s="17" t="e">
        <f t="shared" si="178"/>
        <v>#DIV/0!</v>
      </c>
      <c r="Q2296" s="17"/>
      <c r="V2296" s="45" t="e">
        <f t="shared" si="179"/>
        <v>#DIV/0!</v>
      </c>
      <c r="Y2296" s="62"/>
    </row>
    <row r="2297" spans="8:25" x14ac:dyDescent="0.2">
      <c r="H2297" s="61"/>
      <c r="I2297" s="61"/>
      <c r="J2297" s="47" t="e">
        <f t="shared" si="175"/>
        <v>#DIV/0!</v>
      </c>
      <c r="K2297" s="47" t="e">
        <f t="shared" si="176"/>
        <v>#DIV/0!</v>
      </c>
      <c r="O2297" s="17" t="e">
        <f t="shared" si="177"/>
        <v>#DIV/0!</v>
      </c>
      <c r="P2297" s="17" t="e">
        <f t="shared" si="178"/>
        <v>#DIV/0!</v>
      </c>
      <c r="Q2297" s="17"/>
      <c r="V2297" s="45" t="e">
        <f t="shared" si="179"/>
        <v>#DIV/0!</v>
      </c>
      <c r="Y2297" s="62"/>
    </row>
    <row r="2298" spans="8:25" x14ac:dyDescent="0.2">
      <c r="H2298" s="61"/>
      <c r="I2298" s="61"/>
      <c r="J2298" s="47" t="e">
        <f t="shared" si="175"/>
        <v>#DIV/0!</v>
      </c>
      <c r="K2298" s="47" t="e">
        <f t="shared" si="176"/>
        <v>#DIV/0!</v>
      </c>
      <c r="O2298" s="17" t="e">
        <f t="shared" si="177"/>
        <v>#DIV/0!</v>
      </c>
      <c r="P2298" s="17" t="e">
        <f t="shared" si="178"/>
        <v>#DIV/0!</v>
      </c>
      <c r="Q2298" s="17"/>
      <c r="V2298" s="45" t="e">
        <f t="shared" si="179"/>
        <v>#DIV/0!</v>
      </c>
      <c r="Y2298" s="62"/>
    </row>
    <row r="2299" spans="8:25" x14ac:dyDescent="0.2">
      <c r="H2299" s="61"/>
      <c r="I2299" s="61"/>
      <c r="J2299" s="47" t="e">
        <f t="shared" si="175"/>
        <v>#DIV/0!</v>
      </c>
      <c r="K2299" s="47" t="e">
        <f t="shared" si="176"/>
        <v>#DIV/0!</v>
      </c>
      <c r="O2299" s="17" t="e">
        <f t="shared" si="177"/>
        <v>#DIV/0!</v>
      </c>
      <c r="P2299" s="17" t="e">
        <f t="shared" si="178"/>
        <v>#DIV/0!</v>
      </c>
      <c r="Q2299" s="17"/>
      <c r="V2299" s="45" t="e">
        <f t="shared" si="179"/>
        <v>#DIV/0!</v>
      </c>
      <c r="Y2299" s="62"/>
    </row>
    <row r="2300" spans="8:25" x14ac:dyDescent="0.2">
      <c r="H2300" s="61"/>
      <c r="I2300" s="61"/>
      <c r="J2300" s="47" t="e">
        <f t="shared" si="175"/>
        <v>#DIV/0!</v>
      </c>
      <c r="K2300" s="47" t="e">
        <f t="shared" si="176"/>
        <v>#DIV/0!</v>
      </c>
      <c r="O2300" s="17" t="e">
        <f t="shared" si="177"/>
        <v>#DIV/0!</v>
      </c>
      <c r="P2300" s="17" t="e">
        <f t="shared" si="178"/>
        <v>#DIV/0!</v>
      </c>
      <c r="Q2300" s="17"/>
      <c r="V2300" s="45" t="e">
        <f t="shared" si="179"/>
        <v>#DIV/0!</v>
      </c>
      <c r="Y2300" s="62"/>
    </row>
    <row r="2301" spans="8:25" x14ac:dyDescent="0.2">
      <c r="H2301" s="61"/>
      <c r="I2301" s="61"/>
      <c r="J2301" s="47" t="e">
        <f t="shared" si="175"/>
        <v>#DIV/0!</v>
      </c>
      <c r="K2301" s="47" t="e">
        <f t="shared" si="176"/>
        <v>#DIV/0!</v>
      </c>
      <c r="O2301" s="17" t="e">
        <f t="shared" si="177"/>
        <v>#DIV/0!</v>
      </c>
      <c r="P2301" s="17" t="e">
        <f t="shared" si="178"/>
        <v>#DIV/0!</v>
      </c>
      <c r="Q2301" s="17"/>
      <c r="V2301" s="45" t="e">
        <f t="shared" si="179"/>
        <v>#DIV/0!</v>
      </c>
      <c r="Y2301" s="62"/>
    </row>
    <row r="2302" spans="8:25" x14ac:dyDescent="0.2">
      <c r="H2302" s="61"/>
      <c r="I2302" s="61"/>
      <c r="J2302" s="47" t="e">
        <f t="shared" si="175"/>
        <v>#DIV/0!</v>
      </c>
      <c r="K2302" s="47" t="e">
        <f t="shared" si="176"/>
        <v>#DIV/0!</v>
      </c>
      <c r="O2302" s="17" t="e">
        <f t="shared" si="177"/>
        <v>#DIV/0!</v>
      </c>
      <c r="P2302" s="17" t="e">
        <f t="shared" si="178"/>
        <v>#DIV/0!</v>
      </c>
      <c r="Q2302" s="17"/>
      <c r="V2302" s="45" t="e">
        <f t="shared" si="179"/>
        <v>#DIV/0!</v>
      </c>
      <c r="Y2302" s="62"/>
    </row>
    <row r="2303" spans="8:25" x14ac:dyDescent="0.2">
      <c r="H2303" s="61"/>
      <c r="I2303" s="61"/>
      <c r="J2303" s="47" t="e">
        <f t="shared" si="175"/>
        <v>#DIV/0!</v>
      </c>
      <c r="K2303" s="47" t="e">
        <f t="shared" si="176"/>
        <v>#DIV/0!</v>
      </c>
      <c r="O2303" s="17" t="e">
        <f t="shared" si="177"/>
        <v>#DIV/0!</v>
      </c>
      <c r="P2303" s="17" t="e">
        <f t="shared" si="178"/>
        <v>#DIV/0!</v>
      </c>
      <c r="Q2303" s="17"/>
      <c r="V2303" s="45" t="e">
        <f t="shared" si="179"/>
        <v>#DIV/0!</v>
      </c>
      <c r="Y2303" s="62"/>
    </row>
    <row r="2304" spans="8:25" x14ac:dyDescent="0.2">
      <c r="H2304" s="61"/>
      <c r="I2304" s="61"/>
      <c r="J2304" s="47" t="e">
        <f t="shared" si="175"/>
        <v>#DIV/0!</v>
      </c>
      <c r="K2304" s="47" t="e">
        <f t="shared" si="176"/>
        <v>#DIV/0!</v>
      </c>
      <c r="O2304" s="17" t="e">
        <f t="shared" si="177"/>
        <v>#DIV/0!</v>
      </c>
      <c r="P2304" s="17" t="e">
        <f t="shared" si="178"/>
        <v>#DIV/0!</v>
      </c>
      <c r="Q2304" s="17"/>
      <c r="V2304" s="45" t="e">
        <f t="shared" si="179"/>
        <v>#DIV/0!</v>
      </c>
      <c r="Y2304" s="62"/>
    </row>
    <row r="2305" spans="8:25" x14ac:dyDescent="0.2">
      <c r="H2305" s="61"/>
      <c r="I2305" s="61"/>
      <c r="J2305" s="47" t="e">
        <f t="shared" si="175"/>
        <v>#DIV/0!</v>
      </c>
      <c r="K2305" s="47" t="e">
        <f t="shared" si="176"/>
        <v>#DIV/0!</v>
      </c>
      <c r="O2305" s="17" t="e">
        <f t="shared" si="177"/>
        <v>#DIV/0!</v>
      </c>
      <c r="P2305" s="17" t="e">
        <f t="shared" si="178"/>
        <v>#DIV/0!</v>
      </c>
      <c r="Q2305" s="17"/>
      <c r="V2305" s="45" t="e">
        <f t="shared" si="179"/>
        <v>#DIV/0!</v>
      </c>
      <c r="Y2305" s="62"/>
    </row>
    <row r="2306" spans="8:25" x14ac:dyDescent="0.2">
      <c r="H2306" s="61"/>
      <c r="I2306" s="61"/>
      <c r="J2306" s="47" t="e">
        <f t="shared" si="175"/>
        <v>#DIV/0!</v>
      </c>
      <c r="K2306" s="47" t="e">
        <f t="shared" si="176"/>
        <v>#DIV/0!</v>
      </c>
      <c r="O2306" s="17" t="e">
        <f t="shared" si="177"/>
        <v>#DIV/0!</v>
      </c>
      <c r="P2306" s="17" t="e">
        <f t="shared" si="178"/>
        <v>#DIV/0!</v>
      </c>
      <c r="Q2306" s="17"/>
      <c r="V2306" s="45" t="e">
        <f t="shared" si="179"/>
        <v>#DIV/0!</v>
      </c>
      <c r="Y2306" s="62"/>
    </row>
    <row r="2307" spans="8:25" x14ac:dyDescent="0.2">
      <c r="H2307" s="61"/>
      <c r="I2307" s="61"/>
      <c r="J2307" s="47" t="e">
        <f t="shared" ref="J2307:J2370" si="180">(H2307-G2307)/ABS(G2307)</f>
        <v>#DIV/0!</v>
      </c>
      <c r="K2307" s="47" t="e">
        <f t="shared" ref="K2307:K2370" si="181">(I2307-H2307)/ABS(H2307)</f>
        <v>#DIV/0!</v>
      </c>
      <c r="O2307" s="17" t="e">
        <f t="shared" ref="O2307:O2370" si="182">M2307/(J2307*100)</f>
        <v>#DIV/0!</v>
      </c>
      <c r="P2307" s="17" t="e">
        <f t="shared" ref="P2307:P2370" si="183">N2307/(K2307*100)</f>
        <v>#DIV/0!</v>
      </c>
      <c r="Q2307" s="17"/>
      <c r="V2307" s="45" t="e">
        <f t="shared" ref="V2307:V2370" si="184">(T2307-U2307)/U2307</f>
        <v>#DIV/0!</v>
      </c>
      <c r="Y2307" s="62"/>
    </row>
    <row r="2308" spans="8:25" x14ac:dyDescent="0.2">
      <c r="H2308" s="61"/>
      <c r="I2308" s="61"/>
      <c r="J2308" s="47" t="e">
        <f t="shared" si="180"/>
        <v>#DIV/0!</v>
      </c>
      <c r="K2308" s="47" t="e">
        <f t="shared" si="181"/>
        <v>#DIV/0!</v>
      </c>
      <c r="O2308" s="17" t="e">
        <f t="shared" si="182"/>
        <v>#DIV/0!</v>
      </c>
      <c r="P2308" s="17" t="e">
        <f t="shared" si="183"/>
        <v>#DIV/0!</v>
      </c>
      <c r="Q2308" s="17"/>
      <c r="V2308" s="45" t="e">
        <f t="shared" si="184"/>
        <v>#DIV/0!</v>
      </c>
      <c r="Y2308" s="62"/>
    </row>
    <row r="2309" spans="8:25" x14ac:dyDescent="0.2">
      <c r="H2309" s="61"/>
      <c r="I2309" s="61"/>
      <c r="J2309" s="47" t="e">
        <f t="shared" si="180"/>
        <v>#DIV/0!</v>
      </c>
      <c r="K2309" s="47" t="e">
        <f t="shared" si="181"/>
        <v>#DIV/0!</v>
      </c>
      <c r="O2309" s="17" t="e">
        <f t="shared" si="182"/>
        <v>#DIV/0!</v>
      </c>
      <c r="P2309" s="17" t="e">
        <f t="shared" si="183"/>
        <v>#DIV/0!</v>
      </c>
      <c r="Q2309" s="17"/>
      <c r="V2309" s="45" t="e">
        <f t="shared" si="184"/>
        <v>#DIV/0!</v>
      </c>
      <c r="Y2309" s="62"/>
    </row>
    <row r="2310" spans="8:25" x14ac:dyDescent="0.2">
      <c r="H2310" s="61"/>
      <c r="I2310" s="61"/>
      <c r="J2310" s="47" t="e">
        <f t="shared" si="180"/>
        <v>#DIV/0!</v>
      </c>
      <c r="K2310" s="47" t="e">
        <f t="shared" si="181"/>
        <v>#DIV/0!</v>
      </c>
      <c r="O2310" s="17" t="e">
        <f t="shared" si="182"/>
        <v>#DIV/0!</v>
      </c>
      <c r="P2310" s="17" t="e">
        <f t="shared" si="183"/>
        <v>#DIV/0!</v>
      </c>
      <c r="Q2310" s="17"/>
      <c r="V2310" s="45" t="e">
        <f t="shared" si="184"/>
        <v>#DIV/0!</v>
      </c>
      <c r="Y2310" s="62"/>
    </row>
    <row r="2311" spans="8:25" x14ac:dyDescent="0.2">
      <c r="H2311" s="61"/>
      <c r="I2311" s="61"/>
      <c r="J2311" s="47" t="e">
        <f t="shared" si="180"/>
        <v>#DIV/0!</v>
      </c>
      <c r="K2311" s="47" t="e">
        <f t="shared" si="181"/>
        <v>#DIV/0!</v>
      </c>
      <c r="O2311" s="17" t="e">
        <f t="shared" si="182"/>
        <v>#DIV/0!</v>
      </c>
      <c r="P2311" s="17" t="e">
        <f t="shared" si="183"/>
        <v>#DIV/0!</v>
      </c>
      <c r="Q2311" s="17"/>
      <c r="V2311" s="45" t="e">
        <f t="shared" si="184"/>
        <v>#DIV/0!</v>
      </c>
      <c r="Y2311" s="62"/>
    </row>
    <row r="2312" spans="8:25" x14ac:dyDescent="0.2">
      <c r="H2312" s="61"/>
      <c r="I2312" s="61"/>
      <c r="J2312" s="47" t="e">
        <f t="shared" si="180"/>
        <v>#DIV/0!</v>
      </c>
      <c r="K2312" s="47" t="e">
        <f t="shared" si="181"/>
        <v>#DIV/0!</v>
      </c>
      <c r="O2312" s="17" t="e">
        <f t="shared" si="182"/>
        <v>#DIV/0!</v>
      </c>
      <c r="P2312" s="17" t="e">
        <f t="shared" si="183"/>
        <v>#DIV/0!</v>
      </c>
      <c r="Q2312" s="17"/>
      <c r="V2312" s="45" t="e">
        <f t="shared" si="184"/>
        <v>#DIV/0!</v>
      </c>
      <c r="Y2312" s="62"/>
    </row>
    <row r="2313" spans="8:25" x14ac:dyDescent="0.2">
      <c r="H2313" s="61"/>
      <c r="I2313" s="61"/>
      <c r="J2313" s="47" t="e">
        <f t="shared" si="180"/>
        <v>#DIV/0!</v>
      </c>
      <c r="K2313" s="47" t="e">
        <f t="shared" si="181"/>
        <v>#DIV/0!</v>
      </c>
      <c r="O2313" s="17" t="e">
        <f t="shared" si="182"/>
        <v>#DIV/0!</v>
      </c>
      <c r="P2313" s="17" t="e">
        <f t="shared" si="183"/>
        <v>#DIV/0!</v>
      </c>
      <c r="Q2313" s="17"/>
      <c r="V2313" s="45" t="e">
        <f t="shared" si="184"/>
        <v>#DIV/0!</v>
      </c>
      <c r="Y2313" s="62"/>
    </row>
    <row r="2314" spans="8:25" x14ac:dyDescent="0.2">
      <c r="H2314" s="61"/>
      <c r="I2314" s="61"/>
      <c r="J2314" s="47" t="e">
        <f t="shared" si="180"/>
        <v>#DIV/0!</v>
      </c>
      <c r="K2314" s="47" t="e">
        <f t="shared" si="181"/>
        <v>#DIV/0!</v>
      </c>
      <c r="O2314" s="17" t="e">
        <f t="shared" si="182"/>
        <v>#DIV/0!</v>
      </c>
      <c r="P2314" s="17" t="e">
        <f t="shared" si="183"/>
        <v>#DIV/0!</v>
      </c>
      <c r="Q2314" s="17"/>
      <c r="V2314" s="45" t="e">
        <f t="shared" si="184"/>
        <v>#DIV/0!</v>
      </c>
      <c r="Y2314" s="62"/>
    </row>
    <row r="2315" spans="8:25" x14ac:dyDescent="0.2">
      <c r="H2315" s="61"/>
      <c r="I2315" s="61"/>
      <c r="J2315" s="47" t="e">
        <f t="shared" si="180"/>
        <v>#DIV/0!</v>
      </c>
      <c r="K2315" s="47" t="e">
        <f t="shared" si="181"/>
        <v>#DIV/0!</v>
      </c>
      <c r="O2315" s="17" t="e">
        <f t="shared" si="182"/>
        <v>#DIV/0!</v>
      </c>
      <c r="P2315" s="17" t="e">
        <f t="shared" si="183"/>
        <v>#DIV/0!</v>
      </c>
      <c r="Q2315" s="17"/>
      <c r="V2315" s="45" t="e">
        <f t="shared" si="184"/>
        <v>#DIV/0!</v>
      </c>
      <c r="Y2315" s="62"/>
    </row>
    <row r="2316" spans="8:25" x14ac:dyDescent="0.2">
      <c r="H2316" s="61"/>
      <c r="I2316" s="61"/>
      <c r="J2316" s="47" t="e">
        <f t="shared" si="180"/>
        <v>#DIV/0!</v>
      </c>
      <c r="K2316" s="47" t="e">
        <f t="shared" si="181"/>
        <v>#DIV/0!</v>
      </c>
      <c r="O2316" s="17" t="e">
        <f t="shared" si="182"/>
        <v>#DIV/0!</v>
      </c>
      <c r="P2316" s="17" t="e">
        <f t="shared" si="183"/>
        <v>#DIV/0!</v>
      </c>
      <c r="Q2316" s="17"/>
      <c r="V2316" s="45" t="e">
        <f t="shared" si="184"/>
        <v>#DIV/0!</v>
      </c>
      <c r="Y2316" s="62"/>
    </row>
    <row r="2317" spans="8:25" x14ac:dyDescent="0.2">
      <c r="H2317" s="61"/>
      <c r="I2317" s="61"/>
      <c r="J2317" s="47" t="e">
        <f t="shared" si="180"/>
        <v>#DIV/0!</v>
      </c>
      <c r="K2317" s="47" t="e">
        <f t="shared" si="181"/>
        <v>#DIV/0!</v>
      </c>
      <c r="O2317" s="17" t="e">
        <f t="shared" si="182"/>
        <v>#DIV/0!</v>
      </c>
      <c r="P2317" s="17" t="e">
        <f t="shared" si="183"/>
        <v>#DIV/0!</v>
      </c>
      <c r="Q2317" s="17"/>
      <c r="V2317" s="45" t="e">
        <f t="shared" si="184"/>
        <v>#DIV/0!</v>
      </c>
      <c r="Y2317" s="62"/>
    </row>
    <row r="2318" spans="8:25" x14ac:dyDescent="0.2">
      <c r="H2318" s="61"/>
      <c r="I2318" s="61"/>
      <c r="J2318" s="47" t="e">
        <f t="shared" si="180"/>
        <v>#DIV/0!</v>
      </c>
      <c r="K2318" s="47" t="e">
        <f t="shared" si="181"/>
        <v>#DIV/0!</v>
      </c>
      <c r="O2318" s="17" t="e">
        <f t="shared" si="182"/>
        <v>#DIV/0!</v>
      </c>
      <c r="P2318" s="17" t="e">
        <f t="shared" si="183"/>
        <v>#DIV/0!</v>
      </c>
      <c r="Q2318" s="17"/>
      <c r="V2318" s="45" t="e">
        <f t="shared" si="184"/>
        <v>#DIV/0!</v>
      </c>
      <c r="Y2318" s="62"/>
    </row>
    <row r="2319" spans="8:25" x14ac:dyDescent="0.2">
      <c r="H2319" s="61"/>
      <c r="I2319" s="61"/>
      <c r="J2319" s="47" t="e">
        <f t="shared" si="180"/>
        <v>#DIV/0!</v>
      </c>
      <c r="K2319" s="47" t="e">
        <f t="shared" si="181"/>
        <v>#DIV/0!</v>
      </c>
      <c r="O2319" s="17" t="e">
        <f t="shared" si="182"/>
        <v>#DIV/0!</v>
      </c>
      <c r="P2319" s="17" t="e">
        <f t="shared" si="183"/>
        <v>#DIV/0!</v>
      </c>
      <c r="Q2319" s="17"/>
      <c r="V2319" s="45" t="e">
        <f t="shared" si="184"/>
        <v>#DIV/0!</v>
      </c>
      <c r="Y2319" s="62"/>
    </row>
    <row r="2320" spans="8:25" x14ac:dyDescent="0.2">
      <c r="H2320" s="61"/>
      <c r="I2320" s="61"/>
      <c r="J2320" s="47" t="e">
        <f t="shared" si="180"/>
        <v>#DIV/0!</v>
      </c>
      <c r="K2320" s="47" t="e">
        <f t="shared" si="181"/>
        <v>#DIV/0!</v>
      </c>
      <c r="O2320" s="17" t="e">
        <f t="shared" si="182"/>
        <v>#DIV/0!</v>
      </c>
      <c r="P2320" s="17" t="e">
        <f t="shared" si="183"/>
        <v>#DIV/0!</v>
      </c>
      <c r="Q2320" s="17"/>
      <c r="V2320" s="45" t="e">
        <f t="shared" si="184"/>
        <v>#DIV/0!</v>
      </c>
      <c r="Y2320" s="62"/>
    </row>
    <row r="2321" spans="8:25" x14ac:dyDescent="0.2">
      <c r="H2321" s="61"/>
      <c r="I2321" s="61"/>
      <c r="J2321" s="47" t="e">
        <f t="shared" si="180"/>
        <v>#DIV/0!</v>
      </c>
      <c r="K2321" s="47" t="e">
        <f t="shared" si="181"/>
        <v>#DIV/0!</v>
      </c>
      <c r="O2321" s="17" t="e">
        <f t="shared" si="182"/>
        <v>#DIV/0!</v>
      </c>
      <c r="P2321" s="17" t="e">
        <f t="shared" si="183"/>
        <v>#DIV/0!</v>
      </c>
      <c r="Q2321" s="17"/>
      <c r="V2321" s="45" t="e">
        <f t="shared" si="184"/>
        <v>#DIV/0!</v>
      </c>
      <c r="Y2321" s="62"/>
    </row>
    <row r="2322" spans="8:25" x14ac:dyDescent="0.2">
      <c r="H2322" s="61"/>
      <c r="I2322" s="61"/>
      <c r="J2322" s="47" t="e">
        <f t="shared" si="180"/>
        <v>#DIV/0!</v>
      </c>
      <c r="K2322" s="47" t="e">
        <f t="shared" si="181"/>
        <v>#DIV/0!</v>
      </c>
      <c r="O2322" s="17" t="e">
        <f t="shared" si="182"/>
        <v>#DIV/0!</v>
      </c>
      <c r="P2322" s="17" t="e">
        <f t="shared" si="183"/>
        <v>#DIV/0!</v>
      </c>
      <c r="Q2322" s="17"/>
      <c r="V2322" s="45" t="e">
        <f t="shared" si="184"/>
        <v>#DIV/0!</v>
      </c>
      <c r="Y2322" s="62"/>
    </row>
    <row r="2323" spans="8:25" x14ac:dyDescent="0.2">
      <c r="H2323" s="61"/>
      <c r="I2323" s="61"/>
      <c r="J2323" s="47" t="e">
        <f t="shared" si="180"/>
        <v>#DIV/0!</v>
      </c>
      <c r="K2323" s="47" t="e">
        <f t="shared" si="181"/>
        <v>#DIV/0!</v>
      </c>
      <c r="O2323" s="17" t="e">
        <f t="shared" si="182"/>
        <v>#DIV/0!</v>
      </c>
      <c r="P2323" s="17" t="e">
        <f t="shared" si="183"/>
        <v>#DIV/0!</v>
      </c>
      <c r="Q2323" s="17"/>
      <c r="V2323" s="45" t="e">
        <f t="shared" si="184"/>
        <v>#DIV/0!</v>
      </c>
      <c r="Y2323" s="62"/>
    </row>
    <row r="2324" spans="8:25" x14ac:dyDescent="0.2">
      <c r="H2324" s="61"/>
      <c r="I2324" s="61"/>
      <c r="J2324" s="47" t="e">
        <f t="shared" si="180"/>
        <v>#DIV/0!</v>
      </c>
      <c r="K2324" s="47" t="e">
        <f t="shared" si="181"/>
        <v>#DIV/0!</v>
      </c>
      <c r="O2324" s="17" t="e">
        <f t="shared" si="182"/>
        <v>#DIV/0!</v>
      </c>
      <c r="P2324" s="17" t="e">
        <f t="shared" si="183"/>
        <v>#DIV/0!</v>
      </c>
      <c r="Q2324" s="17"/>
      <c r="V2324" s="45" t="e">
        <f t="shared" si="184"/>
        <v>#DIV/0!</v>
      </c>
      <c r="Y2324" s="62"/>
    </row>
    <row r="2325" spans="8:25" x14ac:dyDescent="0.2">
      <c r="H2325" s="61"/>
      <c r="I2325" s="61"/>
      <c r="J2325" s="47" t="e">
        <f t="shared" si="180"/>
        <v>#DIV/0!</v>
      </c>
      <c r="K2325" s="47" t="e">
        <f t="shared" si="181"/>
        <v>#DIV/0!</v>
      </c>
      <c r="O2325" s="17" t="e">
        <f t="shared" si="182"/>
        <v>#DIV/0!</v>
      </c>
      <c r="P2325" s="17" t="e">
        <f t="shared" si="183"/>
        <v>#DIV/0!</v>
      </c>
      <c r="Q2325" s="17"/>
      <c r="V2325" s="45" t="e">
        <f t="shared" si="184"/>
        <v>#DIV/0!</v>
      </c>
      <c r="Y2325" s="62"/>
    </row>
    <row r="2326" spans="8:25" x14ac:dyDescent="0.2">
      <c r="H2326" s="61"/>
      <c r="I2326" s="61"/>
      <c r="J2326" s="47" t="e">
        <f t="shared" si="180"/>
        <v>#DIV/0!</v>
      </c>
      <c r="K2326" s="47" t="e">
        <f t="shared" si="181"/>
        <v>#DIV/0!</v>
      </c>
      <c r="O2326" s="17" t="e">
        <f t="shared" si="182"/>
        <v>#DIV/0!</v>
      </c>
      <c r="P2326" s="17" t="e">
        <f t="shared" si="183"/>
        <v>#DIV/0!</v>
      </c>
      <c r="Q2326" s="17"/>
      <c r="V2326" s="45" t="e">
        <f t="shared" si="184"/>
        <v>#DIV/0!</v>
      </c>
      <c r="Y2326" s="62"/>
    </row>
    <row r="2327" spans="8:25" x14ac:dyDescent="0.2">
      <c r="H2327" s="61"/>
      <c r="I2327" s="61"/>
      <c r="J2327" s="47" t="e">
        <f t="shared" si="180"/>
        <v>#DIV/0!</v>
      </c>
      <c r="K2327" s="47" t="e">
        <f t="shared" si="181"/>
        <v>#DIV/0!</v>
      </c>
      <c r="O2327" s="17" t="e">
        <f t="shared" si="182"/>
        <v>#DIV/0!</v>
      </c>
      <c r="P2327" s="17" t="e">
        <f t="shared" si="183"/>
        <v>#DIV/0!</v>
      </c>
      <c r="Q2327" s="17"/>
      <c r="V2327" s="45" t="e">
        <f t="shared" si="184"/>
        <v>#DIV/0!</v>
      </c>
      <c r="Y2327" s="62"/>
    </row>
    <row r="2328" spans="8:25" x14ac:dyDescent="0.2">
      <c r="H2328" s="61"/>
      <c r="I2328" s="61"/>
      <c r="J2328" s="47" t="e">
        <f t="shared" si="180"/>
        <v>#DIV/0!</v>
      </c>
      <c r="K2328" s="47" t="e">
        <f t="shared" si="181"/>
        <v>#DIV/0!</v>
      </c>
      <c r="O2328" s="17" t="e">
        <f t="shared" si="182"/>
        <v>#DIV/0!</v>
      </c>
      <c r="P2328" s="17" t="e">
        <f t="shared" si="183"/>
        <v>#DIV/0!</v>
      </c>
      <c r="Q2328" s="17"/>
      <c r="V2328" s="45" t="e">
        <f t="shared" si="184"/>
        <v>#DIV/0!</v>
      </c>
      <c r="Y2328" s="62"/>
    </row>
    <row r="2329" spans="8:25" x14ac:dyDescent="0.2">
      <c r="H2329" s="61"/>
      <c r="I2329" s="61"/>
      <c r="J2329" s="47" t="e">
        <f t="shared" si="180"/>
        <v>#DIV/0!</v>
      </c>
      <c r="K2329" s="47" t="e">
        <f t="shared" si="181"/>
        <v>#DIV/0!</v>
      </c>
      <c r="O2329" s="17" t="e">
        <f t="shared" si="182"/>
        <v>#DIV/0!</v>
      </c>
      <c r="P2329" s="17" t="e">
        <f t="shared" si="183"/>
        <v>#DIV/0!</v>
      </c>
      <c r="Q2329" s="17"/>
      <c r="V2329" s="45" t="e">
        <f t="shared" si="184"/>
        <v>#DIV/0!</v>
      </c>
      <c r="Y2329" s="62"/>
    </row>
    <row r="2330" spans="8:25" x14ac:dyDescent="0.2">
      <c r="H2330" s="61"/>
      <c r="I2330" s="61"/>
      <c r="J2330" s="47" t="e">
        <f t="shared" si="180"/>
        <v>#DIV/0!</v>
      </c>
      <c r="K2330" s="47" t="e">
        <f t="shared" si="181"/>
        <v>#DIV/0!</v>
      </c>
      <c r="O2330" s="17" t="e">
        <f t="shared" si="182"/>
        <v>#DIV/0!</v>
      </c>
      <c r="P2330" s="17" t="e">
        <f t="shared" si="183"/>
        <v>#DIV/0!</v>
      </c>
      <c r="Q2330" s="17"/>
      <c r="V2330" s="45" t="e">
        <f t="shared" si="184"/>
        <v>#DIV/0!</v>
      </c>
      <c r="Y2330" s="62"/>
    </row>
    <row r="2331" spans="8:25" x14ac:dyDescent="0.2">
      <c r="H2331" s="61"/>
      <c r="I2331" s="61"/>
      <c r="J2331" s="47" t="e">
        <f t="shared" si="180"/>
        <v>#DIV/0!</v>
      </c>
      <c r="K2331" s="47" t="e">
        <f t="shared" si="181"/>
        <v>#DIV/0!</v>
      </c>
      <c r="O2331" s="17" t="e">
        <f t="shared" si="182"/>
        <v>#DIV/0!</v>
      </c>
      <c r="P2331" s="17" t="e">
        <f t="shared" si="183"/>
        <v>#DIV/0!</v>
      </c>
      <c r="Q2331" s="17"/>
      <c r="V2331" s="45" t="e">
        <f t="shared" si="184"/>
        <v>#DIV/0!</v>
      </c>
      <c r="Y2331" s="62"/>
    </row>
    <row r="2332" spans="8:25" x14ac:dyDescent="0.2">
      <c r="H2332" s="61"/>
      <c r="I2332" s="61"/>
      <c r="J2332" s="47" t="e">
        <f t="shared" si="180"/>
        <v>#DIV/0!</v>
      </c>
      <c r="K2332" s="47" t="e">
        <f t="shared" si="181"/>
        <v>#DIV/0!</v>
      </c>
      <c r="O2332" s="17" t="e">
        <f t="shared" si="182"/>
        <v>#DIV/0!</v>
      </c>
      <c r="P2332" s="17" t="e">
        <f t="shared" si="183"/>
        <v>#DIV/0!</v>
      </c>
      <c r="Q2332" s="17"/>
      <c r="V2332" s="45" t="e">
        <f t="shared" si="184"/>
        <v>#DIV/0!</v>
      </c>
      <c r="Y2332" s="62"/>
    </row>
    <row r="2333" spans="8:25" x14ac:dyDescent="0.2">
      <c r="H2333" s="61"/>
      <c r="I2333" s="61"/>
      <c r="J2333" s="47" t="e">
        <f t="shared" si="180"/>
        <v>#DIV/0!</v>
      </c>
      <c r="K2333" s="47" t="e">
        <f t="shared" si="181"/>
        <v>#DIV/0!</v>
      </c>
      <c r="O2333" s="17" t="e">
        <f t="shared" si="182"/>
        <v>#DIV/0!</v>
      </c>
      <c r="P2333" s="17" t="e">
        <f t="shared" si="183"/>
        <v>#DIV/0!</v>
      </c>
      <c r="Q2333" s="17"/>
      <c r="V2333" s="45" t="e">
        <f t="shared" si="184"/>
        <v>#DIV/0!</v>
      </c>
      <c r="Y2333" s="62"/>
    </row>
    <row r="2334" spans="8:25" x14ac:dyDescent="0.2">
      <c r="H2334" s="61"/>
      <c r="I2334" s="61"/>
      <c r="J2334" s="47" t="e">
        <f t="shared" si="180"/>
        <v>#DIV/0!</v>
      </c>
      <c r="K2334" s="47" t="e">
        <f t="shared" si="181"/>
        <v>#DIV/0!</v>
      </c>
      <c r="O2334" s="17" t="e">
        <f t="shared" si="182"/>
        <v>#DIV/0!</v>
      </c>
      <c r="P2334" s="17" t="e">
        <f t="shared" si="183"/>
        <v>#DIV/0!</v>
      </c>
      <c r="Q2334" s="17"/>
      <c r="V2334" s="45" t="e">
        <f t="shared" si="184"/>
        <v>#DIV/0!</v>
      </c>
      <c r="Y2334" s="62"/>
    </row>
    <row r="2335" spans="8:25" x14ac:dyDescent="0.2">
      <c r="H2335" s="61"/>
      <c r="I2335" s="61"/>
      <c r="J2335" s="47" t="e">
        <f t="shared" si="180"/>
        <v>#DIV/0!</v>
      </c>
      <c r="K2335" s="47" t="e">
        <f t="shared" si="181"/>
        <v>#DIV/0!</v>
      </c>
      <c r="O2335" s="17" t="e">
        <f t="shared" si="182"/>
        <v>#DIV/0!</v>
      </c>
      <c r="P2335" s="17" t="e">
        <f t="shared" si="183"/>
        <v>#DIV/0!</v>
      </c>
      <c r="Q2335" s="17"/>
      <c r="V2335" s="45" t="e">
        <f t="shared" si="184"/>
        <v>#DIV/0!</v>
      </c>
      <c r="Y2335" s="62"/>
    </row>
    <row r="2336" spans="8:25" x14ac:dyDescent="0.2">
      <c r="H2336" s="61"/>
      <c r="I2336" s="61"/>
      <c r="J2336" s="47" t="e">
        <f t="shared" si="180"/>
        <v>#DIV/0!</v>
      </c>
      <c r="K2336" s="47" t="e">
        <f t="shared" si="181"/>
        <v>#DIV/0!</v>
      </c>
      <c r="O2336" s="17" t="e">
        <f t="shared" si="182"/>
        <v>#DIV/0!</v>
      </c>
      <c r="P2336" s="17" t="e">
        <f t="shared" si="183"/>
        <v>#DIV/0!</v>
      </c>
      <c r="Q2336" s="17"/>
      <c r="V2336" s="45" t="e">
        <f t="shared" si="184"/>
        <v>#DIV/0!</v>
      </c>
      <c r="Y2336" s="62"/>
    </row>
    <row r="2337" spans="8:25" x14ac:dyDescent="0.2">
      <c r="H2337" s="61"/>
      <c r="I2337" s="61"/>
      <c r="J2337" s="47" t="e">
        <f t="shared" si="180"/>
        <v>#DIV/0!</v>
      </c>
      <c r="K2337" s="47" t="e">
        <f t="shared" si="181"/>
        <v>#DIV/0!</v>
      </c>
      <c r="O2337" s="17" t="e">
        <f t="shared" si="182"/>
        <v>#DIV/0!</v>
      </c>
      <c r="P2337" s="17" t="e">
        <f t="shared" si="183"/>
        <v>#DIV/0!</v>
      </c>
      <c r="Q2337" s="17"/>
      <c r="V2337" s="45" t="e">
        <f t="shared" si="184"/>
        <v>#DIV/0!</v>
      </c>
      <c r="Y2337" s="62"/>
    </row>
    <row r="2338" spans="8:25" x14ac:dyDescent="0.2">
      <c r="H2338" s="61"/>
      <c r="I2338" s="61"/>
      <c r="J2338" s="47" t="e">
        <f t="shared" si="180"/>
        <v>#DIV/0!</v>
      </c>
      <c r="K2338" s="47" t="e">
        <f t="shared" si="181"/>
        <v>#DIV/0!</v>
      </c>
      <c r="O2338" s="17" t="e">
        <f t="shared" si="182"/>
        <v>#DIV/0!</v>
      </c>
      <c r="P2338" s="17" t="e">
        <f t="shared" si="183"/>
        <v>#DIV/0!</v>
      </c>
      <c r="Q2338" s="17"/>
      <c r="V2338" s="45" t="e">
        <f t="shared" si="184"/>
        <v>#DIV/0!</v>
      </c>
      <c r="Y2338" s="62"/>
    </row>
    <row r="2339" spans="8:25" x14ac:dyDescent="0.2">
      <c r="H2339" s="61"/>
      <c r="I2339" s="61"/>
      <c r="J2339" s="47" t="e">
        <f t="shared" si="180"/>
        <v>#DIV/0!</v>
      </c>
      <c r="K2339" s="47" t="e">
        <f t="shared" si="181"/>
        <v>#DIV/0!</v>
      </c>
      <c r="O2339" s="17" t="e">
        <f t="shared" si="182"/>
        <v>#DIV/0!</v>
      </c>
      <c r="P2339" s="17" t="e">
        <f t="shared" si="183"/>
        <v>#DIV/0!</v>
      </c>
      <c r="Q2339" s="17"/>
      <c r="V2339" s="45" t="e">
        <f t="shared" si="184"/>
        <v>#DIV/0!</v>
      </c>
      <c r="Y2339" s="62"/>
    </row>
    <row r="2340" spans="8:25" x14ac:dyDescent="0.2">
      <c r="H2340" s="61"/>
      <c r="I2340" s="61"/>
      <c r="J2340" s="47" t="e">
        <f t="shared" si="180"/>
        <v>#DIV/0!</v>
      </c>
      <c r="K2340" s="47" t="e">
        <f t="shared" si="181"/>
        <v>#DIV/0!</v>
      </c>
      <c r="O2340" s="17" t="e">
        <f t="shared" si="182"/>
        <v>#DIV/0!</v>
      </c>
      <c r="P2340" s="17" t="e">
        <f t="shared" si="183"/>
        <v>#DIV/0!</v>
      </c>
      <c r="Q2340" s="17"/>
      <c r="V2340" s="45" t="e">
        <f t="shared" si="184"/>
        <v>#DIV/0!</v>
      </c>
      <c r="Y2340" s="62"/>
    </row>
    <row r="2341" spans="8:25" x14ac:dyDescent="0.2">
      <c r="H2341" s="61"/>
      <c r="I2341" s="61"/>
      <c r="J2341" s="47" t="e">
        <f t="shared" si="180"/>
        <v>#DIV/0!</v>
      </c>
      <c r="K2341" s="47" t="e">
        <f t="shared" si="181"/>
        <v>#DIV/0!</v>
      </c>
      <c r="O2341" s="17" t="e">
        <f t="shared" si="182"/>
        <v>#DIV/0!</v>
      </c>
      <c r="P2341" s="17" t="e">
        <f t="shared" si="183"/>
        <v>#DIV/0!</v>
      </c>
      <c r="Q2341" s="17"/>
      <c r="V2341" s="45" t="e">
        <f t="shared" si="184"/>
        <v>#DIV/0!</v>
      </c>
      <c r="Y2341" s="62"/>
    </row>
    <row r="2342" spans="8:25" x14ac:dyDescent="0.2">
      <c r="H2342" s="61"/>
      <c r="I2342" s="61"/>
      <c r="J2342" s="47" t="e">
        <f t="shared" si="180"/>
        <v>#DIV/0!</v>
      </c>
      <c r="K2342" s="47" t="e">
        <f t="shared" si="181"/>
        <v>#DIV/0!</v>
      </c>
      <c r="O2342" s="17" t="e">
        <f t="shared" si="182"/>
        <v>#DIV/0!</v>
      </c>
      <c r="P2342" s="17" t="e">
        <f t="shared" si="183"/>
        <v>#DIV/0!</v>
      </c>
      <c r="Q2342" s="17"/>
      <c r="V2342" s="45" t="e">
        <f t="shared" si="184"/>
        <v>#DIV/0!</v>
      </c>
      <c r="Y2342" s="62"/>
    </row>
    <row r="2343" spans="8:25" x14ac:dyDescent="0.2">
      <c r="H2343" s="61"/>
      <c r="I2343" s="61"/>
      <c r="J2343" s="47" t="e">
        <f t="shared" si="180"/>
        <v>#DIV/0!</v>
      </c>
      <c r="K2343" s="47" t="e">
        <f t="shared" si="181"/>
        <v>#DIV/0!</v>
      </c>
      <c r="O2343" s="17" t="e">
        <f t="shared" si="182"/>
        <v>#DIV/0!</v>
      </c>
      <c r="P2343" s="17" t="e">
        <f t="shared" si="183"/>
        <v>#DIV/0!</v>
      </c>
      <c r="Q2343" s="17"/>
      <c r="V2343" s="45" t="e">
        <f t="shared" si="184"/>
        <v>#DIV/0!</v>
      </c>
      <c r="Y2343" s="62"/>
    </row>
    <row r="2344" spans="8:25" x14ac:dyDescent="0.2">
      <c r="H2344" s="61"/>
      <c r="I2344" s="61"/>
      <c r="J2344" s="47" t="e">
        <f t="shared" si="180"/>
        <v>#DIV/0!</v>
      </c>
      <c r="K2344" s="47" t="e">
        <f t="shared" si="181"/>
        <v>#DIV/0!</v>
      </c>
      <c r="O2344" s="17" t="e">
        <f t="shared" si="182"/>
        <v>#DIV/0!</v>
      </c>
      <c r="P2344" s="17" t="e">
        <f t="shared" si="183"/>
        <v>#DIV/0!</v>
      </c>
      <c r="Q2344" s="17"/>
      <c r="V2344" s="45" t="e">
        <f t="shared" si="184"/>
        <v>#DIV/0!</v>
      </c>
      <c r="Y2344" s="62"/>
    </row>
    <row r="2345" spans="8:25" x14ac:dyDescent="0.2">
      <c r="H2345" s="61"/>
      <c r="I2345" s="61"/>
      <c r="J2345" s="47" t="e">
        <f t="shared" si="180"/>
        <v>#DIV/0!</v>
      </c>
      <c r="K2345" s="47" t="e">
        <f t="shared" si="181"/>
        <v>#DIV/0!</v>
      </c>
      <c r="O2345" s="17" t="e">
        <f t="shared" si="182"/>
        <v>#DIV/0!</v>
      </c>
      <c r="P2345" s="17" t="e">
        <f t="shared" si="183"/>
        <v>#DIV/0!</v>
      </c>
      <c r="Q2345" s="17"/>
      <c r="V2345" s="45" t="e">
        <f t="shared" si="184"/>
        <v>#DIV/0!</v>
      </c>
      <c r="Y2345" s="62"/>
    </row>
    <row r="2346" spans="8:25" x14ac:dyDescent="0.2">
      <c r="H2346" s="61"/>
      <c r="I2346" s="61"/>
      <c r="J2346" s="47" t="e">
        <f t="shared" si="180"/>
        <v>#DIV/0!</v>
      </c>
      <c r="K2346" s="47" t="e">
        <f t="shared" si="181"/>
        <v>#DIV/0!</v>
      </c>
      <c r="O2346" s="17" t="e">
        <f t="shared" si="182"/>
        <v>#DIV/0!</v>
      </c>
      <c r="P2346" s="17" t="e">
        <f t="shared" si="183"/>
        <v>#DIV/0!</v>
      </c>
      <c r="Q2346" s="17"/>
      <c r="V2346" s="45" t="e">
        <f t="shared" si="184"/>
        <v>#DIV/0!</v>
      </c>
      <c r="Y2346" s="62"/>
    </row>
    <row r="2347" spans="8:25" x14ac:dyDescent="0.2">
      <c r="H2347" s="61"/>
      <c r="I2347" s="61"/>
      <c r="J2347" s="47" t="e">
        <f t="shared" si="180"/>
        <v>#DIV/0!</v>
      </c>
      <c r="K2347" s="47" t="e">
        <f t="shared" si="181"/>
        <v>#DIV/0!</v>
      </c>
      <c r="O2347" s="17" t="e">
        <f t="shared" si="182"/>
        <v>#DIV/0!</v>
      </c>
      <c r="P2347" s="17" t="e">
        <f t="shared" si="183"/>
        <v>#DIV/0!</v>
      </c>
      <c r="Q2347" s="17"/>
      <c r="V2347" s="45" t="e">
        <f t="shared" si="184"/>
        <v>#DIV/0!</v>
      </c>
      <c r="Y2347" s="62"/>
    </row>
    <row r="2348" spans="8:25" x14ac:dyDescent="0.2">
      <c r="H2348" s="61"/>
      <c r="I2348" s="61"/>
      <c r="J2348" s="47" t="e">
        <f t="shared" si="180"/>
        <v>#DIV/0!</v>
      </c>
      <c r="K2348" s="47" t="e">
        <f t="shared" si="181"/>
        <v>#DIV/0!</v>
      </c>
      <c r="O2348" s="17" t="e">
        <f t="shared" si="182"/>
        <v>#DIV/0!</v>
      </c>
      <c r="P2348" s="17" t="e">
        <f t="shared" si="183"/>
        <v>#DIV/0!</v>
      </c>
      <c r="Q2348" s="17"/>
      <c r="V2348" s="45" t="e">
        <f t="shared" si="184"/>
        <v>#DIV/0!</v>
      </c>
      <c r="Y2348" s="62"/>
    </row>
    <row r="2349" spans="8:25" x14ac:dyDescent="0.2">
      <c r="H2349" s="61"/>
      <c r="I2349" s="61"/>
      <c r="J2349" s="47" t="e">
        <f t="shared" si="180"/>
        <v>#DIV/0!</v>
      </c>
      <c r="K2349" s="47" t="e">
        <f t="shared" si="181"/>
        <v>#DIV/0!</v>
      </c>
      <c r="O2349" s="17" t="e">
        <f t="shared" si="182"/>
        <v>#DIV/0!</v>
      </c>
      <c r="P2349" s="17" t="e">
        <f t="shared" si="183"/>
        <v>#DIV/0!</v>
      </c>
      <c r="Q2349" s="17"/>
      <c r="V2349" s="45" t="e">
        <f t="shared" si="184"/>
        <v>#DIV/0!</v>
      </c>
      <c r="Y2349" s="62"/>
    </row>
    <row r="2350" spans="8:25" x14ac:dyDescent="0.2">
      <c r="H2350" s="61"/>
      <c r="I2350" s="61"/>
      <c r="J2350" s="47" t="e">
        <f t="shared" si="180"/>
        <v>#DIV/0!</v>
      </c>
      <c r="K2350" s="47" t="e">
        <f t="shared" si="181"/>
        <v>#DIV/0!</v>
      </c>
      <c r="O2350" s="17" t="e">
        <f t="shared" si="182"/>
        <v>#DIV/0!</v>
      </c>
      <c r="P2350" s="17" t="e">
        <f t="shared" si="183"/>
        <v>#DIV/0!</v>
      </c>
      <c r="Q2350" s="17"/>
      <c r="V2350" s="45" t="e">
        <f t="shared" si="184"/>
        <v>#DIV/0!</v>
      </c>
      <c r="Y2350" s="62"/>
    </row>
    <row r="2351" spans="8:25" x14ac:dyDescent="0.2">
      <c r="H2351" s="61"/>
      <c r="I2351" s="61"/>
      <c r="J2351" s="47" t="e">
        <f t="shared" si="180"/>
        <v>#DIV/0!</v>
      </c>
      <c r="K2351" s="47" t="e">
        <f t="shared" si="181"/>
        <v>#DIV/0!</v>
      </c>
      <c r="O2351" s="17" t="e">
        <f t="shared" si="182"/>
        <v>#DIV/0!</v>
      </c>
      <c r="P2351" s="17" t="e">
        <f t="shared" si="183"/>
        <v>#DIV/0!</v>
      </c>
      <c r="Q2351" s="17"/>
      <c r="V2351" s="45" t="e">
        <f t="shared" si="184"/>
        <v>#DIV/0!</v>
      </c>
      <c r="Y2351" s="62"/>
    </row>
    <row r="2352" spans="8:25" x14ac:dyDescent="0.2">
      <c r="H2352" s="61"/>
      <c r="I2352" s="61"/>
      <c r="J2352" s="47" t="e">
        <f t="shared" si="180"/>
        <v>#DIV/0!</v>
      </c>
      <c r="K2352" s="47" t="e">
        <f t="shared" si="181"/>
        <v>#DIV/0!</v>
      </c>
      <c r="O2352" s="17" t="e">
        <f t="shared" si="182"/>
        <v>#DIV/0!</v>
      </c>
      <c r="P2352" s="17" t="e">
        <f t="shared" si="183"/>
        <v>#DIV/0!</v>
      </c>
      <c r="Q2352" s="17"/>
      <c r="V2352" s="45" t="e">
        <f t="shared" si="184"/>
        <v>#DIV/0!</v>
      </c>
      <c r="Y2352" s="62"/>
    </row>
    <row r="2353" spans="8:25" x14ac:dyDescent="0.2">
      <c r="H2353" s="61"/>
      <c r="I2353" s="61"/>
      <c r="J2353" s="47" t="e">
        <f t="shared" si="180"/>
        <v>#DIV/0!</v>
      </c>
      <c r="K2353" s="47" t="e">
        <f t="shared" si="181"/>
        <v>#DIV/0!</v>
      </c>
      <c r="O2353" s="17" t="e">
        <f t="shared" si="182"/>
        <v>#DIV/0!</v>
      </c>
      <c r="P2353" s="17" t="e">
        <f t="shared" si="183"/>
        <v>#DIV/0!</v>
      </c>
      <c r="Q2353" s="17"/>
      <c r="V2353" s="45" t="e">
        <f t="shared" si="184"/>
        <v>#DIV/0!</v>
      </c>
      <c r="Y2353" s="62"/>
    </row>
    <row r="2354" spans="8:25" x14ac:dyDescent="0.2">
      <c r="H2354" s="61"/>
      <c r="I2354" s="61"/>
      <c r="J2354" s="47" t="e">
        <f t="shared" si="180"/>
        <v>#DIV/0!</v>
      </c>
      <c r="K2354" s="47" t="e">
        <f t="shared" si="181"/>
        <v>#DIV/0!</v>
      </c>
      <c r="O2354" s="17" t="e">
        <f t="shared" si="182"/>
        <v>#DIV/0!</v>
      </c>
      <c r="P2354" s="17" t="e">
        <f t="shared" si="183"/>
        <v>#DIV/0!</v>
      </c>
      <c r="Q2354" s="17"/>
      <c r="V2354" s="45" t="e">
        <f t="shared" si="184"/>
        <v>#DIV/0!</v>
      </c>
      <c r="Y2354" s="62"/>
    </row>
    <row r="2355" spans="8:25" x14ac:dyDescent="0.2">
      <c r="H2355" s="61"/>
      <c r="I2355" s="61"/>
      <c r="J2355" s="47" t="e">
        <f t="shared" si="180"/>
        <v>#DIV/0!</v>
      </c>
      <c r="K2355" s="47" t="e">
        <f t="shared" si="181"/>
        <v>#DIV/0!</v>
      </c>
      <c r="O2355" s="17" t="e">
        <f t="shared" si="182"/>
        <v>#DIV/0!</v>
      </c>
      <c r="P2355" s="17" t="e">
        <f t="shared" si="183"/>
        <v>#DIV/0!</v>
      </c>
      <c r="Q2355" s="17"/>
      <c r="V2355" s="45" t="e">
        <f t="shared" si="184"/>
        <v>#DIV/0!</v>
      </c>
      <c r="Y2355" s="62"/>
    </row>
    <row r="2356" spans="8:25" x14ac:dyDescent="0.2">
      <c r="H2356" s="61"/>
      <c r="I2356" s="61"/>
      <c r="J2356" s="47" t="e">
        <f t="shared" si="180"/>
        <v>#DIV/0!</v>
      </c>
      <c r="K2356" s="47" t="e">
        <f t="shared" si="181"/>
        <v>#DIV/0!</v>
      </c>
      <c r="O2356" s="17" t="e">
        <f t="shared" si="182"/>
        <v>#DIV/0!</v>
      </c>
      <c r="P2356" s="17" t="e">
        <f t="shared" si="183"/>
        <v>#DIV/0!</v>
      </c>
      <c r="Q2356" s="17"/>
      <c r="V2356" s="45" t="e">
        <f t="shared" si="184"/>
        <v>#DIV/0!</v>
      </c>
      <c r="Y2356" s="62"/>
    </row>
    <row r="2357" spans="8:25" x14ac:dyDescent="0.2">
      <c r="H2357" s="61"/>
      <c r="I2357" s="61"/>
      <c r="J2357" s="47" t="e">
        <f t="shared" si="180"/>
        <v>#DIV/0!</v>
      </c>
      <c r="K2357" s="47" t="e">
        <f t="shared" si="181"/>
        <v>#DIV/0!</v>
      </c>
      <c r="O2357" s="17" t="e">
        <f t="shared" si="182"/>
        <v>#DIV/0!</v>
      </c>
      <c r="P2357" s="17" t="e">
        <f t="shared" si="183"/>
        <v>#DIV/0!</v>
      </c>
      <c r="Q2357" s="17"/>
      <c r="V2357" s="45" t="e">
        <f t="shared" si="184"/>
        <v>#DIV/0!</v>
      </c>
      <c r="Y2357" s="62"/>
    </row>
    <row r="2358" spans="8:25" x14ac:dyDescent="0.2">
      <c r="H2358" s="61"/>
      <c r="I2358" s="61"/>
      <c r="J2358" s="47" t="e">
        <f t="shared" si="180"/>
        <v>#DIV/0!</v>
      </c>
      <c r="K2358" s="47" t="e">
        <f t="shared" si="181"/>
        <v>#DIV/0!</v>
      </c>
      <c r="O2358" s="17" t="e">
        <f t="shared" si="182"/>
        <v>#DIV/0!</v>
      </c>
      <c r="P2358" s="17" t="e">
        <f t="shared" si="183"/>
        <v>#DIV/0!</v>
      </c>
      <c r="Q2358" s="17"/>
      <c r="V2358" s="45" t="e">
        <f t="shared" si="184"/>
        <v>#DIV/0!</v>
      </c>
      <c r="Y2358" s="62"/>
    </row>
    <row r="2359" spans="8:25" x14ac:dyDescent="0.2">
      <c r="H2359" s="61"/>
      <c r="I2359" s="61"/>
      <c r="J2359" s="47" t="e">
        <f t="shared" si="180"/>
        <v>#DIV/0!</v>
      </c>
      <c r="K2359" s="47" t="e">
        <f t="shared" si="181"/>
        <v>#DIV/0!</v>
      </c>
      <c r="O2359" s="17" t="e">
        <f t="shared" si="182"/>
        <v>#DIV/0!</v>
      </c>
      <c r="P2359" s="17" t="e">
        <f t="shared" si="183"/>
        <v>#DIV/0!</v>
      </c>
      <c r="Q2359" s="17"/>
      <c r="V2359" s="45" t="e">
        <f t="shared" si="184"/>
        <v>#DIV/0!</v>
      </c>
      <c r="Y2359" s="62"/>
    </row>
    <row r="2360" spans="8:25" x14ac:dyDescent="0.2">
      <c r="H2360" s="61"/>
      <c r="I2360" s="61"/>
      <c r="J2360" s="47" t="e">
        <f t="shared" si="180"/>
        <v>#DIV/0!</v>
      </c>
      <c r="K2360" s="47" t="e">
        <f t="shared" si="181"/>
        <v>#DIV/0!</v>
      </c>
      <c r="O2360" s="17" t="e">
        <f t="shared" si="182"/>
        <v>#DIV/0!</v>
      </c>
      <c r="P2360" s="17" t="e">
        <f t="shared" si="183"/>
        <v>#DIV/0!</v>
      </c>
      <c r="Q2360" s="17"/>
      <c r="V2360" s="45" t="e">
        <f t="shared" si="184"/>
        <v>#DIV/0!</v>
      </c>
      <c r="Y2360" s="62"/>
    </row>
    <row r="2361" spans="8:25" x14ac:dyDescent="0.2">
      <c r="H2361" s="61"/>
      <c r="I2361" s="61"/>
      <c r="J2361" s="47" t="e">
        <f t="shared" si="180"/>
        <v>#DIV/0!</v>
      </c>
      <c r="K2361" s="47" t="e">
        <f t="shared" si="181"/>
        <v>#DIV/0!</v>
      </c>
      <c r="O2361" s="17" t="e">
        <f t="shared" si="182"/>
        <v>#DIV/0!</v>
      </c>
      <c r="P2361" s="17" t="e">
        <f t="shared" si="183"/>
        <v>#DIV/0!</v>
      </c>
      <c r="Q2361" s="17"/>
      <c r="V2361" s="45" t="e">
        <f t="shared" si="184"/>
        <v>#DIV/0!</v>
      </c>
      <c r="Y2361" s="62"/>
    </row>
    <row r="2362" spans="8:25" x14ac:dyDescent="0.2">
      <c r="H2362" s="61"/>
      <c r="I2362" s="61"/>
      <c r="J2362" s="47" t="e">
        <f t="shared" si="180"/>
        <v>#DIV/0!</v>
      </c>
      <c r="K2362" s="47" t="e">
        <f t="shared" si="181"/>
        <v>#DIV/0!</v>
      </c>
      <c r="O2362" s="17" t="e">
        <f t="shared" si="182"/>
        <v>#DIV/0!</v>
      </c>
      <c r="P2362" s="17" t="e">
        <f t="shared" si="183"/>
        <v>#DIV/0!</v>
      </c>
      <c r="Q2362" s="17"/>
      <c r="V2362" s="45" t="e">
        <f t="shared" si="184"/>
        <v>#DIV/0!</v>
      </c>
      <c r="Y2362" s="62"/>
    </row>
    <row r="2363" spans="8:25" x14ac:dyDescent="0.2">
      <c r="H2363" s="61"/>
      <c r="I2363" s="61"/>
      <c r="J2363" s="47" t="e">
        <f t="shared" si="180"/>
        <v>#DIV/0!</v>
      </c>
      <c r="K2363" s="47" t="e">
        <f t="shared" si="181"/>
        <v>#DIV/0!</v>
      </c>
      <c r="O2363" s="17" t="e">
        <f t="shared" si="182"/>
        <v>#DIV/0!</v>
      </c>
      <c r="P2363" s="17" t="e">
        <f t="shared" si="183"/>
        <v>#DIV/0!</v>
      </c>
      <c r="Q2363" s="17"/>
      <c r="V2363" s="45" t="e">
        <f t="shared" si="184"/>
        <v>#DIV/0!</v>
      </c>
      <c r="Y2363" s="62"/>
    </row>
    <row r="2364" spans="8:25" x14ac:dyDescent="0.2">
      <c r="H2364" s="61"/>
      <c r="I2364" s="61"/>
      <c r="J2364" s="47" t="e">
        <f t="shared" si="180"/>
        <v>#DIV/0!</v>
      </c>
      <c r="K2364" s="47" t="e">
        <f t="shared" si="181"/>
        <v>#DIV/0!</v>
      </c>
      <c r="O2364" s="17" t="e">
        <f t="shared" si="182"/>
        <v>#DIV/0!</v>
      </c>
      <c r="P2364" s="17" t="e">
        <f t="shared" si="183"/>
        <v>#DIV/0!</v>
      </c>
      <c r="Q2364" s="17"/>
      <c r="V2364" s="45" t="e">
        <f t="shared" si="184"/>
        <v>#DIV/0!</v>
      </c>
      <c r="Y2364" s="62"/>
    </row>
    <row r="2365" spans="8:25" x14ac:dyDescent="0.2">
      <c r="H2365" s="61"/>
      <c r="I2365" s="61"/>
      <c r="J2365" s="47" t="e">
        <f t="shared" si="180"/>
        <v>#DIV/0!</v>
      </c>
      <c r="K2365" s="47" t="e">
        <f t="shared" si="181"/>
        <v>#DIV/0!</v>
      </c>
      <c r="O2365" s="17" t="e">
        <f t="shared" si="182"/>
        <v>#DIV/0!</v>
      </c>
      <c r="P2365" s="17" t="e">
        <f t="shared" si="183"/>
        <v>#DIV/0!</v>
      </c>
      <c r="Q2365" s="17"/>
      <c r="V2365" s="45" t="e">
        <f t="shared" si="184"/>
        <v>#DIV/0!</v>
      </c>
      <c r="Y2365" s="62"/>
    </row>
    <row r="2366" spans="8:25" x14ac:dyDescent="0.2">
      <c r="H2366" s="61"/>
      <c r="I2366" s="61"/>
      <c r="J2366" s="47" t="e">
        <f t="shared" si="180"/>
        <v>#DIV/0!</v>
      </c>
      <c r="K2366" s="47" t="e">
        <f t="shared" si="181"/>
        <v>#DIV/0!</v>
      </c>
      <c r="O2366" s="17" t="e">
        <f t="shared" si="182"/>
        <v>#DIV/0!</v>
      </c>
      <c r="P2366" s="17" t="e">
        <f t="shared" si="183"/>
        <v>#DIV/0!</v>
      </c>
      <c r="Q2366" s="17"/>
      <c r="V2366" s="45" t="e">
        <f t="shared" si="184"/>
        <v>#DIV/0!</v>
      </c>
      <c r="Y2366" s="62"/>
    </row>
    <row r="2367" spans="8:25" x14ac:dyDescent="0.2">
      <c r="H2367" s="61"/>
      <c r="I2367" s="61"/>
      <c r="J2367" s="47" t="e">
        <f t="shared" si="180"/>
        <v>#DIV/0!</v>
      </c>
      <c r="K2367" s="47" t="e">
        <f t="shared" si="181"/>
        <v>#DIV/0!</v>
      </c>
      <c r="O2367" s="17" t="e">
        <f t="shared" si="182"/>
        <v>#DIV/0!</v>
      </c>
      <c r="P2367" s="17" t="e">
        <f t="shared" si="183"/>
        <v>#DIV/0!</v>
      </c>
      <c r="Q2367" s="17"/>
      <c r="V2367" s="45" t="e">
        <f t="shared" si="184"/>
        <v>#DIV/0!</v>
      </c>
      <c r="Y2367" s="62"/>
    </row>
    <row r="2368" spans="8:25" x14ac:dyDescent="0.2">
      <c r="H2368" s="61"/>
      <c r="I2368" s="61"/>
      <c r="J2368" s="47" t="e">
        <f t="shared" si="180"/>
        <v>#DIV/0!</v>
      </c>
      <c r="K2368" s="47" t="e">
        <f t="shared" si="181"/>
        <v>#DIV/0!</v>
      </c>
      <c r="O2368" s="17" t="e">
        <f t="shared" si="182"/>
        <v>#DIV/0!</v>
      </c>
      <c r="P2368" s="17" t="e">
        <f t="shared" si="183"/>
        <v>#DIV/0!</v>
      </c>
      <c r="Q2368" s="17"/>
      <c r="V2368" s="45" t="e">
        <f t="shared" si="184"/>
        <v>#DIV/0!</v>
      </c>
      <c r="Y2368" s="62"/>
    </row>
    <row r="2369" spans="8:25" x14ac:dyDescent="0.2">
      <c r="H2369" s="61"/>
      <c r="I2369" s="61"/>
      <c r="J2369" s="47" t="e">
        <f t="shared" si="180"/>
        <v>#DIV/0!</v>
      </c>
      <c r="K2369" s="47" t="e">
        <f t="shared" si="181"/>
        <v>#DIV/0!</v>
      </c>
      <c r="O2369" s="17" t="e">
        <f t="shared" si="182"/>
        <v>#DIV/0!</v>
      </c>
      <c r="P2369" s="17" t="e">
        <f t="shared" si="183"/>
        <v>#DIV/0!</v>
      </c>
      <c r="Q2369" s="17"/>
      <c r="V2369" s="45" t="e">
        <f t="shared" si="184"/>
        <v>#DIV/0!</v>
      </c>
      <c r="Y2369" s="62"/>
    </row>
    <row r="2370" spans="8:25" x14ac:dyDescent="0.2">
      <c r="H2370" s="61"/>
      <c r="I2370" s="61"/>
      <c r="J2370" s="47" t="e">
        <f t="shared" si="180"/>
        <v>#DIV/0!</v>
      </c>
      <c r="K2370" s="47" t="e">
        <f t="shared" si="181"/>
        <v>#DIV/0!</v>
      </c>
      <c r="O2370" s="17" t="e">
        <f t="shared" si="182"/>
        <v>#DIV/0!</v>
      </c>
      <c r="P2370" s="17" t="e">
        <f t="shared" si="183"/>
        <v>#DIV/0!</v>
      </c>
      <c r="Q2370" s="17"/>
      <c r="V2370" s="45" t="e">
        <f t="shared" si="184"/>
        <v>#DIV/0!</v>
      </c>
      <c r="Y2370" s="62"/>
    </row>
    <row r="2371" spans="8:25" x14ac:dyDescent="0.2">
      <c r="H2371" s="61"/>
      <c r="I2371" s="61"/>
      <c r="J2371" s="47" t="e">
        <f t="shared" ref="J2371:J2434" si="185">(H2371-G2371)/ABS(G2371)</f>
        <v>#DIV/0!</v>
      </c>
      <c r="K2371" s="47" t="e">
        <f t="shared" ref="K2371:K2434" si="186">(I2371-H2371)/ABS(H2371)</f>
        <v>#DIV/0!</v>
      </c>
      <c r="O2371" s="17" t="e">
        <f t="shared" ref="O2371:O2434" si="187">M2371/(J2371*100)</f>
        <v>#DIV/0!</v>
      </c>
      <c r="P2371" s="17" t="e">
        <f t="shared" ref="P2371:P2434" si="188">N2371/(K2371*100)</f>
        <v>#DIV/0!</v>
      </c>
      <c r="Q2371" s="17"/>
      <c r="V2371" s="45" t="e">
        <f t="shared" ref="V2371:V2434" si="189">(T2371-U2371)/U2371</f>
        <v>#DIV/0!</v>
      </c>
      <c r="Y2371" s="62"/>
    </row>
    <row r="2372" spans="8:25" x14ac:dyDescent="0.2">
      <c r="H2372" s="61"/>
      <c r="I2372" s="61"/>
      <c r="J2372" s="47" t="e">
        <f t="shared" si="185"/>
        <v>#DIV/0!</v>
      </c>
      <c r="K2372" s="47" t="e">
        <f t="shared" si="186"/>
        <v>#DIV/0!</v>
      </c>
      <c r="O2372" s="17" t="e">
        <f t="shared" si="187"/>
        <v>#DIV/0!</v>
      </c>
      <c r="P2372" s="17" t="e">
        <f t="shared" si="188"/>
        <v>#DIV/0!</v>
      </c>
      <c r="Q2372" s="17"/>
      <c r="V2372" s="45" t="e">
        <f t="shared" si="189"/>
        <v>#DIV/0!</v>
      </c>
      <c r="Y2372" s="62"/>
    </row>
    <row r="2373" spans="8:25" x14ac:dyDescent="0.2">
      <c r="H2373" s="61"/>
      <c r="I2373" s="61"/>
      <c r="J2373" s="47" t="e">
        <f t="shared" si="185"/>
        <v>#DIV/0!</v>
      </c>
      <c r="K2373" s="47" t="e">
        <f t="shared" si="186"/>
        <v>#DIV/0!</v>
      </c>
      <c r="O2373" s="17" t="e">
        <f t="shared" si="187"/>
        <v>#DIV/0!</v>
      </c>
      <c r="P2373" s="17" t="e">
        <f t="shared" si="188"/>
        <v>#DIV/0!</v>
      </c>
      <c r="Q2373" s="17"/>
      <c r="V2373" s="45" t="e">
        <f t="shared" si="189"/>
        <v>#DIV/0!</v>
      </c>
      <c r="Y2373" s="62"/>
    </row>
    <row r="2374" spans="8:25" x14ac:dyDescent="0.2">
      <c r="H2374" s="61"/>
      <c r="I2374" s="61"/>
      <c r="J2374" s="47" t="e">
        <f t="shared" si="185"/>
        <v>#DIV/0!</v>
      </c>
      <c r="K2374" s="47" t="e">
        <f t="shared" si="186"/>
        <v>#DIV/0!</v>
      </c>
      <c r="O2374" s="17" t="e">
        <f t="shared" si="187"/>
        <v>#DIV/0!</v>
      </c>
      <c r="P2374" s="17" t="e">
        <f t="shared" si="188"/>
        <v>#DIV/0!</v>
      </c>
      <c r="Q2374" s="17"/>
      <c r="V2374" s="45" t="e">
        <f t="shared" si="189"/>
        <v>#DIV/0!</v>
      </c>
      <c r="Y2374" s="62"/>
    </row>
    <row r="2375" spans="8:25" x14ac:dyDescent="0.2">
      <c r="H2375" s="61"/>
      <c r="I2375" s="61"/>
      <c r="J2375" s="47" t="e">
        <f t="shared" si="185"/>
        <v>#DIV/0!</v>
      </c>
      <c r="K2375" s="47" t="e">
        <f t="shared" si="186"/>
        <v>#DIV/0!</v>
      </c>
      <c r="O2375" s="17" t="e">
        <f t="shared" si="187"/>
        <v>#DIV/0!</v>
      </c>
      <c r="P2375" s="17" t="e">
        <f t="shared" si="188"/>
        <v>#DIV/0!</v>
      </c>
      <c r="Q2375" s="17"/>
      <c r="V2375" s="45" t="e">
        <f t="shared" si="189"/>
        <v>#DIV/0!</v>
      </c>
      <c r="Y2375" s="62"/>
    </row>
    <row r="2376" spans="8:25" x14ac:dyDescent="0.2">
      <c r="H2376" s="61"/>
      <c r="I2376" s="61"/>
      <c r="J2376" s="47" t="e">
        <f t="shared" si="185"/>
        <v>#DIV/0!</v>
      </c>
      <c r="K2376" s="47" t="e">
        <f t="shared" si="186"/>
        <v>#DIV/0!</v>
      </c>
      <c r="O2376" s="17" t="e">
        <f t="shared" si="187"/>
        <v>#DIV/0!</v>
      </c>
      <c r="P2376" s="17" t="e">
        <f t="shared" si="188"/>
        <v>#DIV/0!</v>
      </c>
      <c r="Q2376" s="17"/>
      <c r="V2376" s="45" t="e">
        <f t="shared" si="189"/>
        <v>#DIV/0!</v>
      </c>
      <c r="Y2376" s="62"/>
    </row>
    <row r="2377" spans="8:25" x14ac:dyDescent="0.2">
      <c r="H2377" s="61"/>
      <c r="I2377" s="61"/>
      <c r="J2377" s="47" t="e">
        <f t="shared" si="185"/>
        <v>#DIV/0!</v>
      </c>
      <c r="K2377" s="47" t="e">
        <f t="shared" si="186"/>
        <v>#DIV/0!</v>
      </c>
      <c r="O2377" s="17" t="e">
        <f t="shared" si="187"/>
        <v>#DIV/0!</v>
      </c>
      <c r="P2377" s="17" t="e">
        <f t="shared" si="188"/>
        <v>#DIV/0!</v>
      </c>
      <c r="Q2377" s="17"/>
      <c r="V2377" s="45" t="e">
        <f t="shared" si="189"/>
        <v>#DIV/0!</v>
      </c>
      <c r="Y2377" s="62"/>
    </row>
    <row r="2378" spans="8:25" x14ac:dyDescent="0.2">
      <c r="H2378" s="61"/>
      <c r="I2378" s="61"/>
      <c r="J2378" s="47" t="e">
        <f t="shared" si="185"/>
        <v>#DIV/0!</v>
      </c>
      <c r="K2378" s="47" t="e">
        <f t="shared" si="186"/>
        <v>#DIV/0!</v>
      </c>
      <c r="O2378" s="17" t="e">
        <f t="shared" si="187"/>
        <v>#DIV/0!</v>
      </c>
      <c r="P2378" s="17" t="e">
        <f t="shared" si="188"/>
        <v>#DIV/0!</v>
      </c>
      <c r="Q2378" s="17"/>
      <c r="V2378" s="45" t="e">
        <f t="shared" si="189"/>
        <v>#DIV/0!</v>
      </c>
      <c r="Y2378" s="62"/>
    </row>
    <row r="2379" spans="8:25" x14ac:dyDescent="0.2">
      <c r="H2379" s="61"/>
      <c r="I2379" s="61"/>
      <c r="J2379" s="47" t="e">
        <f t="shared" si="185"/>
        <v>#DIV/0!</v>
      </c>
      <c r="K2379" s="47" t="e">
        <f t="shared" si="186"/>
        <v>#DIV/0!</v>
      </c>
      <c r="O2379" s="17" t="e">
        <f t="shared" si="187"/>
        <v>#DIV/0!</v>
      </c>
      <c r="P2379" s="17" t="e">
        <f t="shared" si="188"/>
        <v>#DIV/0!</v>
      </c>
      <c r="Q2379" s="17"/>
      <c r="V2379" s="45" t="e">
        <f t="shared" si="189"/>
        <v>#DIV/0!</v>
      </c>
      <c r="Y2379" s="62"/>
    </row>
    <row r="2380" spans="8:25" x14ac:dyDescent="0.2">
      <c r="H2380" s="61"/>
      <c r="I2380" s="61"/>
      <c r="J2380" s="47" t="e">
        <f t="shared" si="185"/>
        <v>#DIV/0!</v>
      </c>
      <c r="K2380" s="47" t="e">
        <f t="shared" si="186"/>
        <v>#DIV/0!</v>
      </c>
      <c r="O2380" s="17" t="e">
        <f t="shared" si="187"/>
        <v>#DIV/0!</v>
      </c>
      <c r="P2380" s="17" t="e">
        <f t="shared" si="188"/>
        <v>#DIV/0!</v>
      </c>
      <c r="Q2380" s="17"/>
      <c r="V2380" s="45" t="e">
        <f t="shared" si="189"/>
        <v>#DIV/0!</v>
      </c>
      <c r="Y2380" s="62"/>
    </row>
    <row r="2381" spans="8:25" x14ac:dyDescent="0.2">
      <c r="H2381" s="61"/>
      <c r="I2381" s="61"/>
      <c r="J2381" s="47" t="e">
        <f t="shared" si="185"/>
        <v>#DIV/0!</v>
      </c>
      <c r="K2381" s="47" t="e">
        <f t="shared" si="186"/>
        <v>#DIV/0!</v>
      </c>
      <c r="O2381" s="17" t="e">
        <f t="shared" si="187"/>
        <v>#DIV/0!</v>
      </c>
      <c r="P2381" s="17" t="e">
        <f t="shared" si="188"/>
        <v>#DIV/0!</v>
      </c>
      <c r="Q2381" s="17"/>
      <c r="V2381" s="45" t="e">
        <f t="shared" si="189"/>
        <v>#DIV/0!</v>
      </c>
      <c r="Y2381" s="62"/>
    </row>
    <row r="2382" spans="8:25" x14ac:dyDescent="0.2">
      <c r="H2382" s="61"/>
      <c r="I2382" s="61"/>
      <c r="J2382" s="47" t="e">
        <f t="shared" si="185"/>
        <v>#DIV/0!</v>
      </c>
      <c r="K2382" s="47" t="e">
        <f t="shared" si="186"/>
        <v>#DIV/0!</v>
      </c>
      <c r="O2382" s="17" t="e">
        <f t="shared" si="187"/>
        <v>#DIV/0!</v>
      </c>
      <c r="P2382" s="17" t="e">
        <f t="shared" si="188"/>
        <v>#DIV/0!</v>
      </c>
      <c r="Q2382" s="17"/>
      <c r="V2382" s="45" t="e">
        <f t="shared" si="189"/>
        <v>#DIV/0!</v>
      </c>
      <c r="Y2382" s="62"/>
    </row>
    <row r="2383" spans="8:25" x14ac:dyDescent="0.2">
      <c r="H2383" s="61"/>
      <c r="I2383" s="61"/>
      <c r="J2383" s="47" t="e">
        <f t="shared" si="185"/>
        <v>#DIV/0!</v>
      </c>
      <c r="K2383" s="47" t="e">
        <f t="shared" si="186"/>
        <v>#DIV/0!</v>
      </c>
      <c r="O2383" s="17" t="e">
        <f t="shared" si="187"/>
        <v>#DIV/0!</v>
      </c>
      <c r="P2383" s="17" t="e">
        <f t="shared" si="188"/>
        <v>#DIV/0!</v>
      </c>
      <c r="Q2383" s="17"/>
      <c r="V2383" s="45" t="e">
        <f t="shared" si="189"/>
        <v>#DIV/0!</v>
      </c>
      <c r="Y2383" s="62"/>
    </row>
    <row r="2384" spans="8:25" x14ac:dyDescent="0.2">
      <c r="H2384" s="61"/>
      <c r="I2384" s="61"/>
      <c r="J2384" s="47" t="e">
        <f t="shared" si="185"/>
        <v>#DIV/0!</v>
      </c>
      <c r="K2384" s="47" t="e">
        <f t="shared" si="186"/>
        <v>#DIV/0!</v>
      </c>
      <c r="O2384" s="17" t="e">
        <f t="shared" si="187"/>
        <v>#DIV/0!</v>
      </c>
      <c r="P2384" s="17" t="e">
        <f t="shared" si="188"/>
        <v>#DIV/0!</v>
      </c>
      <c r="Q2384" s="17"/>
      <c r="V2384" s="45" t="e">
        <f t="shared" si="189"/>
        <v>#DIV/0!</v>
      </c>
      <c r="Y2384" s="62"/>
    </row>
    <row r="2385" spans="8:25" x14ac:dyDescent="0.2">
      <c r="H2385" s="61"/>
      <c r="I2385" s="61"/>
      <c r="J2385" s="47" t="e">
        <f t="shared" si="185"/>
        <v>#DIV/0!</v>
      </c>
      <c r="K2385" s="47" t="e">
        <f t="shared" si="186"/>
        <v>#DIV/0!</v>
      </c>
      <c r="O2385" s="17" t="e">
        <f t="shared" si="187"/>
        <v>#DIV/0!</v>
      </c>
      <c r="P2385" s="17" t="e">
        <f t="shared" si="188"/>
        <v>#DIV/0!</v>
      </c>
      <c r="Q2385" s="17"/>
      <c r="V2385" s="45" t="e">
        <f t="shared" si="189"/>
        <v>#DIV/0!</v>
      </c>
      <c r="Y2385" s="62"/>
    </row>
    <row r="2386" spans="8:25" x14ac:dyDescent="0.2">
      <c r="H2386" s="61"/>
      <c r="I2386" s="61"/>
      <c r="J2386" s="47" t="e">
        <f t="shared" si="185"/>
        <v>#DIV/0!</v>
      </c>
      <c r="K2386" s="47" t="e">
        <f t="shared" si="186"/>
        <v>#DIV/0!</v>
      </c>
      <c r="O2386" s="17" t="e">
        <f t="shared" si="187"/>
        <v>#DIV/0!</v>
      </c>
      <c r="P2386" s="17" t="e">
        <f t="shared" si="188"/>
        <v>#DIV/0!</v>
      </c>
      <c r="Q2386" s="17"/>
      <c r="V2386" s="45" t="e">
        <f t="shared" si="189"/>
        <v>#DIV/0!</v>
      </c>
      <c r="Y2386" s="62"/>
    </row>
    <row r="2387" spans="8:25" x14ac:dyDescent="0.2">
      <c r="H2387" s="61"/>
      <c r="I2387" s="61"/>
      <c r="J2387" s="47" t="e">
        <f t="shared" si="185"/>
        <v>#DIV/0!</v>
      </c>
      <c r="K2387" s="47" t="e">
        <f t="shared" si="186"/>
        <v>#DIV/0!</v>
      </c>
      <c r="O2387" s="17" t="e">
        <f t="shared" si="187"/>
        <v>#DIV/0!</v>
      </c>
      <c r="P2387" s="17" t="e">
        <f t="shared" si="188"/>
        <v>#DIV/0!</v>
      </c>
      <c r="Q2387" s="17"/>
      <c r="V2387" s="45" t="e">
        <f t="shared" si="189"/>
        <v>#DIV/0!</v>
      </c>
      <c r="Y2387" s="62"/>
    </row>
    <row r="2388" spans="8:25" x14ac:dyDescent="0.2">
      <c r="H2388" s="61"/>
      <c r="I2388" s="61"/>
      <c r="J2388" s="47" t="e">
        <f t="shared" si="185"/>
        <v>#DIV/0!</v>
      </c>
      <c r="K2388" s="47" t="e">
        <f t="shared" si="186"/>
        <v>#DIV/0!</v>
      </c>
      <c r="O2388" s="17" t="e">
        <f t="shared" si="187"/>
        <v>#DIV/0!</v>
      </c>
      <c r="P2388" s="17" t="e">
        <f t="shared" si="188"/>
        <v>#DIV/0!</v>
      </c>
      <c r="Q2388" s="17"/>
      <c r="V2388" s="45" t="e">
        <f t="shared" si="189"/>
        <v>#DIV/0!</v>
      </c>
      <c r="Y2388" s="62"/>
    </row>
    <row r="2389" spans="8:25" x14ac:dyDescent="0.2">
      <c r="H2389" s="61"/>
      <c r="I2389" s="61"/>
      <c r="J2389" s="47" t="e">
        <f t="shared" si="185"/>
        <v>#DIV/0!</v>
      </c>
      <c r="K2389" s="47" t="e">
        <f t="shared" si="186"/>
        <v>#DIV/0!</v>
      </c>
      <c r="O2389" s="17" t="e">
        <f t="shared" si="187"/>
        <v>#DIV/0!</v>
      </c>
      <c r="P2389" s="17" t="e">
        <f t="shared" si="188"/>
        <v>#DIV/0!</v>
      </c>
      <c r="Q2389" s="17"/>
      <c r="V2389" s="45" t="e">
        <f t="shared" si="189"/>
        <v>#DIV/0!</v>
      </c>
      <c r="Y2389" s="62"/>
    </row>
    <row r="2390" spans="8:25" x14ac:dyDescent="0.2">
      <c r="H2390" s="61"/>
      <c r="I2390" s="61"/>
      <c r="J2390" s="47" t="e">
        <f t="shared" si="185"/>
        <v>#DIV/0!</v>
      </c>
      <c r="K2390" s="47" t="e">
        <f t="shared" si="186"/>
        <v>#DIV/0!</v>
      </c>
      <c r="O2390" s="17" t="e">
        <f t="shared" si="187"/>
        <v>#DIV/0!</v>
      </c>
      <c r="P2390" s="17" t="e">
        <f t="shared" si="188"/>
        <v>#DIV/0!</v>
      </c>
      <c r="Q2390" s="17"/>
      <c r="V2390" s="45" t="e">
        <f t="shared" si="189"/>
        <v>#DIV/0!</v>
      </c>
      <c r="Y2390" s="62"/>
    </row>
    <row r="2391" spans="8:25" x14ac:dyDescent="0.2">
      <c r="H2391" s="61"/>
      <c r="I2391" s="61"/>
      <c r="J2391" s="47" t="e">
        <f t="shared" si="185"/>
        <v>#DIV/0!</v>
      </c>
      <c r="K2391" s="47" t="e">
        <f t="shared" si="186"/>
        <v>#DIV/0!</v>
      </c>
      <c r="O2391" s="17" t="e">
        <f t="shared" si="187"/>
        <v>#DIV/0!</v>
      </c>
      <c r="P2391" s="17" t="e">
        <f t="shared" si="188"/>
        <v>#DIV/0!</v>
      </c>
      <c r="Q2391" s="17"/>
      <c r="V2391" s="45" t="e">
        <f t="shared" si="189"/>
        <v>#DIV/0!</v>
      </c>
      <c r="Y2391" s="62"/>
    </row>
    <row r="2392" spans="8:25" x14ac:dyDescent="0.2">
      <c r="H2392" s="61"/>
      <c r="I2392" s="61"/>
      <c r="J2392" s="47" t="e">
        <f t="shared" si="185"/>
        <v>#DIV/0!</v>
      </c>
      <c r="K2392" s="47" t="e">
        <f t="shared" si="186"/>
        <v>#DIV/0!</v>
      </c>
      <c r="O2392" s="17" t="e">
        <f t="shared" si="187"/>
        <v>#DIV/0!</v>
      </c>
      <c r="P2392" s="17" t="e">
        <f t="shared" si="188"/>
        <v>#DIV/0!</v>
      </c>
      <c r="Q2392" s="17"/>
      <c r="V2392" s="45" t="e">
        <f t="shared" si="189"/>
        <v>#DIV/0!</v>
      </c>
      <c r="Y2392" s="62"/>
    </row>
    <row r="2393" spans="8:25" x14ac:dyDescent="0.2">
      <c r="H2393" s="61"/>
      <c r="I2393" s="61"/>
      <c r="J2393" s="47" t="e">
        <f t="shared" si="185"/>
        <v>#DIV/0!</v>
      </c>
      <c r="K2393" s="47" t="e">
        <f t="shared" si="186"/>
        <v>#DIV/0!</v>
      </c>
      <c r="O2393" s="17" t="e">
        <f t="shared" si="187"/>
        <v>#DIV/0!</v>
      </c>
      <c r="P2393" s="17" t="e">
        <f t="shared" si="188"/>
        <v>#DIV/0!</v>
      </c>
      <c r="Q2393" s="17"/>
      <c r="V2393" s="45" t="e">
        <f t="shared" si="189"/>
        <v>#DIV/0!</v>
      </c>
      <c r="Y2393" s="62"/>
    </row>
    <row r="2394" spans="8:25" x14ac:dyDescent="0.2">
      <c r="H2394" s="61"/>
      <c r="I2394" s="61"/>
      <c r="J2394" s="47" t="e">
        <f t="shared" si="185"/>
        <v>#DIV/0!</v>
      </c>
      <c r="K2394" s="47" t="e">
        <f t="shared" si="186"/>
        <v>#DIV/0!</v>
      </c>
      <c r="O2394" s="17" t="e">
        <f t="shared" si="187"/>
        <v>#DIV/0!</v>
      </c>
      <c r="P2394" s="17" t="e">
        <f t="shared" si="188"/>
        <v>#DIV/0!</v>
      </c>
      <c r="Q2394" s="17"/>
      <c r="V2394" s="45" t="e">
        <f t="shared" si="189"/>
        <v>#DIV/0!</v>
      </c>
      <c r="Y2394" s="62"/>
    </row>
    <row r="2395" spans="8:25" x14ac:dyDescent="0.2">
      <c r="H2395" s="61"/>
      <c r="I2395" s="61"/>
      <c r="J2395" s="47" t="e">
        <f t="shared" si="185"/>
        <v>#DIV/0!</v>
      </c>
      <c r="K2395" s="47" t="e">
        <f t="shared" si="186"/>
        <v>#DIV/0!</v>
      </c>
      <c r="O2395" s="17" t="e">
        <f t="shared" si="187"/>
        <v>#DIV/0!</v>
      </c>
      <c r="P2395" s="17" t="e">
        <f t="shared" si="188"/>
        <v>#DIV/0!</v>
      </c>
      <c r="Q2395" s="17"/>
      <c r="V2395" s="45" t="e">
        <f t="shared" si="189"/>
        <v>#DIV/0!</v>
      </c>
      <c r="Y2395" s="62"/>
    </row>
    <row r="2396" spans="8:25" x14ac:dyDescent="0.2">
      <c r="H2396" s="61"/>
      <c r="I2396" s="61"/>
      <c r="J2396" s="47" t="e">
        <f t="shared" si="185"/>
        <v>#DIV/0!</v>
      </c>
      <c r="K2396" s="47" t="e">
        <f t="shared" si="186"/>
        <v>#DIV/0!</v>
      </c>
      <c r="O2396" s="17" t="e">
        <f t="shared" si="187"/>
        <v>#DIV/0!</v>
      </c>
      <c r="P2396" s="17" t="e">
        <f t="shared" si="188"/>
        <v>#DIV/0!</v>
      </c>
      <c r="Q2396" s="17"/>
      <c r="V2396" s="45" t="e">
        <f t="shared" si="189"/>
        <v>#DIV/0!</v>
      </c>
      <c r="Y2396" s="62"/>
    </row>
    <row r="2397" spans="8:25" x14ac:dyDescent="0.2">
      <c r="H2397" s="61"/>
      <c r="I2397" s="61"/>
      <c r="J2397" s="47" t="e">
        <f t="shared" si="185"/>
        <v>#DIV/0!</v>
      </c>
      <c r="K2397" s="47" t="e">
        <f t="shared" si="186"/>
        <v>#DIV/0!</v>
      </c>
      <c r="O2397" s="17" t="e">
        <f t="shared" si="187"/>
        <v>#DIV/0!</v>
      </c>
      <c r="P2397" s="17" t="e">
        <f t="shared" si="188"/>
        <v>#DIV/0!</v>
      </c>
      <c r="Q2397" s="17"/>
      <c r="V2397" s="45" t="e">
        <f t="shared" si="189"/>
        <v>#DIV/0!</v>
      </c>
      <c r="Y2397" s="62"/>
    </row>
    <row r="2398" spans="8:25" x14ac:dyDescent="0.2">
      <c r="H2398" s="61"/>
      <c r="I2398" s="61"/>
      <c r="J2398" s="47" t="e">
        <f t="shared" si="185"/>
        <v>#DIV/0!</v>
      </c>
      <c r="K2398" s="47" t="e">
        <f t="shared" si="186"/>
        <v>#DIV/0!</v>
      </c>
      <c r="O2398" s="17" t="e">
        <f t="shared" si="187"/>
        <v>#DIV/0!</v>
      </c>
      <c r="P2398" s="17" t="e">
        <f t="shared" si="188"/>
        <v>#DIV/0!</v>
      </c>
      <c r="Q2398" s="17"/>
      <c r="V2398" s="45" t="e">
        <f t="shared" si="189"/>
        <v>#DIV/0!</v>
      </c>
      <c r="Y2398" s="62"/>
    </row>
    <row r="2399" spans="8:25" x14ac:dyDescent="0.2">
      <c r="H2399" s="61"/>
      <c r="I2399" s="61"/>
      <c r="J2399" s="47" t="e">
        <f t="shared" si="185"/>
        <v>#DIV/0!</v>
      </c>
      <c r="K2399" s="47" t="e">
        <f t="shared" si="186"/>
        <v>#DIV/0!</v>
      </c>
      <c r="O2399" s="17" t="e">
        <f t="shared" si="187"/>
        <v>#DIV/0!</v>
      </c>
      <c r="P2399" s="17" t="e">
        <f t="shared" si="188"/>
        <v>#DIV/0!</v>
      </c>
      <c r="Q2399" s="17"/>
      <c r="V2399" s="45" t="e">
        <f t="shared" si="189"/>
        <v>#DIV/0!</v>
      </c>
      <c r="Y2399" s="62"/>
    </row>
    <row r="2400" spans="8:25" x14ac:dyDescent="0.2">
      <c r="H2400" s="61"/>
      <c r="I2400" s="61"/>
      <c r="J2400" s="47" t="e">
        <f t="shared" si="185"/>
        <v>#DIV/0!</v>
      </c>
      <c r="K2400" s="47" t="e">
        <f t="shared" si="186"/>
        <v>#DIV/0!</v>
      </c>
      <c r="O2400" s="17" t="e">
        <f t="shared" si="187"/>
        <v>#DIV/0!</v>
      </c>
      <c r="P2400" s="17" t="e">
        <f t="shared" si="188"/>
        <v>#DIV/0!</v>
      </c>
      <c r="Q2400" s="17"/>
      <c r="V2400" s="45" t="e">
        <f t="shared" si="189"/>
        <v>#DIV/0!</v>
      </c>
      <c r="Y2400" s="62"/>
    </row>
    <row r="2401" spans="8:25" x14ac:dyDescent="0.2">
      <c r="H2401" s="61"/>
      <c r="I2401" s="61"/>
      <c r="J2401" s="47" t="e">
        <f t="shared" si="185"/>
        <v>#DIV/0!</v>
      </c>
      <c r="K2401" s="47" t="e">
        <f t="shared" si="186"/>
        <v>#DIV/0!</v>
      </c>
      <c r="O2401" s="17" t="e">
        <f t="shared" si="187"/>
        <v>#DIV/0!</v>
      </c>
      <c r="P2401" s="17" t="e">
        <f t="shared" si="188"/>
        <v>#DIV/0!</v>
      </c>
      <c r="Q2401" s="17"/>
      <c r="V2401" s="45" t="e">
        <f t="shared" si="189"/>
        <v>#DIV/0!</v>
      </c>
      <c r="Y2401" s="62"/>
    </row>
    <row r="2402" spans="8:25" x14ac:dyDescent="0.2">
      <c r="H2402" s="61"/>
      <c r="I2402" s="61"/>
      <c r="J2402" s="47" t="e">
        <f t="shared" si="185"/>
        <v>#DIV/0!</v>
      </c>
      <c r="K2402" s="47" t="e">
        <f t="shared" si="186"/>
        <v>#DIV/0!</v>
      </c>
      <c r="O2402" s="17" t="e">
        <f t="shared" si="187"/>
        <v>#DIV/0!</v>
      </c>
      <c r="P2402" s="17" t="e">
        <f t="shared" si="188"/>
        <v>#DIV/0!</v>
      </c>
      <c r="Q2402" s="17"/>
      <c r="V2402" s="45" t="e">
        <f t="shared" si="189"/>
        <v>#DIV/0!</v>
      </c>
      <c r="Y2402" s="62"/>
    </row>
    <row r="2403" spans="8:25" x14ac:dyDescent="0.2">
      <c r="H2403" s="61"/>
      <c r="I2403" s="61"/>
      <c r="J2403" s="47" t="e">
        <f t="shared" si="185"/>
        <v>#DIV/0!</v>
      </c>
      <c r="K2403" s="47" t="e">
        <f t="shared" si="186"/>
        <v>#DIV/0!</v>
      </c>
      <c r="O2403" s="17" t="e">
        <f t="shared" si="187"/>
        <v>#DIV/0!</v>
      </c>
      <c r="P2403" s="17" t="e">
        <f t="shared" si="188"/>
        <v>#DIV/0!</v>
      </c>
      <c r="Q2403" s="17"/>
      <c r="V2403" s="45" t="e">
        <f t="shared" si="189"/>
        <v>#DIV/0!</v>
      </c>
      <c r="Y2403" s="62"/>
    </row>
    <row r="2404" spans="8:25" x14ac:dyDescent="0.2">
      <c r="H2404" s="61"/>
      <c r="I2404" s="61"/>
      <c r="J2404" s="47" t="e">
        <f t="shared" si="185"/>
        <v>#DIV/0!</v>
      </c>
      <c r="K2404" s="47" t="e">
        <f t="shared" si="186"/>
        <v>#DIV/0!</v>
      </c>
      <c r="O2404" s="17" t="e">
        <f t="shared" si="187"/>
        <v>#DIV/0!</v>
      </c>
      <c r="P2404" s="17" t="e">
        <f t="shared" si="188"/>
        <v>#DIV/0!</v>
      </c>
      <c r="Q2404" s="17"/>
      <c r="V2404" s="45" t="e">
        <f t="shared" si="189"/>
        <v>#DIV/0!</v>
      </c>
      <c r="Y2404" s="62"/>
    </row>
    <row r="2405" spans="8:25" x14ac:dyDescent="0.2">
      <c r="H2405" s="61"/>
      <c r="I2405" s="61"/>
      <c r="J2405" s="47" t="e">
        <f t="shared" si="185"/>
        <v>#DIV/0!</v>
      </c>
      <c r="K2405" s="47" t="e">
        <f t="shared" si="186"/>
        <v>#DIV/0!</v>
      </c>
      <c r="O2405" s="17" t="e">
        <f t="shared" si="187"/>
        <v>#DIV/0!</v>
      </c>
      <c r="P2405" s="17" t="e">
        <f t="shared" si="188"/>
        <v>#DIV/0!</v>
      </c>
      <c r="Q2405" s="17"/>
      <c r="V2405" s="45" t="e">
        <f t="shared" si="189"/>
        <v>#DIV/0!</v>
      </c>
      <c r="Y2405" s="62"/>
    </row>
    <row r="2406" spans="8:25" x14ac:dyDescent="0.2">
      <c r="H2406" s="61"/>
      <c r="I2406" s="61"/>
      <c r="J2406" s="47" t="e">
        <f t="shared" si="185"/>
        <v>#DIV/0!</v>
      </c>
      <c r="K2406" s="47" t="e">
        <f t="shared" si="186"/>
        <v>#DIV/0!</v>
      </c>
      <c r="O2406" s="17" t="e">
        <f t="shared" si="187"/>
        <v>#DIV/0!</v>
      </c>
      <c r="P2406" s="17" t="e">
        <f t="shared" si="188"/>
        <v>#DIV/0!</v>
      </c>
      <c r="Q2406" s="17"/>
      <c r="V2406" s="45" t="e">
        <f t="shared" si="189"/>
        <v>#DIV/0!</v>
      </c>
      <c r="Y2406" s="62"/>
    </row>
    <row r="2407" spans="8:25" x14ac:dyDescent="0.2">
      <c r="H2407" s="61"/>
      <c r="I2407" s="61"/>
      <c r="J2407" s="47" t="e">
        <f t="shared" si="185"/>
        <v>#DIV/0!</v>
      </c>
      <c r="K2407" s="47" t="e">
        <f t="shared" si="186"/>
        <v>#DIV/0!</v>
      </c>
      <c r="O2407" s="17" t="e">
        <f t="shared" si="187"/>
        <v>#DIV/0!</v>
      </c>
      <c r="P2407" s="17" t="e">
        <f t="shared" si="188"/>
        <v>#DIV/0!</v>
      </c>
      <c r="Q2407" s="17"/>
      <c r="V2407" s="45" t="e">
        <f t="shared" si="189"/>
        <v>#DIV/0!</v>
      </c>
      <c r="Y2407" s="62"/>
    </row>
    <row r="2408" spans="8:25" x14ac:dyDescent="0.2">
      <c r="H2408" s="61"/>
      <c r="I2408" s="61"/>
      <c r="J2408" s="47" t="e">
        <f t="shared" si="185"/>
        <v>#DIV/0!</v>
      </c>
      <c r="K2408" s="47" t="e">
        <f t="shared" si="186"/>
        <v>#DIV/0!</v>
      </c>
      <c r="O2408" s="17" t="e">
        <f t="shared" si="187"/>
        <v>#DIV/0!</v>
      </c>
      <c r="P2408" s="17" t="e">
        <f t="shared" si="188"/>
        <v>#DIV/0!</v>
      </c>
      <c r="Q2408" s="17"/>
      <c r="V2408" s="45" t="e">
        <f t="shared" si="189"/>
        <v>#DIV/0!</v>
      </c>
      <c r="Y2408" s="62"/>
    </row>
    <row r="2409" spans="8:25" x14ac:dyDescent="0.2">
      <c r="H2409" s="61"/>
      <c r="I2409" s="61"/>
      <c r="J2409" s="47" t="e">
        <f t="shared" si="185"/>
        <v>#DIV/0!</v>
      </c>
      <c r="K2409" s="47" t="e">
        <f t="shared" si="186"/>
        <v>#DIV/0!</v>
      </c>
      <c r="O2409" s="17" t="e">
        <f t="shared" si="187"/>
        <v>#DIV/0!</v>
      </c>
      <c r="P2409" s="17" t="e">
        <f t="shared" si="188"/>
        <v>#DIV/0!</v>
      </c>
      <c r="Q2409" s="17"/>
      <c r="V2409" s="45" t="e">
        <f t="shared" si="189"/>
        <v>#DIV/0!</v>
      </c>
      <c r="Y2409" s="62"/>
    </row>
    <row r="2410" spans="8:25" x14ac:dyDescent="0.2">
      <c r="H2410" s="61"/>
      <c r="I2410" s="61"/>
      <c r="J2410" s="47" t="e">
        <f t="shared" si="185"/>
        <v>#DIV/0!</v>
      </c>
      <c r="K2410" s="47" t="e">
        <f t="shared" si="186"/>
        <v>#DIV/0!</v>
      </c>
      <c r="O2410" s="17" t="e">
        <f t="shared" si="187"/>
        <v>#DIV/0!</v>
      </c>
      <c r="P2410" s="17" t="e">
        <f t="shared" si="188"/>
        <v>#DIV/0!</v>
      </c>
      <c r="Q2410" s="17"/>
      <c r="V2410" s="45" t="e">
        <f t="shared" si="189"/>
        <v>#DIV/0!</v>
      </c>
      <c r="Y2410" s="62"/>
    </row>
    <row r="2411" spans="8:25" x14ac:dyDescent="0.2">
      <c r="H2411" s="61"/>
      <c r="I2411" s="61"/>
      <c r="J2411" s="47" t="e">
        <f t="shared" si="185"/>
        <v>#DIV/0!</v>
      </c>
      <c r="K2411" s="47" t="e">
        <f t="shared" si="186"/>
        <v>#DIV/0!</v>
      </c>
      <c r="O2411" s="17" t="e">
        <f t="shared" si="187"/>
        <v>#DIV/0!</v>
      </c>
      <c r="P2411" s="17" t="e">
        <f t="shared" si="188"/>
        <v>#DIV/0!</v>
      </c>
      <c r="Q2411" s="17"/>
      <c r="V2411" s="45" t="e">
        <f t="shared" si="189"/>
        <v>#DIV/0!</v>
      </c>
      <c r="Y2411" s="62"/>
    </row>
    <row r="2412" spans="8:25" x14ac:dyDescent="0.2">
      <c r="H2412" s="61"/>
      <c r="I2412" s="61"/>
      <c r="J2412" s="47" t="e">
        <f t="shared" si="185"/>
        <v>#DIV/0!</v>
      </c>
      <c r="K2412" s="47" t="e">
        <f t="shared" si="186"/>
        <v>#DIV/0!</v>
      </c>
      <c r="O2412" s="17" t="e">
        <f t="shared" si="187"/>
        <v>#DIV/0!</v>
      </c>
      <c r="P2412" s="17" t="e">
        <f t="shared" si="188"/>
        <v>#DIV/0!</v>
      </c>
      <c r="Q2412" s="17"/>
      <c r="V2412" s="45" t="e">
        <f t="shared" si="189"/>
        <v>#DIV/0!</v>
      </c>
      <c r="Y2412" s="62"/>
    </row>
    <row r="2413" spans="8:25" x14ac:dyDescent="0.2">
      <c r="H2413" s="61"/>
      <c r="I2413" s="61"/>
      <c r="J2413" s="47" t="e">
        <f t="shared" si="185"/>
        <v>#DIV/0!</v>
      </c>
      <c r="K2413" s="47" t="e">
        <f t="shared" si="186"/>
        <v>#DIV/0!</v>
      </c>
      <c r="O2413" s="17" t="e">
        <f t="shared" si="187"/>
        <v>#DIV/0!</v>
      </c>
      <c r="P2413" s="17" t="e">
        <f t="shared" si="188"/>
        <v>#DIV/0!</v>
      </c>
      <c r="Q2413" s="17"/>
      <c r="V2413" s="45" t="e">
        <f t="shared" si="189"/>
        <v>#DIV/0!</v>
      </c>
      <c r="Y2413" s="62"/>
    </row>
    <row r="2414" spans="8:25" x14ac:dyDescent="0.2">
      <c r="H2414" s="61"/>
      <c r="I2414" s="61"/>
      <c r="J2414" s="47" t="e">
        <f t="shared" si="185"/>
        <v>#DIV/0!</v>
      </c>
      <c r="K2414" s="47" t="e">
        <f t="shared" si="186"/>
        <v>#DIV/0!</v>
      </c>
      <c r="O2414" s="17" t="e">
        <f t="shared" si="187"/>
        <v>#DIV/0!</v>
      </c>
      <c r="P2414" s="17" t="e">
        <f t="shared" si="188"/>
        <v>#DIV/0!</v>
      </c>
      <c r="Q2414" s="17"/>
      <c r="V2414" s="45" t="e">
        <f t="shared" si="189"/>
        <v>#DIV/0!</v>
      </c>
      <c r="Y2414" s="62"/>
    </row>
    <row r="2415" spans="8:25" x14ac:dyDescent="0.2">
      <c r="H2415" s="61"/>
      <c r="I2415" s="61"/>
      <c r="J2415" s="47" t="e">
        <f t="shared" si="185"/>
        <v>#DIV/0!</v>
      </c>
      <c r="K2415" s="47" t="e">
        <f t="shared" si="186"/>
        <v>#DIV/0!</v>
      </c>
      <c r="O2415" s="17" t="e">
        <f t="shared" si="187"/>
        <v>#DIV/0!</v>
      </c>
      <c r="P2415" s="17" t="e">
        <f t="shared" si="188"/>
        <v>#DIV/0!</v>
      </c>
      <c r="Q2415" s="17"/>
      <c r="V2415" s="45" t="e">
        <f t="shared" si="189"/>
        <v>#DIV/0!</v>
      </c>
      <c r="Y2415" s="62"/>
    </row>
    <row r="2416" spans="8:25" x14ac:dyDescent="0.2">
      <c r="H2416" s="61"/>
      <c r="I2416" s="61"/>
      <c r="J2416" s="47" t="e">
        <f t="shared" si="185"/>
        <v>#DIV/0!</v>
      </c>
      <c r="K2416" s="47" t="e">
        <f t="shared" si="186"/>
        <v>#DIV/0!</v>
      </c>
      <c r="O2416" s="17" t="e">
        <f t="shared" si="187"/>
        <v>#DIV/0!</v>
      </c>
      <c r="P2416" s="17" t="e">
        <f t="shared" si="188"/>
        <v>#DIV/0!</v>
      </c>
      <c r="Q2416" s="17"/>
      <c r="V2416" s="45" t="e">
        <f t="shared" si="189"/>
        <v>#DIV/0!</v>
      </c>
      <c r="Y2416" s="62"/>
    </row>
    <row r="2417" spans="8:25" x14ac:dyDescent="0.2">
      <c r="H2417" s="61"/>
      <c r="I2417" s="61"/>
      <c r="J2417" s="47" t="e">
        <f t="shared" si="185"/>
        <v>#DIV/0!</v>
      </c>
      <c r="K2417" s="47" t="e">
        <f t="shared" si="186"/>
        <v>#DIV/0!</v>
      </c>
      <c r="O2417" s="17" t="e">
        <f t="shared" si="187"/>
        <v>#DIV/0!</v>
      </c>
      <c r="P2417" s="17" t="e">
        <f t="shared" si="188"/>
        <v>#DIV/0!</v>
      </c>
      <c r="Q2417" s="17"/>
      <c r="V2417" s="45" t="e">
        <f t="shared" si="189"/>
        <v>#DIV/0!</v>
      </c>
      <c r="Y2417" s="62"/>
    </row>
    <row r="2418" spans="8:25" x14ac:dyDescent="0.2">
      <c r="H2418" s="61"/>
      <c r="I2418" s="61"/>
      <c r="J2418" s="47" t="e">
        <f t="shared" si="185"/>
        <v>#DIV/0!</v>
      </c>
      <c r="K2418" s="47" t="e">
        <f t="shared" si="186"/>
        <v>#DIV/0!</v>
      </c>
      <c r="O2418" s="17" t="e">
        <f t="shared" si="187"/>
        <v>#DIV/0!</v>
      </c>
      <c r="P2418" s="17" t="e">
        <f t="shared" si="188"/>
        <v>#DIV/0!</v>
      </c>
      <c r="Q2418" s="17"/>
      <c r="V2418" s="45" t="e">
        <f t="shared" si="189"/>
        <v>#DIV/0!</v>
      </c>
      <c r="Y2418" s="62"/>
    </row>
    <row r="2419" spans="8:25" x14ac:dyDescent="0.2">
      <c r="H2419" s="61"/>
      <c r="I2419" s="61"/>
      <c r="J2419" s="47" t="e">
        <f t="shared" si="185"/>
        <v>#DIV/0!</v>
      </c>
      <c r="K2419" s="47" t="e">
        <f t="shared" si="186"/>
        <v>#DIV/0!</v>
      </c>
      <c r="O2419" s="17" t="e">
        <f t="shared" si="187"/>
        <v>#DIV/0!</v>
      </c>
      <c r="P2419" s="17" t="e">
        <f t="shared" si="188"/>
        <v>#DIV/0!</v>
      </c>
      <c r="Q2419" s="17"/>
      <c r="V2419" s="45" t="e">
        <f t="shared" si="189"/>
        <v>#DIV/0!</v>
      </c>
      <c r="Y2419" s="62"/>
    </row>
    <row r="2420" spans="8:25" x14ac:dyDescent="0.2">
      <c r="H2420" s="61"/>
      <c r="I2420" s="61"/>
      <c r="J2420" s="47" t="e">
        <f t="shared" si="185"/>
        <v>#DIV/0!</v>
      </c>
      <c r="K2420" s="47" t="e">
        <f t="shared" si="186"/>
        <v>#DIV/0!</v>
      </c>
      <c r="O2420" s="17" t="e">
        <f t="shared" si="187"/>
        <v>#DIV/0!</v>
      </c>
      <c r="P2420" s="17" t="e">
        <f t="shared" si="188"/>
        <v>#DIV/0!</v>
      </c>
      <c r="Q2420" s="17"/>
      <c r="V2420" s="45" t="e">
        <f t="shared" si="189"/>
        <v>#DIV/0!</v>
      </c>
      <c r="Y2420" s="62"/>
    </row>
    <row r="2421" spans="8:25" x14ac:dyDescent="0.2">
      <c r="H2421" s="61"/>
      <c r="I2421" s="61"/>
      <c r="J2421" s="47" t="e">
        <f t="shared" si="185"/>
        <v>#DIV/0!</v>
      </c>
      <c r="K2421" s="47" t="e">
        <f t="shared" si="186"/>
        <v>#DIV/0!</v>
      </c>
      <c r="O2421" s="17" t="e">
        <f t="shared" si="187"/>
        <v>#DIV/0!</v>
      </c>
      <c r="P2421" s="17" t="e">
        <f t="shared" si="188"/>
        <v>#DIV/0!</v>
      </c>
      <c r="Q2421" s="17"/>
      <c r="V2421" s="45" t="e">
        <f t="shared" si="189"/>
        <v>#DIV/0!</v>
      </c>
      <c r="Y2421" s="62"/>
    </row>
    <row r="2422" spans="8:25" x14ac:dyDescent="0.2">
      <c r="H2422" s="61"/>
      <c r="I2422" s="61"/>
      <c r="J2422" s="47" t="e">
        <f t="shared" si="185"/>
        <v>#DIV/0!</v>
      </c>
      <c r="K2422" s="47" t="e">
        <f t="shared" si="186"/>
        <v>#DIV/0!</v>
      </c>
      <c r="O2422" s="17" t="e">
        <f t="shared" si="187"/>
        <v>#DIV/0!</v>
      </c>
      <c r="P2422" s="17" t="e">
        <f t="shared" si="188"/>
        <v>#DIV/0!</v>
      </c>
      <c r="Q2422" s="17"/>
      <c r="V2422" s="45" t="e">
        <f t="shared" si="189"/>
        <v>#DIV/0!</v>
      </c>
      <c r="Y2422" s="62"/>
    </row>
    <row r="2423" spans="8:25" x14ac:dyDescent="0.2">
      <c r="H2423" s="61"/>
      <c r="I2423" s="61"/>
      <c r="J2423" s="47" t="e">
        <f t="shared" si="185"/>
        <v>#DIV/0!</v>
      </c>
      <c r="K2423" s="47" t="e">
        <f t="shared" si="186"/>
        <v>#DIV/0!</v>
      </c>
      <c r="O2423" s="17" t="e">
        <f t="shared" si="187"/>
        <v>#DIV/0!</v>
      </c>
      <c r="P2423" s="17" t="e">
        <f t="shared" si="188"/>
        <v>#DIV/0!</v>
      </c>
      <c r="Q2423" s="17"/>
      <c r="V2423" s="45" t="e">
        <f t="shared" si="189"/>
        <v>#DIV/0!</v>
      </c>
      <c r="Y2423" s="62"/>
    </row>
    <row r="2424" spans="8:25" x14ac:dyDescent="0.2">
      <c r="H2424" s="61"/>
      <c r="I2424" s="61"/>
      <c r="J2424" s="47" t="e">
        <f t="shared" si="185"/>
        <v>#DIV/0!</v>
      </c>
      <c r="K2424" s="47" t="e">
        <f t="shared" si="186"/>
        <v>#DIV/0!</v>
      </c>
      <c r="O2424" s="17" t="e">
        <f t="shared" si="187"/>
        <v>#DIV/0!</v>
      </c>
      <c r="P2424" s="17" t="e">
        <f t="shared" si="188"/>
        <v>#DIV/0!</v>
      </c>
      <c r="Q2424" s="17"/>
      <c r="V2424" s="45" t="e">
        <f t="shared" si="189"/>
        <v>#DIV/0!</v>
      </c>
      <c r="Y2424" s="62"/>
    </row>
    <row r="2425" spans="8:25" x14ac:dyDescent="0.2">
      <c r="H2425" s="61"/>
      <c r="I2425" s="61"/>
      <c r="J2425" s="47" t="e">
        <f t="shared" si="185"/>
        <v>#DIV/0!</v>
      </c>
      <c r="K2425" s="47" t="e">
        <f t="shared" si="186"/>
        <v>#DIV/0!</v>
      </c>
      <c r="O2425" s="17" t="e">
        <f t="shared" si="187"/>
        <v>#DIV/0!</v>
      </c>
      <c r="P2425" s="17" t="e">
        <f t="shared" si="188"/>
        <v>#DIV/0!</v>
      </c>
      <c r="Q2425" s="17"/>
      <c r="V2425" s="45" t="e">
        <f t="shared" si="189"/>
        <v>#DIV/0!</v>
      </c>
      <c r="Y2425" s="62"/>
    </row>
    <row r="2426" spans="8:25" x14ac:dyDescent="0.2">
      <c r="H2426" s="61"/>
      <c r="I2426" s="61"/>
      <c r="J2426" s="47" t="e">
        <f t="shared" si="185"/>
        <v>#DIV/0!</v>
      </c>
      <c r="K2426" s="47" t="e">
        <f t="shared" si="186"/>
        <v>#DIV/0!</v>
      </c>
      <c r="O2426" s="17" t="e">
        <f t="shared" si="187"/>
        <v>#DIV/0!</v>
      </c>
      <c r="P2426" s="17" t="e">
        <f t="shared" si="188"/>
        <v>#DIV/0!</v>
      </c>
      <c r="Q2426" s="17"/>
      <c r="V2426" s="45" t="e">
        <f t="shared" si="189"/>
        <v>#DIV/0!</v>
      </c>
      <c r="Y2426" s="62"/>
    </row>
    <row r="2427" spans="8:25" x14ac:dyDescent="0.2">
      <c r="H2427" s="61"/>
      <c r="I2427" s="61"/>
      <c r="J2427" s="47" t="e">
        <f t="shared" si="185"/>
        <v>#DIV/0!</v>
      </c>
      <c r="K2427" s="47" t="e">
        <f t="shared" si="186"/>
        <v>#DIV/0!</v>
      </c>
      <c r="O2427" s="17" t="e">
        <f t="shared" si="187"/>
        <v>#DIV/0!</v>
      </c>
      <c r="P2427" s="17" t="e">
        <f t="shared" si="188"/>
        <v>#DIV/0!</v>
      </c>
      <c r="Q2427" s="17"/>
      <c r="V2427" s="45" t="e">
        <f t="shared" si="189"/>
        <v>#DIV/0!</v>
      </c>
      <c r="Y2427" s="62"/>
    </row>
    <row r="2428" spans="8:25" x14ac:dyDescent="0.2">
      <c r="H2428" s="61"/>
      <c r="I2428" s="61"/>
      <c r="J2428" s="47" t="e">
        <f t="shared" si="185"/>
        <v>#DIV/0!</v>
      </c>
      <c r="K2428" s="47" t="e">
        <f t="shared" si="186"/>
        <v>#DIV/0!</v>
      </c>
      <c r="O2428" s="17" t="e">
        <f t="shared" si="187"/>
        <v>#DIV/0!</v>
      </c>
      <c r="P2428" s="17" t="e">
        <f t="shared" si="188"/>
        <v>#DIV/0!</v>
      </c>
      <c r="Q2428" s="17"/>
      <c r="V2428" s="45" t="e">
        <f t="shared" si="189"/>
        <v>#DIV/0!</v>
      </c>
      <c r="Y2428" s="62"/>
    </row>
    <row r="2429" spans="8:25" x14ac:dyDescent="0.2">
      <c r="H2429" s="61"/>
      <c r="I2429" s="61"/>
      <c r="J2429" s="47" t="e">
        <f t="shared" si="185"/>
        <v>#DIV/0!</v>
      </c>
      <c r="K2429" s="47" t="e">
        <f t="shared" si="186"/>
        <v>#DIV/0!</v>
      </c>
      <c r="O2429" s="17" t="e">
        <f t="shared" si="187"/>
        <v>#DIV/0!</v>
      </c>
      <c r="P2429" s="17" t="e">
        <f t="shared" si="188"/>
        <v>#DIV/0!</v>
      </c>
      <c r="Q2429" s="17"/>
      <c r="V2429" s="45" t="e">
        <f t="shared" si="189"/>
        <v>#DIV/0!</v>
      </c>
      <c r="Y2429" s="62"/>
    </row>
    <row r="2430" spans="8:25" x14ac:dyDescent="0.2">
      <c r="H2430" s="61"/>
      <c r="I2430" s="61"/>
      <c r="J2430" s="47" t="e">
        <f t="shared" si="185"/>
        <v>#DIV/0!</v>
      </c>
      <c r="K2430" s="47" t="e">
        <f t="shared" si="186"/>
        <v>#DIV/0!</v>
      </c>
      <c r="O2430" s="17" t="e">
        <f t="shared" si="187"/>
        <v>#DIV/0!</v>
      </c>
      <c r="P2430" s="17" t="e">
        <f t="shared" si="188"/>
        <v>#DIV/0!</v>
      </c>
      <c r="Q2430" s="17"/>
      <c r="V2430" s="45" t="e">
        <f t="shared" si="189"/>
        <v>#DIV/0!</v>
      </c>
      <c r="Y2430" s="62"/>
    </row>
    <row r="2431" spans="8:25" x14ac:dyDescent="0.2">
      <c r="H2431" s="61"/>
      <c r="I2431" s="61"/>
      <c r="J2431" s="47" t="e">
        <f t="shared" si="185"/>
        <v>#DIV/0!</v>
      </c>
      <c r="K2431" s="47" t="e">
        <f t="shared" si="186"/>
        <v>#DIV/0!</v>
      </c>
      <c r="O2431" s="17" t="e">
        <f t="shared" si="187"/>
        <v>#DIV/0!</v>
      </c>
      <c r="P2431" s="17" t="e">
        <f t="shared" si="188"/>
        <v>#DIV/0!</v>
      </c>
      <c r="Q2431" s="17"/>
      <c r="V2431" s="45" t="e">
        <f t="shared" si="189"/>
        <v>#DIV/0!</v>
      </c>
      <c r="Y2431" s="62"/>
    </row>
    <row r="2432" spans="8:25" x14ac:dyDescent="0.2">
      <c r="H2432" s="61"/>
      <c r="I2432" s="61"/>
      <c r="J2432" s="47" t="e">
        <f t="shared" si="185"/>
        <v>#DIV/0!</v>
      </c>
      <c r="K2432" s="47" t="e">
        <f t="shared" si="186"/>
        <v>#DIV/0!</v>
      </c>
      <c r="O2432" s="17" t="e">
        <f t="shared" si="187"/>
        <v>#DIV/0!</v>
      </c>
      <c r="P2432" s="17" t="e">
        <f t="shared" si="188"/>
        <v>#DIV/0!</v>
      </c>
      <c r="Q2432" s="17"/>
      <c r="V2432" s="45" t="e">
        <f t="shared" si="189"/>
        <v>#DIV/0!</v>
      </c>
      <c r="Y2432" s="62"/>
    </row>
    <row r="2433" spans="8:25" x14ac:dyDescent="0.2">
      <c r="H2433" s="61"/>
      <c r="I2433" s="61"/>
      <c r="J2433" s="47" t="e">
        <f t="shared" si="185"/>
        <v>#DIV/0!</v>
      </c>
      <c r="K2433" s="47" t="e">
        <f t="shared" si="186"/>
        <v>#DIV/0!</v>
      </c>
      <c r="O2433" s="17" t="e">
        <f t="shared" si="187"/>
        <v>#DIV/0!</v>
      </c>
      <c r="P2433" s="17" t="e">
        <f t="shared" si="188"/>
        <v>#DIV/0!</v>
      </c>
      <c r="Q2433" s="17"/>
      <c r="V2433" s="45" t="e">
        <f t="shared" si="189"/>
        <v>#DIV/0!</v>
      </c>
      <c r="Y2433" s="62"/>
    </row>
    <row r="2434" spans="8:25" x14ac:dyDescent="0.2">
      <c r="H2434" s="61"/>
      <c r="I2434" s="61"/>
      <c r="J2434" s="47" t="e">
        <f t="shared" si="185"/>
        <v>#DIV/0!</v>
      </c>
      <c r="K2434" s="47" t="e">
        <f t="shared" si="186"/>
        <v>#DIV/0!</v>
      </c>
      <c r="O2434" s="17" t="e">
        <f t="shared" si="187"/>
        <v>#DIV/0!</v>
      </c>
      <c r="P2434" s="17" t="e">
        <f t="shared" si="188"/>
        <v>#DIV/0!</v>
      </c>
      <c r="Q2434" s="17"/>
      <c r="V2434" s="45" t="e">
        <f t="shared" si="189"/>
        <v>#DIV/0!</v>
      </c>
      <c r="Y2434" s="62"/>
    </row>
    <row r="2435" spans="8:25" x14ac:dyDescent="0.2">
      <c r="H2435" s="61"/>
      <c r="I2435" s="61"/>
      <c r="J2435" s="47" t="e">
        <f t="shared" ref="J2435:J2498" si="190">(H2435-G2435)/ABS(G2435)</f>
        <v>#DIV/0!</v>
      </c>
      <c r="K2435" s="47" t="e">
        <f t="shared" ref="K2435:K2498" si="191">(I2435-H2435)/ABS(H2435)</f>
        <v>#DIV/0!</v>
      </c>
      <c r="O2435" s="17" t="e">
        <f t="shared" ref="O2435:O2498" si="192">M2435/(J2435*100)</f>
        <v>#DIV/0!</v>
      </c>
      <c r="P2435" s="17" t="e">
        <f t="shared" ref="P2435:P2498" si="193">N2435/(K2435*100)</f>
        <v>#DIV/0!</v>
      </c>
      <c r="Q2435" s="17"/>
      <c r="V2435" s="45" t="e">
        <f t="shared" ref="V2435:V2498" si="194">(T2435-U2435)/U2435</f>
        <v>#DIV/0!</v>
      </c>
      <c r="Y2435" s="62"/>
    </row>
    <row r="2436" spans="8:25" x14ac:dyDescent="0.2">
      <c r="H2436" s="61"/>
      <c r="I2436" s="61"/>
      <c r="J2436" s="47" t="e">
        <f t="shared" si="190"/>
        <v>#DIV/0!</v>
      </c>
      <c r="K2436" s="47" t="e">
        <f t="shared" si="191"/>
        <v>#DIV/0!</v>
      </c>
      <c r="O2436" s="17" t="e">
        <f t="shared" si="192"/>
        <v>#DIV/0!</v>
      </c>
      <c r="P2436" s="17" t="e">
        <f t="shared" si="193"/>
        <v>#DIV/0!</v>
      </c>
      <c r="Q2436" s="17"/>
      <c r="V2436" s="45" t="e">
        <f t="shared" si="194"/>
        <v>#DIV/0!</v>
      </c>
      <c r="Y2436" s="62"/>
    </row>
    <row r="2437" spans="8:25" x14ac:dyDescent="0.2">
      <c r="H2437" s="61"/>
      <c r="I2437" s="61"/>
      <c r="J2437" s="47" t="e">
        <f t="shared" si="190"/>
        <v>#DIV/0!</v>
      </c>
      <c r="K2437" s="47" t="e">
        <f t="shared" si="191"/>
        <v>#DIV/0!</v>
      </c>
      <c r="O2437" s="17" t="e">
        <f t="shared" si="192"/>
        <v>#DIV/0!</v>
      </c>
      <c r="P2437" s="17" t="e">
        <f t="shared" si="193"/>
        <v>#DIV/0!</v>
      </c>
      <c r="Q2437" s="17"/>
      <c r="V2437" s="45" t="e">
        <f t="shared" si="194"/>
        <v>#DIV/0!</v>
      </c>
      <c r="Y2437" s="62"/>
    </row>
    <row r="2438" spans="8:25" x14ac:dyDescent="0.2">
      <c r="H2438" s="61"/>
      <c r="I2438" s="61"/>
      <c r="J2438" s="47" t="e">
        <f t="shared" si="190"/>
        <v>#DIV/0!</v>
      </c>
      <c r="K2438" s="47" t="e">
        <f t="shared" si="191"/>
        <v>#DIV/0!</v>
      </c>
      <c r="O2438" s="17" t="e">
        <f t="shared" si="192"/>
        <v>#DIV/0!</v>
      </c>
      <c r="P2438" s="17" t="e">
        <f t="shared" si="193"/>
        <v>#DIV/0!</v>
      </c>
      <c r="Q2438" s="17"/>
      <c r="V2438" s="45" t="e">
        <f t="shared" si="194"/>
        <v>#DIV/0!</v>
      </c>
      <c r="Y2438" s="62"/>
    </row>
    <row r="2439" spans="8:25" x14ac:dyDescent="0.2">
      <c r="H2439" s="61"/>
      <c r="I2439" s="61"/>
      <c r="J2439" s="47" t="e">
        <f t="shared" si="190"/>
        <v>#DIV/0!</v>
      </c>
      <c r="K2439" s="47" t="e">
        <f t="shared" si="191"/>
        <v>#DIV/0!</v>
      </c>
      <c r="O2439" s="17" t="e">
        <f t="shared" si="192"/>
        <v>#DIV/0!</v>
      </c>
      <c r="P2439" s="17" t="e">
        <f t="shared" si="193"/>
        <v>#DIV/0!</v>
      </c>
      <c r="Q2439" s="17"/>
      <c r="V2439" s="45" t="e">
        <f t="shared" si="194"/>
        <v>#DIV/0!</v>
      </c>
      <c r="Y2439" s="62"/>
    </row>
    <row r="2440" spans="8:25" x14ac:dyDescent="0.2">
      <c r="H2440" s="61"/>
      <c r="I2440" s="61"/>
      <c r="J2440" s="47" t="e">
        <f t="shared" si="190"/>
        <v>#DIV/0!</v>
      </c>
      <c r="K2440" s="47" t="e">
        <f t="shared" si="191"/>
        <v>#DIV/0!</v>
      </c>
      <c r="O2440" s="17" t="e">
        <f t="shared" si="192"/>
        <v>#DIV/0!</v>
      </c>
      <c r="P2440" s="17" t="e">
        <f t="shared" si="193"/>
        <v>#DIV/0!</v>
      </c>
      <c r="Q2440" s="17"/>
      <c r="V2440" s="45" t="e">
        <f t="shared" si="194"/>
        <v>#DIV/0!</v>
      </c>
      <c r="Y2440" s="62"/>
    </row>
    <row r="2441" spans="8:25" x14ac:dyDescent="0.2">
      <c r="H2441" s="61"/>
      <c r="I2441" s="61"/>
      <c r="J2441" s="47" t="e">
        <f t="shared" si="190"/>
        <v>#DIV/0!</v>
      </c>
      <c r="K2441" s="47" t="e">
        <f t="shared" si="191"/>
        <v>#DIV/0!</v>
      </c>
      <c r="O2441" s="17" t="e">
        <f t="shared" si="192"/>
        <v>#DIV/0!</v>
      </c>
      <c r="P2441" s="17" t="e">
        <f t="shared" si="193"/>
        <v>#DIV/0!</v>
      </c>
      <c r="Q2441" s="17"/>
      <c r="V2441" s="45" t="e">
        <f t="shared" si="194"/>
        <v>#DIV/0!</v>
      </c>
      <c r="Y2441" s="62"/>
    </row>
    <row r="2442" spans="8:25" x14ac:dyDescent="0.2">
      <c r="H2442" s="61"/>
      <c r="I2442" s="61"/>
      <c r="J2442" s="47" t="e">
        <f t="shared" si="190"/>
        <v>#DIV/0!</v>
      </c>
      <c r="K2442" s="47" t="e">
        <f t="shared" si="191"/>
        <v>#DIV/0!</v>
      </c>
      <c r="O2442" s="17" t="e">
        <f t="shared" si="192"/>
        <v>#DIV/0!</v>
      </c>
      <c r="P2442" s="17" t="e">
        <f t="shared" si="193"/>
        <v>#DIV/0!</v>
      </c>
      <c r="Q2442" s="17"/>
      <c r="V2442" s="45" t="e">
        <f t="shared" si="194"/>
        <v>#DIV/0!</v>
      </c>
      <c r="Y2442" s="62"/>
    </row>
    <row r="2443" spans="8:25" x14ac:dyDescent="0.2">
      <c r="H2443" s="61"/>
      <c r="I2443" s="61"/>
      <c r="J2443" s="47" t="e">
        <f t="shared" si="190"/>
        <v>#DIV/0!</v>
      </c>
      <c r="K2443" s="47" t="e">
        <f t="shared" si="191"/>
        <v>#DIV/0!</v>
      </c>
      <c r="O2443" s="17" t="e">
        <f t="shared" si="192"/>
        <v>#DIV/0!</v>
      </c>
      <c r="P2443" s="17" t="e">
        <f t="shared" si="193"/>
        <v>#DIV/0!</v>
      </c>
      <c r="Q2443" s="17"/>
      <c r="V2443" s="45" t="e">
        <f t="shared" si="194"/>
        <v>#DIV/0!</v>
      </c>
      <c r="Y2443" s="62"/>
    </row>
    <row r="2444" spans="8:25" x14ac:dyDescent="0.2">
      <c r="H2444" s="61"/>
      <c r="I2444" s="61"/>
      <c r="J2444" s="47" t="e">
        <f t="shared" si="190"/>
        <v>#DIV/0!</v>
      </c>
      <c r="K2444" s="47" t="e">
        <f t="shared" si="191"/>
        <v>#DIV/0!</v>
      </c>
      <c r="O2444" s="17" t="e">
        <f t="shared" si="192"/>
        <v>#DIV/0!</v>
      </c>
      <c r="P2444" s="17" t="e">
        <f t="shared" si="193"/>
        <v>#DIV/0!</v>
      </c>
      <c r="Q2444" s="17"/>
      <c r="V2444" s="45" t="e">
        <f t="shared" si="194"/>
        <v>#DIV/0!</v>
      </c>
      <c r="Y2444" s="62"/>
    </row>
    <row r="2445" spans="8:25" x14ac:dyDescent="0.2">
      <c r="H2445" s="61"/>
      <c r="I2445" s="61"/>
      <c r="J2445" s="47" t="e">
        <f t="shared" si="190"/>
        <v>#DIV/0!</v>
      </c>
      <c r="K2445" s="47" t="e">
        <f t="shared" si="191"/>
        <v>#DIV/0!</v>
      </c>
      <c r="O2445" s="17" t="e">
        <f t="shared" si="192"/>
        <v>#DIV/0!</v>
      </c>
      <c r="P2445" s="17" t="e">
        <f t="shared" si="193"/>
        <v>#DIV/0!</v>
      </c>
      <c r="Q2445" s="17"/>
      <c r="V2445" s="45" t="e">
        <f t="shared" si="194"/>
        <v>#DIV/0!</v>
      </c>
      <c r="Y2445" s="62"/>
    </row>
    <row r="2446" spans="8:25" x14ac:dyDescent="0.2">
      <c r="H2446" s="61"/>
      <c r="I2446" s="61"/>
      <c r="J2446" s="47" t="e">
        <f t="shared" si="190"/>
        <v>#DIV/0!</v>
      </c>
      <c r="K2446" s="47" t="e">
        <f t="shared" si="191"/>
        <v>#DIV/0!</v>
      </c>
      <c r="O2446" s="17" t="e">
        <f t="shared" si="192"/>
        <v>#DIV/0!</v>
      </c>
      <c r="P2446" s="17" t="e">
        <f t="shared" si="193"/>
        <v>#DIV/0!</v>
      </c>
      <c r="Q2446" s="17"/>
      <c r="V2446" s="45" t="e">
        <f t="shared" si="194"/>
        <v>#DIV/0!</v>
      </c>
      <c r="Y2446" s="62"/>
    </row>
    <row r="2447" spans="8:25" x14ac:dyDescent="0.2">
      <c r="H2447" s="61"/>
      <c r="I2447" s="61"/>
      <c r="J2447" s="47" t="e">
        <f t="shared" si="190"/>
        <v>#DIV/0!</v>
      </c>
      <c r="K2447" s="47" t="e">
        <f t="shared" si="191"/>
        <v>#DIV/0!</v>
      </c>
      <c r="O2447" s="17" t="e">
        <f t="shared" si="192"/>
        <v>#DIV/0!</v>
      </c>
      <c r="P2447" s="17" t="e">
        <f t="shared" si="193"/>
        <v>#DIV/0!</v>
      </c>
      <c r="Q2447" s="17"/>
      <c r="V2447" s="45" t="e">
        <f t="shared" si="194"/>
        <v>#DIV/0!</v>
      </c>
      <c r="Y2447" s="62"/>
    </row>
    <row r="2448" spans="8:25" x14ac:dyDescent="0.2">
      <c r="H2448" s="61"/>
      <c r="I2448" s="61"/>
      <c r="J2448" s="47" t="e">
        <f t="shared" si="190"/>
        <v>#DIV/0!</v>
      </c>
      <c r="K2448" s="47" t="e">
        <f t="shared" si="191"/>
        <v>#DIV/0!</v>
      </c>
      <c r="O2448" s="17" t="e">
        <f t="shared" si="192"/>
        <v>#DIV/0!</v>
      </c>
      <c r="P2448" s="17" t="e">
        <f t="shared" si="193"/>
        <v>#DIV/0!</v>
      </c>
      <c r="Q2448" s="17"/>
      <c r="V2448" s="45" t="e">
        <f t="shared" si="194"/>
        <v>#DIV/0!</v>
      </c>
      <c r="Y2448" s="62"/>
    </row>
    <row r="2449" spans="8:25" x14ac:dyDescent="0.2">
      <c r="H2449" s="61"/>
      <c r="I2449" s="61"/>
      <c r="J2449" s="47" t="e">
        <f t="shared" si="190"/>
        <v>#DIV/0!</v>
      </c>
      <c r="K2449" s="47" t="e">
        <f t="shared" si="191"/>
        <v>#DIV/0!</v>
      </c>
      <c r="O2449" s="17" t="e">
        <f t="shared" si="192"/>
        <v>#DIV/0!</v>
      </c>
      <c r="P2449" s="17" t="e">
        <f t="shared" si="193"/>
        <v>#DIV/0!</v>
      </c>
      <c r="Q2449" s="17"/>
      <c r="V2449" s="45" t="e">
        <f t="shared" si="194"/>
        <v>#DIV/0!</v>
      </c>
      <c r="Y2449" s="62"/>
    </row>
    <row r="2450" spans="8:25" x14ac:dyDescent="0.2">
      <c r="H2450" s="61"/>
      <c r="I2450" s="61"/>
      <c r="J2450" s="47" t="e">
        <f t="shared" si="190"/>
        <v>#DIV/0!</v>
      </c>
      <c r="K2450" s="47" t="e">
        <f t="shared" si="191"/>
        <v>#DIV/0!</v>
      </c>
      <c r="O2450" s="17" t="e">
        <f t="shared" si="192"/>
        <v>#DIV/0!</v>
      </c>
      <c r="P2450" s="17" t="e">
        <f t="shared" si="193"/>
        <v>#DIV/0!</v>
      </c>
      <c r="Q2450" s="17"/>
      <c r="V2450" s="45" t="e">
        <f t="shared" si="194"/>
        <v>#DIV/0!</v>
      </c>
      <c r="Y2450" s="62"/>
    </row>
    <row r="2451" spans="8:25" x14ac:dyDescent="0.2">
      <c r="H2451" s="61"/>
      <c r="I2451" s="61"/>
      <c r="J2451" s="47" t="e">
        <f t="shared" si="190"/>
        <v>#DIV/0!</v>
      </c>
      <c r="K2451" s="47" t="e">
        <f t="shared" si="191"/>
        <v>#DIV/0!</v>
      </c>
      <c r="O2451" s="17" t="e">
        <f t="shared" si="192"/>
        <v>#DIV/0!</v>
      </c>
      <c r="P2451" s="17" t="e">
        <f t="shared" si="193"/>
        <v>#DIV/0!</v>
      </c>
      <c r="Q2451" s="17"/>
      <c r="V2451" s="45" t="e">
        <f t="shared" si="194"/>
        <v>#DIV/0!</v>
      </c>
      <c r="Y2451" s="62"/>
    </row>
    <row r="2452" spans="8:25" x14ac:dyDescent="0.2">
      <c r="H2452" s="61"/>
      <c r="I2452" s="61"/>
      <c r="J2452" s="47" t="e">
        <f t="shared" si="190"/>
        <v>#DIV/0!</v>
      </c>
      <c r="K2452" s="47" t="e">
        <f t="shared" si="191"/>
        <v>#DIV/0!</v>
      </c>
      <c r="O2452" s="17" t="e">
        <f t="shared" si="192"/>
        <v>#DIV/0!</v>
      </c>
      <c r="P2452" s="17" t="e">
        <f t="shared" si="193"/>
        <v>#DIV/0!</v>
      </c>
      <c r="Q2452" s="17"/>
      <c r="V2452" s="45" t="e">
        <f t="shared" si="194"/>
        <v>#DIV/0!</v>
      </c>
      <c r="Y2452" s="62"/>
    </row>
    <row r="2453" spans="8:25" x14ac:dyDescent="0.2">
      <c r="H2453" s="61"/>
      <c r="I2453" s="61"/>
      <c r="J2453" s="47" t="e">
        <f t="shared" si="190"/>
        <v>#DIV/0!</v>
      </c>
      <c r="K2453" s="47" t="e">
        <f t="shared" si="191"/>
        <v>#DIV/0!</v>
      </c>
      <c r="O2453" s="17" t="e">
        <f t="shared" si="192"/>
        <v>#DIV/0!</v>
      </c>
      <c r="P2453" s="17" t="e">
        <f t="shared" si="193"/>
        <v>#DIV/0!</v>
      </c>
      <c r="Q2453" s="17"/>
      <c r="V2453" s="45" t="e">
        <f t="shared" si="194"/>
        <v>#DIV/0!</v>
      </c>
      <c r="Y2453" s="62"/>
    </row>
    <row r="2454" spans="8:25" x14ac:dyDescent="0.2">
      <c r="H2454" s="61"/>
      <c r="I2454" s="61"/>
      <c r="J2454" s="47" t="e">
        <f t="shared" si="190"/>
        <v>#DIV/0!</v>
      </c>
      <c r="K2454" s="47" t="e">
        <f t="shared" si="191"/>
        <v>#DIV/0!</v>
      </c>
      <c r="O2454" s="17" t="e">
        <f t="shared" si="192"/>
        <v>#DIV/0!</v>
      </c>
      <c r="P2454" s="17" t="e">
        <f t="shared" si="193"/>
        <v>#DIV/0!</v>
      </c>
      <c r="Q2454" s="17"/>
      <c r="V2454" s="45" t="e">
        <f t="shared" si="194"/>
        <v>#DIV/0!</v>
      </c>
      <c r="Y2454" s="62"/>
    </row>
    <row r="2455" spans="8:25" x14ac:dyDescent="0.2">
      <c r="H2455" s="61"/>
      <c r="I2455" s="61"/>
      <c r="J2455" s="47" t="e">
        <f t="shared" si="190"/>
        <v>#DIV/0!</v>
      </c>
      <c r="K2455" s="47" t="e">
        <f t="shared" si="191"/>
        <v>#DIV/0!</v>
      </c>
      <c r="O2455" s="17" t="e">
        <f t="shared" si="192"/>
        <v>#DIV/0!</v>
      </c>
      <c r="P2455" s="17" t="e">
        <f t="shared" si="193"/>
        <v>#DIV/0!</v>
      </c>
      <c r="Q2455" s="17"/>
      <c r="V2455" s="45" t="e">
        <f t="shared" si="194"/>
        <v>#DIV/0!</v>
      </c>
      <c r="Y2455" s="62"/>
    </row>
    <row r="2456" spans="8:25" x14ac:dyDescent="0.2">
      <c r="H2456" s="61"/>
      <c r="I2456" s="61"/>
      <c r="J2456" s="47" t="e">
        <f t="shared" si="190"/>
        <v>#DIV/0!</v>
      </c>
      <c r="K2456" s="47" t="e">
        <f t="shared" si="191"/>
        <v>#DIV/0!</v>
      </c>
      <c r="O2456" s="17" t="e">
        <f t="shared" si="192"/>
        <v>#DIV/0!</v>
      </c>
      <c r="P2456" s="17" t="e">
        <f t="shared" si="193"/>
        <v>#DIV/0!</v>
      </c>
      <c r="Q2456" s="17"/>
      <c r="V2456" s="45" t="e">
        <f t="shared" si="194"/>
        <v>#DIV/0!</v>
      </c>
      <c r="Y2456" s="62"/>
    </row>
    <row r="2457" spans="8:25" x14ac:dyDescent="0.2">
      <c r="H2457" s="61"/>
      <c r="I2457" s="61"/>
      <c r="J2457" s="47" t="e">
        <f t="shared" si="190"/>
        <v>#DIV/0!</v>
      </c>
      <c r="K2457" s="47" t="e">
        <f t="shared" si="191"/>
        <v>#DIV/0!</v>
      </c>
      <c r="O2457" s="17" t="e">
        <f t="shared" si="192"/>
        <v>#DIV/0!</v>
      </c>
      <c r="P2457" s="17" t="e">
        <f t="shared" si="193"/>
        <v>#DIV/0!</v>
      </c>
      <c r="Q2457" s="17"/>
      <c r="V2457" s="45" t="e">
        <f t="shared" si="194"/>
        <v>#DIV/0!</v>
      </c>
      <c r="Y2457" s="62"/>
    </row>
    <row r="2458" spans="8:25" x14ac:dyDescent="0.2">
      <c r="H2458" s="61"/>
      <c r="I2458" s="61"/>
      <c r="J2458" s="47" t="e">
        <f t="shared" si="190"/>
        <v>#DIV/0!</v>
      </c>
      <c r="K2458" s="47" t="e">
        <f t="shared" si="191"/>
        <v>#DIV/0!</v>
      </c>
      <c r="O2458" s="17" t="e">
        <f t="shared" si="192"/>
        <v>#DIV/0!</v>
      </c>
      <c r="P2458" s="17" t="e">
        <f t="shared" si="193"/>
        <v>#DIV/0!</v>
      </c>
      <c r="Q2458" s="17"/>
      <c r="V2458" s="45" t="e">
        <f t="shared" si="194"/>
        <v>#DIV/0!</v>
      </c>
      <c r="Y2458" s="62"/>
    </row>
    <row r="2459" spans="8:25" x14ac:dyDescent="0.2">
      <c r="H2459" s="61"/>
      <c r="I2459" s="61"/>
      <c r="J2459" s="47" t="e">
        <f t="shared" si="190"/>
        <v>#DIV/0!</v>
      </c>
      <c r="K2459" s="47" t="e">
        <f t="shared" si="191"/>
        <v>#DIV/0!</v>
      </c>
      <c r="O2459" s="17" t="e">
        <f t="shared" si="192"/>
        <v>#DIV/0!</v>
      </c>
      <c r="P2459" s="17" t="e">
        <f t="shared" si="193"/>
        <v>#DIV/0!</v>
      </c>
      <c r="Q2459" s="17"/>
      <c r="V2459" s="45" t="e">
        <f t="shared" si="194"/>
        <v>#DIV/0!</v>
      </c>
      <c r="Y2459" s="62"/>
    </row>
    <row r="2460" spans="8:25" x14ac:dyDescent="0.2">
      <c r="H2460" s="61"/>
      <c r="I2460" s="61"/>
      <c r="J2460" s="47" t="e">
        <f t="shared" si="190"/>
        <v>#DIV/0!</v>
      </c>
      <c r="K2460" s="47" t="e">
        <f t="shared" si="191"/>
        <v>#DIV/0!</v>
      </c>
      <c r="O2460" s="17" t="e">
        <f t="shared" si="192"/>
        <v>#DIV/0!</v>
      </c>
      <c r="P2460" s="17" t="e">
        <f t="shared" si="193"/>
        <v>#DIV/0!</v>
      </c>
      <c r="Q2460" s="17"/>
      <c r="V2460" s="45" t="e">
        <f t="shared" si="194"/>
        <v>#DIV/0!</v>
      </c>
      <c r="Y2460" s="62"/>
    </row>
    <row r="2461" spans="8:25" x14ac:dyDescent="0.2">
      <c r="H2461" s="61"/>
      <c r="I2461" s="61"/>
      <c r="J2461" s="47" t="e">
        <f t="shared" si="190"/>
        <v>#DIV/0!</v>
      </c>
      <c r="K2461" s="47" t="e">
        <f t="shared" si="191"/>
        <v>#DIV/0!</v>
      </c>
      <c r="O2461" s="17" t="e">
        <f t="shared" si="192"/>
        <v>#DIV/0!</v>
      </c>
      <c r="P2461" s="17" t="e">
        <f t="shared" si="193"/>
        <v>#DIV/0!</v>
      </c>
      <c r="Q2461" s="17"/>
      <c r="V2461" s="45" t="e">
        <f t="shared" si="194"/>
        <v>#DIV/0!</v>
      </c>
      <c r="Y2461" s="62"/>
    </row>
    <row r="2462" spans="8:25" x14ac:dyDescent="0.2">
      <c r="H2462" s="61"/>
      <c r="I2462" s="61"/>
      <c r="J2462" s="47" t="e">
        <f t="shared" si="190"/>
        <v>#DIV/0!</v>
      </c>
      <c r="K2462" s="47" t="e">
        <f t="shared" si="191"/>
        <v>#DIV/0!</v>
      </c>
      <c r="O2462" s="17" t="e">
        <f t="shared" si="192"/>
        <v>#DIV/0!</v>
      </c>
      <c r="P2462" s="17" t="e">
        <f t="shared" si="193"/>
        <v>#DIV/0!</v>
      </c>
      <c r="Q2462" s="17"/>
      <c r="V2462" s="45" t="e">
        <f t="shared" si="194"/>
        <v>#DIV/0!</v>
      </c>
      <c r="Y2462" s="62"/>
    </row>
    <row r="2463" spans="8:25" x14ac:dyDescent="0.2">
      <c r="H2463" s="61"/>
      <c r="I2463" s="61"/>
      <c r="J2463" s="47" t="e">
        <f t="shared" si="190"/>
        <v>#DIV/0!</v>
      </c>
      <c r="K2463" s="47" t="e">
        <f t="shared" si="191"/>
        <v>#DIV/0!</v>
      </c>
      <c r="O2463" s="17" t="e">
        <f t="shared" si="192"/>
        <v>#DIV/0!</v>
      </c>
      <c r="P2463" s="17" t="e">
        <f t="shared" si="193"/>
        <v>#DIV/0!</v>
      </c>
      <c r="Q2463" s="17"/>
      <c r="V2463" s="45" t="e">
        <f t="shared" si="194"/>
        <v>#DIV/0!</v>
      </c>
      <c r="Y2463" s="62"/>
    </row>
    <row r="2464" spans="8:25" x14ac:dyDescent="0.2">
      <c r="H2464" s="61"/>
      <c r="I2464" s="61"/>
      <c r="J2464" s="47" t="e">
        <f t="shared" si="190"/>
        <v>#DIV/0!</v>
      </c>
      <c r="K2464" s="47" t="e">
        <f t="shared" si="191"/>
        <v>#DIV/0!</v>
      </c>
      <c r="O2464" s="17" t="e">
        <f t="shared" si="192"/>
        <v>#DIV/0!</v>
      </c>
      <c r="P2464" s="17" t="e">
        <f t="shared" si="193"/>
        <v>#DIV/0!</v>
      </c>
      <c r="Q2464" s="17"/>
      <c r="V2464" s="45" t="e">
        <f t="shared" si="194"/>
        <v>#DIV/0!</v>
      </c>
      <c r="Y2464" s="62"/>
    </row>
    <row r="2465" spans="8:25" x14ac:dyDescent="0.2">
      <c r="H2465" s="61"/>
      <c r="I2465" s="61"/>
      <c r="J2465" s="47" t="e">
        <f t="shared" si="190"/>
        <v>#DIV/0!</v>
      </c>
      <c r="K2465" s="47" t="e">
        <f t="shared" si="191"/>
        <v>#DIV/0!</v>
      </c>
      <c r="O2465" s="17" t="e">
        <f t="shared" si="192"/>
        <v>#DIV/0!</v>
      </c>
      <c r="P2465" s="17" t="e">
        <f t="shared" si="193"/>
        <v>#DIV/0!</v>
      </c>
      <c r="Q2465" s="17"/>
      <c r="V2465" s="45" t="e">
        <f t="shared" si="194"/>
        <v>#DIV/0!</v>
      </c>
      <c r="Y2465" s="62"/>
    </row>
    <row r="2466" spans="8:25" x14ac:dyDescent="0.2">
      <c r="H2466" s="61"/>
      <c r="I2466" s="61"/>
      <c r="J2466" s="47" t="e">
        <f t="shared" si="190"/>
        <v>#DIV/0!</v>
      </c>
      <c r="K2466" s="47" t="e">
        <f t="shared" si="191"/>
        <v>#DIV/0!</v>
      </c>
      <c r="O2466" s="17" t="e">
        <f t="shared" si="192"/>
        <v>#DIV/0!</v>
      </c>
      <c r="P2466" s="17" t="e">
        <f t="shared" si="193"/>
        <v>#DIV/0!</v>
      </c>
      <c r="Q2466" s="17"/>
      <c r="V2466" s="45" t="e">
        <f t="shared" si="194"/>
        <v>#DIV/0!</v>
      </c>
      <c r="Y2466" s="62"/>
    </row>
    <row r="2467" spans="8:25" x14ac:dyDescent="0.2">
      <c r="H2467" s="61"/>
      <c r="I2467" s="61"/>
      <c r="J2467" s="47" t="e">
        <f t="shared" si="190"/>
        <v>#DIV/0!</v>
      </c>
      <c r="K2467" s="47" t="e">
        <f t="shared" si="191"/>
        <v>#DIV/0!</v>
      </c>
      <c r="O2467" s="17" t="e">
        <f t="shared" si="192"/>
        <v>#DIV/0!</v>
      </c>
      <c r="P2467" s="17" t="e">
        <f t="shared" si="193"/>
        <v>#DIV/0!</v>
      </c>
      <c r="Q2467" s="17"/>
      <c r="V2467" s="45" t="e">
        <f t="shared" si="194"/>
        <v>#DIV/0!</v>
      </c>
      <c r="Y2467" s="62"/>
    </row>
    <row r="2468" spans="8:25" x14ac:dyDescent="0.2">
      <c r="H2468" s="61"/>
      <c r="I2468" s="61"/>
      <c r="J2468" s="47" t="e">
        <f t="shared" si="190"/>
        <v>#DIV/0!</v>
      </c>
      <c r="K2468" s="47" t="e">
        <f t="shared" si="191"/>
        <v>#DIV/0!</v>
      </c>
      <c r="O2468" s="17" t="e">
        <f t="shared" si="192"/>
        <v>#DIV/0!</v>
      </c>
      <c r="P2468" s="17" t="e">
        <f t="shared" si="193"/>
        <v>#DIV/0!</v>
      </c>
      <c r="Q2468" s="17"/>
      <c r="V2468" s="45" t="e">
        <f t="shared" si="194"/>
        <v>#DIV/0!</v>
      </c>
      <c r="Y2468" s="62"/>
    </row>
    <row r="2469" spans="8:25" x14ac:dyDescent="0.2">
      <c r="H2469" s="61"/>
      <c r="I2469" s="61"/>
      <c r="J2469" s="47" t="e">
        <f t="shared" si="190"/>
        <v>#DIV/0!</v>
      </c>
      <c r="K2469" s="47" t="e">
        <f t="shared" si="191"/>
        <v>#DIV/0!</v>
      </c>
      <c r="O2469" s="17" t="e">
        <f t="shared" si="192"/>
        <v>#DIV/0!</v>
      </c>
      <c r="P2469" s="17" t="e">
        <f t="shared" si="193"/>
        <v>#DIV/0!</v>
      </c>
      <c r="Q2469" s="17"/>
      <c r="V2469" s="45" t="e">
        <f t="shared" si="194"/>
        <v>#DIV/0!</v>
      </c>
      <c r="Y2469" s="62"/>
    </row>
    <row r="2470" spans="8:25" x14ac:dyDescent="0.2">
      <c r="H2470" s="61"/>
      <c r="I2470" s="61"/>
      <c r="J2470" s="47" t="e">
        <f t="shared" si="190"/>
        <v>#DIV/0!</v>
      </c>
      <c r="K2470" s="47" t="e">
        <f t="shared" si="191"/>
        <v>#DIV/0!</v>
      </c>
      <c r="O2470" s="17" t="e">
        <f t="shared" si="192"/>
        <v>#DIV/0!</v>
      </c>
      <c r="P2470" s="17" t="e">
        <f t="shared" si="193"/>
        <v>#DIV/0!</v>
      </c>
      <c r="Q2470" s="17"/>
      <c r="V2470" s="45" t="e">
        <f t="shared" si="194"/>
        <v>#DIV/0!</v>
      </c>
      <c r="Y2470" s="62"/>
    </row>
    <row r="2471" spans="8:25" x14ac:dyDescent="0.2">
      <c r="H2471" s="61"/>
      <c r="I2471" s="61"/>
      <c r="J2471" s="47" t="e">
        <f t="shared" si="190"/>
        <v>#DIV/0!</v>
      </c>
      <c r="K2471" s="47" t="e">
        <f t="shared" si="191"/>
        <v>#DIV/0!</v>
      </c>
      <c r="O2471" s="17" t="e">
        <f t="shared" si="192"/>
        <v>#DIV/0!</v>
      </c>
      <c r="P2471" s="17" t="e">
        <f t="shared" si="193"/>
        <v>#DIV/0!</v>
      </c>
      <c r="Q2471" s="17"/>
      <c r="V2471" s="45" t="e">
        <f t="shared" si="194"/>
        <v>#DIV/0!</v>
      </c>
      <c r="Y2471" s="62"/>
    </row>
    <row r="2472" spans="8:25" x14ac:dyDescent="0.2">
      <c r="H2472" s="61"/>
      <c r="I2472" s="61"/>
      <c r="J2472" s="47" t="e">
        <f t="shared" si="190"/>
        <v>#DIV/0!</v>
      </c>
      <c r="K2472" s="47" t="e">
        <f t="shared" si="191"/>
        <v>#DIV/0!</v>
      </c>
      <c r="O2472" s="17" t="e">
        <f t="shared" si="192"/>
        <v>#DIV/0!</v>
      </c>
      <c r="P2472" s="17" t="e">
        <f t="shared" si="193"/>
        <v>#DIV/0!</v>
      </c>
      <c r="Q2472" s="17"/>
      <c r="V2472" s="45" t="e">
        <f t="shared" si="194"/>
        <v>#DIV/0!</v>
      </c>
      <c r="Y2472" s="62"/>
    </row>
    <row r="2473" spans="8:25" x14ac:dyDescent="0.2">
      <c r="H2473" s="61"/>
      <c r="I2473" s="61"/>
      <c r="J2473" s="47" t="e">
        <f t="shared" si="190"/>
        <v>#DIV/0!</v>
      </c>
      <c r="K2473" s="47" t="e">
        <f t="shared" si="191"/>
        <v>#DIV/0!</v>
      </c>
      <c r="O2473" s="17" t="e">
        <f t="shared" si="192"/>
        <v>#DIV/0!</v>
      </c>
      <c r="P2473" s="17" t="e">
        <f t="shared" si="193"/>
        <v>#DIV/0!</v>
      </c>
      <c r="Q2473" s="17"/>
      <c r="V2473" s="45" t="e">
        <f t="shared" si="194"/>
        <v>#DIV/0!</v>
      </c>
      <c r="Y2473" s="62"/>
    </row>
    <row r="2474" spans="8:25" x14ac:dyDescent="0.2">
      <c r="H2474" s="61"/>
      <c r="I2474" s="61"/>
      <c r="J2474" s="47" t="e">
        <f t="shared" si="190"/>
        <v>#DIV/0!</v>
      </c>
      <c r="K2474" s="47" t="e">
        <f t="shared" si="191"/>
        <v>#DIV/0!</v>
      </c>
      <c r="O2474" s="17" t="e">
        <f t="shared" si="192"/>
        <v>#DIV/0!</v>
      </c>
      <c r="P2474" s="17" t="e">
        <f t="shared" si="193"/>
        <v>#DIV/0!</v>
      </c>
      <c r="Q2474" s="17"/>
      <c r="V2474" s="45" t="e">
        <f t="shared" si="194"/>
        <v>#DIV/0!</v>
      </c>
      <c r="Y2474" s="62"/>
    </row>
    <row r="2475" spans="8:25" x14ac:dyDescent="0.2">
      <c r="H2475" s="61"/>
      <c r="I2475" s="61"/>
      <c r="J2475" s="47" t="e">
        <f t="shared" si="190"/>
        <v>#DIV/0!</v>
      </c>
      <c r="K2475" s="47" t="e">
        <f t="shared" si="191"/>
        <v>#DIV/0!</v>
      </c>
      <c r="O2475" s="17" t="e">
        <f t="shared" si="192"/>
        <v>#DIV/0!</v>
      </c>
      <c r="P2475" s="17" t="e">
        <f t="shared" si="193"/>
        <v>#DIV/0!</v>
      </c>
      <c r="Q2475" s="17"/>
      <c r="V2475" s="45" t="e">
        <f t="shared" si="194"/>
        <v>#DIV/0!</v>
      </c>
      <c r="Y2475" s="62"/>
    </row>
    <row r="2476" spans="8:25" x14ac:dyDescent="0.2">
      <c r="H2476" s="61"/>
      <c r="I2476" s="61"/>
      <c r="J2476" s="47" t="e">
        <f t="shared" si="190"/>
        <v>#DIV/0!</v>
      </c>
      <c r="K2476" s="47" t="e">
        <f t="shared" si="191"/>
        <v>#DIV/0!</v>
      </c>
      <c r="O2476" s="17" t="e">
        <f t="shared" si="192"/>
        <v>#DIV/0!</v>
      </c>
      <c r="P2476" s="17" t="e">
        <f t="shared" si="193"/>
        <v>#DIV/0!</v>
      </c>
      <c r="Q2476" s="17"/>
      <c r="V2476" s="45" t="e">
        <f t="shared" si="194"/>
        <v>#DIV/0!</v>
      </c>
      <c r="Y2476" s="62"/>
    </row>
    <row r="2477" spans="8:25" x14ac:dyDescent="0.2">
      <c r="H2477" s="61"/>
      <c r="I2477" s="61"/>
      <c r="J2477" s="47" t="e">
        <f t="shared" si="190"/>
        <v>#DIV/0!</v>
      </c>
      <c r="K2477" s="47" t="e">
        <f t="shared" si="191"/>
        <v>#DIV/0!</v>
      </c>
      <c r="O2477" s="17" t="e">
        <f t="shared" si="192"/>
        <v>#DIV/0!</v>
      </c>
      <c r="P2477" s="17" t="e">
        <f t="shared" si="193"/>
        <v>#DIV/0!</v>
      </c>
      <c r="Q2477" s="17"/>
      <c r="V2477" s="45" t="e">
        <f t="shared" si="194"/>
        <v>#DIV/0!</v>
      </c>
      <c r="Y2477" s="62"/>
    </row>
    <row r="2478" spans="8:25" x14ac:dyDescent="0.2">
      <c r="H2478" s="61"/>
      <c r="I2478" s="61"/>
      <c r="J2478" s="47" t="e">
        <f t="shared" si="190"/>
        <v>#DIV/0!</v>
      </c>
      <c r="K2478" s="47" t="e">
        <f t="shared" si="191"/>
        <v>#DIV/0!</v>
      </c>
      <c r="O2478" s="17" t="e">
        <f t="shared" si="192"/>
        <v>#DIV/0!</v>
      </c>
      <c r="P2478" s="17" t="e">
        <f t="shared" si="193"/>
        <v>#DIV/0!</v>
      </c>
      <c r="Q2478" s="17"/>
      <c r="V2478" s="45" t="e">
        <f t="shared" si="194"/>
        <v>#DIV/0!</v>
      </c>
      <c r="Y2478" s="62"/>
    </row>
    <row r="2479" spans="8:25" x14ac:dyDescent="0.2">
      <c r="H2479" s="61"/>
      <c r="I2479" s="61"/>
      <c r="J2479" s="47" t="e">
        <f t="shared" si="190"/>
        <v>#DIV/0!</v>
      </c>
      <c r="K2479" s="47" t="e">
        <f t="shared" si="191"/>
        <v>#DIV/0!</v>
      </c>
      <c r="O2479" s="17" t="e">
        <f t="shared" si="192"/>
        <v>#DIV/0!</v>
      </c>
      <c r="P2479" s="17" t="e">
        <f t="shared" si="193"/>
        <v>#DIV/0!</v>
      </c>
      <c r="Q2479" s="17"/>
      <c r="V2479" s="45" t="e">
        <f t="shared" si="194"/>
        <v>#DIV/0!</v>
      </c>
      <c r="Y2479" s="62"/>
    </row>
    <row r="2480" spans="8:25" x14ac:dyDescent="0.2">
      <c r="H2480" s="61"/>
      <c r="I2480" s="61"/>
      <c r="J2480" s="47" t="e">
        <f t="shared" si="190"/>
        <v>#DIV/0!</v>
      </c>
      <c r="K2480" s="47" t="e">
        <f t="shared" si="191"/>
        <v>#DIV/0!</v>
      </c>
      <c r="O2480" s="17" t="e">
        <f t="shared" si="192"/>
        <v>#DIV/0!</v>
      </c>
      <c r="P2480" s="17" t="e">
        <f t="shared" si="193"/>
        <v>#DIV/0!</v>
      </c>
      <c r="Q2480" s="17"/>
      <c r="V2480" s="45" t="e">
        <f t="shared" si="194"/>
        <v>#DIV/0!</v>
      </c>
      <c r="Y2480" s="62"/>
    </row>
    <row r="2481" spans="8:25" x14ac:dyDescent="0.2">
      <c r="H2481" s="61"/>
      <c r="I2481" s="61"/>
      <c r="J2481" s="47" t="e">
        <f t="shared" si="190"/>
        <v>#DIV/0!</v>
      </c>
      <c r="K2481" s="47" t="e">
        <f t="shared" si="191"/>
        <v>#DIV/0!</v>
      </c>
      <c r="O2481" s="17" t="e">
        <f t="shared" si="192"/>
        <v>#DIV/0!</v>
      </c>
      <c r="P2481" s="17" t="e">
        <f t="shared" si="193"/>
        <v>#DIV/0!</v>
      </c>
      <c r="Q2481" s="17"/>
      <c r="V2481" s="45" t="e">
        <f t="shared" si="194"/>
        <v>#DIV/0!</v>
      </c>
      <c r="Y2481" s="62"/>
    </row>
    <row r="2482" spans="8:25" x14ac:dyDescent="0.2">
      <c r="H2482" s="61"/>
      <c r="I2482" s="61"/>
      <c r="J2482" s="47" t="e">
        <f t="shared" si="190"/>
        <v>#DIV/0!</v>
      </c>
      <c r="K2482" s="47" t="e">
        <f t="shared" si="191"/>
        <v>#DIV/0!</v>
      </c>
      <c r="O2482" s="17" t="e">
        <f t="shared" si="192"/>
        <v>#DIV/0!</v>
      </c>
      <c r="P2482" s="17" t="e">
        <f t="shared" si="193"/>
        <v>#DIV/0!</v>
      </c>
      <c r="Q2482" s="17"/>
      <c r="V2482" s="45" t="e">
        <f t="shared" si="194"/>
        <v>#DIV/0!</v>
      </c>
      <c r="Y2482" s="62"/>
    </row>
    <row r="2483" spans="8:25" x14ac:dyDescent="0.2">
      <c r="H2483" s="61"/>
      <c r="I2483" s="61"/>
      <c r="J2483" s="47" t="e">
        <f t="shared" si="190"/>
        <v>#DIV/0!</v>
      </c>
      <c r="K2483" s="47" t="e">
        <f t="shared" si="191"/>
        <v>#DIV/0!</v>
      </c>
      <c r="O2483" s="17" t="e">
        <f t="shared" si="192"/>
        <v>#DIV/0!</v>
      </c>
      <c r="P2483" s="17" t="e">
        <f t="shared" si="193"/>
        <v>#DIV/0!</v>
      </c>
      <c r="Q2483" s="17"/>
      <c r="V2483" s="45" t="e">
        <f t="shared" si="194"/>
        <v>#DIV/0!</v>
      </c>
      <c r="Y2483" s="62"/>
    </row>
    <row r="2484" spans="8:25" x14ac:dyDescent="0.2">
      <c r="H2484" s="61"/>
      <c r="I2484" s="61"/>
      <c r="J2484" s="47" t="e">
        <f t="shared" si="190"/>
        <v>#DIV/0!</v>
      </c>
      <c r="K2484" s="47" t="e">
        <f t="shared" si="191"/>
        <v>#DIV/0!</v>
      </c>
      <c r="O2484" s="17" t="e">
        <f t="shared" si="192"/>
        <v>#DIV/0!</v>
      </c>
      <c r="P2484" s="17" t="e">
        <f t="shared" si="193"/>
        <v>#DIV/0!</v>
      </c>
      <c r="Q2484" s="17"/>
      <c r="V2484" s="45" t="e">
        <f t="shared" si="194"/>
        <v>#DIV/0!</v>
      </c>
      <c r="Y2484" s="62"/>
    </row>
    <row r="2485" spans="8:25" x14ac:dyDescent="0.2">
      <c r="H2485" s="61"/>
      <c r="I2485" s="61"/>
      <c r="J2485" s="47" t="e">
        <f t="shared" si="190"/>
        <v>#DIV/0!</v>
      </c>
      <c r="K2485" s="47" t="e">
        <f t="shared" si="191"/>
        <v>#DIV/0!</v>
      </c>
      <c r="O2485" s="17" t="e">
        <f t="shared" si="192"/>
        <v>#DIV/0!</v>
      </c>
      <c r="P2485" s="17" t="e">
        <f t="shared" si="193"/>
        <v>#DIV/0!</v>
      </c>
      <c r="Q2485" s="17"/>
      <c r="V2485" s="45" t="e">
        <f t="shared" si="194"/>
        <v>#DIV/0!</v>
      </c>
      <c r="Y2485" s="62"/>
    </row>
    <row r="2486" spans="8:25" x14ac:dyDescent="0.2">
      <c r="H2486" s="61"/>
      <c r="I2486" s="61"/>
      <c r="J2486" s="47" t="e">
        <f t="shared" si="190"/>
        <v>#DIV/0!</v>
      </c>
      <c r="K2486" s="47" t="e">
        <f t="shared" si="191"/>
        <v>#DIV/0!</v>
      </c>
      <c r="O2486" s="17" t="e">
        <f t="shared" si="192"/>
        <v>#DIV/0!</v>
      </c>
      <c r="P2486" s="17" t="e">
        <f t="shared" si="193"/>
        <v>#DIV/0!</v>
      </c>
      <c r="Q2486" s="17"/>
      <c r="V2486" s="45" t="e">
        <f t="shared" si="194"/>
        <v>#DIV/0!</v>
      </c>
      <c r="Y2486" s="62"/>
    </row>
    <row r="2487" spans="8:25" x14ac:dyDescent="0.2">
      <c r="H2487" s="61"/>
      <c r="I2487" s="61"/>
      <c r="J2487" s="47" t="e">
        <f t="shared" si="190"/>
        <v>#DIV/0!</v>
      </c>
      <c r="K2487" s="47" t="e">
        <f t="shared" si="191"/>
        <v>#DIV/0!</v>
      </c>
      <c r="O2487" s="17" t="e">
        <f t="shared" si="192"/>
        <v>#DIV/0!</v>
      </c>
      <c r="P2487" s="17" t="e">
        <f t="shared" si="193"/>
        <v>#DIV/0!</v>
      </c>
      <c r="Q2487" s="17"/>
      <c r="V2487" s="45" t="e">
        <f t="shared" si="194"/>
        <v>#DIV/0!</v>
      </c>
      <c r="Y2487" s="62"/>
    </row>
    <row r="2488" spans="8:25" x14ac:dyDescent="0.2">
      <c r="H2488" s="61"/>
      <c r="I2488" s="61"/>
      <c r="J2488" s="47" t="e">
        <f t="shared" si="190"/>
        <v>#DIV/0!</v>
      </c>
      <c r="K2488" s="47" t="e">
        <f t="shared" si="191"/>
        <v>#DIV/0!</v>
      </c>
      <c r="O2488" s="17" t="e">
        <f t="shared" si="192"/>
        <v>#DIV/0!</v>
      </c>
      <c r="P2488" s="17" t="e">
        <f t="shared" si="193"/>
        <v>#DIV/0!</v>
      </c>
      <c r="Q2488" s="17"/>
      <c r="V2488" s="45" t="e">
        <f t="shared" si="194"/>
        <v>#DIV/0!</v>
      </c>
      <c r="Y2488" s="62"/>
    </row>
    <row r="2489" spans="8:25" x14ac:dyDescent="0.2">
      <c r="H2489" s="61"/>
      <c r="I2489" s="61"/>
      <c r="J2489" s="47" t="e">
        <f t="shared" si="190"/>
        <v>#DIV/0!</v>
      </c>
      <c r="K2489" s="47" t="e">
        <f t="shared" si="191"/>
        <v>#DIV/0!</v>
      </c>
      <c r="O2489" s="17" t="e">
        <f t="shared" si="192"/>
        <v>#DIV/0!</v>
      </c>
      <c r="P2489" s="17" t="e">
        <f t="shared" si="193"/>
        <v>#DIV/0!</v>
      </c>
      <c r="Q2489" s="17"/>
      <c r="V2489" s="45" t="e">
        <f t="shared" si="194"/>
        <v>#DIV/0!</v>
      </c>
      <c r="Y2489" s="62"/>
    </row>
    <row r="2490" spans="8:25" x14ac:dyDescent="0.2">
      <c r="H2490" s="61"/>
      <c r="I2490" s="61"/>
      <c r="J2490" s="47" t="e">
        <f t="shared" si="190"/>
        <v>#DIV/0!</v>
      </c>
      <c r="K2490" s="47" t="e">
        <f t="shared" si="191"/>
        <v>#DIV/0!</v>
      </c>
      <c r="O2490" s="17" t="e">
        <f t="shared" si="192"/>
        <v>#DIV/0!</v>
      </c>
      <c r="P2490" s="17" t="e">
        <f t="shared" si="193"/>
        <v>#DIV/0!</v>
      </c>
      <c r="Q2490" s="17"/>
      <c r="V2490" s="45" t="e">
        <f t="shared" si="194"/>
        <v>#DIV/0!</v>
      </c>
      <c r="Y2490" s="62"/>
    </row>
    <row r="2491" spans="8:25" x14ac:dyDescent="0.2">
      <c r="H2491" s="61"/>
      <c r="I2491" s="61"/>
      <c r="J2491" s="47" t="e">
        <f t="shared" si="190"/>
        <v>#DIV/0!</v>
      </c>
      <c r="K2491" s="47" t="e">
        <f t="shared" si="191"/>
        <v>#DIV/0!</v>
      </c>
      <c r="O2491" s="17" t="e">
        <f t="shared" si="192"/>
        <v>#DIV/0!</v>
      </c>
      <c r="P2491" s="17" t="e">
        <f t="shared" si="193"/>
        <v>#DIV/0!</v>
      </c>
      <c r="Q2491" s="17"/>
      <c r="V2491" s="45" t="e">
        <f t="shared" si="194"/>
        <v>#DIV/0!</v>
      </c>
      <c r="Y2491" s="62"/>
    </row>
    <row r="2492" spans="8:25" x14ac:dyDescent="0.2">
      <c r="H2492" s="61"/>
      <c r="I2492" s="61"/>
      <c r="J2492" s="47" t="e">
        <f t="shared" si="190"/>
        <v>#DIV/0!</v>
      </c>
      <c r="K2492" s="47" t="e">
        <f t="shared" si="191"/>
        <v>#DIV/0!</v>
      </c>
      <c r="O2492" s="17" t="e">
        <f t="shared" si="192"/>
        <v>#DIV/0!</v>
      </c>
      <c r="P2492" s="17" t="e">
        <f t="shared" si="193"/>
        <v>#DIV/0!</v>
      </c>
      <c r="Q2492" s="17"/>
      <c r="V2492" s="45" t="e">
        <f t="shared" si="194"/>
        <v>#DIV/0!</v>
      </c>
      <c r="Y2492" s="62"/>
    </row>
    <row r="2493" spans="8:25" x14ac:dyDescent="0.2">
      <c r="H2493" s="61"/>
      <c r="I2493" s="61"/>
      <c r="J2493" s="47" t="e">
        <f t="shared" si="190"/>
        <v>#DIV/0!</v>
      </c>
      <c r="K2493" s="47" t="e">
        <f t="shared" si="191"/>
        <v>#DIV/0!</v>
      </c>
      <c r="O2493" s="17" t="e">
        <f t="shared" si="192"/>
        <v>#DIV/0!</v>
      </c>
      <c r="P2493" s="17" t="e">
        <f t="shared" si="193"/>
        <v>#DIV/0!</v>
      </c>
      <c r="Q2493" s="17"/>
      <c r="V2493" s="45" t="e">
        <f t="shared" si="194"/>
        <v>#DIV/0!</v>
      </c>
      <c r="Y2493" s="62"/>
    </row>
    <row r="2494" spans="8:25" x14ac:dyDescent="0.2">
      <c r="H2494" s="61"/>
      <c r="I2494" s="61"/>
      <c r="J2494" s="47" t="e">
        <f t="shared" si="190"/>
        <v>#DIV/0!</v>
      </c>
      <c r="K2494" s="47" t="e">
        <f t="shared" si="191"/>
        <v>#DIV/0!</v>
      </c>
      <c r="O2494" s="17" t="e">
        <f t="shared" si="192"/>
        <v>#DIV/0!</v>
      </c>
      <c r="P2494" s="17" t="e">
        <f t="shared" si="193"/>
        <v>#DIV/0!</v>
      </c>
      <c r="Q2494" s="17"/>
      <c r="V2494" s="45" t="e">
        <f t="shared" si="194"/>
        <v>#DIV/0!</v>
      </c>
      <c r="Y2494" s="62"/>
    </row>
    <row r="2495" spans="8:25" x14ac:dyDescent="0.2">
      <c r="H2495" s="61"/>
      <c r="I2495" s="61"/>
      <c r="J2495" s="47" t="e">
        <f t="shared" si="190"/>
        <v>#DIV/0!</v>
      </c>
      <c r="K2495" s="47" t="e">
        <f t="shared" si="191"/>
        <v>#DIV/0!</v>
      </c>
      <c r="O2495" s="17" t="e">
        <f t="shared" si="192"/>
        <v>#DIV/0!</v>
      </c>
      <c r="P2495" s="17" t="e">
        <f t="shared" si="193"/>
        <v>#DIV/0!</v>
      </c>
      <c r="Q2495" s="17"/>
      <c r="V2495" s="45" t="e">
        <f t="shared" si="194"/>
        <v>#DIV/0!</v>
      </c>
      <c r="Y2495" s="62"/>
    </row>
    <row r="2496" spans="8:25" x14ac:dyDescent="0.2">
      <c r="H2496" s="61"/>
      <c r="I2496" s="61"/>
      <c r="J2496" s="47" t="e">
        <f t="shared" si="190"/>
        <v>#DIV/0!</v>
      </c>
      <c r="K2496" s="47" t="e">
        <f t="shared" si="191"/>
        <v>#DIV/0!</v>
      </c>
      <c r="O2496" s="17" t="e">
        <f t="shared" si="192"/>
        <v>#DIV/0!</v>
      </c>
      <c r="P2496" s="17" t="e">
        <f t="shared" si="193"/>
        <v>#DIV/0!</v>
      </c>
      <c r="Q2496" s="17"/>
      <c r="V2496" s="45" t="e">
        <f t="shared" si="194"/>
        <v>#DIV/0!</v>
      </c>
      <c r="Y2496" s="62"/>
    </row>
    <row r="2497" spans="8:25" x14ac:dyDescent="0.2">
      <c r="H2497" s="61"/>
      <c r="I2497" s="61"/>
      <c r="J2497" s="47" t="e">
        <f t="shared" si="190"/>
        <v>#DIV/0!</v>
      </c>
      <c r="K2497" s="47" t="e">
        <f t="shared" si="191"/>
        <v>#DIV/0!</v>
      </c>
      <c r="O2497" s="17" t="e">
        <f t="shared" si="192"/>
        <v>#DIV/0!</v>
      </c>
      <c r="P2497" s="17" t="e">
        <f t="shared" si="193"/>
        <v>#DIV/0!</v>
      </c>
      <c r="Q2497" s="17"/>
      <c r="V2497" s="45" t="e">
        <f t="shared" si="194"/>
        <v>#DIV/0!</v>
      </c>
      <c r="Y2497" s="62"/>
    </row>
    <row r="2498" spans="8:25" x14ac:dyDescent="0.2">
      <c r="H2498" s="61"/>
      <c r="I2498" s="61"/>
      <c r="J2498" s="47" t="e">
        <f t="shared" si="190"/>
        <v>#DIV/0!</v>
      </c>
      <c r="K2498" s="47" t="e">
        <f t="shared" si="191"/>
        <v>#DIV/0!</v>
      </c>
      <c r="O2498" s="17" t="e">
        <f t="shared" si="192"/>
        <v>#DIV/0!</v>
      </c>
      <c r="P2498" s="17" t="e">
        <f t="shared" si="193"/>
        <v>#DIV/0!</v>
      </c>
      <c r="Q2498" s="17"/>
      <c r="V2498" s="45" t="e">
        <f t="shared" si="194"/>
        <v>#DIV/0!</v>
      </c>
      <c r="Y2498" s="62"/>
    </row>
    <row r="2499" spans="8:25" x14ac:dyDescent="0.2">
      <c r="H2499" s="61"/>
      <c r="I2499" s="61"/>
      <c r="J2499" s="47" t="e">
        <f t="shared" ref="J2499:J2500" si="195">(H2499-G2499)/ABS(G2499)</f>
        <v>#DIV/0!</v>
      </c>
      <c r="K2499" s="47" t="e">
        <f t="shared" ref="K2499:K2500" si="196">(I2499-H2499)/ABS(H2499)</f>
        <v>#DIV/0!</v>
      </c>
      <c r="O2499" s="17" t="e">
        <f t="shared" ref="O2499:O2500" si="197">M2499/(J2499*100)</f>
        <v>#DIV/0!</v>
      </c>
      <c r="P2499" s="17" t="e">
        <f t="shared" ref="P2499:P2500" si="198">N2499/(K2499*100)</f>
        <v>#DIV/0!</v>
      </c>
      <c r="Q2499" s="17"/>
      <c r="V2499" s="45" t="e">
        <f t="shared" ref="V2499:V2500" si="199">(T2499-U2499)/U2499</f>
        <v>#DIV/0!</v>
      </c>
      <c r="Y2499" s="62"/>
    </row>
    <row r="2500" spans="8:25" x14ac:dyDescent="0.2">
      <c r="H2500" s="61"/>
      <c r="I2500" s="61"/>
      <c r="J2500" s="47" t="e">
        <f t="shared" si="195"/>
        <v>#DIV/0!</v>
      </c>
      <c r="K2500" s="47" t="e">
        <f t="shared" si="196"/>
        <v>#DIV/0!</v>
      </c>
      <c r="O2500" s="17" t="e">
        <f t="shared" si="197"/>
        <v>#DIV/0!</v>
      </c>
      <c r="P2500" s="17" t="e">
        <f t="shared" si="198"/>
        <v>#DIV/0!</v>
      </c>
      <c r="Q2500" s="17"/>
      <c r="V2500" s="45" t="e">
        <f t="shared" si="199"/>
        <v>#DIV/0!</v>
      </c>
      <c r="Y2500" s="62"/>
    </row>
  </sheetData>
  <autoFilter ref="A1:AV2500" xr:uid="{C9723E7B-8122-46AD-AE50-0C7A0DB3931D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Note</vt:lpstr>
      <vt:lpstr>Idea generation</vt:lpstr>
      <vt:lpstr>Nasdaq.com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2018-01-12T10:40:05Z</dcterms:created>
  <dcterms:modified xsi:type="dcterms:W3CDTF">2022-05-27T13:45:16Z</dcterms:modified>
</cp:coreProperties>
</file>