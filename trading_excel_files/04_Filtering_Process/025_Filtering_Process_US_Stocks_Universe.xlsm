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430" codeName="{C5BBEA04-B48B-DB03-FC8F-E18A6752861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rkj\Desktop\Trading Excel Files\04_Filtering_Process\"/>
    </mc:Choice>
  </mc:AlternateContent>
  <xr:revisionPtr revIDLastSave="0" documentId="13_ncr:1_{7C3BBCBB-608F-4A0E-8324-70A96F40E6D6}" xr6:coauthVersionLast="47" xr6:coauthVersionMax="47" xr10:uidLastSave="{00000000-0000-0000-0000-000000000000}"/>
  <bookViews>
    <workbookView xWindow="3353" yWindow="915" windowWidth="21997" windowHeight="9285" xr2:uid="{00000000-000D-0000-FFFF-FFFF00000000}"/>
  </bookViews>
  <sheets>
    <sheet name="Note" sheetId="6" r:id="rId1"/>
    <sheet name="Idea generation" sheetId="4" r:id="rId2"/>
    <sheet name="Nasdaq.com" sheetId="1" r:id="rId3"/>
  </sheets>
  <definedNames>
    <definedName name="_xlnm._FilterDatabase" localSheetId="1" hidden="1">'Idea generation'!$A$1:$Z$17</definedName>
    <definedName name="_xlnm._FilterDatabase" localSheetId="2" hidden="1">Nasdaq.com!$A$1:$AV$2500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V2500" i="1" l="1"/>
  <c r="V2499" i="1"/>
  <c r="V2498" i="1"/>
  <c r="V2497" i="1"/>
  <c r="V2496" i="1"/>
  <c r="V2495" i="1"/>
  <c r="V2494" i="1"/>
  <c r="V2493" i="1"/>
  <c r="V2492" i="1"/>
  <c r="V2491" i="1"/>
  <c r="V2490" i="1"/>
  <c r="V2489" i="1"/>
  <c r="V2488" i="1"/>
  <c r="V2487" i="1"/>
  <c r="V2486" i="1"/>
  <c r="V2485" i="1"/>
  <c r="V2484" i="1"/>
  <c r="V2483" i="1"/>
  <c r="V2482" i="1"/>
  <c r="V2481" i="1"/>
  <c r="V2480" i="1"/>
  <c r="V2479" i="1"/>
  <c r="V2478" i="1"/>
  <c r="V2477" i="1"/>
  <c r="V2476" i="1"/>
  <c r="V2475" i="1"/>
  <c r="V2474" i="1"/>
  <c r="V2473" i="1"/>
  <c r="V2472" i="1"/>
  <c r="V2471" i="1"/>
  <c r="V2470" i="1"/>
  <c r="V2469" i="1"/>
  <c r="V2468" i="1"/>
  <c r="V2467" i="1"/>
  <c r="V2466" i="1"/>
  <c r="V2465" i="1"/>
  <c r="V2464" i="1"/>
  <c r="V2463" i="1"/>
  <c r="V2462" i="1"/>
  <c r="V2461" i="1"/>
  <c r="V2460" i="1"/>
  <c r="V2459" i="1"/>
  <c r="V2458" i="1"/>
  <c r="V2457" i="1"/>
  <c r="V2456" i="1"/>
  <c r="V2455" i="1"/>
  <c r="V2454" i="1"/>
  <c r="V2453" i="1"/>
  <c r="V2452" i="1"/>
  <c r="V2451" i="1"/>
  <c r="V2450" i="1"/>
  <c r="V2449" i="1"/>
  <c r="V2448" i="1"/>
  <c r="V2447" i="1"/>
  <c r="V2446" i="1"/>
  <c r="V2445" i="1"/>
  <c r="V2444" i="1"/>
  <c r="V2443" i="1"/>
  <c r="V2442" i="1"/>
  <c r="V2441" i="1"/>
  <c r="V2440" i="1"/>
  <c r="V2439" i="1"/>
  <c r="V2438" i="1"/>
  <c r="V2437" i="1"/>
  <c r="V2436" i="1"/>
  <c r="V2435" i="1"/>
  <c r="V2434" i="1"/>
  <c r="V2433" i="1"/>
  <c r="V2432" i="1"/>
  <c r="V2431" i="1"/>
  <c r="V2430" i="1"/>
  <c r="V2429" i="1"/>
  <c r="V2428" i="1"/>
  <c r="V2427" i="1"/>
  <c r="V2426" i="1"/>
  <c r="V2425" i="1"/>
  <c r="V2424" i="1"/>
  <c r="V2423" i="1"/>
  <c r="V2422" i="1"/>
  <c r="V2421" i="1"/>
  <c r="V2420" i="1"/>
  <c r="V2419" i="1"/>
  <c r="V2418" i="1"/>
  <c r="V2417" i="1"/>
  <c r="V2416" i="1"/>
  <c r="V2415" i="1"/>
  <c r="V2414" i="1"/>
  <c r="V2413" i="1"/>
  <c r="V2412" i="1"/>
  <c r="V2411" i="1"/>
  <c r="V2410" i="1"/>
  <c r="V2409" i="1"/>
  <c r="V2408" i="1"/>
  <c r="V2407" i="1"/>
  <c r="V2406" i="1"/>
  <c r="V2405" i="1"/>
  <c r="V2404" i="1"/>
  <c r="V2403" i="1"/>
  <c r="V2402" i="1"/>
  <c r="V2401" i="1"/>
  <c r="V2400" i="1"/>
  <c r="V2399" i="1"/>
  <c r="V2398" i="1"/>
  <c r="V2397" i="1"/>
  <c r="V2396" i="1"/>
  <c r="V2395" i="1"/>
  <c r="V2394" i="1"/>
  <c r="V2393" i="1"/>
  <c r="V2392" i="1"/>
  <c r="V2391" i="1"/>
  <c r="V2390" i="1"/>
  <c r="V2389" i="1"/>
  <c r="V2388" i="1"/>
  <c r="V2387" i="1"/>
  <c r="V2386" i="1"/>
  <c r="V2385" i="1"/>
  <c r="V2384" i="1"/>
  <c r="V2383" i="1"/>
  <c r="V2382" i="1"/>
  <c r="V2381" i="1"/>
  <c r="V2380" i="1"/>
  <c r="V2379" i="1"/>
  <c r="V2378" i="1"/>
  <c r="V2377" i="1"/>
  <c r="V2376" i="1"/>
  <c r="V2375" i="1"/>
  <c r="V2374" i="1"/>
  <c r="V2373" i="1"/>
  <c r="V2372" i="1"/>
  <c r="V2371" i="1"/>
  <c r="V2370" i="1"/>
  <c r="V2369" i="1"/>
  <c r="V2368" i="1"/>
  <c r="V2367" i="1"/>
  <c r="V2366" i="1"/>
  <c r="V2365" i="1"/>
  <c r="V2364" i="1"/>
  <c r="V2363" i="1"/>
  <c r="V2362" i="1"/>
  <c r="V2361" i="1"/>
  <c r="V2360" i="1"/>
  <c r="V2359" i="1"/>
  <c r="V2358" i="1"/>
  <c r="V2357" i="1"/>
  <c r="V2356" i="1"/>
  <c r="V2355" i="1"/>
  <c r="V2354" i="1"/>
  <c r="V2353" i="1"/>
  <c r="V2352" i="1"/>
  <c r="V2351" i="1"/>
  <c r="V2350" i="1"/>
  <c r="V2349" i="1"/>
  <c r="V2348" i="1"/>
  <c r="V2347" i="1"/>
  <c r="V2346" i="1"/>
  <c r="V2345" i="1"/>
  <c r="V2344" i="1"/>
  <c r="V2343" i="1"/>
  <c r="V2342" i="1"/>
  <c r="V2341" i="1"/>
  <c r="V2340" i="1"/>
  <c r="V2339" i="1"/>
  <c r="V2338" i="1"/>
  <c r="V2337" i="1"/>
  <c r="V2336" i="1"/>
  <c r="V2335" i="1"/>
  <c r="V2334" i="1"/>
  <c r="V2333" i="1"/>
  <c r="V2332" i="1"/>
  <c r="V2331" i="1"/>
  <c r="V2330" i="1"/>
  <c r="V2329" i="1"/>
  <c r="V2328" i="1"/>
  <c r="V2327" i="1"/>
  <c r="V2326" i="1"/>
  <c r="V2325" i="1"/>
  <c r="V2324" i="1"/>
  <c r="V2323" i="1"/>
  <c r="V2322" i="1"/>
  <c r="V2321" i="1"/>
  <c r="V2320" i="1"/>
  <c r="V2319" i="1"/>
  <c r="V2318" i="1"/>
  <c r="V2317" i="1"/>
  <c r="V2316" i="1"/>
  <c r="V2315" i="1"/>
  <c r="V2314" i="1"/>
  <c r="V2313" i="1"/>
  <c r="V2312" i="1"/>
  <c r="V2311" i="1"/>
  <c r="V2310" i="1"/>
  <c r="V2309" i="1"/>
  <c r="V2308" i="1"/>
  <c r="V2307" i="1"/>
  <c r="V2306" i="1"/>
  <c r="V2305" i="1"/>
  <c r="V2304" i="1"/>
  <c r="V2303" i="1"/>
  <c r="V2302" i="1"/>
  <c r="V2301" i="1"/>
  <c r="V2300" i="1"/>
  <c r="V2299" i="1"/>
  <c r="V2298" i="1"/>
  <c r="V2297" i="1"/>
  <c r="V2296" i="1"/>
  <c r="V2295" i="1"/>
  <c r="V2294" i="1"/>
  <c r="V2293" i="1"/>
  <c r="V2292" i="1"/>
  <c r="V2291" i="1"/>
  <c r="V2290" i="1"/>
  <c r="V2289" i="1"/>
  <c r="V2288" i="1"/>
  <c r="V2287" i="1"/>
  <c r="V2286" i="1"/>
  <c r="V2285" i="1"/>
  <c r="V2284" i="1"/>
  <c r="V2283" i="1"/>
  <c r="V2282" i="1"/>
  <c r="V2281" i="1"/>
  <c r="V2280" i="1"/>
  <c r="V2279" i="1"/>
  <c r="V2278" i="1"/>
  <c r="V2277" i="1"/>
  <c r="V2276" i="1"/>
  <c r="V2275" i="1"/>
  <c r="V2274" i="1"/>
  <c r="V2273" i="1"/>
  <c r="V2272" i="1"/>
  <c r="V2271" i="1"/>
  <c r="V2270" i="1"/>
  <c r="V2269" i="1"/>
  <c r="V2268" i="1"/>
  <c r="V2267" i="1"/>
  <c r="V2266" i="1"/>
  <c r="V2265" i="1"/>
  <c r="V2264" i="1"/>
  <c r="V2263" i="1"/>
  <c r="V2262" i="1"/>
  <c r="V2261" i="1"/>
  <c r="V2260" i="1"/>
  <c r="V2259" i="1"/>
  <c r="V2258" i="1"/>
  <c r="V2257" i="1"/>
  <c r="V2256" i="1"/>
  <c r="V2255" i="1"/>
  <c r="V2254" i="1"/>
  <c r="V2253" i="1"/>
  <c r="V2252" i="1"/>
  <c r="V2251" i="1"/>
  <c r="V2250" i="1"/>
  <c r="V2249" i="1"/>
  <c r="V2248" i="1"/>
  <c r="V2247" i="1"/>
  <c r="V2246" i="1"/>
  <c r="V2245" i="1"/>
  <c r="V2244" i="1"/>
  <c r="V2243" i="1"/>
  <c r="V2242" i="1"/>
  <c r="V2241" i="1"/>
  <c r="V2240" i="1"/>
  <c r="V2239" i="1"/>
  <c r="V2238" i="1"/>
  <c r="V2237" i="1"/>
  <c r="V2236" i="1"/>
  <c r="V2235" i="1"/>
  <c r="V2234" i="1"/>
  <c r="V2233" i="1"/>
  <c r="V2232" i="1"/>
  <c r="V2231" i="1"/>
  <c r="V2230" i="1"/>
  <c r="V2229" i="1"/>
  <c r="V2228" i="1"/>
  <c r="V2227" i="1"/>
  <c r="V2226" i="1"/>
  <c r="V2225" i="1"/>
  <c r="V2224" i="1"/>
  <c r="V2223" i="1"/>
  <c r="V2222" i="1"/>
  <c r="V2221" i="1"/>
  <c r="V2220" i="1"/>
  <c r="V2219" i="1"/>
  <c r="V2218" i="1"/>
  <c r="V2217" i="1"/>
  <c r="V2216" i="1"/>
  <c r="V2215" i="1"/>
  <c r="V2214" i="1"/>
  <c r="V2213" i="1"/>
  <c r="V2212" i="1"/>
  <c r="V2211" i="1"/>
  <c r="V2210" i="1"/>
  <c r="V2209" i="1"/>
  <c r="V2208" i="1"/>
  <c r="V2207" i="1"/>
  <c r="V2206" i="1"/>
  <c r="V2205" i="1"/>
  <c r="V2204" i="1"/>
  <c r="V2203" i="1"/>
  <c r="V2202" i="1"/>
  <c r="V2201" i="1"/>
  <c r="V2200" i="1"/>
  <c r="V2199" i="1"/>
  <c r="V2198" i="1"/>
  <c r="V2197" i="1"/>
  <c r="V2196" i="1"/>
  <c r="V2195" i="1"/>
  <c r="V2194" i="1"/>
  <c r="V2193" i="1"/>
  <c r="V2192" i="1"/>
  <c r="V2191" i="1"/>
  <c r="V2190" i="1"/>
  <c r="V2189" i="1"/>
  <c r="V2188" i="1"/>
  <c r="V2187" i="1"/>
  <c r="V2186" i="1"/>
  <c r="V2185" i="1"/>
  <c r="V2184" i="1"/>
  <c r="V2183" i="1"/>
  <c r="V2182" i="1"/>
  <c r="V2181" i="1"/>
  <c r="V2180" i="1"/>
  <c r="V2179" i="1"/>
  <c r="V2178" i="1"/>
  <c r="V2177" i="1"/>
  <c r="V2176" i="1"/>
  <c r="V2175" i="1"/>
  <c r="V2174" i="1"/>
  <c r="V2173" i="1"/>
  <c r="V2172" i="1"/>
  <c r="V2171" i="1"/>
  <c r="V2170" i="1"/>
  <c r="V2169" i="1"/>
  <c r="V2168" i="1"/>
  <c r="V2167" i="1"/>
  <c r="V2166" i="1"/>
  <c r="V2165" i="1"/>
  <c r="V2164" i="1"/>
  <c r="V2163" i="1"/>
  <c r="V2162" i="1"/>
  <c r="V2161" i="1"/>
  <c r="V2160" i="1"/>
  <c r="V2159" i="1"/>
  <c r="V2158" i="1"/>
  <c r="V2157" i="1"/>
  <c r="V2156" i="1"/>
  <c r="V2155" i="1"/>
  <c r="V2154" i="1"/>
  <c r="V2153" i="1"/>
  <c r="V2152" i="1"/>
  <c r="V2151" i="1"/>
  <c r="V2150" i="1"/>
  <c r="V2149" i="1"/>
  <c r="V2148" i="1"/>
  <c r="V2147" i="1"/>
  <c r="V2146" i="1"/>
  <c r="V2145" i="1"/>
  <c r="V2144" i="1"/>
  <c r="V2143" i="1"/>
  <c r="V2142" i="1"/>
  <c r="V2141" i="1"/>
  <c r="V2140" i="1"/>
  <c r="V2139" i="1"/>
  <c r="V2138" i="1"/>
  <c r="V2137" i="1"/>
  <c r="V2136" i="1"/>
  <c r="V2135" i="1"/>
  <c r="V2134" i="1"/>
  <c r="V2133" i="1"/>
  <c r="V2132" i="1"/>
  <c r="V2131" i="1"/>
  <c r="V2130" i="1"/>
  <c r="V2129" i="1"/>
  <c r="V2128" i="1"/>
  <c r="V2127" i="1"/>
  <c r="V2126" i="1"/>
  <c r="V2125" i="1"/>
  <c r="V2124" i="1"/>
  <c r="V2123" i="1"/>
  <c r="V2122" i="1"/>
  <c r="V2121" i="1"/>
  <c r="V2120" i="1"/>
  <c r="V2119" i="1"/>
  <c r="V2118" i="1"/>
  <c r="V2117" i="1"/>
  <c r="V2116" i="1"/>
  <c r="V2115" i="1"/>
  <c r="V2114" i="1"/>
  <c r="V2113" i="1"/>
  <c r="V2112" i="1"/>
  <c r="V2111" i="1"/>
  <c r="V2110" i="1"/>
  <c r="V2109" i="1"/>
  <c r="V2108" i="1"/>
  <c r="V2107" i="1"/>
  <c r="V2106" i="1"/>
  <c r="V2105" i="1"/>
  <c r="V2104" i="1"/>
  <c r="V2103" i="1"/>
  <c r="V2102" i="1"/>
  <c r="V2101" i="1"/>
  <c r="V2100" i="1"/>
  <c r="V2099" i="1"/>
  <c r="V2098" i="1"/>
  <c r="V2097" i="1"/>
  <c r="V2096" i="1"/>
  <c r="V2095" i="1"/>
  <c r="V2094" i="1"/>
  <c r="V2093" i="1"/>
  <c r="V2092" i="1"/>
  <c r="V2091" i="1"/>
  <c r="V2090" i="1"/>
  <c r="V2089" i="1"/>
  <c r="V2088" i="1"/>
  <c r="V2087" i="1"/>
  <c r="V2086" i="1"/>
  <c r="V2085" i="1"/>
  <c r="V2084" i="1"/>
  <c r="V2083" i="1"/>
  <c r="V2082" i="1"/>
  <c r="V2081" i="1"/>
  <c r="V2080" i="1"/>
  <c r="V2079" i="1"/>
  <c r="V2078" i="1"/>
  <c r="V2077" i="1"/>
  <c r="V2076" i="1"/>
  <c r="V2075" i="1"/>
  <c r="V2074" i="1"/>
  <c r="V2073" i="1"/>
  <c r="V2072" i="1"/>
  <c r="V2071" i="1"/>
  <c r="V2070" i="1"/>
  <c r="V2069" i="1"/>
  <c r="V2068" i="1"/>
  <c r="V2067" i="1"/>
  <c r="V2066" i="1"/>
  <c r="V2065" i="1"/>
  <c r="V2064" i="1"/>
  <c r="V2063" i="1"/>
  <c r="V2062" i="1"/>
  <c r="V2061" i="1"/>
  <c r="V2060" i="1"/>
  <c r="V2059" i="1"/>
  <c r="V2058" i="1"/>
  <c r="V2057" i="1"/>
  <c r="V2056" i="1"/>
  <c r="V2055" i="1"/>
  <c r="V2054" i="1"/>
  <c r="V2053" i="1"/>
  <c r="V2052" i="1"/>
  <c r="V2051" i="1"/>
  <c r="V2050" i="1"/>
  <c r="V2049" i="1"/>
  <c r="V2048" i="1"/>
  <c r="V2047" i="1"/>
  <c r="V2046" i="1"/>
  <c r="V2045" i="1"/>
  <c r="V2044" i="1"/>
  <c r="V2043" i="1"/>
  <c r="V2042" i="1"/>
  <c r="V2041" i="1"/>
  <c r="V2040" i="1"/>
  <c r="V2039" i="1"/>
  <c r="V2038" i="1"/>
  <c r="V2037" i="1"/>
  <c r="V2036" i="1"/>
  <c r="V2035" i="1"/>
  <c r="V2034" i="1"/>
  <c r="V2033" i="1"/>
  <c r="V2032" i="1"/>
  <c r="V2031" i="1"/>
  <c r="V2030" i="1"/>
  <c r="V2029" i="1"/>
  <c r="V2028" i="1"/>
  <c r="V2027" i="1"/>
  <c r="V2026" i="1"/>
  <c r="V2025" i="1"/>
  <c r="V2024" i="1"/>
  <c r="V2023" i="1"/>
  <c r="V2022" i="1"/>
  <c r="V2021" i="1"/>
  <c r="V2020" i="1"/>
  <c r="V2019" i="1"/>
  <c r="V2018" i="1"/>
  <c r="V2017" i="1"/>
  <c r="V2016" i="1"/>
  <c r="V2015" i="1"/>
  <c r="V2014" i="1"/>
  <c r="V2013" i="1"/>
  <c r="V2012" i="1"/>
  <c r="V2011" i="1"/>
  <c r="V2010" i="1"/>
  <c r="V2009" i="1"/>
  <c r="V2008" i="1"/>
  <c r="V2007" i="1"/>
  <c r="V2006" i="1"/>
  <c r="V2005" i="1"/>
  <c r="V2004" i="1"/>
  <c r="V2003" i="1"/>
  <c r="V2002" i="1"/>
  <c r="V2001" i="1"/>
  <c r="V2000" i="1"/>
  <c r="V1999" i="1"/>
  <c r="V1998" i="1"/>
  <c r="V1997" i="1"/>
  <c r="V1996" i="1"/>
  <c r="V1995" i="1"/>
  <c r="V1994" i="1"/>
  <c r="V1993" i="1"/>
  <c r="V1992" i="1"/>
  <c r="V1991" i="1"/>
  <c r="V1990" i="1"/>
  <c r="V1989" i="1"/>
  <c r="V1988" i="1"/>
  <c r="V1987" i="1"/>
  <c r="V1986" i="1"/>
  <c r="V1985" i="1"/>
  <c r="V1984" i="1"/>
  <c r="V1983" i="1"/>
  <c r="V1982" i="1"/>
  <c r="V1981" i="1"/>
  <c r="V1980" i="1"/>
  <c r="V1979" i="1"/>
  <c r="V1978" i="1"/>
  <c r="V1977" i="1"/>
  <c r="V1976" i="1"/>
  <c r="V1975" i="1"/>
  <c r="V1974" i="1"/>
  <c r="V1973" i="1"/>
  <c r="V1972" i="1"/>
  <c r="V1971" i="1"/>
  <c r="V1970" i="1"/>
  <c r="V1969" i="1"/>
  <c r="V1968" i="1"/>
  <c r="V1967" i="1"/>
  <c r="V1966" i="1"/>
  <c r="V1965" i="1"/>
  <c r="V1964" i="1"/>
  <c r="V1963" i="1"/>
  <c r="V1962" i="1"/>
  <c r="V1961" i="1"/>
  <c r="V1960" i="1"/>
  <c r="V1959" i="1"/>
  <c r="V1958" i="1"/>
  <c r="V1957" i="1"/>
  <c r="V1956" i="1"/>
  <c r="V1955" i="1"/>
  <c r="V1954" i="1"/>
  <c r="V1953" i="1"/>
  <c r="V1952" i="1"/>
  <c r="V1951" i="1"/>
  <c r="V1950" i="1"/>
  <c r="V1949" i="1"/>
  <c r="V1948" i="1"/>
  <c r="V1947" i="1"/>
  <c r="V1946" i="1"/>
  <c r="V1945" i="1"/>
  <c r="V1944" i="1"/>
  <c r="V1943" i="1"/>
  <c r="V1942" i="1"/>
  <c r="V1941" i="1"/>
  <c r="V1940" i="1"/>
  <c r="V1939" i="1"/>
  <c r="V1938" i="1"/>
  <c r="V1937" i="1"/>
  <c r="V1936" i="1"/>
  <c r="V1935" i="1"/>
  <c r="V1934" i="1"/>
  <c r="V1933" i="1"/>
  <c r="V1932" i="1"/>
  <c r="V1931" i="1"/>
  <c r="V1930" i="1"/>
  <c r="V1929" i="1"/>
  <c r="V1928" i="1"/>
  <c r="V1927" i="1"/>
  <c r="V1926" i="1"/>
  <c r="V1925" i="1"/>
  <c r="V1924" i="1"/>
  <c r="V1923" i="1"/>
  <c r="V1922" i="1"/>
  <c r="V1921" i="1"/>
  <c r="V1920" i="1"/>
  <c r="V1919" i="1"/>
  <c r="V1918" i="1"/>
  <c r="V1917" i="1"/>
  <c r="V1916" i="1"/>
  <c r="V1915" i="1"/>
  <c r="V1914" i="1"/>
  <c r="V1913" i="1"/>
  <c r="V1912" i="1"/>
  <c r="V1911" i="1"/>
  <c r="V1910" i="1"/>
  <c r="V1909" i="1"/>
  <c r="V1908" i="1"/>
  <c r="V1907" i="1"/>
  <c r="V1906" i="1"/>
  <c r="V1905" i="1"/>
  <c r="V1904" i="1"/>
  <c r="V1903" i="1"/>
  <c r="V1902" i="1"/>
  <c r="V1901" i="1"/>
  <c r="V1900" i="1"/>
  <c r="V1899" i="1"/>
  <c r="V1898" i="1"/>
  <c r="V1897" i="1"/>
  <c r="V1896" i="1"/>
  <c r="V1895" i="1"/>
  <c r="V1894" i="1"/>
  <c r="V1893" i="1"/>
  <c r="V1892" i="1"/>
  <c r="V1891" i="1"/>
  <c r="V1890" i="1"/>
  <c r="V1889" i="1"/>
  <c r="V1888" i="1"/>
  <c r="V1887" i="1"/>
  <c r="V1886" i="1"/>
  <c r="V1885" i="1"/>
  <c r="V1884" i="1"/>
  <c r="V1883" i="1"/>
  <c r="V1882" i="1"/>
  <c r="V1881" i="1"/>
  <c r="V1880" i="1"/>
  <c r="V1879" i="1"/>
  <c r="V1878" i="1"/>
  <c r="V1877" i="1"/>
  <c r="V1876" i="1"/>
  <c r="V1875" i="1"/>
  <c r="V1874" i="1"/>
  <c r="V1873" i="1"/>
  <c r="V1872" i="1"/>
  <c r="V1871" i="1"/>
  <c r="V1870" i="1"/>
  <c r="V1869" i="1"/>
  <c r="V1868" i="1"/>
  <c r="V1867" i="1"/>
  <c r="V1866" i="1"/>
  <c r="V1865" i="1"/>
  <c r="V1864" i="1"/>
  <c r="V1863" i="1"/>
  <c r="V1862" i="1"/>
  <c r="V1861" i="1"/>
  <c r="V1860" i="1"/>
  <c r="V1859" i="1"/>
  <c r="V1858" i="1"/>
  <c r="V1857" i="1"/>
  <c r="V1856" i="1"/>
  <c r="V1855" i="1"/>
  <c r="V1854" i="1"/>
  <c r="V1853" i="1"/>
  <c r="V1852" i="1"/>
  <c r="V1851" i="1"/>
  <c r="V1850" i="1"/>
  <c r="V1849" i="1"/>
  <c r="V1848" i="1"/>
  <c r="V1847" i="1"/>
  <c r="V1846" i="1"/>
  <c r="V1845" i="1"/>
  <c r="V1844" i="1"/>
  <c r="V1843" i="1"/>
  <c r="V1842" i="1"/>
  <c r="V1841" i="1"/>
  <c r="V1840" i="1"/>
  <c r="V1839" i="1"/>
  <c r="V1838" i="1"/>
  <c r="V1837" i="1"/>
  <c r="V1836" i="1"/>
  <c r="V1835" i="1"/>
  <c r="V1834" i="1"/>
  <c r="V1833" i="1"/>
  <c r="V1832" i="1"/>
  <c r="V1831" i="1"/>
  <c r="V1830" i="1"/>
  <c r="V1829" i="1"/>
  <c r="V1828" i="1"/>
  <c r="V1827" i="1"/>
  <c r="V1826" i="1"/>
  <c r="V1825" i="1"/>
  <c r="V1824" i="1"/>
  <c r="V1823" i="1"/>
  <c r="V1822" i="1"/>
  <c r="V1821" i="1"/>
  <c r="V1820" i="1"/>
  <c r="V1819" i="1"/>
  <c r="V1818" i="1"/>
  <c r="V1817" i="1"/>
  <c r="V1816" i="1"/>
  <c r="V1815" i="1"/>
  <c r="V1814" i="1"/>
  <c r="V1813" i="1"/>
  <c r="V1812" i="1"/>
  <c r="V1811" i="1"/>
  <c r="V1810" i="1"/>
  <c r="V1809" i="1"/>
  <c r="V1808" i="1"/>
  <c r="V1807" i="1"/>
  <c r="V1806" i="1"/>
  <c r="V1805" i="1"/>
  <c r="V1804" i="1"/>
  <c r="V1803" i="1"/>
  <c r="V1802" i="1"/>
  <c r="V1801" i="1"/>
  <c r="V1800" i="1"/>
  <c r="V1799" i="1"/>
  <c r="V1798" i="1"/>
  <c r="V1797" i="1"/>
  <c r="V1796" i="1"/>
  <c r="V1795" i="1"/>
  <c r="V1794" i="1"/>
  <c r="V1793" i="1"/>
  <c r="V1792" i="1"/>
  <c r="V1791" i="1"/>
  <c r="V1790" i="1"/>
  <c r="V1789" i="1"/>
  <c r="V1788" i="1"/>
  <c r="V1787" i="1"/>
  <c r="V1786" i="1"/>
  <c r="V1785" i="1"/>
  <c r="V1784" i="1"/>
  <c r="V1783" i="1"/>
  <c r="V1782" i="1"/>
  <c r="V1781" i="1"/>
  <c r="V1780" i="1"/>
  <c r="V1779" i="1"/>
  <c r="V1778" i="1"/>
  <c r="V1777" i="1"/>
  <c r="V1776" i="1"/>
  <c r="V1775" i="1"/>
  <c r="V1774" i="1"/>
  <c r="V1773" i="1"/>
  <c r="V1772" i="1"/>
  <c r="V1771" i="1"/>
  <c r="V1770" i="1"/>
  <c r="V1769" i="1"/>
  <c r="V1768" i="1"/>
  <c r="V1767" i="1"/>
  <c r="V1766" i="1"/>
  <c r="V1765" i="1"/>
  <c r="V1764" i="1"/>
  <c r="V1763" i="1"/>
  <c r="V1762" i="1"/>
  <c r="V1761" i="1"/>
  <c r="V1760" i="1"/>
  <c r="V1759" i="1"/>
  <c r="V1758" i="1"/>
  <c r="V1757" i="1"/>
  <c r="V1756" i="1"/>
  <c r="V1755" i="1"/>
  <c r="V1754" i="1"/>
  <c r="V1753" i="1"/>
  <c r="V1752" i="1"/>
  <c r="V1751" i="1"/>
  <c r="V1750" i="1"/>
  <c r="V1749" i="1"/>
  <c r="V1748" i="1"/>
  <c r="V1747" i="1"/>
  <c r="V1746" i="1"/>
  <c r="V1745" i="1"/>
  <c r="V1744" i="1"/>
  <c r="V1743" i="1"/>
  <c r="V1742" i="1"/>
  <c r="V1741" i="1"/>
  <c r="V1740" i="1"/>
  <c r="V1739" i="1"/>
  <c r="V1738" i="1"/>
  <c r="V1737" i="1"/>
  <c r="V1736" i="1"/>
  <c r="V1735" i="1"/>
  <c r="V1734" i="1"/>
  <c r="V1733" i="1"/>
  <c r="V1732" i="1"/>
  <c r="V1731" i="1"/>
  <c r="V1730" i="1"/>
  <c r="V1729" i="1"/>
  <c r="V1728" i="1"/>
  <c r="V1727" i="1"/>
  <c r="V1726" i="1"/>
  <c r="V1725" i="1"/>
  <c r="V1724" i="1"/>
  <c r="V1723" i="1"/>
  <c r="V1722" i="1"/>
  <c r="V1721" i="1"/>
  <c r="V1720" i="1"/>
  <c r="V1719" i="1"/>
  <c r="V1718" i="1"/>
  <c r="V1717" i="1"/>
  <c r="V1716" i="1"/>
  <c r="V1715" i="1"/>
  <c r="V1714" i="1"/>
  <c r="V1713" i="1"/>
  <c r="V1712" i="1"/>
  <c r="V1711" i="1"/>
  <c r="V1710" i="1"/>
  <c r="V1709" i="1"/>
  <c r="V1708" i="1"/>
  <c r="V1707" i="1"/>
  <c r="V1706" i="1"/>
  <c r="V1705" i="1"/>
  <c r="V1704" i="1"/>
  <c r="V1703" i="1"/>
  <c r="V1702" i="1"/>
  <c r="V1701" i="1"/>
  <c r="V1700" i="1"/>
  <c r="V1699" i="1"/>
  <c r="V1698" i="1"/>
  <c r="V1697" i="1"/>
  <c r="V1696" i="1"/>
  <c r="V1695" i="1"/>
  <c r="V1694" i="1"/>
  <c r="V1693" i="1"/>
  <c r="V1692" i="1"/>
  <c r="V1691" i="1"/>
  <c r="V1690" i="1"/>
  <c r="V1689" i="1"/>
  <c r="V1688" i="1"/>
  <c r="V1687" i="1"/>
  <c r="V1686" i="1"/>
  <c r="V1685" i="1"/>
  <c r="V1684" i="1"/>
  <c r="V1683" i="1"/>
  <c r="V1682" i="1"/>
  <c r="V1681" i="1"/>
  <c r="V1680" i="1"/>
  <c r="V1679" i="1"/>
  <c r="V1678" i="1"/>
  <c r="V1677" i="1"/>
  <c r="V1676" i="1"/>
  <c r="V1675" i="1"/>
  <c r="V1674" i="1"/>
  <c r="V1673" i="1"/>
  <c r="V1672" i="1"/>
  <c r="V1671" i="1"/>
  <c r="V1670" i="1"/>
  <c r="V1669" i="1"/>
  <c r="V1668" i="1"/>
  <c r="V1667" i="1"/>
  <c r="V1666" i="1"/>
  <c r="V1665" i="1"/>
  <c r="V1664" i="1"/>
  <c r="V1663" i="1"/>
  <c r="V1662" i="1"/>
  <c r="V1661" i="1"/>
  <c r="V1660" i="1"/>
  <c r="V1659" i="1"/>
  <c r="V1658" i="1"/>
  <c r="V1657" i="1"/>
  <c r="V1656" i="1"/>
  <c r="V1655" i="1"/>
  <c r="V1654" i="1"/>
  <c r="V1653" i="1"/>
  <c r="V1652" i="1"/>
  <c r="V1651" i="1"/>
  <c r="V1650" i="1"/>
  <c r="V1649" i="1"/>
  <c r="V1648" i="1"/>
  <c r="V1647" i="1"/>
  <c r="V1646" i="1"/>
  <c r="V1645" i="1"/>
  <c r="V1644" i="1"/>
  <c r="V1643" i="1"/>
  <c r="V1642" i="1"/>
  <c r="V1641" i="1"/>
  <c r="V1640" i="1"/>
  <c r="V1639" i="1"/>
  <c r="V1638" i="1"/>
  <c r="V1637" i="1"/>
  <c r="V1636" i="1"/>
  <c r="V1635" i="1"/>
  <c r="V1634" i="1"/>
  <c r="V1633" i="1"/>
  <c r="V1632" i="1"/>
  <c r="V1631" i="1"/>
  <c r="V1630" i="1"/>
  <c r="V1629" i="1"/>
  <c r="V1628" i="1"/>
  <c r="V1627" i="1"/>
  <c r="V1626" i="1"/>
  <c r="V1625" i="1"/>
  <c r="V1624" i="1"/>
  <c r="V1623" i="1"/>
  <c r="V1622" i="1"/>
  <c r="V1621" i="1"/>
  <c r="V1620" i="1"/>
  <c r="V1619" i="1"/>
  <c r="V1618" i="1"/>
  <c r="V1617" i="1"/>
  <c r="V1616" i="1"/>
  <c r="V1615" i="1"/>
  <c r="V1614" i="1"/>
  <c r="V1613" i="1"/>
  <c r="V1612" i="1"/>
  <c r="V1611" i="1"/>
  <c r="V1610" i="1"/>
  <c r="V1609" i="1"/>
  <c r="V1608" i="1"/>
  <c r="V1607" i="1"/>
  <c r="V1606" i="1"/>
  <c r="V1605" i="1"/>
  <c r="V1604" i="1"/>
  <c r="V1603" i="1"/>
  <c r="V1602" i="1"/>
  <c r="V1601" i="1"/>
  <c r="V1600" i="1"/>
  <c r="V1599" i="1"/>
  <c r="V1598" i="1"/>
  <c r="V1597" i="1"/>
  <c r="V1596" i="1"/>
  <c r="V1595" i="1"/>
  <c r="V1594" i="1"/>
  <c r="V1593" i="1"/>
  <c r="V1592" i="1"/>
  <c r="V1591" i="1"/>
  <c r="V1590" i="1"/>
  <c r="V1589" i="1"/>
  <c r="V1588" i="1"/>
  <c r="V1587" i="1"/>
  <c r="V1586" i="1"/>
  <c r="V1585" i="1"/>
  <c r="V1584" i="1"/>
  <c r="V1583" i="1"/>
  <c r="V1582" i="1"/>
  <c r="V1581" i="1"/>
  <c r="V1580" i="1"/>
  <c r="V1579" i="1"/>
  <c r="V1578" i="1"/>
  <c r="V1577" i="1"/>
  <c r="V1576" i="1"/>
  <c r="V1575" i="1"/>
  <c r="V1574" i="1"/>
  <c r="V1573" i="1"/>
  <c r="V1572" i="1"/>
  <c r="V1571" i="1"/>
  <c r="V1570" i="1"/>
  <c r="V1569" i="1"/>
  <c r="V1568" i="1"/>
  <c r="V1567" i="1"/>
  <c r="V1566" i="1"/>
  <c r="V1565" i="1"/>
  <c r="V1564" i="1"/>
  <c r="V1563" i="1"/>
  <c r="V1562" i="1"/>
  <c r="V1561" i="1"/>
  <c r="V1560" i="1"/>
  <c r="V1559" i="1"/>
  <c r="V1558" i="1"/>
  <c r="V1557" i="1"/>
  <c r="V1556" i="1"/>
  <c r="V1555" i="1"/>
  <c r="V1554" i="1"/>
  <c r="V1553" i="1"/>
  <c r="V1552" i="1"/>
  <c r="V1551" i="1"/>
  <c r="V1550" i="1"/>
  <c r="V1549" i="1"/>
  <c r="V1548" i="1"/>
  <c r="V1547" i="1"/>
  <c r="V1546" i="1"/>
  <c r="V1545" i="1"/>
  <c r="V1544" i="1"/>
  <c r="V1543" i="1"/>
  <c r="V1542" i="1"/>
  <c r="V1541" i="1"/>
  <c r="V1540" i="1"/>
  <c r="V1539" i="1"/>
  <c r="V1538" i="1"/>
  <c r="V1537" i="1"/>
  <c r="V1536" i="1"/>
  <c r="V1535" i="1"/>
  <c r="V1534" i="1"/>
  <c r="V1533" i="1"/>
  <c r="V1532" i="1"/>
  <c r="V1531" i="1"/>
  <c r="V1530" i="1"/>
  <c r="V1529" i="1"/>
  <c r="V1528" i="1"/>
  <c r="V1527" i="1"/>
  <c r="V1526" i="1"/>
  <c r="V1525" i="1"/>
  <c r="V1524" i="1"/>
  <c r="V1523" i="1"/>
  <c r="V1522" i="1"/>
  <c r="V1521" i="1"/>
  <c r="V1520" i="1"/>
  <c r="V1519" i="1"/>
  <c r="V1518" i="1"/>
  <c r="V1517" i="1"/>
  <c r="V1516" i="1"/>
  <c r="V1515" i="1"/>
  <c r="V1514" i="1"/>
  <c r="V1513" i="1"/>
  <c r="V1512" i="1"/>
  <c r="V1511" i="1"/>
  <c r="V1510" i="1"/>
  <c r="V1509" i="1"/>
  <c r="V1508" i="1"/>
  <c r="V1507" i="1"/>
  <c r="V1506" i="1"/>
  <c r="V1505" i="1"/>
  <c r="V1504" i="1"/>
  <c r="V1503" i="1"/>
  <c r="V1502" i="1"/>
  <c r="V1501" i="1"/>
  <c r="V1500" i="1"/>
  <c r="V1499" i="1"/>
  <c r="V1498" i="1"/>
  <c r="V1497" i="1"/>
  <c r="V1496" i="1"/>
  <c r="V1495" i="1"/>
  <c r="V1494" i="1"/>
  <c r="V1493" i="1"/>
  <c r="V1492" i="1"/>
  <c r="V1491" i="1"/>
  <c r="V1490" i="1"/>
  <c r="V1489" i="1"/>
  <c r="V1488" i="1"/>
  <c r="V1487" i="1"/>
  <c r="V1486" i="1"/>
  <c r="V1485" i="1"/>
  <c r="V1484" i="1"/>
  <c r="V1483" i="1"/>
  <c r="V1482" i="1"/>
  <c r="V1481" i="1"/>
  <c r="V1480" i="1"/>
  <c r="V1479" i="1"/>
  <c r="V1478" i="1"/>
  <c r="V1477" i="1"/>
  <c r="V1476" i="1"/>
  <c r="V1475" i="1"/>
  <c r="V1474" i="1"/>
  <c r="V1473" i="1"/>
  <c r="V1472" i="1"/>
  <c r="V1471" i="1"/>
  <c r="V1470" i="1"/>
  <c r="V1469" i="1"/>
  <c r="V1468" i="1"/>
  <c r="V1467" i="1"/>
  <c r="V1466" i="1"/>
  <c r="V1465" i="1"/>
  <c r="V1464" i="1"/>
  <c r="V1463" i="1"/>
  <c r="V1462" i="1"/>
  <c r="V1461" i="1"/>
  <c r="V1460" i="1"/>
  <c r="V1459" i="1"/>
  <c r="V1458" i="1"/>
  <c r="V1457" i="1"/>
  <c r="V1456" i="1"/>
  <c r="V1455" i="1"/>
  <c r="V1454" i="1"/>
  <c r="V1453" i="1"/>
  <c r="V1452" i="1"/>
  <c r="V1451" i="1"/>
  <c r="V1450" i="1"/>
  <c r="V1449" i="1"/>
  <c r="V1448" i="1"/>
  <c r="V1447" i="1"/>
  <c r="V1446" i="1"/>
  <c r="V1445" i="1"/>
  <c r="V1444" i="1"/>
  <c r="V1443" i="1"/>
  <c r="V1442" i="1"/>
  <c r="V1441" i="1"/>
  <c r="V1440" i="1"/>
  <c r="V1439" i="1"/>
  <c r="V1438" i="1"/>
  <c r="V1437" i="1"/>
  <c r="V1436" i="1"/>
  <c r="V1435" i="1"/>
  <c r="V1434" i="1"/>
  <c r="V1433" i="1"/>
  <c r="V1432" i="1"/>
  <c r="V1431" i="1"/>
  <c r="V1430" i="1"/>
  <c r="V1429" i="1"/>
  <c r="V1428" i="1"/>
  <c r="V1427" i="1"/>
  <c r="V1426" i="1"/>
  <c r="V1425" i="1"/>
  <c r="V1424" i="1"/>
  <c r="V1423" i="1"/>
  <c r="V1422" i="1"/>
  <c r="V1421" i="1"/>
  <c r="V1420" i="1"/>
  <c r="V1419" i="1"/>
  <c r="V1418" i="1"/>
  <c r="V1417" i="1"/>
  <c r="V1416" i="1"/>
  <c r="V1415" i="1"/>
  <c r="V1414" i="1"/>
  <c r="V1413" i="1"/>
  <c r="V1412" i="1"/>
  <c r="V1411" i="1"/>
  <c r="V1410" i="1"/>
  <c r="V1409" i="1"/>
  <c r="V1408" i="1"/>
  <c r="V1407" i="1"/>
  <c r="V1406" i="1"/>
  <c r="V1405" i="1"/>
  <c r="V1404" i="1"/>
  <c r="V1403" i="1"/>
  <c r="V1402" i="1"/>
  <c r="V1401" i="1"/>
  <c r="V1400" i="1"/>
  <c r="V1399" i="1"/>
  <c r="V1398" i="1"/>
  <c r="V1397" i="1"/>
  <c r="V1396" i="1"/>
  <c r="V1395" i="1"/>
  <c r="V1394" i="1"/>
  <c r="V1393" i="1"/>
  <c r="V1392" i="1"/>
  <c r="V1391" i="1"/>
  <c r="V1390" i="1"/>
  <c r="V1389" i="1"/>
  <c r="V1388" i="1"/>
  <c r="V1387" i="1"/>
  <c r="V1386" i="1"/>
  <c r="V1385" i="1"/>
  <c r="V1384" i="1"/>
  <c r="V1383" i="1"/>
  <c r="V1382" i="1"/>
  <c r="V1381" i="1"/>
  <c r="V1380" i="1"/>
  <c r="V1379" i="1"/>
  <c r="V1378" i="1"/>
  <c r="V1377" i="1"/>
  <c r="V1376" i="1"/>
  <c r="V1375" i="1"/>
  <c r="V1374" i="1"/>
  <c r="V1373" i="1"/>
  <c r="V1372" i="1"/>
  <c r="V1371" i="1"/>
  <c r="V1370" i="1"/>
  <c r="V1369" i="1"/>
  <c r="V1368" i="1"/>
  <c r="V1367" i="1"/>
  <c r="V1366" i="1"/>
  <c r="V1365" i="1"/>
  <c r="V1364" i="1"/>
  <c r="V1363" i="1"/>
  <c r="V1362" i="1"/>
  <c r="V1361" i="1"/>
  <c r="V1360" i="1"/>
  <c r="V1359" i="1"/>
  <c r="V1358" i="1"/>
  <c r="V1357" i="1"/>
  <c r="V1356" i="1"/>
  <c r="V1355" i="1"/>
  <c r="V1354" i="1"/>
  <c r="V1353" i="1"/>
  <c r="V1352" i="1"/>
  <c r="V1351" i="1"/>
  <c r="V1350" i="1"/>
  <c r="V1349" i="1"/>
  <c r="V1348" i="1"/>
  <c r="V1347" i="1"/>
  <c r="V1346" i="1"/>
  <c r="V1345" i="1"/>
  <c r="V1344" i="1"/>
  <c r="V1343" i="1"/>
  <c r="V1342" i="1"/>
  <c r="V1341" i="1"/>
  <c r="V1340" i="1"/>
  <c r="V1339" i="1"/>
  <c r="V1338" i="1"/>
  <c r="V1337" i="1"/>
  <c r="V1336" i="1"/>
  <c r="V1335" i="1"/>
  <c r="V1334" i="1"/>
  <c r="V1333" i="1"/>
  <c r="V1332" i="1"/>
  <c r="V1331" i="1"/>
  <c r="V1330" i="1"/>
  <c r="V1329" i="1"/>
  <c r="V1328" i="1"/>
  <c r="V1327" i="1"/>
  <c r="V1326" i="1"/>
  <c r="V1325" i="1"/>
  <c r="V1324" i="1"/>
  <c r="V1323" i="1"/>
  <c r="V1322" i="1"/>
  <c r="V1321" i="1"/>
  <c r="V1320" i="1"/>
  <c r="V1319" i="1"/>
  <c r="V1318" i="1"/>
  <c r="V1317" i="1"/>
  <c r="V1316" i="1"/>
  <c r="V1315" i="1"/>
  <c r="V1314" i="1"/>
  <c r="V1313" i="1"/>
  <c r="V1312" i="1"/>
  <c r="V1311" i="1"/>
  <c r="V1310" i="1"/>
  <c r="V1309" i="1"/>
  <c r="V1308" i="1"/>
  <c r="V1307" i="1"/>
  <c r="V1306" i="1"/>
  <c r="V1305" i="1"/>
  <c r="V1304" i="1"/>
  <c r="V1303" i="1"/>
  <c r="V1302" i="1"/>
  <c r="V1301" i="1"/>
  <c r="V1300" i="1"/>
  <c r="V1299" i="1"/>
  <c r="V1298" i="1"/>
  <c r="V1297" i="1"/>
  <c r="V1296" i="1"/>
  <c r="V1295" i="1"/>
  <c r="V1294" i="1"/>
  <c r="V1293" i="1"/>
  <c r="V1292" i="1"/>
  <c r="V1291" i="1"/>
  <c r="V1290" i="1"/>
  <c r="V1289" i="1"/>
  <c r="V1288" i="1"/>
  <c r="V1287" i="1"/>
  <c r="V1286" i="1"/>
  <c r="V1285" i="1"/>
  <c r="V1284" i="1"/>
  <c r="V1283" i="1"/>
  <c r="V1282" i="1"/>
  <c r="V1281" i="1"/>
  <c r="V1280" i="1"/>
  <c r="V1279" i="1"/>
  <c r="V1278" i="1"/>
  <c r="V1277" i="1"/>
  <c r="V1276" i="1"/>
  <c r="V1275" i="1"/>
  <c r="V1274" i="1"/>
  <c r="V1273" i="1"/>
  <c r="V1272" i="1"/>
  <c r="V1271" i="1"/>
  <c r="V1270" i="1"/>
  <c r="V1269" i="1"/>
  <c r="V1268" i="1"/>
  <c r="V1267" i="1"/>
  <c r="V1266" i="1"/>
  <c r="V1265" i="1"/>
  <c r="V1264" i="1"/>
  <c r="V1263" i="1"/>
  <c r="V1262" i="1"/>
  <c r="V1261" i="1"/>
  <c r="V1260" i="1"/>
  <c r="V1259" i="1"/>
  <c r="V1258" i="1"/>
  <c r="V1257" i="1"/>
  <c r="V1256" i="1"/>
  <c r="V1255" i="1"/>
  <c r="V1254" i="1"/>
  <c r="V1253" i="1"/>
  <c r="V1252" i="1"/>
  <c r="V1251" i="1"/>
  <c r="V1250" i="1"/>
  <c r="V1249" i="1"/>
  <c r="V1248" i="1"/>
  <c r="V1247" i="1"/>
  <c r="V1246" i="1"/>
  <c r="V1245" i="1"/>
  <c r="V1244" i="1"/>
  <c r="V1243" i="1"/>
  <c r="V1242" i="1"/>
  <c r="V1241" i="1"/>
  <c r="V1240" i="1"/>
  <c r="V1239" i="1"/>
  <c r="V1238" i="1"/>
  <c r="V1237" i="1"/>
  <c r="V1236" i="1"/>
  <c r="V1235" i="1"/>
  <c r="V1234" i="1"/>
  <c r="V1233" i="1"/>
  <c r="V1232" i="1"/>
  <c r="V1231" i="1"/>
  <c r="V1230" i="1"/>
  <c r="V1229" i="1"/>
  <c r="V1228" i="1"/>
  <c r="V1227" i="1"/>
  <c r="V1226" i="1"/>
  <c r="V1225" i="1"/>
  <c r="V1224" i="1"/>
  <c r="V1223" i="1"/>
  <c r="V1222" i="1"/>
  <c r="V1221" i="1"/>
  <c r="V1220" i="1"/>
  <c r="V1219" i="1"/>
  <c r="V1218" i="1"/>
  <c r="V1217" i="1"/>
  <c r="V1216" i="1"/>
  <c r="V1215" i="1"/>
  <c r="V1214" i="1"/>
  <c r="V1213" i="1"/>
  <c r="V1212" i="1"/>
  <c r="V1211" i="1"/>
  <c r="V1210" i="1"/>
  <c r="V1209" i="1"/>
  <c r="V1208" i="1"/>
  <c r="V1207" i="1"/>
  <c r="V1206" i="1"/>
  <c r="V1205" i="1"/>
  <c r="V1204" i="1"/>
  <c r="V1203" i="1"/>
  <c r="V1202" i="1"/>
  <c r="V1201" i="1"/>
  <c r="V1200" i="1"/>
  <c r="V1199" i="1"/>
  <c r="V1198" i="1"/>
  <c r="V1197" i="1"/>
  <c r="V1196" i="1"/>
  <c r="V1195" i="1"/>
  <c r="V1194" i="1"/>
  <c r="V1193" i="1"/>
  <c r="V1192" i="1"/>
  <c r="V1191" i="1"/>
  <c r="V1190" i="1"/>
  <c r="V1189" i="1"/>
  <c r="V1188" i="1"/>
  <c r="V1187" i="1"/>
  <c r="V1186" i="1"/>
  <c r="V1185" i="1"/>
  <c r="V1184" i="1"/>
  <c r="V1183" i="1"/>
  <c r="V1182" i="1"/>
  <c r="V1181" i="1"/>
  <c r="V1180" i="1"/>
  <c r="V1179" i="1"/>
  <c r="V1178" i="1"/>
  <c r="V1177" i="1"/>
  <c r="V1176" i="1"/>
  <c r="V1175" i="1"/>
  <c r="V1174" i="1"/>
  <c r="V1173" i="1"/>
  <c r="V1172" i="1"/>
  <c r="V1171" i="1"/>
  <c r="V1170" i="1"/>
  <c r="V1169" i="1"/>
  <c r="V1168" i="1"/>
  <c r="V1167" i="1"/>
  <c r="V1166" i="1"/>
  <c r="V1165" i="1"/>
  <c r="V1164" i="1"/>
  <c r="V1163" i="1"/>
  <c r="V1162" i="1"/>
  <c r="V1161" i="1"/>
  <c r="V1160" i="1"/>
  <c r="V1159" i="1"/>
  <c r="V1158" i="1"/>
  <c r="V1157" i="1"/>
  <c r="V1156" i="1"/>
  <c r="V1155" i="1"/>
  <c r="V1154" i="1"/>
  <c r="V1153" i="1"/>
  <c r="V1152" i="1"/>
  <c r="V1151" i="1"/>
  <c r="V1150" i="1"/>
  <c r="V1149" i="1"/>
  <c r="V1148" i="1"/>
  <c r="V1147" i="1"/>
  <c r="V1146" i="1"/>
  <c r="V1145" i="1"/>
  <c r="V1144" i="1"/>
  <c r="V1143" i="1"/>
  <c r="V1142" i="1"/>
  <c r="V1141" i="1"/>
  <c r="V1140" i="1"/>
  <c r="V1139" i="1"/>
  <c r="V1138" i="1"/>
  <c r="V1137" i="1"/>
  <c r="V1136" i="1"/>
  <c r="V1135" i="1"/>
  <c r="V1134" i="1"/>
  <c r="V1133" i="1"/>
  <c r="V1132" i="1"/>
  <c r="V1131" i="1"/>
  <c r="V1130" i="1"/>
  <c r="V1129" i="1"/>
  <c r="V1128" i="1"/>
  <c r="V1127" i="1"/>
  <c r="V1126" i="1"/>
  <c r="V1125" i="1"/>
  <c r="V1124" i="1"/>
  <c r="V1123" i="1"/>
  <c r="V1122" i="1"/>
  <c r="V1121" i="1"/>
  <c r="V1120" i="1"/>
  <c r="V1119" i="1"/>
  <c r="V1118" i="1"/>
  <c r="V1117" i="1"/>
  <c r="V1116" i="1"/>
  <c r="V1115" i="1"/>
  <c r="V1114" i="1"/>
  <c r="V1113" i="1"/>
  <c r="V1112" i="1"/>
  <c r="V1111" i="1"/>
  <c r="V1110" i="1"/>
  <c r="V1109" i="1"/>
  <c r="V1108" i="1"/>
  <c r="V1107" i="1"/>
  <c r="V1106" i="1"/>
  <c r="V1105" i="1"/>
  <c r="V1104" i="1"/>
  <c r="V1103" i="1"/>
  <c r="V1102" i="1"/>
  <c r="V1101" i="1"/>
  <c r="V1100" i="1"/>
  <c r="V1099" i="1"/>
  <c r="V1098" i="1"/>
  <c r="V1097" i="1"/>
  <c r="V1096" i="1"/>
  <c r="V1095" i="1"/>
  <c r="V1094" i="1"/>
  <c r="V1093" i="1"/>
  <c r="V1092" i="1"/>
  <c r="V1091" i="1"/>
  <c r="V1090" i="1"/>
  <c r="V1089" i="1"/>
  <c r="V1088" i="1"/>
  <c r="V1087" i="1"/>
  <c r="V1086" i="1"/>
  <c r="V1085" i="1"/>
  <c r="V1084" i="1"/>
  <c r="V1083" i="1"/>
  <c r="V1082" i="1"/>
  <c r="V1081" i="1"/>
  <c r="V1080" i="1"/>
  <c r="V1079" i="1"/>
  <c r="V1078" i="1"/>
  <c r="V1077" i="1"/>
  <c r="V1076" i="1"/>
  <c r="V1075" i="1"/>
  <c r="V1074" i="1"/>
  <c r="V1073" i="1"/>
  <c r="V1072" i="1"/>
  <c r="V1071" i="1"/>
  <c r="V1070" i="1"/>
  <c r="V1069" i="1"/>
  <c r="V1068" i="1"/>
  <c r="V1067" i="1"/>
  <c r="V1066" i="1"/>
  <c r="V1065" i="1"/>
  <c r="V1064" i="1"/>
  <c r="V1063" i="1"/>
  <c r="V1062" i="1"/>
  <c r="V1061" i="1"/>
  <c r="V1060" i="1"/>
  <c r="V1059" i="1"/>
  <c r="V1058" i="1"/>
  <c r="V1057" i="1"/>
  <c r="V1056" i="1"/>
  <c r="V1055" i="1"/>
  <c r="V1054" i="1"/>
  <c r="V1053" i="1"/>
  <c r="V1052" i="1"/>
  <c r="V1051" i="1"/>
  <c r="V1050" i="1"/>
  <c r="V1049" i="1"/>
  <c r="V1048" i="1"/>
  <c r="V1047" i="1"/>
  <c r="V1046" i="1"/>
  <c r="V1045" i="1"/>
  <c r="V1044" i="1"/>
  <c r="V1043" i="1"/>
  <c r="V1042" i="1"/>
  <c r="V1041" i="1"/>
  <c r="V1040" i="1"/>
  <c r="V1039" i="1"/>
  <c r="V1038" i="1"/>
  <c r="V1037" i="1"/>
  <c r="V1036" i="1"/>
  <c r="V1035" i="1"/>
  <c r="V1034" i="1"/>
  <c r="V1033" i="1"/>
  <c r="V1032" i="1"/>
  <c r="V1031" i="1"/>
  <c r="V1030" i="1"/>
  <c r="V1029" i="1"/>
  <c r="V1028" i="1"/>
  <c r="V1027" i="1"/>
  <c r="V1026" i="1"/>
  <c r="V1025" i="1"/>
  <c r="V1024" i="1"/>
  <c r="V1023" i="1"/>
  <c r="V1022" i="1"/>
  <c r="V1021" i="1"/>
  <c r="V1020" i="1"/>
  <c r="V1019" i="1"/>
  <c r="V1018" i="1"/>
  <c r="V1017" i="1"/>
  <c r="V1016" i="1"/>
  <c r="V1015" i="1"/>
  <c r="V1014" i="1"/>
  <c r="V1013" i="1"/>
  <c r="V1012" i="1"/>
  <c r="V1011" i="1"/>
  <c r="V1010" i="1"/>
  <c r="V1009" i="1"/>
  <c r="V1008" i="1"/>
  <c r="V1007" i="1"/>
  <c r="V1006" i="1"/>
  <c r="V1005" i="1"/>
  <c r="V1004" i="1"/>
  <c r="V1003" i="1"/>
  <c r="V1002" i="1"/>
  <c r="V1001" i="1"/>
  <c r="V1000" i="1"/>
  <c r="V999" i="1"/>
  <c r="V998" i="1"/>
  <c r="V997" i="1"/>
  <c r="V996" i="1"/>
  <c r="V995" i="1"/>
  <c r="V994" i="1"/>
  <c r="V993" i="1"/>
  <c r="V992" i="1"/>
  <c r="V991" i="1"/>
  <c r="V990" i="1"/>
  <c r="V989" i="1"/>
  <c r="V988" i="1"/>
  <c r="V987" i="1"/>
  <c r="V986" i="1"/>
  <c r="V985" i="1"/>
  <c r="V984" i="1"/>
  <c r="V983" i="1"/>
  <c r="V982" i="1"/>
  <c r="V981" i="1"/>
  <c r="V980" i="1"/>
  <c r="V979" i="1"/>
  <c r="V978" i="1"/>
  <c r="V977" i="1"/>
  <c r="V976" i="1"/>
  <c r="V975" i="1"/>
  <c r="V974" i="1"/>
  <c r="V973" i="1"/>
  <c r="V972" i="1"/>
  <c r="V971" i="1"/>
  <c r="V970" i="1"/>
  <c r="V969" i="1"/>
  <c r="V968" i="1"/>
  <c r="V967" i="1"/>
  <c r="V966" i="1"/>
  <c r="V965" i="1"/>
  <c r="V964" i="1"/>
  <c r="V963" i="1"/>
  <c r="V962" i="1"/>
  <c r="V961" i="1"/>
  <c r="V960" i="1"/>
  <c r="V959" i="1"/>
  <c r="V958" i="1"/>
  <c r="V957" i="1"/>
  <c r="V956" i="1"/>
  <c r="V955" i="1"/>
  <c r="V954" i="1"/>
  <c r="V953" i="1"/>
  <c r="V952" i="1"/>
  <c r="V951" i="1"/>
  <c r="V950" i="1"/>
  <c r="V949" i="1"/>
  <c r="V948" i="1"/>
  <c r="V947" i="1"/>
  <c r="V946" i="1"/>
  <c r="V945" i="1"/>
  <c r="V944" i="1"/>
  <c r="V943" i="1"/>
  <c r="V942" i="1"/>
  <c r="V941" i="1"/>
  <c r="V940" i="1"/>
  <c r="V939" i="1"/>
  <c r="V938" i="1"/>
  <c r="V937" i="1"/>
  <c r="V936" i="1"/>
  <c r="V935" i="1"/>
  <c r="V934" i="1"/>
  <c r="V933" i="1"/>
  <c r="V932" i="1"/>
  <c r="V931" i="1"/>
  <c r="V930" i="1"/>
  <c r="V929" i="1"/>
  <c r="V928" i="1"/>
  <c r="V927" i="1"/>
  <c r="V926" i="1"/>
  <c r="V925" i="1"/>
  <c r="V924" i="1"/>
  <c r="V923" i="1"/>
  <c r="V922" i="1"/>
  <c r="V921" i="1"/>
  <c r="V920" i="1"/>
  <c r="V919" i="1"/>
  <c r="V918" i="1"/>
  <c r="V917" i="1"/>
  <c r="V916" i="1"/>
  <c r="V915" i="1"/>
  <c r="V914" i="1"/>
  <c r="V913" i="1"/>
  <c r="V912" i="1"/>
  <c r="V911" i="1"/>
  <c r="V910" i="1"/>
  <c r="V909" i="1"/>
  <c r="V908" i="1"/>
  <c r="V907" i="1"/>
  <c r="V906" i="1"/>
  <c r="V905" i="1"/>
  <c r="V904" i="1"/>
  <c r="V903" i="1"/>
  <c r="V902" i="1"/>
  <c r="V901" i="1"/>
  <c r="V900" i="1"/>
  <c r="V899" i="1"/>
  <c r="V898" i="1"/>
  <c r="V897" i="1"/>
  <c r="V896" i="1"/>
  <c r="V895" i="1"/>
  <c r="V894" i="1"/>
  <c r="V893" i="1"/>
  <c r="V892" i="1"/>
  <c r="V891" i="1"/>
  <c r="V890" i="1"/>
  <c r="V889" i="1"/>
  <c r="V888" i="1"/>
  <c r="V887" i="1"/>
  <c r="V886" i="1"/>
  <c r="V885" i="1"/>
  <c r="V884" i="1"/>
  <c r="V883" i="1"/>
  <c r="V882" i="1"/>
  <c r="V881" i="1"/>
  <c r="V880" i="1"/>
  <c r="V879" i="1"/>
  <c r="V878" i="1"/>
  <c r="V877" i="1"/>
  <c r="V876" i="1"/>
  <c r="V875" i="1"/>
  <c r="V874" i="1"/>
  <c r="V873" i="1"/>
  <c r="V872" i="1"/>
  <c r="V871" i="1"/>
  <c r="V870" i="1"/>
  <c r="V869" i="1"/>
  <c r="V868" i="1"/>
  <c r="V867" i="1"/>
  <c r="V866" i="1"/>
  <c r="V865" i="1"/>
  <c r="V864" i="1"/>
  <c r="V863" i="1"/>
  <c r="V862" i="1"/>
  <c r="V861" i="1"/>
  <c r="V860" i="1"/>
  <c r="V859" i="1"/>
  <c r="V858" i="1"/>
  <c r="V857" i="1"/>
  <c r="V856" i="1"/>
  <c r="V855" i="1"/>
  <c r="V854" i="1"/>
  <c r="V853" i="1"/>
  <c r="V852" i="1"/>
  <c r="V851" i="1"/>
  <c r="V850" i="1"/>
  <c r="V849" i="1"/>
  <c r="V848" i="1"/>
  <c r="V847" i="1"/>
  <c r="V846" i="1"/>
  <c r="V845" i="1"/>
  <c r="V844" i="1"/>
  <c r="V843" i="1"/>
  <c r="V842" i="1"/>
  <c r="V841" i="1"/>
  <c r="V840" i="1"/>
  <c r="V839" i="1"/>
  <c r="V838" i="1"/>
  <c r="V837" i="1"/>
  <c r="V836" i="1"/>
  <c r="V835" i="1"/>
  <c r="V834" i="1"/>
  <c r="V833" i="1"/>
  <c r="V832" i="1"/>
  <c r="V831" i="1"/>
  <c r="V830" i="1"/>
  <c r="V829" i="1"/>
  <c r="V828" i="1"/>
  <c r="V827" i="1"/>
  <c r="V826" i="1"/>
  <c r="V825" i="1"/>
  <c r="V824" i="1"/>
  <c r="V823" i="1"/>
  <c r="V822" i="1"/>
  <c r="V821" i="1"/>
  <c r="V820" i="1"/>
  <c r="V819" i="1"/>
  <c r="V818" i="1"/>
  <c r="V817" i="1"/>
  <c r="V816" i="1"/>
  <c r="V815" i="1"/>
  <c r="V814" i="1"/>
  <c r="V813" i="1"/>
  <c r="V812" i="1"/>
  <c r="V811" i="1"/>
  <c r="V810" i="1"/>
  <c r="V809" i="1"/>
  <c r="V808" i="1"/>
  <c r="V807" i="1"/>
  <c r="V806" i="1"/>
  <c r="V805" i="1"/>
  <c r="V804" i="1"/>
  <c r="V803" i="1"/>
  <c r="V802" i="1"/>
  <c r="V801" i="1"/>
  <c r="V800" i="1"/>
  <c r="V799" i="1"/>
  <c r="V798" i="1"/>
  <c r="V797" i="1"/>
  <c r="V796" i="1"/>
  <c r="V795" i="1"/>
  <c r="V794" i="1"/>
  <c r="V793" i="1"/>
  <c r="V792" i="1"/>
  <c r="V791" i="1"/>
  <c r="V790" i="1"/>
  <c r="V789" i="1"/>
  <c r="V788" i="1"/>
  <c r="V787" i="1"/>
  <c r="V786" i="1"/>
  <c r="V785" i="1"/>
  <c r="V784" i="1"/>
  <c r="V783" i="1"/>
  <c r="V782" i="1"/>
  <c r="V781" i="1"/>
  <c r="V780" i="1"/>
  <c r="V779" i="1"/>
  <c r="V778" i="1"/>
  <c r="V777" i="1"/>
  <c r="V776" i="1"/>
  <c r="V775" i="1"/>
  <c r="V774" i="1"/>
  <c r="V773" i="1"/>
  <c r="V772" i="1"/>
  <c r="V771" i="1"/>
  <c r="V770" i="1"/>
  <c r="V769" i="1"/>
  <c r="V768" i="1"/>
  <c r="V767" i="1"/>
  <c r="V766" i="1"/>
  <c r="V765" i="1"/>
  <c r="V764" i="1"/>
  <c r="V763" i="1"/>
  <c r="V762" i="1"/>
  <c r="V761" i="1"/>
  <c r="V760" i="1"/>
  <c r="V759" i="1"/>
  <c r="V758" i="1"/>
  <c r="V757" i="1"/>
  <c r="V756" i="1"/>
  <c r="V755" i="1"/>
  <c r="V754" i="1"/>
  <c r="V753" i="1"/>
  <c r="V752" i="1"/>
  <c r="V751" i="1"/>
  <c r="V750" i="1"/>
  <c r="V749" i="1"/>
  <c r="V748" i="1"/>
  <c r="V747" i="1"/>
  <c r="V746" i="1"/>
  <c r="V745" i="1"/>
  <c r="V744" i="1"/>
  <c r="V743" i="1"/>
  <c r="V742" i="1"/>
  <c r="V741" i="1"/>
  <c r="V740" i="1"/>
  <c r="V739" i="1"/>
  <c r="V738" i="1"/>
  <c r="V737" i="1"/>
  <c r="V736" i="1"/>
  <c r="V735" i="1"/>
  <c r="V734" i="1"/>
  <c r="V733" i="1"/>
  <c r="V732" i="1"/>
  <c r="V731" i="1"/>
  <c r="V730" i="1"/>
  <c r="V729" i="1"/>
  <c r="V728" i="1"/>
  <c r="V727" i="1"/>
  <c r="V726" i="1"/>
  <c r="V725" i="1"/>
  <c r="V724" i="1"/>
  <c r="V723" i="1"/>
  <c r="V722" i="1"/>
  <c r="V721" i="1"/>
  <c r="V720" i="1"/>
  <c r="V719" i="1"/>
  <c r="V718" i="1"/>
  <c r="V717" i="1"/>
  <c r="V716" i="1"/>
  <c r="V715" i="1"/>
  <c r="V714" i="1"/>
  <c r="V713" i="1"/>
  <c r="V712" i="1"/>
  <c r="V711" i="1"/>
  <c r="V710" i="1"/>
  <c r="V709" i="1"/>
  <c r="V708" i="1"/>
  <c r="V707" i="1"/>
  <c r="V706" i="1"/>
  <c r="V705" i="1"/>
  <c r="V704" i="1"/>
  <c r="V703" i="1"/>
  <c r="V702" i="1"/>
  <c r="V701" i="1"/>
  <c r="V700" i="1"/>
  <c r="V699" i="1"/>
  <c r="V698" i="1"/>
  <c r="V697" i="1"/>
  <c r="V696" i="1"/>
  <c r="V695" i="1"/>
  <c r="V694" i="1"/>
  <c r="V693" i="1"/>
  <c r="V692" i="1"/>
  <c r="V691" i="1"/>
  <c r="V690" i="1"/>
  <c r="V689" i="1"/>
  <c r="V688" i="1"/>
  <c r="V687" i="1"/>
  <c r="V686" i="1"/>
  <c r="V685" i="1"/>
  <c r="V684" i="1"/>
  <c r="V683" i="1"/>
  <c r="V682" i="1"/>
  <c r="V681" i="1"/>
  <c r="V680" i="1"/>
  <c r="V679" i="1"/>
  <c r="V678" i="1"/>
  <c r="V677" i="1"/>
  <c r="V676" i="1"/>
  <c r="V675" i="1"/>
  <c r="V674" i="1"/>
  <c r="V673" i="1"/>
  <c r="V672" i="1"/>
  <c r="V671" i="1"/>
  <c r="V670" i="1"/>
  <c r="V669" i="1"/>
  <c r="V668" i="1"/>
  <c r="V667" i="1"/>
  <c r="V666" i="1"/>
  <c r="V665" i="1"/>
  <c r="V664" i="1"/>
  <c r="V663" i="1"/>
  <c r="V662" i="1"/>
  <c r="V661" i="1"/>
  <c r="V660" i="1"/>
  <c r="V659" i="1"/>
  <c r="V658" i="1"/>
  <c r="V657" i="1"/>
  <c r="V656" i="1"/>
  <c r="V655" i="1"/>
  <c r="V654" i="1"/>
  <c r="V653" i="1"/>
  <c r="V652" i="1"/>
  <c r="V651" i="1"/>
  <c r="V650" i="1"/>
  <c r="V649" i="1"/>
  <c r="V648" i="1"/>
  <c r="V647" i="1"/>
  <c r="V646" i="1"/>
  <c r="V645" i="1"/>
  <c r="V644" i="1"/>
  <c r="V643" i="1"/>
  <c r="V642" i="1"/>
  <c r="V641" i="1"/>
  <c r="V640" i="1"/>
  <c r="V639" i="1"/>
  <c r="V638" i="1"/>
  <c r="V637" i="1"/>
  <c r="V636" i="1"/>
  <c r="V635" i="1"/>
  <c r="V634" i="1"/>
  <c r="V633" i="1"/>
  <c r="V632" i="1"/>
  <c r="V631" i="1"/>
  <c r="V630" i="1"/>
  <c r="V629" i="1"/>
  <c r="V628" i="1"/>
  <c r="V627" i="1"/>
  <c r="V626" i="1"/>
  <c r="V625" i="1"/>
  <c r="V624" i="1"/>
  <c r="V623" i="1"/>
  <c r="V622" i="1"/>
  <c r="V621" i="1"/>
  <c r="V620" i="1"/>
  <c r="V619" i="1"/>
  <c r="V618" i="1"/>
  <c r="V617" i="1"/>
  <c r="V616" i="1"/>
  <c r="V615" i="1"/>
  <c r="V614" i="1"/>
  <c r="V613" i="1"/>
  <c r="V612" i="1"/>
  <c r="V611" i="1"/>
  <c r="V610" i="1"/>
  <c r="V609" i="1"/>
  <c r="V608" i="1"/>
  <c r="V607" i="1"/>
  <c r="V606" i="1"/>
  <c r="V605" i="1"/>
  <c r="V604" i="1"/>
  <c r="V603" i="1"/>
  <c r="V602" i="1"/>
  <c r="V601" i="1"/>
  <c r="V600" i="1"/>
  <c r="V599" i="1"/>
  <c r="V598" i="1"/>
  <c r="V597" i="1"/>
  <c r="V596" i="1"/>
  <c r="V595" i="1"/>
  <c r="V594" i="1"/>
  <c r="V593" i="1"/>
  <c r="V592" i="1"/>
  <c r="V591" i="1"/>
  <c r="V590" i="1"/>
  <c r="V589" i="1"/>
  <c r="V588" i="1"/>
  <c r="V587" i="1"/>
  <c r="V586" i="1"/>
  <c r="V585" i="1"/>
  <c r="V584" i="1"/>
  <c r="V583" i="1"/>
  <c r="V582" i="1"/>
  <c r="V581" i="1"/>
  <c r="V580" i="1"/>
  <c r="V579" i="1"/>
  <c r="V578" i="1"/>
  <c r="V577" i="1"/>
  <c r="V576" i="1"/>
  <c r="V575" i="1"/>
  <c r="V574" i="1"/>
  <c r="V573" i="1"/>
  <c r="V572" i="1"/>
  <c r="V571" i="1"/>
  <c r="V570" i="1"/>
  <c r="V569" i="1"/>
  <c r="V568" i="1"/>
  <c r="V567" i="1"/>
  <c r="V566" i="1"/>
  <c r="V565" i="1"/>
  <c r="V564" i="1"/>
  <c r="V563" i="1"/>
  <c r="V562" i="1"/>
  <c r="V561" i="1"/>
  <c r="V560" i="1"/>
  <c r="V559" i="1"/>
  <c r="V558" i="1"/>
  <c r="V557" i="1"/>
  <c r="V556" i="1"/>
  <c r="V555" i="1"/>
  <c r="V554" i="1"/>
  <c r="V553" i="1"/>
  <c r="V552" i="1"/>
  <c r="V551" i="1"/>
  <c r="V550" i="1"/>
  <c r="V549" i="1"/>
  <c r="V548" i="1"/>
  <c r="V547" i="1"/>
  <c r="V546" i="1"/>
  <c r="V545" i="1"/>
  <c r="V544" i="1"/>
  <c r="V543" i="1"/>
  <c r="V542" i="1"/>
  <c r="V541" i="1"/>
  <c r="V540" i="1"/>
  <c r="V539" i="1"/>
  <c r="V538" i="1"/>
  <c r="V537" i="1"/>
  <c r="V536" i="1"/>
  <c r="V535" i="1"/>
  <c r="V534" i="1"/>
  <c r="V533" i="1"/>
  <c r="V532" i="1"/>
  <c r="V531" i="1"/>
  <c r="V530" i="1"/>
  <c r="V529" i="1"/>
  <c r="V528" i="1"/>
  <c r="V527" i="1"/>
  <c r="V526" i="1"/>
  <c r="V525" i="1"/>
  <c r="V524" i="1"/>
  <c r="V523" i="1"/>
  <c r="V522" i="1"/>
  <c r="V521" i="1"/>
  <c r="V520" i="1"/>
  <c r="V519" i="1"/>
  <c r="V518" i="1"/>
  <c r="V517" i="1"/>
  <c r="V516" i="1"/>
  <c r="V515" i="1"/>
  <c r="V514" i="1"/>
  <c r="V513" i="1"/>
  <c r="V512" i="1"/>
  <c r="V511" i="1"/>
  <c r="V510" i="1"/>
  <c r="V509" i="1"/>
  <c r="V508" i="1"/>
  <c r="V507" i="1"/>
  <c r="V506" i="1"/>
  <c r="V505" i="1"/>
  <c r="V504" i="1"/>
  <c r="V503" i="1"/>
  <c r="V502" i="1"/>
  <c r="V501" i="1"/>
  <c r="V500" i="1"/>
  <c r="V499" i="1"/>
  <c r="V498" i="1"/>
  <c r="V497" i="1"/>
  <c r="V496" i="1"/>
  <c r="V495" i="1"/>
  <c r="V494" i="1"/>
  <c r="V493" i="1"/>
  <c r="V492" i="1"/>
  <c r="V491" i="1"/>
  <c r="V490" i="1"/>
  <c r="V489" i="1"/>
  <c r="V488" i="1"/>
  <c r="V487" i="1"/>
  <c r="V486" i="1"/>
  <c r="V485" i="1"/>
  <c r="V484" i="1"/>
  <c r="V483" i="1"/>
  <c r="V482" i="1"/>
  <c r="V481" i="1"/>
  <c r="V480" i="1"/>
  <c r="V479" i="1"/>
  <c r="V478" i="1"/>
  <c r="V477" i="1"/>
  <c r="V476" i="1"/>
  <c r="V475" i="1"/>
  <c r="V474" i="1"/>
  <c r="V473" i="1"/>
  <c r="V472" i="1"/>
  <c r="V471" i="1"/>
  <c r="V470" i="1"/>
  <c r="V469" i="1"/>
  <c r="V468" i="1"/>
  <c r="V467" i="1"/>
  <c r="V466" i="1"/>
  <c r="V465" i="1"/>
  <c r="V464" i="1"/>
  <c r="V463" i="1"/>
  <c r="V462" i="1"/>
  <c r="V461" i="1"/>
  <c r="V460" i="1"/>
  <c r="V459" i="1"/>
  <c r="V458" i="1"/>
  <c r="V457" i="1"/>
  <c r="V456" i="1"/>
  <c r="V455" i="1"/>
  <c r="V454" i="1"/>
  <c r="V453" i="1"/>
  <c r="V452" i="1"/>
  <c r="V451" i="1"/>
  <c r="V450" i="1"/>
  <c r="V449" i="1"/>
  <c r="V448" i="1"/>
  <c r="V447" i="1"/>
  <c r="V446" i="1"/>
  <c r="V445" i="1"/>
  <c r="V444" i="1"/>
  <c r="V443" i="1"/>
  <c r="V442" i="1"/>
  <c r="V441" i="1"/>
  <c r="V440" i="1"/>
  <c r="V439" i="1"/>
  <c r="V438" i="1"/>
  <c r="V437" i="1"/>
  <c r="V436" i="1"/>
  <c r="V435" i="1"/>
  <c r="V434" i="1"/>
  <c r="V433" i="1"/>
  <c r="V432" i="1"/>
  <c r="V431" i="1"/>
  <c r="V430" i="1"/>
  <c r="V429" i="1"/>
  <c r="V428" i="1"/>
  <c r="V427" i="1"/>
  <c r="V426" i="1"/>
  <c r="V425" i="1"/>
  <c r="V424" i="1"/>
  <c r="V423" i="1"/>
  <c r="V422" i="1"/>
  <c r="V421" i="1"/>
  <c r="V420" i="1"/>
  <c r="V419" i="1"/>
  <c r="V418" i="1"/>
  <c r="V417" i="1"/>
  <c r="V416" i="1"/>
  <c r="V415" i="1"/>
  <c r="V414" i="1"/>
  <c r="V413" i="1"/>
  <c r="V412" i="1"/>
  <c r="V411" i="1"/>
  <c r="V410" i="1"/>
  <c r="V409" i="1"/>
  <c r="V408" i="1"/>
  <c r="V407" i="1"/>
  <c r="V406" i="1"/>
  <c r="V405" i="1"/>
  <c r="V404" i="1"/>
  <c r="V403" i="1"/>
  <c r="V402" i="1"/>
  <c r="V401" i="1"/>
  <c r="V400" i="1"/>
  <c r="V399" i="1"/>
  <c r="V398" i="1"/>
  <c r="V397" i="1"/>
  <c r="V396" i="1"/>
  <c r="V395" i="1"/>
  <c r="V394" i="1"/>
  <c r="V393" i="1"/>
  <c r="V392" i="1"/>
  <c r="V391" i="1"/>
  <c r="V390" i="1"/>
  <c r="V389" i="1"/>
  <c r="V388" i="1"/>
  <c r="V387" i="1"/>
  <c r="V386" i="1"/>
  <c r="V385" i="1"/>
  <c r="V384" i="1"/>
  <c r="V383" i="1"/>
  <c r="V382" i="1"/>
  <c r="V381" i="1"/>
  <c r="V380" i="1"/>
  <c r="V379" i="1"/>
  <c r="V378" i="1"/>
  <c r="V377" i="1"/>
  <c r="V376" i="1"/>
  <c r="V375" i="1"/>
  <c r="V374" i="1"/>
  <c r="V373" i="1"/>
  <c r="V372" i="1"/>
  <c r="V371" i="1"/>
  <c r="V370" i="1"/>
  <c r="V369" i="1"/>
  <c r="V368" i="1"/>
  <c r="V367" i="1"/>
  <c r="V366" i="1"/>
  <c r="V365" i="1"/>
  <c r="V364" i="1"/>
  <c r="V363" i="1"/>
  <c r="V362" i="1"/>
  <c r="V361" i="1"/>
  <c r="V360" i="1"/>
  <c r="V359" i="1"/>
  <c r="V358" i="1"/>
  <c r="V357" i="1"/>
  <c r="V356" i="1"/>
  <c r="V355" i="1"/>
  <c r="V354" i="1"/>
  <c r="V353" i="1"/>
  <c r="V352" i="1"/>
  <c r="V351" i="1"/>
  <c r="V350" i="1"/>
  <c r="V349" i="1"/>
  <c r="V348" i="1"/>
  <c r="V347" i="1"/>
  <c r="V346" i="1"/>
  <c r="V345" i="1"/>
  <c r="V344" i="1"/>
  <c r="V343" i="1"/>
  <c r="V342" i="1"/>
  <c r="V341" i="1"/>
  <c r="V340" i="1"/>
  <c r="V339" i="1"/>
  <c r="V338" i="1"/>
  <c r="V337" i="1"/>
  <c r="V336" i="1"/>
  <c r="V335" i="1"/>
  <c r="V334" i="1"/>
  <c r="V333" i="1"/>
  <c r="V332" i="1"/>
  <c r="V331" i="1"/>
  <c r="V330" i="1"/>
  <c r="V329" i="1"/>
  <c r="V328" i="1"/>
  <c r="V327" i="1"/>
  <c r="V326" i="1"/>
  <c r="V325" i="1"/>
  <c r="V324" i="1"/>
  <c r="V323" i="1"/>
  <c r="V322" i="1"/>
  <c r="V321" i="1"/>
  <c r="V320" i="1"/>
  <c r="V319" i="1"/>
  <c r="V318" i="1"/>
  <c r="V317" i="1"/>
  <c r="V316" i="1"/>
  <c r="V315" i="1"/>
  <c r="V314" i="1"/>
  <c r="V313" i="1"/>
  <c r="V312" i="1"/>
  <c r="V311" i="1"/>
  <c r="V310" i="1"/>
  <c r="V309" i="1"/>
  <c r="V308" i="1"/>
  <c r="V307" i="1"/>
  <c r="V306" i="1"/>
  <c r="V305" i="1"/>
  <c r="V304" i="1"/>
  <c r="V303" i="1"/>
  <c r="V302" i="1"/>
  <c r="V301" i="1"/>
  <c r="V300" i="1"/>
  <c r="V299" i="1"/>
  <c r="V298" i="1"/>
  <c r="V297" i="1"/>
  <c r="V296" i="1"/>
  <c r="V295" i="1"/>
  <c r="V294" i="1"/>
  <c r="V293" i="1"/>
  <c r="V292" i="1"/>
  <c r="V291" i="1"/>
  <c r="V290" i="1"/>
  <c r="V289" i="1"/>
  <c r="V288" i="1"/>
  <c r="V287" i="1"/>
  <c r="V286" i="1"/>
  <c r="V285" i="1"/>
  <c r="V284" i="1"/>
  <c r="V283" i="1"/>
  <c r="V282" i="1"/>
  <c r="V281" i="1"/>
  <c r="V280" i="1"/>
  <c r="V279" i="1"/>
  <c r="V278" i="1"/>
  <c r="V277" i="1"/>
  <c r="V276" i="1"/>
  <c r="V275" i="1"/>
  <c r="V274" i="1"/>
  <c r="V273" i="1"/>
  <c r="V272" i="1"/>
  <c r="V271" i="1"/>
  <c r="V270" i="1"/>
  <c r="V269" i="1"/>
  <c r="V268" i="1"/>
  <c r="V267" i="1"/>
  <c r="V266" i="1"/>
  <c r="V265" i="1"/>
  <c r="V264" i="1"/>
  <c r="V263" i="1"/>
  <c r="V262" i="1"/>
  <c r="V261" i="1"/>
  <c r="V260" i="1"/>
  <c r="V259" i="1"/>
  <c r="V258" i="1"/>
  <c r="V257" i="1"/>
  <c r="V256" i="1"/>
  <c r="V255" i="1"/>
  <c r="V254" i="1"/>
  <c r="V253" i="1"/>
  <c r="V252" i="1"/>
  <c r="V251" i="1"/>
  <c r="V250" i="1"/>
  <c r="V249" i="1"/>
  <c r="V248" i="1"/>
  <c r="V247" i="1"/>
  <c r="V246" i="1"/>
  <c r="V245" i="1"/>
  <c r="V244" i="1"/>
  <c r="V243" i="1"/>
  <c r="V242" i="1"/>
  <c r="V241" i="1"/>
  <c r="V240" i="1"/>
  <c r="V239" i="1"/>
  <c r="V238" i="1"/>
  <c r="V237" i="1"/>
  <c r="V236" i="1"/>
  <c r="V235" i="1"/>
  <c r="V234" i="1"/>
  <c r="V233" i="1"/>
  <c r="V232" i="1"/>
  <c r="V231" i="1"/>
  <c r="V230" i="1"/>
  <c r="V229" i="1"/>
  <c r="V228" i="1"/>
  <c r="V227" i="1"/>
  <c r="V226" i="1"/>
  <c r="V225" i="1"/>
  <c r="V224" i="1"/>
  <c r="V223" i="1"/>
  <c r="V222" i="1"/>
  <c r="V221" i="1"/>
  <c r="V220" i="1"/>
  <c r="V219" i="1"/>
  <c r="V218" i="1"/>
  <c r="V217" i="1"/>
  <c r="V216" i="1"/>
  <c r="V215" i="1"/>
  <c r="V214" i="1"/>
  <c r="V213" i="1"/>
  <c r="V212" i="1"/>
  <c r="V211" i="1"/>
  <c r="V210" i="1"/>
  <c r="V209" i="1"/>
  <c r="V208" i="1"/>
  <c r="V207" i="1"/>
  <c r="V206" i="1"/>
  <c r="V205" i="1"/>
  <c r="V204" i="1"/>
  <c r="V203" i="1"/>
  <c r="V202" i="1"/>
  <c r="V201" i="1"/>
  <c r="V200" i="1"/>
  <c r="V199" i="1"/>
  <c r="V198" i="1"/>
  <c r="V197" i="1"/>
  <c r="V196" i="1"/>
  <c r="V195" i="1"/>
  <c r="V194" i="1"/>
  <c r="V193" i="1"/>
  <c r="V192" i="1"/>
  <c r="V191" i="1"/>
  <c r="V190" i="1"/>
  <c r="V189" i="1"/>
  <c r="V188" i="1"/>
  <c r="V187" i="1"/>
  <c r="V186" i="1"/>
  <c r="V185" i="1"/>
  <c r="V184" i="1"/>
  <c r="V183" i="1"/>
  <c r="V182" i="1"/>
  <c r="V181" i="1"/>
  <c r="V180" i="1"/>
  <c r="V179" i="1"/>
  <c r="V178" i="1"/>
  <c r="V177" i="1"/>
  <c r="V176" i="1"/>
  <c r="V175" i="1"/>
  <c r="V174" i="1"/>
  <c r="V173" i="1"/>
  <c r="V172" i="1"/>
  <c r="V171" i="1"/>
  <c r="V170" i="1"/>
  <c r="V169" i="1"/>
  <c r="V168" i="1"/>
  <c r="V167" i="1"/>
  <c r="V166" i="1"/>
  <c r="V165" i="1"/>
  <c r="V164" i="1"/>
  <c r="V163" i="1"/>
  <c r="V162" i="1"/>
  <c r="V161" i="1"/>
  <c r="V160" i="1"/>
  <c r="V159" i="1"/>
  <c r="V158" i="1"/>
  <c r="V157" i="1"/>
  <c r="V156" i="1"/>
  <c r="V155" i="1"/>
  <c r="V154" i="1"/>
  <c r="V153" i="1"/>
  <c r="V152" i="1"/>
  <c r="V151" i="1"/>
  <c r="V150" i="1"/>
  <c r="V149" i="1"/>
  <c r="V148" i="1"/>
  <c r="V147" i="1"/>
  <c r="V146" i="1"/>
  <c r="V145" i="1"/>
  <c r="V144" i="1"/>
  <c r="V143" i="1"/>
  <c r="V142" i="1"/>
  <c r="V141" i="1"/>
  <c r="V140" i="1"/>
  <c r="V139" i="1"/>
  <c r="V138" i="1"/>
  <c r="V137" i="1"/>
  <c r="V136" i="1"/>
  <c r="V135" i="1"/>
  <c r="V134" i="1"/>
  <c r="V133" i="1"/>
  <c r="V132" i="1"/>
  <c r="V131" i="1"/>
  <c r="V130" i="1"/>
  <c r="V129" i="1"/>
  <c r="V128" i="1"/>
  <c r="V127" i="1"/>
  <c r="V126" i="1"/>
  <c r="V125" i="1"/>
  <c r="V124" i="1"/>
  <c r="V123" i="1"/>
  <c r="V122" i="1"/>
  <c r="V121" i="1"/>
  <c r="V120" i="1"/>
  <c r="V119" i="1"/>
  <c r="V118" i="1"/>
  <c r="V117" i="1"/>
  <c r="V116" i="1"/>
  <c r="V115" i="1"/>
  <c r="V114" i="1"/>
  <c r="V113" i="1"/>
  <c r="V112" i="1"/>
  <c r="V111" i="1"/>
  <c r="V110" i="1"/>
  <c r="V109" i="1"/>
  <c r="V108" i="1"/>
  <c r="V107" i="1"/>
  <c r="V106" i="1"/>
  <c r="V105" i="1"/>
  <c r="V104" i="1"/>
  <c r="V103" i="1"/>
  <c r="V102" i="1"/>
  <c r="V101" i="1"/>
  <c r="V100" i="1"/>
  <c r="V99" i="1"/>
  <c r="V98" i="1"/>
  <c r="V97" i="1"/>
  <c r="V96" i="1"/>
  <c r="V95" i="1"/>
  <c r="V94" i="1"/>
  <c r="V93" i="1"/>
  <c r="V92" i="1"/>
  <c r="V91" i="1"/>
  <c r="V90" i="1"/>
  <c r="V89" i="1"/>
  <c r="V88" i="1"/>
  <c r="V87" i="1"/>
  <c r="V86" i="1"/>
  <c r="V85" i="1"/>
  <c r="V84" i="1"/>
  <c r="V83" i="1"/>
  <c r="V82" i="1"/>
  <c r="V81" i="1"/>
  <c r="V80" i="1"/>
  <c r="V79" i="1"/>
  <c r="V78" i="1"/>
  <c r="V77" i="1"/>
  <c r="V76" i="1"/>
  <c r="V75" i="1"/>
  <c r="V74" i="1"/>
  <c r="V73" i="1"/>
  <c r="V72" i="1"/>
  <c r="V71" i="1"/>
  <c r="V70" i="1"/>
  <c r="V69" i="1"/>
  <c r="V68" i="1"/>
  <c r="V67" i="1"/>
  <c r="V66" i="1"/>
  <c r="V65" i="1"/>
  <c r="V64" i="1"/>
  <c r="V63" i="1"/>
  <c r="V62" i="1"/>
  <c r="V61" i="1"/>
  <c r="V60" i="1"/>
  <c r="V59" i="1"/>
  <c r="V58" i="1"/>
  <c r="V57" i="1"/>
  <c r="V56" i="1"/>
  <c r="V55" i="1"/>
  <c r="V54" i="1"/>
  <c r="V53" i="1"/>
  <c r="V52" i="1"/>
  <c r="V51" i="1"/>
  <c r="V50" i="1"/>
  <c r="V49" i="1"/>
  <c r="V48" i="1"/>
  <c r="V47" i="1"/>
  <c r="V46" i="1"/>
  <c r="V45" i="1"/>
  <c r="V44" i="1"/>
  <c r="V43" i="1"/>
  <c r="V42" i="1"/>
  <c r="V41" i="1"/>
  <c r="V40" i="1"/>
  <c r="V39" i="1"/>
  <c r="V38" i="1"/>
  <c r="V37" i="1"/>
  <c r="V36" i="1"/>
  <c r="V35" i="1"/>
  <c r="V34" i="1"/>
  <c r="V33" i="1"/>
  <c r="V32" i="1"/>
  <c r="V31" i="1"/>
  <c r="V30" i="1"/>
  <c r="V29" i="1"/>
  <c r="V28" i="1"/>
  <c r="V27" i="1"/>
  <c r="V26" i="1"/>
  <c r="V25" i="1"/>
  <c r="V24" i="1"/>
  <c r="V23" i="1"/>
  <c r="V22" i="1"/>
  <c r="V21" i="1"/>
  <c r="V20" i="1"/>
  <c r="V19" i="1"/>
  <c r="V18" i="1"/>
  <c r="V17" i="1"/>
  <c r="V16" i="1"/>
  <c r="V15" i="1"/>
  <c r="V14" i="1"/>
  <c r="V13" i="1"/>
  <c r="V12" i="1"/>
  <c r="V11" i="1"/>
  <c r="V10" i="1"/>
  <c r="V9" i="1"/>
  <c r="V8" i="1"/>
  <c r="V7" i="1"/>
  <c r="V6" i="1"/>
  <c r="V5" i="1"/>
  <c r="V4" i="1"/>
  <c r="V3" i="1"/>
  <c r="V2" i="1"/>
  <c r="K2500" i="1"/>
  <c r="P2500" i="1" s="1"/>
  <c r="K2499" i="1"/>
  <c r="P2499" i="1" s="1"/>
  <c r="K2498" i="1"/>
  <c r="P2498" i="1" s="1"/>
  <c r="K2497" i="1"/>
  <c r="P2497" i="1" s="1"/>
  <c r="K2496" i="1"/>
  <c r="P2496" i="1" s="1"/>
  <c r="K2495" i="1"/>
  <c r="P2495" i="1" s="1"/>
  <c r="K2494" i="1"/>
  <c r="P2494" i="1" s="1"/>
  <c r="K2493" i="1"/>
  <c r="P2493" i="1" s="1"/>
  <c r="K2492" i="1"/>
  <c r="P2492" i="1" s="1"/>
  <c r="K2491" i="1"/>
  <c r="P2491" i="1" s="1"/>
  <c r="K2490" i="1"/>
  <c r="P2490" i="1" s="1"/>
  <c r="K2489" i="1"/>
  <c r="P2489" i="1" s="1"/>
  <c r="K2488" i="1"/>
  <c r="P2488" i="1" s="1"/>
  <c r="K2487" i="1"/>
  <c r="P2487" i="1" s="1"/>
  <c r="K2486" i="1"/>
  <c r="P2486" i="1" s="1"/>
  <c r="K2485" i="1"/>
  <c r="P2485" i="1" s="1"/>
  <c r="K2484" i="1"/>
  <c r="P2484" i="1" s="1"/>
  <c r="K2483" i="1"/>
  <c r="P2483" i="1" s="1"/>
  <c r="K2482" i="1"/>
  <c r="P2482" i="1" s="1"/>
  <c r="K2481" i="1"/>
  <c r="P2481" i="1" s="1"/>
  <c r="K2480" i="1"/>
  <c r="P2480" i="1" s="1"/>
  <c r="K2479" i="1"/>
  <c r="P2479" i="1" s="1"/>
  <c r="K2478" i="1"/>
  <c r="P2478" i="1" s="1"/>
  <c r="K2477" i="1"/>
  <c r="P2477" i="1" s="1"/>
  <c r="K2476" i="1"/>
  <c r="P2476" i="1" s="1"/>
  <c r="K2475" i="1"/>
  <c r="P2475" i="1" s="1"/>
  <c r="K2474" i="1"/>
  <c r="P2474" i="1" s="1"/>
  <c r="K2473" i="1"/>
  <c r="P2473" i="1" s="1"/>
  <c r="K2472" i="1"/>
  <c r="P2472" i="1" s="1"/>
  <c r="K2471" i="1"/>
  <c r="P2471" i="1" s="1"/>
  <c r="K2470" i="1"/>
  <c r="P2470" i="1" s="1"/>
  <c r="K2469" i="1"/>
  <c r="P2469" i="1" s="1"/>
  <c r="K2468" i="1"/>
  <c r="P2468" i="1" s="1"/>
  <c r="K2467" i="1"/>
  <c r="P2467" i="1" s="1"/>
  <c r="K2466" i="1"/>
  <c r="P2466" i="1" s="1"/>
  <c r="K2465" i="1"/>
  <c r="P2465" i="1" s="1"/>
  <c r="K2464" i="1"/>
  <c r="P2464" i="1" s="1"/>
  <c r="K2463" i="1"/>
  <c r="P2463" i="1" s="1"/>
  <c r="K2462" i="1"/>
  <c r="P2462" i="1" s="1"/>
  <c r="K2461" i="1"/>
  <c r="P2461" i="1" s="1"/>
  <c r="K2460" i="1"/>
  <c r="P2460" i="1" s="1"/>
  <c r="K2459" i="1"/>
  <c r="P2459" i="1" s="1"/>
  <c r="K2458" i="1"/>
  <c r="P2458" i="1" s="1"/>
  <c r="K2457" i="1"/>
  <c r="P2457" i="1" s="1"/>
  <c r="K2456" i="1"/>
  <c r="P2456" i="1" s="1"/>
  <c r="K2455" i="1"/>
  <c r="P2455" i="1" s="1"/>
  <c r="K2454" i="1"/>
  <c r="P2454" i="1" s="1"/>
  <c r="K2453" i="1"/>
  <c r="P2453" i="1" s="1"/>
  <c r="K2452" i="1"/>
  <c r="P2452" i="1" s="1"/>
  <c r="K2451" i="1"/>
  <c r="P2451" i="1" s="1"/>
  <c r="K2450" i="1"/>
  <c r="P2450" i="1" s="1"/>
  <c r="K2449" i="1"/>
  <c r="P2449" i="1" s="1"/>
  <c r="K2448" i="1"/>
  <c r="P2448" i="1" s="1"/>
  <c r="K2447" i="1"/>
  <c r="P2447" i="1" s="1"/>
  <c r="K2446" i="1"/>
  <c r="P2446" i="1" s="1"/>
  <c r="K2445" i="1"/>
  <c r="P2445" i="1" s="1"/>
  <c r="K2444" i="1"/>
  <c r="P2444" i="1" s="1"/>
  <c r="K2443" i="1"/>
  <c r="P2443" i="1" s="1"/>
  <c r="K2442" i="1"/>
  <c r="P2442" i="1" s="1"/>
  <c r="K2441" i="1"/>
  <c r="P2441" i="1" s="1"/>
  <c r="K2440" i="1"/>
  <c r="P2440" i="1" s="1"/>
  <c r="K2439" i="1"/>
  <c r="P2439" i="1" s="1"/>
  <c r="K2438" i="1"/>
  <c r="P2438" i="1" s="1"/>
  <c r="K2437" i="1"/>
  <c r="P2437" i="1" s="1"/>
  <c r="K2436" i="1"/>
  <c r="P2436" i="1" s="1"/>
  <c r="K2435" i="1"/>
  <c r="P2435" i="1" s="1"/>
  <c r="K2434" i="1"/>
  <c r="P2434" i="1" s="1"/>
  <c r="K2433" i="1"/>
  <c r="P2433" i="1" s="1"/>
  <c r="K2432" i="1"/>
  <c r="P2432" i="1" s="1"/>
  <c r="K2431" i="1"/>
  <c r="P2431" i="1" s="1"/>
  <c r="K2430" i="1"/>
  <c r="P2430" i="1" s="1"/>
  <c r="K2429" i="1"/>
  <c r="P2429" i="1" s="1"/>
  <c r="K2428" i="1"/>
  <c r="P2428" i="1" s="1"/>
  <c r="K2427" i="1"/>
  <c r="P2427" i="1" s="1"/>
  <c r="K2426" i="1"/>
  <c r="P2426" i="1" s="1"/>
  <c r="K2425" i="1"/>
  <c r="P2425" i="1" s="1"/>
  <c r="K2424" i="1"/>
  <c r="P2424" i="1" s="1"/>
  <c r="K2423" i="1"/>
  <c r="P2423" i="1" s="1"/>
  <c r="K2422" i="1"/>
  <c r="P2422" i="1" s="1"/>
  <c r="K2421" i="1"/>
  <c r="P2421" i="1" s="1"/>
  <c r="K2420" i="1"/>
  <c r="P2420" i="1" s="1"/>
  <c r="K2419" i="1"/>
  <c r="P2419" i="1" s="1"/>
  <c r="K2418" i="1"/>
  <c r="P2418" i="1" s="1"/>
  <c r="K2417" i="1"/>
  <c r="P2417" i="1" s="1"/>
  <c r="K2416" i="1"/>
  <c r="P2416" i="1" s="1"/>
  <c r="K2415" i="1"/>
  <c r="P2415" i="1" s="1"/>
  <c r="K2414" i="1"/>
  <c r="P2414" i="1" s="1"/>
  <c r="K2413" i="1"/>
  <c r="P2413" i="1" s="1"/>
  <c r="K2412" i="1"/>
  <c r="P2412" i="1" s="1"/>
  <c r="K2411" i="1"/>
  <c r="P2411" i="1" s="1"/>
  <c r="K2410" i="1"/>
  <c r="P2410" i="1" s="1"/>
  <c r="K2409" i="1"/>
  <c r="P2409" i="1" s="1"/>
  <c r="K2408" i="1"/>
  <c r="P2408" i="1" s="1"/>
  <c r="K2407" i="1"/>
  <c r="P2407" i="1" s="1"/>
  <c r="K2406" i="1"/>
  <c r="P2406" i="1" s="1"/>
  <c r="K2405" i="1"/>
  <c r="P2405" i="1" s="1"/>
  <c r="K2404" i="1"/>
  <c r="P2404" i="1" s="1"/>
  <c r="K2403" i="1"/>
  <c r="P2403" i="1" s="1"/>
  <c r="K2402" i="1"/>
  <c r="P2402" i="1" s="1"/>
  <c r="K2401" i="1"/>
  <c r="P2401" i="1" s="1"/>
  <c r="K2400" i="1"/>
  <c r="P2400" i="1" s="1"/>
  <c r="K2399" i="1"/>
  <c r="P2399" i="1" s="1"/>
  <c r="K2398" i="1"/>
  <c r="P2398" i="1" s="1"/>
  <c r="K2397" i="1"/>
  <c r="P2397" i="1" s="1"/>
  <c r="K2396" i="1"/>
  <c r="P2396" i="1" s="1"/>
  <c r="K2395" i="1"/>
  <c r="P2395" i="1" s="1"/>
  <c r="K2394" i="1"/>
  <c r="P2394" i="1" s="1"/>
  <c r="K2393" i="1"/>
  <c r="P2393" i="1" s="1"/>
  <c r="K2392" i="1"/>
  <c r="P2392" i="1" s="1"/>
  <c r="K2391" i="1"/>
  <c r="P2391" i="1" s="1"/>
  <c r="K2390" i="1"/>
  <c r="P2390" i="1" s="1"/>
  <c r="K2389" i="1"/>
  <c r="P2389" i="1" s="1"/>
  <c r="K2388" i="1"/>
  <c r="P2388" i="1" s="1"/>
  <c r="K2387" i="1"/>
  <c r="P2387" i="1" s="1"/>
  <c r="K2386" i="1"/>
  <c r="P2386" i="1" s="1"/>
  <c r="K2385" i="1"/>
  <c r="P2385" i="1" s="1"/>
  <c r="K2384" i="1"/>
  <c r="P2384" i="1" s="1"/>
  <c r="K2383" i="1"/>
  <c r="P2383" i="1" s="1"/>
  <c r="K2382" i="1"/>
  <c r="P2382" i="1" s="1"/>
  <c r="K2381" i="1"/>
  <c r="P2381" i="1" s="1"/>
  <c r="K2380" i="1"/>
  <c r="P2380" i="1" s="1"/>
  <c r="K2379" i="1"/>
  <c r="P2379" i="1" s="1"/>
  <c r="K2378" i="1"/>
  <c r="P2378" i="1" s="1"/>
  <c r="K2377" i="1"/>
  <c r="P2377" i="1" s="1"/>
  <c r="K2376" i="1"/>
  <c r="P2376" i="1" s="1"/>
  <c r="K2375" i="1"/>
  <c r="P2375" i="1" s="1"/>
  <c r="K2374" i="1"/>
  <c r="P2374" i="1" s="1"/>
  <c r="K2373" i="1"/>
  <c r="P2373" i="1" s="1"/>
  <c r="K2372" i="1"/>
  <c r="P2372" i="1" s="1"/>
  <c r="K2371" i="1"/>
  <c r="P2371" i="1" s="1"/>
  <c r="K2370" i="1"/>
  <c r="P2370" i="1" s="1"/>
  <c r="K2369" i="1"/>
  <c r="P2369" i="1" s="1"/>
  <c r="K2368" i="1"/>
  <c r="P2368" i="1" s="1"/>
  <c r="K2367" i="1"/>
  <c r="P2367" i="1" s="1"/>
  <c r="K2366" i="1"/>
  <c r="P2366" i="1" s="1"/>
  <c r="K2365" i="1"/>
  <c r="P2365" i="1" s="1"/>
  <c r="K2364" i="1"/>
  <c r="P2364" i="1" s="1"/>
  <c r="K2363" i="1"/>
  <c r="P2363" i="1" s="1"/>
  <c r="K2362" i="1"/>
  <c r="P2362" i="1" s="1"/>
  <c r="K2361" i="1"/>
  <c r="P2361" i="1" s="1"/>
  <c r="K2360" i="1"/>
  <c r="P2360" i="1" s="1"/>
  <c r="K2359" i="1"/>
  <c r="P2359" i="1" s="1"/>
  <c r="K2358" i="1"/>
  <c r="P2358" i="1" s="1"/>
  <c r="K2357" i="1"/>
  <c r="P2357" i="1" s="1"/>
  <c r="K2356" i="1"/>
  <c r="P2356" i="1" s="1"/>
  <c r="K2355" i="1"/>
  <c r="P2355" i="1" s="1"/>
  <c r="K2354" i="1"/>
  <c r="P2354" i="1" s="1"/>
  <c r="K2353" i="1"/>
  <c r="P2353" i="1" s="1"/>
  <c r="K2352" i="1"/>
  <c r="P2352" i="1" s="1"/>
  <c r="K2351" i="1"/>
  <c r="P2351" i="1" s="1"/>
  <c r="K2350" i="1"/>
  <c r="P2350" i="1" s="1"/>
  <c r="K2349" i="1"/>
  <c r="P2349" i="1" s="1"/>
  <c r="K2348" i="1"/>
  <c r="P2348" i="1" s="1"/>
  <c r="K2347" i="1"/>
  <c r="P2347" i="1" s="1"/>
  <c r="K2346" i="1"/>
  <c r="P2346" i="1" s="1"/>
  <c r="K2345" i="1"/>
  <c r="P2345" i="1" s="1"/>
  <c r="K2344" i="1"/>
  <c r="P2344" i="1" s="1"/>
  <c r="K2343" i="1"/>
  <c r="P2343" i="1" s="1"/>
  <c r="K2342" i="1"/>
  <c r="P2342" i="1" s="1"/>
  <c r="K2341" i="1"/>
  <c r="P2341" i="1" s="1"/>
  <c r="K2340" i="1"/>
  <c r="P2340" i="1" s="1"/>
  <c r="K2339" i="1"/>
  <c r="P2339" i="1" s="1"/>
  <c r="K2338" i="1"/>
  <c r="P2338" i="1" s="1"/>
  <c r="K2337" i="1"/>
  <c r="P2337" i="1" s="1"/>
  <c r="K2336" i="1"/>
  <c r="P2336" i="1" s="1"/>
  <c r="K2335" i="1"/>
  <c r="P2335" i="1" s="1"/>
  <c r="K2334" i="1"/>
  <c r="P2334" i="1" s="1"/>
  <c r="K2333" i="1"/>
  <c r="P2333" i="1" s="1"/>
  <c r="K2332" i="1"/>
  <c r="P2332" i="1" s="1"/>
  <c r="K2331" i="1"/>
  <c r="P2331" i="1" s="1"/>
  <c r="K2330" i="1"/>
  <c r="P2330" i="1" s="1"/>
  <c r="K2329" i="1"/>
  <c r="P2329" i="1" s="1"/>
  <c r="K2328" i="1"/>
  <c r="P2328" i="1" s="1"/>
  <c r="K2327" i="1"/>
  <c r="P2327" i="1" s="1"/>
  <c r="K2326" i="1"/>
  <c r="P2326" i="1" s="1"/>
  <c r="K2325" i="1"/>
  <c r="P2325" i="1" s="1"/>
  <c r="K2324" i="1"/>
  <c r="P2324" i="1" s="1"/>
  <c r="K2323" i="1"/>
  <c r="P2323" i="1" s="1"/>
  <c r="K2322" i="1"/>
  <c r="P2322" i="1" s="1"/>
  <c r="K2321" i="1"/>
  <c r="P2321" i="1" s="1"/>
  <c r="K2320" i="1"/>
  <c r="P2320" i="1" s="1"/>
  <c r="K2319" i="1"/>
  <c r="P2319" i="1" s="1"/>
  <c r="K2318" i="1"/>
  <c r="P2318" i="1" s="1"/>
  <c r="K2317" i="1"/>
  <c r="P2317" i="1" s="1"/>
  <c r="K2316" i="1"/>
  <c r="P2316" i="1" s="1"/>
  <c r="K2315" i="1"/>
  <c r="P2315" i="1" s="1"/>
  <c r="K2314" i="1"/>
  <c r="P2314" i="1" s="1"/>
  <c r="K2313" i="1"/>
  <c r="P2313" i="1" s="1"/>
  <c r="K2312" i="1"/>
  <c r="P2312" i="1" s="1"/>
  <c r="K2311" i="1"/>
  <c r="P2311" i="1" s="1"/>
  <c r="K2310" i="1"/>
  <c r="P2310" i="1" s="1"/>
  <c r="K2309" i="1"/>
  <c r="P2309" i="1" s="1"/>
  <c r="K2308" i="1"/>
  <c r="P2308" i="1" s="1"/>
  <c r="K2307" i="1"/>
  <c r="P2307" i="1" s="1"/>
  <c r="K2306" i="1"/>
  <c r="P2306" i="1" s="1"/>
  <c r="K2305" i="1"/>
  <c r="P2305" i="1" s="1"/>
  <c r="K2304" i="1"/>
  <c r="P2304" i="1" s="1"/>
  <c r="K2303" i="1"/>
  <c r="P2303" i="1" s="1"/>
  <c r="K2302" i="1"/>
  <c r="P2302" i="1" s="1"/>
  <c r="K2301" i="1"/>
  <c r="P2301" i="1" s="1"/>
  <c r="K2300" i="1"/>
  <c r="P2300" i="1" s="1"/>
  <c r="K2299" i="1"/>
  <c r="P2299" i="1" s="1"/>
  <c r="K2298" i="1"/>
  <c r="P2298" i="1" s="1"/>
  <c r="K2297" i="1"/>
  <c r="P2297" i="1" s="1"/>
  <c r="K2296" i="1"/>
  <c r="P2296" i="1" s="1"/>
  <c r="K2295" i="1"/>
  <c r="P2295" i="1" s="1"/>
  <c r="K2294" i="1"/>
  <c r="P2294" i="1" s="1"/>
  <c r="K2293" i="1"/>
  <c r="P2293" i="1" s="1"/>
  <c r="K2292" i="1"/>
  <c r="P2292" i="1" s="1"/>
  <c r="K2291" i="1"/>
  <c r="P2291" i="1" s="1"/>
  <c r="K2290" i="1"/>
  <c r="P2290" i="1" s="1"/>
  <c r="K2289" i="1"/>
  <c r="P2289" i="1" s="1"/>
  <c r="K2288" i="1"/>
  <c r="P2288" i="1" s="1"/>
  <c r="K2287" i="1"/>
  <c r="P2287" i="1" s="1"/>
  <c r="K2286" i="1"/>
  <c r="P2286" i="1" s="1"/>
  <c r="K2285" i="1"/>
  <c r="P2285" i="1" s="1"/>
  <c r="K2284" i="1"/>
  <c r="P2284" i="1" s="1"/>
  <c r="K2283" i="1"/>
  <c r="P2283" i="1" s="1"/>
  <c r="K2282" i="1"/>
  <c r="P2282" i="1" s="1"/>
  <c r="K2281" i="1"/>
  <c r="P2281" i="1" s="1"/>
  <c r="K2280" i="1"/>
  <c r="P2280" i="1" s="1"/>
  <c r="K2279" i="1"/>
  <c r="P2279" i="1" s="1"/>
  <c r="K2278" i="1"/>
  <c r="P2278" i="1" s="1"/>
  <c r="K2277" i="1"/>
  <c r="P2277" i="1" s="1"/>
  <c r="K2276" i="1"/>
  <c r="P2276" i="1" s="1"/>
  <c r="K2275" i="1"/>
  <c r="P2275" i="1" s="1"/>
  <c r="K2274" i="1"/>
  <c r="P2274" i="1" s="1"/>
  <c r="K2273" i="1"/>
  <c r="P2273" i="1" s="1"/>
  <c r="K2272" i="1"/>
  <c r="P2272" i="1" s="1"/>
  <c r="K2271" i="1"/>
  <c r="P2271" i="1" s="1"/>
  <c r="K2270" i="1"/>
  <c r="P2270" i="1" s="1"/>
  <c r="K2269" i="1"/>
  <c r="P2269" i="1" s="1"/>
  <c r="K2268" i="1"/>
  <c r="P2268" i="1" s="1"/>
  <c r="K2267" i="1"/>
  <c r="P2267" i="1" s="1"/>
  <c r="K2266" i="1"/>
  <c r="P2266" i="1" s="1"/>
  <c r="K2265" i="1"/>
  <c r="P2265" i="1" s="1"/>
  <c r="K2264" i="1"/>
  <c r="P2264" i="1" s="1"/>
  <c r="K2263" i="1"/>
  <c r="P2263" i="1" s="1"/>
  <c r="K2262" i="1"/>
  <c r="P2262" i="1" s="1"/>
  <c r="K2261" i="1"/>
  <c r="P2261" i="1" s="1"/>
  <c r="K2260" i="1"/>
  <c r="P2260" i="1" s="1"/>
  <c r="K2259" i="1"/>
  <c r="P2259" i="1" s="1"/>
  <c r="K2258" i="1"/>
  <c r="P2258" i="1" s="1"/>
  <c r="K2257" i="1"/>
  <c r="P2257" i="1" s="1"/>
  <c r="K2256" i="1"/>
  <c r="P2256" i="1" s="1"/>
  <c r="K2255" i="1"/>
  <c r="P2255" i="1" s="1"/>
  <c r="K2254" i="1"/>
  <c r="P2254" i="1" s="1"/>
  <c r="K2253" i="1"/>
  <c r="P2253" i="1" s="1"/>
  <c r="K2252" i="1"/>
  <c r="P2252" i="1" s="1"/>
  <c r="K2251" i="1"/>
  <c r="P2251" i="1" s="1"/>
  <c r="K2250" i="1"/>
  <c r="P2250" i="1" s="1"/>
  <c r="K2249" i="1"/>
  <c r="P2249" i="1" s="1"/>
  <c r="K2248" i="1"/>
  <c r="P2248" i="1" s="1"/>
  <c r="K2247" i="1"/>
  <c r="P2247" i="1" s="1"/>
  <c r="K2246" i="1"/>
  <c r="P2246" i="1" s="1"/>
  <c r="K2245" i="1"/>
  <c r="P2245" i="1" s="1"/>
  <c r="K2244" i="1"/>
  <c r="P2244" i="1" s="1"/>
  <c r="K2243" i="1"/>
  <c r="P2243" i="1" s="1"/>
  <c r="K2242" i="1"/>
  <c r="P2242" i="1" s="1"/>
  <c r="K2241" i="1"/>
  <c r="P2241" i="1" s="1"/>
  <c r="K2240" i="1"/>
  <c r="P2240" i="1" s="1"/>
  <c r="K2239" i="1"/>
  <c r="P2239" i="1" s="1"/>
  <c r="K2238" i="1"/>
  <c r="P2238" i="1" s="1"/>
  <c r="K2237" i="1"/>
  <c r="P2237" i="1" s="1"/>
  <c r="K2236" i="1"/>
  <c r="P2236" i="1" s="1"/>
  <c r="K2235" i="1"/>
  <c r="P2235" i="1" s="1"/>
  <c r="K2234" i="1"/>
  <c r="P2234" i="1" s="1"/>
  <c r="K2233" i="1"/>
  <c r="P2233" i="1" s="1"/>
  <c r="K2232" i="1"/>
  <c r="P2232" i="1" s="1"/>
  <c r="K2231" i="1"/>
  <c r="P2231" i="1" s="1"/>
  <c r="K2230" i="1"/>
  <c r="P2230" i="1" s="1"/>
  <c r="K2229" i="1"/>
  <c r="P2229" i="1" s="1"/>
  <c r="K2228" i="1"/>
  <c r="P2228" i="1" s="1"/>
  <c r="K2227" i="1"/>
  <c r="P2227" i="1" s="1"/>
  <c r="K2226" i="1"/>
  <c r="P2226" i="1" s="1"/>
  <c r="K2225" i="1"/>
  <c r="P2225" i="1" s="1"/>
  <c r="K2224" i="1"/>
  <c r="P2224" i="1" s="1"/>
  <c r="K2223" i="1"/>
  <c r="P2223" i="1" s="1"/>
  <c r="K2222" i="1"/>
  <c r="P2222" i="1" s="1"/>
  <c r="K2221" i="1"/>
  <c r="P2221" i="1" s="1"/>
  <c r="K2220" i="1"/>
  <c r="P2220" i="1" s="1"/>
  <c r="K2219" i="1"/>
  <c r="P2219" i="1" s="1"/>
  <c r="K2218" i="1"/>
  <c r="P2218" i="1" s="1"/>
  <c r="K2217" i="1"/>
  <c r="P2217" i="1" s="1"/>
  <c r="K2216" i="1"/>
  <c r="P2216" i="1" s="1"/>
  <c r="K2215" i="1"/>
  <c r="P2215" i="1" s="1"/>
  <c r="K2214" i="1"/>
  <c r="P2214" i="1" s="1"/>
  <c r="K2213" i="1"/>
  <c r="P2213" i="1" s="1"/>
  <c r="K2212" i="1"/>
  <c r="P2212" i="1" s="1"/>
  <c r="K2211" i="1"/>
  <c r="P2211" i="1" s="1"/>
  <c r="K2210" i="1"/>
  <c r="P2210" i="1" s="1"/>
  <c r="K2209" i="1"/>
  <c r="P2209" i="1" s="1"/>
  <c r="K2208" i="1"/>
  <c r="P2208" i="1" s="1"/>
  <c r="K2207" i="1"/>
  <c r="P2207" i="1" s="1"/>
  <c r="K2206" i="1"/>
  <c r="P2206" i="1" s="1"/>
  <c r="K2205" i="1"/>
  <c r="P2205" i="1" s="1"/>
  <c r="K2204" i="1"/>
  <c r="P2204" i="1" s="1"/>
  <c r="K2203" i="1"/>
  <c r="P2203" i="1" s="1"/>
  <c r="K2202" i="1"/>
  <c r="P2202" i="1" s="1"/>
  <c r="K2201" i="1"/>
  <c r="P2201" i="1" s="1"/>
  <c r="K2200" i="1"/>
  <c r="P2200" i="1" s="1"/>
  <c r="K2199" i="1"/>
  <c r="P2199" i="1" s="1"/>
  <c r="K2198" i="1"/>
  <c r="P2198" i="1" s="1"/>
  <c r="K2197" i="1"/>
  <c r="P2197" i="1" s="1"/>
  <c r="K2196" i="1"/>
  <c r="P2196" i="1" s="1"/>
  <c r="K2195" i="1"/>
  <c r="P2195" i="1" s="1"/>
  <c r="K2194" i="1"/>
  <c r="P2194" i="1" s="1"/>
  <c r="K2193" i="1"/>
  <c r="P2193" i="1" s="1"/>
  <c r="K2192" i="1"/>
  <c r="P2192" i="1" s="1"/>
  <c r="K2191" i="1"/>
  <c r="P2191" i="1" s="1"/>
  <c r="K2190" i="1"/>
  <c r="P2190" i="1" s="1"/>
  <c r="K2189" i="1"/>
  <c r="P2189" i="1" s="1"/>
  <c r="K2188" i="1"/>
  <c r="P2188" i="1" s="1"/>
  <c r="K2187" i="1"/>
  <c r="P2187" i="1" s="1"/>
  <c r="K2186" i="1"/>
  <c r="P2186" i="1" s="1"/>
  <c r="K2185" i="1"/>
  <c r="P2185" i="1" s="1"/>
  <c r="K2184" i="1"/>
  <c r="P2184" i="1" s="1"/>
  <c r="K2183" i="1"/>
  <c r="P2183" i="1" s="1"/>
  <c r="K2182" i="1"/>
  <c r="P2182" i="1" s="1"/>
  <c r="K2181" i="1"/>
  <c r="P2181" i="1" s="1"/>
  <c r="K2180" i="1"/>
  <c r="P2180" i="1" s="1"/>
  <c r="K2179" i="1"/>
  <c r="P2179" i="1" s="1"/>
  <c r="K2178" i="1"/>
  <c r="P2178" i="1" s="1"/>
  <c r="K2177" i="1"/>
  <c r="P2177" i="1" s="1"/>
  <c r="K2176" i="1"/>
  <c r="P2176" i="1" s="1"/>
  <c r="K2175" i="1"/>
  <c r="P2175" i="1" s="1"/>
  <c r="K2174" i="1"/>
  <c r="P2174" i="1" s="1"/>
  <c r="K2173" i="1"/>
  <c r="P2173" i="1" s="1"/>
  <c r="K2172" i="1"/>
  <c r="P2172" i="1" s="1"/>
  <c r="K2171" i="1"/>
  <c r="P2171" i="1" s="1"/>
  <c r="K2170" i="1"/>
  <c r="P2170" i="1" s="1"/>
  <c r="K2169" i="1"/>
  <c r="P2169" i="1" s="1"/>
  <c r="K2168" i="1"/>
  <c r="P2168" i="1" s="1"/>
  <c r="K2167" i="1"/>
  <c r="P2167" i="1" s="1"/>
  <c r="K2166" i="1"/>
  <c r="P2166" i="1" s="1"/>
  <c r="K2165" i="1"/>
  <c r="P2165" i="1" s="1"/>
  <c r="K2164" i="1"/>
  <c r="P2164" i="1" s="1"/>
  <c r="K2163" i="1"/>
  <c r="P2163" i="1" s="1"/>
  <c r="K2162" i="1"/>
  <c r="P2162" i="1" s="1"/>
  <c r="K2161" i="1"/>
  <c r="P2161" i="1" s="1"/>
  <c r="K2160" i="1"/>
  <c r="P2160" i="1" s="1"/>
  <c r="K2159" i="1"/>
  <c r="P2159" i="1" s="1"/>
  <c r="K2158" i="1"/>
  <c r="P2158" i="1" s="1"/>
  <c r="K2157" i="1"/>
  <c r="P2157" i="1" s="1"/>
  <c r="K2156" i="1"/>
  <c r="P2156" i="1" s="1"/>
  <c r="K2155" i="1"/>
  <c r="P2155" i="1" s="1"/>
  <c r="K2154" i="1"/>
  <c r="P2154" i="1" s="1"/>
  <c r="K2153" i="1"/>
  <c r="P2153" i="1" s="1"/>
  <c r="K2152" i="1"/>
  <c r="P2152" i="1" s="1"/>
  <c r="K2151" i="1"/>
  <c r="P2151" i="1" s="1"/>
  <c r="K2150" i="1"/>
  <c r="P2150" i="1" s="1"/>
  <c r="K2149" i="1"/>
  <c r="P2149" i="1" s="1"/>
  <c r="K2148" i="1"/>
  <c r="P2148" i="1" s="1"/>
  <c r="K2147" i="1"/>
  <c r="P2147" i="1" s="1"/>
  <c r="K2146" i="1"/>
  <c r="P2146" i="1" s="1"/>
  <c r="K2145" i="1"/>
  <c r="P2145" i="1" s="1"/>
  <c r="K2144" i="1"/>
  <c r="P2144" i="1" s="1"/>
  <c r="K2143" i="1"/>
  <c r="P2143" i="1" s="1"/>
  <c r="K2142" i="1"/>
  <c r="P2142" i="1" s="1"/>
  <c r="K2141" i="1"/>
  <c r="P2141" i="1" s="1"/>
  <c r="K2140" i="1"/>
  <c r="P2140" i="1" s="1"/>
  <c r="K2139" i="1"/>
  <c r="P2139" i="1" s="1"/>
  <c r="K2138" i="1"/>
  <c r="P2138" i="1" s="1"/>
  <c r="K2137" i="1"/>
  <c r="P2137" i="1" s="1"/>
  <c r="K2136" i="1"/>
  <c r="P2136" i="1" s="1"/>
  <c r="K2135" i="1"/>
  <c r="P2135" i="1" s="1"/>
  <c r="K2134" i="1"/>
  <c r="P2134" i="1" s="1"/>
  <c r="K2133" i="1"/>
  <c r="P2133" i="1" s="1"/>
  <c r="K2132" i="1"/>
  <c r="P2132" i="1" s="1"/>
  <c r="K2131" i="1"/>
  <c r="P2131" i="1" s="1"/>
  <c r="K2130" i="1"/>
  <c r="P2130" i="1" s="1"/>
  <c r="K2129" i="1"/>
  <c r="P2129" i="1" s="1"/>
  <c r="K2128" i="1"/>
  <c r="P2128" i="1" s="1"/>
  <c r="K2127" i="1"/>
  <c r="P2127" i="1" s="1"/>
  <c r="K2126" i="1"/>
  <c r="P2126" i="1" s="1"/>
  <c r="K2125" i="1"/>
  <c r="P2125" i="1" s="1"/>
  <c r="K2124" i="1"/>
  <c r="P2124" i="1" s="1"/>
  <c r="K2123" i="1"/>
  <c r="P2123" i="1" s="1"/>
  <c r="K2122" i="1"/>
  <c r="P2122" i="1" s="1"/>
  <c r="K2121" i="1"/>
  <c r="P2121" i="1" s="1"/>
  <c r="K2120" i="1"/>
  <c r="P2120" i="1" s="1"/>
  <c r="K2119" i="1"/>
  <c r="P2119" i="1" s="1"/>
  <c r="K2118" i="1"/>
  <c r="P2118" i="1" s="1"/>
  <c r="K2117" i="1"/>
  <c r="P2117" i="1" s="1"/>
  <c r="K2116" i="1"/>
  <c r="P2116" i="1" s="1"/>
  <c r="K2115" i="1"/>
  <c r="P2115" i="1" s="1"/>
  <c r="K2114" i="1"/>
  <c r="P2114" i="1" s="1"/>
  <c r="K2113" i="1"/>
  <c r="P2113" i="1" s="1"/>
  <c r="K2112" i="1"/>
  <c r="P2112" i="1" s="1"/>
  <c r="K2111" i="1"/>
  <c r="P2111" i="1" s="1"/>
  <c r="K2110" i="1"/>
  <c r="P2110" i="1" s="1"/>
  <c r="K2109" i="1"/>
  <c r="P2109" i="1" s="1"/>
  <c r="K2108" i="1"/>
  <c r="P2108" i="1" s="1"/>
  <c r="K2107" i="1"/>
  <c r="P2107" i="1" s="1"/>
  <c r="K2106" i="1"/>
  <c r="P2106" i="1" s="1"/>
  <c r="K2105" i="1"/>
  <c r="P2105" i="1" s="1"/>
  <c r="K2104" i="1"/>
  <c r="P2104" i="1" s="1"/>
  <c r="K2103" i="1"/>
  <c r="P2103" i="1" s="1"/>
  <c r="K2102" i="1"/>
  <c r="P2102" i="1" s="1"/>
  <c r="K2101" i="1"/>
  <c r="P2101" i="1" s="1"/>
  <c r="K2100" i="1"/>
  <c r="P2100" i="1" s="1"/>
  <c r="K2099" i="1"/>
  <c r="P2099" i="1" s="1"/>
  <c r="K2098" i="1"/>
  <c r="P2098" i="1" s="1"/>
  <c r="K2097" i="1"/>
  <c r="P2097" i="1" s="1"/>
  <c r="K2096" i="1"/>
  <c r="P2096" i="1" s="1"/>
  <c r="K2095" i="1"/>
  <c r="P2095" i="1" s="1"/>
  <c r="K2094" i="1"/>
  <c r="P2094" i="1" s="1"/>
  <c r="K2093" i="1"/>
  <c r="P2093" i="1" s="1"/>
  <c r="K2092" i="1"/>
  <c r="P2092" i="1" s="1"/>
  <c r="K2091" i="1"/>
  <c r="P2091" i="1" s="1"/>
  <c r="K2090" i="1"/>
  <c r="P2090" i="1" s="1"/>
  <c r="K2089" i="1"/>
  <c r="P2089" i="1" s="1"/>
  <c r="K2088" i="1"/>
  <c r="P2088" i="1" s="1"/>
  <c r="K2087" i="1"/>
  <c r="P2087" i="1" s="1"/>
  <c r="K2086" i="1"/>
  <c r="P2086" i="1" s="1"/>
  <c r="K2085" i="1"/>
  <c r="P2085" i="1" s="1"/>
  <c r="K2084" i="1"/>
  <c r="P2084" i="1" s="1"/>
  <c r="K2083" i="1"/>
  <c r="P2083" i="1" s="1"/>
  <c r="K2082" i="1"/>
  <c r="P2082" i="1" s="1"/>
  <c r="K2081" i="1"/>
  <c r="P2081" i="1" s="1"/>
  <c r="K2080" i="1"/>
  <c r="P2080" i="1" s="1"/>
  <c r="K2079" i="1"/>
  <c r="P2079" i="1" s="1"/>
  <c r="K2078" i="1"/>
  <c r="P2078" i="1" s="1"/>
  <c r="K2077" i="1"/>
  <c r="P2077" i="1" s="1"/>
  <c r="K2076" i="1"/>
  <c r="P2076" i="1" s="1"/>
  <c r="K2075" i="1"/>
  <c r="P2075" i="1" s="1"/>
  <c r="K2074" i="1"/>
  <c r="P2074" i="1" s="1"/>
  <c r="K2073" i="1"/>
  <c r="P2073" i="1" s="1"/>
  <c r="K2072" i="1"/>
  <c r="P2072" i="1" s="1"/>
  <c r="K2071" i="1"/>
  <c r="P2071" i="1" s="1"/>
  <c r="K2070" i="1"/>
  <c r="P2070" i="1" s="1"/>
  <c r="K2069" i="1"/>
  <c r="P2069" i="1" s="1"/>
  <c r="K2068" i="1"/>
  <c r="P2068" i="1" s="1"/>
  <c r="K2067" i="1"/>
  <c r="P2067" i="1" s="1"/>
  <c r="K2066" i="1"/>
  <c r="P2066" i="1" s="1"/>
  <c r="K2065" i="1"/>
  <c r="P2065" i="1" s="1"/>
  <c r="K2064" i="1"/>
  <c r="P2064" i="1" s="1"/>
  <c r="K2063" i="1"/>
  <c r="P2063" i="1" s="1"/>
  <c r="K2062" i="1"/>
  <c r="P2062" i="1" s="1"/>
  <c r="K2061" i="1"/>
  <c r="P2061" i="1" s="1"/>
  <c r="K2060" i="1"/>
  <c r="P2060" i="1" s="1"/>
  <c r="K2059" i="1"/>
  <c r="P2059" i="1" s="1"/>
  <c r="K2058" i="1"/>
  <c r="P2058" i="1" s="1"/>
  <c r="K2057" i="1"/>
  <c r="P2057" i="1" s="1"/>
  <c r="K2056" i="1"/>
  <c r="P2056" i="1" s="1"/>
  <c r="K2055" i="1"/>
  <c r="P2055" i="1" s="1"/>
  <c r="K2054" i="1"/>
  <c r="P2054" i="1" s="1"/>
  <c r="K2053" i="1"/>
  <c r="P2053" i="1" s="1"/>
  <c r="K2052" i="1"/>
  <c r="P2052" i="1" s="1"/>
  <c r="K2051" i="1"/>
  <c r="P2051" i="1" s="1"/>
  <c r="K2050" i="1"/>
  <c r="P2050" i="1" s="1"/>
  <c r="K2049" i="1"/>
  <c r="P2049" i="1" s="1"/>
  <c r="K2048" i="1"/>
  <c r="P2048" i="1" s="1"/>
  <c r="K2047" i="1"/>
  <c r="P2047" i="1" s="1"/>
  <c r="K2046" i="1"/>
  <c r="P2046" i="1" s="1"/>
  <c r="K2045" i="1"/>
  <c r="P2045" i="1" s="1"/>
  <c r="K2044" i="1"/>
  <c r="P2044" i="1" s="1"/>
  <c r="K2043" i="1"/>
  <c r="P2043" i="1" s="1"/>
  <c r="K2042" i="1"/>
  <c r="P2042" i="1" s="1"/>
  <c r="K2041" i="1"/>
  <c r="P2041" i="1" s="1"/>
  <c r="K2040" i="1"/>
  <c r="P2040" i="1" s="1"/>
  <c r="K2039" i="1"/>
  <c r="P2039" i="1" s="1"/>
  <c r="K2038" i="1"/>
  <c r="P2038" i="1" s="1"/>
  <c r="K2037" i="1"/>
  <c r="P2037" i="1" s="1"/>
  <c r="K2036" i="1"/>
  <c r="P2036" i="1" s="1"/>
  <c r="K2035" i="1"/>
  <c r="P2035" i="1" s="1"/>
  <c r="K2034" i="1"/>
  <c r="P2034" i="1" s="1"/>
  <c r="K2033" i="1"/>
  <c r="P2033" i="1" s="1"/>
  <c r="K2032" i="1"/>
  <c r="P2032" i="1" s="1"/>
  <c r="K2031" i="1"/>
  <c r="P2031" i="1" s="1"/>
  <c r="K2030" i="1"/>
  <c r="P2030" i="1" s="1"/>
  <c r="K2029" i="1"/>
  <c r="P2029" i="1" s="1"/>
  <c r="K2028" i="1"/>
  <c r="P2028" i="1" s="1"/>
  <c r="K2027" i="1"/>
  <c r="P2027" i="1" s="1"/>
  <c r="K2026" i="1"/>
  <c r="P2026" i="1" s="1"/>
  <c r="K2025" i="1"/>
  <c r="P2025" i="1" s="1"/>
  <c r="K2024" i="1"/>
  <c r="P2024" i="1" s="1"/>
  <c r="K2023" i="1"/>
  <c r="P2023" i="1" s="1"/>
  <c r="K2022" i="1"/>
  <c r="P2022" i="1" s="1"/>
  <c r="K2021" i="1"/>
  <c r="P2021" i="1" s="1"/>
  <c r="K2020" i="1"/>
  <c r="P2020" i="1" s="1"/>
  <c r="K2019" i="1"/>
  <c r="P2019" i="1" s="1"/>
  <c r="K2018" i="1"/>
  <c r="P2018" i="1" s="1"/>
  <c r="K2017" i="1"/>
  <c r="P2017" i="1" s="1"/>
  <c r="K2016" i="1"/>
  <c r="P2016" i="1" s="1"/>
  <c r="K2015" i="1"/>
  <c r="P2015" i="1" s="1"/>
  <c r="K2014" i="1"/>
  <c r="P2014" i="1" s="1"/>
  <c r="K2013" i="1"/>
  <c r="P2013" i="1" s="1"/>
  <c r="K2012" i="1"/>
  <c r="P2012" i="1" s="1"/>
  <c r="K2011" i="1"/>
  <c r="P2011" i="1" s="1"/>
  <c r="K2010" i="1"/>
  <c r="P2010" i="1" s="1"/>
  <c r="K2009" i="1"/>
  <c r="P2009" i="1" s="1"/>
  <c r="K2008" i="1"/>
  <c r="P2008" i="1" s="1"/>
  <c r="K2007" i="1"/>
  <c r="P2007" i="1" s="1"/>
  <c r="K2006" i="1"/>
  <c r="P2006" i="1" s="1"/>
  <c r="K2005" i="1"/>
  <c r="P2005" i="1" s="1"/>
  <c r="K2004" i="1"/>
  <c r="P2004" i="1" s="1"/>
  <c r="K2003" i="1"/>
  <c r="P2003" i="1" s="1"/>
  <c r="K2002" i="1"/>
  <c r="P2002" i="1" s="1"/>
  <c r="K2001" i="1"/>
  <c r="P2001" i="1" s="1"/>
  <c r="K2000" i="1"/>
  <c r="P2000" i="1" s="1"/>
  <c r="K1999" i="1"/>
  <c r="P1999" i="1" s="1"/>
  <c r="K1998" i="1"/>
  <c r="P1998" i="1" s="1"/>
  <c r="K1997" i="1"/>
  <c r="P1997" i="1" s="1"/>
  <c r="K1996" i="1"/>
  <c r="P1996" i="1" s="1"/>
  <c r="K1995" i="1"/>
  <c r="P1995" i="1" s="1"/>
  <c r="K1994" i="1"/>
  <c r="P1994" i="1" s="1"/>
  <c r="K1993" i="1"/>
  <c r="P1993" i="1" s="1"/>
  <c r="K1992" i="1"/>
  <c r="P1992" i="1" s="1"/>
  <c r="K1991" i="1"/>
  <c r="P1991" i="1" s="1"/>
  <c r="K1990" i="1"/>
  <c r="P1990" i="1" s="1"/>
  <c r="K1989" i="1"/>
  <c r="P1989" i="1" s="1"/>
  <c r="K1988" i="1"/>
  <c r="P1988" i="1" s="1"/>
  <c r="K1987" i="1"/>
  <c r="P1987" i="1" s="1"/>
  <c r="K1986" i="1"/>
  <c r="P1986" i="1" s="1"/>
  <c r="K1985" i="1"/>
  <c r="P1985" i="1" s="1"/>
  <c r="K1984" i="1"/>
  <c r="P1984" i="1" s="1"/>
  <c r="K1983" i="1"/>
  <c r="P1983" i="1" s="1"/>
  <c r="K1982" i="1"/>
  <c r="P1982" i="1" s="1"/>
  <c r="K1981" i="1"/>
  <c r="P1981" i="1" s="1"/>
  <c r="K1980" i="1"/>
  <c r="P1980" i="1" s="1"/>
  <c r="K1979" i="1"/>
  <c r="P1979" i="1" s="1"/>
  <c r="K1978" i="1"/>
  <c r="P1978" i="1" s="1"/>
  <c r="K1977" i="1"/>
  <c r="P1977" i="1" s="1"/>
  <c r="K1976" i="1"/>
  <c r="P1976" i="1" s="1"/>
  <c r="K1975" i="1"/>
  <c r="P1975" i="1" s="1"/>
  <c r="K1974" i="1"/>
  <c r="P1974" i="1" s="1"/>
  <c r="K1973" i="1"/>
  <c r="P1973" i="1" s="1"/>
  <c r="K1972" i="1"/>
  <c r="P1972" i="1" s="1"/>
  <c r="K1971" i="1"/>
  <c r="P1971" i="1" s="1"/>
  <c r="K1970" i="1"/>
  <c r="P1970" i="1" s="1"/>
  <c r="K1969" i="1"/>
  <c r="P1969" i="1" s="1"/>
  <c r="K1968" i="1"/>
  <c r="P1968" i="1" s="1"/>
  <c r="K1967" i="1"/>
  <c r="P1967" i="1" s="1"/>
  <c r="K1966" i="1"/>
  <c r="P1966" i="1" s="1"/>
  <c r="K1965" i="1"/>
  <c r="P1965" i="1" s="1"/>
  <c r="K1964" i="1"/>
  <c r="P1964" i="1" s="1"/>
  <c r="K1963" i="1"/>
  <c r="P1963" i="1" s="1"/>
  <c r="K1962" i="1"/>
  <c r="P1962" i="1" s="1"/>
  <c r="K1961" i="1"/>
  <c r="P1961" i="1" s="1"/>
  <c r="K1960" i="1"/>
  <c r="P1960" i="1" s="1"/>
  <c r="K1959" i="1"/>
  <c r="P1959" i="1" s="1"/>
  <c r="K1958" i="1"/>
  <c r="P1958" i="1" s="1"/>
  <c r="K1957" i="1"/>
  <c r="P1957" i="1" s="1"/>
  <c r="K1956" i="1"/>
  <c r="P1956" i="1" s="1"/>
  <c r="K1955" i="1"/>
  <c r="P1955" i="1" s="1"/>
  <c r="K1954" i="1"/>
  <c r="P1954" i="1" s="1"/>
  <c r="K1953" i="1"/>
  <c r="P1953" i="1" s="1"/>
  <c r="K1952" i="1"/>
  <c r="P1952" i="1" s="1"/>
  <c r="K1951" i="1"/>
  <c r="P1951" i="1" s="1"/>
  <c r="K1950" i="1"/>
  <c r="P1950" i="1" s="1"/>
  <c r="K1949" i="1"/>
  <c r="P1949" i="1" s="1"/>
  <c r="K1948" i="1"/>
  <c r="P1948" i="1" s="1"/>
  <c r="K1947" i="1"/>
  <c r="P1947" i="1" s="1"/>
  <c r="K1946" i="1"/>
  <c r="P1946" i="1" s="1"/>
  <c r="K1945" i="1"/>
  <c r="P1945" i="1" s="1"/>
  <c r="K1944" i="1"/>
  <c r="P1944" i="1" s="1"/>
  <c r="K1943" i="1"/>
  <c r="P1943" i="1" s="1"/>
  <c r="K1942" i="1"/>
  <c r="P1942" i="1" s="1"/>
  <c r="K1941" i="1"/>
  <c r="P1941" i="1" s="1"/>
  <c r="K1940" i="1"/>
  <c r="P1940" i="1" s="1"/>
  <c r="K1939" i="1"/>
  <c r="P1939" i="1" s="1"/>
  <c r="K1938" i="1"/>
  <c r="P1938" i="1" s="1"/>
  <c r="K1937" i="1"/>
  <c r="P1937" i="1" s="1"/>
  <c r="K1936" i="1"/>
  <c r="P1936" i="1" s="1"/>
  <c r="K1935" i="1"/>
  <c r="P1935" i="1" s="1"/>
  <c r="K1934" i="1"/>
  <c r="P1934" i="1" s="1"/>
  <c r="K1933" i="1"/>
  <c r="P1933" i="1" s="1"/>
  <c r="K1932" i="1"/>
  <c r="P1932" i="1" s="1"/>
  <c r="K1931" i="1"/>
  <c r="P1931" i="1" s="1"/>
  <c r="K1930" i="1"/>
  <c r="P1930" i="1" s="1"/>
  <c r="K1929" i="1"/>
  <c r="P1929" i="1" s="1"/>
  <c r="K1928" i="1"/>
  <c r="P1928" i="1" s="1"/>
  <c r="K1927" i="1"/>
  <c r="P1927" i="1" s="1"/>
  <c r="K1926" i="1"/>
  <c r="P1926" i="1" s="1"/>
  <c r="K1925" i="1"/>
  <c r="P1925" i="1" s="1"/>
  <c r="K1924" i="1"/>
  <c r="P1924" i="1" s="1"/>
  <c r="K1923" i="1"/>
  <c r="P1923" i="1" s="1"/>
  <c r="K1922" i="1"/>
  <c r="P1922" i="1" s="1"/>
  <c r="K1921" i="1"/>
  <c r="P1921" i="1" s="1"/>
  <c r="K1920" i="1"/>
  <c r="P1920" i="1" s="1"/>
  <c r="K1919" i="1"/>
  <c r="P1919" i="1" s="1"/>
  <c r="K1918" i="1"/>
  <c r="P1918" i="1" s="1"/>
  <c r="K1917" i="1"/>
  <c r="P1917" i="1" s="1"/>
  <c r="K1916" i="1"/>
  <c r="P1916" i="1" s="1"/>
  <c r="K1915" i="1"/>
  <c r="P1915" i="1" s="1"/>
  <c r="K1914" i="1"/>
  <c r="P1914" i="1" s="1"/>
  <c r="K1913" i="1"/>
  <c r="P1913" i="1" s="1"/>
  <c r="K1912" i="1"/>
  <c r="P1912" i="1" s="1"/>
  <c r="K1911" i="1"/>
  <c r="P1911" i="1" s="1"/>
  <c r="K1910" i="1"/>
  <c r="P1910" i="1" s="1"/>
  <c r="K1909" i="1"/>
  <c r="P1909" i="1" s="1"/>
  <c r="K1908" i="1"/>
  <c r="P1908" i="1" s="1"/>
  <c r="K1907" i="1"/>
  <c r="P1907" i="1" s="1"/>
  <c r="K1906" i="1"/>
  <c r="P1906" i="1" s="1"/>
  <c r="K1905" i="1"/>
  <c r="P1905" i="1" s="1"/>
  <c r="K1904" i="1"/>
  <c r="P1904" i="1" s="1"/>
  <c r="K1903" i="1"/>
  <c r="P1903" i="1" s="1"/>
  <c r="K1902" i="1"/>
  <c r="P1902" i="1" s="1"/>
  <c r="K1901" i="1"/>
  <c r="P1901" i="1" s="1"/>
  <c r="K1900" i="1"/>
  <c r="P1900" i="1" s="1"/>
  <c r="K1899" i="1"/>
  <c r="P1899" i="1" s="1"/>
  <c r="K1898" i="1"/>
  <c r="P1898" i="1" s="1"/>
  <c r="K1897" i="1"/>
  <c r="P1897" i="1" s="1"/>
  <c r="K1896" i="1"/>
  <c r="P1896" i="1" s="1"/>
  <c r="K1895" i="1"/>
  <c r="P1895" i="1" s="1"/>
  <c r="K1894" i="1"/>
  <c r="P1894" i="1" s="1"/>
  <c r="K1893" i="1"/>
  <c r="P1893" i="1" s="1"/>
  <c r="K1892" i="1"/>
  <c r="P1892" i="1" s="1"/>
  <c r="K1891" i="1"/>
  <c r="P1891" i="1" s="1"/>
  <c r="K1890" i="1"/>
  <c r="P1890" i="1" s="1"/>
  <c r="K1889" i="1"/>
  <c r="P1889" i="1" s="1"/>
  <c r="K1888" i="1"/>
  <c r="P1888" i="1" s="1"/>
  <c r="K1887" i="1"/>
  <c r="P1887" i="1" s="1"/>
  <c r="K1886" i="1"/>
  <c r="P1886" i="1" s="1"/>
  <c r="K1885" i="1"/>
  <c r="P1885" i="1" s="1"/>
  <c r="K1884" i="1"/>
  <c r="P1884" i="1" s="1"/>
  <c r="K1883" i="1"/>
  <c r="P1883" i="1" s="1"/>
  <c r="K1882" i="1"/>
  <c r="P1882" i="1" s="1"/>
  <c r="K1881" i="1"/>
  <c r="P1881" i="1" s="1"/>
  <c r="K1880" i="1"/>
  <c r="P1880" i="1" s="1"/>
  <c r="K1879" i="1"/>
  <c r="P1879" i="1" s="1"/>
  <c r="K1878" i="1"/>
  <c r="P1878" i="1" s="1"/>
  <c r="K1877" i="1"/>
  <c r="P1877" i="1" s="1"/>
  <c r="K1876" i="1"/>
  <c r="P1876" i="1" s="1"/>
  <c r="K1875" i="1"/>
  <c r="P1875" i="1" s="1"/>
  <c r="K1874" i="1"/>
  <c r="P1874" i="1" s="1"/>
  <c r="K1873" i="1"/>
  <c r="P1873" i="1" s="1"/>
  <c r="K1872" i="1"/>
  <c r="P1872" i="1" s="1"/>
  <c r="K1871" i="1"/>
  <c r="P1871" i="1" s="1"/>
  <c r="K1870" i="1"/>
  <c r="P1870" i="1" s="1"/>
  <c r="K1869" i="1"/>
  <c r="P1869" i="1" s="1"/>
  <c r="K1868" i="1"/>
  <c r="P1868" i="1" s="1"/>
  <c r="K1867" i="1"/>
  <c r="P1867" i="1" s="1"/>
  <c r="K1866" i="1"/>
  <c r="P1866" i="1" s="1"/>
  <c r="K1865" i="1"/>
  <c r="P1865" i="1" s="1"/>
  <c r="K1864" i="1"/>
  <c r="P1864" i="1" s="1"/>
  <c r="K1863" i="1"/>
  <c r="P1863" i="1" s="1"/>
  <c r="K1862" i="1"/>
  <c r="P1862" i="1" s="1"/>
  <c r="K1861" i="1"/>
  <c r="P1861" i="1" s="1"/>
  <c r="K1860" i="1"/>
  <c r="P1860" i="1" s="1"/>
  <c r="K1859" i="1"/>
  <c r="P1859" i="1" s="1"/>
  <c r="K1858" i="1"/>
  <c r="P1858" i="1" s="1"/>
  <c r="K1857" i="1"/>
  <c r="P1857" i="1" s="1"/>
  <c r="K1856" i="1"/>
  <c r="P1856" i="1" s="1"/>
  <c r="K1855" i="1"/>
  <c r="P1855" i="1" s="1"/>
  <c r="K1854" i="1"/>
  <c r="P1854" i="1" s="1"/>
  <c r="K1853" i="1"/>
  <c r="P1853" i="1" s="1"/>
  <c r="K1852" i="1"/>
  <c r="P1852" i="1" s="1"/>
  <c r="K1851" i="1"/>
  <c r="P1851" i="1" s="1"/>
  <c r="K1850" i="1"/>
  <c r="P1850" i="1" s="1"/>
  <c r="K1849" i="1"/>
  <c r="P1849" i="1" s="1"/>
  <c r="K1848" i="1"/>
  <c r="P1848" i="1" s="1"/>
  <c r="K1847" i="1"/>
  <c r="P1847" i="1" s="1"/>
  <c r="K1846" i="1"/>
  <c r="P1846" i="1" s="1"/>
  <c r="K1845" i="1"/>
  <c r="P1845" i="1" s="1"/>
  <c r="K1844" i="1"/>
  <c r="P1844" i="1" s="1"/>
  <c r="K1843" i="1"/>
  <c r="P1843" i="1" s="1"/>
  <c r="K1842" i="1"/>
  <c r="P1842" i="1" s="1"/>
  <c r="K1841" i="1"/>
  <c r="P1841" i="1" s="1"/>
  <c r="K1840" i="1"/>
  <c r="P1840" i="1" s="1"/>
  <c r="K1839" i="1"/>
  <c r="P1839" i="1" s="1"/>
  <c r="K1838" i="1"/>
  <c r="P1838" i="1" s="1"/>
  <c r="K1837" i="1"/>
  <c r="P1837" i="1" s="1"/>
  <c r="K1836" i="1"/>
  <c r="P1836" i="1" s="1"/>
  <c r="K1835" i="1"/>
  <c r="P1835" i="1" s="1"/>
  <c r="K1834" i="1"/>
  <c r="P1834" i="1" s="1"/>
  <c r="K1833" i="1"/>
  <c r="P1833" i="1" s="1"/>
  <c r="K1832" i="1"/>
  <c r="P1832" i="1" s="1"/>
  <c r="K1831" i="1"/>
  <c r="P1831" i="1" s="1"/>
  <c r="K1830" i="1"/>
  <c r="P1830" i="1" s="1"/>
  <c r="K1829" i="1"/>
  <c r="P1829" i="1" s="1"/>
  <c r="K1828" i="1"/>
  <c r="P1828" i="1" s="1"/>
  <c r="K1827" i="1"/>
  <c r="P1827" i="1" s="1"/>
  <c r="K1826" i="1"/>
  <c r="P1826" i="1" s="1"/>
  <c r="K1825" i="1"/>
  <c r="P1825" i="1" s="1"/>
  <c r="K1824" i="1"/>
  <c r="P1824" i="1" s="1"/>
  <c r="K1823" i="1"/>
  <c r="P1823" i="1" s="1"/>
  <c r="K1822" i="1"/>
  <c r="P1822" i="1" s="1"/>
  <c r="K1821" i="1"/>
  <c r="P1821" i="1" s="1"/>
  <c r="K1820" i="1"/>
  <c r="P1820" i="1" s="1"/>
  <c r="K1819" i="1"/>
  <c r="P1819" i="1" s="1"/>
  <c r="K1818" i="1"/>
  <c r="P1818" i="1" s="1"/>
  <c r="K1817" i="1"/>
  <c r="P1817" i="1" s="1"/>
  <c r="K1816" i="1"/>
  <c r="P1816" i="1" s="1"/>
  <c r="K1815" i="1"/>
  <c r="P1815" i="1" s="1"/>
  <c r="K1814" i="1"/>
  <c r="P1814" i="1" s="1"/>
  <c r="K1813" i="1"/>
  <c r="P1813" i="1" s="1"/>
  <c r="K1812" i="1"/>
  <c r="P1812" i="1" s="1"/>
  <c r="K1811" i="1"/>
  <c r="P1811" i="1" s="1"/>
  <c r="K1810" i="1"/>
  <c r="P1810" i="1" s="1"/>
  <c r="K1809" i="1"/>
  <c r="P1809" i="1" s="1"/>
  <c r="K1808" i="1"/>
  <c r="P1808" i="1" s="1"/>
  <c r="K1807" i="1"/>
  <c r="P1807" i="1" s="1"/>
  <c r="K1806" i="1"/>
  <c r="P1806" i="1" s="1"/>
  <c r="K1805" i="1"/>
  <c r="P1805" i="1" s="1"/>
  <c r="K1804" i="1"/>
  <c r="P1804" i="1" s="1"/>
  <c r="K1803" i="1"/>
  <c r="P1803" i="1" s="1"/>
  <c r="K1802" i="1"/>
  <c r="P1802" i="1" s="1"/>
  <c r="K1801" i="1"/>
  <c r="P1801" i="1" s="1"/>
  <c r="K1800" i="1"/>
  <c r="P1800" i="1" s="1"/>
  <c r="K1799" i="1"/>
  <c r="P1799" i="1" s="1"/>
  <c r="K1798" i="1"/>
  <c r="P1798" i="1" s="1"/>
  <c r="K1797" i="1"/>
  <c r="P1797" i="1" s="1"/>
  <c r="K1796" i="1"/>
  <c r="P1796" i="1" s="1"/>
  <c r="K1795" i="1"/>
  <c r="P1795" i="1" s="1"/>
  <c r="K1794" i="1"/>
  <c r="P1794" i="1" s="1"/>
  <c r="K1793" i="1"/>
  <c r="P1793" i="1" s="1"/>
  <c r="K1792" i="1"/>
  <c r="P1792" i="1" s="1"/>
  <c r="K1791" i="1"/>
  <c r="P1791" i="1" s="1"/>
  <c r="K1790" i="1"/>
  <c r="P1790" i="1" s="1"/>
  <c r="K1789" i="1"/>
  <c r="P1789" i="1" s="1"/>
  <c r="K1788" i="1"/>
  <c r="P1788" i="1" s="1"/>
  <c r="K1787" i="1"/>
  <c r="P1787" i="1" s="1"/>
  <c r="K1786" i="1"/>
  <c r="P1786" i="1" s="1"/>
  <c r="K1785" i="1"/>
  <c r="P1785" i="1" s="1"/>
  <c r="K1784" i="1"/>
  <c r="P1784" i="1" s="1"/>
  <c r="K1783" i="1"/>
  <c r="P1783" i="1" s="1"/>
  <c r="K1782" i="1"/>
  <c r="P1782" i="1" s="1"/>
  <c r="K1781" i="1"/>
  <c r="P1781" i="1" s="1"/>
  <c r="K1780" i="1"/>
  <c r="P1780" i="1" s="1"/>
  <c r="K1779" i="1"/>
  <c r="P1779" i="1" s="1"/>
  <c r="K1778" i="1"/>
  <c r="P1778" i="1" s="1"/>
  <c r="K1777" i="1"/>
  <c r="P1777" i="1" s="1"/>
  <c r="K1776" i="1"/>
  <c r="P1776" i="1" s="1"/>
  <c r="K1775" i="1"/>
  <c r="P1775" i="1" s="1"/>
  <c r="K1774" i="1"/>
  <c r="P1774" i="1" s="1"/>
  <c r="K1773" i="1"/>
  <c r="P1773" i="1" s="1"/>
  <c r="K1772" i="1"/>
  <c r="P1772" i="1" s="1"/>
  <c r="K1771" i="1"/>
  <c r="P1771" i="1" s="1"/>
  <c r="K1770" i="1"/>
  <c r="P1770" i="1" s="1"/>
  <c r="K1769" i="1"/>
  <c r="P1769" i="1" s="1"/>
  <c r="K1768" i="1"/>
  <c r="P1768" i="1" s="1"/>
  <c r="K1767" i="1"/>
  <c r="P1767" i="1" s="1"/>
  <c r="K1766" i="1"/>
  <c r="P1766" i="1" s="1"/>
  <c r="K1765" i="1"/>
  <c r="P1765" i="1" s="1"/>
  <c r="K1764" i="1"/>
  <c r="P1764" i="1" s="1"/>
  <c r="K1763" i="1"/>
  <c r="P1763" i="1" s="1"/>
  <c r="K1762" i="1"/>
  <c r="P1762" i="1" s="1"/>
  <c r="K1761" i="1"/>
  <c r="P1761" i="1" s="1"/>
  <c r="K1760" i="1"/>
  <c r="P1760" i="1" s="1"/>
  <c r="K1759" i="1"/>
  <c r="P1759" i="1" s="1"/>
  <c r="K1758" i="1"/>
  <c r="P1758" i="1" s="1"/>
  <c r="K1757" i="1"/>
  <c r="P1757" i="1" s="1"/>
  <c r="K1756" i="1"/>
  <c r="P1756" i="1" s="1"/>
  <c r="K1755" i="1"/>
  <c r="P1755" i="1" s="1"/>
  <c r="K1754" i="1"/>
  <c r="P1754" i="1" s="1"/>
  <c r="K1753" i="1"/>
  <c r="P1753" i="1" s="1"/>
  <c r="K1752" i="1"/>
  <c r="P1752" i="1" s="1"/>
  <c r="K1751" i="1"/>
  <c r="P1751" i="1" s="1"/>
  <c r="K1750" i="1"/>
  <c r="P1750" i="1" s="1"/>
  <c r="K1749" i="1"/>
  <c r="P1749" i="1" s="1"/>
  <c r="K1748" i="1"/>
  <c r="P1748" i="1" s="1"/>
  <c r="K1747" i="1"/>
  <c r="P1747" i="1" s="1"/>
  <c r="K1746" i="1"/>
  <c r="P1746" i="1" s="1"/>
  <c r="K1745" i="1"/>
  <c r="P1745" i="1" s="1"/>
  <c r="K1744" i="1"/>
  <c r="P1744" i="1" s="1"/>
  <c r="K1743" i="1"/>
  <c r="P1743" i="1" s="1"/>
  <c r="K1742" i="1"/>
  <c r="P1742" i="1" s="1"/>
  <c r="K1741" i="1"/>
  <c r="P1741" i="1" s="1"/>
  <c r="K1740" i="1"/>
  <c r="P1740" i="1" s="1"/>
  <c r="K1739" i="1"/>
  <c r="P1739" i="1" s="1"/>
  <c r="K1738" i="1"/>
  <c r="P1738" i="1" s="1"/>
  <c r="K1737" i="1"/>
  <c r="P1737" i="1" s="1"/>
  <c r="K1736" i="1"/>
  <c r="P1736" i="1" s="1"/>
  <c r="K1735" i="1"/>
  <c r="P1735" i="1" s="1"/>
  <c r="K1734" i="1"/>
  <c r="P1734" i="1" s="1"/>
  <c r="K1733" i="1"/>
  <c r="P1733" i="1" s="1"/>
  <c r="K1732" i="1"/>
  <c r="P1732" i="1" s="1"/>
  <c r="K1731" i="1"/>
  <c r="P1731" i="1" s="1"/>
  <c r="K1730" i="1"/>
  <c r="P1730" i="1" s="1"/>
  <c r="K1729" i="1"/>
  <c r="P1729" i="1" s="1"/>
  <c r="K1728" i="1"/>
  <c r="P1728" i="1" s="1"/>
  <c r="K1727" i="1"/>
  <c r="P1727" i="1" s="1"/>
  <c r="K1726" i="1"/>
  <c r="P1726" i="1" s="1"/>
  <c r="K1725" i="1"/>
  <c r="P1725" i="1" s="1"/>
  <c r="K1724" i="1"/>
  <c r="P1724" i="1" s="1"/>
  <c r="K1723" i="1"/>
  <c r="P1723" i="1" s="1"/>
  <c r="K1722" i="1"/>
  <c r="P1722" i="1" s="1"/>
  <c r="K1721" i="1"/>
  <c r="P1721" i="1" s="1"/>
  <c r="K1720" i="1"/>
  <c r="P1720" i="1" s="1"/>
  <c r="K1719" i="1"/>
  <c r="P1719" i="1" s="1"/>
  <c r="K1718" i="1"/>
  <c r="P1718" i="1" s="1"/>
  <c r="K1717" i="1"/>
  <c r="P1717" i="1" s="1"/>
  <c r="K1716" i="1"/>
  <c r="P1716" i="1" s="1"/>
  <c r="K1715" i="1"/>
  <c r="P1715" i="1" s="1"/>
  <c r="K1714" i="1"/>
  <c r="P1714" i="1" s="1"/>
  <c r="K1713" i="1"/>
  <c r="P1713" i="1" s="1"/>
  <c r="K1712" i="1"/>
  <c r="P1712" i="1" s="1"/>
  <c r="K1711" i="1"/>
  <c r="P1711" i="1" s="1"/>
  <c r="K1710" i="1"/>
  <c r="P1710" i="1" s="1"/>
  <c r="K1709" i="1"/>
  <c r="P1709" i="1" s="1"/>
  <c r="K1708" i="1"/>
  <c r="P1708" i="1" s="1"/>
  <c r="K1707" i="1"/>
  <c r="P1707" i="1" s="1"/>
  <c r="K1706" i="1"/>
  <c r="P1706" i="1" s="1"/>
  <c r="K1705" i="1"/>
  <c r="P1705" i="1" s="1"/>
  <c r="K1704" i="1"/>
  <c r="P1704" i="1" s="1"/>
  <c r="K1703" i="1"/>
  <c r="P1703" i="1" s="1"/>
  <c r="K1702" i="1"/>
  <c r="P1702" i="1" s="1"/>
  <c r="K1701" i="1"/>
  <c r="P1701" i="1" s="1"/>
  <c r="K1700" i="1"/>
  <c r="P1700" i="1" s="1"/>
  <c r="K1699" i="1"/>
  <c r="P1699" i="1" s="1"/>
  <c r="K1698" i="1"/>
  <c r="P1698" i="1" s="1"/>
  <c r="K1697" i="1"/>
  <c r="P1697" i="1" s="1"/>
  <c r="K1696" i="1"/>
  <c r="P1696" i="1" s="1"/>
  <c r="K1695" i="1"/>
  <c r="P1695" i="1" s="1"/>
  <c r="K1694" i="1"/>
  <c r="P1694" i="1" s="1"/>
  <c r="K1693" i="1"/>
  <c r="P1693" i="1" s="1"/>
  <c r="K1692" i="1"/>
  <c r="P1692" i="1" s="1"/>
  <c r="K1691" i="1"/>
  <c r="P1691" i="1" s="1"/>
  <c r="K1690" i="1"/>
  <c r="P1690" i="1" s="1"/>
  <c r="K1689" i="1"/>
  <c r="P1689" i="1" s="1"/>
  <c r="K1688" i="1"/>
  <c r="P1688" i="1" s="1"/>
  <c r="K1687" i="1"/>
  <c r="P1687" i="1" s="1"/>
  <c r="K1686" i="1"/>
  <c r="P1686" i="1" s="1"/>
  <c r="K1685" i="1"/>
  <c r="P1685" i="1" s="1"/>
  <c r="K1684" i="1"/>
  <c r="P1684" i="1" s="1"/>
  <c r="K1683" i="1"/>
  <c r="P1683" i="1" s="1"/>
  <c r="K1682" i="1"/>
  <c r="P1682" i="1" s="1"/>
  <c r="K1681" i="1"/>
  <c r="P1681" i="1" s="1"/>
  <c r="K1680" i="1"/>
  <c r="P1680" i="1" s="1"/>
  <c r="K1679" i="1"/>
  <c r="P1679" i="1" s="1"/>
  <c r="K1678" i="1"/>
  <c r="P1678" i="1" s="1"/>
  <c r="K1677" i="1"/>
  <c r="P1677" i="1" s="1"/>
  <c r="K1676" i="1"/>
  <c r="P1676" i="1" s="1"/>
  <c r="K1675" i="1"/>
  <c r="P1675" i="1" s="1"/>
  <c r="K1674" i="1"/>
  <c r="P1674" i="1" s="1"/>
  <c r="K1673" i="1"/>
  <c r="P1673" i="1" s="1"/>
  <c r="K1672" i="1"/>
  <c r="P1672" i="1" s="1"/>
  <c r="K1671" i="1"/>
  <c r="P1671" i="1" s="1"/>
  <c r="K1670" i="1"/>
  <c r="P1670" i="1" s="1"/>
  <c r="K1669" i="1"/>
  <c r="P1669" i="1" s="1"/>
  <c r="K1668" i="1"/>
  <c r="P1668" i="1" s="1"/>
  <c r="K1667" i="1"/>
  <c r="P1667" i="1" s="1"/>
  <c r="K1666" i="1"/>
  <c r="P1666" i="1" s="1"/>
  <c r="K1665" i="1"/>
  <c r="P1665" i="1" s="1"/>
  <c r="K1664" i="1"/>
  <c r="P1664" i="1" s="1"/>
  <c r="K1663" i="1"/>
  <c r="P1663" i="1" s="1"/>
  <c r="K1662" i="1"/>
  <c r="P1662" i="1" s="1"/>
  <c r="K1661" i="1"/>
  <c r="P1661" i="1" s="1"/>
  <c r="K1660" i="1"/>
  <c r="P1660" i="1" s="1"/>
  <c r="K1659" i="1"/>
  <c r="P1659" i="1" s="1"/>
  <c r="K1658" i="1"/>
  <c r="P1658" i="1" s="1"/>
  <c r="K1657" i="1"/>
  <c r="P1657" i="1" s="1"/>
  <c r="K1656" i="1"/>
  <c r="P1656" i="1" s="1"/>
  <c r="K1655" i="1"/>
  <c r="P1655" i="1" s="1"/>
  <c r="K1654" i="1"/>
  <c r="P1654" i="1" s="1"/>
  <c r="K1653" i="1"/>
  <c r="P1653" i="1" s="1"/>
  <c r="K1652" i="1"/>
  <c r="P1652" i="1" s="1"/>
  <c r="K1651" i="1"/>
  <c r="P1651" i="1" s="1"/>
  <c r="K1650" i="1"/>
  <c r="P1650" i="1" s="1"/>
  <c r="K1649" i="1"/>
  <c r="P1649" i="1" s="1"/>
  <c r="K1648" i="1"/>
  <c r="P1648" i="1" s="1"/>
  <c r="K1647" i="1"/>
  <c r="P1647" i="1" s="1"/>
  <c r="K1646" i="1"/>
  <c r="P1646" i="1" s="1"/>
  <c r="K1645" i="1"/>
  <c r="P1645" i="1" s="1"/>
  <c r="K1644" i="1"/>
  <c r="P1644" i="1" s="1"/>
  <c r="K1643" i="1"/>
  <c r="P1643" i="1" s="1"/>
  <c r="K1642" i="1"/>
  <c r="P1642" i="1" s="1"/>
  <c r="K1641" i="1"/>
  <c r="P1641" i="1" s="1"/>
  <c r="K1640" i="1"/>
  <c r="P1640" i="1" s="1"/>
  <c r="K1639" i="1"/>
  <c r="P1639" i="1" s="1"/>
  <c r="K1638" i="1"/>
  <c r="P1638" i="1" s="1"/>
  <c r="K1637" i="1"/>
  <c r="P1637" i="1" s="1"/>
  <c r="K1636" i="1"/>
  <c r="P1636" i="1" s="1"/>
  <c r="K1635" i="1"/>
  <c r="P1635" i="1" s="1"/>
  <c r="K1634" i="1"/>
  <c r="P1634" i="1" s="1"/>
  <c r="K1633" i="1"/>
  <c r="P1633" i="1" s="1"/>
  <c r="K1632" i="1"/>
  <c r="P1632" i="1" s="1"/>
  <c r="K1631" i="1"/>
  <c r="P1631" i="1" s="1"/>
  <c r="K1630" i="1"/>
  <c r="P1630" i="1" s="1"/>
  <c r="K1629" i="1"/>
  <c r="P1629" i="1" s="1"/>
  <c r="K1628" i="1"/>
  <c r="P1628" i="1" s="1"/>
  <c r="K1627" i="1"/>
  <c r="P1627" i="1" s="1"/>
  <c r="K1626" i="1"/>
  <c r="P1626" i="1" s="1"/>
  <c r="K1625" i="1"/>
  <c r="P1625" i="1" s="1"/>
  <c r="K1624" i="1"/>
  <c r="P1624" i="1" s="1"/>
  <c r="K1623" i="1"/>
  <c r="P1623" i="1" s="1"/>
  <c r="K1622" i="1"/>
  <c r="P1622" i="1" s="1"/>
  <c r="K1621" i="1"/>
  <c r="P1621" i="1" s="1"/>
  <c r="K1620" i="1"/>
  <c r="P1620" i="1" s="1"/>
  <c r="K1619" i="1"/>
  <c r="P1619" i="1" s="1"/>
  <c r="K1618" i="1"/>
  <c r="P1618" i="1" s="1"/>
  <c r="K1617" i="1"/>
  <c r="P1617" i="1" s="1"/>
  <c r="K1616" i="1"/>
  <c r="P1616" i="1" s="1"/>
  <c r="K1615" i="1"/>
  <c r="P1615" i="1" s="1"/>
  <c r="K1614" i="1"/>
  <c r="P1614" i="1" s="1"/>
  <c r="K1613" i="1"/>
  <c r="P1613" i="1" s="1"/>
  <c r="K1612" i="1"/>
  <c r="P1612" i="1" s="1"/>
  <c r="K1611" i="1"/>
  <c r="P1611" i="1" s="1"/>
  <c r="K1610" i="1"/>
  <c r="P1610" i="1" s="1"/>
  <c r="K1609" i="1"/>
  <c r="P1609" i="1" s="1"/>
  <c r="K1608" i="1"/>
  <c r="P1608" i="1" s="1"/>
  <c r="K1607" i="1"/>
  <c r="P1607" i="1" s="1"/>
  <c r="K1606" i="1"/>
  <c r="P1606" i="1" s="1"/>
  <c r="K1605" i="1"/>
  <c r="P1605" i="1" s="1"/>
  <c r="K1604" i="1"/>
  <c r="P1604" i="1" s="1"/>
  <c r="K1603" i="1"/>
  <c r="P1603" i="1" s="1"/>
  <c r="K1602" i="1"/>
  <c r="P1602" i="1" s="1"/>
  <c r="K1601" i="1"/>
  <c r="P1601" i="1" s="1"/>
  <c r="K1600" i="1"/>
  <c r="P1600" i="1" s="1"/>
  <c r="K1599" i="1"/>
  <c r="P1599" i="1" s="1"/>
  <c r="K1598" i="1"/>
  <c r="P1598" i="1" s="1"/>
  <c r="K1597" i="1"/>
  <c r="P1597" i="1" s="1"/>
  <c r="K1596" i="1"/>
  <c r="P1596" i="1" s="1"/>
  <c r="K1595" i="1"/>
  <c r="P1595" i="1" s="1"/>
  <c r="K1594" i="1"/>
  <c r="P1594" i="1" s="1"/>
  <c r="K1593" i="1"/>
  <c r="P1593" i="1" s="1"/>
  <c r="K1592" i="1"/>
  <c r="P1592" i="1" s="1"/>
  <c r="K1591" i="1"/>
  <c r="P1591" i="1" s="1"/>
  <c r="K1590" i="1"/>
  <c r="P1590" i="1" s="1"/>
  <c r="K1589" i="1"/>
  <c r="P1589" i="1" s="1"/>
  <c r="K1588" i="1"/>
  <c r="P1588" i="1" s="1"/>
  <c r="K1587" i="1"/>
  <c r="P1587" i="1" s="1"/>
  <c r="K1586" i="1"/>
  <c r="P1586" i="1" s="1"/>
  <c r="K1585" i="1"/>
  <c r="P1585" i="1" s="1"/>
  <c r="K1584" i="1"/>
  <c r="P1584" i="1" s="1"/>
  <c r="K1583" i="1"/>
  <c r="P1583" i="1" s="1"/>
  <c r="K1582" i="1"/>
  <c r="P1582" i="1" s="1"/>
  <c r="K1581" i="1"/>
  <c r="P1581" i="1" s="1"/>
  <c r="K1580" i="1"/>
  <c r="P1580" i="1" s="1"/>
  <c r="K1579" i="1"/>
  <c r="P1579" i="1" s="1"/>
  <c r="K1578" i="1"/>
  <c r="P1578" i="1" s="1"/>
  <c r="K1577" i="1"/>
  <c r="P1577" i="1" s="1"/>
  <c r="K1576" i="1"/>
  <c r="P1576" i="1" s="1"/>
  <c r="K1575" i="1"/>
  <c r="P1575" i="1" s="1"/>
  <c r="K1574" i="1"/>
  <c r="P1574" i="1" s="1"/>
  <c r="K1573" i="1"/>
  <c r="P1573" i="1" s="1"/>
  <c r="K1572" i="1"/>
  <c r="P1572" i="1" s="1"/>
  <c r="K1571" i="1"/>
  <c r="P1571" i="1" s="1"/>
  <c r="K1570" i="1"/>
  <c r="P1570" i="1" s="1"/>
  <c r="K1569" i="1"/>
  <c r="P1569" i="1" s="1"/>
  <c r="K1568" i="1"/>
  <c r="P1568" i="1" s="1"/>
  <c r="K1567" i="1"/>
  <c r="P1567" i="1" s="1"/>
  <c r="K1566" i="1"/>
  <c r="P1566" i="1" s="1"/>
  <c r="K1565" i="1"/>
  <c r="P1565" i="1" s="1"/>
  <c r="K1564" i="1"/>
  <c r="P1564" i="1" s="1"/>
  <c r="K1563" i="1"/>
  <c r="P1563" i="1" s="1"/>
  <c r="K1562" i="1"/>
  <c r="P1562" i="1" s="1"/>
  <c r="K1561" i="1"/>
  <c r="P1561" i="1" s="1"/>
  <c r="K1560" i="1"/>
  <c r="P1560" i="1" s="1"/>
  <c r="K1559" i="1"/>
  <c r="P1559" i="1" s="1"/>
  <c r="K1558" i="1"/>
  <c r="P1558" i="1" s="1"/>
  <c r="K1557" i="1"/>
  <c r="P1557" i="1" s="1"/>
  <c r="K1556" i="1"/>
  <c r="P1556" i="1" s="1"/>
  <c r="K1555" i="1"/>
  <c r="P1555" i="1" s="1"/>
  <c r="K1554" i="1"/>
  <c r="P1554" i="1" s="1"/>
  <c r="K1553" i="1"/>
  <c r="P1553" i="1" s="1"/>
  <c r="K1552" i="1"/>
  <c r="P1552" i="1" s="1"/>
  <c r="K1551" i="1"/>
  <c r="P1551" i="1" s="1"/>
  <c r="K1550" i="1"/>
  <c r="P1550" i="1" s="1"/>
  <c r="K1549" i="1"/>
  <c r="P1549" i="1" s="1"/>
  <c r="K1548" i="1"/>
  <c r="P1548" i="1" s="1"/>
  <c r="K1547" i="1"/>
  <c r="P1547" i="1" s="1"/>
  <c r="K1546" i="1"/>
  <c r="P1546" i="1" s="1"/>
  <c r="K1545" i="1"/>
  <c r="P1545" i="1" s="1"/>
  <c r="K1544" i="1"/>
  <c r="P1544" i="1" s="1"/>
  <c r="K1543" i="1"/>
  <c r="P1543" i="1" s="1"/>
  <c r="K1542" i="1"/>
  <c r="P1542" i="1" s="1"/>
  <c r="K1541" i="1"/>
  <c r="P1541" i="1" s="1"/>
  <c r="K1540" i="1"/>
  <c r="P1540" i="1" s="1"/>
  <c r="K1539" i="1"/>
  <c r="P1539" i="1" s="1"/>
  <c r="K1538" i="1"/>
  <c r="P1538" i="1" s="1"/>
  <c r="K1537" i="1"/>
  <c r="P1537" i="1" s="1"/>
  <c r="K1536" i="1"/>
  <c r="P1536" i="1" s="1"/>
  <c r="K1535" i="1"/>
  <c r="P1535" i="1" s="1"/>
  <c r="K1534" i="1"/>
  <c r="P1534" i="1" s="1"/>
  <c r="K1533" i="1"/>
  <c r="P1533" i="1" s="1"/>
  <c r="K1532" i="1"/>
  <c r="P1532" i="1" s="1"/>
  <c r="K1531" i="1"/>
  <c r="P1531" i="1" s="1"/>
  <c r="K1530" i="1"/>
  <c r="P1530" i="1" s="1"/>
  <c r="K1529" i="1"/>
  <c r="P1529" i="1" s="1"/>
  <c r="K1528" i="1"/>
  <c r="P1528" i="1" s="1"/>
  <c r="K1527" i="1"/>
  <c r="P1527" i="1" s="1"/>
  <c r="K1526" i="1"/>
  <c r="P1526" i="1" s="1"/>
  <c r="K1525" i="1"/>
  <c r="P1525" i="1" s="1"/>
  <c r="K1524" i="1"/>
  <c r="P1524" i="1" s="1"/>
  <c r="K1523" i="1"/>
  <c r="P1523" i="1" s="1"/>
  <c r="K1522" i="1"/>
  <c r="P1522" i="1" s="1"/>
  <c r="K1521" i="1"/>
  <c r="P1521" i="1" s="1"/>
  <c r="K1520" i="1"/>
  <c r="P1520" i="1" s="1"/>
  <c r="K1519" i="1"/>
  <c r="P1519" i="1" s="1"/>
  <c r="K1518" i="1"/>
  <c r="P1518" i="1" s="1"/>
  <c r="K1517" i="1"/>
  <c r="P1517" i="1" s="1"/>
  <c r="K1516" i="1"/>
  <c r="P1516" i="1" s="1"/>
  <c r="K1515" i="1"/>
  <c r="P1515" i="1" s="1"/>
  <c r="K1514" i="1"/>
  <c r="P1514" i="1" s="1"/>
  <c r="K1513" i="1"/>
  <c r="P1513" i="1" s="1"/>
  <c r="K1512" i="1"/>
  <c r="P1512" i="1" s="1"/>
  <c r="K1511" i="1"/>
  <c r="P1511" i="1" s="1"/>
  <c r="K1510" i="1"/>
  <c r="P1510" i="1" s="1"/>
  <c r="K1509" i="1"/>
  <c r="P1509" i="1" s="1"/>
  <c r="K1508" i="1"/>
  <c r="P1508" i="1" s="1"/>
  <c r="K1507" i="1"/>
  <c r="P1507" i="1" s="1"/>
  <c r="K1506" i="1"/>
  <c r="P1506" i="1" s="1"/>
  <c r="K1505" i="1"/>
  <c r="P1505" i="1" s="1"/>
  <c r="K1504" i="1"/>
  <c r="P1504" i="1" s="1"/>
  <c r="K1503" i="1"/>
  <c r="P1503" i="1" s="1"/>
  <c r="K1502" i="1"/>
  <c r="P1502" i="1" s="1"/>
  <c r="K1501" i="1"/>
  <c r="P1501" i="1" s="1"/>
  <c r="K1500" i="1"/>
  <c r="P1500" i="1" s="1"/>
  <c r="K1499" i="1"/>
  <c r="P1499" i="1" s="1"/>
  <c r="K1498" i="1"/>
  <c r="P1498" i="1" s="1"/>
  <c r="K1497" i="1"/>
  <c r="P1497" i="1" s="1"/>
  <c r="K1496" i="1"/>
  <c r="P1496" i="1" s="1"/>
  <c r="K1495" i="1"/>
  <c r="P1495" i="1" s="1"/>
  <c r="K1494" i="1"/>
  <c r="P1494" i="1" s="1"/>
  <c r="K1493" i="1"/>
  <c r="P1493" i="1" s="1"/>
  <c r="K1492" i="1"/>
  <c r="P1492" i="1" s="1"/>
  <c r="K1491" i="1"/>
  <c r="P1491" i="1" s="1"/>
  <c r="K1490" i="1"/>
  <c r="P1490" i="1" s="1"/>
  <c r="K1489" i="1"/>
  <c r="P1489" i="1" s="1"/>
  <c r="K1488" i="1"/>
  <c r="P1488" i="1" s="1"/>
  <c r="K1487" i="1"/>
  <c r="P1487" i="1" s="1"/>
  <c r="K1486" i="1"/>
  <c r="P1486" i="1" s="1"/>
  <c r="K1485" i="1"/>
  <c r="P1485" i="1" s="1"/>
  <c r="K1484" i="1"/>
  <c r="P1484" i="1" s="1"/>
  <c r="K1483" i="1"/>
  <c r="P1483" i="1" s="1"/>
  <c r="K1482" i="1"/>
  <c r="P1482" i="1" s="1"/>
  <c r="K1481" i="1"/>
  <c r="P1481" i="1" s="1"/>
  <c r="K1480" i="1"/>
  <c r="P1480" i="1" s="1"/>
  <c r="K1479" i="1"/>
  <c r="P1479" i="1" s="1"/>
  <c r="K1478" i="1"/>
  <c r="P1478" i="1" s="1"/>
  <c r="K1477" i="1"/>
  <c r="P1477" i="1" s="1"/>
  <c r="K1476" i="1"/>
  <c r="P1476" i="1" s="1"/>
  <c r="K1475" i="1"/>
  <c r="P1475" i="1" s="1"/>
  <c r="K1474" i="1"/>
  <c r="P1474" i="1" s="1"/>
  <c r="K1473" i="1"/>
  <c r="P1473" i="1" s="1"/>
  <c r="K1472" i="1"/>
  <c r="P1472" i="1" s="1"/>
  <c r="K1471" i="1"/>
  <c r="P1471" i="1" s="1"/>
  <c r="K1470" i="1"/>
  <c r="P1470" i="1" s="1"/>
  <c r="K1469" i="1"/>
  <c r="P1469" i="1" s="1"/>
  <c r="K1468" i="1"/>
  <c r="P1468" i="1" s="1"/>
  <c r="K1467" i="1"/>
  <c r="P1467" i="1" s="1"/>
  <c r="K1466" i="1"/>
  <c r="P1466" i="1" s="1"/>
  <c r="K1465" i="1"/>
  <c r="P1465" i="1" s="1"/>
  <c r="K1464" i="1"/>
  <c r="P1464" i="1" s="1"/>
  <c r="K1463" i="1"/>
  <c r="P1463" i="1" s="1"/>
  <c r="K1462" i="1"/>
  <c r="P1462" i="1" s="1"/>
  <c r="K1461" i="1"/>
  <c r="P1461" i="1" s="1"/>
  <c r="K1460" i="1"/>
  <c r="P1460" i="1" s="1"/>
  <c r="K1459" i="1"/>
  <c r="P1459" i="1" s="1"/>
  <c r="K1458" i="1"/>
  <c r="P1458" i="1" s="1"/>
  <c r="K1457" i="1"/>
  <c r="P1457" i="1" s="1"/>
  <c r="K1456" i="1"/>
  <c r="P1456" i="1" s="1"/>
  <c r="K1455" i="1"/>
  <c r="P1455" i="1" s="1"/>
  <c r="K1454" i="1"/>
  <c r="P1454" i="1" s="1"/>
  <c r="K1453" i="1"/>
  <c r="P1453" i="1" s="1"/>
  <c r="K1452" i="1"/>
  <c r="P1452" i="1" s="1"/>
  <c r="K1451" i="1"/>
  <c r="P1451" i="1" s="1"/>
  <c r="K1450" i="1"/>
  <c r="P1450" i="1" s="1"/>
  <c r="K1449" i="1"/>
  <c r="P1449" i="1" s="1"/>
  <c r="K1448" i="1"/>
  <c r="P1448" i="1" s="1"/>
  <c r="K1447" i="1"/>
  <c r="P1447" i="1" s="1"/>
  <c r="K1446" i="1"/>
  <c r="P1446" i="1" s="1"/>
  <c r="K1445" i="1"/>
  <c r="P1445" i="1" s="1"/>
  <c r="K1444" i="1"/>
  <c r="P1444" i="1" s="1"/>
  <c r="K1443" i="1"/>
  <c r="P1443" i="1" s="1"/>
  <c r="K1442" i="1"/>
  <c r="P1442" i="1" s="1"/>
  <c r="K1441" i="1"/>
  <c r="P1441" i="1" s="1"/>
  <c r="K1440" i="1"/>
  <c r="P1440" i="1" s="1"/>
  <c r="K1439" i="1"/>
  <c r="P1439" i="1" s="1"/>
  <c r="K1438" i="1"/>
  <c r="P1438" i="1" s="1"/>
  <c r="K1437" i="1"/>
  <c r="P1437" i="1" s="1"/>
  <c r="K1436" i="1"/>
  <c r="P1436" i="1" s="1"/>
  <c r="K1435" i="1"/>
  <c r="P1435" i="1" s="1"/>
  <c r="K1434" i="1"/>
  <c r="P1434" i="1" s="1"/>
  <c r="K1433" i="1"/>
  <c r="P1433" i="1" s="1"/>
  <c r="K1432" i="1"/>
  <c r="P1432" i="1" s="1"/>
  <c r="K1431" i="1"/>
  <c r="P1431" i="1" s="1"/>
  <c r="K1430" i="1"/>
  <c r="P1430" i="1" s="1"/>
  <c r="K1429" i="1"/>
  <c r="P1429" i="1" s="1"/>
  <c r="K1428" i="1"/>
  <c r="P1428" i="1" s="1"/>
  <c r="K1427" i="1"/>
  <c r="P1427" i="1" s="1"/>
  <c r="K1426" i="1"/>
  <c r="P1426" i="1" s="1"/>
  <c r="K1425" i="1"/>
  <c r="P1425" i="1" s="1"/>
  <c r="K1424" i="1"/>
  <c r="P1424" i="1" s="1"/>
  <c r="K1423" i="1"/>
  <c r="P1423" i="1" s="1"/>
  <c r="K1422" i="1"/>
  <c r="P1422" i="1" s="1"/>
  <c r="K1421" i="1"/>
  <c r="P1421" i="1" s="1"/>
  <c r="K1420" i="1"/>
  <c r="P1420" i="1" s="1"/>
  <c r="K1419" i="1"/>
  <c r="P1419" i="1" s="1"/>
  <c r="K1418" i="1"/>
  <c r="P1418" i="1" s="1"/>
  <c r="K1417" i="1"/>
  <c r="P1417" i="1" s="1"/>
  <c r="K1416" i="1"/>
  <c r="P1416" i="1" s="1"/>
  <c r="K1415" i="1"/>
  <c r="P1415" i="1" s="1"/>
  <c r="K1414" i="1"/>
  <c r="P1414" i="1" s="1"/>
  <c r="K1413" i="1"/>
  <c r="P1413" i="1" s="1"/>
  <c r="K1412" i="1"/>
  <c r="P1412" i="1" s="1"/>
  <c r="K1411" i="1"/>
  <c r="P1411" i="1" s="1"/>
  <c r="K1410" i="1"/>
  <c r="P1410" i="1" s="1"/>
  <c r="K1409" i="1"/>
  <c r="P1409" i="1" s="1"/>
  <c r="K1408" i="1"/>
  <c r="P1408" i="1" s="1"/>
  <c r="K1407" i="1"/>
  <c r="P1407" i="1" s="1"/>
  <c r="K1406" i="1"/>
  <c r="P1406" i="1" s="1"/>
  <c r="K1405" i="1"/>
  <c r="P1405" i="1" s="1"/>
  <c r="K1404" i="1"/>
  <c r="P1404" i="1" s="1"/>
  <c r="K1403" i="1"/>
  <c r="P1403" i="1" s="1"/>
  <c r="K1402" i="1"/>
  <c r="P1402" i="1" s="1"/>
  <c r="K1401" i="1"/>
  <c r="P1401" i="1" s="1"/>
  <c r="K1400" i="1"/>
  <c r="P1400" i="1" s="1"/>
  <c r="K1399" i="1"/>
  <c r="P1399" i="1" s="1"/>
  <c r="K1398" i="1"/>
  <c r="P1398" i="1" s="1"/>
  <c r="K1397" i="1"/>
  <c r="P1397" i="1" s="1"/>
  <c r="K1396" i="1"/>
  <c r="P1396" i="1" s="1"/>
  <c r="K1395" i="1"/>
  <c r="P1395" i="1" s="1"/>
  <c r="K1394" i="1"/>
  <c r="P1394" i="1" s="1"/>
  <c r="K1393" i="1"/>
  <c r="P1393" i="1" s="1"/>
  <c r="K1392" i="1"/>
  <c r="P1392" i="1" s="1"/>
  <c r="K1391" i="1"/>
  <c r="P1391" i="1" s="1"/>
  <c r="K1390" i="1"/>
  <c r="P1390" i="1" s="1"/>
  <c r="K1389" i="1"/>
  <c r="P1389" i="1" s="1"/>
  <c r="K1388" i="1"/>
  <c r="P1388" i="1" s="1"/>
  <c r="K1387" i="1"/>
  <c r="P1387" i="1" s="1"/>
  <c r="K1386" i="1"/>
  <c r="P1386" i="1" s="1"/>
  <c r="K1385" i="1"/>
  <c r="P1385" i="1" s="1"/>
  <c r="K1384" i="1"/>
  <c r="P1384" i="1" s="1"/>
  <c r="K1383" i="1"/>
  <c r="P1383" i="1" s="1"/>
  <c r="K1382" i="1"/>
  <c r="P1382" i="1" s="1"/>
  <c r="K1381" i="1"/>
  <c r="P1381" i="1" s="1"/>
  <c r="K1380" i="1"/>
  <c r="P1380" i="1" s="1"/>
  <c r="K1379" i="1"/>
  <c r="P1379" i="1" s="1"/>
  <c r="K1378" i="1"/>
  <c r="P1378" i="1" s="1"/>
  <c r="K1377" i="1"/>
  <c r="P1377" i="1" s="1"/>
  <c r="K1376" i="1"/>
  <c r="P1376" i="1" s="1"/>
  <c r="K1375" i="1"/>
  <c r="P1375" i="1" s="1"/>
  <c r="K1374" i="1"/>
  <c r="P1374" i="1" s="1"/>
  <c r="K1373" i="1"/>
  <c r="P1373" i="1" s="1"/>
  <c r="K1372" i="1"/>
  <c r="P1372" i="1" s="1"/>
  <c r="K1371" i="1"/>
  <c r="P1371" i="1" s="1"/>
  <c r="K1370" i="1"/>
  <c r="P1370" i="1" s="1"/>
  <c r="K1369" i="1"/>
  <c r="P1369" i="1" s="1"/>
  <c r="K1368" i="1"/>
  <c r="P1368" i="1" s="1"/>
  <c r="K1367" i="1"/>
  <c r="P1367" i="1" s="1"/>
  <c r="K1366" i="1"/>
  <c r="P1366" i="1" s="1"/>
  <c r="K1365" i="1"/>
  <c r="P1365" i="1" s="1"/>
  <c r="K1364" i="1"/>
  <c r="P1364" i="1" s="1"/>
  <c r="K1363" i="1"/>
  <c r="P1363" i="1" s="1"/>
  <c r="K1362" i="1"/>
  <c r="P1362" i="1" s="1"/>
  <c r="K1361" i="1"/>
  <c r="P1361" i="1" s="1"/>
  <c r="K1360" i="1"/>
  <c r="P1360" i="1" s="1"/>
  <c r="K1359" i="1"/>
  <c r="P1359" i="1" s="1"/>
  <c r="K1358" i="1"/>
  <c r="P1358" i="1" s="1"/>
  <c r="K1357" i="1"/>
  <c r="P1357" i="1" s="1"/>
  <c r="K1356" i="1"/>
  <c r="P1356" i="1" s="1"/>
  <c r="K1355" i="1"/>
  <c r="P1355" i="1" s="1"/>
  <c r="K1354" i="1"/>
  <c r="P1354" i="1" s="1"/>
  <c r="K1353" i="1"/>
  <c r="P1353" i="1" s="1"/>
  <c r="K1352" i="1"/>
  <c r="P1352" i="1" s="1"/>
  <c r="K1351" i="1"/>
  <c r="P1351" i="1" s="1"/>
  <c r="K1350" i="1"/>
  <c r="P1350" i="1" s="1"/>
  <c r="K1349" i="1"/>
  <c r="P1349" i="1" s="1"/>
  <c r="K1348" i="1"/>
  <c r="P1348" i="1" s="1"/>
  <c r="K1347" i="1"/>
  <c r="P1347" i="1" s="1"/>
  <c r="K1346" i="1"/>
  <c r="P1346" i="1" s="1"/>
  <c r="K1345" i="1"/>
  <c r="P1345" i="1" s="1"/>
  <c r="K1344" i="1"/>
  <c r="P1344" i="1" s="1"/>
  <c r="K1343" i="1"/>
  <c r="P1343" i="1" s="1"/>
  <c r="K1342" i="1"/>
  <c r="P1342" i="1" s="1"/>
  <c r="K1341" i="1"/>
  <c r="P1341" i="1" s="1"/>
  <c r="K1340" i="1"/>
  <c r="P1340" i="1" s="1"/>
  <c r="K1339" i="1"/>
  <c r="P1339" i="1" s="1"/>
  <c r="K1338" i="1"/>
  <c r="P1338" i="1" s="1"/>
  <c r="K1337" i="1"/>
  <c r="P1337" i="1" s="1"/>
  <c r="K1336" i="1"/>
  <c r="P1336" i="1" s="1"/>
  <c r="K1335" i="1"/>
  <c r="P1335" i="1" s="1"/>
  <c r="K1334" i="1"/>
  <c r="P1334" i="1" s="1"/>
  <c r="K1333" i="1"/>
  <c r="P1333" i="1" s="1"/>
  <c r="K1332" i="1"/>
  <c r="P1332" i="1" s="1"/>
  <c r="K1331" i="1"/>
  <c r="P1331" i="1" s="1"/>
  <c r="K1330" i="1"/>
  <c r="P1330" i="1" s="1"/>
  <c r="K1329" i="1"/>
  <c r="P1329" i="1" s="1"/>
  <c r="K1328" i="1"/>
  <c r="P1328" i="1" s="1"/>
  <c r="K1327" i="1"/>
  <c r="P1327" i="1" s="1"/>
  <c r="K1326" i="1"/>
  <c r="P1326" i="1" s="1"/>
  <c r="K1325" i="1"/>
  <c r="P1325" i="1" s="1"/>
  <c r="K1324" i="1"/>
  <c r="P1324" i="1" s="1"/>
  <c r="K1323" i="1"/>
  <c r="P1323" i="1" s="1"/>
  <c r="K1322" i="1"/>
  <c r="P1322" i="1" s="1"/>
  <c r="K1321" i="1"/>
  <c r="P1321" i="1" s="1"/>
  <c r="K1320" i="1"/>
  <c r="P1320" i="1" s="1"/>
  <c r="K1319" i="1"/>
  <c r="P1319" i="1" s="1"/>
  <c r="K1318" i="1"/>
  <c r="P1318" i="1" s="1"/>
  <c r="K1317" i="1"/>
  <c r="P1317" i="1" s="1"/>
  <c r="K1316" i="1"/>
  <c r="P1316" i="1" s="1"/>
  <c r="K1315" i="1"/>
  <c r="P1315" i="1" s="1"/>
  <c r="K1314" i="1"/>
  <c r="P1314" i="1" s="1"/>
  <c r="K1313" i="1"/>
  <c r="P1313" i="1" s="1"/>
  <c r="K1312" i="1"/>
  <c r="P1312" i="1" s="1"/>
  <c r="K1311" i="1"/>
  <c r="P1311" i="1" s="1"/>
  <c r="K1310" i="1"/>
  <c r="P1310" i="1" s="1"/>
  <c r="K1309" i="1"/>
  <c r="P1309" i="1" s="1"/>
  <c r="K1308" i="1"/>
  <c r="P1308" i="1" s="1"/>
  <c r="K1307" i="1"/>
  <c r="P1307" i="1" s="1"/>
  <c r="K1306" i="1"/>
  <c r="P1306" i="1" s="1"/>
  <c r="K1305" i="1"/>
  <c r="P1305" i="1" s="1"/>
  <c r="K1304" i="1"/>
  <c r="P1304" i="1" s="1"/>
  <c r="K1303" i="1"/>
  <c r="P1303" i="1" s="1"/>
  <c r="K1302" i="1"/>
  <c r="P1302" i="1" s="1"/>
  <c r="K1301" i="1"/>
  <c r="P1301" i="1" s="1"/>
  <c r="K1300" i="1"/>
  <c r="P1300" i="1" s="1"/>
  <c r="K1299" i="1"/>
  <c r="P1299" i="1" s="1"/>
  <c r="K1298" i="1"/>
  <c r="P1298" i="1" s="1"/>
  <c r="K1297" i="1"/>
  <c r="P1297" i="1" s="1"/>
  <c r="K1296" i="1"/>
  <c r="P1296" i="1" s="1"/>
  <c r="K1295" i="1"/>
  <c r="P1295" i="1" s="1"/>
  <c r="K1294" i="1"/>
  <c r="P1294" i="1" s="1"/>
  <c r="K1293" i="1"/>
  <c r="P1293" i="1" s="1"/>
  <c r="K1292" i="1"/>
  <c r="P1292" i="1" s="1"/>
  <c r="K1291" i="1"/>
  <c r="P1291" i="1" s="1"/>
  <c r="K1290" i="1"/>
  <c r="P1290" i="1" s="1"/>
  <c r="K1289" i="1"/>
  <c r="P1289" i="1" s="1"/>
  <c r="K1288" i="1"/>
  <c r="P1288" i="1" s="1"/>
  <c r="K1287" i="1"/>
  <c r="P1287" i="1" s="1"/>
  <c r="K1286" i="1"/>
  <c r="P1286" i="1" s="1"/>
  <c r="K1285" i="1"/>
  <c r="P1285" i="1" s="1"/>
  <c r="K1284" i="1"/>
  <c r="P1284" i="1" s="1"/>
  <c r="K1283" i="1"/>
  <c r="P1283" i="1" s="1"/>
  <c r="K1282" i="1"/>
  <c r="P1282" i="1" s="1"/>
  <c r="K1281" i="1"/>
  <c r="P1281" i="1" s="1"/>
  <c r="K1280" i="1"/>
  <c r="P1280" i="1" s="1"/>
  <c r="K1279" i="1"/>
  <c r="P1279" i="1" s="1"/>
  <c r="K1278" i="1"/>
  <c r="P1278" i="1" s="1"/>
  <c r="K1277" i="1"/>
  <c r="P1277" i="1" s="1"/>
  <c r="K1276" i="1"/>
  <c r="P1276" i="1" s="1"/>
  <c r="K1275" i="1"/>
  <c r="P1275" i="1" s="1"/>
  <c r="K1274" i="1"/>
  <c r="P1274" i="1" s="1"/>
  <c r="K1273" i="1"/>
  <c r="P1273" i="1" s="1"/>
  <c r="K1272" i="1"/>
  <c r="P1272" i="1" s="1"/>
  <c r="K1271" i="1"/>
  <c r="P1271" i="1" s="1"/>
  <c r="K1270" i="1"/>
  <c r="P1270" i="1" s="1"/>
  <c r="K1269" i="1"/>
  <c r="P1269" i="1" s="1"/>
  <c r="K1268" i="1"/>
  <c r="P1268" i="1" s="1"/>
  <c r="K1267" i="1"/>
  <c r="P1267" i="1" s="1"/>
  <c r="K1266" i="1"/>
  <c r="P1266" i="1" s="1"/>
  <c r="K1265" i="1"/>
  <c r="P1265" i="1" s="1"/>
  <c r="K1264" i="1"/>
  <c r="P1264" i="1" s="1"/>
  <c r="K1263" i="1"/>
  <c r="P1263" i="1" s="1"/>
  <c r="K1262" i="1"/>
  <c r="P1262" i="1" s="1"/>
  <c r="K1261" i="1"/>
  <c r="P1261" i="1" s="1"/>
  <c r="K1260" i="1"/>
  <c r="P1260" i="1" s="1"/>
  <c r="K1259" i="1"/>
  <c r="P1259" i="1" s="1"/>
  <c r="K1258" i="1"/>
  <c r="P1258" i="1" s="1"/>
  <c r="K1257" i="1"/>
  <c r="P1257" i="1" s="1"/>
  <c r="K1256" i="1"/>
  <c r="P1256" i="1" s="1"/>
  <c r="K1255" i="1"/>
  <c r="P1255" i="1" s="1"/>
  <c r="K1254" i="1"/>
  <c r="P1254" i="1" s="1"/>
  <c r="K1253" i="1"/>
  <c r="P1253" i="1" s="1"/>
  <c r="K1252" i="1"/>
  <c r="P1252" i="1" s="1"/>
  <c r="K1251" i="1"/>
  <c r="P1251" i="1" s="1"/>
  <c r="K1250" i="1"/>
  <c r="P1250" i="1" s="1"/>
  <c r="K1249" i="1"/>
  <c r="P1249" i="1" s="1"/>
  <c r="K1248" i="1"/>
  <c r="P1248" i="1" s="1"/>
  <c r="K1247" i="1"/>
  <c r="P1247" i="1" s="1"/>
  <c r="K1246" i="1"/>
  <c r="P1246" i="1" s="1"/>
  <c r="K1245" i="1"/>
  <c r="P1245" i="1" s="1"/>
  <c r="K1244" i="1"/>
  <c r="P1244" i="1" s="1"/>
  <c r="K1243" i="1"/>
  <c r="P1243" i="1" s="1"/>
  <c r="K1242" i="1"/>
  <c r="P1242" i="1" s="1"/>
  <c r="K1241" i="1"/>
  <c r="P1241" i="1" s="1"/>
  <c r="K1240" i="1"/>
  <c r="P1240" i="1" s="1"/>
  <c r="K1239" i="1"/>
  <c r="P1239" i="1" s="1"/>
  <c r="K1238" i="1"/>
  <c r="P1238" i="1" s="1"/>
  <c r="K1237" i="1"/>
  <c r="P1237" i="1" s="1"/>
  <c r="K1236" i="1"/>
  <c r="P1236" i="1" s="1"/>
  <c r="K1235" i="1"/>
  <c r="P1235" i="1" s="1"/>
  <c r="K1234" i="1"/>
  <c r="P1234" i="1" s="1"/>
  <c r="K1233" i="1"/>
  <c r="P1233" i="1" s="1"/>
  <c r="K1232" i="1"/>
  <c r="P1232" i="1" s="1"/>
  <c r="K1231" i="1"/>
  <c r="P1231" i="1" s="1"/>
  <c r="K1230" i="1"/>
  <c r="P1230" i="1" s="1"/>
  <c r="K1229" i="1"/>
  <c r="P1229" i="1" s="1"/>
  <c r="K1228" i="1"/>
  <c r="P1228" i="1" s="1"/>
  <c r="K1227" i="1"/>
  <c r="P1227" i="1" s="1"/>
  <c r="K1226" i="1"/>
  <c r="P1226" i="1" s="1"/>
  <c r="K1225" i="1"/>
  <c r="P1225" i="1" s="1"/>
  <c r="K1224" i="1"/>
  <c r="P1224" i="1" s="1"/>
  <c r="K1223" i="1"/>
  <c r="P1223" i="1" s="1"/>
  <c r="K1222" i="1"/>
  <c r="P1222" i="1" s="1"/>
  <c r="K1221" i="1"/>
  <c r="P1221" i="1" s="1"/>
  <c r="K1220" i="1"/>
  <c r="P1220" i="1" s="1"/>
  <c r="K1219" i="1"/>
  <c r="P1219" i="1" s="1"/>
  <c r="K1218" i="1"/>
  <c r="P1218" i="1" s="1"/>
  <c r="K1217" i="1"/>
  <c r="P1217" i="1" s="1"/>
  <c r="K1216" i="1"/>
  <c r="P1216" i="1" s="1"/>
  <c r="K1215" i="1"/>
  <c r="P1215" i="1" s="1"/>
  <c r="K1214" i="1"/>
  <c r="P1214" i="1" s="1"/>
  <c r="K1213" i="1"/>
  <c r="P1213" i="1" s="1"/>
  <c r="K1212" i="1"/>
  <c r="P1212" i="1" s="1"/>
  <c r="K1211" i="1"/>
  <c r="P1211" i="1" s="1"/>
  <c r="K1210" i="1"/>
  <c r="P1210" i="1" s="1"/>
  <c r="K1209" i="1"/>
  <c r="P1209" i="1" s="1"/>
  <c r="K1208" i="1"/>
  <c r="P1208" i="1" s="1"/>
  <c r="K1207" i="1"/>
  <c r="P1207" i="1" s="1"/>
  <c r="K1206" i="1"/>
  <c r="P1206" i="1" s="1"/>
  <c r="K1205" i="1"/>
  <c r="P1205" i="1" s="1"/>
  <c r="K1204" i="1"/>
  <c r="P1204" i="1" s="1"/>
  <c r="K1203" i="1"/>
  <c r="P1203" i="1" s="1"/>
  <c r="K1202" i="1"/>
  <c r="P1202" i="1" s="1"/>
  <c r="K1201" i="1"/>
  <c r="P1201" i="1" s="1"/>
  <c r="K1200" i="1"/>
  <c r="P1200" i="1" s="1"/>
  <c r="K1199" i="1"/>
  <c r="P1199" i="1" s="1"/>
  <c r="K1198" i="1"/>
  <c r="P1198" i="1" s="1"/>
  <c r="K1197" i="1"/>
  <c r="P1197" i="1" s="1"/>
  <c r="K1196" i="1"/>
  <c r="P1196" i="1" s="1"/>
  <c r="K1195" i="1"/>
  <c r="P1195" i="1" s="1"/>
  <c r="K1194" i="1"/>
  <c r="P1194" i="1" s="1"/>
  <c r="K1193" i="1"/>
  <c r="P1193" i="1" s="1"/>
  <c r="K1192" i="1"/>
  <c r="P1192" i="1" s="1"/>
  <c r="K1191" i="1"/>
  <c r="P1191" i="1" s="1"/>
  <c r="K1190" i="1"/>
  <c r="P1190" i="1" s="1"/>
  <c r="K1189" i="1"/>
  <c r="P1189" i="1" s="1"/>
  <c r="K1188" i="1"/>
  <c r="P1188" i="1" s="1"/>
  <c r="K1187" i="1"/>
  <c r="P1187" i="1" s="1"/>
  <c r="K1186" i="1"/>
  <c r="P1186" i="1" s="1"/>
  <c r="K1185" i="1"/>
  <c r="P1185" i="1" s="1"/>
  <c r="K1184" i="1"/>
  <c r="P1184" i="1" s="1"/>
  <c r="K1183" i="1"/>
  <c r="P1183" i="1" s="1"/>
  <c r="K1182" i="1"/>
  <c r="P1182" i="1" s="1"/>
  <c r="K1181" i="1"/>
  <c r="P1181" i="1" s="1"/>
  <c r="K1180" i="1"/>
  <c r="P1180" i="1" s="1"/>
  <c r="K1179" i="1"/>
  <c r="P1179" i="1" s="1"/>
  <c r="K1178" i="1"/>
  <c r="P1178" i="1" s="1"/>
  <c r="K1177" i="1"/>
  <c r="P1177" i="1" s="1"/>
  <c r="K1176" i="1"/>
  <c r="P1176" i="1" s="1"/>
  <c r="K1175" i="1"/>
  <c r="P1175" i="1" s="1"/>
  <c r="K1174" i="1"/>
  <c r="P1174" i="1" s="1"/>
  <c r="K1173" i="1"/>
  <c r="P1173" i="1" s="1"/>
  <c r="K1172" i="1"/>
  <c r="P1172" i="1" s="1"/>
  <c r="K1171" i="1"/>
  <c r="P1171" i="1" s="1"/>
  <c r="K1170" i="1"/>
  <c r="P1170" i="1" s="1"/>
  <c r="K1169" i="1"/>
  <c r="P1169" i="1" s="1"/>
  <c r="K1168" i="1"/>
  <c r="P1168" i="1" s="1"/>
  <c r="K1167" i="1"/>
  <c r="P1167" i="1" s="1"/>
  <c r="K1166" i="1"/>
  <c r="P1166" i="1" s="1"/>
  <c r="K1165" i="1"/>
  <c r="P1165" i="1" s="1"/>
  <c r="K1164" i="1"/>
  <c r="P1164" i="1" s="1"/>
  <c r="K1163" i="1"/>
  <c r="P1163" i="1" s="1"/>
  <c r="K1162" i="1"/>
  <c r="P1162" i="1" s="1"/>
  <c r="K1161" i="1"/>
  <c r="P1161" i="1" s="1"/>
  <c r="K1160" i="1"/>
  <c r="P1160" i="1" s="1"/>
  <c r="K1159" i="1"/>
  <c r="P1159" i="1" s="1"/>
  <c r="K1158" i="1"/>
  <c r="P1158" i="1" s="1"/>
  <c r="K1157" i="1"/>
  <c r="P1157" i="1" s="1"/>
  <c r="K1156" i="1"/>
  <c r="P1156" i="1" s="1"/>
  <c r="K1155" i="1"/>
  <c r="P1155" i="1" s="1"/>
  <c r="K1154" i="1"/>
  <c r="P1154" i="1" s="1"/>
  <c r="K1153" i="1"/>
  <c r="P1153" i="1" s="1"/>
  <c r="K1152" i="1"/>
  <c r="P1152" i="1" s="1"/>
  <c r="K1151" i="1"/>
  <c r="P1151" i="1" s="1"/>
  <c r="K1150" i="1"/>
  <c r="P1150" i="1" s="1"/>
  <c r="K1149" i="1"/>
  <c r="P1149" i="1" s="1"/>
  <c r="K1148" i="1"/>
  <c r="P1148" i="1" s="1"/>
  <c r="K1147" i="1"/>
  <c r="P1147" i="1" s="1"/>
  <c r="K1146" i="1"/>
  <c r="P1146" i="1" s="1"/>
  <c r="K1145" i="1"/>
  <c r="P1145" i="1" s="1"/>
  <c r="K1144" i="1"/>
  <c r="P1144" i="1" s="1"/>
  <c r="K1143" i="1"/>
  <c r="P1143" i="1" s="1"/>
  <c r="K1142" i="1"/>
  <c r="P1142" i="1" s="1"/>
  <c r="K1141" i="1"/>
  <c r="P1141" i="1" s="1"/>
  <c r="K1140" i="1"/>
  <c r="P1140" i="1" s="1"/>
  <c r="K1139" i="1"/>
  <c r="P1139" i="1" s="1"/>
  <c r="K1138" i="1"/>
  <c r="P1138" i="1" s="1"/>
  <c r="K1137" i="1"/>
  <c r="P1137" i="1" s="1"/>
  <c r="K1136" i="1"/>
  <c r="P1136" i="1" s="1"/>
  <c r="K1135" i="1"/>
  <c r="P1135" i="1" s="1"/>
  <c r="K1134" i="1"/>
  <c r="P1134" i="1" s="1"/>
  <c r="K1133" i="1"/>
  <c r="P1133" i="1" s="1"/>
  <c r="K1132" i="1"/>
  <c r="P1132" i="1" s="1"/>
  <c r="K1131" i="1"/>
  <c r="P1131" i="1" s="1"/>
  <c r="K1130" i="1"/>
  <c r="P1130" i="1" s="1"/>
  <c r="K1129" i="1"/>
  <c r="P1129" i="1" s="1"/>
  <c r="K1128" i="1"/>
  <c r="P1128" i="1" s="1"/>
  <c r="K1127" i="1"/>
  <c r="P1127" i="1" s="1"/>
  <c r="K1126" i="1"/>
  <c r="P1126" i="1" s="1"/>
  <c r="K1125" i="1"/>
  <c r="P1125" i="1" s="1"/>
  <c r="K1124" i="1"/>
  <c r="P1124" i="1" s="1"/>
  <c r="K1123" i="1"/>
  <c r="P1123" i="1" s="1"/>
  <c r="K1122" i="1"/>
  <c r="P1122" i="1" s="1"/>
  <c r="K1121" i="1"/>
  <c r="P1121" i="1" s="1"/>
  <c r="K1120" i="1"/>
  <c r="P1120" i="1" s="1"/>
  <c r="K1119" i="1"/>
  <c r="P1119" i="1" s="1"/>
  <c r="K1118" i="1"/>
  <c r="P1118" i="1" s="1"/>
  <c r="K1117" i="1"/>
  <c r="P1117" i="1" s="1"/>
  <c r="K1116" i="1"/>
  <c r="P1116" i="1" s="1"/>
  <c r="K1115" i="1"/>
  <c r="P1115" i="1" s="1"/>
  <c r="K1114" i="1"/>
  <c r="P1114" i="1" s="1"/>
  <c r="K1113" i="1"/>
  <c r="P1113" i="1" s="1"/>
  <c r="K1112" i="1"/>
  <c r="P1112" i="1" s="1"/>
  <c r="K1111" i="1"/>
  <c r="P1111" i="1" s="1"/>
  <c r="K1110" i="1"/>
  <c r="P1110" i="1" s="1"/>
  <c r="K1109" i="1"/>
  <c r="P1109" i="1" s="1"/>
  <c r="K1108" i="1"/>
  <c r="P1108" i="1" s="1"/>
  <c r="K1107" i="1"/>
  <c r="P1107" i="1" s="1"/>
  <c r="K1106" i="1"/>
  <c r="P1106" i="1" s="1"/>
  <c r="K1105" i="1"/>
  <c r="P1105" i="1" s="1"/>
  <c r="K1104" i="1"/>
  <c r="P1104" i="1" s="1"/>
  <c r="K1103" i="1"/>
  <c r="P1103" i="1" s="1"/>
  <c r="K1102" i="1"/>
  <c r="P1102" i="1" s="1"/>
  <c r="K1101" i="1"/>
  <c r="P1101" i="1" s="1"/>
  <c r="K1100" i="1"/>
  <c r="P1100" i="1" s="1"/>
  <c r="K1099" i="1"/>
  <c r="P1099" i="1" s="1"/>
  <c r="K1098" i="1"/>
  <c r="P1098" i="1" s="1"/>
  <c r="K1097" i="1"/>
  <c r="P1097" i="1" s="1"/>
  <c r="K1096" i="1"/>
  <c r="P1096" i="1" s="1"/>
  <c r="K1095" i="1"/>
  <c r="P1095" i="1" s="1"/>
  <c r="K1094" i="1"/>
  <c r="P1094" i="1" s="1"/>
  <c r="K1093" i="1"/>
  <c r="P1093" i="1" s="1"/>
  <c r="K1092" i="1"/>
  <c r="P1092" i="1" s="1"/>
  <c r="K1091" i="1"/>
  <c r="P1091" i="1" s="1"/>
  <c r="K1090" i="1"/>
  <c r="P1090" i="1" s="1"/>
  <c r="K1089" i="1"/>
  <c r="P1089" i="1" s="1"/>
  <c r="K1088" i="1"/>
  <c r="P1088" i="1" s="1"/>
  <c r="K1087" i="1"/>
  <c r="P1087" i="1" s="1"/>
  <c r="K1086" i="1"/>
  <c r="P1086" i="1" s="1"/>
  <c r="K1085" i="1"/>
  <c r="P1085" i="1" s="1"/>
  <c r="K1084" i="1"/>
  <c r="P1084" i="1" s="1"/>
  <c r="K1083" i="1"/>
  <c r="P1083" i="1" s="1"/>
  <c r="K1082" i="1"/>
  <c r="P1082" i="1" s="1"/>
  <c r="K1081" i="1"/>
  <c r="P1081" i="1" s="1"/>
  <c r="K1080" i="1"/>
  <c r="P1080" i="1" s="1"/>
  <c r="K1079" i="1"/>
  <c r="P1079" i="1" s="1"/>
  <c r="K1078" i="1"/>
  <c r="P1078" i="1" s="1"/>
  <c r="K1077" i="1"/>
  <c r="P1077" i="1" s="1"/>
  <c r="K1076" i="1"/>
  <c r="P1076" i="1" s="1"/>
  <c r="K1075" i="1"/>
  <c r="P1075" i="1" s="1"/>
  <c r="K1074" i="1"/>
  <c r="P1074" i="1" s="1"/>
  <c r="K1073" i="1"/>
  <c r="P1073" i="1" s="1"/>
  <c r="K1072" i="1"/>
  <c r="P1072" i="1" s="1"/>
  <c r="K1071" i="1"/>
  <c r="P1071" i="1" s="1"/>
  <c r="K1070" i="1"/>
  <c r="P1070" i="1" s="1"/>
  <c r="K1069" i="1"/>
  <c r="P1069" i="1" s="1"/>
  <c r="K1068" i="1"/>
  <c r="P1068" i="1" s="1"/>
  <c r="K1067" i="1"/>
  <c r="P1067" i="1" s="1"/>
  <c r="K1066" i="1"/>
  <c r="P1066" i="1" s="1"/>
  <c r="K1065" i="1"/>
  <c r="P1065" i="1" s="1"/>
  <c r="K1064" i="1"/>
  <c r="P1064" i="1" s="1"/>
  <c r="K1063" i="1"/>
  <c r="P1063" i="1" s="1"/>
  <c r="K1062" i="1"/>
  <c r="P1062" i="1" s="1"/>
  <c r="K1061" i="1"/>
  <c r="P1061" i="1" s="1"/>
  <c r="K1060" i="1"/>
  <c r="P1060" i="1" s="1"/>
  <c r="K1059" i="1"/>
  <c r="P1059" i="1" s="1"/>
  <c r="K1058" i="1"/>
  <c r="P1058" i="1" s="1"/>
  <c r="K1057" i="1"/>
  <c r="P1057" i="1" s="1"/>
  <c r="K1056" i="1"/>
  <c r="P1056" i="1" s="1"/>
  <c r="K1055" i="1"/>
  <c r="P1055" i="1" s="1"/>
  <c r="K1054" i="1"/>
  <c r="P1054" i="1" s="1"/>
  <c r="K1053" i="1"/>
  <c r="P1053" i="1" s="1"/>
  <c r="K1052" i="1"/>
  <c r="P1052" i="1" s="1"/>
  <c r="K1051" i="1"/>
  <c r="P1051" i="1" s="1"/>
  <c r="K1050" i="1"/>
  <c r="P1050" i="1" s="1"/>
  <c r="K1049" i="1"/>
  <c r="P1049" i="1" s="1"/>
  <c r="K1048" i="1"/>
  <c r="P1048" i="1" s="1"/>
  <c r="K1047" i="1"/>
  <c r="P1047" i="1" s="1"/>
  <c r="K1046" i="1"/>
  <c r="P1046" i="1" s="1"/>
  <c r="K1045" i="1"/>
  <c r="P1045" i="1" s="1"/>
  <c r="K1044" i="1"/>
  <c r="P1044" i="1" s="1"/>
  <c r="K1043" i="1"/>
  <c r="P1043" i="1" s="1"/>
  <c r="K1042" i="1"/>
  <c r="P1042" i="1" s="1"/>
  <c r="K1041" i="1"/>
  <c r="P1041" i="1" s="1"/>
  <c r="K1040" i="1"/>
  <c r="P1040" i="1" s="1"/>
  <c r="K1039" i="1"/>
  <c r="P1039" i="1" s="1"/>
  <c r="K1038" i="1"/>
  <c r="P1038" i="1" s="1"/>
  <c r="K1037" i="1"/>
  <c r="P1037" i="1" s="1"/>
  <c r="K1036" i="1"/>
  <c r="P1036" i="1" s="1"/>
  <c r="K1035" i="1"/>
  <c r="P1035" i="1" s="1"/>
  <c r="K1034" i="1"/>
  <c r="P1034" i="1" s="1"/>
  <c r="K1033" i="1"/>
  <c r="P1033" i="1" s="1"/>
  <c r="K1032" i="1"/>
  <c r="P1032" i="1" s="1"/>
  <c r="K1031" i="1"/>
  <c r="P1031" i="1" s="1"/>
  <c r="K1030" i="1"/>
  <c r="P1030" i="1" s="1"/>
  <c r="K1029" i="1"/>
  <c r="P1029" i="1" s="1"/>
  <c r="K1028" i="1"/>
  <c r="P1028" i="1" s="1"/>
  <c r="K1027" i="1"/>
  <c r="P1027" i="1" s="1"/>
  <c r="K1026" i="1"/>
  <c r="P1026" i="1" s="1"/>
  <c r="K1025" i="1"/>
  <c r="P1025" i="1" s="1"/>
  <c r="K1024" i="1"/>
  <c r="P1024" i="1" s="1"/>
  <c r="K1023" i="1"/>
  <c r="P1023" i="1" s="1"/>
  <c r="K1022" i="1"/>
  <c r="P1022" i="1" s="1"/>
  <c r="K1021" i="1"/>
  <c r="P1021" i="1" s="1"/>
  <c r="K1020" i="1"/>
  <c r="P1020" i="1" s="1"/>
  <c r="K1019" i="1"/>
  <c r="P1019" i="1" s="1"/>
  <c r="K1018" i="1"/>
  <c r="P1018" i="1" s="1"/>
  <c r="K1017" i="1"/>
  <c r="P1017" i="1" s="1"/>
  <c r="K1016" i="1"/>
  <c r="P1016" i="1" s="1"/>
  <c r="K1015" i="1"/>
  <c r="P1015" i="1" s="1"/>
  <c r="K1014" i="1"/>
  <c r="P1014" i="1" s="1"/>
  <c r="K1013" i="1"/>
  <c r="P1013" i="1" s="1"/>
  <c r="K1012" i="1"/>
  <c r="P1012" i="1" s="1"/>
  <c r="K1011" i="1"/>
  <c r="P1011" i="1" s="1"/>
  <c r="K1010" i="1"/>
  <c r="P1010" i="1" s="1"/>
  <c r="K1009" i="1"/>
  <c r="P1009" i="1" s="1"/>
  <c r="K1008" i="1"/>
  <c r="P1008" i="1" s="1"/>
  <c r="K1007" i="1"/>
  <c r="P1007" i="1" s="1"/>
  <c r="K1006" i="1"/>
  <c r="P1006" i="1" s="1"/>
  <c r="K1005" i="1"/>
  <c r="P1005" i="1" s="1"/>
  <c r="K1004" i="1"/>
  <c r="P1004" i="1" s="1"/>
  <c r="K1003" i="1"/>
  <c r="P1003" i="1" s="1"/>
  <c r="K1002" i="1"/>
  <c r="P1002" i="1" s="1"/>
  <c r="K1001" i="1"/>
  <c r="P1001" i="1" s="1"/>
  <c r="K1000" i="1"/>
  <c r="P1000" i="1" s="1"/>
  <c r="K999" i="1"/>
  <c r="P999" i="1" s="1"/>
  <c r="K998" i="1"/>
  <c r="P998" i="1" s="1"/>
  <c r="K997" i="1"/>
  <c r="P997" i="1" s="1"/>
  <c r="K996" i="1"/>
  <c r="P996" i="1" s="1"/>
  <c r="K995" i="1"/>
  <c r="P995" i="1" s="1"/>
  <c r="K994" i="1"/>
  <c r="P994" i="1" s="1"/>
  <c r="K993" i="1"/>
  <c r="P993" i="1" s="1"/>
  <c r="K992" i="1"/>
  <c r="P992" i="1" s="1"/>
  <c r="K991" i="1"/>
  <c r="P991" i="1" s="1"/>
  <c r="K990" i="1"/>
  <c r="P990" i="1" s="1"/>
  <c r="K989" i="1"/>
  <c r="P989" i="1" s="1"/>
  <c r="K988" i="1"/>
  <c r="P988" i="1" s="1"/>
  <c r="K987" i="1"/>
  <c r="P987" i="1" s="1"/>
  <c r="K986" i="1"/>
  <c r="P986" i="1" s="1"/>
  <c r="K985" i="1"/>
  <c r="P985" i="1" s="1"/>
  <c r="K984" i="1"/>
  <c r="P984" i="1" s="1"/>
  <c r="K983" i="1"/>
  <c r="P983" i="1" s="1"/>
  <c r="K982" i="1"/>
  <c r="P982" i="1" s="1"/>
  <c r="K981" i="1"/>
  <c r="P981" i="1" s="1"/>
  <c r="K980" i="1"/>
  <c r="P980" i="1" s="1"/>
  <c r="K979" i="1"/>
  <c r="P979" i="1" s="1"/>
  <c r="K978" i="1"/>
  <c r="P978" i="1" s="1"/>
  <c r="K977" i="1"/>
  <c r="P977" i="1" s="1"/>
  <c r="K976" i="1"/>
  <c r="P976" i="1" s="1"/>
  <c r="K975" i="1"/>
  <c r="P975" i="1" s="1"/>
  <c r="K974" i="1"/>
  <c r="P974" i="1" s="1"/>
  <c r="K973" i="1"/>
  <c r="P973" i="1" s="1"/>
  <c r="K972" i="1"/>
  <c r="P972" i="1" s="1"/>
  <c r="K971" i="1"/>
  <c r="P971" i="1" s="1"/>
  <c r="K970" i="1"/>
  <c r="P970" i="1" s="1"/>
  <c r="K969" i="1"/>
  <c r="P969" i="1" s="1"/>
  <c r="K968" i="1"/>
  <c r="P968" i="1" s="1"/>
  <c r="K967" i="1"/>
  <c r="P967" i="1" s="1"/>
  <c r="K966" i="1"/>
  <c r="P966" i="1" s="1"/>
  <c r="K965" i="1"/>
  <c r="P965" i="1" s="1"/>
  <c r="K964" i="1"/>
  <c r="P964" i="1" s="1"/>
  <c r="K963" i="1"/>
  <c r="P963" i="1" s="1"/>
  <c r="K962" i="1"/>
  <c r="P962" i="1" s="1"/>
  <c r="K961" i="1"/>
  <c r="P961" i="1" s="1"/>
  <c r="K960" i="1"/>
  <c r="P960" i="1" s="1"/>
  <c r="K959" i="1"/>
  <c r="P959" i="1" s="1"/>
  <c r="K958" i="1"/>
  <c r="P958" i="1" s="1"/>
  <c r="K957" i="1"/>
  <c r="P957" i="1" s="1"/>
  <c r="K956" i="1"/>
  <c r="P956" i="1" s="1"/>
  <c r="K955" i="1"/>
  <c r="P955" i="1" s="1"/>
  <c r="K954" i="1"/>
  <c r="P954" i="1" s="1"/>
  <c r="K953" i="1"/>
  <c r="P953" i="1" s="1"/>
  <c r="K952" i="1"/>
  <c r="P952" i="1" s="1"/>
  <c r="K951" i="1"/>
  <c r="P951" i="1" s="1"/>
  <c r="K950" i="1"/>
  <c r="P950" i="1" s="1"/>
  <c r="K949" i="1"/>
  <c r="P949" i="1" s="1"/>
  <c r="K948" i="1"/>
  <c r="P948" i="1" s="1"/>
  <c r="K947" i="1"/>
  <c r="P947" i="1" s="1"/>
  <c r="K946" i="1"/>
  <c r="P946" i="1" s="1"/>
  <c r="K945" i="1"/>
  <c r="P945" i="1" s="1"/>
  <c r="K944" i="1"/>
  <c r="P944" i="1" s="1"/>
  <c r="K943" i="1"/>
  <c r="P943" i="1" s="1"/>
  <c r="K942" i="1"/>
  <c r="P942" i="1" s="1"/>
  <c r="K941" i="1"/>
  <c r="P941" i="1" s="1"/>
  <c r="K940" i="1"/>
  <c r="P940" i="1" s="1"/>
  <c r="K939" i="1"/>
  <c r="P939" i="1" s="1"/>
  <c r="K938" i="1"/>
  <c r="P938" i="1" s="1"/>
  <c r="K937" i="1"/>
  <c r="P937" i="1" s="1"/>
  <c r="K936" i="1"/>
  <c r="P936" i="1" s="1"/>
  <c r="K935" i="1"/>
  <c r="P935" i="1" s="1"/>
  <c r="K934" i="1"/>
  <c r="P934" i="1" s="1"/>
  <c r="K933" i="1"/>
  <c r="P933" i="1" s="1"/>
  <c r="K932" i="1"/>
  <c r="P932" i="1" s="1"/>
  <c r="K931" i="1"/>
  <c r="P931" i="1" s="1"/>
  <c r="K930" i="1"/>
  <c r="P930" i="1" s="1"/>
  <c r="K929" i="1"/>
  <c r="P929" i="1" s="1"/>
  <c r="K928" i="1"/>
  <c r="P928" i="1" s="1"/>
  <c r="K927" i="1"/>
  <c r="P927" i="1" s="1"/>
  <c r="K926" i="1"/>
  <c r="P926" i="1" s="1"/>
  <c r="K925" i="1"/>
  <c r="P925" i="1" s="1"/>
  <c r="K924" i="1"/>
  <c r="P924" i="1" s="1"/>
  <c r="K923" i="1"/>
  <c r="P923" i="1" s="1"/>
  <c r="K922" i="1"/>
  <c r="P922" i="1" s="1"/>
  <c r="K921" i="1"/>
  <c r="P921" i="1" s="1"/>
  <c r="K920" i="1"/>
  <c r="P920" i="1" s="1"/>
  <c r="K919" i="1"/>
  <c r="P919" i="1" s="1"/>
  <c r="K918" i="1"/>
  <c r="P918" i="1" s="1"/>
  <c r="K917" i="1"/>
  <c r="P917" i="1" s="1"/>
  <c r="K916" i="1"/>
  <c r="P916" i="1" s="1"/>
  <c r="K915" i="1"/>
  <c r="P915" i="1" s="1"/>
  <c r="K914" i="1"/>
  <c r="P914" i="1" s="1"/>
  <c r="K913" i="1"/>
  <c r="P913" i="1" s="1"/>
  <c r="K912" i="1"/>
  <c r="P912" i="1" s="1"/>
  <c r="K911" i="1"/>
  <c r="P911" i="1" s="1"/>
  <c r="K910" i="1"/>
  <c r="P910" i="1" s="1"/>
  <c r="K909" i="1"/>
  <c r="P909" i="1" s="1"/>
  <c r="K908" i="1"/>
  <c r="P908" i="1" s="1"/>
  <c r="K907" i="1"/>
  <c r="P907" i="1" s="1"/>
  <c r="K906" i="1"/>
  <c r="P906" i="1" s="1"/>
  <c r="K905" i="1"/>
  <c r="P905" i="1" s="1"/>
  <c r="K904" i="1"/>
  <c r="P904" i="1" s="1"/>
  <c r="K903" i="1"/>
  <c r="P903" i="1" s="1"/>
  <c r="K902" i="1"/>
  <c r="P902" i="1" s="1"/>
  <c r="K901" i="1"/>
  <c r="P901" i="1" s="1"/>
  <c r="K900" i="1"/>
  <c r="P900" i="1" s="1"/>
  <c r="K899" i="1"/>
  <c r="P899" i="1" s="1"/>
  <c r="K898" i="1"/>
  <c r="P898" i="1" s="1"/>
  <c r="K897" i="1"/>
  <c r="P897" i="1" s="1"/>
  <c r="K896" i="1"/>
  <c r="P896" i="1" s="1"/>
  <c r="K895" i="1"/>
  <c r="P895" i="1" s="1"/>
  <c r="K894" i="1"/>
  <c r="P894" i="1" s="1"/>
  <c r="K893" i="1"/>
  <c r="P893" i="1" s="1"/>
  <c r="K892" i="1"/>
  <c r="P892" i="1" s="1"/>
  <c r="K891" i="1"/>
  <c r="P891" i="1" s="1"/>
  <c r="K890" i="1"/>
  <c r="P890" i="1" s="1"/>
  <c r="K889" i="1"/>
  <c r="P889" i="1" s="1"/>
  <c r="K888" i="1"/>
  <c r="P888" i="1" s="1"/>
  <c r="K887" i="1"/>
  <c r="P887" i="1" s="1"/>
  <c r="K886" i="1"/>
  <c r="P886" i="1" s="1"/>
  <c r="K885" i="1"/>
  <c r="P885" i="1" s="1"/>
  <c r="K884" i="1"/>
  <c r="P884" i="1" s="1"/>
  <c r="K883" i="1"/>
  <c r="P883" i="1" s="1"/>
  <c r="K882" i="1"/>
  <c r="P882" i="1" s="1"/>
  <c r="K881" i="1"/>
  <c r="P881" i="1" s="1"/>
  <c r="K880" i="1"/>
  <c r="P880" i="1" s="1"/>
  <c r="K879" i="1"/>
  <c r="P879" i="1" s="1"/>
  <c r="K878" i="1"/>
  <c r="P878" i="1" s="1"/>
  <c r="K877" i="1"/>
  <c r="P877" i="1" s="1"/>
  <c r="K876" i="1"/>
  <c r="P876" i="1" s="1"/>
  <c r="K875" i="1"/>
  <c r="P875" i="1" s="1"/>
  <c r="K874" i="1"/>
  <c r="P874" i="1" s="1"/>
  <c r="K873" i="1"/>
  <c r="P873" i="1" s="1"/>
  <c r="K872" i="1"/>
  <c r="P872" i="1" s="1"/>
  <c r="K871" i="1"/>
  <c r="P871" i="1" s="1"/>
  <c r="K870" i="1"/>
  <c r="P870" i="1" s="1"/>
  <c r="K869" i="1"/>
  <c r="P869" i="1" s="1"/>
  <c r="K868" i="1"/>
  <c r="P868" i="1" s="1"/>
  <c r="K867" i="1"/>
  <c r="P867" i="1" s="1"/>
  <c r="K866" i="1"/>
  <c r="P866" i="1" s="1"/>
  <c r="K865" i="1"/>
  <c r="P865" i="1" s="1"/>
  <c r="K864" i="1"/>
  <c r="P864" i="1" s="1"/>
  <c r="K863" i="1"/>
  <c r="P863" i="1" s="1"/>
  <c r="K862" i="1"/>
  <c r="P862" i="1" s="1"/>
  <c r="K861" i="1"/>
  <c r="P861" i="1" s="1"/>
  <c r="K860" i="1"/>
  <c r="P860" i="1" s="1"/>
  <c r="K859" i="1"/>
  <c r="P859" i="1" s="1"/>
  <c r="K858" i="1"/>
  <c r="P858" i="1" s="1"/>
  <c r="K857" i="1"/>
  <c r="P857" i="1" s="1"/>
  <c r="K856" i="1"/>
  <c r="P856" i="1" s="1"/>
  <c r="K855" i="1"/>
  <c r="P855" i="1" s="1"/>
  <c r="K854" i="1"/>
  <c r="P854" i="1" s="1"/>
  <c r="K853" i="1"/>
  <c r="P853" i="1" s="1"/>
  <c r="K852" i="1"/>
  <c r="P852" i="1" s="1"/>
  <c r="K851" i="1"/>
  <c r="P851" i="1" s="1"/>
  <c r="K850" i="1"/>
  <c r="P850" i="1" s="1"/>
  <c r="K849" i="1"/>
  <c r="P849" i="1" s="1"/>
  <c r="K848" i="1"/>
  <c r="P848" i="1" s="1"/>
  <c r="K847" i="1"/>
  <c r="P847" i="1" s="1"/>
  <c r="K846" i="1"/>
  <c r="P846" i="1" s="1"/>
  <c r="K845" i="1"/>
  <c r="P845" i="1" s="1"/>
  <c r="K844" i="1"/>
  <c r="P844" i="1" s="1"/>
  <c r="K843" i="1"/>
  <c r="P843" i="1" s="1"/>
  <c r="K842" i="1"/>
  <c r="P842" i="1" s="1"/>
  <c r="K841" i="1"/>
  <c r="P841" i="1" s="1"/>
  <c r="K840" i="1"/>
  <c r="P840" i="1" s="1"/>
  <c r="K839" i="1"/>
  <c r="P839" i="1" s="1"/>
  <c r="K838" i="1"/>
  <c r="P838" i="1" s="1"/>
  <c r="K837" i="1"/>
  <c r="P837" i="1" s="1"/>
  <c r="K836" i="1"/>
  <c r="P836" i="1" s="1"/>
  <c r="K835" i="1"/>
  <c r="P835" i="1" s="1"/>
  <c r="K834" i="1"/>
  <c r="P834" i="1" s="1"/>
  <c r="K833" i="1"/>
  <c r="P833" i="1" s="1"/>
  <c r="K832" i="1"/>
  <c r="P832" i="1" s="1"/>
  <c r="K831" i="1"/>
  <c r="P831" i="1" s="1"/>
  <c r="K830" i="1"/>
  <c r="P830" i="1" s="1"/>
  <c r="K829" i="1"/>
  <c r="P829" i="1" s="1"/>
  <c r="K828" i="1"/>
  <c r="P828" i="1" s="1"/>
  <c r="K827" i="1"/>
  <c r="P827" i="1" s="1"/>
  <c r="K826" i="1"/>
  <c r="P826" i="1" s="1"/>
  <c r="K825" i="1"/>
  <c r="P825" i="1" s="1"/>
  <c r="K824" i="1"/>
  <c r="P824" i="1" s="1"/>
  <c r="K823" i="1"/>
  <c r="P823" i="1" s="1"/>
  <c r="K822" i="1"/>
  <c r="P822" i="1" s="1"/>
  <c r="K821" i="1"/>
  <c r="P821" i="1" s="1"/>
  <c r="K820" i="1"/>
  <c r="P820" i="1" s="1"/>
  <c r="K819" i="1"/>
  <c r="P819" i="1" s="1"/>
  <c r="K818" i="1"/>
  <c r="P818" i="1" s="1"/>
  <c r="K817" i="1"/>
  <c r="P817" i="1" s="1"/>
  <c r="K816" i="1"/>
  <c r="P816" i="1" s="1"/>
  <c r="K815" i="1"/>
  <c r="P815" i="1" s="1"/>
  <c r="K814" i="1"/>
  <c r="P814" i="1" s="1"/>
  <c r="K813" i="1"/>
  <c r="P813" i="1" s="1"/>
  <c r="K812" i="1"/>
  <c r="P812" i="1" s="1"/>
  <c r="K811" i="1"/>
  <c r="P811" i="1" s="1"/>
  <c r="K810" i="1"/>
  <c r="P810" i="1" s="1"/>
  <c r="K809" i="1"/>
  <c r="P809" i="1" s="1"/>
  <c r="K808" i="1"/>
  <c r="P808" i="1" s="1"/>
  <c r="K807" i="1"/>
  <c r="P807" i="1" s="1"/>
  <c r="K806" i="1"/>
  <c r="P806" i="1" s="1"/>
  <c r="K805" i="1"/>
  <c r="P805" i="1" s="1"/>
  <c r="K804" i="1"/>
  <c r="P804" i="1" s="1"/>
  <c r="K803" i="1"/>
  <c r="P803" i="1" s="1"/>
  <c r="K802" i="1"/>
  <c r="P802" i="1" s="1"/>
  <c r="K801" i="1"/>
  <c r="P801" i="1" s="1"/>
  <c r="K800" i="1"/>
  <c r="P800" i="1" s="1"/>
  <c r="K799" i="1"/>
  <c r="P799" i="1" s="1"/>
  <c r="K798" i="1"/>
  <c r="P798" i="1" s="1"/>
  <c r="K797" i="1"/>
  <c r="P797" i="1" s="1"/>
  <c r="K796" i="1"/>
  <c r="P796" i="1" s="1"/>
  <c r="K795" i="1"/>
  <c r="P795" i="1" s="1"/>
  <c r="K794" i="1"/>
  <c r="P794" i="1" s="1"/>
  <c r="K793" i="1"/>
  <c r="P793" i="1" s="1"/>
  <c r="K792" i="1"/>
  <c r="P792" i="1" s="1"/>
  <c r="K791" i="1"/>
  <c r="P791" i="1" s="1"/>
  <c r="K790" i="1"/>
  <c r="P790" i="1" s="1"/>
  <c r="K789" i="1"/>
  <c r="P789" i="1" s="1"/>
  <c r="K788" i="1"/>
  <c r="P788" i="1" s="1"/>
  <c r="K787" i="1"/>
  <c r="P787" i="1" s="1"/>
  <c r="K786" i="1"/>
  <c r="P786" i="1" s="1"/>
  <c r="K785" i="1"/>
  <c r="P785" i="1" s="1"/>
  <c r="K784" i="1"/>
  <c r="P784" i="1" s="1"/>
  <c r="K783" i="1"/>
  <c r="P783" i="1" s="1"/>
  <c r="K782" i="1"/>
  <c r="P782" i="1" s="1"/>
  <c r="K781" i="1"/>
  <c r="P781" i="1" s="1"/>
  <c r="K780" i="1"/>
  <c r="P780" i="1" s="1"/>
  <c r="K779" i="1"/>
  <c r="P779" i="1" s="1"/>
  <c r="K778" i="1"/>
  <c r="P778" i="1" s="1"/>
  <c r="K777" i="1"/>
  <c r="P777" i="1" s="1"/>
  <c r="K776" i="1"/>
  <c r="P776" i="1" s="1"/>
  <c r="K775" i="1"/>
  <c r="P775" i="1" s="1"/>
  <c r="K774" i="1"/>
  <c r="P774" i="1" s="1"/>
  <c r="K773" i="1"/>
  <c r="P773" i="1" s="1"/>
  <c r="K772" i="1"/>
  <c r="P772" i="1" s="1"/>
  <c r="K771" i="1"/>
  <c r="P771" i="1" s="1"/>
  <c r="K770" i="1"/>
  <c r="P770" i="1" s="1"/>
  <c r="K769" i="1"/>
  <c r="P769" i="1" s="1"/>
  <c r="K768" i="1"/>
  <c r="P768" i="1" s="1"/>
  <c r="K767" i="1"/>
  <c r="P767" i="1" s="1"/>
  <c r="K766" i="1"/>
  <c r="P766" i="1" s="1"/>
  <c r="K765" i="1"/>
  <c r="P765" i="1" s="1"/>
  <c r="K764" i="1"/>
  <c r="P764" i="1" s="1"/>
  <c r="K763" i="1"/>
  <c r="P763" i="1" s="1"/>
  <c r="K762" i="1"/>
  <c r="P762" i="1" s="1"/>
  <c r="K761" i="1"/>
  <c r="P761" i="1" s="1"/>
  <c r="K760" i="1"/>
  <c r="P760" i="1" s="1"/>
  <c r="K759" i="1"/>
  <c r="P759" i="1" s="1"/>
  <c r="K758" i="1"/>
  <c r="P758" i="1" s="1"/>
  <c r="K757" i="1"/>
  <c r="P757" i="1" s="1"/>
  <c r="K756" i="1"/>
  <c r="P756" i="1" s="1"/>
  <c r="K755" i="1"/>
  <c r="P755" i="1" s="1"/>
  <c r="K754" i="1"/>
  <c r="P754" i="1" s="1"/>
  <c r="K753" i="1"/>
  <c r="P753" i="1" s="1"/>
  <c r="K752" i="1"/>
  <c r="P752" i="1" s="1"/>
  <c r="K751" i="1"/>
  <c r="P751" i="1" s="1"/>
  <c r="K750" i="1"/>
  <c r="P750" i="1" s="1"/>
  <c r="K749" i="1"/>
  <c r="P749" i="1" s="1"/>
  <c r="K748" i="1"/>
  <c r="P748" i="1" s="1"/>
  <c r="K747" i="1"/>
  <c r="P747" i="1" s="1"/>
  <c r="K746" i="1"/>
  <c r="P746" i="1" s="1"/>
  <c r="K745" i="1"/>
  <c r="P745" i="1" s="1"/>
  <c r="K744" i="1"/>
  <c r="P744" i="1" s="1"/>
  <c r="K743" i="1"/>
  <c r="P743" i="1" s="1"/>
  <c r="K742" i="1"/>
  <c r="P742" i="1" s="1"/>
  <c r="K741" i="1"/>
  <c r="P741" i="1" s="1"/>
  <c r="K740" i="1"/>
  <c r="P740" i="1" s="1"/>
  <c r="K739" i="1"/>
  <c r="P739" i="1" s="1"/>
  <c r="K738" i="1"/>
  <c r="P738" i="1" s="1"/>
  <c r="K737" i="1"/>
  <c r="P737" i="1" s="1"/>
  <c r="K736" i="1"/>
  <c r="P736" i="1" s="1"/>
  <c r="K735" i="1"/>
  <c r="P735" i="1" s="1"/>
  <c r="K734" i="1"/>
  <c r="P734" i="1" s="1"/>
  <c r="K733" i="1"/>
  <c r="P733" i="1" s="1"/>
  <c r="K732" i="1"/>
  <c r="P732" i="1" s="1"/>
  <c r="K731" i="1"/>
  <c r="P731" i="1" s="1"/>
  <c r="K730" i="1"/>
  <c r="P730" i="1" s="1"/>
  <c r="K729" i="1"/>
  <c r="P729" i="1" s="1"/>
  <c r="K728" i="1"/>
  <c r="P728" i="1" s="1"/>
  <c r="K727" i="1"/>
  <c r="P727" i="1" s="1"/>
  <c r="K726" i="1"/>
  <c r="P726" i="1" s="1"/>
  <c r="K725" i="1"/>
  <c r="P725" i="1" s="1"/>
  <c r="K724" i="1"/>
  <c r="P724" i="1" s="1"/>
  <c r="K723" i="1"/>
  <c r="P723" i="1" s="1"/>
  <c r="K722" i="1"/>
  <c r="P722" i="1" s="1"/>
  <c r="K721" i="1"/>
  <c r="P721" i="1" s="1"/>
  <c r="K720" i="1"/>
  <c r="P720" i="1" s="1"/>
  <c r="K719" i="1"/>
  <c r="P719" i="1" s="1"/>
  <c r="K718" i="1"/>
  <c r="P718" i="1" s="1"/>
  <c r="K717" i="1"/>
  <c r="P717" i="1" s="1"/>
  <c r="K716" i="1"/>
  <c r="P716" i="1" s="1"/>
  <c r="K715" i="1"/>
  <c r="P715" i="1" s="1"/>
  <c r="K714" i="1"/>
  <c r="P714" i="1" s="1"/>
  <c r="K713" i="1"/>
  <c r="P713" i="1" s="1"/>
  <c r="K712" i="1"/>
  <c r="P712" i="1" s="1"/>
  <c r="K711" i="1"/>
  <c r="P711" i="1" s="1"/>
  <c r="K710" i="1"/>
  <c r="P710" i="1" s="1"/>
  <c r="K709" i="1"/>
  <c r="P709" i="1" s="1"/>
  <c r="K708" i="1"/>
  <c r="P708" i="1" s="1"/>
  <c r="K707" i="1"/>
  <c r="P707" i="1" s="1"/>
  <c r="K706" i="1"/>
  <c r="P706" i="1" s="1"/>
  <c r="K705" i="1"/>
  <c r="P705" i="1" s="1"/>
  <c r="K704" i="1"/>
  <c r="P704" i="1" s="1"/>
  <c r="K703" i="1"/>
  <c r="P703" i="1" s="1"/>
  <c r="K702" i="1"/>
  <c r="P702" i="1" s="1"/>
  <c r="K701" i="1"/>
  <c r="P701" i="1" s="1"/>
  <c r="K700" i="1"/>
  <c r="P700" i="1" s="1"/>
  <c r="K699" i="1"/>
  <c r="P699" i="1" s="1"/>
  <c r="K698" i="1"/>
  <c r="P698" i="1" s="1"/>
  <c r="K697" i="1"/>
  <c r="P697" i="1" s="1"/>
  <c r="K696" i="1"/>
  <c r="P696" i="1" s="1"/>
  <c r="K695" i="1"/>
  <c r="P695" i="1" s="1"/>
  <c r="K694" i="1"/>
  <c r="P694" i="1" s="1"/>
  <c r="K693" i="1"/>
  <c r="P693" i="1" s="1"/>
  <c r="K692" i="1"/>
  <c r="P692" i="1" s="1"/>
  <c r="K691" i="1"/>
  <c r="P691" i="1" s="1"/>
  <c r="K690" i="1"/>
  <c r="P690" i="1" s="1"/>
  <c r="K689" i="1"/>
  <c r="P689" i="1" s="1"/>
  <c r="K688" i="1"/>
  <c r="P688" i="1" s="1"/>
  <c r="K687" i="1"/>
  <c r="P687" i="1" s="1"/>
  <c r="K686" i="1"/>
  <c r="P686" i="1" s="1"/>
  <c r="K685" i="1"/>
  <c r="P685" i="1" s="1"/>
  <c r="K684" i="1"/>
  <c r="P684" i="1" s="1"/>
  <c r="K683" i="1"/>
  <c r="P683" i="1" s="1"/>
  <c r="K682" i="1"/>
  <c r="P682" i="1" s="1"/>
  <c r="K681" i="1"/>
  <c r="P681" i="1" s="1"/>
  <c r="K680" i="1"/>
  <c r="P680" i="1" s="1"/>
  <c r="K679" i="1"/>
  <c r="P679" i="1" s="1"/>
  <c r="K678" i="1"/>
  <c r="P678" i="1" s="1"/>
  <c r="K677" i="1"/>
  <c r="P677" i="1" s="1"/>
  <c r="K676" i="1"/>
  <c r="P676" i="1" s="1"/>
  <c r="K675" i="1"/>
  <c r="P675" i="1" s="1"/>
  <c r="K674" i="1"/>
  <c r="P674" i="1" s="1"/>
  <c r="K673" i="1"/>
  <c r="P673" i="1" s="1"/>
  <c r="K672" i="1"/>
  <c r="P672" i="1" s="1"/>
  <c r="K671" i="1"/>
  <c r="P671" i="1" s="1"/>
  <c r="K670" i="1"/>
  <c r="P670" i="1" s="1"/>
  <c r="K669" i="1"/>
  <c r="P669" i="1" s="1"/>
  <c r="K668" i="1"/>
  <c r="P668" i="1" s="1"/>
  <c r="K667" i="1"/>
  <c r="P667" i="1" s="1"/>
  <c r="K666" i="1"/>
  <c r="P666" i="1" s="1"/>
  <c r="K665" i="1"/>
  <c r="P665" i="1" s="1"/>
  <c r="K664" i="1"/>
  <c r="P664" i="1" s="1"/>
  <c r="K663" i="1"/>
  <c r="P663" i="1" s="1"/>
  <c r="K662" i="1"/>
  <c r="P662" i="1" s="1"/>
  <c r="K661" i="1"/>
  <c r="P661" i="1" s="1"/>
  <c r="K660" i="1"/>
  <c r="P660" i="1" s="1"/>
  <c r="K659" i="1"/>
  <c r="P659" i="1" s="1"/>
  <c r="K658" i="1"/>
  <c r="P658" i="1" s="1"/>
  <c r="K657" i="1"/>
  <c r="P657" i="1" s="1"/>
  <c r="K656" i="1"/>
  <c r="P656" i="1" s="1"/>
  <c r="K655" i="1"/>
  <c r="P655" i="1" s="1"/>
  <c r="K654" i="1"/>
  <c r="P654" i="1" s="1"/>
  <c r="K653" i="1"/>
  <c r="P653" i="1" s="1"/>
  <c r="K652" i="1"/>
  <c r="P652" i="1" s="1"/>
  <c r="K651" i="1"/>
  <c r="P651" i="1" s="1"/>
  <c r="K650" i="1"/>
  <c r="P650" i="1" s="1"/>
  <c r="K649" i="1"/>
  <c r="P649" i="1" s="1"/>
  <c r="K648" i="1"/>
  <c r="P648" i="1" s="1"/>
  <c r="K647" i="1"/>
  <c r="P647" i="1" s="1"/>
  <c r="K646" i="1"/>
  <c r="P646" i="1" s="1"/>
  <c r="K645" i="1"/>
  <c r="P645" i="1" s="1"/>
  <c r="K644" i="1"/>
  <c r="P644" i="1" s="1"/>
  <c r="K643" i="1"/>
  <c r="P643" i="1" s="1"/>
  <c r="K642" i="1"/>
  <c r="P642" i="1" s="1"/>
  <c r="K641" i="1"/>
  <c r="P641" i="1" s="1"/>
  <c r="K640" i="1"/>
  <c r="P640" i="1" s="1"/>
  <c r="K639" i="1"/>
  <c r="P639" i="1" s="1"/>
  <c r="K638" i="1"/>
  <c r="P638" i="1" s="1"/>
  <c r="K637" i="1"/>
  <c r="P637" i="1" s="1"/>
  <c r="K636" i="1"/>
  <c r="P636" i="1" s="1"/>
  <c r="K635" i="1"/>
  <c r="P635" i="1" s="1"/>
  <c r="K634" i="1"/>
  <c r="P634" i="1" s="1"/>
  <c r="K633" i="1"/>
  <c r="P633" i="1" s="1"/>
  <c r="K632" i="1"/>
  <c r="P632" i="1" s="1"/>
  <c r="K631" i="1"/>
  <c r="P631" i="1" s="1"/>
  <c r="K630" i="1"/>
  <c r="P630" i="1" s="1"/>
  <c r="K629" i="1"/>
  <c r="P629" i="1" s="1"/>
  <c r="K628" i="1"/>
  <c r="P628" i="1" s="1"/>
  <c r="K627" i="1"/>
  <c r="P627" i="1" s="1"/>
  <c r="K626" i="1"/>
  <c r="P626" i="1" s="1"/>
  <c r="K625" i="1"/>
  <c r="P625" i="1" s="1"/>
  <c r="K624" i="1"/>
  <c r="P624" i="1" s="1"/>
  <c r="K623" i="1"/>
  <c r="P623" i="1" s="1"/>
  <c r="K622" i="1"/>
  <c r="P622" i="1" s="1"/>
  <c r="K621" i="1"/>
  <c r="P621" i="1" s="1"/>
  <c r="K620" i="1"/>
  <c r="P620" i="1" s="1"/>
  <c r="K619" i="1"/>
  <c r="P619" i="1" s="1"/>
  <c r="K618" i="1"/>
  <c r="P618" i="1" s="1"/>
  <c r="K617" i="1"/>
  <c r="P617" i="1" s="1"/>
  <c r="K616" i="1"/>
  <c r="P616" i="1" s="1"/>
  <c r="K615" i="1"/>
  <c r="P615" i="1" s="1"/>
  <c r="K614" i="1"/>
  <c r="P614" i="1" s="1"/>
  <c r="K613" i="1"/>
  <c r="P613" i="1" s="1"/>
  <c r="K612" i="1"/>
  <c r="P612" i="1" s="1"/>
  <c r="K611" i="1"/>
  <c r="P611" i="1" s="1"/>
  <c r="K610" i="1"/>
  <c r="P610" i="1" s="1"/>
  <c r="K609" i="1"/>
  <c r="P609" i="1" s="1"/>
  <c r="K608" i="1"/>
  <c r="P608" i="1" s="1"/>
  <c r="K607" i="1"/>
  <c r="P607" i="1" s="1"/>
  <c r="K606" i="1"/>
  <c r="P606" i="1" s="1"/>
  <c r="K605" i="1"/>
  <c r="P605" i="1" s="1"/>
  <c r="K604" i="1"/>
  <c r="P604" i="1" s="1"/>
  <c r="K603" i="1"/>
  <c r="P603" i="1" s="1"/>
  <c r="K602" i="1"/>
  <c r="P602" i="1" s="1"/>
  <c r="K601" i="1"/>
  <c r="P601" i="1" s="1"/>
  <c r="K600" i="1"/>
  <c r="P600" i="1" s="1"/>
  <c r="K599" i="1"/>
  <c r="P599" i="1" s="1"/>
  <c r="K598" i="1"/>
  <c r="P598" i="1" s="1"/>
  <c r="K597" i="1"/>
  <c r="P597" i="1" s="1"/>
  <c r="K596" i="1"/>
  <c r="P596" i="1" s="1"/>
  <c r="K595" i="1"/>
  <c r="P595" i="1" s="1"/>
  <c r="K594" i="1"/>
  <c r="P594" i="1" s="1"/>
  <c r="K593" i="1"/>
  <c r="P593" i="1" s="1"/>
  <c r="K592" i="1"/>
  <c r="P592" i="1" s="1"/>
  <c r="K591" i="1"/>
  <c r="P591" i="1" s="1"/>
  <c r="K590" i="1"/>
  <c r="P590" i="1" s="1"/>
  <c r="K589" i="1"/>
  <c r="P589" i="1" s="1"/>
  <c r="K588" i="1"/>
  <c r="P588" i="1" s="1"/>
  <c r="K587" i="1"/>
  <c r="P587" i="1" s="1"/>
  <c r="K586" i="1"/>
  <c r="P586" i="1" s="1"/>
  <c r="K585" i="1"/>
  <c r="P585" i="1" s="1"/>
  <c r="K584" i="1"/>
  <c r="P584" i="1" s="1"/>
  <c r="K583" i="1"/>
  <c r="P583" i="1" s="1"/>
  <c r="K582" i="1"/>
  <c r="P582" i="1" s="1"/>
  <c r="K581" i="1"/>
  <c r="P581" i="1" s="1"/>
  <c r="K580" i="1"/>
  <c r="P580" i="1" s="1"/>
  <c r="K579" i="1"/>
  <c r="P579" i="1" s="1"/>
  <c r="K578" i="1"/>
  <c r="P578" i="1" s="1"/>
  <c r="K577" i="1"/>
  <c r="P577" i="1" s="1"/>
  <c r="K576" i="1"/>
  <c r="P576" i="1" s="1"/>
  <c r="K575" i="1"/>
  <c r="P575" i="1" s="1"/>
  <c r="K574" i="1"/>
  <c r="P574" i="1" s="1"/>
  <c r="K573" i="1"/>
  <c r="P573" i="1" s="1"/>
  <c r="K572" i="1"/>
  <c r="P572" i="1" s="1"/>
  <c r="K571" i="1"/>
  <c r="P571" i="1" s="1"/>
  <c r="K570" i="1"/>
  <c r="P570" i="1" s="1"/>
  <c r="K569" i="1"/>
  <c r="P569" i="1" s="1"/>
  <c r="K568" i="1"/>
  <c r="P568" i="1" s="1"/>
  <c r="K567" i="1"/>
  <c r="P567" i="1" s="1"/>
  <c r="K566" i="1"/>
  <c r="P566" i="1" s="1"/>
  <c r="K565" i="1"/>
  <c r="P565" i="1" s="1"/>
  <c r="K564" i="1"/>
  <c r="P564" i="1" s="1"/>
  <c r="K563" i="1"/>
  <c r="P563" i="1" s="1"/>
  <c r="K562" i="1"/>
  <c r="P562" i="1" s="1"/>
  <c r="K561" i="1"/>
  <c r="P561" i="1" s="1"/>
  <c r="K560" i="1"/>
  <c r="P560" i="1" s="1"/>
  <c r="K559" i="1"/>
  <c r="P559" i="1" s="1"/>
  <c r="K558" i="1"/>
  <c r="P558" i="1" s="1"/>
  <c r="K557" i="1"/>
  <c r="P557" i="1" s="1"/>
  <c r="K556" i="1"/>
  <c r="P556" i="1" s="1"/>
  <c r="K555" i="1"/>
  <c r="P555" i="1" s="1"/>
  <c r="K554" i="1"/>
  <c r="P554" i="1" s="1"/>
  <c r="K553" i="1"/>
  <c r="P553" i="1" s="1"/>
  <c r="K552" i="1"/>
  <c r="P552" i="1" s="1"/>
  <c r="K551" i="1"/>
  <c r="P551" i="1" s="1"/>
  <c r="K550" i="1"/>
  <c r="P550" i="1" s="1"/>
  <c r="K549" i="1"/>
  <c r="P549" i="1" s="1"/>
  <c r="K548" i="1"/>
  <c r="P548" i="1" s="1"/>
  <c r="K547" i="1"/>
  <c r="P547" i="1" s="1"/>
  <c r="K546" i="1"/>
  <c r="P546" i="1" s="1"/>
  <c r="K545" i="1"/>
  <c r="P545" i="1" s="1"/>
  <c r="K544" i="1"/>
  <c r="P544" i="1" s="1"/>
  <c r="K543" i="1"/>
  <c r="P543" i="1" s="1"/>
  <c r="K542" i="1"/>
  <c r="P542" i="1" s="1"/>
  <c r="K541" i="1"/>
  <c r="P541" i="1" s="1"/>
  <c r="K540" i="1"/>
  <c r="P540" i="1" s="1"/>
  <c r="K539" i="1"/>
  <c r="P539" i="1" s="1"/>
  <c r="K538" i="1"/>
  <c r="P538" i="1" s="1"/>
  <c r="K537" i="1"/>
  <c r="P537" i="1" s="1"/>
  <c r="K536" i="1"/>
  <c r="P536" i="1" s="1"/>
  <c r="K535" i="1"/>
  <c r="P535" i="1" s="1"/>
  <c r="K534" i="1"/>
  <c r="P534" i="1" s="1"/>
  <c r="K533" i="1"/>
  <c r="P533" i="1" s="1"/>
  <c r="K532" i="1"/>
  <c r="P532" i="1" s="1"/>
  <c r="K531" i="1"/>
  <c r="P531" i="1" s="1"/>
  <c r="K530" i="1"/>
  <c r="P530" i="1" s="1"/>
  <c r="K529" i="1"/>
  <c r="P529" i="1" s="1"/>
  <c r="K528" i="1"/>
  <c r="P528" i="1" s="1"/>
  <c r="K527" i="1"/>
  <c r="P527" i="1" s="1"/>
  <c r="K526" i="1"/>
  <c r="P526" i="1" s="1"/>
  <c r="K525" i="1"/>
  <c r="P525" i="1" s="1"/>
  <c r="K524" i="1"/>
  <c r="P524" i="1" s="1"/>
  <c r="K523" i="1"/>
  <c r="P523" i="1" s="1"/>
  <c r="K522" i="1"/>
  <c r="P522" i="1" s="1"/>
  <c r="K521" i="1"/>
  <c r="P521" i="1" s="1"/>
  <c r="K520" i="1"/>
  <c r="P520" i="1" s="1"/>
  <c r="K519" i="1"/>
  <c r="P519" i="1" s="1"/>
  <c r="K518" i="1"/>
  <c r="P518" i="1" s="1"/>
  <c r="K517" i="1"/>
  <c r="P517" i="1" s="1"/>
  <c r="K516" i="1"/>
  <c r="P516" i="1" s="1"/>
  <c r="K515" i="1"/>
  <c r="P515" i="1" s="1"/>
  <c r="K514" i="1"/>
  <c r="P514" i="1" s="1"/>
  <c r="K513" i="1"/>
  <c r="P513" i="1" s="1"/>
  <c r="K512" i="1"/>
  <c r="P512" i="1" s="1"/>
  <c r="K511" i="1"/>
  <c r="P511" i="1" s="1"/>
  <c r="K510" i="1"/>
  <c r="P510" i="1" s="1"/>
  <c r="K509" i="1"/>
  <c r="P509" i="1" s="1"/>
  <c r="K508" i="1"/>
  <c r="P508" i="1" s="1"/>
  <c r="K507" i="1"/>
  <c r="P507" i="1" s="1"/>
  <c r="K506" i="1"/>
  <c r="P506" i="1" s="1"/>
  <c r="K505" i="1"/>
  <c r="P505" i="1" s="1"/>
  <c r="K504" i="1"/>
  <c r="P504" i="1" s="1"/>
  <c r="K503" i="1"/>
  <c r="P503" i="1" s="1"/>
  <c r="K502" i="1"/>
  <c r="P502" i="1" s="1"/>
  <c r="K501" i="1"/>
  <c r="P501" i="1" s="1"/>
  <c r="K500" i="1"/>
  <c r="P500" i="1" s="1"/>
  <c r="K499" i="1"/>
  <c r="P499" i="1" s="1"/>
  <c r="K498" i="1"/>
  <c r="P498" i="1" s="1"/>
  <c r="K497" i="1"/>
  <c r="P497" i="1" s="1"/>
  <c r="K496" i="1"/>
  <c r="P496" i="1" s="1"/>
  <c r="K495" i="1"/>
  <c r="P495" i="1" s="1"/>
  <c r="K494" i="1"/>
  <c r="P494" i="1" s="1"/>
  <c r="K493" i="1"/>
  <c r="P493" i="1" s="1"/>
  <c r="K492" i="1"/>
  <c r="P492" i="1" s="1"/>
  <c r="K491" i="1"/>
  <c r="P491" i="1" s="1"/>
  <c r="K490" i="1"/>
  <c r="P490" i="1" s="1"/>
  <c r="K489" i="1"/>
  <c r="P489" i="1" s="1"/>
  <c r="K488" i="1"/>
  <c r="P488" i="1" s="1"/>
  <c r="K487" i="1"/>
  <c r="P487" i="1" s="1"/>
  <c r="K486" i="1"/>
  <c r="P486" i="1" s="1"/>
  <c r="K485" i="1"/>
  <c r="P485" i="1" s="1"/>
  <c r="K484" i="1"/>
  <c r="P484" i="1" s="1"/>
  <c r="K483" i="1"/>
  <c r="P483" i="1" s="1"/>
  <c r="K482" i="1"/>
  <c r="P482" i="1" s="1"/>
  <c r="K481" i="1"/>
  <c r="P481" i="1" s="1"/>
  <c r="K480" i="1"/>
  <c r="P480" i="1" s="1"/>
  <c r="K479" i="1"/>
  <c r="P479" i="1" s="1"/>
  <c r="K478" i="1"/>
  <c r="P478" i="1" s="1"/>
  <c r="K477" i="1"/>
  <c r="P477" i="1" s="1"/>
  <c r="K476" i="1"/>
  <c r="P476" i="1" s="1"/>
  <c r="K475" i="1"/>
  <c r="P475" i="1" s="1"/>
  <c r="K474" i="1"/>
  <c r="P474" i="1" s="1"/>
  <c r="K473" i="1"/>
  <c r="P473" i="1" s="1"/>
  <c r="K472" i="1"/>
  <c r="P472" i="1" s="1"/>
  <c r="K471" i="1"/>
  <c r="P471" i="1" s="1"/>
  <c r="K470" i="1"/>
  <c r="P470" i="1" s="1"/>
  <c r="K469" i="1"/>
  <c r="P469" i="1" s="1"/>
  <c r="K468" i="1"/>
  <c r="P468" i="1" s="1"/>
  <c r="K467" i="1"/>
  <c r="P467" i="1" s="1"/>
  <c r="K466" i="1"/>
  <c r="P466" i="1" s="1"/>
  <c r="K465" i="1"/>
  <c r="P465" i="1" s="1"/>
  <c r="K464" i="1"/>
  <c r="P464" i="1" s="1"/>
  <c r="K463" i="1"/>
  <c r="P463" i="1" s="1"/>
  <c r="K462" i="1"/>
  <c r="P462" i="1" s="1"/>
  <c r="K461" i="1"/>
  <c r="P461" i="1" s="1"/>
  <c r="K460" i="1"/>
  <c r="P460" i="1" s="1"/>
  <c r="K459" i="1"/>
  <c r="P459" i="1" s="1"/>
  <c r="K458" i="1"/>
  <c r="P458" i="1" s="1"/>
  <c r="K457" i="1"/>
  <c r="P457" i="1" s="1"/>
  <c r="K456" i="1"/>
  <c r="P456" i="1" s="1"/>
  <c r="K455" i="1"/>
  <c r="P455" i="1" s="1"/>
  <c r="K454" i="1"/>
  <c r="P454" i="1" s="1"/>
  <c r="K453" i="1"/>
  <c r="P453" i="1" s="1"/>
  <c r="K452" i="1"/>
  <c r="P452" i="1" s="1"/>
  <c r="K451" i="1"/>
  <c r="P451" i="1" s="1"/>
  <c r="K450" i="1"/>
  <c r="P450" i="1" s="1"/>
  <c r="K449" i="1"/>
  <c r="P449" i="1" s="1"/>
  <c r="K448" i="1"/>
  <c r="P448" i="1" s="1"/>
  <c r="K447" i="1"/>
  <c r="P447" i="1" s="1"/>
  <c r="K446" i="1"/>
  <c r="P446" i="1" s="1"/>
  <c r="K445" i="1"/>
  <c r="P445" i="1" s="1"/>
  <c r="K444" i="1"/>
  <c r="P444" i="1" s="1"/>
  <c r="K443" i="1"/>
  <c r="P443" i="1" s="1"/>
  <c r="K442" i="1"/>
  <c r="P442" i="1" s="1"/>
  <c r="K441" i="1"/>
  <c r="P441" i="1" s="1"/>
  <c r="K440" i="1"/>
  <c r="P440" i="1" s="1"/>
  <c r="K439" i="1"/>
  <c r="P439" i="1" s="1"/>
  <c r="K438" i="1"/>
  <c r="P438" i="1" s="1"/>
  <c r="K437" i="1"/>
  <c r="P437" i="1" s="1"/>
  <c r="K436" i="1"/>
  <c r="P436" i="1" s="1"/>
  <c r="K435" i="1"/>
  <c r="P435" i="1" s="1"/>
  <c r="K434" i="1"/>
  <c r="P434" i="1" s="1"/>
  <c r="K433" i="1"/>
  <c r="P433" i="1" s="1"/>
  <c r="K432" i="1"/>
  <c r="P432" i="1" s="1"/>
  <c r="K431" i="1"/>
  <c r="P431" i="1" s="1"/>
  <c r="K430" i="1"/>
  <c r="P430" i="1" s="1"/>
  <c r="K429" i="1"/>
  <c r="P429" i="1" s="1"/>
  <c r="K428" i="1"/>
  <c r="P428" i="1" s="1"/>
  <c r="K427" i="1"/>
  <c r="P427" i="1" s="1"/>
  <c r="K426" i="1"/>
  <c r="P426" i="1" s="1"/>
  <c r="K425" i="1"/>
  <c r="P425" i="1" s="1"/>
  <c r="K424" i="1"/>
  <c r="P424" i="1" s="1"/>
  <c r="K423" i="1"/>
  <c r="P423" i="1" s="1"/>
  <c r="K422" i="1"/>
  <c r="P422" i="1" s="1"/>
  <c r="K421" i="1"/>
  <c r="P421" i="1" s="1"/>
  <c r="K420" i="1"/>
  <c r="P420" i="1" s="1"/>
  <c r="K419" i="1"/>
  <c r="P419" i="1" s="1"/>
  <c r="K418" i="1"/>
  <c r="P418" i="1" s="1"/>
  <c r="K417" i="1"/>
  <c r="P417" i="1" s="1"/>
  <c r="K416" i="1"/>
  <c r="P416" i="1" s="1"/>
  <c r="K415" i="1"/>
  <c r="P415" i="1" s="1"/>
  <c r="K414" i="1"/>
  <c r="P414" i="1" s="1"/>
  <c r="K413" i="1"/>
  <c r="P413" i="1" s="1"/>
  <c r="K412" i="1"/>
  <c r="P412" i="1" s="1"/>
  <c r="K411" i="1"/>
  <c r="P411" i="1" s="1"/>
  <c r="K410" i="1"/>
  <c r="P410" i="1" s="1"/>
  <c r="K409" i="1"/>
  <c r="P409" i="1" s="1"/>
  <c r="K408" i="1"/>
  <c r="P408" i="1" s="1"/>
  <c r="K407" i="1"/>
  <c r="P407" i="1" s="1"/>
  <c r="K406" i="1"/>
  <c r="P406" i="1" s="1"/>
  <c r="K405" i="1"/>
  <c r="P405" i="1" s="1"/>
  <c r="K404" i="1"/>
  <c r="P404" i="1" s="1"/>
  <c r="K403" i="1"/>
  <c r="P403" i="1" s="1"/>
  <c r="K402" i="1"/>
  <c r="P402" i="1" s="1"/>
  <c r="K401" i="1"/>
  <c r="P401" i="1" s="1"/>
  <c r="K400" i="1"/>
  <c r="P400" i="1" s="1"/>
  <c r="K399" i="1"/>
  <c r="P399" i="1" s="1"/>
  <c r="K398" i="1"/>
  <c r="P398" i="1" s="1"/>
  <c r="K397" i="1"/>
  <c r="P397" i="1" s="1"/>
  <c r="K396" i="1"/>
  <c r="P396" i="1" s="1"/>
  <c r="K395" i="1"/>
  <c r="P395" i="1" s="1"/>
  <c r="K394" i="1"/>
  <c r="P394" i="1" s="1"/>
  <c r="K393" i="1"/>
  <c r="P393" i="1" s="1"/>
  <c r="K392" i="1"/>
  <c r="P392" i="1" s="1"/>
  <c r="K391" i="1"/>
  <c r="P391" i="1" s="1"/>
  <c r="K390" i="1"/>
  <c r="P390" i="1" s="1"/>
  <c r="K389" i="1"/>
  <c r="P389" i="1" s="1"/>
  <c r="K388" i="1"/>
  <c r="P388" i="1" s="1"/>
  <c r="K387" i="1"/>
  <c r="P387" i="1" s="1"/>
  <c r="K386" i="1"/>
  <c r="P386" i="1" s="1"/>
  <c r="K385" i="1"/>
  <c r="P385" i="1" s="1"/>
  <c r="K384" i="1"/>
  <c r="P384" i="1" s="1"/>
  <c r="K383" i="1"/>
  <c r="P383" i="1" s="1"/>
  <c r="K382" i="1"/>
  <c r="P382" i="1" s="1"/>
  <c r="K381" i="1"/>
  <c r="P381" i="1" s="1"/>
  <c r="K380" i="1"/>
  <c r="P380" i="1" s="1"/>
  <c r="K379" i="1"/>
  <c r="P379" i="1" s="1"/>
  <c r="K378" i="1"/>
  <c r="P378" i="1" s="1"/>
  <c r="K377" i="1"/>
  <c r="P377" i="1" s="1"/>
  <c r="K376" i="1"/>
  <c r="P376" i="1" s="1"/>
  <c r="K375" i="1"/>
  <c r="P375" i="1" s="1"/>
  <c r="K374" i="1"/>
  <c r="P374" i="1" s="1"/>
  <c r="K373" i="1"/>
  <c r="P373" i="1" s="1"/>
  <c r="K372" i="1"/>
  <c r="P372" i="1" s="1"/>
  <c r="K371" i="1"/>
  <c r="P371" i="1" s="1"/>
  <c r="K370" i="1"/>
  <c r="P370" i="1" s="1"/>
  <c r="K369" i="1"/>
  <c r="P369" i="1" s="1"/>
  <c r="K368" i="1"/>
  <c r="P368" i="1" s="1"/>
  <c r="K367" i="1"/>
  <c r="P367" i="1" s="1"/>
  <c r="K366" i="1"/>
  <c r="P366" i="1" s="1"/>
  <c r="K365" i="1"/>
  <c r="P365" i="1" s="1"/>
  <c r="K364" i="1"/>
  <c r="P364" i="1" s="1"/>
  <c r="K363" i="1"/>
  <c r="P363" i="1" s="1"/>
  <c r="K362" i="1"/>
  <c r="P362" i="1" s="1"/>
  <c r="K361" i="1"/>
  <c r="P361" i="1" s="1"/>
  <c r="K360" i="1"/>
  <c r="P360" i="1" s="1"/>
  <c r="K359" i="1"/>
  <c r="P359" i="1" s="1"/>
  <c r="K358" i="1"/>
  <c r="P358" i="1" s="1"/>
  <c r="K357" i="1"/>
  <c r="P357" i="1" s="1"/>
  <c r="K356" i="1"/>
  <c r="P356" i="1" s="1"/>
  <c r="K355" i="1"/>
  <c r="P355" i="1" s="1"/>
  <c r="K354" i="1"/>
  <c r="P354" i="1" s="1"/>
  <c r="K353" i="1"/>
  <c r="P353" i="1" s="1"/>
  <c r="K352" i="1"/>
  <c r="P352" i="1" s="1"/>
  <c r="K351" i="1"/>
  <c r="P351" i="1" s="1"/>
  <c r="K350" i="1"/>
  <c r="P350" i="1" s="1"/>
  <c r="K349" i="1"/>
  <c r="P349" i="1" s="1"/>
  <c r="K348" i="1"/>
  <c r="P348" i="1" s="1"/>
  <c r="K347" i="1"/>
  <c r="P347" i="1" s="1"/>
  <c r="K346" i="1"/>
  <c r="P346" i="1" s="1"/>
  <c r="K345" i="1"/>
  <c r="P345" i="1" s="1"/>
  <c r="K344" i="1"/>
  <c r="P344" i="1" s="1"/>
  <c r="K343" i="1"/>
  <c r="P343" i="1" s="1"/>
  <c r="K342" i="1"/>
  <c r="P342" i="1" s="1"/>
  <c r="K341" i="1"/>
  <c r="P341" i="1" s="1"/>
  <c r="K340" i="1"/>
  <c r="P340" i="1" s="1"/>
  <c r="K339" i="1"/>
  <c r="P339" i="1" s="1"/>
  <c r="K338" i="1"/>
  <c r="P338" i="1" s="1"/>
  <c r="K337" i="1"/>
  <c r="P337" i="1" s="1"/>
  <c r="K336" i="1"/>
  <c r="P336" i="1" s="1"/>
  <c r="K335" i="1"/>
  <c r="P335" i="1" s="1"/>
  <c r="K334" i="1"/>
  <c r="P334" i="1" s="1"/>
  <c r="K333" i="1"/>
  <c r="P333" i="1" s="1"/>
  <c r="K332" i="1"/>
  <c r="P332" i="1" s="1"/>
  <c r="K331" i="1"/>
  <c r="P331" i="1" s="1"/>
  <c r="K330" i="1"/>
  <c r="P330" i="1" s="1"/>
  <c r="K329" i="1"/>
  <c r="P329" i="1" s="1"/>
  <c r="K328" i="1"/>
  <c r="P328" i="1" s="1"/>
  <c r="K327" i="1"/>
  <c r="P327" i="1" s="1"/>
  <c r="K326" i="1"/>
  <c r="P326" i="1" s="1"/>
  <c r="K325" i="1"/>
  <c r="P325" i="1" s="1"/>
  <c r="K324" i="1"/>
  <c r="P324" i="1" s="1"/>
  <c r="K323" i="1"/>
  <c r="P323" i="1" s="1"/>
  <c r="K322" i="1"/>
  <c r="P322" i="1" s="1"/>
  <c r="K321" i="1"/>
  <c r="P321" i="1" s="1"/>
  <c r="K320" i="1"/>
  <c r="P320" i="1" s="1"/>
  <c r="K319" i="1"/>
  <c r="P319" i="1" s="1"/>
  <c r="K318" i="1"/>
  <c r="P318" i="1" s="1"/>
  <c r="K317" i="1"/>
  <c r="P317" i="1" s="1"/>
  <c r="K316" i="1"/>
  <c r="P316" i="1" s="1"/>
  <c r="K315" i="1"/>
  <c r="P315" i="1" s="1"/>
  <c r="K314" i="1"/>
  <c r="P314" i="1" s="1"/>
  <c r="K313" i="1"/>
  <c r="P313" i="1" s="1"/>
  <c r="K312" i="1"/>
  <c r="P312" i="1" s="1"/>
  <c r="K311" i="1"/>
  <c r="P311" i="1" s="1"/>
  <c r="K310" i="1"/>
  <c r="P310" i="1" s="1"/>
  <c r="K309" i="1"/>
  <c r="P309" i="1" s="1"/>
  <c r="K308" i="1"/>
  <c r="P308" i="1" s="1"/>
  <c r="K307" i="1"/>
  <c r="P307" i="1" s="1"/>
  <c r="K306" i="1"/>
  <c r="P306" i="1" s="1"/>
  <c r="K305" i="1"/>
  <c r="P305" i="1" s="1"/>
  <c r="K304" i="1"/>
  <c r="P304" i="1" s="1"/>
  <c r="K303" i="1"/>
  <c r="P303" i="1" s="1"/>
  <c r="K302" i="1"/>
  <c r="P302" i="1" s="1"/>
  <c r="K301" i="1"/>
  <c r="P301" i="1" s="1"/>
  <c r="K300" i="1"/>
  <c r="P300" i="1" s="1"/>
  <c r="K299" i="1"/>
  <c r="P299" i="1" s="1"/>
  <c r="K298" i="1"/>
  <c r="P298" i="1" s="1"/>
  <c r="K297" i="1"/>
  <c r="P297" i="1" s="1"/>
  <c r="K296" i="1"/>
  <c r="P296" i="1" s="1"/>
  <c r="K295" i="1"/>
  <c r="P295" i="1" s="1"/>
  <c r="K294" i="1"/>
  <c r="P294" i="1" s="1"/>
  <c r="K293" i="1"/>
  <c r="P293" i="1" s="1"/>
  <c r="K292" i="1"/>
  <c r="P292" i="1" s="1"/>
  <c r="K291" i="1"/>
  <c r="P291" i="1" s="1"/>
  <c r="K290" i="1"/>
  <c r="P290" i="1" s="1"/>
  <c r="K289" i="1"/>
  <c r="P289" i="1" s="1"/>
  <c r="K288" i="1"/>
  <c r="P288" i="1" s="1"/>
  <c r="K287" i="1"/>
  <c r="P287" i="1" s="1"/>
  <c r="K286" i="1"/>
  <c r="P286" i="1" s="1"/>
  <c r="K285" i="1"/>
  <c r="P285" i="1" s="1"/>
  <c r="K284" i="1"/>
  <c r="P284" i="1" s="1"/>
  <c r="K283" i="1"/>
  <c r="P283" i="1" s="1"/>
  <c r="K282" i="1"/>
  <c r="P282" i="1" s="1"/>
  <c r="K281" i="1"/>
  <c r="P281" i="1" s="1"/>
  <c r="K280" i="1"/>
  <c r="P280" i="1" s="1"/>
  <c r="K279" i="1"/>
  <c r="P279" i="1" s="1"/>
  <c r="K278" i="1"/>
  <c r="P278" i="1" s="1"/>
  <c r="K277" i="1"/>
  <c r="P277" i="1" s="1"/>
  <c r="K276" i="1"/>
  <c r="P276" i="1" s="1"/>
  <c r="K275" i="1"/>
  <c r="P275" i="1" s="1"/>
  <c r="K274" i="1"/>
  <c r="P274" i="1" s="1"/>
  <c r="K273" i="1"/>
  <c r="P273" i="1" s="1"/>
  <c r="K272" i="1"/>
  <c r="P272" i="1" s="1"/>
  <c r="K271" i="1"/>
  <c r="P271" i="1" s="1"/>
  <c r="K270" i="1"/>
  <c r="P270" i="1" s="1"/>
  <c r="K269" i="1"/>
  <c r="P269" i="1" s="1"/>
  <c r="K268" i="1"/>
  <c r="P268" i="1" s="1"/>
  <c r="K267" i="1"/>
  <c r="P267" i="1" s="1"/>
  <c r="K266" i="1"/>
  <c r="P266" i="1" s="1"/>
  <c r="K265" i="1"/>
  <c r="P265" i="1" s="1"/>
  <c r="K264" i="1"/>
  <c r="P264" i="1" s="1"/>
  <c r="K263" i="1"/>
  <c r="P263" i="1" s="1"/>
  <c r="K262" i="1"/>
  <c r="P262" i="1" s="1"/>
  <c r="K261" i="1"/>
  <c r="P261" i="1" s="1"/>
  <c r="K260" i="1"/>
  <c r="P260" i="1" s="1"/>
  <c r="K259" i="1"/>
  <c r="P259" i="1" s="1"/>
  <c r="K258" i="1"/>
  <c r="P258" i="1" s="1"/>
  <c r="K257" i="1"/>
  <c r="P257" i="1" s="1"/>
  <c r="K256" i="1"/>
  <c r="P256" i="1" s="1"/>
  <c r="K255" i="1"/>
  <c r="P255" i="1" s="1"/>
  <c r="K254" i="1"/>
  <c r="P254" i="1" s="1"/>
  <c r="K253" i="1"/>
  <c r="P253" i="1" s="1"/>
  <c r="K252" i="1"/>
  <c r="P252" i="1" s="1"/>
  <c r="K251" i="1"/>
  <c r="P251" i="1" s="1"/>
  <c r="K250" i="1"/>
  <c r="P250" i="1" s="1"/>
  <c r="K249" i="1"/>
  <c r="P249" i="1" s="1"/>
  <c r="K248" i="1"/>
  <c r="P248" i="1" s="1"/>
  <c r="K247" i="1"/>
  <c r="P247" i="1" s="1"/>
  <c r="K246" i="1"/>
  <c r="P246" i="1" s="1"/>
  <c r="K245" i="1"/>
  <c r="P245" i="1" s="1"/>
  <c r="K244" i="1"/>
  <c r="P244" i="1" s="1"/>
  <c r="K243" i="1"/>
  <c r="P243" i="1" s="1"/>
  <c r="K242" i="1"/>
  <c r="P242" i="1" s="1"/>
  <c r="K241" i="1"/>
  <c r="P241" i="1" s="1"/>
  <c r="K240" i="1"/>
  <c r="P240" i="1" s="1"/>
  <c r="K239" i="1"/>
  <c r="P239" i="1" s="1"/>
  <c r="K238" i="1"/>
  <c r="P238" i="1" s="1"/>
  <c r="K237" i="1"/>
  <c r="P237" i="1" s="1"/>
  <c r="K236" i="1"/>
  <c r="P236" i="1" s="1"/>
  <c r="K235" i="1"/>
  <c r="P235" i="1" s="1"/>
  <c r="K234" i="1"/>
  <c r="P234" i="1" s="1"/>
  <c r="K233" i="1"/>
  <c r="P233" i="1" s="1"/>
  <c r="K232" i="1"/>
  <c r="P232" i="1" s="1"/>
  <c r="K231" i="1"/>
  <c r="P231" i="1" s="1"/>
  <c r="K230" i="1"/>
  <c r="P230" i="1" s="1"/>
  <c r="K229" i="1"/>
  <c r="P229" i="1" s="1"/>
  <c r="K228" i="1"/>
  <c r="P228" i="1" s="1"/>
  <c r="K227" i="1"/>
  <c r="P227" i="1" s="1"/>
  <c r="K226" i="1"/>
  <c r="P226" i="1" s="1"/>
  <c r="K225" i="1"/>
  <c r="P225" i="1" s="1"/>
  <c r="K224" i="1"/>
  <c r="P224" i="1" s="1"/>
  <c r="K223" i="1"/>
  <c r="P223" i="1" s="1"/>
  <c r="K222" i="1"/>
  <c r="P222" i="1" s="1"/>
  <c r="K221" i="1"/>
  <c r="P221" i="1" s="1"/>
  <c r="K220" i="1"/>
  <c r="P220" i="1" s="1"/>
  <c r="K219" i="1"/>
  <c r="P219" i="1" s="1"/>
  <c r="K218" i="1"/>
  <c r="P218" i="1" s="1"/>
  <c r="K217" i="1"/>
  <c r="P217" i="1" s="1"/>
  <c r="K216" i="1"/>
  <c r="P216" i="1" s="1"/>
  <c r="K215" i="1"/>
  <c r="P215" i="1" s="1"/>
  <c r="K214" i="1"/>
  <c r="P214" i="1" s="1"/>
  <c r="K213" i="1"/>
  <c r="P213" i="1" s="1"/>
  <c r="K212" i="1"/>
  <c r="P212" i="1" s="1"/>
  <c r="K211" i="1"/>
  <c r="P211" i="1" s="1"/>
  <c r="K210" i="1"/>
  <c r="P210" i="1" s="1"/>
  <c r="K209" i="1"/>
  <c r="P209" i="1" s="1"/>
  <c r="K208" i="1"/>
  <c r="P208" i="1" s="1"/>
  <c r="K207" i="1"/>
  <c r="P207" i="1" s="1"/>
  <c r="K206" i="1"/>
  <c r="P206" i="1" s="1"/>
  <c r="K205" i="1"/>
  <c r="P205" i="1" s="1"/>
  <c r="K204" i="1"/>
  <c r="P204" i="1" s="1"/>
  <c r="K203" i="1"/>
  <c r="P203" i="1" s="1"/>
  <c r="K202" i="1"/>
  <c r="P202" i="1" s="1"/>
  <c r="K201" i="1"/>
  <c r="P201" i="1" s="1"/>
  <c r="K200" i="1"/>
  <c r="P200" i="1" s="1"/>
  <c r="K199" i="1"/>
  <c r="P199" i="1" s="1"/>
  <c r="K198" i="1"/>
  <c r="P198" i="1" s="1"/>
  <c r="K197" i="1"/>
  <c r="P197" i="1" s="1"/>
  <c r="K196" i="1"/>
  <c r="P196" i="1" s="1"/>
  <c r="K195" i="1"/>
  <c r="P195" i="1" s="1"/>
  <c r="K194" i="1"/>
  <c r="P194" i="1" s="1"/>
  <c r="K193" i="1"/>
  <c r="P193" i="1" s="1"/>
  <c r="K192" i="1"/>
  <c r="P192" i="1" s="1"/>
  <c r="K191" i="1"/>
  <c r="P191" i="1" s="1"/>
  <c r="K190" i="1"/>
  <c r="P190" i="1" s="1"/>
  <c r="K189" i="1"/>
  <c r="P189" i="1" s="1"/>
  <c r="K188" i="1"/>
  <c r="P188" i="1" s="1"/>
  <c r="K187" i="1"/>
  <c r="P187" i="1" s="1"/>
  <c r="K186" i="1"/>
  <c r="P186" i="1" s="1"/>
  <c r="K185" i="1"/>
  <c r="P185" i="1" s="1"/>
  <c r="K184" i="1"/>
  <c r="P184" i="1" s="1"/>
  <c r="K183" i="1"/>
  <c r="P183" i="1" s="1"/>
  <c r="K182" i="1"/>
  <c r="P182" i="1" s="1"/>
  <c r="K181" i="1"/>
  <c r="P181" i="1" s="1"/>
  <c r="K180" i="1"/>
  <c r="P180" i="1" s="1"/>
  <c r="K179" i="1"/>
  <c r="P179" i="1" s="1"/>
  <c r="K178" i="1"/>
  <c r="P178" i="1" s="1"/>
  <c r="K177" i="1"/>
  <c r="P177" i="1" s="1"/>
  <c r="K176" i="1"/>
  <c r="P176" i="1" s="1"/>
  <c r="K175" i="1"/>
  <c r="P175" i="1" s="1"/>
  <c r="K174" i="1"/>
  <c r="P174" i="1" s="1"/>
  <c r="K173" i="1"/>
  <c r="P173" i="1" s="1"/>
  <c r="K172" i="1"/>
  <c r="P172" i="1" s="1"/>
  <c r="K171" i="1"/>
  <c r="P171" i="1" s="1"/>
  <c r="K170" i="1"/>
  <c r="P170" i="1" s="1"/>
  <c r="K169" i="1"/>
  <c r="P169" i="1" s="1"/>
  <c r="K168" i="1"/>
  <c r="P168" i="1" s="1"/>
  <c r="K167" i="1"/>
  <c r="P167" i="1" s="1"/>
  <c r="K166" i="1"/>
  <c r="P166" i="1" s="1"/>
  <c r="K165" i="1"/>
  <c r="P165" i="1" s="1"/>
  <c r="K164" i="1"/>
  <c r="P164" i="1" s="1"/>
  <c r="K163" i="1"/>
  <c r="P163" i="1" s="1"/>
  <c r="K162" i="1"/>
  <c r="P162" i="1" s="1"/>
  <c r="K161" i="1"/>
  <c r="P161" i="1" s="1"/>
  <c r="K160" i="1"/>
  <c r="P160" i="1" s="1"/>
  <c r="K159" i="1"/>
  <c r="P159" i="1" s="1"/>
  <c r="K158" i="1"/>
  <c r="P158" i="1" s="1"/>
  <c r="K157" i="1"/>
  <c r="P157" i="1" s="1"/>
  <c r="K156" i="1"/>
  <c r="P156" i="1" s="1"/>
  <c r="K155" i="1"/>
  <c r="P155" i="1" s="1"/>
  <c r="K154" i="1"/>
  <c r="P154" i="1" s="1"/>
  <c r="K153" i="1"/>
  <c r="P153" i="1" s="1"/>
  <c r="K152" i="1"/>
  <c r="P152" i="1" s="1"/>
  <c r="K151" i="1"/>
  <c r="P151" i="1" s="1"/>
  <c r="K150" i="1"/>
  <c r="P150" i="1" s="1"/>
  <c r="K149" i="1"/>
  <c r="P149" i="1" s="1"/>
  <c r="K148" i="1"/>
  <c r="P148" i="1" s="1"/>
  <c r="K147" i="1"/>
  <c r="P147" i="1" s="1"/>
  <c r="K146" i="1"/>
  <c r="P146" i="1" s="1"/>
  <c r="K145" i="1"/>
  <c r="P145" i="1" s="1"/>
  <c r="K144" i="1"/>
  <c r="P144" i="1" s="1"/>
  <c r="K143" i="1"/>
  <c r="P143" i="1" s="1"/>
  <c r="K142" i="1"/>
  <c r="P142" i="1" s="1"/>
  <c r="K141" i="1"/>
  <c r="P141" i="1" s="1"/>
  <c r="K140" i="1"/>
  <c r="P140" i="1" s="1"/>
  <c r="K139" i="1"/>
  <c r="P139" i="1" s="1"/>
  <c r="K138" i="1"/>
  <c r="P138" i="1" s="1"/>
  <c r="K137" i="1"/>
  <c r="P137" i="1" s="1"/>
  <c r="K136" i="1"/>
  <c r="P136" i="1" s="1"/>
  <c r="K135" i="1"/>
  <c r="P135" i="1" s="1"/>
  <c r="K134" i="1"/>
  <c r="P134" i="1" s="1"/>
  <c r="K133" i="1"/>
  <c r="P133" i="1" s="1"/>
  <c r="K132" i="1"/>
  <c r="P132" i="1" s="1"/>
  <c r="K131" i="1"/>
  <c r="P131" i="1" s="1"/>
  <c r="K130" i="1"/>
  <c r="P130" i="1" s="1"/>
  <c r="K129" i="1"/>
  <c r="P129" i="1" s="1"/>
  <c r="K128" i="1"/>
  <c r="P128" i="1" s="1"/>
  <c r="K127" i="1"/>
  <c r="P127" i="1" s="1"/>
  <c r="K126" i="1"/>
  <c r="P126" i="1" s="1"/>
  <c r="K125" i="1"/>
  <c r="P125" i="1" s="1"/>
  <c r="K124" i="1"/>
  <c r="P124" i="1" s="1"/>
  <c r="K123" i="1"/>
  <c r="P123" i="1" s="1"/>
  <c r="K122" i="1"/>
  <c r="P122" i="1" s="1"/>
  <c r="K121" i="1"/>
  <c r="P121" i="1" s="1"/>
  <c r="K120" i="1"/>
  <c r="P120" i="1" s="1"/>
  <c r="K119" i="1"/>
  <c r="P119" i="1" s="1"/>
  <c r="K118" i="1"/>
  <c r="P118" i="1" s="1"/>
  <c r="K117" i="1"/>
  <c r="P117" i="1" s="1"/>
  <c r="K116" i="1"/>
  <c r="P116" i="1" s="1"/>
  <c r="K115" i="1"/>
  <c r="P115" i="1" s="1"/>
  <c r="K114" i="1"/>
  <c r="P114" i="1" s="1"/>
  <c r="K113" i="1"/>
  <c r="P113" i="1" s="1"/>
  <c r="K112" i="1"/>
  <c r="P112" i="1" s="1"/>
  <c r="K111" i="1"/>
  <c r="P111" i="1" s="1"/>
  <c r="K110" i="1"/>
  <c r="P110" i="1" s="1"/>
  <c r="K109" i="1"/>
  <c r="P109" i="1" s="1"/>
  <c r="K108" i="1"/>
  <c r="P108" i="1" s="1"/>
  <c r="K107" i="1"/>
  <c r="P107" i="1" s="1"/>
  <c r="K106" i="1"/>
  <c r="P106" i="1" s="1"/>
  <c r="K105" i="1"/>
  <c r="P105" i="1" s="1"/>
  <c r="K104" i="1"/>
  <c r="P104" i="1" s="1"/>
  <c r="K103" i="1"/>
  <c r="P103" i="1" s="1"/>
  <c r="K102" i="1"/>
  <c r="P102" i="1" s="1"/>
  <c r="K101" i="1"/>
  <c r="P101" i="1" s="1"/>
  <c r="K100" i="1"/>
  <c r="P100" i="1" s="1"/>
  <c r="K99" i="1"/>
  <c r="P99" i="1" s="1"/>
  <c r="K98" i="1"/>
  <c r="P98" i="1" s="1"/>
  <c r="K97" i="1"/>
  <c r="P97" i="1" s="1"/>
  <c r="K96" i="1"/>
  <c r="P96" i="1" s="1"/>
  <c r="K95" i="1"/>
  <c r="P95" i="1" s="1"/>
  <c r="K94" i="1"/>
  <c r="P94" i="1" s="1"/>
  <c r="K93" i="1"/>
  <c r="P93" i="1" s="1"/>
  <c r="K92" i="1"/>
  <c r="P92" i="1" s="1"/>
  <c r="K91" i="1"/>
  <c r="P91" i="1" s="1"/>
  <c r="K90" i="1"/>
  <c r="P90" i="1" s="1"/>
  <c r="K89" i="1"/>
  <c r="P89" i="1" s="1"/>
  <c r="K88" i="1"/>
  <c r="P88" i="1" s="1"/>
  <c r="K87" i="1"/>
  <c r="P87" i="1" s="1"/>
  <c r="K86" i="1"/>
  <c r="P86" i="1" s="1"/>
  <c r="K85" i="1"/>
  <c r="P85" i="1" s="1"/>
  <c r="K84" i="1"/>
  <c r="P84" i="1" s="1"/>
  <c r="K83" i="1"/>
  <c r="P83" i="1" s="1"/>
  <c r="K82" i="1"/>
  <c r="P82" i="1" s="1"/>
  <c r="K81" i="1"/>
  <c r="P81" i="1" s="1"/>
  <c r="K80" i="1"/>
  <c r="P80" i="1" s="1"/>
  <c r="K79" i="1"/>
  <c r="P79" i="1" s="1"/>
  <c r="K78" i="1"/>
  <c r="P78" i="1" s="1"/>
  <c r="K77" i="1"/>
  <c r="P77" i="1" s="1"/>
  <c r="K76" i="1"/>
  <c r="P76" i="1" s="1"/>
  <c r="K75" i="1"/>
  <c r="P75" i="1" s="1"/>
  <c r="K74" i="1"/>
  <c r="P74" i="1" s="1"/>
  <c r="K73" i="1"/>
  <c r="P73" i="1" s="1"/>
  <c r="K72" i="1"/>
  <c r="P72" i="1" s="1"/>
  <c r="K71" i="1"/>
  <c r="P71" i="1" s="1"/>
  <c r="K70" i="1"/>
  <c r="P70" i="1" s="1"/>
  <c r="K69" i="1"/>
  <c r="P69" i="1" s="1"/>
  <c r="K68" i="1"/>
  <c r="P68" i="1" s="1"/>
  <c r="K67" i="1"/>
  <c r="P67" i="1" s="1"/>
  <c r="K66" i="1"/>
  <c r="P66" i="1" s="1"/>
  <c r="K65" i="1"/>
  <c r="P65" i="1" s="1"/>
  <c r="K64" i="1"/>
  <c r="P64" i="1" s="1"/>
  <c r="K63" i="1"/>
  <c r="P63" i="1" s="1"/>
  <c r="K62" i="1"/>
  <c r="P62" i="1" s="1"/>
  <c r="K61" i="1"/>
  <c r="P61" i="1" s="1"/>
  <c r="K60" i="1"/>
  <c r="P60" i="1" s="1"/>
  <c r="K59" i="1"/>
  <c r="P59" i="1" s="1"/>
  <c r="K58" i="1"/>
  <c r="P58" i="1" s="1"/>
  <c r="K57" i="1"/>
  <c r="P57" i="1" s="1"/>
  <c r="K56" i="1"/>
  <c r="P56" i="1" s="1"/>
  <c r="K55" i="1"/>
  <c r="P55" i="1" s="1"/>
  <c r="K54" i="1"/>
  <c r="P54" i="1" s="1"/>
  <c r="K53" i="1"/>
  <c r="P53" i="1" s="1"/>
  <c r="K52" i="1"/>
  <c r="P52" i="1" s="1"/>
  <c r="K51" i="1"/>
  <c r="P51" i="1" s="1"/>
  <c r="K50" i="1"/>
  <c r="P50" i="1" s="1"/>
  <c r="K49" i="1"/>
  <c r="P49" i="1" s="1"/>
  <c r="K48" i="1"/>
  <c r="P48" i="1" s="1"/>
  <c r="K47" i="1"/>
  <c r="P47" i="1" s="1"/>
  <c r="K46" i="1"/>
  <c r="P46" i="1" s="1"/>
  <c r="K45" i="1"/>
  <c r="P45" i="1" s="1"/>
  <c r="K44" i="1"/>
  <c r="P44" i="1" s="1"/>
  <c r="K43" i="1"/>
  <c r="P43" i="1" s="1"/>
  <c r="K42" i="1"/>
  <c r="P42" i="1" s="1"/>
  <c r="K41" i="1"/>
  <c r="P41" i="1" s="1"/>
  <c r="K40" i="1"/>
  <c r="P40" i="1" s="1"/>
  <c r="K39" i="1"/>
  <c r="P39" i="1" s="1"/>
  <c r="K38" i="1"/>
  <c r="P38" i="1" s="1"/>
  <c r="K37" i="1"/>
  <c r="P37" i="1" s="1"/>
  <c r="K36" i="1"/>
  <c r="P36" i="1" s="1"/>
  <c r="K35" i="1"/>
  <c r="P35" i="1" s="1"/>
  <c r="K34" i="1"/>
  <c r="P34" i="1" s="1"/>
  <c r="K33" i="1"/>
  <c r="P33" i="1" s="1"/>
  <c r="K32" i="1"/>
  <c r="P32" i="1" s="1"/>
  <c r="K31" i="1"/>
  <c r="P31" i="1" s="1"/>
  <c r="K30" i="1"/>
  <c r="P30" i="1" s="1"/>
  <c r="K29" i="1"/>
  <c r="P29" i="1" s="1"/>
  <c r="K28" i="1"/>
  <c r="P28" i="1" s="1"/>
  <c r="K27" i="1"/>
  <c r="P27" i="1" s="1"/>
  <c r="K26" i="1"/>
  <c r="P26" i="1" s="1"/>
  <c r="K25" i="1"/>
  <c r="P25" i="1" s="1"/>
  <c r="K24" i="1"/>
  <c r="P24" i="1" s="1"/>
  <c r="K23" i="1"/>
  <c r="P23" i="1" s="1"/>
  <c r="K22" i="1"/>
  <c r="P22" i="1" s="1"/>
  <c r="K21" i="1"/>
  <c r="P21" i="1" s="1"/>
  <c r="K20" i="1"/>
  <c r="P20" i="1" s="1"/>
  <c r="K19" i="1"/>
  <c r="P19" i="1" s="1"/>
  <c r="K18" i="1"/>
  <c r="P18" i="1" s="1"/>
  <c r="K17" i="1"/>
  <c r="P17" i="1" s="1"/>
  <c r="K16" i="1"/>
  <c r="P16" i="1" s="1"/>
  <c r="K15" i="1"/>
  <c r="P15" i="1" s="1"/>
  <c r="K14" i="1"/>
  <c r="P14" i="1" s="1"/>
  <c r="K13" i="1"/>
  <c r="P13" i="1" s="1"/>
  <c r="K12" i="1"/>
  <c r="P12" i="1" s="1"/>
  <c r="K11" i="1"/>
  <c r="P11" i="1" s="1"/>
  <c r="K10" i="1"/>
  <c r="P10" i="1" s="1"/>
  <c r="K9" i="1"/>
  <c r="P9" i="1" s="1"/>
  <c r="K8" i="1"/>
  <c r="P8" i="1" s="1"/>
  <c r="K7" i="1"/>
  <c r="P7" i="1" s="1"/>
  <c r="K6" i="1"/>
  <c r="P6" i="1" s="1"/>
  <c r="K5" i="1"/>
  <c r="P5" i="1" s="1"/>
  <c r="K4" i="1"/>
  <c r="P4" i="1" s="1"/>
  <c r="K3" i="1"/>
  <c r="P3" i="1" s="1"/>
  <c r="J2500" i="1"/>
  <c r="O2500" i="1" s="1"/>
  <c r="J2499" i="1"/>
  <c r="O2499" i="1" s="1"/>
  <c r="J2498" i="1"/>
  <c r="O2498" i="1" s="1"/>
  <c r="J2497" i="1"/>
  <c r="O2497" i="1" s="1"/>
  <c r="J2496" i="1"/>
  <c r="O2496" i="1" s="1"/>
  <c r="J2495" i="1"/>
  <c r="O2495" i="1" s="1"/>
  <c r="J2494" i="1"/>
  <c r="O2494" i="1" s="1"/>
  <c r="J2493" i="1"/>
  <c r="O2493" i="1" s="1"/>
  <c r="J2492" i="1"/>
  <c r="O2492" i="1" s="1"/>
  <c r="J2491" i="1"/>
  <c r="O2491" i="1" s="1"/>
  <c r="J2490" i="1"/>
  <c r="O2490" i="1" s="1"/>
  <c r="J2489" i="1"/>
  <c r="O2489" i="1" s="1"/>
  <c r="J2488" i="1"/>
  <c r="O2488" i="1" s="1"/>
  <c r="J2487" i="1"/>
  <c r="O2487" i="1" s="1"/>
  <c r="J2486" i="1"/>
  <c r="O2486" i="1" s="1"/>
  <c r="J2485" i="1"/>
  <c r="O2485" i="1" s="1"/>
  <c r="J2484" i="1"/>
  <c r="O2484" i="1" s="1"/>
  <c r="J2483" i="1"/>
  <c r="O2483" i="1" s="1"/>
  <c r="J2482" i="1"/>
  <c r="O2482" i="1" s="1"/>
  <c r="J2481" i="1"/>
  <c r="O2481" i="1" s="1"/>
  <c r="J2480" i="1"/>
  <c r="O2480" i="1" s="1"/>
  <c r="J2479" i="1"/>
  <c r="O2479" i="1" s="1"/>
  <c r="J2478" i="1"/>
  <c r="O2478" i="1" s="1"/>
  <c r="J2477" i="1"/>
  <c r="O2477" i="1" s="1"/>
  <c r="J2476" i="1"/>
  <c r="O2476" i="1" s="1"/>
  <c r="J2475" i="1"/>
  <c r="O2475" i="1" s="1"/>
  <c r="J2474" i="1"/>
  <c r="O2474" i="1" s="1"/>
  <c r="J2473" i="1"/>
  <c r="O2473" i="1" s="1"/>
  <c r="J2472" i="1"/>
  <c r="O2472" i="1" s="1"/>
  <c r="J2471" i="1"/>
  <c r="O2471" i="1" s="1"/>
  <c r="J2470" i="1"/>
  <c r="O2470" i="1" s="1"/>
  <c r="J2469" i="1"/>
  <c r="O2469" i="1" s="1"/>
  <c r="J2468" i="1"/>
  <c r="O2468" i="1" s="1"/>
  <c r="J2467" i="1"/>
  <c r="O2467" i="1" s="1"/>
  <c r="J2466" i="1"/>
  <c r="O2466" i="1" s="1"/>
  <c r="J2465" i="1"/>
  <c r="O2465" i="1" s="1"/>
  <c r="J2464" i="1"/>
  <c r="O2464" i="1" s="1"/>
  <c r="J2463" i="1"/>
  <c r="O2463" i="1" s="1"/>
  <c r="J2462" i="1"/>
  <c r="O2462" i="1" s="1"/>
  <c r="J2461" i="1"/>
  <c r="O2461" i="1" s="1"/>
  <c r="J2460" i="1"/>
  <c r="O2460" i="1" s="1"/>
  <c r="J2459" i="1"/>
  <c r="O2459" i="1" s="1"/>
  <c r="J2458" i="1"/>
  <c r="O2458" i="1" s="1"/>
  <c r="J2457" i="1"/>
  <c r="O2457" i="1" s="1"/>
  <c r="J2456" i="1"/>
  <c r="O2456" i="1" s="1"/>
  <c r="J2455" i="1"/>
  <c r="O2455" i="1" s="1"/>
  <c r="J2454" i="1"/>
  <c r="O2454" i="1" s="1"/>
  <c r="J2453" i="1"/>
  <c r="O2453" i="1" s="1"/>
  <c r="J2452" i="1"/>
  <c r="O2452" i="1" s="1"/>
  <c r="J2451" i="1"/>
  <c r="O2451" i="1" s="1"/>
  <c r="J2450" i="1"/>
  <c r="O2450" i="1" s="1"/>
  <c r="J2449" i="1"/>
  <c r="O2449" i="1" s="1"/>
  <c r="J2448" i="1"/>
  <c r="O2448" i="1" s="1"/>
  <c r="J2447" i="1"/>
  <c r="O2447" i="1" s="1"/>
  <c r="J2446" i="1"/>
  <c r="O2446" i="1" s="1"/>
  <c r="J2445" i="1"/>
  <c r="O2445" i="1" s="1"/>
  <c r="J2444" i="1"/>
  <c r="O2444" i="1" s="1"/>
  <c r="J2443" i="1"/>
  <c r="O2443" i="1" s="1"/>
  <c r="J2442" i="1"/>
  <c r="O2442" i="1" s="1"/>
  <c r="J2441" i="1"/>
  <c r="O2441" i="1" s="1"/>
  <c r="J2440" i="1"/>
  <c r="O2440" i="1" s="1"/>
  <c r="J2439" i="1"/>
  <c r="O2439" i="1" s="1"/>
  <c r="J2438" i="1"/>
  <c r="O2438" i="1" s="1"/>
  <c r="J2437" i="1"/>
  <c r="O2437" i="1" s="1"/>
  <c r="J2436" i="1"/>
  <c r="O2436" i="1" s="1"/>
  <c r="J2435" i="1"/>
  <c r="O2435" i="1" s="1"/>
  <c r="J2434" i="1"/>
  <c r="O2434" i="1" s="1"/>
  <c r="J2433" i="1"/>
  <c r="O2433" i="1" s="1"/>
  <c r="J2432" i="1"/>
  <c r="O2432" i="1" s="1"/>
  <c r="J2431" i="1"/>
  <c r="O2431" i="1" s="1"/>
  <c r="J2430" i="1"/>
  <c r="O2430" i="1" s="1"/>
  <c r="J2429" i="1"/>
  <c r="O2429" i="1" s="1"/>
  <c r="J2428" i="1"/>
  <c r="O2428" i="1" s="1"/>
  <c r="J2427" i="1"/>
  <c r="O2427" i="1" s="1"/>
  <c r="J2426" i="1"/>
  <c r="O2426" i="1" s="1"/>
  <c r="J2425" i="1"/>
  <c r="O2425" i="1" s="1"/>
  <c r="J2424" i="1"/>
  <c r="O2424" i="1" s="1"/>
  <c r="J2423" i="1"/>
  <c r="O2423" i="1" s="1"/>
  <c r="J2422" i="1"/>
  <c r="O2422" i="1" s="1"/>
  <c r="J2421" i="1"/>
  <c r="O2421" i="1" s="1"/>
  <c r="J2420" i="1"/>
  <c r="O2420" i="1" s="1"/>
  <c r="J2419" i="1"/>
  <c r="O2419" i="1" s="1"/>
  <c r="J2418" i="1"/>
  <c r="O2418" i="1" s="1"/>
  <c r="J2417" i="1"/>
  <c r="O2417" i="1" s="1"/>
  <c r="J2416" i="1"/>
  <c r="O2416" i="1" s="1"/>
  <c r="J2415" i="1"/>
  <c r="O2415" i="1" s="1"/>
  <c r="J2414" i="1"/>
  <c r="O2414" i="1" s="1"/>
  <c r="J2413" i="1"/>
  <c r="O2413" i="1" s="1"/>
  <c r="J2412" i="1"/>
  <c r="O2412" i="1" s="1"/>
  <c r="J2411" i="1"/>
  <c r="O2411" i="1" s="1"/>
  <c r="J2410" i="1"/>
  <c r="O2410" i="1" s="1"/>
  <c r="J2409" i="1"/>
  <c r="O2409" i="1" s="1"/>
  <c r="J2408" i="1"/>
  <c r="O2408" i="1" s="1"/>
  <c r="J2407" i="1"/>
  <c r="O2407" i="1" s="1"/>
  <c r="J2406" i="1"/>
  <c r="O2406" i="1" s="1"/>
  <c r="J2405" i="1"/>
  <c r="O2405" i="1" s="1"/>
  <c r="J2404" i="1"/>
  <c r="O2404" i="1" s="1"/>
  <c r="J2403" i="1"/>
  <c r="O2403" i="1" s="1"/>
  <c r="J2402" i="1"/>
  <c r="O2402" i="1" s="1"/>
  <c r="J2401" i="1"/>
  <c r="O2401" i="1" s="1"/>
  <c r="J2400" i="1"/>
  <c r="O2400" i="1" s="1"/>
  <c r="J2399" i="1"/>
  <c r="O2399" i="1" s="1"/>
  <c r="J2398" i="1"/>
  <c r="O2398" i="1" s="1"/>
  <c r="J2397" i="1"/>
  <c r="O2397" i="1" s="1"/>
  <c r="J2396" i="1"/>
  <c r="O2396" i="1" s="1"/>
  <c r="J2395" i="1"/>
  <c r="O2395" i="1" s="1"/>
  <c r="J2394" i="1"/>
  <c r="O2394" i="1" s="1"/>
  <c r="J2393" i="1"/>
  <c r="O2393" i="1" s="1"/>
  <c r="J2392" i="1"/>
  <c r="O2392" i="1" s="1"/>
  <c r="J2391" i="1"/>
  <c r="O2391" i="1" s="1"/>
  <c r="J2390" i="1"/>
  <c r="O2390" i="1" s="1"/>
  <c r="J2389" i="1"/>
  <c r="O2389" i="1" s="1"/>
  <c r="J2388" i="1"/>
  <c r="O2388" i="1" s="1"/>
  <c r="J2387" i="1"/>
  <c r="O2387" i="1" s="1"/>
  <c r="J2386" i="1"/>
  <c r="O2386" i="1" s="1"/>
  <c r="J2385" i="1"/>
  <c r="O2385" i="1" s="1"/>
  <c r="J2384" i="1"/>
  <c r="O2384" i="1" s="1"/>
  <c r="J2383" i="1"/>
  <c r="O2383" i="1" s="1"/>
  <c r="J2382" i="1"/>
  <c r="O2382" i="1" s="1"/>
  <c r="J2381" i="1"/>
  <c r="O2381" i="1" s="1"/>
  <c r="J2380" i="1"/>
  <c r="O2380" i="1" s="1"/>
  <c r="J2379" i="1"/>
  <c r="O2379" i="1" s="1"/>
  <c r="J2378" i="1"/>
  <c r="O2378" i="1" s="1"/>
  <c r="J2377" i="1"/>
  <c r="O2377" i="1" s="1"/>
  <c r="J2376" i="1"/>
  <c r="O2376" i="1" s="1"/>
  <c r="J2375" i="1"/>
  <c r="O2375" i="1" s="1"/>
  <c r="J2374" i="1"/>
  <c r="O2374" i="1" s="1"/>
  <c r="J2373" i="1"/>
  <c r="O2373" i="1" s="1"/>
  <c r="J2372" i="1"/>
  <c r="O2372" i="1" s="1"/>
  <c r="J2371" i="1"/>
  <c r="O2371" i="1" s="1"/>
  <c r="J2370" i="1"/>
  <c r="O2370" i="1" s="1"/>
  <c r="J2369" i="1"/>
  <c r="O2369" i="1" s="1"/>
  <c r="J2368" i="1"/>
  <c r="O2368" i="1" s="1"/>
  <c r="J2367" i="1"/>
  <c r="O2367" i="1" s="1"/>
  <c r="J2366" i="1"/>
  <c r="O2366" i="1" s="1"/>
  <c r="J2365" i="1"/>
  <c r="O2365" i="1" s="1"/>
  <c r="J2364" i="1"/>
  <c r="O2364" i="1" s="1"/>
  <c r="J2363" i="1"/>
  <c r="O2363" i="1" s="1"/>
  <c r="J2362" i="1"/>
  <c r="O2362" i="1" s="1"/>
  <c r="J2361" i="1"/>
  <c r="O2361" i="1" s="1"/>
  <c r="J2360" i="1"/>
  <c r="O2360" i="1" s="1"/>
  <c r="J2359" i="1"/>
  <c r="O2359" i="1" s="1"/>
  <c r="J2358" i="1"/>
  <c r="O2358" i="1" s="1"/>
  <c r="J2357" i="1"/>
  <c r="O2357" i="1" s="1"/>
  <c r="J2356" i="1"/>
  <c r="O2356" i="1" s="1"/>
  <c r="J2355" i="1"/>
  <c r="O2355" i="1" s="1"/>
  <c r="J2354" i="1"/>
  <c r="O2354" i="1" s="1"/>
  <c r="J2353" i="1"/>
  <c r="O2353" i="1" s="1"/>
  <c r="J2352" i="1"/>
  <c r="O2352" i="1" s="1"/>
  <c r="J2351" i="1"/>
  <c r="O2351" i="1" s="1"/>
  <c r="J2350" i="1"/>
  <c r="O2350" i="1" s="1"/>
  <c r="J2349" i="1"/>
  <c r="O2349" i="1" s="1"/>
  <c r="J2348" i="1"/>
  <c r="O2348" i="1" s="1"/>
  <c r="J2347" i="1"/>
  <c r="O2347" i="1" s="1"/>
  <c r="J2346" i="1"/>
  <c r="O2346" i="1" s="1"/>
  <c r="J2345" i="1"/>
  <c r="O2345" i="1" s="1"/>
  <c r="J2344" i="1"/>
  <c r="O2344" i="1" s="1"/>
  <c r="J2343" i="1"/>
  <c r="O2343" i="1" s="1"/>
  <c r="J2342" i="1"/>
  <c r="O2342" i="1" s="1"/>
  <c r="J2341" i="1"/>
  <c r="O2341" i="1" s="1"/>
  <c r="J2340" i="1"/>
  <c r="O2340" i="1" s="1"/>
  <c r="J2339" i="1"/>
  <c r="O2339" i="1" s="1"/>
  <c r="J2338" i="1"/>
  <c r="O2338" i="1" s="1"/>
  <c r="J2337" i="1"/>
  <c r="O2337" i="1" s="1"/>
  <c r="J2336" i="1"/>
  <c r="O2336" i="1" s="1"/>
  <c r="J2335" i="1"/>
  <c r="O2335" i="1" s="1"/>
  <c r="J2334" i="1"/>
  <c r="O2334" i="1" s="1"/>
  <c r="J2333" i="1"/>
  <c r="O2333" i="1" s="1"/>
  <c r="J2332" i="1"/>
  <c r="O2332" i="1" s="1"/>
  <c r="J2331" i="1"/>
  <c r="O2331" i="1" s="1"/>
  <c r="J2330" i="1"/>
  <c r="O2330" i="1" s="1"/>
  <c r="J2329" i="1"/>
  <c r="O2329" i="1" s="1"/>
  <c r="J2328" i="1"/>
  <c r="O2328" i="1" s="1"/>
  <c r="J2327" i="1"/>
  <c r="O2327" i="1" s="1"/>
  <c r="J2326" i="1"/>
  <c r="O2326" i="1" s="1"/>
  <c r="J2325" i="1"/>
  <c r="O2325" i="1" s="1"/>
  <c r="J2324" i="1"/>
  <c r="O2324" i="1" s="1"/>
  <c r="J2323" i="1"/>
  <c r="O2323" i="1" s="1"/>
  <c r="J2322" i="1"/>
  <c r="O2322" i="1" s="1"/>
  <c r="J2321" i="1"/>
  <c r="O2321" i="1" s="1"/>
  <c r="J2320" i="1"/>
  <c r="O2320" i="1" s="1"/>
  <c r="J2319" i="1"/>
  <c r="O2319" i="1" s="1"/>
  <c r="J2318" i="1"/>
  <c r="O2318" i="1" s="1"/>
  <c r="J2317" i="1"/>
  <c r="O2317" i="1" s="1"/>
  <c r="J2316" i="1"/>
  <c r="O2316" i="1" s="1"/>
  <c r="J2315" i="1"/>
  <c r="O2315" i="1" s="1"/>
  <c r="J2314" i="1"/>
  <c r="O2314" i="1" s="1"/>
  <c r="J2313" i="1"/>
  <c r="O2313" i="1" s="1"/>
  <c r="J2312" i="1"/>
  <c r="O2312" i="1" s="1"/>
  <c r="J2311" i="1"/>
  <c r="O2311" i="1" s="1"/>
  <c r="J2310" i="1"/>
  <c r="O2310" i="1" s="1"/>
  <c r="J2309" i="1"/>
  <c r="O2309" i="1" s="1"/>
  <c r="J2308" i="1"/>
  <c r="O2308" i="1" s="1"/>
  <c r="J2307" i="1"/>
  <c r="O2307" i="1" s="1"/>
  <c r="J2306" i="1"/>
  <c r="O2306" i="1" s="1"/>
  <c r="J2305" i="1"/>
  <c r="O2305" i="1" s="1"/>
  <c r="J2304" i="1"/>
  <c r="O2304" i="1" s="1"/>
  <c r="J2303" i="1"/>
  <c r="O2303" i="1" s="1"/>
  <c r="J2302" i="1"/>
  <c r="O2302" i="1" s="1"/>
  <c r="J2301" i="1"/>
  <c r="O2301" i="1" s="1"/>
  <c r="J2300" i="1"/>
  <c r="O2300" i="1" s="1"/>
  <c r="J2299" i="1"/>
  <c r="O2299" i="1" s="1"/>
  <c r="J2298" i="1"/>
  <c r="O2298" i="1" s="1"/>
  <c r="J2297" i="1"/>
  <c r="O2297" i="1" s="1"/>
  <c r="J2296" i="1"/>
  <c r="O2296" i="1" s="1"/>
  <c r="J2295" i="1"/>
  <c r="O2295" i="1" s="1"/>
  <c r="J2294" i="1"/>
  <c r="O2294" i="1" s="1"/>
  <c r="J2293" i="1"/>
  <c r="O2293" i="1" s="1"/>
  <c r="J2292" i="1"/>
  <c r="O2292" i="1" s="1"/>
  <c r="J2291" i="1"/>
  <c r="O2291" i="1" s="1"/>
  <c r="J2290" i="1"/>
  <c r="O2290" i="1" s="1"/>
  <c r="J2289" i="1"/>
  <c r="O2289" i="1" s="1"/>
  <c r="J2288" i="1"/>
  <c r="O2288" i="1" s="1"/>
  <c r="J2287" i="1"/>
  <c r="O2287" i="1" s="1"/>
  <c r="J2286" i="1"/>
  <c r="O2286" i="1" s="1"/>
  <c r="J2285" i="1"/>
  <c r="O2285" i="1" s="1"/>
  <c r="J2284" i="1"/>
  <c r="O2284" i="1" s="1"/>
  <c r="J2283" i="1"/>
  <c r="O2283" i="1" s="1"/>
  <c r="J2282" i="1"/>
  <c r="O2282" i="1" s="1"/>
  <c r="J2281" i="1"/>
  <c r="O2281" i="1" s="1"/>
  <c r="J2280" i="1"/>
  <c r="O2280" i="1" s="1"/>
  <c r="J2279" i="1"/>
  <c r="O2279" i="1" s="1"/>
  <c r="J2278" i="1"/>
  <c r="O2278" i="1" s="1"/>
  <c r="J2277" i="1"/>
  <c r="O2277" i="1" s="1"/>
  <c r="J2276" i="1"/>
  <c r="O2276" i="1" s="1"/>
  <c r="J2275" i="1"/>
  <c r="O2275" i="1" s="1"/>
  <c r="J2274" i="1"/>
  <c r="O2274" i="1" s="1"/>
  <c r="J2273" i="1"/>
  <c r="O2273" i="1" s="1"/>
  <c r="J2272" i="1"/>
  <c r="O2272" i="1" s="1"/>
  <c r="J2271" i="1"/>
  <c r="O2271" i="1" s="1"/>
  <c r="J2270" i="1"/>
  <c r="O2270" i="1" s="1"/>
  <c r="J2269" i="1"/>
  <c r="O2269" i="1" s="1"/>
  <c r="J2268" i="1"/>
  <c r="O2268" i="1" s="1"/>
  <c r="J2267" i="1"/>
  <c r="O2267" i="1" s="1"/>
  <c r="J2266" i="1"/>
  <c r="O2266" i="1" s="1"/>
  <c r="J2265" i="1"/>
  <c r="O2265" i="1" s="1"/>
  <c r="J2264" i="1"/>
  <c r="O2264" i="1" s="1"/>
  <c r="J2263" i="1"/>
  <c r="O2263" i="1" s="1"/>
  <c r="J2262" i="1"/>
  <c r="O2262" i="1" s="1"/>
  <c r="J2261" i="1"/>
  <c r="O2261" i="1" s="1"/>
  <c r="J2260" i="1"/>
  <c r="O2260" i="1" s="1"/>
  <c r="J2259" i="1"/>
  <c r="O2259" i="1" s="1"/>
  <c r="J2258" i="1"/>
  <c r="O2258" i="1" s="1"/>
  <c r="J2257" i="1"/>
  <c r="O2257" i="1" s="1"/>
  <c r="J2256" i="1"/>
  <c r="O2256" i="1" s="1"/>
  <c r="J2255" i="1"/>
  <c r="O2255" i="1" s="1"/>
  <c r="J2254" i="1"/>
  <c r="O2254" i="1" s="1"/>
  <c r="J2253" i="1"/>
  <c r="O2253" i="1" s="1"/>
  <c r="J2252" i="1"/>
  <c r="O2252" i="1" s="1"/>
  <c r="J2251" i="1"/>
  <c r="O2251" i="1" s="1"/>
  <c r="J2250" i="1"/>
  <c r="O2250" i="1" s="1"/>
  <c r="J2249" i="1"/>
  <c r="O2249" i="1" s="1"/>
  <c r="J2248" i="1"/>
  <c r="O2248" i="1" s="1"/>
  <c r="J2247" i="1"/>
  <c r="O2247" i="1" s="1"/>
  <c r="J2246" i="1"/>
  <c r="O2246" i="1" s="1"/>
  <c r="J2245" i="1"/>
  <c r="O2245" i="1" s="1"/>
  <c r="J2244" i="1"/>
  <c r="O2244" i="1" s="1"/>
  <c r="J2243" i="1"/>
  <c r="O2243" i="1" s="1"/>
  <c r="J2242" i="1"/>
  <c r="O2242" i="1" s="1"/>
  <c r="J2241" i="1"/>
  <c r="O2241" i="1" s="1"/>
  <c r="J2240" i="1"/>
  <c r="O2240" i="1" s="1"/>
  <c r="J2239" i="1"/>
  <c r="O2239" i="1" s="1"/>
  <c r="J2238" i="1"/>
  <c r="O2238" i="1" s="1"/>
  <c r="J2237" i="1"/>
  <c r="O2237" i="1" s="1"/>
  <c r="J2236" i="1"/>
  <c r="O2236" i="1" s="1"/>
  <c r="J2235" i="1"/>
  <c r="O2235" i="1" s="1"/>
  <c r="J2234" i="1"/>
  <c r="O2234" i="1" s="1"/>
  <c r="J2233" i="1"/>
  <c r="O2233" i="1" s="1"/>
  <c r="J2232" i="1"/>
  <c r="O2232" i="1" s="1"/>
  <c r="J2231" i="1"/>
  <c r="O2231" i="1" s="1"/>
  <c r="J2230" i="1"/>
  <c r="O2230" i="1" s="1"/>
  <c r="J2229" i="1"/>
  <c r="O2229" i="1" s="1"/>
  <c r="J2228" i="1"/>
  <c r="O2228" i="1" s="1"/>
  <c r="J2227" i="1"/>
  <c r="O2227" i="1" s="1"/>
  <c r="J2226" i="1"/>
  <c r="O2226" i="1" s="1"/>
  <c r="J2225" i="1"/>
  <c r="O2225" i="1" s="1"/>
  <c r="J2224" i="1"/>
  <c r="O2224" i="1" s="1"/>
  <c r="J2223" i="1"/>
  <c r="O2223" i="1" s="1"/>
  <c r="J2222" i="1"/>
  <c r="O2222" i="1" s="1"/>
  <c r="J2221" i="1"/>
  <c r="O2221" i="1" s="1"/>
  <c r="J2220" i="1"/>
  <c r="O2220" i="1" s="1"/>
  <c r="J2219" i="1"/>
  <c r="O2219" i="1" s="1"/>
  <c r="J2218" i="1"/>
  <c r="O2218" i="1" s="1"/>
  <c r="J2217" i="1"/>
  <c r="O2217" i="1" s="1"/>
  <c r="J2216" i="1"/>
  <c r="O2216" i="1" s="1"/>
  <c r="J2215" i="1"/>
  <c r="O2215" i="1" s="1"/>
  <c r="J2214" i="1"/>
  <c r="O2214" i="1" s="1"/>
  <c r="J2213" i="1"/>
  <c r="O2213" i="1" s="1"/>
  <c r="J2212" i="1"/>
  <c r="O2212" i="1" s="1"/>
  <c r="J2211" i="1"/>
  <c r="O2211" i="1" s="1"/>
  <c r="J2210" i="1"/>
  <c r="O2210" i="1" s="1"/>
  <c r="J2209" i="1"/>
  <c r="O2209" i="1" s="1"/>
  <c r="J2208" i="1"/>
  <c r="O2208" i="1" s="1"/>
  <c r="J2207" i="1"/>
  <c r="O2207" i="1" s="1"/>
  <c r="J2206" i="1"/>
  <c r="O2206" i="1" s="1"/>
  <c r="J2205" i="1"/>
  <c r="O2205" i="1" s="1"/>
  <c r="J2204" i="1"/>
  <c r="O2204" i="1" s="1"/>
  <c r="J2203" i="1"/>
  <c r="O2203" i="1" s="1"/>
  <c r="J2202" i="1"/>
  <c r="O2202" i="1" s="1"/>
  <c r="J2201" i="1"/>
  <c r="O2201" i="1" s="1"/>
  <c r="J2200" i="1"/>
  <c r="O2200" i="1" s="1"/>
  <c r="J2199" i="1"/>
  <c r="O2199" i="1" s="1"/>
  <c r="J2198" i="1"/>
  <c r="O2198" i="1" s="1"/>
  <c r="J2197" i="1"/>
  <c r="O2197" i="1" s="1"/>
  <c r="J2196" i="1"/>
  <c r="O2196" i="1" s="1"/>
  <c r="J2195" i="1"/>
  <c r="O2195" i="1" s="1"/>
  <c r="J2194" i="1"/>
  <c r="O2194" i="1" s="1"/>
  <c r="J2193" i="1"/>
  <c r="O2193" i="1" s="1"/>
  <c r="J2192" i="1"/>
  <c r="O2192" i="1" s="1"/>
  <c r="J2191" i="1"/>
  <c r="O2191" i="1" s="1"/>
  <c r="J2190" i="1"/>
  <c r="O2190" i="1" s="1"/>
  <c r="J2189" i="1"/>
  <c r="O2189" i="1" s="1"/>
  <c r="J2188" i="1"/>
  <c r="O2188" i="1" s="1"/>
  <c r="J2187" i="1"/>
  <c r="O2187" i="1" s="1"/>
  <c r="J2186" i="1"/>
  <c r="O2186" i="1" s="1"/>
  <c r="J2185" i="1"/>
  <c r="O2185" i="1" s="1"/>
  <c r="J2184" i="1"/>
  <c r="O2184" i="1" s="1"/>
  <c r="J2183" i="1"/>
  <c r="O2183" i="1" s="1"/>
  <c r="J2182" i="1"/>
  <c r="O2182" i="1" s="1"/>
  <c r="J2181" i="1"/>
  <c r="O2181" i="1" s="1"/>
  <c r="J2180" i="1"/>
  <c r="O2180" i="1" s="1"/>
  <c r="J2179" i="1"/>
  <c r="O2179" i="1" s="1"/>
  <c r="J2178" i="1"/>
  <c r="O2178" i="1" s="1"/>
  <c r="J2177" i="1"/>
  <c r="O2177" i="1" s="1"/>
  <c r="J2176" i="1"/>
  <c r="O2176" i="1" s="1"/>
  <c r="J2175" i="1"/>
  <c r="O2175" i="1" s="1"/>
  <c r="J2174" i="1"/>
  <c r="O2174" i="1" s="1"/>
  <c r="J2173" i="1"/>
  <c r="O2173" i="1" s="1"/>
  <c r="J2172" i="1"/>
  <c r="O2172" i="1" s="1"/>
  <c r="J2171" i="1"/>
  <c r="O2171" i="1" s="1"/>
  <c r="J2170" i="1"/>
  <c r="O2170" i="1" s="1"/>
  <c r="J2169" i="1"/>
  <c r="O2169" i="1" s="1"/>
  <c r="J2168" i="1"/>
  <c r="O2168" i="1" s="1"/>
  <c r="J2167" i="1"/>
  <c r="O2167" i="1" s="1"/>
  <c r="J2166" i="1"/>
  <c r="O2166" i="1" s="1"/>
  <c r="J2165" i="1"/>
  <c r="O2165" i="1" s="1"/>
  <c r="J2164" i="1"/>
  <c r="O2164" i="1" s="1"/>
  <c r="J2163" i="1"/>
  <c r="O2163" i="1" s="1"/>
  <c r="J2162" i="1"/>
  <c r="O2162" i="1" s="1"/>
  <c r="J2161" i="1"/>
  <c r="O2161" i="1" s="1"/>
  <c r="J2160" i="1"/>
  <c r="O2160" i="1" s="1"/>
  <c r="J2159" i="1"/>
  <c r="O2159" i="1" s="1"/>
  <c r="J2158" i="1"/>
  <c r="O2158" i="1" s="1"/>
  <c r="J2157" i="1"/>
  <c r="O2157" i="1" s="1"/>
  <c r="J2156" i="1"/>
  <c r="O2156" i="1" s="1"/>
  <c r="J2155" i="1"/>
  <c r="O2155" i="1" s="1"/>
  <c r="J2154" i="1"/>
  <c r="O2154" i="1" s="1"/>
  <c r="J2153" i="1"/>
  <c r="O2153" i="1" s="1"/>
  <c r="J2152" i="1"/>
  <c r="O2152" i="1" s="1"/>
  <c r="J2151" i="1"/>
  <c r="O2151" i="1" s="1"/>
  <c r="J2150" i="1"/>
  <c r="O2150" i="1" s="1"/>
  <c r="J2149" i="1"/>
  <c r="O2149" i="1" s="1"/>
  <c r="J2148" i="1"/>
  <c r="O2148" i="1" s="1"/>
  <c r="J2147" i="1"/>
  <c r="O2147" i="1" s="1"/>
  <c r="J2146" i="1"/>
  <c r="O2146" i="1" s="1"/>
  <c r="J2145" i="1"/>
  <c r="O2145" i="1" s="1"/>
  <c r="J2144" i="1"/>
  <c r="O2144" i="1" s="1"/>
  <c r="J2143" i="1"/>
  <c r="O2143" i="1" s="1"/>
  <c r="J2142" i="1"/>
  <c r="O2142" i="1" s="1"/>
  <c r="J2141" i="1"/>
  <c r="O2141" i="1" s="1"/>
  <c r="J2140" i="1"/>
  <c r="O2140" i="1" s="1"/>
  <c r="J2139" i="1"/>
  <c r="O2139" i="1" s="1"/>
  <c r="J2138" i="1"/>
  <c r="O2138" i="1" s="1"/>
  <c r="J2137" i="1"/>
  <c r="O2137" i="1" s="1"/>
  <c r="J2136" i="1"/>
  <c r="O2136" i="1" s="1"/>
  <c r="J2135" i="1"/>
  <c r="O2135" i="1" s="1"/>
  <c r="J2134" i="1"/>
  <c r="O2134" i="1" s="1"/>
  <c r="J2133" i="1"/>
  <c r="O2133" i="1" s="1"/>
  <c r="J2132" i="1"/>
  <c r="O2132" i="1" s="1"/>
  <c r="J2131" i="1"/>
  <c r="O2131" i="1" s="1"/>
  <c r="J2130" i="1"/>
  <c r="O2130" i="1" s="1"/>
  <c r="J2129" i="1"/>
  <c r="O2129" i="1" s="1"/>
  <c r="J2128" i="1"/>
  <c r="O2128" i="1" s="1"/>
  <c r="J2127" i="1"/>
  <c r="O2127" i="1" s="1"/>
  <c r="J2126" i="1"/>
  <c r="O2126" i="1" s="1"/>
  <c r="J2125" i="1"/>
  <c r="O2125" i="1" s="1"/>
  <c r="J2124" i="1"/>
  <c r="O2124" i="1" s="1"/>
  <c r="J2123" i="1"/>
  <c r="O2123" i="1" s="1"/>
  <c r="J2122" i="1"/>
  <c r="O2122" i="1" s="1"/>
  <c r="J2121" i="1"/>
  <c r="O2121" i="1" s="1"/>
  <c r="J2120" i="1"/>
  <c r="O2120" i="1" s="1"/>
  <c r="J2119" i="1"/>
  <c r="O2119" i="1" s="1"/>
  <c r="J2118" i="1"/>
  <c r="O2118" i="1" s="1"/>
  <c r="J2117" i="1"/>
  <c r="O2117" i="1" s="1"/>
  <c r="J2116" i="1"/>
  <c r="O2116" i="1" s="1"/>
  <c r="J2115" i="1"/>
  <c r="O2115" i="1" s="1"/>
  <c r="J2114" i="1"/>
  <c r="O2114" i="1" s="1"/>
  <c r="J2113" i="1"/>
  <c r="O2113" i="1" s="1"/>
  <c r="J2112" i="1"/>
  <c r="O2112" i="1" s="1"/>
  <c r="J2111" i="1"/>
  <c r="O2111" i="1" s="1"/>
  <c r="J2110" i="1"/>
  <c r="O2110" i="1" s="1"/>
  <c r="J2109" i="1"/>
  <c r="O2109" i="1" s="1"/>
  <c r="J2108" i="1"/>
  <c r="O2108" i="1" s="1"/>
  <c r="J2107" i="1"/>
  <c r="O2107" i="1" s="1"/>
  <c r="J2106" i="1"/>
  <c r="O2106" i="1" s="1"/>
  <c r="J2105" i="1"/>
  <c r="O2105" i="1" s="1"/>
  <c r="J2104" i="1"/>
  <c r="O2104" i="1" s="1"/>
  <c r="J2103" i="1"/>
  <c r="O2103" i="1" s="1"/>
  <c r="J2102" i="1"/>
  <c r="O2102" i="1" s="1"/>
  <c r="J2101" i="1"/>
  <c r="O2101" i="1" s="1"/>
  <c r="J2100" i="1"/>
  <c r="O2100" i="1" s="1"/>
  <c r="J2099" i="1"/>
  <c r="O2099" i="1" s="1"/>
  <c r="J2098" i="1"/>
  <c r="O2098" i="1" s="1"/>
  <c r="J2097" i="1"/>
  <c r="O2097" i="1" s="1"/>
  <c r="J2096" i="1"/>
  <c r="O2096" i="1" s="1"/>
  <c r="J2095" i="1"/>
  <c r="O2095" i="1" s="1"/>
  <c r="J2094" i="1"/>
  <c r="O2094" i="1" s="1"/>
  <c r="J2093" i="1"/>
  <c r="O2093" i="1" s="1"/>
  <c r="J2092" i="1"/>
  <c r="O2092" i="1" s="1"/>
  <c r="J2091" i="1"/>
  <c r="O2091" i="1" s="1"/>
  <c r="J2090" i="1"/>
  <c r="O2090" i="1" s="1"/>
  <c r="J2089" i="1"/>
  <c r="O2089" i="1" s="1"/>
  <c r="J2088" i="1"/>
  <c r="O2088" i="1" s="1"/>
  <c r="J2087" i="1"/>
  <c r="O2087" i="1" s="1"/>
  <c r="J2086" i="1"/>
  <c r="O2086" i="1" s="1"/>
  <c r="J2085" i="1"/>
  <c r="O2085" i="1" s="1"/>
  <c r="J2084" i="1"/>
  <c r="O2084" i="1" s="1"/>
  <c r="J2083" i="1"/>
  <c r="O2083" i="1" s="1"/>
  <c r="J2082" i="1"/>
  <c r="O2082" i="1" s="1"/>
  <c r="J2081" i="1"/>
  <c r="O2081" i="1" s="1"/>
  <c r="J2080" i="1"/>
  <c r="O2080" i="1" s="1"/>
  <c r="J2079" i="1"/>
  <c r="O2079" i="1" s="1"/>
  <c r="J2078" i="1"/>
  <c r="O2078" i="1" s="1"/>
  <c r="J2077" i="1"/>
  <c r="O2077" i="1" s="1"/>
  <c r="J2076" i="1"/>
  <c r="O2076" i="1" s="1"/>
  <c r="J2075" i="1"/>
  <c r="O2075" i="1" s="1"/>
  <c r="J2074" i="1"/>
  <c r="O2074" i="1" s="1"/>
  <c r="J2073" i="1"/>
  <c r="O2073" i="1" s="1"/>
  <c r="J2072" i="1"/>
  <c r="O2072" i="1" s="1"/>
  <c r="J2071" i="1"/>
  <c r="O2071" i="1" s="1"/>
  <c r="J2070" i="1"/>
  <c r="O2070" i="1" s="1"/>
  <c r="J2069" i="1"/>
  <c r="O2069" i="1" s="1"/>
  <c r="J2068" i="1"/>
  <c r="O2068" i="1" s="1"/>
  <c r="J2067" i="1"/>
  <c r="O2067" i="1" s="1"/>
  <c r="J2066" i="1"/>
  <c r="O2066" i="1" s="1"/>
  <c r="J2065" i="1"/>
  <c r="O2065" i="1" s="1"/>
  <c r="J2064" i="1"/>
  <c r="O2064" i="1" s="1"/>
  <c r="J2063" i="1"/>
  <c r="O2063" i="1" s="1"/>
  <c r="J2062" i="1"/>
  <c r="O2062" i="1" s="1"/>
  <c r="J2061" i="1"/>
  <c r="O2061" i="1" s="1"/>
  <c r="J2060" i="1"/>
  <c r="O2060" i="1" s="1"/>
  <c r="J2059" i="1"/>
  <c r="O2059" i="1" s="1"/>
  <c r="J2058" i="1"/>
  <c r="O2058" i="1" s="1"/>
  <c r="J2057" i="1"/>
  <c r="O2057" i="1" s="1"/>
  <c r="J2056" i="1"/>
  <c r="O2056" i="1" s="1"/>
  <c r="J2055" i="1"/>
  <c r="O2055" i="1" s="1"/>
  <c r="J2054" i="1"/>
  <c r="O2054" i="1" s="1"/>
  <c r="J2053" i="1"/>
  <c r="O2053" i="1" s="1"/>
  <c r="J2052" i="1"/>
  <c r="O2052" i="1" s="1"/>
  <c r="J2051" i="1"/>
  <c r="O2051" i="1" s="1"/>
  <c r="J2050" i="1"/>
  <c r="O2050" i="1" s="1"/>
  <c r="J2049" i="1"/>
  <c r="O2049" i="1" s="1"/>
  <c r="J2048" i="1"/>
  <c r="O2048" i="1" s="1"/>
  <c r="J2047" i="1"/>
  <c r="O2047" i="1" s="1"/>
  <c r="J2046" i="1"/>
  <c r="O2046" i="1" s="1"/>
  <c r="J2045" i="1"/>
  <c r="O2045" i="1" s="1"/>
  <c r="J2044" i="1"/>
  <c r="O2044" i="1" s="1"/>
  <c r="J2043" i="1"/>
  <c r="O2043" i="1" s="1"/>
  <c r="J2042" i="1"/>
  <c r="O2042" i="1" s="1"/>
  <c r="J2041" i="1"/>
  <c r="O2041" i="1" s="1"/>
  <c r="J2040" i="1"/>
  <c r="O2040" i="1" s="1"/>
  <c r="J2039" i="1"/>
  <c r="O2039" i="1" s="1"/>
  <c r="J2038" i="1"/>
  <c r="O2038" i="1" s="1"/>
  <c r="J2037" i="1"/>
  <c r="O2037" i="1" s="1"/>
  <c r="J2036" i="1"/>
  <c r="O2036" i="1" s="1"/>
  <c r="J2035" i="1"/>
  <c r="O2035" i="1" s="1"/>
  <c r="J2034" i="1"/>
  <c r="O2034" i="1" s="1"/>
  <c r="J2033" i="1"/>
  <c r="O2033" i="1" s="1"/>
  <c r="J2032" i="1"/>
  <c r="O2032" i="1" s="1"/>
  <c r="J2031" i="1"/>
  <c r="O2031" i="1" s="1"/>
  <c r="J2030" i="1"/>
  <c r="O2030" i="1" s="1"/>
  <c r="J2029" i="1"/>
  <c r="O2029" i="1" s="1"/>
  <c r="J2028" i="1"/>
  <c r="O2028" i="1" s="1"/>
  <c r="J2027" i="1"/>
  <c r="O2027" i="1" s="1"/>
  <c r="J2026" i="1"/>
  <c r="O2026" i="1" s="1"/>
  <c r="J2025" i="1"/>
  <c r="O2025" i="1" s="1"/>
  <c r="J2024" i="1"/>
  <c r="O2024" i="1" s="1"/>
  <c r="J2023" i="1"/>
  <c r="O2023" i="1" s="1"/>
  <c r="J2022" i="1"/>
  <c r="O2022" i="1" s="1"/>
  <c r="J2021" i="1"/>
  <c r="O2021" i="1" s="1"/>
  <c r="J2020" i="1"/>
  <c r="O2020" i="1" s="1"/>
  <c r="J2019" i="1"/>
  <c r="O2019" i="1" s="1"/>
  <c r="J2018" i="1"/>
  <c r="O2018" i="1" s="1"/>
  <c r="J2017" i="1"/>
  <c r="O2017" i="1" s="1"/>
  <c r="J2016" i="1"/>
  <c r="O2016" i="1" s="1"/>
  <c r="J2015" i="1"/>
  <c r="O2015" i="1" s="1"/>
  <c r="J2014" i="1"/>
  <c r="O2014" i="1" s="1"/>
  <c r="J2013" i="1"/>
  <c r="O2013" i="1" s="1"/>
  <c r="J2012" i="1"/>
  <c r="O2012" i="1" s="1"/>
  <c r="J2011" i="1"/>
  <c r="O2011" i="1" s="1"/>
  <c r="J2010" i="1"/>
  <c r="O2010" i="1" s="1"/>
  <c r="J2009" i="1"/>
  <c r="O2009" i="1" s="1"/>
  <c r="J2008" i="1"/>
  <c r="O2008" i="1" s="1"/>
  <c r="J2007" i="1"/>
  <c r="O2007" i="1" s="1"/>
  <c r="J2006" i="1"/>
  <c r="O2006" i="1" s="1"/>
  <c r="J2005" i="1"/>
  <c r="O2005" i="1" s="1"/>
  <c r="J2004" i="1"/>
  <c r="O2004" i="1" s="1"/>
  <c r="J2003" i="1"/>
  <c r="O2003" i="1" s="1"/>
  <c r="J2002" i="1"/>
  <c r="O2002" i="1" s="1"/>
  <c r="J2001" i="1"/>
  <c r="O2001" i="1" s="1"/>
  <c r="J2000" i="1"/>
  <c r="O2000" i="1" s="1"/>
  <c r="J1999" i="1"/>
  <c r="O1999" i="1" s="1"/>
  <c r="J1998" i="1"/>
  <c r="O1998" i="1" s="1"/>
  <c r="J1997" i="1"/>
  <c r="O1997" i="1" s="1"/>
  <c r="J1996" i="1"/>
  <c r="O1996" i="1" s="1"/>
  <c r="J1995" i="1"/>
  <c r="O1995" i="1" s="1"/>
  <c r="J1994" i="1"/>
  <c r="O1994" i="1" s="1"/>
  <c r="J1993" i="1"/>
  <c r="O1993" i="1" s="1"/>
  <c r="J1992" i="1"/>
  <c r="O1992" i="1" s="1"/>
  <c r="J1991" i="1"/>
  <c r="O1991" i="1" s="1"/>
  <c r="J1990" i="1"/>
  <c r="O1990" i="1" s="1"/>
  <c r="J1989" i="1"/>
  <c r="O1989" i="1" s="1"/>
  <c r="J1988" i="1"/>
  <c r="O1988" i="1" s="1"/>
  <c r="J1987" i="1"/>
  <c r="O1987" i="1" s="1"/>
  <c r="J1986" i="1"/>
  <c r="O1986" i="1" s="1"/>
  <c r="J1985" i="1"/>
  <c r="O1985" i="1" s="1"/>
  <c r="J1984" i="1"/>
  <c r="O1984" i="1" s="1"/>
  <c r="J1983" i="1"/>
  <c r="O1983" i="1" s="1"/>
  <c r="J1982" i="1"/>
  <c r="O1982" i="1" s="1"/>
  <c r="J1981" i="1"/>
  <c r="O1981" i="1" s="1"/>
  <c r="J1980" i="1"/>
  <c r="O1980" i="1" s="1"/>
  <c r="J1979" i="1"/>
  <c r="O1979" i="1" s="1"/>
  <c r="J1978" i="1"/>
  <c r="O1978" i="1" s="1"/>
  <c r="J1977" i="1"/>
  <c r="O1977" i="1" s="1"/>
  <c r="J1976" i="1"/>
  <c r="O1976" i="1" s="1"/>
  <c r="J1975" i="1"/>
  <c r="O1975" i="1" s="1"/>
  <c r="J1974" i="1"/>
  <c r="O1974" i="1" s="1"/>
  <c r="J1973" i="1"/>
  <c r="O1973" i="1" s="1"/>
  <c r="J1972" i="1"/>
  <c r="O1972" i="1" s="1"/>
  <c r="J1971" i="1"/>
  <c r="O1971" i="1" s="1"/>
  <c r="J1970" i="1"/>
  <c r="O1970" i="1" s="1"/>
  <c r="J1969" i="1"/>
  <c r="O1969" i="1" s="1"/>
  <c r="J1968" i="1"/>
  <c r="O1968" i="1" s="1"/>
  <c r="J1967" i="1"/>
  <c r="O1967" i="1" s="1"/>
  <c r="J1966" i="1"/>
  <c r="O1966" i="1" s="1"/>
  <c r="J1965" i="1"/>
  <c r="O1965" i="1" s="1"/>
  <c r="J1964" i="1"/>
  <c r="O1964" i="1" s="1"/>
  <c r="J1963" i="1"/>
  <c r="O1963" i="1" s="1"/>
  <c r="J1962" i="1"/>
  <c r="O1962" i="1" s="1"/>
  <c r="J1961" i="1"/>
  <c r="O1961" i="1" s="1"/>
  <c r="J1960" i="1"/>
  <c r="O1960" i="1" s="1"/>
  <c r="J1959" i="1"/>
  <c r="O1959" i="1" s="1"/>
  <c r="J1958" i="1"/>
  <c r="O1958" i="1" s="1"/>
  <c r="J1957" i="1"/>
  <c r="O1957" i="1" s="1"/>
  <c r="J1956" i="1"/>
  <c r="O1956" i="1" s="1"/>
  <c r="J1955" i="1"/>
  <c r="O1955" i="1" s="1"/>
  <c r="J1954" i="1"/>
  <c r="O1954" i="1" s="1"/>
  <c r="J1953" i="1"/>
  <c r="O1953" i="1" s="1"/>
  <c r="J1952" i="1"/>
  <c r="O1952" i="1" s="1"/>
  <c r="J1951" i="1"/>
  <c r="O1951" i="1" s="1"/>
  <c r="J1950" i="1"/>
  <c r="O1950" i="1" s="1"/>
  <c r="J1949" i="1"/>
  <c r="O1949" i="1" s="1"/>
  <c r="J1948" i="1"/>
  <c r="O1948" i="1" s="1"/>
  <c r="J1947" i="1"/>
  <c r="O1947" i="1" s="1"/>
  <c r="J1946" i="1"/>
  <c r="O1946" i="1" s="1"/>
  <c r="J1945" i="1"/>
  <c r="O1945" i="1" s="1"/>
  <c r="J1944" i="1"/>
  <c r="O1944" i="1" s="1"/>
  <c r="J1943" i="1"/>
  <c r="O1943" i="1" s="1"/>
  <c r="J1942" i="1"/>
  <c r="O1942" i="1" s="1"/>
  <c r="J1941" i="1"/>
  <c r="O1941" i="1" s="1"/>
  <c r="J1940" i="1"/>
  <c r="O1940" i="1" s="1"/>
  <c r="J1939" i="1"/>
  <c r="O1939" i="1" s="1"/>
  <c r="J1938" i="1"/>
  <c r="O1938" i="1" s="1"/>
  <c r="J1937" i="1"/>
  <c r="O1937" i="1" s="1"/>
  <c r="J1936" i="1"/>
  <c r="O1936" i="1" s="1"/>
  <c r="J1935" i="1"/>
  <c r="O1935" i="1" s="1"/>
  <c r="J1934" i="1"/>
  <c r="O1934" i="1" s="1"/>
  <c r="J1933" i="1"/>
  <c r="O1933" i="1" s="1"/>
  <c r="J1932" i="1"/>
  <c r="O1932" i="1" s="1"/>
  <c r="J1931" i="1"/>
  <c r="O1931" i="1" s="1"/>
  <c r="J1930" i="1"/>
  <c r="O1930" i="1" s="1"/>
  <c r="J1929" i="1"/>
  <c r="O1929" i="1" s="1"/>
  <c r="J1928" i="1"/>
  <c r="O1928" i="1" s="1"/>
  <c r="J1927" i="1"/>
  <c r="O1927" i="1" s="1"/>
  <c r="J1926" i="1"/>
  <c r="O1926" i="1" s="1"/>
  <c r="J1925" i="1"/>
  <c r="O1925" i="1" s="1"/>
  <c r="J1924" i="1"/>
  <c r="O1924" i="1" s="1"/>
  <c r="J1923" i="1"/>
  <c r="O1923" i="1" s="1"/>
  <c r="J1922" i="1"/>
  <c r="O1922" i="1" s="1"/>
  <c r="J1921" i="1"/>
  <c r="O1921" i="1" s="1"/>
  <c r="J1920" i="1"/>
  <c r="O1920" i="1" s="1"/>
  <c r="J1919" i="1"/>
  <c r="O1919" i="1" s="1"/>
  <c r="J1918" i="1"/>
  <c r="O1918" i="1" s="1"/>
  <c r="J1917" i="1"/>
  <c r="O1917" i="1" s="1"/>
  <c r="J1916" i="1"/>
  <c r="O1916" i="1" s="1"/>
  <c r="J1915" i="1"/>
  <c r="O1915" i="1" s="1"/>
  <c r="J1914" i="1"/>
  <c r="O1914" i="1" s="1"/>
  <c r="J1913" i="1"/>
  <c r="O1913" i="1" s="1"/>
  <c r="J1912" i="1"/>
  <c r="O1912" i="1" s="1"/>
  <c r="J1911" i="1"/>
  <c r="O1911" i="1" s="1"/>
  <c r="J1910" i="1"/>
  <c r="O1910" i="1" s="1"/>
  <c r="J1909" i="1"/>
  <c r="O1909" i="1" s="1"/>
  <c r="J1908" i="1"/>
  <c r="O1908" i="1" s="1"/>
  <c r="J1907" i="1"/>
  <c r="O1907" i="1" s="1"/>
  <c r="J1906" i="1"/>
  <c r="O1906" i="1" s="1"/>
  <c r="J1905" i="1"/>
  <c r="O1905" i="1" s="1"/>
  <c r="J1904" i="1"/>
  <c r="O1904" i="1" s="1"/>
  <c r="J1903" i="1"/>
  <c r="O1903" i="1" s="1"/>
  <c r="J1902" i="1"/>
  <c r="O1902" i="1" s="1"/>
  <c r="J1901" i="1"/>
  <c r="O1901" i="1" s="1"/>
  <c r="J1900" i="1"/>
  <c r="O1900" i="1" s="1"/>
  <c r="J1899" i="1"/>
  <c r="O1899" i="1" s="1"/>
  <c r="J1898" i="1"/>
  <c r="O1898" i="1" s="1"/>
  <c r="J1897" i="1"/>
  <c r="O1897" i="1" s="1"/>
  <c r="J1896" i="1"/>
  <c r="O1896" i="1" s="1"/>
  <c r="J1895" i="1"/>
  <c r="O1895" i="1" s="1"/>
  <c r="J1894" i="1"/>
  <c r="O1894" i="1" s="1"/>
  <c r="J1893" i="1"/>
  <c r="O1893" i="1" s="1"/>
  <c r="J1892" i="1"/>
  <c r="O1892" i="1" s="1"/>
  <c r="J1891" i="1"/>
  <c r="O1891" i="1" s="1"/>
  <c r="J1890" i="1"/>
  <c r="O1890" i="1" s="1"/>
  <c r="J1889" i="1"/>
  <c r="O1889" i="1" s="1"/>
  <c r="J1888" i="1"/>
  <c r="O1888" i="1" s="1"/>
  <c r="J1887" i="1"/>
  <c r="O1887" i="1" s="1"/>
  <c r="J1886" i="1"/>
  <c r="O1886" i="1" s="1"/>
  <c r="J1885" i="1"/>
  <c r="O1885" i="1" s="1"/>
  <c r="J1884" i="1"/>
  <c r="O1884" i="1" s="1"/>
  <c r="J1883" i="1"/>
  <c r="O1883" i="1" s="1"/>
  <c r="J1882" i="1"/>
  <c r="O1882" i="1" s="1"/>
  <c r="J1881" i="1"/>
  <c r="O1881" i="1" s="1"/>
  <c r="J1880" i="1"/>
  <c r="O1880" i="1" s="1"/>
  <c r="J1879" i="1"/>
  <c r="O1879" i="1" s="1"/>
  <c r="J1878" i="1"/>
  <c r="O1878" i="1" s="1"/>
  <c r="J1877" i="1"/>
  <c r="O1877" i="1" s="1"/>
  <c r="J1876" i="1"/>
  <c r="O1876" i="1" s="1"/>
  <c r="J1875" i="1"/>
  <c r="O1875" i="1" s="1"/>
  <c r="J1874" i="1"/>
  <c r="O1874" i="1" s="1"/>
  <c r="J1873" i="1"/>
  <c r="O1873" i="1" s="1"/>
  <c r="J1872" i="1"/>
  <c r="O1872" i="1" s="1"/>
  <c r="J1871" i="1"/>
  <c r="O1871" i="1" s="1"/>
  <c r="J1870" i="1"/>
  <c r="O1870" i="1" s="1"/>
  <c r="J1869" i="1"/>
  <c r="O1869" i="1" s="1"/>
  <c r="J1868" i="1"/>
  <c r="O1868" i="1" s="1"/>
  <c r="J1867" i="1"/>
  <c r="O1867" i="1" s="1"/>
  <c r="J1866" i="1"/>
  <c r="O1866" i="1" s="1"/>
  <c r="J1865" i="1"/>
  <c r="O1865" i="1" s="1"/>
  <c r="J1864" i="1"/>
  <c r="O1864" i="1" s="1"/>
  <c r="J1863" i="1"/>
  <c r="O1863" i="1" s="1"/>
  <c r="J1862" i="1"/>
  <c r="O1862" i="1" s="1"/>
  <c r="J1861" i="1"/>
  <c r="O1861" i="1" s="1"/>
  <c r="J1860" i="1"/>
  <c r="O1860" i="1" s="1"/>
  <c r="J1859" i="1"/>
  <c r="O1859" i="1" s="1"/>
  <c r="J1858" i="1"/>
  <c r="O1858" i="1" s="1"/>
  <c r="J1857" i="1"/>
  <c r="O1857" i="1" s="1"/>
  <c r="J1856" i="1"/>
  <c r="O1856" i="1" s="1"/>
  <c r="J1855" i="1"/>
  <c r="O1855" i="1" s="1"/>
  <c r="J1854" i="1"/>
  <c r="O1854" i="1" s="1"/>
  <c r="J1853" i="1"/>
  <c r="O1853" i="1" s="1"/>
  <c r="J1852" i="1"/>
  <c r="O1852" i="1" s="1"/>
  <c r="J1851" i="1"/>
  <c r="O1851" i="1" s="1"/>
  <c r="J1850" i="1"/>
  <c r="O1850" i="1" s="1"/>
  <c r="J1849" i="1"/>
  <c r="O1849" i="1" s="1"/>
  <c r="J1848" i="1"/>
  <c r="O1848" i="1" s="1"/>
  <c r="J1847" i="1"/>
  <c r="O1847" i="1" s="1"/>
  <c r="J1846" i="1"/>
  <c r="O1846" i="1" s="1"/>
  <c r="J1845" i="1"/>
  <c r="O1845" i="1" s="1"/>
  <c r="J1844" i="1"/>
  <c r="O1844" i="1" s="1"/>
  <c r="J1843" i="1"/>
  <c r="O1843" i="1" s="1"/>
  <c r="J1842" i="1"/>
  <c r="O1842" i="1" s="1"/>
  <c r="J1841" i="1"/>
  <c r="O1841" i="1" s="1"/>
  <c r="J1840" i="1"/>
  <c r="O1840" i="1" s="1"/>
  <c r="J1839" i="1"/>
  <c r="O1839" i="1" s="1"/>
  <c r="J1838" i="1"/>
  <c r="O1838" i="1" s="1"/>
  <c r="J1837" i="1"/>
  <c r="O1837" i="1" s="1"/>
  <c r="J1836" i="1"/>
  <c r="O1836" i="1" s="1"/>
  <c r="J1835" i="1"/>
  <c r="O1835" i="1" s="1"/>
  <c r="J1834" i="1"/>
  <c r="O1834" i="1" s="1"/>
  <c r="J1833" i="1"/>
  <c r="O1833" i="1" s="1"/>
  <c r="J1832" i="1"/>
  <c r="O1832" i="1" s="1"/>
  <c r="J1831" i="1"/>
  <c r="O1831" i="1" s="1"/>
  <c r="J1830" i="1"/>
  <c r="O1830" i="1" s="1"/>
  <c r="J1829" i="1"/>
  <c r="O1829" i="1" s="1"/>
  <c r="J1828" i="1"/>
  <c r="O1828" i="1" s="1"/>
  <c r="J1827" i="1"/>
  <c r="O1827" i="1" s="1"/>
  <c r="J1826" i="1"/>
  <c r="O1826" i="1" s="1"/>
  <c r="J1825" i="1"/>
  <c r="O1825" i="1" s="1"/>
  <c r="J1824" i="1"/>
  <c r="O1824" i="1" s="1"/>
  <c r="J1823" i="1"/>
  <c r="O1823" i="1" s="1"/>
  <c r="J1822" i="1"/>
  <c r="O1822" i="1" s="1"/>
  <c r="J1821" i="1"/>
  <c r="O1821" i="1" s="1"/>
  <c r="J1820" i="1"/>
  <c r="O1820" i="1" s="1"/>
  <c r="J1819" i="1"/>
  <c r="O1819" i="1" s="1"/>
  <c r="J1818" i="1"/>
  <c r="O1818" i="1" s="1"/>
  <c r="J1817" i="1"/>
  <c r="O1817" i="1" s="1"/>
  <c r="J1816" i="1"/>
  <c r="O1816" i="1" s="1"/>
  <c r="J1815" i="1"/>
  <c r="O1815" i="1" s="1"/>
  <c r="J1814" i="1"/>
  <c r="O1814" i="1" s="1"/>
  <c r="J1813" i="1"/>
  <c r="O1813" i="1" s="1"/>
  <c r="J1812" i="1"/>
  <c r="O1812" i="1" s="1"/>
  <c r="J1811" i="1"/>
  <c r="O1811" i="1" s="1"/>
  <c r="J1810" i="1"/>
  <c r="O1810" i="1" s="1"/>
  <c r="J1809" i="1"/>
  <c r="O1809" i="1" s="1"/>
  <c r="J1808" i="1"/>
  <c r="O1808" i="1" s="1"/>
  <c r="J1807" i="1"/>
  <c r="O1807" i="1" s="1"/>
  <c r="J1806" i="1"/>
  <c r="O1806" i="1" s="1"/>
  <c r="J1805" i="1"/>
  <c r="O1805" i="1" s="1"/>
  <c r="J1804" i="1"/>
  <c r="O1804" i="1" s="1"/>
  <c r="J1803" i="1"/>
  <c r="O1803" i="1" s="1"/>
  <c r="J1802" i="1"/>
  <c r="O1802" i="1" s="1"/>
  <c r="J1801" i="1"/>
  <c r="O1801" i="1" s="1"/>
  <c r="J1800" i="1"/>
  <c r="O1800" i="1" s="1"/>
  <c r="J1799" i="1"/>
  <c r="O1799" i="1" s="1"/>
  <c r="J1798" i="1"/>
  <c r="O1798" i="1" s="1"/>
  <c r="J1797" i="1"/>
  <c r="O1797" i="1" s="1"/>
  <c r="J1796" i="1"/>
  <c r="O1796" i="1" s="1"/>
  <c r="J1795" i="1"/>
  <c r="O1795" i="1" s="1"/>
  <c r="J1794" i="1"/>
  <c r="O1794" i="1" s="1"/>
  <c r="J1793" i="1"/>
  <c r="O1793" i="1" s="1"/>
  <c r="J1792" i="1"/>
  <c r="O1792" i="1" s="1"/>
  <c r="J1791" i="1"/>
  <c r="O1791" i="1" s="1"/>
  <c r="J1790" i="1"/>
  <c r="O1790" i="1" s="1"/>
  <c r="J1789" i="1"/>
  <c r="O1789" i="1" s="1"/>
  <c r="J1788" i="1"/>
  <c r="O1788" i="1" s="1"/>
  <c r="J1787" i="1"/>
  <c r="O1787" i="1" s="1"/>
  <c r="J1786" i="1"/>
  <c r="O1786" i="1" s="1"/>
  <c r="J1785" i="1"/>
  <c r="O1785" i="1" s="1"/>
  <c r="J1784" i="1"/>
  <c r="O1784" i="1" s="1"/>
  <c r="J1783" i="1"/>
  <c r="O1783" i="1" s="1"/>
  <c r="J1782" i="1"/>
  <c r="O1782" i="1" s="1"/>
  <c r="J1781" i="1"/>
  <c r="O1781" i="1" s="1"/>
  <c r="J1780" i="1"/>
  <c r="O1780" i="1" s="1"/>
  <c r="J1779" i="1"/>
  <c r="O1779" i="1" s="1"/>
  <c r="J1778" i="1"/>
  <c r="O1778" i="1" s="1"/>
  <c r="J1777" i="1"/>
  <c r="O1777" i="1" s="1"/>
  <c r="J1776" i="1"/>
  <c r="O1776" i="1" s="1"/>
  <c r="J1775" i="1"/>
  <c r="O1775" i="1" s="1"/>
  <c r="J1774" i="1"/>
  <c r="O1774" i="1" s="1"/>
  <c r="J1773" i="1"/>
  <c r="O1773" i="1" s="1"/>
  <c r="J1772" i="1"/>
  <c r="O1772" i="1" s="1"/>
  <c r="J1771" i="1"/>
  <c r="O1771" i="1" s="1"/>
  <c r="J1770" i="1"/>
  <c r="O1770" i="1" s="1"/>
  <c r="J1769" i="1"/>
  <c r="O1769" i="1" s="1"/>
  <c r="J1768" i="1"/>
  <c r="O1768" i="1" s="1"/>
  <c r="J1767" i="1"/>
  <c r="O1767" i="1" s="1"/>
  <c r="J1766" i="1"/>
  <c r="O1766" i="1" s="1"/>
  <c r="J1765" i="1"/>
  <c r="O1765" i="1" s="1"/>
  <c r="J1764" i="1"/>
  <c r="O1764" i="1" s="1"/>
  <c r="J1763" i="1"/>
  <c r="O1763" i="1" s="1"/>
  <c r="J1762" i="1"/>
  <c r="O1762" i="1" s="1"/>
  <c r="J1761" i="1"/>
  <c r="O1761" i="1" s="1"/>
  <c r="J1760" i="1"/>
  <c r="O1760" i="1" s="1"/>
  <c r="J1759" i="1"/>
  <c r="O1759" i="1" s="1"/>
  <c r="J1758" i="1"/>
  <c r="O1758" i="1" s="1"/>
  <c r="J1757" i="1"/>
  <c r="O1757" i="1" s="1"/>
  <c r="J1756" i="1"/>
  <c r="O1756" i="1" s="1"/>
  <c r="J1755" i="1"/>
  <c r="O1755" i="1" s="1"/>
  <c r="J1754" i="1"/>
  <c r="O1754" i="1" s="1"/>
  <c r="J1753" i="1"/>
  <c r="O1753" i="1" s="1"/>
  <c r="J1752" i="1"/>
  <c r="O1752" i="1" s="1"/>
  <c r="J1751" i="1"/>
  <c r="O1751" i="1" s="1"/>
  <c r="J1750" i="1"/>
  <c r="O1750" i="1" s="1"/>
  <c r="J1749" i="1"/>
  <c r="O1749" i="1" s="1"/>
  <c r="J1748" i="1"/>
  <c r="O1748" i="1" s="1"/>
  <c r="J1747" i="1"/>
  <c r="O1747" i="1" s="1"/>
  <c r="J1746" i="1"/>
  <c r="O1746" i="1" s="1"/>
  <c r="J1745" i="1"/>
  <c r="O1745" i="1" s="1"/>
  <c r="J1744" i="1"/>
  <c r="O1744" i="1" s="1"/>
  <c r="J1743" i="1"/>
  <c r="O1743" i="1" s="1"/>
  <c r="J1742" i="1"/>
  <c r="O1742" i="1" s="1"/>
  <c r="J1741" i="1"/>
  <c r="O1741" i="1" s="1"/>
  <c r="J1740" i="1"/>
  <c r="O1740" i="1" s="1"/>
  <c r="J1739" i="1"/>
  <c r="O1739" i="1" s="1"/>
  <c r="J1738" i="1"/>
  <c r="O1738" i="1" s="1"/>
  <c r="J1737" i="1"/>
  <c r="O1737" i="1" s="1"/>
  <c r="J1736" i="1"/>
  <c r="O1736" i="1" s="1"/>
  <c r="J1735" i="1"/>
  <c r="O1735" i="1" s="1"/>
  <c r="J1734" i="1"/>
  <c r="O1734" i="1" s="1"/>
  <c r="J1733" i="1"/>
  <c r="O1733" i="1" s="1"/>
  <c r="J1732" i="1"/>
  <c r="O1732" i="1" s="1"/>
  <c r="J1731" i="1"/>
  <c r="O1731" i="1" s="1"/>
  <c r="J1730" i="1"/>
  <c r="O1730" i="1" s="1"/>
  <c r="J1729" i="1"/>
  <c r="O1729" i="1" s="1"/>
  <c r="J1728" i="1"/>
  <c r="O1728" i="1" s="1"/>
  <c r="J1727" i="1"/>
  <c r="O1727" i="1" s="1"/>
  <c r="J1726" i="1"/>
  <c r="O1726" i="1" s="1"/>
  <c r="J1725" i="1"/>
  <c r="O1725" i="1" s="1"/>
  <c r="J1724" i="1"/>
  <c r="O1724" i="1" s="1"/>
  <c r="J1723" i="1"/>
  <c r="O1723" i="1" s="1"/>
  <c r="J1722" i="1"/>
  <c r="O1722" i="1" s="1"/>
  <c r="J1721" i="1"/>
  <c r="O1721" i="1" s="1"/>
  <c r="J1720" i="1"/>
  <c r="O1720" i="1" s="1"/>
  <c r="J1719" i="1"/>
  <c r="O1719" i="1" s="1"/>
  <c r="J1718" i="1"/>
  <c r="O1718" i="1" s="1"/>
  <c r="J1717" i="1"/>
  <c r="O1717" i="1" s="1"/>
  <c r="J1716" i="1"/>
  <c r="O1716" i="1" s="1"/>
  <c r="J1715" i="1"/>
  <c r="O1715" i="1" s="1"/>
  <c r="J1714" i="1"/>
  <c r="O1714" i="1" s="1"/>
  <c r="J1713" i="1"/>
  <c r="O1713" i="1" s="1"/>
  <c r="J1712" i="1"/>
  <c r="O1712" i="1" s="1"/>
  <c r="J1711" i="1"/>
  <c r="O1711" i="1" s="1"/>
  <c r="J1710" i="1"/>
  <c r="O1710" i="1" s="1"/>
  <c r="J1709" i="1"/>
  <c r="O1709" i="1" s="1"/>
  <c r="J1708" i="1"/>
  <c r="O1708" i="1" s="1"/>
  <c r="J1707" i="1"/>
  <c r="O1707" i="1" s="1"/>
  <c r="J1706" i="1"/>
  <c r="O1706" i="1" s="1"/>
  <c r="J1705" i="1"/>
  <c r="O1705" i="1" s="1"/>
  <c r="J1704" i="1"/>
  <c r="O1704" i="1" s="1"/>
  <c r="J1703" i="1"/>
  <c r="O1703" i="1" s="1"/>
  <c r="J1702" i="1"/>
  <c r="O1702" i="1" s="1"/>
  <c r="J1701" i="1"/>
  <c r="O1701" i="1" s="1"/>
  <c r="J1700" i="1"/>
  <c r="O1700" i="1" s="1"/>
  <c r="J1699" i="1"/>
  <c r="O1699" i="1" s="1"/>
  <c r="J1698" i="1"/>
  <c r="O1698" i="1" s="1"/>
  <c r="J1697" i="1"/>
  <c r="O1697" i="1" s="1"/>
  <c r="J1696" i="1"/>
  <c r="O1696" i="1" s="1"/>
  <c r="J1695" i="1"/>
  <c r="O1695" i="1" s="1"/>
  <c r="J1694" i="1"/>
  <c r="O1694" i="1" s="1"/>
  <c r="J1693" i="1"/>
  <c r="O1693" i="1" s="1"/>
  <c r="J1692" i="1"/>
  <c r="O1692" i="1" s="1"/>
  <c r="J1691" i="1"/>
  <c r="O1691" i="1" s="1"/>
  <c r="J1690" i="1"/>
  <c r="O1690" i="1" s="1"/>
  <c r="J1689" i="1"/>
  <c r="O1689" i="1" s="1"/>
  <c r="J1688" i="1"/>
  <c r="O1688" i="1" s="1"/>
  <c r="J1687" i="1"/>
  <c r="O1687" i="1" s="1"/>
  <c r="J1686" i="1"/>
  <c r="O1686" i="1" s="1"/>
  <c r="J1685" i="1"/>
  <c r="O1685" i="1" s="1"/>
  <c r="J1684" i="1"/>
  <c r="O1684" i="1" s="1"/>
  <c r="J1683" i="1"/>
  <c r="O1683" i="1" s="1"/>
  <c r="J1682" i="1"/>
  <c r="O1682" i="1" s="1"/>
  <c r="J1681" i="1"/>
  <c r="O1681" i="1" s="1"/>
  <c r="J1680" i="1"/>
  <c r="O1680" i="1" s="1"/>
  <c r="J1679" i="1"/>
  <c r="O1679" i="1" s="1"/>
  <c r="J1678" i="1"/>
  <c r="O1678" i="1" s="1"/>
  <c r="J1677" i="1"/>
  <c r="O1677" i="1" s="1"/>
  <c r="J1676" i="1"/>
  <c r="O1676" i="1" s="1"/>
  <c r="J1675" i="1"/>
  <c r="O1675" i="1" s="1"/>
  <c r="J1674" i="1"/>
  <c r="O1674" i="1" s="1"/>
  <c r="J1673" i="1"/>
  <c r="O1673" i="1" s="1"/>
  <c r="J1672" i="1"/>
  <c r="O1672" i="1" s="1"/>
  <c r="J1671" i="1"/>
  <c r="O1671" i="1" s="1"/>
  <c r="J1670" i="1"/>
  <c r="O1670" i="1" s="1"/>
  <c r="J1669" i="1"/>
  <c r="O1669" i="1" s="1"/>
  <c r="J1668" i="1"/>
  <c r="O1668" i="1" s="1"/>
  <c r="J1667" i="1"/>
  <c r="O1667" i="1" s="1"/>
  <c r="J1666" i="1"/>
  <c r="O1666" i="1" s="1"/>
  <c r="J1665" i="1"/>
  <c r="O1665" i="1" s="1"/>
  <c r="J1664" i="1"/>
  <c r="O1664" i="1" s="1"/>
  <c r="J1663" i="1"/>
  <c r="O1663" i="1" s="1"/>
  <c r="J1662" i="1"/>
  <c r="O1662" i="1" s="1"/>
  <c r="J1661" i="1"/>
  <c r="O1661" i="1" s="1"/>
  <c r="J1660" i="1"/>
  <c r="O1660" i="1" s="1"/>
  <c r="J1659" i="1"/>
  <c r="O1659" i="1" s="1"/>
  <c r="J1658" i="1"/>
  <c r="O1658" i="1" s="1"/>
  <c r="J1657" i="1"/>
  <c r="O1657" i="1" s="1"/>
  <c r="J1656" i="1"/>
  <c r="O1656" i="1" s="1"/>
  <c r="J1655" i="1"/>
  <c r="O1655" i="1" s="1"/>
  <c r="J1654" i="1"/>
  <c r="O1654" i="1" s="1"/>
  <c r="J1653" i="1"/>
  <c r="O1653" i="1" s="1"/>
  <c r="J1652" i="1"/>
  <c r="O1652" i="1" s="1"/>
  <c r="J1651" i="1"/>
  <c r="O1651" i="1" s="1"/>
  <c r="J1650" i="1"/>
  <c r="O1650" i="1" s="1"/>
  <c r="J1649" i="1"/>
  <c r="O1649" i="1" s="1"/>
  <c r="J1648" i="1"/>
  <c r="O1648" i="1" s="1"/>
  <c r="J1647" i="1"/>
  <c r="O1647" i="1" s="1"/>
  <c r="J1646" i="1"/>
  <c r="O1646" i="1" s="1"/>
  <c r="J1645" i="1"/>
  <c r="O1645" i="1" s="1"/>
  <c r="J1644" i="1"/>
  <c r="O1644" i="1" s="1"/>
  <c r="J1643" i="1"/>
  <c r="O1643" i="1" s="1"/>
  <c r="J1642" i="1"/>
  <c r="O1642" i="1" s="1"/>
  <c r="J1641" i="1"/>
  <c r="O1641" i="1" s="1"/>
  <c r="J1640" i="1"/>
  <c r="O1640" i="1" s="1"/>
  <c r="J1639" i="1"/>
  <c r="O1639" i="1" s="1"/>
  <c r="J1638" i="1"/>
  <c r="O1638" i="1" s="1"/>
  <c r="J1637" i="1"/>
  <c r="O1637" i="1" s="1"/>
  <c r="J1636" i="1"/>
  <c r="O1636" i="1" s="1"/>
  <c r="J1635" i="1"/>
  <c r="O1635" i="1" s="1"/>
  <c r="J1634" i="1"/>
  <c r="O1634" i="1" s="1"/>
  <c r="J1633" i="1"/>
  <c r="O1633" i="1" s="1"/>
  <c r="J1632" i="1"/>
  <c r="O1632" i="1" s="1"/>
  <c r="J1631" i="1"/>
  <c r="O1631" i="1" s="1"/>
  <c r="J1630" i="1"/>
  <c r="O1630" i="1" s="1"/>
  <c r="J1629" i="1"/>
  <c r="O1629" i="1" s="1"/>
  <c r="J1628" i="1"/>
  <c r="O1628" i="1" s="1"/>
  <c r="J1627" i="1"/>
  <c r="O1627" i="1" s="1"/>
  <c r="J1626" i="1"/>
  <c r="O1626" i="1" s="1"/>
  <c r="J1625" i="1"/>
  <c r="O1625" i="1" s="1"/>
  <c r="J1624" i="1"/>
  <c r="O1624" i="1" s="1"/>
  <c r="J1623" i="1"/>
  <c r="O1623" i="1" s="1"/>
  <c r="J1622" i="1"/>
  <c r="O1622" i="1" s="1"/>
  <c r="J1621" i="1"/>
  <c r="O1621" i="1" s="1"/>
  <c r="J1620" i="1"/>
  <c r="O1620" i="1" s="1"/>
  <c r="J1619" i="1"/>
  <c r="O1619" i="1" s="1"/>
  <c r="J1618" i="1"/>
  <c r="O1618" i="1" s="1"/>
  <c r="J1617" i="1"/>
  <c r="O1617" i="1" s="1"/>
  <c r="J1616" i="1"/>
  <c r="O1616" i="1" s="1"/>
  <c r="J1615" i="1"/>
  <c r="O1615" i="1" s="1"/>
  <c r="J1614" i="1"/>
  <c r="O1614" i="1" s="1"/>
  <c r="J1613" i="1"/>
  <c r="O1613" i="1" s="1"/>
  <c r="J1612" i="1"/>
  <c r="O1612" i="1" s="1"/>
  <c r="J1611" i="1"/>
  <c r="O1611" i="1" s="1"/>
  <c r="J1610" i="1"/>
  <c r="O1610" i="1" s="1"/>
  <c r="J1609" i="1"/>
  <c r="O1609" i="1" s="1"/>
  <c r="J1608" i="1"/>
  <c r="O1608" i="1" s="1"/>
  <c r="J1607" i="1"/>
  <c r="O1607" i="1" s="1"/>
  <c r="J1606" i="1"/>
  <c r="O1606" i="1" s="1"/>
  <c r="J1605" i="1"/>
  <c r="O1605" i="1" s="1"/>
  <c r="J1604" i="1"/>
  <c r="O1604" i="1" s="1"/>
  <c r="J1603" i="1"/>
  <c r="O1603" i="1" s="1"/>
  <c r="J1602" i="1"/>
  <c r="O1602" i="1" s="1"/>
  <c r="J1601" i="1"/>
  <c r="O1601" i="1" s="1"/>
  <c r="J1600" i="1"/>
  <c r="O1600" i="1" s="1"/>
  <c r="J1599" i="1"/>
  <c r="O1599" i="1" s="1"/>
  <c r="J1598" i="1"/>
  <c r="O1598" i="1" s="1"/>
  <c r="J1597" i="1"/>
  <c r="O1597" i="1" s="1"/>
  <c r="J1596" i="1"/>
  <c r="O1596" i="1" s="1"/>
  <c r="J1595" i="1"/>
  <c r="O1595" i="1" s="1"/>
  <c r="J1594" i="1"/>
  <c r="O1594" i="1" s="1"/>
  <c r="J1593" i="1"/>
  <c r="O1593" i="1" s="1"/>
  <c r="J1592" i="1"/>
  <c r="O1592" i="1" s="1"/>
  <c r="J1591" i="1"/>
  <c r="O1591" i="1" s="1"/>
  <c r="J1590" i="1"/>
  <c r="O1590" i="1" s="1"/>
  <c r="J1589" i="1"/>
  <c r="O1589" i="1" s="1"/>
  <c r="J1588" i="1"/>
  <c r="O1588" i="1" s="1"/>
  <c r="J1587" i="1"/>
  <c r="O1587" i="1" s="1"/>
  <c r="J1586" i="1"/>
  <c r="O1586" i="1" s="1"/>
  <c r="J1585" i="1"/>
  <c r="O1585" i="1" s="1"/>
  <c r="J1584" i="1"/>
  <c r="O1584" i="1" s="1"/>
  <c r="J1583" i="1"/>
  <c r="O1583" i="1" s="1"/>
  <c r="J1582" i="1"/>
  <c r="O1582" i="1" s="1"/>
  <c r="J1581" i="1"/>
  <c r="O1581" i="1" s="1"/>
  <c r="J1580" i="1"/>
  <c r="O1580" i="1" s="1"/>
  <c r="J1579" i="1"/>
  <c r="O1579" i="1" s="1"/>
  <c r="J1578" i="1"/>
  <c r="O1578" i="1" s="1"/>
  <c r="J1577" i="1"/>
  <c r="O1577" i="1" s="1"/>
  <c r="J1576" i="1"/>
  <c r="O1576" i="1" s="1"/>
  <c r="J1575" i="1"/>
  <c r="O1575" i="1" s="1"/>
  <c r="J1574" i="1"/>
  <c r="O1574" i="1" s="1"/>
  <c r="J1573" i="1"/>
  <c r="O1573" i="1" s="1"/>
  <c r="J1572" i="1"/>
  <c r="O1572" i="1" s="1"/>
  <c r="J1571" i="1"/>
  <c r="O1571" i="1" s="1"/>
  <c r="J1570" i="1"/>
  <c r="O1570" i="1" s="1"/>
  <c r="J1569" i="1"/>
  <c r="O1569" i="1" s="1"/>
  <c r="J1568" i="1"/>
  <c r="O1568" i="1" s="1"/>
  <c r="J1567" i="1"/>
  <c r="O1567" i="1" s="1"/>
  <c r="J1566" i="1"/>
  <c r="O1566" i="1" s="1"/>
  <c r="J1565" i="1"/>
  <c r="O1565" i="1" s="1"/>
  <c r="J1564" i="1"/>
  <c r="O1564" i="1" s="1"/>
  <c r="J1563" i="1"/>
  <c r="O1563" i="1" s="1"/>
  <c r="J1562" i="1"/>
  <c r="O1562" i="1" s="1"/>
  <c r="J1561" i="1"/>
  <c r="O1561" i="1" s="1"/>
  <c r="J1560" i="1"/>
  <c r="O1560" i="1" s="1"/>
  <c r="J1559" i="1"/>
  <c r="O1559" i="1" s="1"/>
  <c r="J1558" i="1"/>
  <c r="O1558" i="1" s="1"/>
  <c r="J1557" i="1"/>
  <c r="O1557" i="1" s="1"/>
  <c r="J1556" i="1"/>
  <c r="O1556" i="1" s="1"/>
  <c r="J1555" i="1"/>
  <c r="O1555" i="1" s="1"/>
  <c r="J1554" i="1"/>
  <c r="O1554" i="1" s="1"/>
  <c r="J1553" i="1"/>
  <c r="O1553" i="1" s="1"/>
  <c r="J1552" i="1"/>
  <c r="O1552" i="1" s="1"/>
  <c r="J1551" i="1"/>
  <c r="O1551" i="1" s="1"/>
  <c r="J1550" i="1"/>
  <c r="O1550" i="1" s="1"/>
  <c r="J1549" i="1"/>
  <c r="O1549" i="1" s="1"/>
  <c r="J1548" i="1"/>
  <c r="O1548" i="1" s="1"/>
  <c r="J1547" i="1"/>
  <c r="O1547" i="1" s="1"/>
  <c r="J1546" i="1"/>
  <c r="O1546" i="1" s="1"/>
  <c r="J1545" i="1"/>
  <c r="O1545" i="1" s="1"/>
  <c r="J1544" i="1"/>
  <c r="O1544" i="1" s="1"/>
  <c r="J1543" i="1"/>
  <c r="O1543" i="1" s="1"/>
  <c r="J1542" i="1"/>
  <c r="O1542" i="1" s="1"/>
  <c r="J1541" i="1"/>
  <c r="O1541" i="1" s="1"/>
  <c r="J1540" i="1"/>
  <c r="O1540" i="1" s="1"/>
  <c r="J1539" i="1"/>
  <c r="O1539" i="1" s="1"/>
  <c r="J1538" i="1"/>
  <c r="O1538" i="1" s="1"/>
  <c r="J1537" i="1"/>
  <c r="O1537" i="1" s="1"/>
  <c r="J1536" i="1"/>
  <c r="O1536" i="1" s="1"/>
  <c r="J1535" i="1"/>
  <c r="O1535" i="1" s="1"/>
  <c r="J1534" i="1"/>
  <c r="O1534" i="1" s="1"/>
  <c r="J1533" i="1"/>
  <c r="O1533" i="1" s="1"/>
  <c r="J1532" i="1"/>
  <c r="O1532" i="1" s="1"/>
  <c r="J1531" i="1"/>
  <c r="O1531" i="1" s="1"/>
  <c r="J1530" i="1"/>
  <c r="O1530" i="1" s="1"/>
  <c r="J1529" i="1"/>
  <c r="O1529" i="1" s="1"/>
  <c r="J1528" i="1"/>
  <c r="O1528" i="1" s="1"/>
  <c r="J1527" i="1"/>
  <c r="O1527" i="1" s="1"/>
  <c r="J1526" i="1"/>
  <c r="O1526" i="1" s="1"/>
  <c r="J1525" i="1"/>
  <c r="O1525" i="1" s="1"/>
  <c r="J1524" i="1"/>
  <c r="O1524" i="1" s="1"/>
  <c r="J1523" i="1"/>
  <c r="O1523" i="1" s="1"/>
  <c r="J1522" i="1"/>
  <c r="O1522" i="1" s="1"/>
  <c r="J1521" i="1"/>
  <c r="O1521" i="1" s="1"/>
  <c r="J1520" i="1"/>
  <c r="O1520" i="1" s="1"/>
  <c r="J1519" i="1"/>
  <c r="O1519" i="1" s="1"/>
  <c r="J1518" i="1"/>
  <c r="O1518" i="1" s="1"/>
  <c r="J1517" i="1"/>
  <c r="O1517" i="1" s="1"/>
  <c r="J1516" i="1"/>
  <c r="O1516" i="1" s="1"/>
  <c r="J1515" i="1"/>
  <c r="O1515" i="1" s="1"/>
  <c r="J1514" i="1"/>
  <c r="O1514" i="1" s="1"/>
  <c r="J1513" i="1"/>
  <c r="O1513" i="1" s="1"/>
  <c r="J1512" i="1"/>
  <c r="O1512" i="1" s="1"/>
  <c r="J1511" i="1"/>
  <c r="O1511" i="1" s="1"/>
  <c r="J1510" i="1"/>
  <c r="O1510" i="1" s="1"/>
  <c r="J1509" i="1"/>
  <c r="O1509" i="1" s="1"/>
  <c r="J1508" i="1"/>
  <c r="O1508" i="1" s="1"/>
  <c r="J1507" i="1"/>
  <c r="O1507" i="1" s="1"/>
  <c r="J1506" i="1"/>
  <c r="O1506" i="1" s="1"/>
  <c r="J1505" i="1"/>
  <c r="O1505" i="1" s="1"/>
  <c r="J1504" i="1"/>
  <c r="O1504" i="1" s="1"/>
  <c r="J1503" i="1"/>
  <c r="O1503" i="1" s="1"/>
  <c r="J1502" i="1"/>
  <c r="O1502" i="1" s="1"/>
  <c r="J1501" i="1"/>
  <c r="O1501" i="1" s="1"/>
  <c r="J1500" i="1"/>
  <c r="O1500" i="1" s="1"/>
  <c r="J1499" i="1"/>
  <c r="O1499" i="1" s="1"/>
  <c r="J1498" i="1"/>
  <c r="O1498" i="1" s="1"/>
  <c r="J1497" i="1"/>
  <c r="O1497" i="1" s="1"/>
  <c r="J1496" i="1"/>
  <c r="O1496" i="1" s="1"/>
  <c r="J1495" i="1"/>
  <c r="O1495" i="1" s="1"/>
  <c r="J1494" i="1"/>
  <c r="O1494" i="1" s="1"/>
  <c r="J1493" i="1"/>
  <c r="O1493" i="1" s="1"/>
  <c r="J1492" i="1"/>
  <c r="O1492" i="1" s="1"/>
  <c r="J1491" i="1"/>
  <c r="O1491" i="1" s="1"/>
  <c r="J1490" i="1"/>
  <c r="O1490" i="1" s="1"/>
  <c r="J1489" i="1"/>
  <c r="O1489" i="1" s="1"/>
  <c r="J1488" i="1"/>
  <c r="O1488" i="1" s="1"/>
  <c r="J1487" i="1"/>
  <c r="O1487" i="1" s="1"/>
  <c r="J1486" i="1"/>
  <c r="O1486" i="1" s="1"/>
  <c r="J1485" i="1"/>
  <c r="O1485" i="1" s="1"/>
  <c r="J1484" i="1"/>
  <c r="O1484" i="1" s="1"/>
  <c r="J1483" i="1"/>
  <c r="O1483" i="1" s="1"/>
  <c r="J1482" i="1"/>
  <c r="O1482" i="1" s="1"/>
  <c r="J1481" i="1"/>
  <c r="O1481" i="1" s="1"/>
  <c r="J1480" i="1"/>
  <c r="O1480" i="1" s="1"/>
  <c r="J1479" i="1"/>
  <c r="O1479" i="1" s="1"/>
  <c r="J1478" i="1"/>
  <c r="O1478" i="1" s="1"/>
  <c r="J1477" i="1"/>
  <c r="O1477" i="1" s="1"/>
  <c r="J1476" i="1"/>
  <c r="O1476" i="1" s="1"/>
  <c r="J1475" i="1"/>
  <c r="O1475" i="1" s="1"/>
  <c r="J1474" i="1"/>
  <c r="O1474" i="1" s="1"/>
  <c r="J1473" i="1"/>
  <c r="O1473" i="1" s="1"/>
  <c r="J1472" i="1"/>
  <c r="O1472" i="1" s="1"/>
  <c r="J1471" i="1"/>
  <c r="O1471" i="1" s="1"/>
  <c r="J1470" i="1"/>
  <c r="O1470" i="1" s="1"/>
  <c r="J1469" i="1"/>
  <c r="O1469" i="1" s="1"/>
  <c r="J1468" i="1"/>
  <c r="O1468" i="1" s="1"/>
  <c r="J1467" i="1"/>
  <c r="O1467" i="1" s="1"/>
  <c r="J1466" i="1"/>
  <c r="O1466" i="1" s="1"/>
  <c r="J1465" i="1"/>
  <c r="O1465" i="1" s="1"/>
  <c r="J1464" i="1"/>
  <c r="O1464" i="1" s="1"/>
  <c r="J1463" i="1"/>
  <c r="O1463" i="1" s="1"/>
  <c r="J1462" i="1"/>
  <c r="O1462" i="1" s="1"/>
  <c r="J1461" i="1"/>
  <c r="O1461" i="1" s="1"/>
  <c r="J1460" i="1"/>
  <c r="O1460" i="1" s="1"/>
  <c r="J1459" i="1"/>
  <c r="O1459" i="1" s="1"/>
  <c r="J1458" i="1"/>
  <c r="O1458" i="1" s="1"/>
  <c r="J1457" i="1"/>
  <c r="O1457" i="1" s="1"/>
  <c r="J1456" i="1"/>
  <c r="O1456" i="1" s="1"/>
  <c r="J1455" i="1"/>
  <c r="O1455" i="1" s="1"/>
  <c r="J1454" i="1"/>
  <c r="O1454" i="1" s="1"/>
  <c r="J1453" i="1"/>
  <c r="O1453" i="1" s="1"/>
  <c r="J1452" i="1"/>
  <c r="O1452" i="1" s="1"/>
  <c r="J1451" i="1"/>
  <c r="O1451" i="1" s="1"/>
  <c r="J1450" i="1"/>
  <c r="O1450" i="1" s="1"/>
  <c r="J1449" i="1"/>
  <c r="O1449" i="1" s="1"/>
  <c r="J1448" i="1"/>
  <c r="O1448" i="1" s="1"/>
  <c r="J1447" i="1"/>
  <c r="O1447" i="1" s="1"/>
  <c r="J1446" i="1"/>
  <c r="O1446" i="1" s="1"/>
  <c r="J1445" i="1"/>
  <c r="O1445" i="1" s="1"/>
  <c r="J1444" i="1"/>
  <c r="O1444" i="1" s="1"/>
  <c r="J1443" i="1"/>
  <c r="O1443" i="1" s="1"/>
  <c r="J1442" i="1"/>
  <c r="O1442" i="1" s="1"/>
  <c r="J1441" i="1"/>
  <c r="O1441" i="1" s="1"/>
  <c r="J1440" i="1"/>
  <c r="O1440" i="1" s="1"/>
  <c r="J1439" i="1"/>
  <c r="O1439" i="1" s="1"/>
  <c r="J1438" i="1"/>
  <c r="O1438" i="1" s="1"/>
  <c r="J1437" i="1"/>
  <c r="O1437" i="1" s="1"/>
  <c r="J1436" i="1"/>
  <c r="O1436" i="1" s="1"/>
  <c r="J1435" i="1"/>
  <c r="O1435" i="1" s="1"/>
  <c r="J1434" i="1"/>
  <c r="O1434" i="1" s="1"/>
  <c r="J1433" i="1"/>
  <c r="O1433" i="1" s="1"/>
  <c r="J1432" i="1"/>
  <c r="O1432" i="1" s="1"/>
  <c r="J1431" i="1"/>
  <c r="O1431" i="1" s="1"/>
  <c r="J1430" i="1"/>
  <c r="O1430" i="1" s="1"/>
  <c r="J1429" i="1"/>
  <c r="O1429" i="1" s="1"/>
  <c r="J1428" i="1"/>
  <c r="O1428" i="1" s="1"/>
  <c r="J1427" i="1"/>
  <c r="O1427" i="1" s="1"/>
  <c r="J1426" i="1"/>
  <c r="O1426" i="1" s="1"/>
  <c r="J1425" i="1"/>
  <c r="O1425" i="1" s="1"/>
  <c r="J1424" i="1"/>
  <c r="O1424" i="1" s="1"/>
  <c r="J1423" i="1"/>
  <c r="O1423" i="1" s="1"/>
  <c r="J1422" i="1"/>
  <c r="O1422" i="1" s="1"/>
  <c r="J1421" i="1"/>
  <c r="O1421" i="1" s="1"/>
  <c r="J1420" i="1"/>
  <c r="O1420" i="1" s="1"/>
  <c r="J1419" i="1"/>
  <c r="O1419" i="1" s="1"/>
  <c r="J1418" i="1"/>
  <c r="O1418" i="1" s="1"/>
  <c r="J1417" i="1"/>
  <c r="O1417" i="1" s="1"/>
  <c r="J1416" i="1"/>
  <c r="O1416" i="1" s="1"/>
  <c r="J1415" i="1"/>
  <c r="O1415" i="1" s="1"/>
  <c r="J1414" i="1"/>
  <c r="O1414" i="1" s="1"/>
  <c r="J1413" i="1"/>
  <c r="O1413" i="1" s="1"/>
  <c r="J1412" i="1"/>
  <c r="O1412" i="1" s="1"/>
  <c r="J1411" i="1"/>
  <c r="O1411" i="1" s="1"/>
  <c r="J1410" i="1"/>
  <c r="O1410" i="1" s="1"/>
  <c r="J1409" i="1"/>
  <c r="O1409" i="1" s="1"/>
  <c r="J1408" i="1"/>
  <c r="O1408" i="1" s="1"/>
  <c r="J1407" i="1"/>
  <c r="O1407" i="1" s="1"/>
  <c r="J1406" i="1"/>
  <c r="O1406" i="1" s="1"/>
  <c r="J1405" i="1"/>
  <c r="O1405" i="1" s="1"/>
  <c r="J1404" i="1"/>
  <c r="O1404" i="1" s="1"/>
  <c r="J1403" i="1"/>
  <c r="O1403" i="1" s="1"/>
  <c r="J1402" i="1"/>
  <c r="O1402" i="1" s="1"/>
  <c r="J1401" i="1"/>
  <c r="O1401" i="1" s="1"/>
  <c r="J1400" i="1"/>
  <c r="O1400" i="1" s="1"/>
  <c r="J1399" i="1"/>
  <c r="O1399" i="1" s="1"/>
  <c r="J1398" i="1"/>
  <c r="O1398" i="1" s="1"/>
  <c r="J1397" i="1"/>
  <c r="O1397" i="1" s="1"/>
  <c r="J1396" i="1"/>
  <c r="O1396" i="1" s="1"/>
  <c r="J1395" i="1"/>
  <c r="O1395" i="1" s="1"/>
  <c r="J1394" i="1"/>
  <c r="O1394" i="1" s="1"/>
  <c r="J1393" i="1"/>
  <c r="O1393" i="1" s="1"/>
  <c r="J1392" i="1"/>
  <c r="O1392" i="1" s="1"/>
  <c r="J1391" i="1"/>
  <c r="O1391" i="1" s="1"/>
  <c r="J1390" i="1"/>
  <c r="O1390" i="1" s="1"/>
  <c r="J1389" i="1"/>
  <c r="O1389" i="1" s="1"/>
  <c r="J1388" i="1"/>
  <c r="O1388" i="1" s="1"/>
  <c r="J1387" i="1"/>
  <c r="O1387" i="1" s="1"/>
  <c r="J1386" i="1"/>
  <c r="O1386" i="1" s="1"/>
  <c r="J1385" i="1"/>
  <c r="O1385" i="1" s="1"/>
  <c r="J1384" i="1"/>
  <c r="O1384" i="1" s="1"/>
  <c r="J1383" i="1"/>
  <c r="O1383" i="1" s="1"/>
  <c r="J1382" i="1"/>
  <c r="O1382" i="1" s="1"/>
  <c r="J1381" i="1"/>
  <c r="O1381" i="1" s="1"/>
  <c r="J1380" i="1"/>
  <c r="O1380" i="1" s="1"/>
  <c r="J1379" i="1"/>
  <c r="O1379" i="1" s="1"/>
  <c r="J1378" i="1"/>
  <c r="O1378" i="1" s="1"/>
  <c r="J1377" i="1"/>
  <c r="O1377" i="1" s="1"/>
  <c r="J1376" i="1"/>
  <c r="O1376" i="1" s="1"/>
  <c r="J1375" i="1"/>
  <c r="O1375" i="1" s="1"/>
  <c r="J1374" i="1"/>
  <c r="O1374" i="1" s="1"/>
  <c r="J1373" i="1"/>
  <c r="O1373" i="1" s="1"/>
  <c r="J1372" i="1"/>
  <c r="O1372" i="1" s="1"/>
  <c r="J1371" i="1"/>
  <c r="O1371" i="1" s="1"/>
  <c r="J1370" i="1"/>
  <c r="O1370" i="1" s="1"/>
  <c r="J1369" i="1"/>
  <c r="O1369" i="1" s="1"/>
  <c r="J1368" i="1"/>
  <c r="O1368" i="1" s="1"/>
  <c r="J1367" i="1"/>
  <c r="O1367" i="1" s="1"/>
  <c r="J1366" i="1"/>
  <c r="O1366" i="1" s="1"/>
  <c r="J1365" i="1"/>
  <c r="O1365" i="1" s="1"/>
  <c r="J1364" i="1"/>
  <c r="O1364" i="1" s="1"/>
  <c r="J1363" i="1"/>
  <c r="O1363" i="1" s="1"/>
  <c r="J1362" i="1"/>
  <c r="O1362" i="1" s="1"/>
  <c r="J1361" i="1"/>
  <c r="O1361" i="1" s="1"/>
  <c r="J1360" i="1"/>
  <c r="O1360" i="1" s="1"/>
  <c r="J1359" i="1"/>
  <c r="O1359" i="1" s="1"/>
  <c r="J1358" i="1"/>
  <c r="O1358" i="1" s="1"/>
  <c r="J1357" i="1"/>
  <c r="O1357" i="1" s="1"/>
  <c r="J1356" i="1"/>
  <c r="O1356" i="1" s="1"/>
  <c r="J1355" i="1"/>
  <c r="O1355" i="1" s="1"/>
  <c r="J1354" i="1"/>
  <c r="O1354" i="1" s="1"/>
  <c r="J1353" i="1"/>
  <c r="O1353" i="1" s="1"/>
  <c r="J1352" i="1"/>
  <c r="O1352" i="1" s="1"/>
  <c r="J1351" i="1"/>
  <c r="O1351" i="1" s="1"/>
  <c r="J1350" i="1"/>
  <c r="O1350" i="1" s="1"/>
  <c r="J1349" i="1"/>
  <c r="O1349" i="1" s="1"/>
  <c r="J1348" i="1"/>
  <c r="O1348" i="1" s="1"/>
  <c r="J1347" i="1"/>
  <c r="O1347" i="1" s="1"/>
  <c r="J1346" i="1"/>
  <c r="O1346" i="1" s="1"/>
  <c r="J1345" i="1"/>
  <c r="O1345" i="1" s="1"/>
  <c r="J1344" i="1"/>
  <c r="O1344" i="1" s="1"/>
  <c r="J1343" i="1"/>
  <c r="O1343" i="1" s="1"/>
  <c r="J1342" i="1"/>
  <c r="O1342" i="1" s="1"/>
  <c r="J1341" i="1"/>
  <c r="O1341" i="1" s="1"/>
  <c r="J1340" i="1"/>
  <c r="O1340" i="1" s="1"/>
  <c r="J1339" i="1"/>
  <c r="O1339" i="1" s="1"/>
  <c r="J1338" i="1"/>
  <c r="O1338" i="1" s="1"/>
  <c r="J1337" i="1"/>
  <c r="O1337" i="1" s="1"/>
  <c r="J1336" i="1"/>
  <c r="O1336" i="1" s="1"/>
  <c r="J1335" i="1"/>
  <c r="O1335" i="1" s="1"/>
  <c r="J1334" i="1"/>
  <c r="O1334" i="1" s="1"/>
  <c r="J1333" i="1"/>
  <c r="O1333" i="1" s="1"/>
  <c r="J1332" i="1"/>
  <c r="O1332" i="1" s="1"/>
  <c r="J1331" i="1"/>
  <c r="O1331" i="1" s="1"/>
  <c r="J1330" i="1"/>
  <c r="O1330" i="1" s="1"/>
  <c r="J1329" i="1"/>
  <c r="O1329" i="1" s="1"/>
  <c r="J1328" i="1"/>
  <c r="O1328" i="1" s="1"/>
  <c r="J1327" i="1"/>
  <c r="O1327" i="1" s="1"/>
  <c r="J1326" i="1"/>
  <c r="O1326" i="1" s="1"/>
  <c r="J1325" i="1"/>
  <c r="O1325" i="1" s="1"/>
  <c r="J1324" i="1"/>
  <c r="O1324" i="1" s="1"/>
  <c r="J1323" i="1"/>
  <c r="O1323" i="1" s="1"/>
  <c r="J1322" i="1"/>
  <c r="O1322" i="1" s="1"/>
  <c r="J1321" i="1"/>
  <c r="O1321" i="1" s="1"/>
  <c r="J1320" i="1"/>
  <c r="O1320" i="1" s="1"/>
  <c r="J1319" i="1"/>
  <c r="O1319" i="1" s="1"/>
  <c r="J1318" i="1"/>
  <c r="O1318" i="1" s="1"/>
  <c r="J1317" i="1"/>
  <c r="O1317" i="1" s="1"/>
  <c r="J1316" i="1"/>
  <c r="O1316" i="1" s="1"/>
  <c r="J1315" i="1"/>
  <c r="O1315" i="1" s="1"/>
  <c r="J1314" i="1"/>
  <c r="O1314" i="1" s="1"/>
  <c r="J1313" i="1"/>
  <c r="O1313" i="1" s="1"/>
  <c r="J1312" i="1"/>
  <c r="O1312" i="1" s="1"/>
  <c r="J1311" i="1"/>
  <c r="O1311" i="1" s="1"/>
  <c r="J1310" i="1"/>
  <c r="O1310" i="1" s="1"/>
  <c r="J1309" i="1"/>
  <c r="O1309" i="1" s="1"/>
  <c r="J1308" i="1"/>
  <c r="O1308" i="1" s="1"/>
  <c r="J1307" i="1"/>
  <c r="O1307" i="1" s="1"/>
  <c r="J1306" i="1"/>
  <c r="O1306" i="1" s="1"/>
  <c r="J1305" i="1"/>
  <c r="O1305" i="1" s="1"/>
  <c r="J1304" i="1"/>
  <c r="O1304" i="1" s="1"/>
  <c r="J1303" i="1"/>
  <c r="O1303" i="1" s="1"/>
  <c r="J1302" i="1"/>
  <c r="O1302" i="1" s="1"/>
  <c r="J1301" i="1"/>
  <c r="O1301" i="1" s="1"/>
  <c r="J1300" i="1"/>
  <c r="O1300" i="1" s="1"/>
  <c r="J1299" i="1"/>
  <c r="O1299" i="1" s="1"/>
  <c r="J1298" i="1"/>
  <c r="O1298" i="1" s="1"/>
  <c r="J1297" i="1"/>
  <c r="O1297" i="1" s="1"/>
  <c r="J1296" i="1"/>
  <c r="O1296" i="1" s="1"/>
  <c r="J1295" i="1"/>
  <c r="O1295" i="1" s="1"/>
  <c r="J1294" i="1"/>
  <c r="O1294" i="1" s="1"/>
  <c r="J1293" i="1"/>
  <c r="O1293" i="1" s="1"/>
  <c r="J1292" i="1"/>
  <c r="O1292" i="1" s="1"/>
  <c r="J1291" i="1"/>
  <c r="O1291" i="1" s="1"/>
  <c r="J1290" i="1"/>
  <c r="O1290" i="1" s="1"/>
  <c r="J1289" i="1"/>
  <c r="O1289" i="1" s="1"/>
  <c r="J1288" i="1"/>
  <c r="O1288" i="1" s="1"/>
  <c r="J1287" i="1"/>
  <c r="O1287" i="1" s="1"/>
  <c r="J1286" i="1"/>
  <c r="O1286" i="1" s="1"/>
  <c r="J1285" i="1"/>
  <c r="O1285" i="1" s="1"/>
  <c r="J1284" i="1"/>
  <c r="O1284" i="1" s="1"/>
  <c r="J1283" i="1"/>
  <c r="O1283" i="1" s="1"/>
  <c r="J1282" i="1"/>
  <c r="O1282" i="1" s="1"/>
  <c r="J1281" i="1"/>
  <c r="O1281" i="1" s="1"/>
  <c r="J1280" i="1"/>
  <c r="O1280" i="1" s="1"/>
  <c r="J1279" i="1"/>
  <c r="O1279" i="1" s="1"/>
  <c r="J1278" i="1"/>
  <c r="O1278" i="1" s="1"/>
  <c r="J1277" i="1"/>
  <c r="O1277" i="1" s="1"/>
  <c r="J1276" i="1"/>
  <c r="O1276" i="1" s="1"/>
  <c r="J1275" i="1"/>
  <c r="O1275" i="1" s="1"/>
  <c r="J1274" i="1"/>
  <c r="O1274" i="1" s="1"/>
  <c r="J1273" i="1"/>
  <c r="O1273" i="1" s="1"/>
  <c r="J1272" i="1"/>
  <c r="O1272" i="1" s="1"/>
  <c r="J1271" i="1"/>
  <c r="O1271" i="1" s="1"/>
  <c r="J1270" i="1"/>
  <c r="O1270" i="1" s="1"/>
  <c r="J1269" i="1"/>
  <c r="O1269" i="1" s="1"/>
  <c r="J1268" i="1"/>
  <c r="O1268" i="1" s="1"/>
  <c r="J1267" i="1"/>
  <c r="O1267" i="1" s="1"/>
  <c r="J1266" i="1"/>
  <c r="O1266" i="1" s="1"/>
  <c r="J1265" i="1"/>
  <c r="O1265" i="1" s="1"/>
  <c r="J1264" i="1"/>
  <c r="O1264" i="1" s="1"/>
  <c r="J1263" i="1"/>
  <c r="O1263" i="1" s="1"/>
  <c r="J1262" i="1"/>
  <c r="O1262" i="1" s="1"/>
  <c r="J1261" i="1"/>
  <c r="O1261" i="1" s="1"/>
  <c r="J1260" i="1"/>
  <c r="O1260" i="1" s="1"/>
  <c r="J1259" i="1"/>
  <c r="O1259" i="1" s="1"/>
  <c r="J1258" i="1"/>
  <c r="O1258" i="1" s="1"/>
  <c r="J1257" i="1"/>
  <c r="O1257" i="1" s="1"/>
  <c r="J1256" i="1"/>
  <c r="O1256" i="1" s="1"/>
  <c r="J1255" i="1"/>
  <c r="O1255" i="1" s="1"/>
  <c r="J1254" i="1"/>
  <c r="O1254" i="1" s="1"/>
  <c r="J1253" i="1"/>
  <c r="O1253" i="1" s="1"/>
  <c r="J1252" i="1"/>
  <c r="O1252" i="1" s="1"/>
  <c r="J1251" i="1"/>
  <c r="O1251" i="1" s="1"/>
  <c r="J1250" i="1"/>
  <c r="O1250" i="1" s="1"/>
  <c r="J1249" i="1"/>
  <c r="O1249" i="1" s="1"/>
  <c r="J1248" i="1"/>
  <c r="O1248" i="1" s="1"/>
  <c r="J1247" i="1"/>
  <c r="O1247" i="1" s="1"/>
  <c r="J1246" i="1"/>
  <c r="O1246" i="1" s="1"/>
  <c r="J1245" i="1"/>
  <c r="O1245" i="1" s="1"/>
  <c r="J1244" i="1"/>
  <c r="O1244" i="1" s="1"/>
  <c r="J1243" i="1"/>
  <c r="O1243" i="1" s="1"/>
  <c r="J1242" i="1"/>
  <c r="O1242" i="1" s="1"/>
  <c r="J1241" i="1"/>
  <c r="O1241" i="1" s="1"/>
  <c r="J1240" i="1"/>
  <c r="O1240" i="1" s="1"/>
  <c r="J1239" i="1"/>
  <c r="O1239" i="1" s="1"/>
  <c r="J1238" i="1"/>
  <c r="O1238" i="1" s="1"/>
  <c r="J1237" i="1"/>
  <c r="O1237" i="1" s="1"/>
  <c r="J1236" i="1"/>
  <c r="O1236" i="1" s="1"/>
  <c r="J1235" i="1"/>
  <c r="O1235" i="1" s="1"/>
  <c r="J1234" i="1"/>
  <c r="O1234" i="1" s="1"/>
  <c r="J1233" i="1"/>
  <c r="O1233" i="1" s="1"/>
  <c r="J1232" i="1"/>
  <c r="O1232" i="1" s="1"/>
  <c r="J1231" i="1"/>
  <c r="O1231" i="1" s="1"/>
  <c r="J1230" i="1"/>
  <c r="O1230" i="1" s="1"/>
  <c r="J1229" i="1"/>
  <c r="O1229" i="1" s="1"/>
  <c r="J1228" i="1"/>
  <c r="O1228" i="1" s="1"/>
  <c r="J1227" i="1"/>
  <c r="O1227" i="1" s="1"/>
  <c r="J1226" i="1"/>
  <c r="O1226" i="1" s="1"/>
  <c r="J1225" i="1"/>
  <c r="O1225" i="1" s="1"/>
  <c r="J1224" i="1"/>
  <c r="O1224" i="1" s="1"/>
  <c r="J1223" i="1"/>
  <c r="O1223" i="1" s="1"/>
  <c r="J1222" i="1"/>
  <c r="O1222" i="1" s="1"/>
  <c r="J1221" i="1"/>
  <c r="O1221" i="1" s="1"/>
  <c r="J1220" i="1"/>
  <c r="O1220" i="1" s="1"/>
  <c r="J1219" i="1"/>
  <c r="O1219" i="1" s="1"/>
  <c r="J1218" i="1"/>
  <c r="O1218" i="1" s="1"/>
  <c r="J1217" i="1"/>
  <c r="O1217" i="1" s="1"/>
  <c r="J1216" i="1"/>
  <c r="O1216" i="1" s="1"/>
  <c r="J1215" i="1"/>
  <c r="O1215" i="1" s="1"/>
  <c r="J1214" i="1"/>
  <c r="O1214" i="1" s="1"/>
  <c r="J1213" i="1"/>
  <c r="O1213" i="1" s="1"/>
  <c r="J1212" i="1"/>
  <c r="O1212" i="1" s="1"/>
  <c r="J1211" i="1"/>
  <c r="O1211" i="1" s="1"/>
  <c r="J1210" i="1"/>
  <c r="O1210" i="1" s="1"/>
  <c r="J1209" i="1"/>
  <c r="O1209" i="1" s="1"/>
  <c r="J1208" i="1"/>
  <c r="O1208" i="1" s="1"/>
  <c r="J1207" i="1"/>
  <c r="O1207" i="1" s="1"/>
  <c r="J1206" i="1"/>
  <c r="O1206" i="1" s="1"/>
  <c r="J1205" i="1"/>
  <c r="O1205" i="1" s="1"/>
  <c r="J1204" i="1"/>
  <c r="O1204" i="1" s="1"/>
  <c r="J1203" i="1"/>
  <c r="O1203" i="1" s="1"/>
  <c r="J1202" i="1"/>
  <c r="O1202" i="1" s="1"/>
  <c r="J1201" i="1"/>
  <c r="O1201" i="1" s="1"/>
  <c r="J1200" i="1"/>
  <c r="O1200" i="1" s="1"/>
  <c r="J1199" i="1"/>
  <c r="O1199" i="1" s="1"/>
  <c r="J1198" i="1"/>
  <c r="O1198" i="1" s="1"/>
  <c r="J1197" i="1"/>
  <c r="O1197" i="1" s="1"/>
  <c r="J1196" i="1"/>
  <c r="O1196" i="1" s="1"/>
  <c r="J1195" i="1"/>
  <c r="O1195" i="1" s="1"/>
  <c r="J1194" i="1"/>
  <c r="O1194" i="1" s="1"/>
  <c r="J1193" i="1"/>
  <c r="O1193" i="1" s="1"/>
  <c r="J1192" i="1"/>
  <c r="O1192" i="1" s="1"/>
  <c r="J1191" i="1"/>
  <c r="O1191" i="1" s="1"/>
  <c r="J1190" i="1"/>
  <c r="O1190" i="1" s="1"/>
  <c r="J1189" i="1"/>
  <c r="O1189" i="1" s="1"/>
  <c r="J1188" i="1"/>
  <c r="O1188" i="1" s="1"/>
  <c r="J1187" i="1"/>
  <c r="O1187" i="1" s="1"/>
  <c r="J1186" i="1"/>
  <c r="O1186" i="1" s="1"/>
  <c r="J1185" i="1"/>
  <c r="O1185" i="1" s="1"/>
  <c r="J1184" i="1"/>
  <c r="O1184" i="1" s="1"/>
  <c r="J1183" i="1"/>
  <c r="O1183" i="1" s="1"/>
  <c r="J1182" i="1"/>
  <c r="O1182" i="1" s="1"/>
  <c r="J1181" i="1"/>
  <c r="O1181" i="1" s="1"/>
  <c r="J1180" i="1"/>
  <c r="O1180" i="1" s="1"/>
  <c r="J1179" i="1"/>
  <c r="O1179" i="1" s="1"/>
  <c r="J1178" i="1"/>
  <c r="O1178" i="1" s="1"/>
  <c r="J1177" i="1"/>
  <c r="O1177" i="1" s="1"/>
  <c r="J1176" i="1"/>
  <c r="O1176" i="1" s="1"/>
  <c r="J1175" i="1"/>
  <c r="O1175" i="1" s="1"/>
  <c r="J1174" i="1"/>
  <c r="O1174" i="1" s="1"/>
  <c r="J1173" i="1"/>
  <c r="O1173" i="1" s="1"/>
  <c r="J1172" i="1"/>
  <c r="O1172" i="1" s="1"/>
  <c r="J1171" i="1"/>
  <c r="O1171" i="1" s="1"/>
  <c r="J1170" i="1"/>
  <c r="O1170" i="1" s="1"/>
  <c r="J1169" i="1"/>
  <c r="O1169" i="1" s="1"/>
  <c r="J1168" i="1"/>
  <c r="O1168" i="1" s="1"/>
  <c r="J1167" i="1"/>
  <c r="O1167" i="1" s="1"/>
  <c r="J1166" i="1"/>
  <c r="O1166" i="1" s="1"/>
  <c r="J1165" i="1"/>
  <c r="O1165" i="1" s="1"/>
  <c r="J1164" i="1"/>
  <c r="O1164" i="1" s="1"/>
  <c r="J1163" i="1"/>
  <c r="O1163" i="1" s="1"/>
  <c r="J1162" i="1"/>
  <c r="O1162" i="1" s="1"/>
  <c r="J1161" i="1"/>
  <c r="O1161" i="1" s="1"/>
  <c r="J1160" i="1"/>
  <c r="O1160" i="1" s="1"/>
  <c r="J1159" i="1"/>
  <c r="O1159" i="1" s="1"/>
  <c r="J1158" i="1"/>
  <c r="O1158" i="1" s="1"/>
  <c r="J1157" i="1"/>
  <c r="O1157" i="1" s="1"/>
  <c r="J1156" i="1"/>
  <c r="O1156" i="1" s="1"/>
  <c r="J1155" i="1"/>
  <c r="O1155" i="1" s="1"/>
  <c r="J1154" i="1"/>
  <c r="O1154" i="1" s="1"/>
  <c r="J1153" i="1"/>
  <c r="O1153" i="1" s="1"/>
  <c r="J1152" i="1"/>
  <c r="O1152" i="1" s="1"/>
  <c r="J1151" i="1"/>
  <c r="O1151" i="1" s="1"/>
  <c r="J1150" i="1"/>
  <c r="O1150" i="1" s="1"/>
  <c r="J1149" i="1"/>
  <c r="O1149" i="1" s="1"/>
  <c r="J1148" i="1"/>
  <c r="O1148" i="1" s="1"/>
  <c r="J1147" i="1"/>
  <c r="O1147" i="1" s="1"/>
  <c r="J1146" i="1"/>
  <c r="O1146" i="1" s="1"/>
  <c r="J1145" i="1"/>
  <c r="O1145" i="1" s="1"/>
  <c r="J1144" i="1"/>
  <c r="O1144" i="1" s="1"/>
  <c r="J1143" i="1"/>
  <c r="O1143" i="1" s="1"/>
  <c r="J1142" i="1"/>
  <c r="O1142" i="1" s="1"/>
  <c r="J1141" i="1"/>
  <c r="O1141" i="1" s="1"/>
  <c r="J1140" i="1"/>
  <c r="O1140" i="1" s="1"/>
  <c r="J1139" i="1"/>
  <c r="O1139" i="1" s="1"/>
  <c r="J1138" i="1"/>
  <c r="O1138" i="1" s="1"/>
  <c r="J1137" i="1"/>
  <c r="O1137" i="1" s="1"/>
  <c r="J1136" i="1"/>
  <c r="O1136" i="1" s="1"/>
  <c r="J1135" i="1"/>
  <c r="O1135" i="1" s="1"/>
  <c r="J1134" i="1"/>
  <c r="O1134" i="1" s="1"/>
  <c r="J1133" i="1"/>
  <c r="O1133" i="1" s="1"/>
  <c r="J1132" i="1"/>
  <c r="O1132" i="1" s="1"/>
  <c r="J1131" i="1"/>
  <c r="O1131" i="1" s="1"/>
  <c r="J1130" i="1"/>
  <c r="O1130" i="1" s="1"/>
  <c r="J1129" i="1"/>
  <c r="O1129" i="1" s="1"/>
  <c r="J1128" i="1"/>
  <c r="O1128" i="1" s="1"/>
  <c r="J1127" i="1"/>
  <c r="O1127" i="1" s="1"/>
  <c r="J1126" i="1"/>
  <c r="O1126" i="1" s="1"/>
  <c r="J1125" i="1"/>
  <c r="O1125" i="1" s="1"/>
  <c r="J1124" i="1"/>
  <c r="O1124" i="1" s="1"/>
  <c r="J1123" i="1"/>
  <c r="O1123" i="1" s="1"/>
  <c r="J1122" i="1"/>
  <c r="O1122" i="1" s="1"/>
  <c r="J1121" i="1"/>
  <c r="O1121" i="1" s="1"/>
  <c r="J1120" i="1"/>
  <c r="O1120" i="1" s="1"/>
  <c r="J1119" i="1"/>
  <c r="O1119" i="1" s="1"/>
  <c r="J1118" i="1"/>
  <c r="O1118" i="1" s="1"/>
  <c r="J1117" i="1"/>
  <c r="O1117" i="1" s="1"/>
  <c r="J1116" i="1"/>
  <c r="O1116" i="1" s="1"/>
  <c r="J1115" i="1"/>
  <c r="O1115" i="1" s="1"/>
  <c r="J1114" i="1"/>
  <c r="O1114" i="1" s="1"/>
  <c r="J1113" i="1"/>
  <c r="O1113" i="1" s="1"/>
  <c r="J1112" i="1"/>
  <c r="O1112" i="1" s="1"/>
  <c r="J1111" i="1"/>
  <c r="O1111" i="1" s="1"/>
  <c r="J1110" i="1"/>
  <c r="O1110" i="1" s="1"/>
  <c r="J1109" i="1"/>
  <c r="O1109" i="1" s="1"/>
  <c r="J1108" i="1"/>
  <c r="O1108" i="1" s="1"/>
  <c r="J1107" i="1"/>
  <c r="O1107" i="1" s="1"/>
  <c r="J1106" i="1"/>
  <c r="O1106" i="1" s="1"/>
  <c r="J1105" i="1"/>
  <c r="O1105" i="1" s="1"/>
  <c r="J1104" i="1"/>
  <c r="O1104" i="1" s="1"/>
  <c r="J1103" i="1"/>
  <c r="O1103" i="1" s="1"/>
  <c r="J1102" i="1"/>
  <c r="O1102" i="1" s="1"/>
  <c r="J1101" i="1"/>
  <c r="O1101" i="1" s="1"/>
  <c r="J1100" i="1"/>
  <c r="O1100" i="1" s="1"/>
  <c r="J1099" i="1"/>
  <c r="O1099" i="1" s="1"/>
  <c r="J1098" i="1"/>
  <c r="O1098" i="1" s="1"/>
  <c r="J1097" i="1"/>
  <c r="O1097" i="1" s="1"/>
  <c r="J1096" i="1"/>
  <c r="O1096" i="1" s="1"/>
  <c r="J1095" i="1"/>
  <c r="O1095" i="1" s="1"/>
  <c r="J1094" i="1"/>
  <c r="O1094" i="1" s="1"/>
  <c r="J1093" i="1"/>
  <c r="O1093" i="1" s="1"/>
  <c r="J1092" i="1"/>
  <c r="O1092" i="1" s="1"/>
  <c r="J1091" i="1"/>
  <c r="O1091" i="1" s="1"/>
  <c r="J1090" i="1"/>
  <c r="O1090" i="1" s="1"/>
  <c r="J1089" i="1"/>
  <c r="O1089" i="1" s="1"/>
  <c r="J1088" i="1"/>
  <c r="O1088" i="1" s="1"/>
  <c r="J1087" i="1"/>
  <c r="O1087" i="1" s="1"/>
  <c r="J1086" i="1"/>
  <c r="O1086" i="1" s="1"/>
  <c r="J1085" i="1"/>
  <c r="O1085" i="1" s="1"/>
  <c r="J1084" i="1"/>
  <c r="O1084" i="1" s="1"/>
  <c r="J1083" i="1"/>
  <c r="O1083" i="1" s="1"/>
  <c r="J1082" i="1"/>
  <c r="O1082" i="1" s="1"/>
  <c r="J1081" i="1"/>
  <c r="O1081" i="1" s="1"/>
  <c r="J1080" i="1"/>
  <c r="O1080" i="1" s="1"/>
  <c r="J1079" i="1"/>
  <c r="O1079" i="1" s="1"/>
  <c r="J1078" i="1"/>
  <c r="O1078" i="1" s="1"/>
  <c r="J1077" i="1"/>
  <c r="O1077" i="1" s="1"/>
  <c r="J1076" i="1"/>
  <c r="O1076" i="1" s="1"/>
  <c r="J1075" i="1"/>
  <c r="O1075" i="1" s="1"/>
  <c r="J1074" i="1"/>
  <c r="O1074" i="1" s="1"/>
  <c r="J1073" i="1"/>
  <c r="O1073" i="1" s="1"/>
  <c r="J1072" i="1"/>
  <c r="O1072" i="1" s="1"/>
  <c r="J1071" i="1"/>
  <c r="O1071" i="1" s="1"/>
  <c r="J1070" i="1"/>
  <c r="O1070" i="1" s="1"/>
  <c r="J1069" i="1"/>
  <c r="O1069" i="1" s="1"/>
  <c r="J1068" i="1"/>
  <c r="O1068" i="1" s="1"/>
  <c r="J1067" i="1"/>
  <c r="O1067" i="1" s="1"/>
  <c r="J1066" i="1"/>
  <c r="O1066" i="1" s="1"/>
  <c r="J1065" i="1"/>
  <c r="O1065" i="1" s="1"/>
  <c r="J1064" i="1"/>
  <c r="O1064" i="1" s="1"/>
  <c r="J1063" i="1"/>
  <c r="O1063" i="1" s="1"/>
  <c r="J1062" i="1"/>
  <c r="O1062" i="1" s="1"/>
  <c r="J1061" i="1"/>
  <c r="O1061" i="1" s="1"/>
  <c r="J1060" i="1"/>
  <c r="O1060" i="1" s="1"/>
  <c r="J1059" i="1"/>
  <c r="O1059" i="1" s="1"/>
  <c r="J1058" i="1"/>
  <c r="O1058" i="1" s="1"/>
  <c r="J1057" i="1"/>
  <c r="O1057" i="1" s="1"/>
  <c r="J1056" i="1"/>
  <c r="O1056" i="1" s="1"/>
  <c r="J1055" i="1"/>
  <c r="O1055" i="1" s="1"/>
  <c r="J1054" i="1"/>
  <c r="O1054" i="1" s="1"/>
  <c r="J1053" i="1"/>
  <c r="O1053" i="1" s="1"/>
  <c r="J1052" i="1"/>
  <c r="O1052" i="1" s="1"/>
  <c r="J1051" i="1"/>
  <c r="O1051" i="1" s="1"/>
  <c r="J1050" i="1"/>
  <c r="O1050" i="1" s="1"/>
  <c r="J1049" i="1"/>
  <c r="O1049" i="1" s="1"/>
  <c r="J1048" i="1"/>
  <c r="O1048" i="1" s="1"/>
  <c r="J1047" i="1"/>
  <c r="O1047" i="1" s="1"/>
  <c r="J1046" i="1"/>
  <c r="O1046" i="1" s="1"/>
  <c r="J1045" i="1"/>
  <c r="O1045" i="1" s="1"/>
  <c r="J1044" i="1"/>
  <c r="O1044" i="1" s="1"/>
  <c r="J1043" i="1"/>
  <c r="O1043" i="1" s="1"/>
  <c r="J1042" i="1"/>
  <c r="O1042" i="1" s="1"/>
  <c r="J1041" i="1"/>
  <c r="O1041" i="1" s="1"/>
  <c r="J1040" i="1"/>
  <c r="O1040" i="1" s="1"/>
  <c r="J1039" i="1"/>
  <c r="O1039" i="1" s="1"/>
  <c r="J1038" i="1"/>
  <c r="O1038" i="1" s="1"/>
  <c r="J1037" i="1"/>
  <c r="O1037" i="1" s="1"/>
  <c r="J1036" i="1"/>
  <c r="O1036" i="1" s="1"/>
  <c r="J1035" i="1"/>
  <c r="O1035" i="1" s="1"/>
  <c r="J1034" i="1"/>
  <c r="O1034" i="1" s="1"/>
  <c r="J1033" i="1"/>
  <c r="O1033" i="1" s="1"/>
  <c r="J1032" i="1"/>
  <c r="O1032" i="1" s="1"/>
  <c r="J1031" i="1"/>
  <c r="O1031" i="1" s="1"/>
  <c r="J1030" i="1"/>
  <c r="O1030" i="1" s="1"/>
  <c r="J1029" i="1"/>
  <c r="O1029" i="1" s="1"/>
  <c r="J1028" i="1"/>
  <c r="O1028" i="1" s="1"/>
  <c r="J1027" i="1"/>
  <c r="O1027" i="1" s="1"/>
  <c r="J1026" i="1"/>
  <c r="O1026" i="1" s="1"/>
  <c r="J1025" i="1"/>
  <c r="O1025" i="1" s="1"/>
  <c r="J1024" i="1"/>
  <c r="O1024" i="1" s="1"/>
  <c r="J1023" i="1"/>
  <c r="O1023" i="1" s="1"/>
  <c r="J1022" i="1"/>
  <c r="O1022" i="1" s="1"/>
  <c r="J1021" i="1"/>
  <c r="O1021" i="1" s="1"/>
  <c r="J1020" i="1"/>
  <c r="O1020" i="1" s="1"/>
  <c r="J1019" i="1"/>
  <c r="O1019" i="1" s="1"/>
  <c r="J1018" i="1"/>
  <c r="O1018" i="1" s="1"/>
  <c r="J1017" i="1"/>
  <c r="O1017" i="1" s="1"/>
  <c r="J1016" i="1"/>
  <c r="O1016" i="1" s="1"/>
  <c r="J1015" i="1"/>
  <c r="O1015" i="1" s="1"/>
  <c r="J1014" i="1"/>
  <c r="O1014" i="1" s="1"/>
  <c r="J1013" i="1"/>
  <c r="O1013" i="1" s="1"/>
  <c r="J1012" i="1"/>
  <c r="O1012" i="1" s="1"/>
  <c r="J1011" i="1"/>
  <c r="O1011" i="1" s="1"/>
  <c r="J1010" i="1"/>
  <c r="O1010" i="1" s="1"/>
  <c r="J1009" i="1"/>
  <c r="O1009" i="1" s="1"/>
  <c r="J1008" i="1"/>
  <c r="O1008" i="1" s="1"/>
  <c r="J1007" i="1"/>
  <c r="O1007" i="1" s="1"/>
  <c r="J1006" i="1"/>
  <c r="O1006" i="1" s="1"/>
  <c r="J1005" i="1"/>
  <c r="O1005" i="1" s="1"/>
  <c r="J1004" i="1"/>
  <c r="O1004" i="1" s="1"/>
  <c r="J1003" i="1"/>
  <c r="O1003" i="1" s="1"/>
  <c r="J1002" i="1"/>
  <c r="O1002" i="1" s="1"/>
  <c r="J1001" i="1"/>
  <c r="O1001" i="1" s="1"/>
  <c r="J1000" i="1"/>
  <c r="O1000" i="1" s="1"/>
  <c r="J999" i="1"/>
  <c r="O999" i="1" s="1"/>
  <c r="J998" i="1"/>
  <c r="O998" i="1" s="1"/>
  <c r="J997" i="1"/>
  <c r="O997" i="1" s="1"/>
  <c r="J996" i="1"/>
  <c r="O996" i="1" s="1"/>
  <c r="J995" i="1"/>
  <c r="O995" i="1" s="1"/>
  <c r="J994" i="1"/>
  <c r="O994" i="1" s="1"/>
  <c r="J993" i="1"/>
  <c r="O993" i="1" s="1"/>
  <c r="J992" i="1"/>
  <c r="O992" i="1" s="1"/>
  <c r="J991" i="1"/>
  <c r="O991" i="1" s="1"/>
  <c r="J990" i="1"/>
  <c r="O990" i="1" s="1"/>
  <c r="J989" i="1"/>
  <c r="O989" i="1" s="1"/>
  <c r="J988" i="1"/>
  <c r="O988" i="1" s="1"/>
  <c r="J987" i="1"/>
  <c r="O987" i="1" s="1"/>
  <c r="J986" i="1"/>
  <c r="O986" i="1" s="1"/>
  <c r="J985" i="1"/>
  <c r="O985" i="1" s="1"/>
  <c r="J984" i="1"/>
  <c r="O984" i="1" s="1"/>
  <c r="J983" i="1"/>
  <c r="O983" i="1" s="1"/>
  <c r="J982" i="1"/>
  <c r="O982" i="1" s="1"/>
  <c r="J981" i="1"/>
  <c r="O981" i="1" s="1"/>
  <c r="J980" i="1"/>
  <c r="O980" i="1" s="1"/>
  <c r="J979" i="1"/>
  <c r="O979" i="1" s="1"/>
  <c r="J978" i="1"/>
  <c r="O978" i="1" s="1"/>
  <c r="J977" i="1"/>
  <c r="O977" i="1" s="1"/>
  <c r="J976" i="1"/>
  <c r="O976" i="1" s="1"/>
  <c r="J975" i="1"/>
  <c r="O975" i="1" s="1"/>
  <c r="J974" i="1"/>
  <c r="O974" i="1" s="1"/>
  <c r="J973" i="1"/>
  <c r="O973" i="1" s="1"/>
  <c r="J972" i="1"/>
  <c r="O972" i="1" s="1"/>
  <c r="J971" i="1"/>
  <c r="O971" i="1" s="1"/>
  <c r="J970" i="1"/>
  <c r="O970" i="1" s="1"/>
  <c r="J969" i="1"/>
  <c r="O969" i="1" s="1"/>
  <c r="J968" i="1"/>
  <c r="O968" i="1" s="1"/>
  <c r="J967" i="1"/>
  <c r="O967" i="1" s="1"/>
  <c r="J966" i="1"/>
  <c r="O966" i="1" s="1"/>
  <c r="J965" i="1"/>
  <c r="O965" i="1" s="1"/>
  <c r="J964" i="1"/>
  <c r="O964" i="1" s="1"/>
  <c r="J963" i="1"/>
  <c r="O963" i="1" s="1"/>
  <c r="J962" i="1"/>
  <c r="O962" i="1" s="1"/>
  <c r="J961" i="1"/>
  <c r="O961" i="1" s="1"/>
  <c r="J960" i="1"/>
  <c r="O960" i="1" s="1"/>
  <c r="J959" i="1"/>
  <c r="O959" i="1" s="1"/>
  <c r="J958" i="1"/>
  <c r="O958" i="1" s="1"/>
  <c r="J957" i="1"/>
  <c r="O957" i="1" s="1"/>
  <c r="J956" i="1"/>
  <c r="O956" i="1" s="1"/>
  <c r="J955" i="1"/>
  <c r="O955" i="1" s="1"/>
  <c r="J954" i="1"/>
  <c r="O954" i="1" s="1"/>
  <c r="J953" i="1"/>
  <c r="O953" i="1" s="1"/>
  <c r="J952" i="1"/>
  <c r="O952" i="1" s="1"/>
  <c r="J951" i="1"/>
  <c r="O951" i="1" s="1"/>
  <c r="J950" i="1"/>
  <c r="O950" i="1" s="1"/>
  <c r="J949" i="1"/>
  <c r="O949" i="1" s="1"/>
  <c r="J948" i="1"/>
  <c r="O948" i="1" s="1"/>
  <c r="J947" i="1"/>
  <c r="O947" i="1" s="1"/>
  <c r="J946" i="1"/>
  <c r="O946" i="1" s="1"/>
  <c r="J945" i="1"/>
  <c r="O945" i="1" s="1"/>
  <c r="J944" i="1"/>
  <c r="O944" i="1" s="1"/>
  <c r="J943" i="1"/>
  <c r="O943" i="1" s="1"/>
  <c r="J942" i="1"/>
  <c r="O942" i="1" s="1"/>
  <c r="J941" i="1"/>
  <c r="O941" i="1" s="1"/>
  <c r="J940" i="1"/>
  <c r="O940" i="1" s="1"/>
  <c r="J939" i="1"/>
  <c r="O939" i="1" s="1"/>
  <c r="J938" i="1"/>
  <c r="O938" i="1" s="1"/>
  <c r="J937" i="1"/>
  <c r="O937" i="1" s="1"/>
  <c r="J936" i="1"/>
  <c r="O936" i="1" s="1"/>
  <c r="J935" i="1"/>
  <c r="O935" i="1" s="1"/>
  <c r="J934" i="1"/>
  <c r="O934" i="1" s="1"/>
  <c r="J933" i="1"/>
  <c r="O933" i="1" s="1"/>
  <c r="J932" i="1"/>
  <c r="O932" i="1" s="1"/>
  <c r="J931" i="1"/>
  <c r="O931" i="1" s="1"/>
  <c r="J930" i="1"/>
  <c r="O930" i="1" s="1"/>
  <c r="J929" i="1"/>
  <c r="O929" i="1" s="1"/>
  <c r="J928" i="1"/>
  <c r="O928" i="1" s="1"/>
  <c r="J927" i="1"/>
  <c r="O927" i="1" s="1"/>
  <c r="J926" i="1"/>
  <c r="O926" i="1" s="1"/>
  <c r="J925" i="1"/>
  <c r="O925" i="1" s="1"/>
  <c r="J924" i="1"/>
  <c r="O924" i="1" s="1"/>
  <c r="J923" i="1"/>
  <c r="O923" i="1" s="1"/>
  <c r="J922" i="1"/>
  <c r="O922" i="1" s="1"/>
  <c r="J921" i="1"/>
  <c r="O921" i="1" s="1"/>
  <c r="J920" i="1"/>
  <c r="O920" i="1" s="1"/>
  <c r="J919" i="1"/>
  <c r="O919" i="1" s="1"/>
  <c r="J918" i="1"/>
  <c r="O918" i="1" s="1"/>
  <c r="J917" i="1"/>
  <c r="O917" i="1" s="1"/>
  <c r="J916" i="1"/>
  <c r="O916" i="1" s="1"/>
  <c r="J915" i="1"/>
  <c r="O915" i="1" s="1"/>
  <c r="J914" i="1"/>
  <c r="O914" i="1" s="1"/>
  <c r="J913" i="1"/>
  <c r="O913" i="1" s="1"/>
  <c r="J912" i="1"/>
  <c r="O912" i="1" s="1"/>
  <c r="J911" i="1"/>
  <c r="O911" i="1" s="1"/>
  <c r="J910" i="1"/>
  <c r="O910" i="1" s="1"/>
  <c r="J909" i="1"/>
  <c r="O909" i="1" s="1"/>
  <c r="J908" i="1"/>
  <c r="O908" i="1" s="1"/>
  <c r="J907" i="1"/>
  <c r="O907" i="1" s="1"/>
  <c r="J906" i="1"/>
  <c r="O906" i="1" s="1"/>
  <c r="J905" i="1"/>
  <c r="O905" i="1" s="1"/>
  <c r="J904" i="1"/>
  <c r="O904" i="1" s="1"/>
  <c r="J903" i="1"/>
  <c r="O903" i="1" s="1"/>
  <c r="J902" i="1"/>
  <c r="O902" i="1" s="1"/>
  <c r="J901" i="1"/>
  <c r="O901" i="1" s="1"/>
  <c r="J900" i="1"/>
  <c r="O900" i="1" s="1"/>
  <c r="J899" i="1"/>
  <c r="O899" i="1" s="1"/>
  <c r="J898" i="1"/>
  <c r="O898" i="1" s="1"/>
  <c r="J897" i="1"/>
  <c r="O897" i="1" s="1"/>
  <c r="J896" i="1"/>
  <c r="O896" i="1" s="1"/>
  <c r="J895" i="1"/>
  <c r="O895" i="1" s="1"/>
  <c r="J894" i="1"/>
  <c r="O894" i="1" s="1"/>
  <c r="J893" i="1"/>
  <c r="O893" i="1" s="1"/>
  <c r="J892" i="1"/>
  <c r="O892" i="1" s="1"/>
  <c r="J891" i="1"/>
  <c r="O891" i="1" s="1"/>
  <c r="J890" i="1"/>
  <c r="O890" i="1" s="1"/>
  <c r="J889" i="1"/>
  <c r="O889" i="1" s="1"/>
  <c r="J888" i="1"/>
  <c r="O888" i="1" s="1"/>
  <c r="J887" i="1"/>
  <c r="O887" i="1" s="1"/>
  <c r="J886" i="1"/>
  <c r="O886" i="1" s="1"/>
  <c r="J885" i="1"/>
  <c r="O885" i="1" s="1"/>
  <c r="J884" i="1"/>
  <c r="O884" i="1" s="1"/>
  <c r="J883" i="1"/>
  <c r="O883" i="1" s="1"/>
  <c r="J882" i="1"/>
  <c r="O882" i="1" s="1"/>
  <c r="J881" i="1"/>
  <c r="O881" i="1" s="1"/>
  <c r="J880" i="1"/>
  <c r="O880" i="1" s="1"/>
  <c r="J879" i="1"/>
  <c r="O879" i="1" s="1"/>
  <c r="J878" i="1"/>
  <c r="O878" i="1" s="1"/>
  <c r="J877" i="1"/>
  <c r="O877" i="1" s="1"/>
  <c r="J876" i="1"/>
  <c r="O876" i="1" s="1"/>
  <c r="J875" i="1"/>
  <c r="O875" i="1" s="1"/>
  <c r="J874" i="1"/>
  <c r="O874" i="1" s="1"/>
  <c r="J873" i="1"/>
  <c r="O873" i="1" s="1"/>
  <c r="J872" i="1"/>
  <c r="O872" i="1" s="1"/>
  <c r="J871" i="1"/>
  <c r="O871" i="1" s="1"/>
  <c r="J870" i="1"/>
  <c r="O870" i="1" s="1"/>
  <c r="J869" i="1"/>
  <c r="O869" i="1" s="1"/>
  <c r="J868" i="1"/>
  <c r="O868" i="1" s="1"/>
  <c r="J867" i="1"/>
  <c r="O867" i="1" s="1"/>
  <c r="J866" i="1"/>
  <c r="O866" i="1" s="1"/>
  <c r="J865" i="1"/>
  <c r="O865" i="1" s="1"/>
  <c r="J864" i="1"/>
  <c r="O864" i="1" s="1"/>
  <c r="J863" i="1"/>
  <c r="O863" i="1" s="1"/>
  <c r="J862" i="1"/>
  <c r="O862" i="1" s="1"/>
  <c r="J861" i="1"/>
  <c r="O861" i="1" s="1"/>
  <c r="J860" i="1"/>
  <c r="O860" i="1" s="1"/>
  <c r="J859" i="1"/>
  <c r="O859" i="1" s="1"/>
  <c r="J858" i="1"/>
  <c r="O858" i="1" s="1"/>
  <c r="J857" i="1"/>
  <c r="O857" i="1" s="1"/>
  <c r="J856" i="1"/>
  <c r="O856" i="1" s="1"/>
  <c r="J855" i="1"/>
  <c r="O855" i="1" s="1"/>
  <c r="J854" i="1"/>
  <c r="O854" i="1" s="1"/>
  <c r="J853" i="1"/>
  <c r="O853" i="1" s="1"/>
  <c r="J852" i="1"/>
  <c r="O852" i="1" s="1"/>
  <c r="J851" i="1"/>
  <c r="O851" i="1" s="1"/>
  <c r="J850" i="1"/>
  <c r="O850" i="1" s="1"/>
  <c r="J849" i="1"/>
  <c r="O849" i="1" s="1"/>
  <c r="J848" i="1"/>
  <c r="O848" i="1" s="1"/>
  <c r="J847" i="1"/>
  <c r="O847" i="1" s="1"/>
  <c r="J846" i="1"/>
  <c r="O846" i="1" s="1"/>
  <c r="J845" i="1"/>
  <c r="O845" i="1" s="1"/>
  <c r="J844" i="1"/>
  <c r="O844" i="1" s="1"/>
  <c r="J843" i="1"/>
  <c r="O843" i="1" s="1"/>
  <c r="J842" i="1"/>
  <c r="O842" i="1" s="1"/>
  <c r="J841" i="1"/>
  <c r="O841" i="1" s="1"/>
  <c r="J840" i="1"/>
  <c r="O840" i="1" s="1"/>
  <c r="J839" i="1"/>
  <c r="O839" i="1" s="1"/>
  <c r="J838" i="1"/>
  <c r="O838" i="1" s="1"/>
  <c r="J837" i="1"/>
  <c r="O837" i="1" s="1"/>
  <c r="J836" i="1"/>
  <c r="O836" i="1" s="1"/>
  <c r="J835" i="1"/>
  <c r="O835" i="1" s="1"/>
  <c r="J834" i="1"/>
  <c r="O834" i="1" s="1"/>
  <c r="J833" i="1"/>
  <c r="O833" i="1" s="1"/>
  <c r="J832" i="1"/>
  <c r="O832" i="1" s="1"/>
  <c r="J831" i="1"/>
  <c r="O831" i="1" s="1"/>
  <c r="J830" i="1"/>
  <c r="O830" i="1" s="1"/>
  <c r="J829" i="1"/>
  <c r="O829" i="1" s="1"/>
  <c r="J828" i="1"/>
  <c r="O828" i="1" s="1"/>
  <c r="J827" i="1"/>
  <c r="O827" i="1" s="1"/>
  <c r="J826" i="1"/>
  <c r="O826" i="1" s="1"/>
  <c r="J825" i="1"/>
  <c r="O825" i="1" s="1"/>
  <c r="J824" i="1"/>
  <c r="O824" i="1" s="1"/>
  <c r="J823" i="1"/>
  <c r="O823" i="1" s="1"/>
  <c r="J822" i="1"/>
  <c r="O822" i="1" s="1"/>
  <c r="J821" i="1"/>
  <c r="O821" i="1" s="1"/>
  <c r="J820" i="1"/>
  <c r="O820" i="1" s="1"/>
  <c r="J819" i="1"/>
  <c r="O819" i="1" s="1"/>
  <c r="J818" i="1"/>
  <c r="O818" i="1" s="1"/>
  <c r="J817" i="1"/>
  <c r="O817" i="1" s="1"/>
  <c r="J816" i="1"/>
  <c r="O816" i="1" s="1"/>
  <c r="J815" i="1"/>
  <c r="O815" i="1" s="1"/>
  <c r="J814" i="1"/>
  <c r="O814" i="1" s="1"/>
  <c r="J813" i="1"/>
  <c r="O813" i="1" s="1"/>
  <c r="J812" i="1"/>
  <c r="O812" i="1" s="1"/>
  <c r="J811" i="1"/>
  <c r="O811" i="1" s="1"/>
  <c r="J810" i="1"/>
  <c r="O810" i="1" s="1"/>
  <c r="J809" i="1"/>
  <c r="O809" i="1" s="1"/>
  <c r="J808" i="1"/>
  <c r="O808" i="1" s="1"/>
  <c r="J807" i="1"/>
  <c r="O807" i="1" s="1"/>
  <c r="J806" i="1"/>
  <c r="O806" i="1" s="1"/>
  <c r="J805" i="1"/>
  <c r="O805" i="1" s="1"/>
  <c r="J804" i="1"/>
  <c r="O804" i="1" s="1"/>
  <c r="J803" i="1"/>
  <c r="O803" i="1" s="1"/>
  <c r="J802" i="1"/>
  <c r="O802" i="1" s="1"/>
  <c r="J801" i="1"/>
  <c r="O801" i="1" s="1"/>
  <c r="J800" i="1"/>
  <c r="O800" i="1" s="1"/>
  <c r="J799" i="1"/>
  <c r="O799" i="1" s="1"/>
  <c r="J798" i="1"/>
  <c r="O798" i="1" s="1"/>
  <c r="J797" i="1"/>
  <c r="O797" i="1" s="1"/>
  <c r="J796" i="1"/>
  <c r="O796" i="1" s="1"/>
  <c r="J795" i="1"/>
  <c r="O795" i="1" s="1"/>
  <c r="J794" i="1"/>
  <c r="O794" i="1" s="1"/>
  <c r="J793" i="1"/>
  <c r="O793" i="1" s="1"/>
  <c r="J792" i="1"/>
  <c r="O792" i="1" s="1"/>
  <c r="J791" i="1"/>
  <c r="O791" i="1" s="1"/>
  <c r="J790" i="1"/>
  <c r="O790" i="1" s="1"/>
  <c r="J789" i="1"/>
  <c r="O789" i="1" s="1"/>
  <c r="J788" i="1"/>
  <c r="O788" i="1" s="1"/>
  <c r="J787" i="1"/>
  <c r="O787" i="1" s="1"/>
  <c r="J786" i="1"/>
  <c r="O786" i="1" s="1"/>
  <c r="J785" i="1"/>
  <c r="O785" i="1" s="1"/>
  <c r="J784" i="1"/>
  <c r="O784" i="1" s="1"/>
  <c r="J783" i="1"/>
  <c r="O783" i="1" s="1"/>
  <c r="J782" i="1"/>
  <c r="O782" i="1" s="1"/>
  <c r="J781" i="1"/>
  <c r="O781" i="1" s="1"/>
  <c r="J780" i="1"/>
  <c r="O780" i="1" s="1"/>
  <c r="J779" i="1"/>
  <c r="O779" i="1" s="1"/>
  <c r="J778" i="1"/>
  <c r="O778" i="1" s="1"/>
  <c r="J777" i="1"/>
  <c r="O777" i="1" s="1"/>
  <c r="J776" i="1"/>
  <c r="O776" i="1" s="1"/>
  <c r="J775" i="1"/>
  <c r="O775" i="1" s="1"/>
  <c r="J774" i="1"/>
  <c r="O774" i="1" s="1"/>
  <c r="J773" i="1"/>
  <c r="O773" i="1" s="1"/>
  <c r="J772" i="1"/>
  <c r="O772" i="1" s="1"/>
  <c r="J771" i="1"/>
  <c r="O771" i="1" s="1"/>
  <c r="J770" i="1"/>
  <c r="O770" i="1" s="1"/>
  <c r="J769" i="1"/>
  <c r="O769" i="1" s="1"/>
  <c r="J768" i="1"/>
  <c r="O768" i="1" s="1"/>
  <c r="J767" i="1"/>
  <c r="O767" i="1" s="1"/>
  <c r="J766" i="1"/>
  <c r="O766" i="1" s="1"/>
  <c r="J765" i="1"/>
  <c r="O765" i="1" s="1"/>
  <c r="J764" i="1"/>
  <c r="O764" i="1" s="1"/>
  <c r="J763" i="1"/>
  <c r="O763" i="1" s="1"/>
  <c r="J762" i="1"/>
  <c r="O762" i="1" s="1"/>
  <c r="J761" i="1"/>
  <c r="O761" i="1" s="1"/>
  <c r="J760" i="1"/>
  <c r="O760" i="1" s="1"/>
  <c r="J759" i="1"/>
  <c r="O759" i="1" s="1"/>
  <c r="J758" i="1"/>
  <c r="O758" i="1" s="1"/>
  <c r="J757" i="1"/>
  <c r="O757" i="1" s="1"/>
  <c r="J756" i="1"/>
  <c r="O756" i="1" s="1"/>
  <c r="J755" i="1"/>
  <c r="O755" i="1" s="1"/>
  <c r="J754" i="1"/>
  <c r="O754" i="1" s="1"/>
  <c r="J753" i="1"/>
  <c r="O753" i="1" s="1"/>
  <c r="J752" i="1"/>
  <c r="O752" i="1" s="1"/>
  <c r="J751" i="1"/>
  <c r="O751" i="1" s="1"/>
  <c r="J750" i="1"/>
  <c r="O750" i="1" s="1"/>
  <c r="J749" i="1"/>
  <c r="O749" i="1" s="1"/>
  <c r="J748" i="1"/>
  <c r="O748" i="1" s="1"/>
  <c r="J747" i="1"/>
  <c r="O747" i="1" s="1"/>
  <c r="J746" i="1"/>
  <c r="O746" i="1" s="1"/>
  <c r="J745" i="1"/>
  <c r="O745" i="1" s="1"/>
  <c r="J744" i="1"/>
  <c r="O744" i="1" s="1"/>
  <c r="J743" i="1"/>
  <c r="O743" i="1" s="1"/>
  <c r="J742" i="1"/>
  <c r="O742" i="1" s="1"/>
  <c r="J741" i="1"/>
  <c r="O741" i="1" s="1"/>
  <c r="J740" i="1"/>
  <c r="O740" i="1" s="1"/>
  <c r="J739" i="1"/>
  <c r="O739" i="1" s="1"/>
  <c r="J738" i="1"/>
  <c r="O738" i="1" s="1"/>
  <c r="J737" i="1"/>
  <c r="O737" i="1" s="1"/>
  <c r="J736" i="1"/>
  <c r="O736" i="1" s="1"/>
  <c r="J735" i="1"/>
  <c r="O735" i="1" s="1"/>
  <c r="J734" i="1"/>
  <c r="O734" i="1" s="1"/>
  <c r="J733" i="1"/>
  <c r="O733" i="1" s="1"/>
  <c r="J732" i="1"/>
  <c r="O732" i="1" s="1"/>
  <c r="J731" i="1"/>
  <c r="O731" i="1" s="1"/>
  <c r="J730" i="1"/>
  <c r="O730" i="1" s="1"/>
  <c r="J729" i="1"/>
  <c r="O729" i="1" s="1"/>
  <c r="J728" i="1"/>
  <c r="O728" i="1" s="1"/>
  <c r="J727" i="1"/>
  <c r="O727" i="1" s="1"/>
  <c r="J726" i="1"/>
  <c r="O726" i="1" s="1"/>
  <c r="J725" i="1"/>
  <c r="O725" i="1" s="1"/>
  <c r="J724" i="1"/>
  <c r="O724" i="1" s="1"/>
  <c r="J723" i="1"/>
  <c r="O723" i="1" s="1"/>
  <c r="J722" i="1"/>
  <c r="O722" i="1" s="1"/>
  <c r="J721" i="1"/>
  <c r="O721" i="1" s="1"/>
  <c r="J720" i="1"/>
  <c r="O720" i="1" s="1"/>
  <c r="J719" i="1"/>
  <c r="O719" i="1" s="1"/>
  <c r="J718" i="1"/>
  <c r="O718" i="1" s="1"/>
  <c r="J717" i="1"/>
  <c r="O717" i="1" s="1"/>
  <c r="J716" i="1"/>
  <c r="O716" i="1" s="1"/>
  <c r="J715" i="1"/>
  <c r="O715" i="1" s="1"/>
  <c r="J714" i="1"/>
  <c r="O714" i="1" s="1"/>
  <c r="J713" i="1"/>
  <c r="O713" i="1" s="1"/>
  <c r="J712" i="1"/>
  <c r="O712" i="1" s="1"/>
  <c r="J711" i="1"/>
  <c r="O711" i="1" s="1"/>
  <c r="J710" i="1"/>
  <c r="O710" i="1" s="1"/>
  <c r="J709" i="1"/>
  <c r="O709" i="1" s="1"/>
  <c r="J708" i="1"/>
  <c r="O708" i="1" s="1"/>
  <c r="J707" i="1"/>
  <c r="O707" i="1" s="1"/>
  <c r="J706" i="1"/>
  <c r="O706" i="1" s="1"/>
  <c r="J705" i="1"/>
  <c r="O705" i="1" s="1"/>
  <c r="J704" i="1"/>
  <c r="O704" i="1" s="1"/>
  <c r="J703" i="1"/>
  <c r="O703" i="1" s="1"/>
  <c r="J702" i="1"/>
  <c r="O702" i="1" s="1"/>
  <c r="J701" i="1"/>
  <c r="O701" i="1" s="1"/>
  <c r="J700" i="1"/>
  <c r="O700" i="1" s="1"/>
  <c r="J699" i="1"/>
  <c r="O699" i="1" s="1"/>
  <c r="J698" i="1"/>
  <c r="O698" i="1" s="1"/>
  <c r="J697" i="1"/>
  <c r="O697" i="1" s="1"/>
  <c r="J696" i="1"/>
  <c r="O696" i="1" s="1"/>
  <c r="J695" i="1"/>
  <c r="O695" i="1" s="1"/>
  <c r="J694" i="1"/>
  <c r="O694" i="1" s="1"/>
  <c r="J693" i="1"/>
  <c r="O693" i="1" s="1"/>
  <c r="J692" i="1"/>
  <c r="O692" i="1" s="1"/>
  <c r="J691" i="1"/>
  <c r="O691" i="1" s="1"/>
  <c r="J690" i="1"/>
  <c r="O690" i="1" s="1"/>
  <c r="J689" i="1"/>
  <c r="O689" i="1" s="1"/>
  <c r="J688" i="1"/>
  <c r="O688" i="1" s="1"/>
  <c r="J687" i="1"/>
  <c r="O687" i="1" s="1"/>
  <c r="J686" i="1"/>
  <c r="O686" i="1" s="1"/>
  <c r="J685" i="1"/>
  <c r="O685" i="1" s="1"/>
  <c r="J684" i="1"/>
  <c r="O684" i="1" s="1"/>
  <c r="J683" i="1"/>
  <c r="O683" i="1" s="1"/>
  <c r="J682" i="1"/>
  <c r="O682" i="1" s="1"/>
  <c r="J681" i="1"/>
  <c r="O681" i="1" s="1"/>
  <c r="J680" i="1"/>
  <c r="O680" i="1" s="1"/>
  <c r="J679" i="1"/>
  <c r="O679" i="1" s="1"/>
  <c r="J678" i="1"/>
  <c r="O678" i="1" s="1"/>
  <c r="J677" i="1"/>
  <c r="O677" i="1" s="1"/>
  <c r="J676" i="1"/>
  <c r="O676" i="1" s="1"/>
  <c r="J675" i="1"/>
  <c r="O675" i="1" s="1"/>
  <c r="J674" i="1"/>
  <c r="O674" i="1" s="1"/>
  <c r="J673" i="1"/>
  <c r="O673" i="1" s="1"/>
  <c r="J672" i="1"/>
  <c r="O672" i="1" s="1"/>
  <c r="J671" i="1"/>
  <c r="O671" i="1" s="1"/>
  <c r="J670" i="1"/>
  <c r="O670" i="1" s="1"/>
  <c r="J669" i="1"/>
  <c r="O669" i="1" s="1"/>
  <c r="J668" i="1"/>
  <c r="O668" i="1" s="1"/>
  <c r="J667" i="1"/>
  <c r="O667" i="1" s="1"/>
  <c r="J666" i="1"/>
  <c r="O666" i="1" s="1"/>
  <c r="J665" i="1"/>
  <c r="O665" i="1" s="1"/>
  <c r="J664" i="1"/>
  <c r="O664" i="1" s="1"/>
  <c r="J663" i="1"/>
  <c r="O663" i="1" s="1"/>
  <c r="J662" i="1"/>
  <c r="O662" i="1" s="1"/>
  <c r="J661" i="1"/>
  <c r="O661" i="1" s="1"/>
  <c r="J660" i="1"/>
  <c r="O660" i="1" s="1"/>
  <c r="J659" i="1"/>
  <c r="O659" i="1" s="1"/>
  <c r="J658" i="1"/>
  <c r="O658" i="1" s="1"/>
  <c r="J657" i="1"/>
  <c r="O657" i="1" s="1"/>
  <c r="J656" i="1"/>
  <c r="O656" i="1" s="1"/>
  <c r="J655" i="1"/>
  <c r="O655" i="1" s="1"/>
  <c r="J654" i="1"/>
  <c r="O654" i="1" s="1"/>
  <c r="J653" i="1"/>
  <c r="O653" i="1" s="1"/>
  <c r="J652" i="1"/>
  <c r="O652" i="1" s="1"/>
  <c r="J651" i="1"/>
  <c r="O651" i="1" s="1"/>
  <c r="J650" i="1"/>
  <c r="O650" i="1" s="1"/>
  <c r="J649" i="1"/>
  <c r="O649" i="1" s="1"/>
  <c r="J648" i="1"/>
  <c r="O648" i="1" s="1"/>
  <c r="J647" i="1"/>
  <c r="O647" i="1" s="1"/>
  <c r="J646" i="1"/>
  <c r="O646" i="1" s="1"/>
  <c r="J645" i="1"/>
  <c r="O645" i="1" s="1"/>
  <c r="J644" i="1"/>
  <c r="O644" i="1" s="1"/>
  <c r="J643" i="1"/>
  <c r="O643" i="1" s="1"/>
  <c r="J642" i="1"/>
  <c r="O642" i="1" s="1"/>
  <c r="J641" i="1"/>
  <c r="O641" i="1" s="1"/>
  <c r="J640" i="1"/>
  <c r="O640" i="1" s="1"/>
  <c r="J639" i="1"/>
  <c r="O639" i="1" s="1"/>
  <c r="J638" i="1"/>
  <c r="O638" i="1" s="1"/>
  <c r="J637" i="1"/>
  <c r="O637" i="1" s="1"/>
  <c r="J636" i="1"/>
  <c r="O636" i="1" s="1"/>
  <c r="J635" i="1"/>
  <c r="O635" i="1" s="1"/>
  <c r="J634" i="1"/>
  <c r="O634" i="1" s="1"/>
  <c r="J633" i="1"/>
  <c r="O633" i="1" s="1"/>
  <c r="J632" i="1"/>
  <c r="O632" i="1" s="1"/>
  <c r="J631" i="1"/>
  <c r="O631" i="1" s="1"/>
  <c r="J630" i="1"/>
  <c r="O630" i="1" s="1"/>
  <c r="J629" i="1"/>
  <c r="O629" i="1" s="1"/>
  <c r="J628" i="1"/>
  <c r="O628" i="1" s="1"/>
  <c r="J627" i="1"/>
  <c r="O627" i="1" s="1"/>
  <c r="J626" i="1"/>
  <c r="O626" i="1" s="1"/>
  <c r="J625" i="1"/>
  <c r="O625" i="1" s="1"/>
  <c r="J624" i="1"/>
  <c r="O624" i="1" s="1"/>
  <c r="J623" i="1"/>
  <c r="O623" i="1" s="1"/>
  <c r="J622" i="1"/>
  <c r="O622" i="1" s="1"/>
  <c r="J621" i="1"/>
  <c r="O621" i="1" s="1"/>
  <c r="J620" i="1"/>
  <c r="O620" i="1" s="1"/>
  <c r="J619" i="1"/>
  <c r="O619" i="1" s="1"/>
  <c r="J618" i="1"/>
  <c r="O618" i="1" s="1"/>
  <c r="J617" i="1"/>
  <c r="O617" i="1" s="1"/>
  <c r="J616" i="1"/>
  <c r="O616" i="1" s="1"/>
  <c r="J615" i="1"/>
  <c r="O615" i="1" s="1"/>
  <c r="J614" i="1"/>
  <c r="O614" i="1" s="1"/>
  <c r="J613" i="1"/>
  <c r="O613" i="1" s="1"/>
  <c r="J612" i="1"/>
  <c r="O612" i="1" s="1"/>
  <c r="J611" i="1"/>
  <c r="O611" i="1" s="1"/>
  <c r="J610" i="1"/>
  <c r="O610" i="1" s="1"/>
  <c r="J609" i="1"/>
  <c r="O609" i="1" s="1"/>
  <c r="J608" i="1"/>
  <c r="O608" i="1" s="1"/>
  <c r="J607" i="1"/>
  <c r="O607" i="1" s="1"/>
  <c r="J606" i="1"/>
  <c r="O606" i="1" s="1"/>
  <c r="J605" i="1"/>
  <c r="O605" i="1" s="1"/>
  <c r="J604" i="1"/>
  <c r="O604" i="1" s="1"/>
  <c r="J603" i="1"/>
  <c r="O603" i="1" s="1"/>
  <c r="J602" i="1"/>
  <c r="O602" i="1" s="1"/>
  <c r="J601" i="1"/>
  <c r="O601" i="1" s="1"/>
  <c r="J600" i="1"/>
  <c r="O600" i="1" s="1"/>
  <c r="J599" i="1"/>
  <c r="O599" i="1" s="1"/>
  <c r="J598" i="1"/>
  <c r="O598" i="1" s="1"/>
  <c r="J597" i="1"/>
  <c r="O597" i="1" s="1"/>
  <c r="J596" i="1"/>
  <c r="O596" i="1" s="1"/>
  <c r="J595" i="1"/>
  <c r="O595" i="1" s="1"/>
  <c r="J594" i="1"/>
  <c r="O594" i="1" s="1"/>
  <c r="J593" i="1"/>
  <c r="O593" i="1" s="1"/>
  <c r="J592" i="1"/>
  <c r="O592" i="1" s="1"/>
  <c r="J591" i="1"/>
  <c r="O591" i="1" s="1"/>
  <c r="J590" i="1"/>
  <c r="O590" i="1" s="1"/>
  <c r="J589" i="1"/>
  <c r="O589" i="1" s="1"/>
  <c r="J588" i="1"/>
  <c r="O588" i="1" s="1"/>
  <c r="J587" i="1"/>
  <c r="O587" i="1" s="1"/>
  <c r="J586" i="1"/>
  <c r="O586" i="1" s="1"/>
  <c r="J585" i="1"/>
  <c r="O585" i="1" s="1"/>
  <c r="J584" i="1"/>
  <c r="O584" i="1" s="1"/>
  <c r="J583" i="1"/>
  <c r="O583" i="1" s="1"/>
  <c r="J582" i="1"/>
  <c r="O582" i="1" s="1"/>
  <c r="J581" i="1"/>
  <c r="O581" i="1" s="1"/>
  <c r="J580" i="1"/>
  <c r="O580" i="1" s="1"/>
  <c r="J579" i="1"/>
  <c r="O579" i="1" s="1"/>
  <c r="J578" i="1"/>
  <c r="O578" i="1" s="1"/>
  <c r="J577" i="1"/>
  <c r="O577" i="1" s="1"/>
  <c r="J576" i="1"/>
  <c r="O576" i="1" s="1"/>
  <c r="J575" i="1"/>
  <c r="O575" i="1" s="1"/>
  <c r="J574" i="1"/>
  <c r="O574" i="1" s="1"/>
  <c r="J573" i="1"/>
  <c r="O573" i="1" s="1"/>
  <c r="J572" i="1"/>
  <c r="O572" i="1" s="1"/>
  <c r="J571" i="1"/>
  <c r="O571" i="1" s="1"/>
  <c r="J570" i="1"/>
  <c r="O570" i="1" s="1"/>
  <c r="J569" i="1"/>
  <c r="O569" i="1" s="1"/>
  <c r="J568" i="1"/>
  <c r="O568" i="1" s="1"/>
  <c r="J567" i="1"/>
  <c r="O567" i="1" s="1"/>
  <c r="J566" i="1"/>
  <c r="O566" i="1" s="1"/>
  <c r="J565" i="1"/>
  <c r="O565" i="1" s="1"/>
  <c r="J564" i="1"/>
  <c r="O564" i="1" s="1"/>
  <c r="J563" i="1"/>
  <c r="O563" i="1" s="1"/>
  <c r="J562" i="1"/>
  <c r="O562" i="1" s="1"/>
  <c r="J561" i="1"/>
  <c r="O561" i="1" s="1"/>
  <c r="J560" i="1"/>
  <c r="O560" i="1" s="1"/>
  <c r="J559" i="1"/>
  <c r="O559" i="1" s="1"/>
  <c r="J558" i="1"/>
  <c r="O558" i="1" s="1"/>
  <c r="J557" i="1"/>
  <c r="O557" i="1" s="1"/>
  <c r="J556" i="1"/>
  <c r="O556" i="1" s="1"/>
  <c r="J555" i="1"/>
  <c r="O555" i="1" s="1"/>
  <c r="J554" i="1"/>
  <c r="O554" i="1" s="1"/>
  <c r="J553" i="1"/>
  <c r="O553" i="1" s="1"/>
  <c r="J552" i="1"/>
  <c r="O552" i="1" s="1"/>
  <c r="J551" i="1"/>
  <c r="O551" i="1" s="1"/>
  <c r="J550" i="1"/>
  <c r="O550" i="1" s="1"/>
  <c r="J549" i="1"/>
  <c r="O549" i="1" s="1"/>
  <c r="J548" i="1"/>
  <c r="O548" i="1" s="1"/>
  <c r="J547" i="1"/>
  <c r="O547" i="1" s="1"/>
  <c r="J546" i="1"/>
  <c r="O546" i="1" s="1"/>
  <c r="J545" i="1"/>
  <c r="O545" i="1" s="1"/>
  <c r="J544" i="1"/>
  <c r="O544" i="1" s="1"/>
  <c r="J543" i="1"/>
  <c r="O543" i="1" s="1"/>
  <c r="J542" i="1"/>
  <c r="O542" i="1" s="1"/>
  <c r="J541" i="1"/>
  <c r="O541" i="1" s="1"/>
  <c r="J540" i="1"/>
  <c r="O540" i="1" s="1"/>
  <c r="J539" i="1"/>
  <c r="O539" i="1" s="1"/>
  <c r="J538" i="1"/>
  <c r="O538" i="1" s="1"/>
  <c r="J537" i="1"/>
  <c r="O537" i="1" s="1"/>
  <c r="J536" i="1"/>
  <c r="O536" i="1" s="1"/>
  <c r="J535" i="1"/>
  <c r="O535" i="1" s="1"/>
  <c r="J534" i="1"/>
  <c r="O534" i="1" s="1"/>
  <c r="J533" i="1"/>
  <c r="O533" i="1" s="1"/>
  <c r="J532" i="1"/>
  <c r="O532" i="1" s="1"/>
  <c r="J531" i="1"/>
  <c r="O531" i="1" s="1"/>
  <c r="J530" i="1"/>
  <c r="O530" i="1" s="1"/>
  <c r="J529" i="1"/>
  <c r="O529" i="1" s="1"/>
  <c r="J528" i="1"/>
  <c r="O528" i="1" s="1"/>
  <c r="J527" i="1"/>
  <c r="O527" i="1" s="1"/>
  <c r="J526" i="1"/>
  <c r="O526" i="1" s="1"/>
  <c r="J525" i="1"/>
  <c r="O525" i="1" s="1"/>
  <c r="J524" i="1"/>
  <c r="O524" i="1" s="1"/>
  <c r="J523" i="1"/>
  <c r="O523" i="1" s="1"/>
  <c r="J522" i="1"/>
  <c r="O522" i="1" s="1"/>
  <c r="J521" i="1"/>
  <c r="O521" i="1" s="1"/>
  <c r="J520" i="1"/>
  <c r="O520" i="1" s="1"/>
  <c r="J519" i="1"/>
  <c r="O519" i="1" s="1"/>
  <c r="J518" i="1"/>
  <c r="O518" i="1" s="1"/>
  <c r="J517" i="1"/>
  <c r="O517" i="1" s="1"/>
  <c r="J516" i="1"/>
  <c r="O516" i="1" s="1"/>
  <c r="J515" i="1"/>
  <c r="O515" i="1" s="1"/>
  <c r="J514" i="1"/>
  <c r="O514" i="1" s="1"/>
  <c r="J513" i="1"/>
  <c r="O513" i="1" s="1"/>
  <c r="J512" i="1"/>
  <c r="O512" i="1" s="1"/>
  <c r="J511" i="1"/>
  <c r="O511" i="1" s="1"/>
  <c r="J510" i="1"/>
  <c r="O510" i="1" s="1"/>
  <c r="J509" i="1"/>
  <c r="O509" i="1" s="1"/>
  <c r="J508" i="1"/>
  <c r="O508" i="1" s="1"/>
  <c r="J507" i="1"/>
  <c r="O507" i="1" s="1"/>
  <c r="J506" i="1"/>
  <c r="O506" i="1" s="1"/>
  <c r="J505" i="1"/>
  <c r="O505" i="1" s="1"/>
  <c r="J504" i="1"/>
  <c r="O504" i="1" s="1"/>
  <c r="J503" i="1"/>
  <c r="O503" i="1" s="1"/>
  <c r="J502" i="1"/>
  <c r="O502" i="1" s="1"/>
  <c r="J501" i="1"/>
  <c r="O501" i="1" s="1"/>
  <c r="J500" i="1"/>
  <c r="O500" i="1" s="1"/>
  <c r="J499" i="1"/>
  <c r="O499" i="1" s="1"/>
  <c r="J498" i="1"/>
  <c r="O498" i="1" s="1"/>
  <c r="J497" i="1"/>
  <c r="O497" i="1" s="1"/>
  <c r="J496" i="1"/>
  <c r="O496" i="1" s="1"/>
  <c r="J495" i="1"/>
  <c r="O495" i="1" s="1"/>
  <c r="J494" i="1"/>
  <c r="O494" i="1" s="1"/>
  <c r="J493" i="1"/>
  <c r="O493" i="1" s="1"/>
  <c r="J492" i="1"/>
  <c r="O492" i="1" s="1"/>
  <c r="J491" i="1"/>
  <c r="O491" i="1" s="1"/>
  <c r="J490" i="1"/>
  <c r="O490" i="1" s="1"/>
  <c r="J489" i="1"/>
  <c r="O489" i="1" s="1"/>
  <c r="J488" i="1"/>
  <c r="O488" i="1" s="1"/>
  <c r="J487" i="1"/>
  <c r="O487" i="1" s="1"/>
  <c r="J486" i="1"/>
  <c r="O486" i="1" s="1"/>
  <c r="J485" i="1"/>
  <c r="O485" i="1" s="1"/>
  <c r="J484" i="1"/>
  <c r="O484" i="1" s="1"/>
  <c r="J483" i="1"/>
  <c r="O483" i="1" s="1"/>
  <c r="J482" i="1"/>
  <c r="O482" i="1" s="1"/>
  <c r="J481" i="1"/>
  <c r="O481" i="1" s="1"/>
  <c r="J480" i="1"/>
  <c r="O480" i="1" s="1"/>
  <c r="J479" i="1"/>
  <c r="O479" i="1" s="1"/>
  <c r="J478" i="1"/>
  <c r="O478" i="1" s="1"/>
  <c r="J477" i="1"/>
  <c r="O477" i="1" s="1"/>
  <c r="J476" i="1"/>
  <c r="O476" i="1" s="1"/>
  <c r="J475" i="1"/>
  <c r="O475" i="1" s="1"/>
  <c r="J474" i="1"/>
  <c r="O474" i="1" s="1"/>
  <c r="J473" i="1"/>
  <c r="O473" i="1" s="1"/>
  <c r="J472" i="1"/>
  <c r="O472" i="1" s="1"/>
  <c r="J471" i="1"/>
  <c r="O471" i="1" s="1"/>
  <c r="J470" i="1"/>
  <c r="O470" i="1" s="1"/>
  <c r="J469" i="1"/>
  <c r="O469" i="1" s="1"/>
  <c r="J468" i="1"/>
  <c r="O468" i="1" s="1"/>
  <c r="J467" i="1"/>
  <c r="O467" i="1" s="1"/>
  <c r="J466" i="1"/>
  <c r="O466" i="1" s="1"/>
  <c r="J465" i="1"/>
  <c r="O465" i="1" s="1"/>
  <c r="J464" i="1"/>
  <c r="O464" i="1" s="1"/>
  <c r="J463" i="1"/>
  <c r="O463" i="1" s="1"/>
  <c r="J462" i="1"/>
  <c r="O462" i="1" s="1"/>
  <c r="J461" i="1"/>
  <c r="O461" i="1" s="1"/>
  <c r="J460" i="1"/>
  <c r="O460" i="1" s="1"/>
  <c r="J459" i="1"/>
  <c r="O459" i="1" s="1"/>
  <c r="J458" i="1"/>
  <c r="O458" i="1" s="1"/>
  <c r="J457" i="1"/>
  <c r="O457" i="1" s="1"/>
  <c r="J456" i="1"/>
  <c r="O456" i="1" s="1"/>
  <c r="J455" i="1"/>
  <c r="O455" i="1" s="1"/>
  <c r="J454" i="1"/>
  <c r="O454" i="1" s="1"/>
  <c r="J453" i="1"/>
  <c r="O453" i="1" s="1"/>
  <c r="J452" i="1"/>
  <c r="O452" i="1" s="1"/>
  <c r="J451" i="1"/>
  <c r="O451" i="1" s="1"/>
  <c r="J450" i="1"/>
  <c r="O450" i="1" s="1"/>
  <c r="J449" i="1"/>
  <c r="O449" i="1" s="1"/>
  <c r="J448" i="1"/>
  <c r="O448" i="1" s="1"/>
  <c r="J447" i="1"/>
  <c r="O447" i="1" s="1"/>
  <c r="J446" i="1"/>
  <c r="O446" i="1" s="1"/>
  <c r="J445" i="1"/>
  <c r="O445" i="1" s="1"/>
  <c r="J444" i="1"/>
  <c r="O444" i="1" s="1"/>
  <c r="J443" i="1"/>
  <c r="O443" i="1" s="1"/>
  <c r="J442" i="1"/>
  <c r="O442" i="1" s="1"/>
  <c r="J441" i="1"/>
  <c r="O441" i="1" s="1"/>
  <c r="J440" i="1"/>
  <c r="O440" i="1" s="1"/>
  <c r="J439" i="1"/>
  <c r="O439" i="1" s="1"/>
  <c r="J438" i="1"/>
  <c r="O438" i="1" s="1"/>
  <c r="J437" i="1"/>
  <c r="O437" i="1" s="1"/>
  <c r="J436" i="1"/>
  <c r="O436" i="1" s="1"/>
  <c r="J435" i="1"/>
  <c r="O435" i="1" s="1"/>
  <c r="J434" i="1"/>
  <c r="O434" i="1" s="1"/>
  <c r="J433" i="1"/>
  <c r="O433" i="1" s="1"/>
  <c r="J432" i="1"/>
  <c r="O432" i="1" s="1"/>
  <c r="J431" i="1"/>
  <c r="O431" i="1" s="1"/>
  <c r="J430" i="1"/>
  <c r="O430" i="1" s="1"/>
  <c r="J429" i="1"/>
  <c r="O429" i="1" s="1"/>
  <c r="J428" i="1"/>
  <c r="O428" i="1" s="1"/>
  <c r="J427" i="1"/>
  <c r="O427" i="1" s="1"/>
  <c r="J426" i="1"/>
  <c r="O426" i="1" s="1"/>
  <c r="J425" i="1"/>
  <c r="O425" i="1" s="1"/>
  <c r="J424" i="1"/>
  <c r="O424" i="1" s="1"/>
  <c r="J423" i="1"/>
  <c r="O423" i="1" s="1"/>
  <c r="J422" i="1"/>
  <c r="O422" i="1" s="1"/>
  <c r="J421" i="1"/>
  <c r="O421" i="1" s="1"/>
  <c r="J420" i="1"/>
  <c r="O420" i="1" s="1"/>
  <c r="J419" i="1"/>
  <c r="O419" i="1" s="1"/>
  <c r="J418" i="1"/>
  <c r="O418" i="1" s="1"/>
  <c r="J417" i="1"/>
  <c r="O417" i="1" s="1"/>
  <c r="J416" i="1"/>
  <c r="O416" i="1" s="1"/>
  <c r="J415" i="1"/>
  <c r="O415" i="1" s="1"/>
  <c r="J414" i="1"/>
  <c r="O414" i="1" s="1"/>
  <c r="J413" i="1"/>
  <c r="O413" i="1" s="1"/>
  <c r="J412" i="1"/>
  <c r="O412" i="1" s="1"/>
  <c r="J411" i="1"/>
  <c r="O411" i="1" s="1"/>
  <c r="J410" i="1"/>
  <c r="O410" i="1" s="1"/>
  <c r="J409" i="1"/>
  <c r="O409" i="1" s="1"/>
  <c r="J408" i="1"/>
  <c r="O408" i="1" s="1"/>
  <c r="J407" i="1"/>
  <c r="O407" i="1" s="1"/>
  <c r="J406" i="1"/>
  <c r="O406" i="1" s="1"/>
  <c r="J405" i="1"/>
  <c r="O405" i="1" s="1"/>
  <c r="J404" i="1"/>
  <c r="O404" i="1" s="1"/>
  <c r="J403" i="1"/>
  <c r="O403" i="1" s="1"/>
  <c r="J402" i="1"/>
  <c r="O402" i="1" s="1"/>
  <c r="J401" i="1"/>
  <c r="O401" i="1" s="1"/>
  <c r="J400" i="1"/>
  <c r="O400" i="1" s="1"/>
  <c r="J399" i="1"/>
  <c r="O399" i="1" s="1"/>
  <c r="J398" i="1"/>
  <c r="O398" i="1" s="1"/>
  <c r="J397" i="1"/>
  <c r="O397" i="1" s="1"/>
  <c r="J396" i="1"/>
  <c r="O396" i="1" s="1"/>
  <c r="J395" i="1"/>
  <c r="O395" i="1" s="1"/>
  <c r="J394" i="1"/>
  <c r="O394" i="1" s="1"/>
  <c r="J393" i="1"/>
  <c r="O393" i="1" s="1"/>
  <c r="J392" i="1"/>
  <c r="O392" i="1" s="1"/>
  <c r="J391" i="1"/>
  <c r="O391" i="1" s="1"/>
  <c r="J390" i="1"/>
  <c r="O390" i="1" s="1"/>
  <c r="J389" i="1"/>
  <c r="O389" i="1" s="1"/>
  <c r="J388" i="1"/>
  <c r="O388" i="1" s="1"/>
  <c r="J387" i="1"/>
  <c r="O387" i="1" s="1"/>
  <c r="J386" i="1"/>
  <c r="O386" i="1" s="1"/>
  <c r="J385" i="1"/>
  <c r="O385" i="1" s="1"/>
  <c r="J384" i="1"/>
  <c r="O384" i="1" s="1"/>
  <c r="J383" i="1"/>
  <c r="O383" i="1" s="1"/>
  <c r="J382" i="1"/>
  <c r="O382" i="1" s="1"/>
  <c r="J381" i="1"/>
  <c r="O381" i="1" s="1"/>
  <c r="J380" i="1"/>
  <c r="O380" i="1" s="1"/>
  <c r="J379" i="1"/>
  <c r="O379" i="1" s="1"/>
  <c r="J378" i="1"/>
  <c r="O378" i="1" s="1"/>
  <c r="J377" i="1"/>
  <c r="O377" i="1" s="1"/>
  <c r="J376" i="1"/>
  <c r="O376" i="1" s="1"/>
  <c r="J375" i="1"/>
  <c r="O375" i="1" s="1"/>
  <c r="J374" i="1"/>
  <c r="O374" i="1" s="1"/>
  <c r="J373" i="1"/>
  <c r="O373" i="1" s="1"/>
  <c r="J372" i="1"/>
  <c r="O372" i="1" s="1"/>
  <c r="J371" i="1"/>
  <c r="O371" i="1" s="1"/>
  <c r="J370" i="1"/>
  <c r="O370" i="1" s="1"/>
  <c r="J369" i="1"/>
  <c r="O369" i="1" s="1"/>
  <c r="J368" i="1"/>
  <c r="O368" i="1" s="1"/>
  <c r="J367" i="1"/>
  <c r="O367" i="1" s="1"/>
  <c r="J366" i="1"/>
  <c r="O366" i="1" s="1"/>
  <c r="J365" i="1"/>
  <c r="O365" i="1" s="1"/>
  <c r="J364" i="1"/>
  <c r="O364" i="1" s="1"/>
  <c r="J363" i="1"/>
  <c r="O363" i="1" s="1"/>
  <c r="J362" i="1"/>
  <c r="O362" i="1" s="1"/>
  <c r="J361" i="1"/>
  <c r="O361" i="1" s="1"/>
  <c r="J360" i="1"/>
  <c r="O360" i="1" s="1"/>
  <c r="J359" i="1"/>
  <c r="O359" i="1" s="1"/>
  <c r="J358" i="1"/>
  <c r="O358" i="1" s="1"/>
  <c r="J357" i="1"/>
  <c r="O357" i="1" s="1"/>
  <c r="J356" i="1"/>
  <c r="O356" i="1" s="1"/>
  <c r="J355" i="1"/>
  <c r="O355" i="1" s="1"/>
  <c r="J354" i="1"/>
  <c r="O354" i="1" s="1"/>
  <c r="J353" i="1"/>
  <c r="O353" i="1" s="1"/>
  <c r="J352" i="1"/>
  <c r="O352" i="1" s="1"/>
  <c r="J351" i="1"/>
  <c r="O351" i="1" s="1"/>
  <c r="J350" i="1"/>
  <c r="O350" i="1" s="1"/>
  <c r="J349" i="1"/>
  <c r="O349" i="1" s="1"/>
  <c r="J348" i="1"/>
  <c r="O348" i="1" s="1"/>
  <c r="J347" i="1"/>
  <c r="O347" i="1" s="1"/>
  <c r="J346" i="1"/>
  <c r="O346" i="1" s="1"/>
  <c r="J345" i="1"/>
  <c r="O345" i="1" s="1"/>
  <c r="J344" i="1"/>
  <c r="O344" i="1" s="1"/>
  <c r="J343" i="1"/>
  <c r="O343" i="1" s="1"/>
  <c r="J342" i="1"/>
  <c r="O342" i="1" s="1"/>
  <c r="J341" i="1"/>
  <c r="O341" i="1" s="1"/>
  <c r="J340" i="1"/>
  <c r="O340" i="1" s="1"/>
  <c r="J339" i="1"/>
  <c r="O339" i="1" s="1"/>
  <c r="J338" i="1"/>
  <c r="O338" i="1" s="1"/>
  <c r="J337" i="1"/>
  <c r="O337" i="1" s="1"/>
  <c r="J336" i="1"/>
  <c r="O336" i="1" s="1"/>
  <c r="J335" i="1"/>
  <c r="O335" i="1" s="1"/>
  <c r="J334" i="1"/>
  <c r="O334" i="1" s="1"/>
  <c r="J333" i="1"/>
  <c r="O333" i="1" s="1"/>
  <c r="J332" i="1"/>
  <c r="O332" i="1" s="1"/>
  <c r="J331" i="1"/>
  <c r="O331" i="1" s="1"/>
  <c r="J330" i="1"/>
  <c r="O330" i="1" s="1"/>
  <c r="J329" i="1"/>
  <c r="O329" i="1" s="1"/>
  <c r="J328" i="1"/>
  <c r="O328" i="1" s="1"/>
  <c r="J327" i="1"/>
  <c r="O327" i="1" s="1"/>
  <c r="J326" i="1"/>
  <c r="O326" i="1" s="1"/>
  <c r="J325" i="1"/>
  <c r="O325" i="1" s="1"/>
  <c r="J324" i="1"/>
  <c r="O324" i="1" s="1"/>
  <c r="J323" i="1"/>
  <c r="O323" i="1" s="1"/>
  <c r="J322" i="1"/>
  <c r="O322" i="1" s="1"/>
  <c r="J321" i="1"/>
  <c r="O321" i="1" s="1"/>
  <c r="J320" i="1"/>
  <c r="O320" i="1" s="1"/>
  <c r="J319" i="1"/>
  <c r="O319" i="1" s="1"/>
  <c r="J318" i="1"/>
  <c r="O318" i="1" s="1"/>
  <c r="J317" i="1"/>
  <c r="O317" i="1" s="1"/>
  <c r="J316" i="1"/>
  <c r="O316" i="1" s="1"/>
  <c r="J315" i="1"/>
  <c r="O315" i="1" s="1"/>
  <c r="J314" i="1"/>
  <c r="O314" i="1" s="1"/>
  <c r="J313" i="1"/>
  <c r="O313" i="1" s="1"/>
  <c r="J312" i="1"/>
  <c r="O312" i="1" s="1"/>
  <c r="J311" i="1"/>
  <c r="O311" i="1" s="1"/>
  <c r="J310" i="1"/>
  <c r="O310" i="1" s="1"/>
  <c r="J309" i="1"/>
  <c r="O309" i="1" s="1"/>
  <c r="J308" i="1"/>
  <c r="O308" i="1" s="1"/>
  <c r="J307" i="1"/>
  <c r="O307" i="1" s="1"/>
  <c r="J306" i="1"/>
  <c r="O306" i="1" s="1"/>
  <c r="J305" i="1"/>
  <c r="O305" i="1" s="1"/>
  <c r="J304" i="1"/>
  <c r="O304" i="1" s="1"/>
  <c r="J303" i="1"/>
  <c r="O303" i="1" s="1"/>
  <c r="J302" i="1"/>
  <c r="O302" i="1" s="1"/>
  <c r="J301" i="1"/>
  <c r="O301" i="1" s="1"/>
  <c r="J300" i="1"/>
  <c r="O300" i="1" s="1"/>
  <c r="J299" i="1"/>
  <c r="O299" i="1" s="1"/>
  <c r="J298" i="1"/>
  <c r="O298" i="1" s="1"/>
  <c r="J297" i="1"/>
  <c r="O297" i="1" s="1"/>
  <c r="J296" i="1"/>
  <c r="O296" i="1" s="1"/>
  <c r="J295" i="1"/>
  <c r="O295" i="1" s="1"/>
  <c r="J294" i="1"/>
  <c r="O294" i="1" s="1"/>
  <c r="J293" i="1"/>
  <c r="O293" i="1" s="1"/>
  <c r="J292" i="1"/>
  <c r="O292" i="1" s="1"/>
  <c r="J291" i="1"/>
  <c r="O291" i="1" s="1"/>
  <c r="J290" i="1"/>
  <c r="O290" i="1" s="1"/>
  <c r="J289" i="1"/>
  <c r="O289" i="1" s="1"/>
  <c r="J288" i="1"/>
  <c r="O288" i="1" s="1"/>
  <c r="J287" i="1"/>
  <c r="O287" i="1" s="1"/>
  <c r="J286" i="1"/>
  <c r="O286" i="1" s="1"/>
  <c r="J285" i="1"/>
  <c r="O285" i="1" s="1"/>
  <c r="J284" i="1"/>
  <c r="O284" i="1" s="1"/>
  <c r="J283" i="1"/>
  <c r="O283" i="1" s="1"/>
  <c r="J282" i="1"/>
  <c r="O282" i="1" s="1"/>
  <c r="J281" i="1"/>
  <c r="O281" i="1" s="1"/>
  <c r="J280" i="1"/>
  <c r="O280" i="1" s="1"/>
  <c r="J279" i="1"/>
  <c r="O279" i="1" s="1"/>
  <c r="J278" i="1"/>
  <c r="O278" i="1" s="1"/>
  <c r="J277" i="1"/>
  <c r="O277" i="1" s="1"/>
  <c r="J276" i="1"/>
  <c r="O276" i="1" s="1"/>
  <c r="J275" i="1"/>
  <c r="O275" i="1" s="1"/>
  <c r="J274" i="1"/>
  <c r="O274" i="1" s="1"/>
  <c r="J273" i="1"/>
  <c r="O273" i="1" s="1"/>
  <c r="J272" i="1"/>
  <c r="O272" i="1" s="1"/>
  <c r="J271" i="1"/>
  <c r="O271" i="1" s="1"/>
  <c r="J270" i="1"/>
  <c r="O270" i="1" s="1"/>
  <c r="J269" i="1"/>
  <c r="O269" i="1" s="1"/>
  <c r="J268" i="1"/>
  <c r="O268" i="1" s="1"/>
  <c r="J267" i="1"/>
  <c r="O267" i="1" s="1"/>
  <c r="J266" i="1"/>
  <c r="O266" i="1" s="1"/>
  <c r="J265" i="1"/>
  <c r="O265" i="1" s="1"/>
  <c r="J264" i="1"/>
  <c r="O264" i="1" s="1"/>
  <c r="J263" i="1"/>
  <c r="O263" i="1" s="1"/>
  <c r="J262" i="1"/>
  <c r="O262" i="1" s="1"/>
  <c r="J261" i="1"/>
  <c r="O261" i="1" s="1"/>
  <c r="J260" i="1"/>
  <c r="O260" i="1" s="1"/>
  <c r="J259" i="1"/>
  <c r="O259" i="1" s="1"/>
  <c r="J258" i="1"/>
  <c r="O258" i="1" s="1"/>
  <c r="J257" i="1"/>
  <c r="O257" i="1" s="1"/>
  <c r="J256" i="1"/>
  <c r="O256" i="1" s="1"/>
  <c r="J255" i="1"/>
  <c r="O255" i="1" s="1"/>
  <c r="J254" i="1"/>
  <c r="O254" i="1" s="1"/>
  <c r="J253" i="1"/>
  <c r="O253" i="1" s="1"/>
  <c r="J252" i="1"/>
  <c r="O252" i="1" s="1"/>
  <c r="J251" i="1"/>
  <c r="O251" i="1" s="1"/>
  <c r="J250" i="1"/>
  <c r="O250" i="1" s="1"/>
  <c r="J249" i="1"/>
  <c r="O249" i="1" s="1"/>
  <c r="J248" i="1"/>
  <c r="O248" i="1" s="1"/>
  <c r="J247" i="1"/>
  <c r="O247" i="1" s="1"/>
  <c r="J246" i="1"/>
  <c r="O246" i="1" s="1"/>
  <c r="J245" i="1"/>
  <c r="O245" i="1" s="1"/>
  <c r="J244" i="1"/>
  <c r="O244" i="1" s="1"/>
  <c r="J243" i="1"/>
  <c r="O243" i="1" s="1"/>
  <c r="J242" i="1"/>
  <c r="O242" i="1" s="1"/>
  <c r="J241" i="1"/>
  <c r="O241" i="1" s="1"/>
  <c r="J240" i="1"/>
  <c r="O240" i="1" s="1"/>
  <c r="J239" i="1"/>
  <c r="O239" i="1" s="1"/>
  <c r="J238" i="1"/>
  <c r="O238" i="1" s="1"/>
  <c r="J237" i="1"/>
  <c r="O237" i="1" s="1"/>
  <c r="J236" i="1"/>
  <c r="O236" i="1" s="1"/>
  <c r="J235" i="1"/>
  <c r="O235" i="1" s="1"/>
  <c r="J234" i="1"/>
  <c r="O234" i="1" s="1"/>
  <c r="J233" i="1"/>
  <c r="O233" i="1" s="1"/>
  <c r="J232" i="1"/>
  <c r="O232" i="1" s="1"/>
  <c r="J231" i="1"/>
  <c r="O231" i="1" s="1"/>
  <c r="J230" i="1"/>
  <c r="O230" i="1" s="1"/>
  <c r="J229" i="1"/>
  <c r="O229" i="1" s="1"/>
  <c r="J228" i="1"/>
  <c r="O228" i="1" s="1"/>
  <c r="J227" i="1"/>
  <c r="O227" i="1" s="1"/>
  <c r="J226" i="1"/>
  <c r="O226" i="1" s="1"/>
  <c r="J225" i="1"/>
  <c r="O225" i="1" s="1"/>
  <c r="J224" i="1"/>
  <c r="O224" i="1" s="1"/>
  <c r="J223" i="1"/>
  <c r="O223" i="1" s="1"/>
  <c r="J222" i="1"/>
  <c r="O222" i="1" s="1"/>
  <c r="J221" i="1"/>
  <c r="O221" i="1" s="1"/>
  <c r="J220" i="1"/>
  <c r="O220" i="1" s="1"/>
  <c r="J219" i="1"/>
  <c r="O219" i="1" s="1"/>
  <c r="J218" i="1"/>
  <c r="O218" i="1" s="1"/>
  <c r="J217" i="1"/>
  <c r="O217" i="1" s="1"/>
  <c r="J216" i="1"/>
  <c r="O216" i="1" s="1"/>
  <c r="J215" i="1"/>
  <c r="O215" i="1" s="1"/>
  <c r="J214" i="1"/>
  <c r="O214" i="1" s="1"/>
  <c r="J213" i="1"/>
  <c r="O213" i="1" s="1"/>
  <c r="J212" i="1"/>
  <c r="O212" i="1" s="1"/>
  <c r="J211" i="1"/>
  <c r="O211" i="1" s="1"/>
  <c r="J210" i="1"/>
  <c r="O210" i="1" s="1"/>
  <c r="J209" i="1"/>
  <c r="O209" i="1" s="1"/>
  <c r="J208" i="1"/>
  <c r="O208" i="1" s="1"/>
  <c r="J207" i="1"/>
  <c r="O207" i="1" s="1"/>
  <c r="J206" i="1"/>
  <c r="O206" i="1" s="1"/>
  <c r="J205" i="1"/>
  <c r="O205" i="1" s="1"/>
  <c r="J204" i="1"/>
  <c r="O204" i="1" s="1"/>
  <c r="J203" i="1"/>
  <c r="O203" i="1" s="1"/>
  <c r="J202" i="1"/>
  <c r="O202" i="1" s="1"/>
  <c r="J201" i="1"/>
  <c r="O201" i="1" s="1"/>
  <c r="J200" i="1"/>
  <c r="O200" i="1" s="1"/>
  <c r="J199" i="1"/>
  <c r="O199" i="1" s="1"/>
  <c r="J198" i="1"/>
  <c r="O198" i="1" s="1"/>
  <c r="J197" i="1"/>
  <c r="O197" i="1" s="1"/>
  <c r="J196" i="1"/>
  <c r="O196" i="1" s="1"/>
  <c r="J195" i="1"/>
  <c r="O195" i="1" s="1"/>
  <c r="J194" i="1"/>
  <c r="O194" i="1" s="1"/>
  <c r="J193" i="1"/>
  <c r="O193" i="1" s="1"/>
  <c r="J192" i="1"/>
  <c r="O192" i="1" s="1"/>
  <c r="J191" i="1"/>
  <c r="O191" i="1" s="1"/>
  <c r="J190" i="1"/>
  <c r="O190" i="1" s="1"/>
  <c r="J189" i="1"/>
  <c r="O189" i="1" s="1"/>
  <c r="J188" i="1"/>
  <c r="O188" i="1" s="1"/>
  <c r="J187" i="1"/>
  <c r="O187" i="1" s="1"/>
  <c r="J186" i="1"/>
  <c r="O186" i="1" s="1"/>
  <c r="J185" i="1"/>
  <c r="O185" i="1" s="1"/>
  <c r="J184" i="1"/>
  <c r="O184" i="1" s="1"/>
  <c r="J183" i="1"/>
  <c r="O183" i="1" s="1"/>
  <c r="J182" i="1"/>
  <c r="O182" i="1" s="1"/>
  <c r="J181" i="1"/>
  <c r="O181" i="1" s="1"/>
  <c r="J180" i="1"/>
  <c r="O180" i="1" s="1"/>
  <c r="J179" i="1"/>
  <c r="O179" i="1" s="1"/>
  <c r="J178" i="1"/>
  <c r="O178" i="1" s="1"/>
  <c r="J177" i="1"/>
  <c r="O177" i="1" s="1"/>
  <c r="J176" i="1"/>
  <c r="O176" i="1" s="1"/>
  <c r="J175" i="1"/>
  <c r="O175" i="1" s="1"/>
  <c r="J174" i="1"/>
  <c r="O174" i="1" s="1"/>
  <c r="J173" i="1"/>
  <c r="O173" i="1" s="1"/>
  <c r="J172" i="1"/>
  <c r="O172" i="1" s="1"/>
  <c r="J171" i="1"/>
  <c r="O171" i="1" s="1"/>
  <c r="J170" i="1"/>
  <c r="O170" i="1" s="1"/>
  <c r="J169" i="1"/>
  <c r="O169" i="1" s="1"/>
  <c r="J168" i="1"/>
  <c r="O168" i="1" s="1"/>
  <c r="J167" i="1"/>
  <c r="O167" i="1" s="1"/>
  <c r="J166" i="1"/>
  <c r="O166" i="1" s="1"/>
  <c r="J165" i="1"/>
  <c r="O165" i="1" s="1"/>
  <c r="J164" i="1"/>
  <c r="O164" i="1" s="1"/>
  <c r="J163" i="1"/>
  <c r="O163" i="1" s="1"/>
  <c r="J162" i="1"/>
  <c r="O162" i="1" s="1"/>
  <c r="J161" i="1"/>
  <c r="O161" i="1" s="1"/>
  <c r="J160" i="1"/>
  <c r="O160" i="1" s="1"/>
  <c r="J159" i="1"/>
  <c r="O159" i="1" s="1"/>
  <c r="J158" i="1"/>
  <c r="O158" i="1" s="1"/>
  <c r="J157" i="1"/>
  <c r="O157" i="1" s="1"/>
  <c r="J156" i="1"/>
  <c r="O156" i="1" s="1"/>
  <c r="J155" i="1"/>
  <c r="O155" i="1" s="1"/>
  <c r="J154" i="1"/>
  <c r="O154" i="1" s="1"/>
  <c r="J153" i="1"/>
  <c r="O153" i="1" s="1"/>
  <c r="J152" i="1"/>
  <c r="O152" i="1" s="1"/>
  <c r="J151" i="1"/>
  <c r="O151" i="1" s="1"/>
  <c r="J150" i="1"/>
  <c r="O150" i="1" s="1"/>
  <c r="J149" i="1"/>
  <c r="O149" i="1" s="1"/>
  <c r="J148" i="1"/>
  <c r="O148" i="1" s="1"/>
  <c r="J147" i="1"/>
  <c r="O147" i="1" s="1"/>
  <c r="J146" i="1"/>
  <c r="O146" i="1" s="1"/>
  <c r="J145" i="1"/>
  <c r="O145" i="1" s="1"/>
  <c r="J144" i="1"/>
  <c r="O144" i="1" s="1"/>
  <c r="J143" i="1"/>
  <c r="O143" i="1" s="1"/>
  <c r="J142" i="1"/>
  <c r="O142" i="1" s="1"/>
  <c r="J141" i="1"/>
  <c r="O141" i="1" s="1"/>
  <c r="J140" i="1"/>
  <c r="O140" i="1" s="1"/>
  <c r="J139" i="1"/>
  <c r="O139" i="1" s="1"/>
  <c r="J138" i="1"/>
  <c r="O138" i="1" s="1"/>
  <c r="J137" i="1"/>
  <c r="O137" i="1" s="1"/>
  <c r="J136" i="1"/>
  <c r="O136" i="1" s="1"/>
  <c r="J135" i="1"/>
  <c r="O135" i="1" s="1"/>
  <c r="J134" i="1"/>
  <c r="O134" i="1" s="1"/>
  <c r="J133" i="1"/>
  <c r="O133" i="1" s="1"/>
  <c r="J132" i="1"/>
  <c r="O132" i="1" s="1"/>
  <c r="J131" i="1"/>
  <c r="O131" i="1" s="1"/>
  <c r="J130" i="1"/>
  <c r="O130" i="1" s="1"/>
  <c r="J129" i="1"/>
  <c r="O129" i="1" s="1"/>
  <c r="J128" i="1"/>
  <c r="O128" i="1" s="1"/>
  <c r="J127" i="1"/>
  <c r="O127" i="1" s="1"/>
  <c r="J126" i="1"/>
  <c r="O126" i="1" s="1"/>
  <c r="J125" i="1"/>
  <c r="O125" i="1" s="1"/>
  <c r="J124" i="1"/>
  <c r="O124" i="1" s="1"/>
  <c r="J123" i="1"/>
  <c r="O123" i="1" s="1"/>
  <c r="J122" i="1"/>
  <c r="O122" i="1" s="1"/>
  <c r="J121" i="1"/>
  <c r="O121" i="1" s="1"/>
  <c r="J120" i="1"/>
  <c r="O120" i="1" s="1"/>
  <c r="J119" i="1"/>
  <c r="O119" i="1" s="1"/>
  <c r="J118" i="1"/>
  <c r="O118" i="1" s="1"/>
  <c r="J117" i="1"/>
  <c r="O117" i="1" s="1"/>
  <c r="J116" i="1"/>
  <c r="O116" i="1" s="1"/>
  <c r="J115" i="1"/>
  <c r="O115" i="1" s="1"/>
  <c r="J114" i="1"/>
  <c r="O114" i="1" s="1"/>
  <c r="J113" i="1"/>
  <c r="O113" i="1" s="1"/>
  <c r="J112" i="1"/>
  <c r="O112" i="1" s="1"/>
  <c r="J111" i="1"/>
  <c r="O111" i="1" s="1"/>
  <c r="J110" i="1"/>
  <c r="O110" i="1" s="1"/>
  <c r="J109" i="1"/>
  <c r="O109" i="1" s="1"/>
  <c r="J108" i="1"/>
  <c r="O108" i="1" s="1"/>
  <c r="J107" i="1"/>
  <c r="O107" i="1" s="1"/>
  <c r="J106" i="1"/>
  <c r="O106" i="1" s="1"/>
  <c r="J105" i="1"/>
  <c r="O105" i="1" s="1"/>
  <c r="J104" i="1"/>
  <c r="O104" i="1" s="1"/>
  <c r="J103" i="1"/>
  <c r="O103" i="1" s="1"/>
  <c r="J102" i="1"/>
  <c r="O102" i="1" s="1"/>
  <c r="J101" i="1"/>
  <c r="O101" i="1" s="1"/>
  <c r="J100" i="1"/>
  <c r="O100" i="1" s="1"/>
  <c r="J99" i="1"/>
  <c r="O99" i="1" s="1"/>
  <c r="J98" i="1"/>
  <c r="O98" i="1" s="1"/>
  <c r="J97" i="1"/>
  <c r="O97" i="1" s="1"/>
  <c r="J96" i="1"/>
  <c r="O96" i="1" s="1"/>
  <c r="J95" i="1"/>
  <c r="O95" i="1" s="1"/>
  <c r="J94" i="1"/>
  <c r="O94" i="1" s="1"/>
  <c r="J93" i="1"/>
  <c r="O93" i="1" s="1"/>
  <c r="J92" i="1"/>
  <c r="O92" i="1" s="1"/>
  <c r="J91" i="1"/>
  <c r="O91" i="1" s="1"/>
  <c r="J90" i="1"/>
  <c r="O90" i="1" s="1"/>
  <c r="J89" i="1"/>
  <c r="O89" i="1" s="1"/>
  <c r="J88" i="1"/>
  <c r="O88" i="1" s="1"/>
  <c r="J87" i="1"/>
  <c r="O87" i="1" s="1"/>
  <c r="J86" i="1"/>
  <c r="O86" i="1" s="1"/>
  <c r="J85" i="1"/>
  <c r="O85" i="1" s="1"/>
  <c r="J84" i="1"/>
  <c r="O84" i="1" s="1"/>
  <c r="J83" i="1"/>
  <c r="O83" i="1" s="1"/>
  <c r="J82" i="1"/>
  <c r="O82" i="1" s="1"/>
  <c r="J81" i="1"/>
  <c r="O81" i="1" s="1"/>
  <c r="J80" i="1"/>
  <c r="O80" i="1" s="1"/>
  <c r="J79" i="1"/>
  <c r="O79" i="1" s="1"/>
  <c r="J78" i="1"/>
  <c r="O78" i="1" s="1"/>
  <c r="J77" i="1"/>
  <c r="O77" i="1" s="1"/>
  <c r="J76" i="1"/>
  <c r="O76" i="1" s="1"/>
  <c r="J75" i="1"/>
  <c r="O75" i="1" s="1"/>
  <c r="J74" i="1"/>
  <c r="O74" i="1" s="1"/>
  <c r="J73" i="1"/>
  <c r="O73" i="1" s="1"/>
  <c r="J72" i="1"/>
  <c r="O72" i="1" s="1"/>
  <c r="J71" i="1"/>
  <c r="O71" i="1" s="1"/>
  <c r="J70" i="1"/>
  <c r="O70" i="1" s="1"/>
  <c r="J69" i="1"/>
  <c r="O69" i="1" s="1"/>
  <c r="J68" i="1"/>
  <c r="O68" i="1" s="1"/>
  <c r="J67" i="1"/>
  <c r="O67" i="1" s="1"/>
  <c r="J66" i="1"/>
  <c r="O66" i="1" s="1"/>
  <c r="J65" i="1"/>
  <c r="O65" i="1" s="1"/>
  <c r="J64" i="1"/>
  <c r="O64" i="1" s="1"/>
  <c r="J63" i="1"/>
  <c r="O63" i="1" s="1"/>
  <c r="J62" i="1"/>
  <c r="O62" i="1" s="1"/>
  <c r="J61" i="1"/>
  <c r="O61" i="1" s="1"/>
  <c r="J60" i="1"/>
  <c r="O60" i="1" s="1"/>
  <c r="J59" i="1"/>
  <c r="O59" i="1" s="1"/>
  <c r="J58" i="1"/>
  <c r="O58" i="1" s="1"/>
  <c r="J57" i="1"/>
  <c r="O57" i="1" s="1"/>
  <c r="J56" i="1"/>
  <c r="O56" i="1" s="1"/>
  <c r="J55" i="1"/>
  <c r="O55" i="1" s="1"/>
  <c r="J54" i="1"/>
  <c r="O54" i="1" s="1"/>
  <c r="J53" i="1"/>
  <c r="O53" i="1" s="1"/>
  <c r="J52" i="1"/>
  <c r="O52" i="1" s="1"/>
  <c r="J51" i="1"/>
  <c r="O51" i="1" s="1"/>
  <c r="J50" i="1"/>
  <c r="O50" i="1" s="1"/>
  <c r="J49" i="1"/>
  <c r="O49" i="1" s="1"/>
  <c r="J48" i="1"/>
  <c r="O48" i="1" s="1"/>
  <c r="J47" i="1"/>
  <c r="O47" i="1" s="1"/>
  <c r="J46" i="1"/>
  <c r="O46" i="1" s="1"/>
  <c r="J45" i="1"/>
  <c r="O45" i="1" s="1"/>
  <c r="J44" i="1"/>
  <c r="O44" i="1" s="1"/>
  <c r="J43" i="1"/>
  <c r="O43" i="1" s="1"/>
  <c r="J42" i="1"/>
  <c r="O42" i="1" s="1"/>
  <c r="J41" i="1"/>
  <c r="O41" i="1" s="1"/>
  <c r="J40" i="1"/>
  <c r="O40" i="1" s="1"/>
  <c r="J39" i="1"/>
  <c r="O39" i="1" s="1"/>
  <c r="J38" i="1"/>
  <c r="O38" i="1" s="1"/>
  <c r="J37" i="1"/>
  <c r="O37" i="1" s="1"/>
  <c r="J36" i="1"/>
  <c r="O36" i="1" s="1"/>
  <c r="J35" i="1"/>
  <c r="O35" i="1" s="1"/>
  <c r="J34" i="1"/>
  <c r="O34" i="1" s="1"/>
  <c r="J33" i="1"/>
  <c r="O33" i="1" s="1"/>
  <c r="J32" i="1"/>
  <c r="O32" i="1" s="1"/>
  <c r="J31" i="1"/>
  <c r="O31" i="1" s="1"/>
  <c r="J30" i="1"/>
  <c r="O30" i="1" s="1"/>
  <c r="J29" i="1"/>
  <c r="O29" i="1" s="1"/>
  <c r="J28" i="1"/>
  <c r="O28" i="1" s="1"/>
  <c r="J27" i="1"/>
  <c r="O27" i="1" s="1"/>
  <c r="J26" i="1"/>
  <c r="O26" i="1" s="1"/>
  <c r="J25" i="1"/>
  <c r="O25" i="1" s="1"/>
  <c r="J24" i="1"/>
  <c r="O24" i="1" s="1"/>
  <c r="J23" i="1"/>
  <c r="O23" i="1" s="1"/>
  <c r="J22" i="1"/>
  <c r="O22" i="1" s="1"/>
  <c r="J21" i="1"/>
  <c r="O21" i="1" s="1"/>
  <c r="J20" i="1"/>
  <c r="O20" i="1" s="1"/>
  <c r="J19" i="1"/>
  <c r="O19" i="1" s="1"/>
  <c r="J18" i="1"/>
  <c r="O18" i="1" s="1"/>
  <c r="J17" i="1"/>
  <c r="O17" i="1" s="1"/>
  <c r="J16" i="1"/>
  <c r="O16" i="1" s="1"/>
  <c r="J15" i="1"/>
  <c r="O15" i="1" s="1"/>
  <c r="J14" i="1"/>
  <c r="O14" i="1" s="1"/>
  <c r="J13" i="1"/>
  <c r="O13" i="1" s="1"/>
  <c r="J12" i="1"/>
  <c r="O12" i="1" s="1"/>
  <c r="J11" i="1"/>
  <c r="O11" i="1" s="1"/>
  <c r="J10" i="1"/>
  <c r="O10" i="1" s="1"/>
  <c r="J9" i="1"/>
  <c r="O9" i="1" s="1"/>
  <c r="J8" i="1"/>
  <c r="O8" i="1" s="1"/>
  <c r="J7" i="1"/>
  <c r="O7" i="1" s="1"/>
  <c r="J6" i="1"/>
  <c r="O6" i="1" s="1"/>
  <c r="J5" i="1"/>
  <c r="O5" i="1" s="1"/>
  <c r="J4" i="1"/>
  <c r="O4" i="1" s="1"/>
  <c r="J3" i="1"/>
  <c r="O3" i="1" s="1"/>
  <c r="K2" i="1"/>
  <c r="P2" i="1" s="1"/>
  <c r="J2" i="1"/>
  <c r="O2" i="1" s="1"/>
  <c r="R18" i="4" l="1"/>
  <c r="Q18" i="4"/>
  <c r="V18" i="4"/>
  <c r="C18" i="4"/>
  <c r="D18" i="4"/>
  <c r="E18" i="4"/>
  <c r="F18" i="4"/>
  <c r="G18" i="4"/>
  <c r="H18" i="4"/>
  <c r="I18" i="4"/>
  <c r="J18" i="4"/>
  <c r="K18" i="4"/>
  <c r="L18" i="4"/>
  <c r="M18" i="4"/>
  <c r="P18" i="4"/>
  <c r="S18" i="4"/>
  <c r="T18" i="4"/>
  <c r="U18" i="4"/>
  <c r="W18" i="4"/>
  <c r="X18" i="4"/>
  <c r="Z18" i="4"/>
  <c r="Y18" i="4" l="1"/>
  <c r="O18" i="4"/>
  <c r="N18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X16" i="4"/>
  <c r="Y16" i="4"/>
  <c r="Z16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S17" i="4"/>
  <c r="T17" i="4"/>
  <c r="U17" i="4"/>
  <c r="V17" i="4"/>
  <c r="W17" i="4"/>
  <c r="X17" i="4"/>
  <c r="Y17" i="4"/>
  <c r="Z17" i="4"/>
  <c r="C7" i="4"/>
  <c r="D7" i="4"/>
  <c r="E7" i="4"/>
  <c r="F7" i="4"/>
  <c r="G7" i="4"/>
  <c r="H7" i="4"/>
  <c r="I7" i="4"/>
  <c r="J7" i="4"/>
  <c r="K7" i="4"/>
  <c r="L7" i="4"/>
  <c r="M7" i="4"/>
  <c r="N7" i="4"/>
  <c r="O7" i="4"/>
  <c r="P7" i="4"/>
  <c r="Q7" i="4"/>
  <c r="R7" i="4"/>
  <c r="S7" i="4"/>
  <c r="T7" i="4"/>
  <c r="U7" i="4"/>
  <c r="V7" i="4"/>
  <c r="W7" i="4"/>
  <c r="X7" i="4"/>
  <c r="Y7" i="4"/>
  <c r="Z7" i="4"/>
  <c r="C8" i="4"/>
  <c r="D8" i="4"/>
  <c r="E8" i="4"/>
  <c r="F8" i="4"/>
  <c r="G8" i="4"/>
  <c r="H8" i="4"/>
  <c r="I8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C9" i="4"/>
  <c r="D9" i="4"/>
  <c r="E9" i="4"/>
  <c r="F9" i="4"/>
  <c r="G9" i="4"/>
  <c r="H9" i="4"/>
  <c r="I9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C10" i="4"/>
  <c r="D10" i="4"/>
  <c r="E10" i="4"/>
  <c r="F10" i="4"/>
  <c r="G10" i="4"/>
  <c r="H10" i="4"/>
  <c r="I10" i="4"/>
  <c r="J10" i="4"/>
  <c r="K10" i="4"/>
  <c r="L10" i="4"/>
  <c r="M10" i="4"/>
  <c r="N10" i="4"/>
  <c r="O10" i="4"/>
  <c r="P10" i="4"/>
  <c r="Q10" i="4"/>
  <c r="R10" i="4"/>
  <c r="S10" i="4"/>
  <c r="T10" i="4"/>
  <c r="U10" i="4"/>
  <c r="W10" i="4"/>
  <c r="X10" i="4"/>
  <c r="Y10" i="4"/>
  <c r="Z10" i="4"/>
  <c r="C11" i="4"/>
  <c r="D11" i="4"/>
  <c r="E11" i="4"/>
  <c r="F11" i="4"/>
  <c r="G11" i="4"/>
  <c r="H11" i="4"/>
  <c r="I11" i="4"/>
  <c r="J11" i="4"/>
  <c r="K11" i="4"/>
  <c r="L11" i="4"/>
  <c r="M11" i="4"/>
  <c r="N11" i="4"/>
  <c r="O11" i="4"/>
  <c r="P11" i="4"/>
  <c r="Q11" i="4"/>
  <c r="R11" i="4"/>
  <c r="S11" i="4"/>
  <c r="T11" i="4"/>
  <c r="U11" i="4"/>
  <c r="V11" i="4"/>
  <c r="W11" i="4"/>
  <c r="X11" i="4"/>
  <c r="Y11" i="4"/>
  <c r="Z11" i="4"/>
  <c r="C12" i="4"/>
  <c r="D12" i="4"/>
  <c r="E12" i="4"/>
  <c r="F12" i="4"/>
  <c r="G12" i="4"/>
  <c r="H12" i="4"/>
  <c r="I12" i="4"/>
  <c r="J12" i="4"/>
  <c r="K12" i="4"/>
  <c r="L12" i="4"/>
  <c r="M12" i="4"/>
  <c r="N12" i="4"/>
  <c r="O12" i="4"/>
  <c r="P12" i="4"/>
  <c r="Q12" i="4"/>
  <c r="R12" i="4"/>
  <c r="S12" i="4"/>
  <c r="T12" i="4"/>
  <c r="U12" i="4"/>
  <c r="V12" i="4"/>
  <c r="W12" i="4"/>
  <c r="X12" i="4"/>
  <c r="Y12" i="4"/>
  <c r="Z12" i="4"/>
  <c r="C13" i="4"/>
  <c r="D13" i="4"/>
  <c r="E13" i="4"/>
  <c r="F13" i="4"/>
  <c r="G13" i="4"/>
  <c r="H13" i="4"/>
  <c r="I13" i="4"/>
  <c r="J13" i="4"/>
  <c r="K13" i="4"/>
  <c r="L13" i="4"/>
  <c r="M13" i="4"/>
  <c r="N13" i="4"/>
  <c r="O13" i="4"/>
  <c r="P13" i="4"/>
  <c r="Q13" i="4"/>
  <c r="R13" i="4"/>
  <c r="S13" i="4"/>
  <c r="T13" i="4"/>
  <c r="U13" i="4"/>
  <c r="V13" i="4"/>
  <c r="W13" i="4"/>
  <c r="X13" i="4"/>
  <c r="Y13" i="4"/>
  <c r="Z13" i="4"/>
  <c r="C14" i="4"/>
  <c r="D14" i="4"/>
  <c r="E14" i="4"/>
  <c r="F14" i="4"/>
  <c r="G14" i="4"/>
  <c r="H14" i="4"/>
  <c r="I14" i="4"/>
  <c r="J14" i="4"/>
  <c r="K14" i="4"/>
  <c r="L14" i="4"/>
  <c r="M14" i="4"/>
  <c r="N14" i="4"/>
  <c r="O14" i="4"/>
  <c r="P14" i="4"/>
  <c r="Q14" i="4"/>
  <c r="R14" i="4"/>
  <c r="S14" i="4"/>
  <c r="T14" i="4"/>
  <c r="U14" i="4"/>
  <c r="V14" i="4"/>
  <c r="W14" i="4"/>
  <c r="X14" i="4"/>
  <c r="Y14" i="4"/>
  <c r="Z14" i="4"/>
  <c r="C15" i="4"/>
  <c r="D15" i="4"/>
  <c r="E15" i="4"/>
  <c r="F15" i="4"/>
  <c r="G15" i="4"/>
  <c r="H15" i="4"/>
  <c r="I15" i="4"/>
  <c r="J15" i="4"/>
  <c r="K15" i="4"/>
  <c r="L15" i="4"/>
  <c r="M15" i="4"/>
  <c r="N15" i="4"/>
  <c r="O15" i="4"/>
  <c r="P15" i="4"/>
  <c r="Q15" i="4"/>
  <c r="R15" i="4"/>
  <c r="S15" i="4"/>
  <c r="T15" i="4"/>
  <c r="U15" i="4"/>
  <c r="V15" i="4"/>
  <c r="W15" i="4"/>
  <c r="X15" i="4"/>
  <c r="Y15" i="4"/>
  <c r="Z15" i="4"/>
  <c r="M5" i="4" l="1"/>
  <c r="C2" i="4"/>
  <c r="C3" i="4"/>
  <c r="C4" i="4"/>
  <c r="C5" i="4"/>
  <c r="C6" i="4"/>
  <c r="V5" i="4" l="1"/>
  <c r="V4" i="4"/>
  <c r="V6" i="4" l="1"/>
  <c r="V3" i="4"/>
  <c r="N5" i="4"/>
  <c r="O2" i="4"/>
  <c r="O5" i="4"/>
  <c r="N2" i="4"/>
  <c r="Z6" i="4" l="1"/>
  <c r="Y6" i="4"/>
  <c r="X6" i="4"/>
  <c r="W6" i="4"/>
  <c r="U6" i="4"/>
  <c r="T6" i="4"/>
  <c r="S6" i="4"/>
  <c r="P6" i="4"/>
  <c r="M6" i="4"/>
  <c r="L6" i="4"/>
  <c r="K6" i="4"/>
  <c r="J6" i="4"/>
  <c r="I6" i="4"/>
  <c r="H6" i="4"/>
  <c r="G6" i="4"/>
  <c r="F6" i="4"/>
  <c r="E6" i="4"/>
  <c r="D6" i="4"/>
  <c r="Z5" i="4"/>
  <c r="Y5" i="4"/>
  <c r="X5" i="4"/>
  <c r="W5" i="4"/>
  <c r="U5" i="4"/>
  <c r="T5" i="4"/>
  <c r="S5" i="4"/>
  <c r="P5" i="4"/>
  <c r="L5" i="4"/>
  <c r="K5" i="4"/>
  <c r="J5" i="4"/>
  <c r="I5" i="4"/>
  <c r="H5" i="4"/>
  <c r="G5" i="4"/>
  <c r="F5" i="4"/>
  <c r="E5" i="4"/>
  <c r="D5" i="4"/>
  <c r="Z4" i="4"/>
  <c r="Y4" i="4"/>
  <c r="X4" i="4"/>
  <c r="W4" i="4"/>
  <c r="U4" i="4"/>
  <c r="T4" i="4"/>
  <c r="S4" i="4"/>
  <c r="P4" i="4"/>
  <c r="M4" i="4"/>
  <c r="L4" i="4"/>
  <c r="K4" i="4"/>
  <c r="J4" i="4"/>
  <c r="I4" i="4"/>
  <c r="H4" i="4"/>
  <c r="G4" i="4"/>
  <c r="F4" i="4"/>
  <c r="E4" i="4"/>
  <c r="D4" i="4"/>
  <c r="Z3" i="4"/>
  <c r="Y3" i="4"/>
  <c r="X3" i="4"/>
  <c r="W3" i="4"/>
  <c r="U3" i="4"/>
  <c r="T3" i="4"/>
  <c r="S3" i="4"/>
  <c r="P3" i="4"/>
  <c r="M3" i="4"/>
  <c r="L3" i="4"/>
  <c r="K3" i="4"/>
  <c r="J3" i="4"/>
  <c r="I3" i="4"/>
  <c r="H3" i="4"/>
  <c r="G3" i="4"/>
  <c r="F3" i="4"/>
  <c r="E3" i="4"/>
  <c r="D3" i="4"/>
  <c r="Z2" i="4" l="1"/>
  <c r="Y2" i="4"/>
  <c r="X2" i="4"/>
  <c r="W2" i="4"/>
  <c r="U2" i="4"/>
  <c r="T2" i="4"/>
  <c r="S2" i="4"/>
  <c r="P2" i="4"/>
  <c r="M2" i="4"/>
  <c r="L2" i="4"/>
  <c r="K2" i="4"/>
  <c r="J2" i="4"/>
  <c r="I2" i="4"/>
  <c r="H2" i="4"/>
  <c r="G2" i="4"/>
  <c r="F2" i="4"/>
  <c r="E2" i="4"/>
  <c r="D2" i="4"/>
  <c r="V2" i="4" l="1"/>
  <c r="R6" i="4" l="1"/>
  <c r="O6" i="4"/>
  <c r="R3" i="4"/>
  <c r="O3" i="4"/>
  <c r="R2" i="4"/>
  <c r="Q3" i="4"/>
  <c r="N3" i="4"/>
  <c r="Q2" i="4"/>
  <c r="R4" i="4"/>
  <c r="O4" i="4"/>
  <c r="Q6" i="4"/>
  <c r="N6" i="4"/>
  <c r="Q4" i="4"/>
  <c r="N4" i="4"/>
  <c r="R5" i="4"/>
  <c r="Q5" i="4"/>
  <c r="N19" i="4" l="1"/>
  <c r="O19" i="4"/>
</calcChain>
</file>

<file path=xl/sharedStrings.xml><?xml version="1.0" encoding="utf-8"?>
<sst xmlns="http://schemas.openxmlformats.org/spreadsheetml/2006/main" count="12088" uniqueCount="5067">
  <si>
    <t>Company Name</t>
  </si>
  <si>
    <t>Ticker</t>
  </si>
  <si>
    <t>PEG Ratio</t>
  </si>
  <si>
    <t>P/E (F2)</t>
  </si>
  <si>
    <t>P/E (F1)</t>
  </si>
  <si>
    <t>P/E (Trailing 12 Months)</t>
  </si>
  <si>
    <t>F2 Consensus Est.</t>
  </si>
  <si>
    <t>F1 Consensus Est.</t>
  </si>
  <si>
    <t>F0 Consensus Est.</t>
  </si>
  <si>
    <t>Advertising and Marketing</t>
  </si>
  <si>
    <t>Aerospace</t>
  </si>
  <si>
    <t>Month of Fiscal Yr End</t>
  </si>
  <si>
    <t>Exchange</t>
  </si>
  <si>
    <t>Div. Yield %</t>
  </si>
  <si>
    <t>Last EPS Surprise (%)</t>
  </si>
  <si>
    <t>Agilent Technologies, Inc.</t>
  </si>
  <si>
    <t>A</t>
  </si>
  <si>
    <t>Aerospace - Defense</t>
  </si>
  <si>
    <t>AAL</t>
  </si>
  <si>
    <t>AAP</t>
  </si>
  <si>
    <t>Apple Inc.</t>
  </si>
  <si>
    <t>AAPL</t>
  </si>
  <si>
    <t>ABB Ltd</t>
  </si>
  <si>
    <t>ABB</t>
  </si>
  <si>
    <t>AbbVie Inc.</t>
  </si>
  <si>
    <t>ABBV</t>
  </si>
  <si>
    <t>ABC</t>
  </si>
  <si>
    <t>ABIOMED, Inc.</t>
  </si>
  <si>
    <t>ABMD</t>
  </si>
  <si>
    <t>Aerospace - Defense Equipment</t>
  </si>
  <si>
    <t>American Campus Communities Inc</t>
  </si>
  <si>
    <t>ACC</t>
  </si>
  <si>
    <t>Arch Capital Group Ltd.</t>
  </si>
  <si>
    <t>ACGL</t>
  </si>
  <si>
    <t>AECOM</t>
  </si>
  <si>
    <t>ACM</t>
  </si>
  <si>
    <t>Accenture PLC</t>
  </si>
  <si>
    <t>ACN</t>
  </si>
  <si>
    <t>ADBE</t>
  </si>
  <si>
    <t>Adidas AG</t>
  </si>
  <si>
    <t>ADDYY</t>
  </si>
  <si>
    <t>Analog Devices, Inc.</t>
  </si>
  <si>
    <t>ADI</t>
  </si>
  <si>
    <t>ADM</t>
  </si>
  <si>
    <t>Automatic Data Processing, Inc.</t>
  </si>
  <si>
    <t>ADP</t>
  </si>
  <si>
    <t>Auto-Tires-Trucks</t>
  </si>
  <si>
    <t>Autodesk, Inc.</t>
  </si>
  <si>
    <t>ADSK</t>
  </si>
  <si>
    <t>Ameren Corporation</t>
  </si>
  <si>
    <t>AEE</t>
  </si>
  <si>
    <t>Agnico Eagle Mines Limited</t>
  </si>
  <si>
    <t>AEM</t>
  </si>
  <si>
    <t>American Electric Power Company, Inc.</t>
  </si>
  <si>
    <t>AEP</t>
  </si>
  <si>
    <t>The AES Corporation</t>
  </si>
  <si>
    <t>AES</t>
  </si>
  <si>
    <t>American Financial Group, Inc.</t>
  </si>
  <si>
    <t>AFG</t>
  </si>
  <si>
    <t>Aflac Incorporated</t>
  </si>
  <si>
    <t>AFL</t>
  </si>
  <si>
    <t>AGCO Corporation</t>
  </si>
  <si>
    <t>AGCO</t>
  </si>
  <si>
    <t>Automotive - Domestic</t>
  </si>
  <si>
    <t>Avangrid, Inc.</t>
  </si>
  <si>
    <t>AGR</t>
  </si>
  <si>
    <t>Automotive - Foreign</t>
  </si>
  <si>
    <t>American International Group, Inc.</t>
  </si>
  <si>
    <t>AIG</t>
  </si>
  <si>
    <t>Assurant, Inc.</t>
  </si>
  <si>
    <t>AIZ</t>
  </si>
  <si>
    <t>AJG</t>
  </si>
  <si>
    <t>Akamai Technologies, Inc.</t>
  </si>
  <si>
    <t>AKAM</t>
  </si>
  <si>
    <t>Akzo Nobel NV</t>
  </si>
  <si>
    <t>Albemarle Corporation</t>
  </si>
  <si>
    <t>ALB</t>
  </si>
  <si>
    <t>Align Technology, Inc.</t>
  </si>
  <si>
    <t>ALGN</t>
  </si>
  <si>
    <t>Automotive - Internal Combustion Engines</t>
  </si>
  <si>
    <t>Automotive - Original Equipment</t>
  </si>
  <si>
    <t>ALL</t>
  </si>
  <si>
    <t>Allegion PLC</t>
  </si>
  <si>
    <t>ALLE</t>
  </si>
  <si>
    <t>Ally Financial Inc.</t>
  </si>
  <si>
    <t>ALLY</t>
  </si>
  <si>
    <t>Alnylam Pharmaceuticals, Inc.</t>
  </si>
  <si>
    <t>ALNY</t>
  </si>
  <si>
    <t>Allison Transmission Holdings, Inc.</t>
  </si>
  <si>
    <t>ALSN</t>
  </si>
  <si>
    <t>Basic Materials</t>
  </si>
  <si>
    <t>Autoliv, Inc.</t>
  </si>
  <si>
    <t>ALV</t>
  </si>
  <si>
    <t>Alexion Pharmaceuticals, Inc.</t>
  </si>
  <si>
    <t>ALXN</t>
  </si>
  <si>
    <t>Applied Materials, Inc.</t>
  </si>
  <si>
    <t>AMAT</t>
  </si>
  <si>
    <t>AME</t>
  </si>
  <si>
    <t>Amgen Inc.</t>
  </si>
  <si>
    <t>AMGN</t>
  </si>
  <si>
    <t>AMP</t>
  </si>
  <si>
    <t>AMT</t>
  </si>
  <si>
    <t>Automotive - Retail and Wholesale - Parts</t>
  </si>
  <si>
    <t>Amazon.com, Inc.</t>
  </si>
  <si>
    <t>AMZN</t>
  </si>
  <si>
    <t>Banks - Foreign</t>
  </si>
  <si>
    <t>Arista Networks, Inc.</t>
  </si>
  <si>
    <t>ANET</t>
  </si>
  <si>
    <t>ANSYS, Inc.</t>
  </si>
  <si>
    <t>ANSS</t>
  </si>
  <si>
    <t>Anthem, Inc.</t>
  </si>
  <si>
    <t>ANTM</t>
  </si>
  <si>
    <t>AON</t>
  </si>
  <si>
    <t>AOS</t>
  </si>
  <si>
    <t>Amphenol Corporation</t>
  </si>
  <si>
    <t>APH</t>
  </si>
  <si>
    <t>APO</t>
  </si>
  <si>
    <t>APTV</t>
  </si>
  <si>
    <t>Alexandria Real Estate Equities, Inc.</t>
  </si>
  <si>
    <t>ARE</t>
  </si>
  <si>
    <t>Aramark</t>
  </si>
  <si>
    <t>ARMK</t>
  </si>
  <si>
    <t>Arrow Electronics, Inc.</t>
  </si>
  <si>
    <t>ARW</t>
  </si>
  <si>
    <t>Aisin Seiki Co. Ltd. Unsponsored ADR</t>
  </si>
  <si>
    <t>ASEKY</t>
  </si>
  <si>
    <t>Ashtead Group PLC</t>
  </si>
  <si>
    <t>ASHTY</t>
  </si>
  <si>
    <t>ASML Holding N.V.</t>
  </si>
  <si>
    <t>ASML</t>
  </si>
  <si>
    <t>Atmos Energy Corporation</t>
  </si>
  <si>
    <t>ATO</t>
  </si>
  <si>
    <t>AptarGroup, Inc.</t>
  </si>
  <si>
    <t>ATR</t>
  </si>
  <si>
    <t>Altice USA, Inc.</t>
  </si>
  <si>
    <t>ATUS</t>
  </si>
  <si>
    <t>AvalonBay Communities, Inc.</t>
  </si>
  <si>
    <t>AVB</t>
  </si>
  <si>
    <t>Avery Dennison Corporation</t>
  </si>
  <si>
    <t>AVY</t>
  </si>
  <si>
    <t>AWK</t>
  </si>
  <si>
    <t>American Express Company</t>
  </si>
  <si>
    <t>AXP</t>
  </si>
  <si>
    <t>Axis Capital Holdings Limited</t>
  </si>
  <si>
    <t>AXS</t>
  </si>
  <si>
    <t>Axalta Coating Systems Ltd.</t>
  </si>
  <si>
    <t>AXTA</t>
  </si>
  <si>
    <t>Acuity Brands Inc</t>
  </si>
  <si>
    <t>AYI</t>
  </si>
  <si>
    <t>AZN</t>
  </si>
  <si>
    <t>AutoZone, Inc.</t>
  </si>
  <si>
    <t>AZO</t>
  </si>
  <si>
    <t>AZUL SA</t>
  </si>
  <si>
    <t>AZUL</t>
  </si>
  <si>
    <t>Banks - Major Regional</t>
  </si>
  <si>
    <t>BA</t>
  </si>
  <si>
    <t>Alibaba Group Holding Limited</t>
  </si>
  <si>
    <t>BABA</t>
  </si>
  <si>
    <t>Bank of America Corporation</t>
  </si>
  <si>
    <t>BAC</t>
  </si>
  <si>
    <t>Booz Allen Hamilton Holding Corporation</t>
  </si>
  <si>
    <t>BAH</t>
  </si>
  <si>
    <t>Bayerische Motoren Werke AG</t>
  </si>
  <si>
    <t>BAMXF</t>
  </si>
  <si>
    <t>Credicorp Ltd.</t>
  </si>
  <si>
    <t>BAP</t>
  </si>
  <si>
    <t>Baxter International Inc.</t>
  </si>
  <si>
    <t>BAX</t>
  </si>
  <si>
    <t>Banks - Midwest</t>
  </si>
  <si>
    <t>Banks - Northeast</t>
  </si>
  <si>
    <t>Best Buy Co., Inc.</t>
  </si>
  <si>
    <t>BBY</t>
  </si>
  <si>
    <t>Banks - Southeast</t>
  </si>
  <si>
    <t>Barclays PLC</t>
  </si>
  <si>
    <t>BCS</t>
  </si>
  <si>
    <t>Business Services</t>
  </si>
  <si>
    <t>Becton, Dickinson and Company</t>
  </si>
  <si>
    <t>BDX</t>
  </si>
  <si>
    <t>BERY</t>
  </si>
  <si>
    <t>BeiGene, Ltd.</t>
  </si>
  <si>
    <t>BGNE</t>
  </si>
  <si>
    <t>Banks - West</t>
  </si>
  <si>
    <t>Baidu, Inc.</t>
  </si>
  <si>
    <t>BIDU</t>
  </si>
  <si>
    <t>Biogen Inc.</t>
  </si>
  <si>
    <t>BIIB</t>
  </si>
  <si>
    <t>Beverages - Alcohol</t>
  </si>
  <si>
    <t>Building Products - Air Conditioner and Heating</t>
  </si>
  <si>
    <t>Building Products - Concrete and Aggregates</t>
  </si>
  <si>
    <t>Computer and Technology</t>
  </si>
  <si>
    <t>Building Products - Lighting</t>
  </si>
  <si>
    <t>Building Products - Miscellaneous</t>
  </si>
  <si>
    <t>Building Products - Wood</t>
  </si>
  <si>
    <t>Business - Information Services</t>
  </si>
  <si>
    <t>Business - Services</t>
  </si>
  <si>
    <t>Business - Software Services</t>
  </si>
  <si>
    <t xml:space="preserve">Chemical - Diversified </t>
  </si>
  <si>
    <t>Chemical - Plastic</t>
  </si>
  <si>
    <t>Chemical - Specialty</t>
  </si>
  <si>
    <t>Communication - Components</t>
  </si>
  <si>
    <t>Computer - Integrated Systems</t>
  </si>
  <si>
    <t>Computer - Mini computers</t>
  </si>
  <si>
    <t>Computer - Software</t>
  </si>
  <si>
    <t>Computer- Storage Devices</t>
  </si>
  <si>
    <t>Computers - IT Services</t>
  </si>
  <si>
    <t>Consulting Services</t>
  </si>
  <si>
    <t>Consumer Products - Staples</t>
  </si>
  <si>
    <t>Containers - Paper and Packaging</t>
  </si>
  <si>
    <t>DOV</t>
  </si>
  <si>
    <t>Diversified Communication Services</t>
  </si>
  <si>
    <t>Construction</t>
  </si>
  <si>
    <t>Electronics - Miscellaneous Components</t>
  </si>
  <si>
    <t>Electronics - Parts Distribution</t>
  </si>
  <si>
    <t>Electronics - Semiconductors</t>
  </si>
  <si>
    <t>Electronics - Testing Equipment</t>
  </si>
  <si>
    <t>Engineering - R and D Services</t>
  </si>
  <si>
    <t>Consumer Discretionary</t>
  </si>
  <si>
    <t>Film and Television Production and Distribution</t>
  </si>
  <si>
    <t>Financial - Consumer Loans</t>
  </si>
  <si>
    <t>GGG</t>
  </si>
  <si>
    <t>Financial - Investment Management</t>
  </si>
  <si>
    <t>Financial - Miscellaneous Services</t>
  </si>
  <si>
    <t>Welltower Inc.</t>
  </si>
  <si>
    <t>Financial - SBIC &amp; Commercial Industry</t>
  </si>
  <si>
    <t>Financial Transaction Services</t>
  </si>
  <si>
    <t>Consumer Staples</t>
  </si>
  <si>
    <t>Food - Miscellaneous</t>
  </si>
  <si>
    <t>Furniture</t>
  </si>
  <si>
    <t>Gaming</t>
  </si>
  <si>
    <t>IEX</t>
  </si>
  <si>
    <t>Government Services</t>
  </si>
  <si>
    <t>Hotels and Motels</t>
  </si>
  <si>
    <t>Household Appliances</t>
  </si>
  <si>
    <t>Industrial Services</t>
  </si>
  <si>
    <t>Finance</t>
  </si>
  <si>
    <t>Industry</t>
  </si>
  <si>
    <t>Instruments - Control</t>
  </si>
  <si>
    <t>Instruments - Scientific</t>
  </si>
  <si>
    <t>Insurance - Accident and Health</t>
  </si>
  <si>
    <t>IR</t>
  </si>
  <si>
    <t>Insurance - Brokerage</t>
  </si>
  <si>
    <t>Insurance - Life Insurance</t>
  </si>
  <si>
    <t>ITW</t>
  </si>
  <si>
    <t>Insurance - Multi line</t>
  </si>
  <si>
    <t>Insurance - Property and Casualty</t>
  </si>
  <si>
    <t>Internet - Commerce</t>
  </si>
  <si>
    <t>Internet - Content</t>
  </si>
  <si>
    <t>Internet - Services</t>
  </si>
  <si>
    <t>Internet - Software</t>
  </si>
  <si>
    <t>Internet - Software and Services</t>
  </si>
  <si>
    <t>Large Cap Pharmaceuticals</t>
  </si>
  <si>
    <t>Leisure and Recreation Products</t>
  </si>
  <si>
    <t>Manufacturing - Electronics</t>
  </si>
  <si>
    <t>Manufacturing - Farm Equipment</t>
  </si>
  <si>
    <t xml:space="preserve">Manufacturing - General Industrial </t>
  </si>
  <si>
    <t>Manufacturing - Thermal Products</t>
  </si>
  <si>
    <t>Medical - Biomedical and Genetics</t>
  </si>
  <si>
    <t>Medical - Dental Supplies</t>
  </si>
  <si>
    <t>Medical - Drugs</t>
  </si>
  <si>
    <t>Medical - Generic Drugs</t>
  </si>
  <si>
    <t>Medical - HMOs</t>
  </si>
  <si>
    <t>Medical - Hospital</t>
  </si>
  <si>
    <t>Medical - Instruments</t>
  </si>
  <si>
    <t>Medical - Outpatient and Home Healthcare</t>
  </si>
  <si>
    <t>Medical - Products</t>
  </si>
  <si>
    <t>Medical Info Systems</t>
  </si>
  <si>
    <t>Medical Services</t>
  </si>
  <si>
    <t>Mining - Gold</t>
  </si>
  <si>
    <t>Mining - Miscellaneous</t>
  </si>
  <si>
    <t>Mining - Non Ferrous</t>
  </si>
  <si>
    <t>Oil and Gas - Drilling</t>
  </si>
  <si>
    <t>Oil and Gas - Exploration and Production - United States</t>
  </si>
  <si>
    <t>Industrial Products</t>
  </si>
  <si>
    <t>PH</t>
  </si>
  <si>
    <t>PNR</t>
  </si>
  <si>
    <t>Oil and Gas - Integrated - International</t>
  </si>
  <si>
    <t>Oil and Gas - Integrated - United States</t>
  </si>
  <si>
    <t>Oil and Gas - Production and Pipelines</t>
  </si>
  <si>
    <t>Oil and Gas - Refining and Marketing</t>
  </si>
  <si>
    <t>Medical</t>
  </si>
  <si>
    <t>Oil and Gas - Refining and Marketing - Master Limited Partnerships</t>
  </si>
  <si>
    <t>Outsourcing</t>
  </si>
  <si>
    <t>Paper and Related Products</t>
  </si>
  <si>
    <t>ROP</t>
  </si>
  <si>
    <t>Real Estate - Operations</t>
  </si>
  <si>
    <t>REIT and Equity Trust</t>
  </si>
  <si>
    <t>REIT and Equity Trust - Other</t>
  </si>
  <si>
    <t>REIT and Equity Trust - Residential</t>
  </si>
  <si>
    <t>REIT and Equity Trust - Retail</t>
  </si>
  <si>
    <t>Oils-Energy</t>
  </si>
  <si>
    <t>Retail - Apparel and Shoes</t>
  </si>
  <si>
    <t>Retail - Consumer Electronics</t>
  </si>
  <si>
    <t>Retail - Miscellaneous</t>
  </si>
  <si>
    <t>Retail - Pharmacies and Drug Stores</t>
  </si>
  <si>
    <t>Retail - Restaurants</t>
  </si>
  <si>
    <t>Retail - Supermarkets</t>
  </si>
  <si>
    <t>Schools</t>
  </si>
  <si>
    <t>Security and Safety Services</t>
  </si>
  <si>
    <t>Semiconductor - Analog and Mixed</t>
  </si>
  <si>
    <t>Semiconductor - Discretes</t>
  </si>
  <si>
    <t>Semiconductor Equipment - Wafer Fabrication</t>
  </si>
  <si>
    <t>Semiconductors - Programmable Logic</t>
  </si>
  <si>
    <t xml:space="preserve">Shoes and Retail Apparel </t>
  </si>
  <si>
    <t>Retail-Wholesale</t>
  </si>
  <si>
    <t>Steel - Producers</t>
  </si>
  <si>
    <t>Technology Services</t>
  </si>
  <si>
    <t>Toys - Games - Hobbies</t>
  </si>
  <si>
    <t>Transportation - Airline</t>
  </si>
  <si>
    <t>Sector</t>
  </si>
  <si>
    <t>Transportation</t>
  </si>
  <si>
    <t>Transportation - Equipment and Leasing</t>
  </si>
  <si>
    <t>Transportation - Rail</t>
  </si>
  <si>
    <t>Transportation - Services</t>
  </si>
  <si>
    <t>Valero Energy Corporation</t>
  </si>
  <si>
    <t>VLO</t>
  </si>
  <si>
    <t>Transportation - Shipping</t>
  </si>
  <si>
    <t>Vulcan Materials Company</t>
  </si>
  <si>
    <t>VMC</t>
  </si>
  <si>
    <t>VMW</t>
  </si>
  <si>
    <t>Voya Financial, Inc.</t>
  </si>
  <si>
    <t>VOYA</t>
  </si>
  <si>
    <t>Utility - Electric Power</t>
  </si>
  <si>
    <t>Verisk Analytics, Inc.</t>
  </si>
  <si>
    <t>VRSK</t>
  </si>
  <si>
    <t>VST</t>
  </si>
  <si>
    <t>Ventas, Inc.</t>
  </si>
  <si>
    <t>VTR</t>
  </si>
  <si>
    <t>Utilities</t>
  </si>
  <si>
    <t>Waters Corporation</t>
  </si>
  <si>
    <t>WAT</t>
  </si>
  <si>
    <t>Waste Connections, Inc.</t>
  </si>
  <si>
    <t>WCN</t>
  </si>
  <si>
    <t>Workday, Inc.</t>
  </si>
  <si>
    <t>WDAY</t>
  </si>
  <si>
    <t>Western Digital Corporation</t>
  </si>
  <si>
    <t>WDC</t>
  </si>
  <si>
    <t>WEC Energy Group, Inc.</t>
  </si>
  <si>
    <t>WEC</t>
  </si>
  <si>
    <t>WEX Inc.</t>
  </si>
  <si>
    <t>WEX</t>
  </si>
  <si>
    <t>WFC</t>
  </si>
  <si>
    <t>Whirlpool Corporation</t>
  </si>
  <si>
    <t>WHR</t>
  </si>
  <si>
    <t>Westlake Chemical Corporation</t>
  </si>
  <si>
    <t>WLK</t>
  </si>
  <si>
    <t>Willis Towers Watson Public Limited Company</t>
  </si>
  <si>
    <t>WLTW</t>
  </si>
  <si>
    <t>Waste Management, Inc.</t>
  </si>
  <si>
    <t>WM</t>
  </si>
  <si>
    <t>WMB</t>
  </si>
  <si>
    <t>W.P. Carey Inc.</t>
  </si>
  <si>
    <t>WPC</t>
  </si>
  <si>
    <t>W.R. Berkley Corporation</t>
  </si>
  <si>
    <t>WRB</t>
  </si>
  <si>
    <t>Utility - Gas Distribution</t>
  </si>
  <si>
    <t>WRK</t>
  </si>
  <si>
    <t>Watsco, Inc.</t>
  </si>
  <si>
    <t>WSO</t>
  </si>
  <si>
    <t>West Pharmaceutical Services, Inc.</t>
  </si>
  <si>
    <t>WST</t>
  </si>
  <si>
    <t>WU</t>
  </si>
  <si>
    <t>Woodward, Inc.</t>
  </si>
  <si>
    <t>WWD</t>
  </si>
  <si>
    <t>Utility - Water Supply</t>
  </si>
  <si>
    <t>Wynn Resorts, Limited</t>
  </si>
  <si>
    <t>WYNN</t>
  </si>
  <si>
    <t>Waste Removal Services</t>
  </si>
  <si>
    <t>Xcel Energy Inc.</t>
  </si>
  <si>
    <t>XEL</t>
  </si>
  <si>
    <t>Xilinx, Inc.</t>
  </si>
  <si>
    <t>XLNX</t>
  </si>
  <si>
    <t>Exxon Mobil Corporation</t>
  </si>
  <si>
    <t>XOM</t>
  </si>
  <si>
    <t>XPO Logistics, Inc.</t>
  </si>
  <si>
    <t>XPO</t>
  </si>
  <si>
    <t>DENTSPLY SIRONA Inc.</t>
  </si>
  <si>
    <t>XRAY</t>
  </si>
  <si>
    <t>Wireless National</t>
  </si>
  <si>
    <t xml:space="preserve">Wireless Non-US </t>
  </si>
  <si>
    <t>YUM</t>
  </si>
  <si>
    <t>Yum China Holdings Inc.</t>
  </si>
  <si>
    <t>YUMC</t>
  </si>
  <si>
    <t>Zimmer Biomet Holdings, Inc.</t>
  </si>
  <si>
    <t>ZBH</t>
  </si>
  <si>
    <t>Zebra Technologies Corporation</t>
  </si>
  <si>
    <t>ZBRA</t>
  </si>
  <si>
    <t>Zendesk, Inc.</t>
  </si>
  <si>
    <t>ZEN</t>
  </si>
  <si>
    <t>ZION</t>
  </si>
  <si>
    <t>Zoetis Inc.</t>
  </si>
  <si>
    <t>ZTS</t>
  </si>
  <si>
    <t>EPS Growth F1</t>
  </si>
  <si>
    <t>EPS Growth F2</t>
  </si>
  <si>
    <t>PEG F1</t>
  </si>
  <si>
    <t>PEG F2</t>
  </si>
  <si>
    <t>Agriculture - Operations</t>
  </si>
  <si>
    <t>America Movil, S.A.B. de C.V.</t>
  </si>
  <si>
    <t>AMX</t>
  </si>
  <si>
    <t>Electronics - Connectors</t>
  </si>
  <si>
    <t>Office Supplies</t>
  </si>
  <si>
    <t>Solar</t>
  </si>
  <si>
    <t>AMETEK, Inc.</t>
  </si>
  <si>
    <t>YY</t>
  </si>
  <si>
    <t>VeriSign, Inc.</t>
  </si>
  <si>
    <t>VRSN</t>
  </si>
  <si>
    <t>Vertex Pharmaceuticals Incorporated</t>
  </si>
  <si>
    <t>VRTX</t>
  </si>
  <si>
    <t>Alleghany Corporation</t>
  </si>
  <si>
    <t>Y</t>
  </si>
  <si>
    <t>5 Yr Historical Sales Growth</t>
  </si>
  <si>
    <t>Sales Growth F1</t>
  </si>
  <si>
    <t>Advance Auto Parts, Inc.</t>
  </si>
  <si>
    <t>Archer Daniels Midland Company</t>
  </si>
  <si>
    <t>Booking Holdings Inc.</t>
  </si>
  <si>
    <t>WestRock Company</t>
  </si>
  <si>
    <t>American Airlines Group Inc.</t>
  </si>
  <si>
    <t>AmerisourceBergen Corporation</t>
  </si>
  <si>
    <t>The Allstate Corporation</t>
  </si>
  <si>
    <t>Ameriprise Financial, Inc.</t>
  </si>
  <si>
    <t>Aon plc</t>
  </si>
  <si>
    <t>A. O. Smith Corporation</t>
  </si>
  <si>
    <t>AstraZeneca PLC</t>
  </si>
  <si>
    <t>The Boeing Company</t>
  </si>
  <si>
    <t>BKNG</t>
  </si>
  <si>
    <t>WELL</t>
  </si>
  <si>
    <t>The Western Union Company</t>
  </si>
  <si>
    <t>Aspen Technology, Inc.</t>
  </si>
  <si>
    <t>AZPN</t>
  </si>
  <si>
    <t>XRX</t>
  </si>
  <si>
    <t>Consumer Services - Miscellaneous</t>
  </si>
  <si>
    <t>Alternative Energy - Other</t>
  </si>
  <si>
    <t>Aptiv PLC</t>
  </si>
  <si>
    <t>Berry Global Group, Inc.</t>
  </si>
  <si>
    <t>Security</t>
  </si>
  <si>
    <t>WPM</t>
  </si>
  <si>
    <t>Amedisys, Inc.</t>
  </si>
  <si>
    <t>AMED</t>
  </si>
  <si>
    <t>Bausch Health Cos Inc.</t>
  </si>
  <si>
    <t>BHC</t>
  </si>
  <si>
    <t>Metal Products - Distribution</t>
  </si>
  <si>
    <t>Bunge Limited</t>
  </si>
  <si>
    <t>BG</t>
  </si>
  <si>
    <t>Agriculture - Products</t>
  </si>
  <si>
    <t>Fertilizers</t>
  </si>
  <si>
    <t>Zscaler, Inc.</t>
  </si>
  <si>
    <t>ZS</t>
  </si>
  <si>
    <t>Vornado Realty Trust</t>
  </si>
  <si>
    <t>VNO</t>
  </si>
  <si>
    <t>Broadcom Inc.</t>
  </si>
  <si>
    <t>AVGO</t>
  </si>
  <si>
    <t>American Water Works Company, Inc.</t>
  </si>
  <si>
    <t>BCE, Inc.</t>
  </si>
  <si>
    <t>BCE</t>
  </si>
  <si>
    <t>NDSN</t>
  </si>
  <si>
    <t>VMware, Inc.</t>
  </si>
  <si>
    <t>Banco Bradesco SA</t>
  </si>
  <si>
    <t>BBD</t>
  </si>
  <si>
    <t>Bilibili Inc. Sponsored ADR</t>
  </si>
  <si>
    <t>BILI</t>
  </si>
  <si>
    <t>Volkswagen AG</t>
  </si>
  <si>
    <t>VWAGY</t>
  </si>
  <si>
    <t>Current ROE (TTM)</t>
  </si>
  <si>
    <t>AAC Technologies Holdings Inc.</t>
  </si>
  <si>
    <t>AACAY</t>
  </si>
  <si>
    <t>Abbott Laboratories</t>
  </si>
  <si>
    <t>ABT</t>
  </si>
  <si>
    <t>Ageas SA</t>
  </si>
  <si>
    <t>AGESY</t>
  </si>
  <si>
    <t>Asahi Kasei Corp.</t>
  </si>
  <si>
    <t>AHKSY</t>
  </si>
  <si>
    <t>Air Liquide</t>
  </si>
  <si>
    <t>AIQUY</t>
  </si>
  <si>
    <t>AMADY</t>
  </si>
  <si>
    <t>Advanced Micro Devices, Inc.</t>
  </si>
  <si>
    <t>AMD</t>
  </si>
  <si>
    <t>American Homes 4 Rent</t>
  </si>
  <si>
    <t>AMH</t>
  </si>
  <si>
    <t>Anta Sports Products Ltd.</t>
  </si>
  <si>
    <t>ANPDF</t>
  </si>
  <si>
    <t>Air Products and Chemicals, Inc.</t>
  </si>
  <si>
    <t>APD</t>
  </si>
  <si>
    <t>ARGX</t>
  </si>
  <si>
    <t>Assa Abloy AB</t>
  </si>
  <si>
    <t>ASAZY</t>
  </si>
  <si>
    <t>Polymetal International PLC Sponsored ADR</t>
  </si>
  <si>
    <t>AUCOY</t>
  </si>
  <si>
    <t>Axa Sa</t>
  </si>
  <si>
    <t>AXAHY</t>
  </si>
  <si>
    <t>Bae Systems PLC</t>
  </si>
  <si>
    <t>BAESY</t>
  </si>
  <si>
    <t>Brilliance China Automotive Holdings Ltd. Unsponsored ADR</t>
  </si>
  <si>
    <t>BCAUY</t>
  </si>
  <si>
    <t>Bright Horizons Family Solutions Inc.</t>
  </si>
  <si>
    <t>BFAM</t>
  </si>
  <si>
    <t>Valeo S.A.</t>
  </si>
  <si>
    <t>VLEEY</t>
  </si>
  <si>
    <t>Westinghouse Air Brake Technologies Corporation</t>
  </si>
  <si>
    <t>WAB</t>
  </si>
  <si>
    <t>WPP PLC</t>
  </si>
  <si>
    <t>WPP</t>
  </si>
  <si>
    <t>Xylem Inc.</t>
  </si>
  <si>
    <t>XYL</t>
  </si>
  <si>
    <t>Zurich Insurance Group Ltd.</t>
  </si>
  <si>
    <t>ZURVY</t>
  </si>
  <si>
    <t>Axon Enterprise, Inc</t>
  </si>
  <si>
    <t>Activision Blizzard, Inc</t>
  </si>
  <si>
    <t>ATVI</t>
  </si>
  <si>
    <t>BASF SE</t>
  </si>
  <si>
    <t>BASFY</t>
  </si>
  <si>
    <t>AKZOY</t>
  </si>
  <si>
    <t>AMKBY</t>
  </si>
  <si>
    <t>Arkema SA</t>
  </si>
  <si>
    <t>ARKAY</t>
  </si>
  <si>
    <t>ASND</t>
  </si>
  <si>
    <t>KONINKLIJKE VPK</t>
  </si>
  <si>
    <t>VOPKY</t>
  </si>
  <si>
    <t>Verizon Communications Inc.</t>
  </si>
  <si>
    <t>VZ</t>
  </si>
  <si>
    <t>NYSE</t>
  </si>
  <si>
    <t>NSDQ</t>
  </si>
  <si>
    <t>OTC</t>
  </si>
  <si>
    <t>ACADIA Pharmaceuticals Inc.</t>
  </si>
  <si>
    <t>ACAD</t>
  </si>
  <si>
    <t>Real Estate - Development</t>
  </si>
  <si>
    <t>Alteryx, Inc.</t>
  </si>
  <si>
    <t>AYX</t>
  </si>
  <si>
    <t>AQN</t>
  </si>
  <si>
    <t>AngloGold Ashanti Limited</t>
  </si>
  <si>
    <t>AU</t>
  </si>
  <si>
    <t>ROLL</t>
  </si>
  <si>
    <t>Publishing - Books</t>
  </si>
  <si>
    <t>Vodafone Group PLC</t>
  </si>
  <si>
    <t>VOD</t>
  </si>
  <si>
    <t>WEST JAPAN RAIL</t>
  </si>
  <si>
    <t>WJRYY</t>
  </si>
  <si>
    <t>BHOOY</t>
  </si>
  <si>
    <t>Bankinter SA</t>
  </si>
  <si>
    <t>BKNIY</t>
  </si>
  <si>
    <t>Steel - Pipe and Tube</t>
  </si>
  <si>
    <t>Walmart Inc.</t>
  </si>
  <si>
    <t>WMT</t>
  </si>
  <si>
    <t>Ares Capital Corporation</t>
  </si>
  <si>
    <t>ARCC</t>
  </si>
  <si>
    <t>AGNC Investment Corp.</t>
  </si>
  <si>
    <t>AGNC</t>
  </si>
  <si>
    <t>Grupo Aval Acciones y Valores S.A.</t>
  </si>
  <si>
    <t>AVAL</t>
  </si>
  <si>
    <t>Weibo Corporation</t>
  </si>
  <si>
    <t>WB</t>
  </si>
  <si>
    <t>Aviva PLC</t>
  </si>
  <si>
    <t>AVVIY</t>
  </si>
  <si>
    <t>Process / TO DO LIST</t>
  </si>
  <si>
    <t>TO DO LIST</t>
  </si>
  <si>
    <t>Comments</t>
  </si>
  <si>
    <t>U.S. Database</t>
  </si>
  <si>
    <t>Follow Instructions from How to build US Database.pdf</t>
  </si>
  <si>
    <t>Amcor PLC</t>
  </si>
  <si>
    <t>AMCR</t>
  </si>
  <si>
    <t>Walgreens Boots Alliance, Inc.</t>
  </si>
  <si>
    <t>WBA</t>
  </si>
  <si>
    <t>Zillow Group, Inc.</t>
  </si>
  <si>
    <t>ZG</t>
  </si>
  <si>
    <t>Zions Bancorporation, N.A.</t>
  </si>
  <si>
    <t>ZALANDO SE ADRS</t>
  </si>
  <si>
    <t>ZLNDY</t>
  </si>
  <si>
    <t>Market Cap (mil)</t>
  </si>
  <si>
    <t>Next EPS Report Date  (yyyymmdd)</t>
  </si>
  <si>
    <t>F(1) Consensus Sales Est. ($mil)</t>
  </si>
  <si>
    <t>Aluminum Corporation of China Limited</t>
  </si>
  <si>
    <t>ACH</t>
  </si>
  <si>
    <t>ANDRITZ AG</t>
  </si>
  <si>
    <t>ADRZY</t>
  </si>
  <si>
    <t>Agile Property Holdings Ltd.</t>
  </si>
  <si>
    <t>AGPYY</t>
  </si>
  <si>
    <t>ALC</t>
  </si>
  <si>
    <t>Avalara, Inc.</t>
  </si>
  <si>
    <t>AVLR</t>
  </si>
  <si>
    <t>Avantor, Inc.</t>
  </si>
  <si>
    <t>AVTR</t>
  </si>
  <si>
    <t>BridgeBio Pharma, Inc.</t>
  </si>
  <si>
    <t>BBIO</t>
  </si>
  <si>
    <t>Weichai Power Co.</t>
  </si>
  <si>
    <t>WEICY</t>
  </si>
  <si>
    <t>WTRG</t>
  </si>
  <si>
    <t>Acceleron Pharma Inc.</t>
  </si>
  <si>
    <t>XLRN</t>
  </si>
  <si>
    <t>XP Inc.</t>
  </si>
  <si>
    <t>XP</t>
  </si>
  <si>
    <t>Yara International ASA</t>
  </si>
  <si>
    <t>YARIY</t>
  </si>
  <si>
    <t>Astellas Pharma Inc.</t>
  </si>
  <si>
    <t>ALPMY</t>
  </si>
  <si>
    <t>BJ</t>
  </si>
  <si>
    <t>Zynga Inc.</t>
  </si>
  <si>
    <t>ZNGA</t>
  </si>
  <si>
    <t>Adaptive Biotechnologies Corporation</t>
  </si>
  <si>
    <t>ADPT</t>
  </si>
  <si>
    <t>ADT Inc.</t>
  </si>
  <si>
    <t>ADT</t>
  </si>
  <si>
    <t>Aercap Holdings N.V.</t>
  </si>
  <si>
    <t>AER</t>
  </si>
  <si>
    <t>Financial - Leasing Companies</t>
  </si>
  <si>
    <t>Alaska Air Group, Inc.</t>
  </si>
  <si>
    <t>ALK</t>
  </si>
  <si>
    <t>ARES</t>
  </si>
  <si>
    <t>Ashland Global Holdings Inc.</t>
  </si>
  <si>
    <t>ASH</t>
  </si>
  <si>
    <t>Athene Holding Ltd.</t>
  </si>
  <si>
    <t>ATH</t>
  </si>
  <si>
    <t>Yamana Gold Inc.</t>
  </si>
  <si>
    <t>AUY</t>
  </si>
  <si>
    <t>Banco Bilbao Viscaya Argentaria S.A.</t>
  </si>
  <si>
    <t>BBVA</t>
  </si>
  <si>
    <t>FLS</t>
  </si>
  <si>
    <t>MIDD</t>
  </si>
  <si>
    <t>Wayfair Inc.</t>
  </si>
  <si>
    <t>W</t>
  </si>
  <si>
    <t>Western Alliance Bancorporation</t>
  </si>
  <si>
    <t>WAL</t>
  </si>
  <si>
    <t>WEN</t>
  </si>
  <si>
    <t>WSM</t>
  </si>
  <si>
    <t>Retail - Home Furnishings</t>
  </si>
  <si>
    <t>Agree Realty Corporation</t>
  </si>
  <si>
    <t>ADC</t>
  </si>
  <si>
    <t>Allakos Inc.</t>
  </si>
  <si>
    <t>ALLK</t>
  </si>
  <si>
    <t>Allogene Therapeutics, Inc.</t>
  </si>
  <si>
    <t>ALLO</t>
  </si>
  <si>
    <t>Affiliated Managers Group, Inc.</t>
  </si>
  <si>
    <t>AMG</t>
  </si>
  <si>
    <t>AutoNation, Inc.</t>
  </si>
  <si>
    <t>AN</t>
  </si>
  <si>
    <t>Automotive - Retail and Whole Sales</t>
  </si>
  <si>
    <t>APA</t>
  </si>
  <si>
    <t>Appian Corporation</t>
  </si>
  <si>
    <t>APPN</t>
  </si>
  <si>
    <t>Arrowhead Pharmaceuticals, Inc.</t>
  </si>
  <si>
    <t>ARWR</t>
  </si>
  <si>
    <t>Brunswick Corporation</t>
  </si>
  <si>
    <t>BC</t>
  </si>
  <si>
    <t>CFX</t>
  </si>
  <si>
    <t>AB Volvo</t>
  </si>
  <si>
    <t>VLVLY</t>
  </si>
  <si>
    <t>Valvoline Inc.</t>
  </si>
  <si>
    <t>VVV</t>
  </si>
  <si>
    <t>WES</t>
  </si>
  <si>
    <t>WH</t>
  </si>
  <si>
    <t>Wingstop Inc.</t>
  </si>
  <si>
    <t>WING</t>
  </si>
  <si>
    <t>Advanced Drainage Systems, Inc.</t>
  </si>
  <si>
    <t>WMS</t>
  </si>
  <si>
    <t>Wheaton Precious Metals Corp.</t>
  </si>
  <si>
    <t>Essential Utilities Inc.</t>
  </si>
  <si>
    <t>World Wrestling Entertainment, Inc.</t>
  </si>
  <si>
    <t>WWE</t>
  </si>
  <si>
    <t>ENN Energy Holdings Ltd.</t>
  </si>
  <si>
    <t>XNGSY</t>
  </si>
  <si>
    <t>A P MOLLARMRSK</t>
  </si>
  <si>
    <t>ASPEN PHARMACR</t>
  </si>
  <si>
    <t>APNHY</t>
  </si>
  <si>
    <t>ARGENX SEADR</t>
  </si>
  <si>
    <t>ASGN Incorporated</t>
  </si>
  <si>
    <t>ASGN</t>
  </si>
  <si>
    <t>Ascendis Pharma AS</t>
  </si>
  <si>
    <t>ASOS PLS ADR</t>
  </si>
  <si>
    <t>ASOMY</t>
  </si>
  <si>
    <t>Grupo Aeroportuario del Sureste, S.A. de C.V.</t>
  </si>
  <si>
    <t>ASR</t>
  </si>
  <si>
    <t>Biohaven Pharmaceutical Holding Company Ltd.</t>
  </si>
  <si>
    <t>BHVN</t>
  </si>
  <si>
    <t>BJs Wholesale Club Holdings, Inc.</t>
  </si>
  <si>
    <t>Berkeley Group Holdings PLC Unsponsored ADR</t>
  </si>
  <si>
    <t>BKGFY</t>
  </si>
  <si>
    <t>The Wendys Company</t>
  </si>
  <si>
    <t>Wix.com Ltd.</t>
  </si>
  <si>
    <t>WIX</t>
  </si>
  <si>
    <t>Williams Companies, Inc. The</t>
  </si>
  <si>
    <t>WilliamsSonoma, Inc.</t>
  </si>
  <si>
    <t>YAHOY</t>
  </si>
  <si>
    <t>Yum Brands, Inc.</t>
  </si>
  <si>
    <t>Air Lease Corporation</t>
  </si>
  <si>
    <t>AL</t>
  </si>
  <si>
    <t>Arena Pharmaceuticals, Inc.</t>
  </si>
  <si>
    <t>ARNA</t>
  </si>
  <si>
    <t>Communication - Infrastructure</t>
  </si>
  <si>
    <t>Bill.com Holdings, Inc.</t>
  </si>
  <si>
    <t>BILL</t>
  </si>
  <si>
    <t>SWEDISH ORP BIO</t>
  </si>
  <si>
    <t>BIOVF</t>
  </si>
  <si>
    <t>WNS Holdings Limited</t>
  </si>
  <si>
    <t>WNS</t>
  </si>
  <si>
    <t>WARTSILA OYJ</t>
  </si>
  <si>
    <t>WRTBY</t>
  </si>
  <si>
    <t>YETI Holdings, Inc.</t>
  </si>
  <si>
    <t>YETI</t>
  </si>
  <si>
    <t>BioRad Laboratories, Inc.</t>
  </si>
  <si>
    <t>BIO</t>
  </si>
  <si>
    <t>The Bank of East Asia Ltd.</t>
  </si>
  <si>
    <t>BKEAY</t>
  </si>
  <si>
    <t>Black Knight Financial Services, Inc.</t>
  </si>
  <si>
    <t>BKI</t>
  </si>
  <si>
    <t>Verint Systems Inc.</t>
  </si>
  <si>
    <t>VRNT</t>
  </si>
  <si>
    <t>WSC</t>
  </si>
  <si>
    <t>Watts Water Technologies, Inc.</t>
  </si>
  <si>
    <t>WTS</t>
  </si>
  <si>
    <t>AAON, Inc.</t>
  </si>
  <si>
    <t>AAON</t>
  </si>
  <si>
    <t>Acadia Healthcare Company, Inc.</t>
  </si>
  <si>
    <t>ACHC</t>
  </si>
  <si>
    <t>Advanced Energy Industries, Inc.</t>
  </si>
  <si>
    <t>AEIS</t>
  </si>
  <si>
    <t>Air China Ltd.</t>
  </si>
  <si>
    <t>AIRYY</t>
  </si>
  <si>
    <t>Alarm.com Holdings, Inc.</t>
  </si>
  <si>
    <t>ALRM</t>
  </si>
  <si>
    <t>Altair Engineering Inc.</t>
  </si>
  <si>
    <t>ALTR</t>
  </si>
  <si>
    <t>Artisan Partners Asset Management Inc.</t>
  </si>
  <si>
    <t>APAM</t>
  </si>
  <si>
    <t>Digital Turbine, Inc.</t>
  </si>
  <si>
    <t>APPS</t>
  </si>
  <si>
    <t>Atlantica Yield PLC</t>
  </si>
  <si>
    <t>AY</t>
  </si>
  <si>
    <t>The AZEK Company Inc.</t>
  </si>
  <si>
    <t>AZEK</t>
  </si>
  <si>
    <t>Braskem S.A.</t>
  </si>
  <si>
    <t>BAK</t>
  </si>
  <si>
    <t>GTLS</t>
  </si>
  <si>
    <t>Valley National Bancorp</t>
  </si>
  <si>
    <t>VLY</t>
  </si>
  <si>
    <t>Valmont Industries, Inc.</t>
  </si>
  <si>
    <t>VMI</t>
  </si>
  <si>
    <t>Vonovia SE Unsponsored ADR</t>
  </si>
  <si>
    <t>VONOY</t>
  </si>
  <si>
    <t>Vivint Smart Home, Inc.</t>
  </si>
  <si>
    <t>VVNT</t>
  </si>
  <si>
    <t>WD40 Company</t>
  </si>
  <si>
    <t>WDFC</t>
  </si>
  <si>
    <t>WILYY</t>
  </si>
  <si>
    <t>Workiva Inc.</t>
  </si>
  <si>
    <t>WK</t>
  </si>
  <si>
    <t>Warner Music Group Corp.</t>
  </si>
  <si>
    <t>WMG</t>
  </si>
  <si>
    <t>Yaskawa Electric Corp.</t>
  </si>
  <si>
    <t>YASKY</t>
  </si>
  <si>
    <t>Zoom Video Communications, Inc.</t>
  </si>
  <si>
    <t>ZM</t>
  </si>
  <si>
    <t>China Southern Airlines Company Limited</t>
  </si>
  <si>
    <t>ZNH</t>
  </si>
  <si>
    <t>Alcoa Corp.</t>
  </si>
  <si>
    <t>AA</t>
  </si>
  <si>
    <t>AllianceBernstein Holding L.P.</t>
  </si>
  <si>
    <t>AB</t>
  </si>
  <si>
    <t>Adobe Inc.</t>
  </si>
  <si>
    <t>Adient PLC</t>
  </si>
  <si>
    <t>ADNT</t>
  </si>
  <si>
    <t>Alliance Data Systems Corporation</t>
  </si>
  <si>
    <t>ADS</t>
  </si>
  <si>
    <t>American Eagle Outfitters, Inc.</t>
  </si>
  <si>
    <t>AEO</t>
  </si>
  <si>
    <t>Agios Pharmaceuticals, Inc.</t>
  </si>
  <si>
    <t>AGIO</t>
  </si>
  <si>
    <t>Altra Industrial Motion Corp.</t>
  </si>
  <si>
    <t>AIMC</t>
  </si>
  <si>
    <t>Applied Industrial Technologies, Inc.</t>
  </si>
  <si>
    <t>AIT</t>
  </si>
  <si>
    <t>Arthur J. Gallagher &amp; Co.</t>
  </si>
  <si>
    <t>Allete, Inc.</t>
  </si>
  <si>
    <t>ALE</t>
  </si>
  <si>
    <t>Antero Midstream Corporation</t>
  </si>
  <si>
    <t>AM</t>
  </si>
  <si>
    <t>AMN Healthcare Services Inc</t>
  </si>
  <si>
    <t>AMN</t>
  </si>
  <si>
    <t>American Tower Corporation</t>
  </si>
  <si>
    <t>Apellis Pharmaceuticals, Inc.</t>
  </si>
  <si>
    <t>APLS</t>
  </si>
  <si>
    <t>Apollo Global Management, Inc.</t>
  </si>
  <si>
    <t>AppFolio, Inc.</t>
  </si>
  <si>
    <t>APPF</t>
  </si>
  <si>
    <t>Algonquin Power &amp; Utilities Corp.</t>
  </si>
  <si>
    <t>Ares Management Corporation</t>
  </si>
  <si>
    <t>AVNT</t>
  </si>
  <si>
    <t>Avnet, Inc.</t>
  </si>
  <si>
    <t>AVT</t>
  </si>
  <si>
    <t>Armstrong World Industries, Inc.</t>
  </si>
  <si>
    <t>AWI</t>
  </si>
  <si>
    <t>BlackBerry Limited</t>
  </si>
  <si>
    <t>BB</t>
  </si>
  <si>
    <t>Brinks Company The</t>
  </si>
  <si>
    <t>BCO</t>
  </si>
  <si>
    <t>Bloom Energy Corporation</t>
  </si>
  <si>
    <t>BE</t>
  </si>
  <si>
    <t>Franklin Resources, Inc.</t>
  </si>
  <si>
    <t>BEN</t>
  </si>
  <si>
    <t>Brighthouse Financial, Inc.</t>
  </si>
  <si>
    <t>BHF</t>
  </si>
  <si>
    <t>Viatris Inc.</t>
  </si>
  <si>
    <t>VTRS</t>
  </si>
  <si>
    <t>Webster Financial Corporation</t>
  </si>
  <si>
    <t>WBS</t>
  </si>
  <si>
    <t>WESCO International, Inc.</t>
  </si>
  <si>
    <t>WCC</t>
  </si>
  <si>
    <t>Wells Fargo &amp; Company</t>
  </si>
  <si>
    <t>Wyndham Hotels &amp; Resorts Inc.</t>
  </si>
  <si>
    <t>Wintrust Financial Corporation</t>
  </si>
  <si>
    <t>WTFC</t>
  </si>
  <si>
    <t>Want Want China Holdings Ltd.</t>
  </si>
  <si>
    <t>WWNTY</t>
  </si>
  <si>
    <t>United States Steel Corporation</t>
  </si>
  <si>
    <t>X</t>
  </si>
  <si>
    <t>Cimarex Energy Co</t>
  </si>
  <si>
    <t>XEC</t>
  </si>
  <si>
    <t>Ameris Bancorp</t>
  </si>
  <si>
    <t>ABCB</t>
  </si>
  <si>
    <t>AbCellera Biologics Inc.</t>
  </si>
  <si>
    <t>ABCL</t>
  </si>
  <si>
    <t>Asbury Automotive Group, Inc.</t>
  </si>
  <si>
    <t>ABG</t>
  </si>
  <si>
    <t>Airbnb, Inc.</t>
  </si>
  <si>
    <t>ABNB</t>
  </si>
  <si>
    <t>Adecco SA</t>
  </si>
  <si>
    <t>AHEXY</t>
  </si>
  <si>
    <t>C3.ai, Inc.</t>
  </si>
  <si>
    <t>AI</t>
  </si>
  <si>
    <t>Apartment Income REIT Corp.</t>
  </si>
  <si>
    <t>AIRC</t>
  </si>
  <si>
    <t>Aerojet Rocketdyne Holdings, Inc.</t>
  </si>
  <si>
    <t>AJRD</t>
  </si>
  <si>
    <t>ALCON INC</t>
  </si>
  <si>
    <t>Allegiant Travel Company</t>
  </si>
  <si>
    <t>ALGT</t>
  </si>
  <si>
    <t>Ambarella, Inc.</t>
  </si>
  <si>
    <t>AMBA</t>
  </si>
  <si>
    <t>Amplifon S.p.A.</t>
  </si>
  <si>
    <t>AMFPF</t>
  </si>
  <si>
    <t>American Well Corporation</t>
  </si>
  <si>
    <t>AMWL</t>
  </si>
  <si>
    <t>Aperam</t>
  </si>
  <si>
    <t>APEMY</t>
  </si>
  <si>
    <t>Agora, Inc. Sponsored ADR</t>
  </si>
  <si>
    <t>API</t>
  </si>
  <si>
    <t>Arvinas, Inc.</t>
  </si>
  <si>
    <t>ARVN</t>
  </si>
  <si>
    <t>Associated BancCorp</t>
  </si>
  <si>
    <t>ASB</t>
  </si>
  <si>
    <t>Auto Trader Group</t>
  </si>
  <si>
    <t>ATDRY</t>
  </si>
  <si>
    <t>Bed Bath &amp; Beyond Inc.</t>
  </si>
  <si>
    <t>BBBY</t>
  </si>
  <si>
    <t>Brookfield Business Partners L.P.</t>
  </si>
  <si>
    <t>BBU</t>
  </si>
  <si>
    <t>Beam Therapeutics Inc.</t>
  </si>
  <si>
    <t>BEAM</t>
  </si>
  <si>
    <t>KE Holdings Inc. Sponsored ADR</t>
  </si>
  <si>
    <t>BEKE</t>
  </si>
  <si>
    <t>BrownForman Corporation</t>
  </si>
  <si>
    <t>BF.B</t>
  </si>
  <si>
    <t>BigCommerce Holdings, Inc.</t>
  </si>
  <si>
    <t>BIGC</t>
  </si>
  <si>
    <t>The Bank of New York Mellon Corporation</t>
  </si>
  <si>
    <t>BK</t>
  </si>
  <si>
    <t>Vontier Corporation</t>
  </si>
  <si>
    <t>VNT</t>
  </si>
  <si>
    <t>Vroom, Inc.</t>
  </si>
  <si>
    <t>VRM</t>
  </si>
  <si>
    <t>Vertiv Holdings Co.</t>
  </si>
  <si>
    <t>VRT</t>
  </si>
  <si>
    <t>WEIR GROUP PLC</t>
  </si>
  <si>
    <t>WEGRY</t>
  </si>
  <si>
    <t>ContextLogic Inc.</t>
  </si>
  <si>
    <t>WISH</t>
  </si>
  <si>
    <t>Wipro Limited</t>
  </si>
  <si>
    <t>WIT</t>
  </si>
  <si>
    <t>XPeng Inc. Sponsored ADR</t>
  </si>
  <si>
    <t>XPEV</t>
  </si>
  <si>
    <t>Yatsen Holding Limited Sponsored ADR</t>
  </si>
  <si>
    <t>YSG</t>
  </si>
  <si>
    <t>Yue Yuen Industrial Ltd.</t>
  </si>
  <si>
    <t>YUEIY</t>
  </si>
  <si>
    <t>ZoomInfo Technologies Inc.</t>
  </si>
  <si>
    <t>ZI</t>
  </si>
  <si>
    <t>ASE Technology Holding Co., Ltd.</t>
  </si>
  <si>
    <t>ASX</t>
  </si>
  <si>
    <t>Atlas Copco AB</t>
  </si>
  <si>
    <t>ATLKY</t>
  </si>
  <si>
    <t>Balchem Corporation</t>
  </si>
  <si>
    <t>BCPC</t>
  </si>
  <si>
    <t>Brookfield Infrastructure Partners LP</t>
  </si>
  <si>
    <t>BIP</t>
  </si>
  <si>
    <t>Brookfield Infrastructure Corporation</t>
  </si>
  <si>
    <t>BIPC</t>
  </si>
  <si>
    <t>Vishay Intertechnology, Inc.</t>
  </si>
  <si>
    <t>VSH</t>
  </si>
  <si>
    <t>Vestas Wind Systems AS</t>
  </si>
  <si>
    <t>VWDRY</t>
  </si>
  <si>
    <t>Wolters Kluwer NV</t>
  </si>
  <si>
    <t>WTKWY</t>
  </si>
  <si>
    <t>Weyerhaeuser Company</t>
  </si>
  <si>
    <t>WY</t>
  </si>
  <si>
    <t>Abcam PLC Sponsored ADR</t>
  </si>
  <si>
    <t>ABCM</t>
  </si>
  <si>
    <t>Albertsons Companies, Inc.</t>
  </si>
  <si>
    <t>ACI</t>
  </si>
  <si>
    <t>Financial - Investment Funds</t>
  </si>
  <si>
    <t>Allegro MicroSystems, Inc.</t>
  </si>
  <si>
    <t>ALGM</t>
  </si>
  <si>
    <t>Manufacturing - Tools &amp; Related Products</t>
  </si>
  <si>
    <t>Electronics - Miscellaneous Products</t>
  </si>
  <si>
    <t>Asana, Inc.</t>
  </si>
  <si>
    <t>ASAN</t>
  </si>
  <si>
    <t xml:space="preserve">Semiconductor - Communications </t>
  </si>
  <si>
    <t>Building Products - Heavy Construction</t>
  </si>
  <si>
    <t>Commercial Printing</t>
  </si>
  <si>
    <t>Electronics - Manufacturing Machinery</t>
  </si>
  <si>
    <t>Baker Hughes Company</t>
  </si>
  <si>
    <t>BKR</t>
  </si>
  <si>
    <t>Oil and Gas - Field Services</t>
  </si>
  <si>
    <t>BankUnited, Inc.</t>
  </si>
  <si>
    <t>BKU</t>
  </si>
  <si>
    <t>BlackLine, Inc.</t>
  </si>
  <si>
    <t>BL</t>
  </si>
  <si>
    <t>TopBuild Corp.</t>
  </si>
  <si>
    <t>BLD</t>
  </si>
  <si>
    <t>Ballard Power Systems, Inc.</t>
  </si>
  <si>
    <t>BLDP</t>
  </si>
  <si>
    <t>Builders FirstSource, Inc.</t>
  </si>
  <si>
    <t>BLDR</t>
  </si>
  <si>
    <t>Building Products - Retail</t>
  </si>
  <si>
    <t>Berkeley Lights, Inc.</t>
  </si>
  <si>
    <t>BLI</t>
  </si>
  <si>
    <t>BlackRock, Inc.</t>
  </si>
  <si>
    <t>BLK</t>
  </si>
  <si>
    <t>Blackbaud, Inc.</t>
  </si>
  <si>
    <t>BLKB</t>
  </si>
  <si>
    <t>Ball Corporation</t>
  </si>
  <si>
    <t>BLL</t>
  </si>
  <si>
    <t>Containers - Metal and Glass</t>
  </si>
  <si>
    <t>BELLWAY</t>
  </si>
  <si>
    <t>BLWYY</t>
  </si>
  <si>
    <t>Bank Of Montreal</t>
  </si>
  <si>
    <t>BMO</t>
  </si>
  <si>
    <t>BioMarin Pharmaceutical Inc.</t>
  </si>
  <si>
    <t>BMRN</t>
  </si>
  <si>
    <t>B&amp;M European Value Retail SA Unsponsored ADR</t>
  </si>
  <si>
    <t>BMRRY</t>
  </si>
  <si>
    <t>Consumer Products - Discretionary</t>
  </si>
  <si>
    <t>BIOMERIEUX</t>
  </si>
  <si>
    <t>BMXMF</t>
  </si>
  <si>
    <t>Bristol Myers Squibb Company</t>
  </si>
  <si>
    <t>BMY</t>
  </si>
  <si>
    <t>BNP Paribas SA</t>
  </si>
  <si>
    <t>BNPQY</t>
  </si>
  <si>
    <t>Burning Rock Biotech Limited Sponsored ADR</t>
  </si>
  <si>
    <t>BNR</t>
  </si>
  <si>
    <t>Bank of Nova Scotia The</t>
  </si>
  <si>
    <t>BNS</t>
  </si>
  <si>
    <t>Brenntag AG</t>
  </si>
  <si>
    <t>BNTGY</t>
  </si>
  <si>
    <t>BioNTech SE Sponsored ADR</t>
  </si>
  <si>
    <t>BNTX</t>
  </si>
  <si>
    <t>Bank of Hawaii Corporation</t>
  </si>
  <si>
    <t>BOH</t>
  </si>
  <si>
    <t>BOK Financial Corporation</t>
  </si>
  <si>
    <t>BOKF</t>
  </si>
  <si>
    <t>Banks - Southwest</t>
  </si>
  <si>
    <t>BP p.l.c.</t>
  </si>
  <si>
    <t>BP</t>
  </si>
  <si>
    <t>Blueprint Medicines Corporation</t>
  </si>
  <si>
    <t>BPMC</t>
  </si>
  <si>
    <t>Popular, Inc.</t>
  </si>
  <si>
    <t>BPOP</t>
  </si>
  <si>
    <t>Broadridge Financial Solutions, Inc.</t>
  </si>
  <si>
    <t>BR</t>
  </si>
  <si>
    <t>Bridgestone Corp.</t>
  </si>
  <si>
    <t>BRDCY</t>
  </si>
  <si>
    <t>Rubber - Tires</t>
  </si>
  <si>
    <t>BRF S.A.</t>
  </si>
  <si>
    <t>BRFS</t>
  </si>
  <si>
    <t>Berkshire Hathaway Inc.</t>
  </si>
  <si>
    <t>BRK.B</t>
  </si>
  <si>
    <t>Bruker Corporation</t>
  </si>
  <si>
    <t>BRKR</t>
  </si>
  <si>
    <t>Brooks Automation, Inc.</t>
  </si>
  <si>
    <t>BRKS</t>
  </si>
  <si>
    <t>Brown &amp; Brown, Inc.</t>
  </si>
  <si>
    <t>BRO</t>
  </si>
  <si>
    <t>Brother Industries Ltd.</t>
  </si>
  <si>
    <t>BRTHY</t>
  </si>
  <si>
    <t>Brixmor Property Group Inc.</t>
  </si>
  <si>
    <t>BRX</t>
  </si>
  <si>
    <t>Banco Santander Brasil SA</t>
  </si>
  <si>
    <t>BSBR</t>
  </si>
  <si>
    <t>Grupo Financiero Santander Mexico S.A. B. de C.V.</t>
  </si>
  <si>
    <t>BSMX</t>
  </si>
  <si>
    <t>Boston Scientific Corporation</t>
  </si>
  <si>
    <t>BSX</t>
  </si>
  <si>
    <t>Bentley Systems, Incorporated</t>
  </si>
  <si>
    <t>BSY</t>
  </si>
  <si>
    <t>Barratt Developments PLC Unsponsored ADR</t>
  </si>
  <si>
    <t>BTDPY</t>
  </si>
  <si>
    <t>B2Gold Corp</t>
  </si>
  <si>
    <t>BTG</t>
  </si>
  <si>
    <t>AMEX</t>
  </si>
  <si>
    <t>British American Tobacco p.l.c.</t>
  </si>
  <si>
    <t>BTI</t>
  </si>
  <si>
    <t>Tobacco</t>
  </si>
  <si>
    <t>British Land Company PLC Sponsored ADR</t>
  </si>
  <si>
    <t>BTLCY</t>
  </si>
  <si>
    <t>AnheuserBusch InBev SANV</t>
  </si>
  <si>
    <t>BUD</t>
  </si>
  <si>
    <t>Burberry Group PLC</t>
  </si>
  <si>
    <t>BURBY</t>
  </si>
  <si>
    <t>Burlington Stores, Inc.</t>
  </si>
  <si>
    <t>BURL</t>
  </si>
  <si>
    <t>Retail - Discount Stores</t>
  </si>
  <si>
    <t>Bureau Veritas Registre International De Classification</t>
  </si>
  <si>
    <t>BVRDF</t>
  </si>
  <si>
    <t>BorgWarner Inc.</t>
  </si>
  <si>
    <t>BWA</t>
  </si>
  <si>
    <t>BWX Technologies, Inc.</t>
  </si>
  <si>
    <t>BWXT</t>
  </si>
  <si>
    <t>Blackstone Group IncThe</t>
  </si>
  <si>
    <t>BX</t>
  </si>
  <si>
    <t>Brambles Ltd.</t>
  </si>
  <si>
    <t>BXBLY</t>
  </si>
  <si>
    <t>Blackstone Mortgage Trust, Inc.</t>
  </si>
  <si>
    <t>BXMT</t>
  </si>
  <si>
    <t>Boston Properties, Inc.</t>
  </si>
  <si>
    <t>BXP</t>
  </si>
  <si>
    <t>BancorpSouth Bank</t>
  </si>
  <si>
    <t>BXS</t>
  </si>
  <si>
    <t>Boyd Gaming Corporation</t>
  </si>
  <si>
    <t>BYD</t>
  </si>
  <si>
    <t>Byd Co., Ltd.</t>
  </si>
  <si>
    <t>BYDDY</t>
  </si>
  <si>
    <t>Auction and Valuation Services</t>
  </si>
  <si>
    <t>Beyond Meat, Inc.</t>
  </si>
  <si>
    <t>BYND</t>
  </si>
  <si>
    <t>Food - Meat Products</t>
  </si>
  <si>
    <t>Bunzl PLC</t>
  </si>
  <si>
    <t>BZLFY</t>
  </si>
  <si>
    <t>Conglomerates</t>
  </si>
  <si>
    <t>Diversified Operations</t>
  </si>
  <si>
    <t>BUZZI UNICEM</t>
  </si>
  <si>
    <t>BZZUF</t>
  </si>
  <si>
    <t>Citigroup Inc.</t>
  </si>
  <si>
    <t>C</t>
  </si>
  <si>
    <t>Carlsberg AS</t>
  </si>
  <si>
    <t>CABGY</t>
  </si>
  <si>
    <t>Cable One, Inc.</t>
  </si>
  <si>
    <t>CABO</t>
  </si>
  <si>
    <t>Cable Television</t>
  </si>
  <si>
    <t>Credit Acceptance Corporation</t>
  </si>
  <si>
    <t>CACC</t>
  </si>
  <si>
    <t>CACI International, Inc.</t>
  </si>
  <si>
    <t>CACI</t>
  </si>
  <si>
    <t>Computer - Services</t>
  </si>
  <si>
    <t>CAE Inc</t>
  </si>
  <si>
    <t>CAE</t>
  </si>
  <si>
    <t>CAG</t>
  </si>
  <si>
    <t>Cardinal Health, Inc.</t>
  </si>
  <si>
    <t>CAH</t>
  </si>
  <si>
    <t>Canon, Inc.</t>
  </si>
  <si>
    <t>CAJ</t>
  </si>
  <si>
    <t>Office Automation and Equipment</t>
  </si>
  <si>
    <t>Automotive - Replacement Parts</t>
  </si>
  <si>
    <t>Carrier Global Corporation</t>
  </si>
  <si>
    <t>CARR</t>
  </si>
  <si>
    <t>Caseys General Stores, Inc.</t>
  </si>
  <si>
    <t>CASY</t>
  </si>
  <si>
    <t>Retail - Convenience Stores</t>
  </si>
  <si>
    <t>Caterpillar Inc.</t>
  </si>
  <si>
    <t>CAT</t>
  </si>
  <si>
    <t>Manufacturing - Construction and Mining</t>
  </si>
  <si>
    <t>Chubb Limited</t>
  </si>
  <si>
    <t>CB</t>
  </si>
  <si>
    <t>Cboe Global Markets, Inc.</t>
  </si>
  <si>
    <t>CBOE</t>
  </si>
  <si>
    <t>Securities and Exchanges</t>
  </si>
  <si>
    <t>CBRE Group, Inc.</t>
  </si>
  <si>
    <t>CBRE</t>
  </si>
  <si>
    <t>Cracker Barrel Old Country Store, Inc.</t>
  </si>
  <si>
    <t>CBRL</t>
  </si>
  <si>
    <t>Commerce Bancshares, Inc.</t>
  </si>
  <si>
    <t>CBSH</t>
  </si>
  <si>
    <t>Community Bank System, Inc.</t>
  </si>
  <si>
    <t>CBU</t>
  </si>
  <si>
    <t>The Chemours Company</t>
  </si>
  <si>
    <t>CC</t>
  </si>
  <si>
    <t>CCEP</t>
  </si>
  <si>
    <t>Beverages - Soft drinks</t>
  </si>
  <si>
    <t>COCACOLA HBC</t>
  </si>
  <si>
    <t>CCHGY</t>
  </si>
  <si>
    <t>Crown Castle International Corporation</t>
  </si>
  <si>
    <t>CCI</t>
  </si>
  <si>
    <t>Cameco Corporation</t>
  </si>
  <si>
    <t>CCJ</t>
  </si>
  <si>
    <t>Crown Holdings, Inc.</t>
  </si>
  <si>
    <t>CCK</t>
  </si>
  <si>
    <t>Carnival Corporation</t>
  </si>
  <si>
    <t>CCL</t>
  </si>
  <si>
    <t>Leisure and Recreation Services</t>
  </si>
  <si>
    <t>CMC Materials, Inc.</t>
  </si>
  <si>
    <t>CCMP</t>
  </si>
  <si>
    <t>Capcom Co., Ltd.</t>
  </si>
  <si>
    <t>CCOEY</t>
  </si>
  <si>
    <t>Compania Cervecerias Unidas, S.A.</t>
  </si>
  <si>
    <t>CCU</t>
  </si>
  <si>
    <t>Chindata Group Holdings Limited Sponsored ADR</t>
  </si>
  <si>
    <t>CD</t>
  </si>
  <si>
    <t>Ceridian HCM Holding Inc.</t>
  </si>
  <si>
    <t>CDAY</t>
  </si>
  <si>
    <t>City Developments Ltd.</t>
  </si>
  <si>
    <t>CDEVY</t>
  </si>
  <si>
    <t>CDK Global, Inc.</t>
  </si>
  <si>
    <t>CDK</t>
  </si>
  <si>
    <t>Cardlytics, Inc.</t>
  </si>
  <si>
    <t>CDLX</t>
  </si>
  <si>
    <t>CareDx, Inc.</t>
  </si>
  <si>
    <t>CDNA</t>
  </si>
  <si>
    <t>Cadence Design Systems, Inc.</t>
  </si>
  <si>
    <t>CDNS</t>
  </si>
  <si>
    <t>CDW Corporation</t>
  </si>
  <si>
    <t>CDW</t>
  </si>
  <si>
    <t>Celanese Corporation</t>
  </si>
  <si>
    <t>CE</t>
  </si>
  <si>
    <t>China Eastern Airlines Corporation Ltd.</t>
  </si>
  <si>
    <t>CEA</t>
  </si>
  <si>
    <t>Celsius Holdings Inc.</t>
  </si>
  <si>
    <t>CELH</t>
  </si>
  <si>
    <t>Oil and Gas - Integrated - Emerging Markets</t>
  </si>
  <si>
    <t>Cerner Corporation</t>
  </si>
  <si>
    <t>CERN</t>
  </si>
  <si>
    <t>Certara, Inc.</t>
  </si>
  <si>
    <t>CERT</t>
  </si>
  <si>
    <t>CF Industries Holdings, Inc.</t>
  </si>
  <si>
    <t>CF</t>
  </si>
  <si>
    <t>Citizens Financial Group, Inc.</t>
  </si>
  <si>
    <t>CFG</t>
  </si>
  <si>
    <t>Financial - Savings and Loan</t>
  </si>
  <si>
    <t>CullenFrost Bankers, Inc.</t>
  </si>
  <si>
    <t>CFR</t>
  </si>
  <si>
    <t>Colfax Corporation</t>
  </si>
  <si>
    <t>CG</t>
  </si>
  <si>
    <t>Canopy Growth Corporation</t>
  </si>
  <si>
    <t>CGC</t>
  </si>
  <si>
    <t>Cognex Corporation</t>
  </si>
  <si>
    <t>CGNX</t>
  </si>
  <si>
    <t>Wireline Non-US</t>
  </si>
  <si>
    <t>Church &amp; Dwight Co., Inc.</t>
  </si>
  <si>
    <t>CHD</t>
  </si>
  <si>
    <t>Soap and Cleaning Materials</t>
  </si>
  <si>
    <t>Churchill Downs, Incorporated</t>
  </si>
  <si>
    <t>CHDN</t>
  </si>
  <si>
    <t>Chemed Corporation</t>
  </si>
  <si>
    <t>CHE</t>
  </si>
  <si>
    <t>CHINA EVERBRIHT</t>
  </si>
  <si>
    <t>CHFFF</t>
  </si>
  <si>
    <t>Chegg, Inc.</t>
  </si>
  <si>
    <t>CHGG</t>
  </si>
  <si>
    <t>Choice Hotels International, Inc.</t>
  </si>
  <si>
    <t>CHH</t>
  </si>
  <si>
    <t>Check Point Software Technologies Ltd.</t>
  </si>
  <si>
    <t>CHKP</t>
  </si>
  <si>
    <t>Change Healthcare Inc.</t>
  </si>
  <si>
    <t>CHNG</t>
  </si>
  <si>
    <t>C.H. Robinson Worldwide, Inc.</t>
  </si>
  <si>
    <t>CHRW</t>
  </si>
  <si>
    <t>Charter Communications, Inc.</t>
  </si>
  <si>
    <t>CHTR</t>
  </si>
  <si>
    <t>CHWY</t>
  </si>
  <si>
    <t>CHX</t>
  </si>
  <si>
    <t>Cigna Corporation</t>
  </si>
  <si>
    <t>CI</t>
  </si>
  <si>
    <t>Food - Dairy Products</t>
  </si>
  <si>
    <t>Ciena Corporation</t>
  </si>
  <si>
    <t>CIEN</t>
  </si>
  <si>
    <t>Fiber Optics</t>
  </si>
  <si>
    <t>Colliers International Group Inc.</t>
  </si>
  <si>
    <t>CIGI</t>
  </si>
  <si>
    <t>CIT Group Inc.</t>
  </si>
  <si>
    <t>CIT</t>
  </si>
  <si>
    <t>CHOW TAI FOOK</t>
  </si>
  <si>
    <t>CJEWY</t>
  </si>
  <si>
    <t>Retail - Jewelry</t>
  </si>
  <si>
    <t>Central Japan Railway Co.</t>
  </si>
  <si>
    <t>CJPRY</t>
  </si>
  <si>
    <t>ColgatePalmolive Company</t>
  </si>
  <si>
    <t>CL</t>
  </si>
  <si>
    <t>Cloudera, Inc.</t>
  </si>
  <si>
    <t>CLDR</t>
  </si>
  <si>
    <t>ClevelandCliffs Inc.</t>
  </si>
  <si>
    <t>CLF</t>
  </si>
  <si>
    <t>Clean Harbors, Inc.</t>
  </si>
  <si>
    <t>CLH</t>
  </si>
  <si>
    <t>Continental Resources, Inc.</t>
  </si>
  <si>
    <t>CLR</t>
  </si>
  <si>
    <t>The Clorox Company</t>
  </si>
  <si>
    <t>CLX</t>
  </si>
  <si>
    <t>Canadian Imperial Bank of Commerce</t>
  </si>
  <si>
    <t>CM</t>
  </si>
  <si>
    <t>Comerica Incorporated</t>
  </si>
  <si>
    <t>CMA</t>
  </si>
  <si>
    <t>Comcast Corporation</t>
  </si>
  <si>
    <t>CMCSA</t>
  </si>
  <si>
    <t>CME Group Inc.</t>
  </si>
  <si>
    <t>CME</t>
  </si>
  <si>
    <t>Chipotle Mexican Grill, Inc.</t>
  </si>
  <si>
    <t>CMG</t>
  </si>
  <si>
    <t>Cummins Inc.</t>
  </si>
  <si>
    <t>CMI</t>
  </si>
  <si>
    <t>Compass Group PLC</t>
  </si>
  <si>
    <t>CMPGY</t>
  </si>
  <si>
    <t>CMS Energy Corporation</t>
  </si>
  <si>
    <t>CMS</t>
  </si>
  <si>
    <t>Commonwealth Bank of Australia Sponsored ADR</t>
  </si>
  <si>
    <t>CMWAY</t>
  </si>
  <si>
    <t>CNA Financial Corporation</t>
  </si>
  <si>
    <t>CNA</t>
  </si>
  <si>
    <t>Centene Corporation</t>
  </si>
  <si>
    <t>CNC</t>
  </si>
  <si>
    <t>CNH Industrial N.V.</t>
  </si>
  <si>
    <t>CNHI</t>
  </si>
  <si>
    <t>Canadian National Railway Company</t>
  </si>
  <si>
    <t>CNI</t>
  </si>
  <si>
    <t>CONMED Corporation</t>
  </si>
  <si>
    <t>CNMD</t>
  </si>
  <si>
    <t>Fidelity National Financial, Inc.</t>
  </si>
  <si>
    <t>CNNE</t>
  </si>
  <si>
    <t>CNO Financial Group, Inc.</t>
  </si>
  <si>
    <t>CNO</t>
  </si>
  <si>
    <t>CenterPoint Energy, Inc.</t>
  </si>
  <si>
    <t>CNP</t>
  </si>
  <si>
    <t>Canadian Natural Resources Limited</t>
  </si>
  <si>
    <t>CNQ</t>
  </si>
  <si>
    <t>Oil and Gas - Exploration and Production - Canadian</t>
  </si>
  <si>
    <t>Cohen &amp; Steers Inc</t>
  </si>
  <si>
    <t>CNS</t>
  </si>
  <si>
    <t>CNX Resources Corporation.</t>
  </si>
  <si>
    <t>CNX</t>
  </si>
  <si>
    <t>Concentrix Corporation</t>
  </si>
  <si>
    <t>CNXC</t>
  </si>
  <si>
    <t>Capital One Financial Corporation</t>
  </si>
  <si>
    <t>COF</t>
  </si>
  <si>
    <t>Cabot Oil &amp; Gas Corporation</t>
  </si>
  <si>
    <t>COG</t>
  </si>
  <si>
    <t>Coherent, Inc.</t>
  </si>
  <si>
    <t>COHR</t>
  </si>
  <si>
    <t>Semiconductor Equipment - Wafer Components</t>
  </si>
  <si>
    <t>Croda International PLC Unsponsored ADR</t>
  </si>
  <si>
    <t>COIHY</t>
  </si>
  <si>
    <t>Americold Realty Trust</t>
  </si>
  <si>
    <t>COLD</t>
  </si>
  <si>
    <t>Columbia Sportswear Company</t>
  </si>
  <si>
    <t>COLM</t>
  </si>
  <si>
    <t>Textile - Apparel</t>
  </si>
  <si>
    <t>CyrusOne Inc</t>
  </si>
  <si>
    <t>CONE</t>
  </si>
  <si>
    <t>The Cooper Companies, Inc.</t>
  </si>
  <si>
    <t>COO</t>
  </si>
  <si>
    <t>ConocoPhillips</t>
  </si>
  <si>
    <t>COP</t>
  </si>
  <si>
    <t>CoreSite Realty Corporation</t>
  </si>
  <si>
    <t>COR</t>
  </si>
  <si>
    <t>Costco Wholesale Corporation</t>
  </si>
  <si>
    <t>COST</t>
  </si>
  <si>
    <t>Coty Inc.</t>
  </si>
  <si>
    <t>COTY</t>
  </si>
  <si>
    <t>Cosmetics</t>
  </si>
  <si>
    <t>Coupa Software, Inc.</t>
  </si>
  <si>
    <t>COUP</t>
  </si>
  <si>
    <t>Covestro AG Sponsored ADR</t>
  </si>
  <si>
    <t>COVTY</t>
  </si>
  <si>
    <t>Canadian Pacific Railway Limited</t>
  </si>
  <si>
    <t>CP</t>
  </si>
  <si>
    <t>Campbell Soup Company</t>
  </si>
  <si>
    <t>CPB</t>
  </si>
  <si>
    <t>Cathay Pacific Airways Ltd.</t>
  </si>
  <si>
    <t>CPCAY</t>
  </si>
  <si>
    <t>Capri Holdings Limited</t>
  </si>
  <si>
    <t>CPRI</t>
  </si>
  <si>
    <t>Copart, Inc.</t>
  </si>
  <si>
    <t>CPRT</t>
  </si>
  <si>
    <t>Camden Property Trust</t>
  </si>
  <si>
    <t>CPT</t>
  </si>
  <si>
    <t>Centrica PLC</t>
  </si>
  <si>
    <t>CPYYY</t>
  </si>
  <si>
    <t>Cheniere Energy Partners, LP</t>
  </si>
  <si>
    <t>CQP</t>
  </si>
  <si>
    <t>Crane Co.</t>
  </si>
  <si>
    <t>CR</t>
  </si>
  <si>
    <t>Credit Agricole SA</t>
  </si>
  <si>
    <t>CRARY</t>
  </si>
  <si>
    <t>Cree, Inc.</t>
  </si>
  <si>
    <t>CREE</t>
  </si>
  <si>
    <t>CRH PLC</t>
  </si>
  <si>
    <t>CRH</t>
  </si>
  <si>
    <t>Carters, Inc.</t>
  </si>
  <si>
    <t>CRI</t>
  </si>
  <si>
    <t>Charles River Laboratories International, Inc.</t>
  </si>
  <si>
    <t>CRL</t>
  </si>
  <si>
    <t>salesforce.com, inc.</t>
  </si>
  <si>
    <t>CRM</t>
  </si>
  <si>
    <t>Cerence Inc.</t>
  </si>
  <si>
    <t>CRNC</t>
  </si>
  <si>
    <t>Cronos Group Inc.</t>
  </si>
  <si>
    <t>CRON</t>
  </si>
  <si>
    <t>Crocs, Inc.</t>
  </si>
  <si>
    <t>CROX</t>
  </si>
  <si>
    <t>China Resources Power Holdings Co.</t>
  </si>
  <si>
    <t>CRPJY</t>
  </si>
  <si>
    <t>Carrefour SA</t>
  </si>
  <si>
    <t>CRRFY</t>
  </si>
  <si>
    <t>CRISPR Therapeutics AG</t>
  </si>
  <si>
    <t>CRSP</t>
  </si>
  <si>
    <t>Cirrus Logic, Inc.</t>
  </si>
  <si>
    <t>CRUS</t>
  </si>
  <si>
    <t>CRWD</t>
  </si>
  <si>
    <t>Commerzbank AG</t>
  </si>
  <si>
    <t>CRZBY</t>
  </si>
  <si>
    <t>Credit Suisse Group</t>
  </si>
  <si>
    <t>CS</t>
  </si>
  <si>
    <t>Cisco Systems, Inc.</t>
  </si>
  <si>
    <t>CSCO</t>
  </si>
  <si>
    <t>Computer - Networking</t>
  </si>
  <si>
    <t>CoStar Group, Inc.</t>
  </si>
  <si>
    <t>CSGP</t>
  </si>
  <si>
    <t>Carlisle Companies Incorporated</t>
  </si>
  <si>
    <t>CSL</t>
  </si>
  <si>
    <t>CSL Limited Sponsored ADR</t>
  </si>
  <si>
    <t>CSLLY</t>
  </si>
  <si>
    <t>CSX Corporation</t>
  </si>
  <si>
    <t>CSX</t>
  </si>
  <si>
    <t>Cintas Corporation</t>
  </si>
  <si>
    <t>CTAS</t>
  </si>
  <si>
    <t>Uniform and Related</t>
  </si>
  <si>
    <t>Catalent, Inc.</t>
  </si>
  <si>
    <t>CTLT</t>
  </si>
  <si>
    <t>Country Garden Holdings Co.</t>
  </si>
  <si>
    <t>CTRYY</t>
  </si>
  <si>
    <t>Cognizant Technology Solutions Corporation</t>
  </si>
  <si>
    <t>CTSH</t>
  </si>
  <si>
    <t>Continental AG</t>
  </si>
  <si>
    <t>CTTAY</t>
  </si>
  <si>
    <t>Corteva, Inc.</t>
  </si>
  <si>
    <t>CTVA</t>
  </si>
  <si>
    <t>Citrix Systems, Inc.</t>
  </si>
  <si>
    <t>CTXS</t>
  </si>
  <si>
    <t>CubeSmart</t>
  </si>
  <si>
    <t>CUBE</t>
  </si>
  <si>
    <t>Cousins Properties Incorporated</t>
  </si>
  <si>
    <t>CUZ</t>
  </si>
  <si>
    <t>CureVac N.V.</t>
  </si>
  <si>
    <t>CVAC</t>
  </si>
  <si>
    <t>Cenovus Energy Inc</t>
  </si>
  <si>
    <t>CVE</t>
  </si>
  <si>
    <t>Oil and Gas - Integrated - Canadian</t>
  </si>
  <si>
    <t>Covetrus, Inc.</t>
  </si>
  <si>
    <t>CVET</t>
  </si>
  <si>
    <t>Carvana Co.</t>
  </si>
  <si>
    <t>CVNA</t>
  </si>
  <si>
    <t>CVS Health Corporation</t>
  </si>
  <si>
    <t>CVS</t>
  </si>
  <si>
    <t>Chevron Corporation</t>
  </si>
  <si>
    <t>CVX</t>
  </si>
  <si>
    <t>CurtissWright Corporation</t>
  </si>
  <si>
    <t>CW</t>
  </si>
  <si>
    <t>Clearway Energy, Inc.</t>
  </si>
  <si>
    <t>CWEN</t>
  </si>
  <si>
    <t>Cushman &amp; Wakefield PLC</t>
  </si>
  <si>
    <t>CWK</t>
  </si>
  <si>
    <t>Cemex S.A.B. de C.V.</t>
  </si>
  <si>
    <t>CX</t>
  </si>
  <si>
    <t>CyberArk Software Ltd.</t>
  </si>
  <si>
    <t>CYBR</t>
  </si>
  <si>
    <t>CYBER AGENT INC</t>
  </si>
  <si>
    <t>CYGIY</t>
  </si>
  <si>
    <t>Caesars Entertainment, Inc.</t>
  </si>
  <si>
    <t>CZR</t>
  </si>
  <si>
    <t>Dominion Energy Inc.</t>
  </si>
  <si>
    <t>D</t>
  </si>
  <si>
    <t>Dada Nexus Limited Sponsored ADR</t>
  </si>
  <si>
    <t>DADA</t>
  </si>
  <si>
    <t>Delta Air Lines, Inc.</t>
  </si>
  <si>
    <t>DAL</t>
  </si>
  <si>
    <t>Danone</t>
  </si>
  <si>
    <t>DANOY</t>
  </si>
  <si>
    <t>Youdao, Inc. Unsponsored ADR</t>
  </si>
  <si>
    <t>DAO</t>
  </si>
  <si>
    <t>Darling Ingredients Inc.</t>
  </si>
  <si>
    <t>DAR</t>
  </si>
  <si>
    <t>DoorDash, Inc.</t>
  </si>
  <si>
    <t>DASH</t>
  </si>
  <si>
    <t>Dassault Systemes SA</t>
  </si>
  <si>
    <t>DASTY</t>
  </si>
  <si>
    <t>Endava PLC Sponsored ADR</t>
  </si>
  <si>
    <t>DAVA</t>
  </si>
  <si>
    <t>Deutsche Bank Aktiengesellschaft</t>
  </si>
  <si>
    <t>DB</t>
  </si>
  <si>
    <t>DBS Group Holdings Ltd</t>
  </si>
  <si>
    <t>DBSDY</t>
  </si>
  <si>
    <t>Dropbox, Inc.</t>
  </si>
  <si>
    <t>DBX</t>
  </si>
  <si>
    <t>DCC PLC SHS</t>
  </si>
  <si>
    <t>DCCPF</t>
  </si>
  <si>
    <t>Donaldson Company, Inc.</t>
  </si>
  <si>
    <t>DCI</t>
  </si>
  <si>
    <t>Pollution Control</t>
  </si>
  <si>
    <t>Duck Creek Technologies, Inc.</t>
  </si>
  <si>
    <t>DCT</t>
  </si>
  <si>
    <t>DuPont de Nemours, Inc.</t>
  </si>
  <si>
    <t>DD</t>
  </si>
  <si>
    <t>Daimler AG</t>
  </si>
  <si>
    <t>DDAIF</t>
  </si>
  <si>
    <t>3D Systems Corporation</t>
  </si>
  <si>
    <t>DDD</t>
  </si>
  <si>
    <t>Datadog, Inc.</t>
  </si>
  <si>
    <t>DDOG</t>
  </si>
  <si>
    <t>Deere &amp; Company</t>
  </si>
  <si>
    <t>DE</t>
  </si>
  <si>
    <t>Deckers Outdoor Corporation</t>
  </si>
  <si>
    <t>DECK</t>
  </si>
  <si>
    <t>Douglas Emmett, Inc.</t>
  </si>
  <si>
    <t>DEI</t>
  </si>
  <si>
    <t>Dell Technologies Inc.</t>
  </si>
  <si>
    <t>DELL</t>
  </si>
  <si>
    <t>Denbury Inc.</t>
  </si>
  <si>
    <t>DEN</t>
  </si>
  <si>
    <t>Diageo plc</t>
  </si>
  <si>
    <t>DEO</t>
  </si>
  <si>
    <t>Discover Financial Services</t>
  </si>
  <si>
    <t>DFS</t>
  </si>
  <si>
    <t>Dollar General Corporation</t>
  </si>
  <si>
    <t>DG</t>
  </si>
  <si>
    <t>Quest Diagnostics Incorporated</t>
  </si>
  <si>
    <t>DGX</t>
  </si>
  <si>
    <t>D.R. Horton, Inc.</t>
  </si>
  <si>
    <t>DHI</t>
  </si>
  <si>
    <t>Building Products - Home Builders</t>
  </si>
  <si>
    <t>Danaher Corporation</t>
  </si>
  <si>
    <t>DHR</t>
  </si>
  <si>
    <t>Diodes Incorporated</t>
  </si>
  <si>
    <t>DIOD</t>
  </si>
  <si>
    <t>The Walt Disney Company</t>
  </si>
  <si>
    <t>DIS</t>
  </si>
  <si>
    <t>Media Conglomerates</t>
  </si>
  <si>
    <t>Discovery, Inc.</t>
  </si>
  <si>
    <t>DISCA</t>
  </si>
  <si>
    <t>Broadcast Radio and Television</t>
  </si>
  <si>
    <t>DISH Network Corporation</t>
  </si>
  <si>
    <t>DISH</t>
  </si>
  <si>
    <t>D S SMITH PLC</t>
  </si>
  <si>
    <t>DITHF</t>
  </si>
  <si>
    <t>DAIKIN INDS LTD</t>
  </si>
  <si>
    <t>DKILY</t>
  </si>
  <si>
    <t>DraftKings Inc.</t>
  </si>
  <si>
    <t>DKNG</t>
  </si>
  <si>
    <t>DICKS Sporting Goods, Inc.</t>
  </si>
  <si>
    <t>DKS</t>
  </si>
  <si>
    <t>Deutsche Lufthansa AG</t>
  </si>
  <si>
    <t>DLAKY</t>
  </si>
  <si>
    <t>Dolby Laboratories</t>
  </si>
  <si>
    <t>DLB</t>
  </si>
  <si>
    <t>Audio Video Production</t>
  </si>
  <si>
    <t>DIALOG SEMICON</t>
  </si>
  <si>
    <t>DLGNF</t>
  </si>
  <si>
    <t>Digital Realty Trust, Inc.</t>
  </si>
  <si>
    <t>DLR</t>
  </si>
  <si>
    <t>Dollar Tree, Inc.</t>
  </si>
  <si>
    <t>DLTR</t>
  </si>
  <si>
    <t>Dun &amp; Bradstreet Holdings, Inc.</t>
  </si>
  <si>
    <t>DNB</t>
  </si>
  <si>
    <t>Dongfeng Motor Group Co.</t>
  </si>
  <si>
    <t>DNFGY</t>
  </si>
  <si>
    <t>DNB ASA</t>
  </si>
  <si>
    <t>DNHBY</t>
  </si>
  <si>
    <t>Denali Therapeutics Inc.</t>
  </si>
  <si>
    <t>DNLI</t>
  </si>
  <si>
    <t>DUNELM GP PLC</t>
  </si>
  <si>
    <t>DNLMY</t>
  </si>
  <si>
    <t>Textile - Home Furnishing</t>
  </si>
  <si>
    <t>Denso Corp.</t>
  </si>
  <si>
    <t>DNZOY</t>
  </si>
  <si>
    <t>Physicians Realty Trust</t>
  </si>
  <si>
    <t>DOC</t>
  </si>
  <si>
    <t>DocuSign Inc.</t>
  </si>
  <si>
    <t>DOCU</t>
  </si>
  <si>
    <t>BRP Inc.</t>
  </si>
  <si>
    <t>DOOO</t>
  </si>
  <si>
    <t>Dorman Products, Inc.</t>
  </si>
  <si>
    <t>DORM</t>
  </si>
  <si>
    <t>Dover Corporation</t>
  </si>
  <si>
    <t>Dow Inc.</t>
  </si>
  <si>
    <t>DOW</t>
  </si>
  <si>
    <t>Amdocs Limited</t>
  </si>
  <si>
    <t>DOX</t>
  </si>
  <si>
    <t>Deutsche Post AG</t>
  </si>
  <si>
    <t>DPSGY</t>
  </si>
  <si>
    <t>Dominos Pizza Inc</t>
  </si>
  <si>
    <t>DPZ</t>
  </si>
  <si>
    <t>DAQO New Energy Corp.</t>
  </si>
  <si>
    <t>DQ</t>
  </si>
  <si>
    <t>Duke Realty Corporation</t>
  </si>
  <si>
    <t>DRE</t>
  </si>
  <si>
    <t>Darden Restaurants, Inc.</t>
  </si>
  <si>
    <t>DRI</t>
  </si>
  <si>
    <t>DISCO CORP</t>
  </si>
  <si>
    <t>DSCSY</t>
  </si>
  <si>
    <t>Manufacturing - Material Handling</t>
  </si>
  <si>
    <t>DSV AS UNS ADR</t>
  </si>
  <si>
    <t>DSDVY</t>
  </si>
  <si>
    <t>The Descartes Systems Group Inc.</t>
  </si>
  <si>
    <t>DSGX</t>
  </si>
  <si>
    <t>Dynatrace, Inc.</t>
  </si>
  <si>
    <t>DT</t>
  </si>
  <si>
    <t>Deutsche Telekom AG</t>
  </si>
  <si>
    <t>DTEGY</t>
  </si>
  <si>
    <t>Duke Energy Corporation</t>
  </si>
  <si>
    <t>DUK</t>
  </si>
  <si>
    <t>DaVita Inc.</t>
  </si>
  <si>
    <t>DVA</t>
  </si>
  <si>
    <t>Devon Energy Corporation</t>
  </si>
  <si>
    <t>DVN</t>
  </si>
  <si>
    <t>Derwent London Plc</t>
  </si>
  <si>
    <t>DWVYF</t>
  </si>
  <si>
    <t>DXC Technology Company.</t>
  </si>
  <si>
    <t>DXC</t>
  </si>
  <si>
    <t>DexCom, Inc.</t>
  </si>
  <si>
    <t>DXCM</t>
  </si>
  <si>
    <t>Electronic Arts Inc.</t>
  </si>
  <si>
    <t>EA</t>
  </si>
  <si>
    <t>Airbus Group</t>
  </si>
  <si>
    <t>EADSY</t>
  </si>
  <si>
    <t>eBay Inc.</t>
  </si>
  <si>
    <t>EBAY</t>
  </si>
  <si>
    <t>Eastern Bankshares, Inc.</t>
  </si>
  <si>
    <t>EBC</t>
  </si>
  <si>
    <t>Erste Group Bank AG</t>
  </si>
  <si>
    <t>EBKDY</t>
  </si>
  <si>
    <t>Emergent Biosolutions Inc.</t>
  </si>
  <si>
    <t>EBS</t>
  </si>
  <si>
    <t>Ecopetrol S.A.</t>
  </si>
  <si>
    <t>EC</t>
  </si>
  <si>
    <t>Ecolab Inc.</t>
  </si>
  <si>
    <t>ECL</t>
  </si>
  <si>
    <t>Consolidated Edison Inc</t>
  </si>
  <si>
    <t>ED</t>
  </si>
  <si>
    <t>Energias de Portugal</t>
  </si>
  <si>
    <t>EDPFY</t>
  </si>
  <si>
    <t>New Oriental Education &amp; Technology Group, Inc.</t>
  </si>
  <si>
    <t>EDU</t>
  </si>
  <si>
    <t>Equifax, Inc.</t>
  </si>
  <si>
    <t>EFX</t>
  </si>
  <si>
    <t>EastGroup Properties, Inc.</t>
  </si>
  <si>
    <t>EGP</t>
  </si>
  <si>
    <t>Encompass Health Corporation</t>
  </si>
  <si>
    <t>EHC</t>
  </si>
  <si>
    <t>Edison International</t>
  </si>
  <si>
    <t>EIX</t>
  </si>
  <si>
    <t>The Estee Lauder Companies Inc.</t>
  </si>
  <si>
    <t>EL</t>
  </si>
  <si>
    <t>Elanco Animal Health Incorporated</t>
  </si>
  <si>
    <t>ELAN</t>
  </si>
  <si>
    <t>Equity Lifestyle Properties, Inc.</t>
  </si>
  <si>
    <t>ELS</t>
  </si>
  <si>
    <t>Electrolux AB</t>
  </si>
  <si>
    <t>ELUXY</t>
  </si>
  <si>
    <t>EMCOR Group, Inc.</t>
  </si>
  <si>
    <t>EME</t>
  </si>
  <si>
    <t>Eastman Chemical Company</t>
  </si>
  <si>
    <t>EMN</t>
  </si>
  <si>
    <t>Emerson Electric Co.</t>
  </si>
  <si>
    <t>EMR</t>
  </si>
  <si>
    <t>Enbridge Inc</t>
  </si>
  <si>
    <t>ENB</t>
  </si>
  <si>
    <t>Enphase Energy, Inc.</t>
  </si>
  <si>
    <t>ENPH</t>
  </si>
  <si>
    <t>Enersys</t>
  </si>
  <si>
    <t>ENS</t>
  </si>
  <si>
    <t>The Ensign Group, Inc.</t>
  </si>
  <si>
    <t>ENSG</t>
  </si>
  <si>
    <t>Medical - Nursing Homes</t>
  </si>
  <si>
    <t>Entegris, Inc.</t>
  </si>
  <si>
    <t>ENTG</t>
  </si>
  <si>
    <t>Envestnet, Inc</t>
  </si>
  <si>
    <t>ENV</t>
  </si>
  <si>
    <t>EOG Resources, Inc.</t>
  </si>
  <si>
    <t>EOG</t>
  </si>
  <si>
    <t>E.ON SE</t>
  </si>
  <si>
    <t>EONGY</t>
  </si>
  <si>
    <t>EPAM Systems, Inc.</t>
  </si>
  <si>
    <t>EPAM</t>
  </si>
  <si>
    <t>Enterprise Products Partners L.P.</t>
  </si>
  <si>
    <t>EPD</t>
  </si>
  <si>
    <t>Oil and Gas - Production Pipeline - MLB</t>
  </si>
  <si>
    <t>Equity Commonwealth</t>
  </si>
  <si>
    <t>EQC</t>
  </si>
  <si>
    <t>Equitable Holdings, Inc.</t>
  </si>
  <si>
    <t>EQH</t>
  </si>
  <si>
    <t>Equinix, Inc.</t>
  </si>
  <si>
    <t>EQIX</t>
  </si>
  <si>
    <t>Equity Residential</t>
  </si>
  <si>
    <t>EQR</t>
  </si>
  <si>
    <t>EQT Corporation</t>
  </si>
  <si>
    <t>EQT</t>
  </si>
  <si>
    <t>EUROFINS SCIENT</t>
  </si>
  <si>
    <t>ERFSF</t>
  </si>
  <si>
    <t>Ericsson</t>
  </si>
  <si>
    <t>ERIC</t>
  </si>
  <si>
    <t>Wireless Equipment</t>
  </si>
  <si>
    <t>Erie Indemnity Company</t>
  </si>
  <si>
    <t>ERIE</t>
  </si>
  <si>
    <t>Eversource Energy</t>
  </si>
  <si>
    <t>ES</t>
  </si>
  <si>
    <t>Eisai Co.</t>
  </si>
  <si>
    <t>ESALY</t>
  </si>
  <si>
    <t>ESI</t>
  </si>
  <si>
    <t>ESLOY</t>
  </si>
  <si>
    <t>Elbit Systems Ltd.</t>
  </si>
  <si>
    <t>ESLT</t>
  </si>
  <si>
    <t>Essent Group Ltd.</t>
  </si>
  <si>
    <t>ESNT</t>
  </si>
  <si>
    <t>Financial - Mortgage &amp; Related Services</t>
  </si>
  <si>
    <t>Essex Property Trust, Inc.</t>
  </si>
  <si>
    <t>ESS</t>
  </si>
  <si>
    <t>Elastic N.V.</t>
  </si>
  <si>
    <t>ESTC</t>
  </si>
  <si>
    <t>Energy Transfer LP</t>
  </si>
  <si>
    <t>ET</t>
  </si>
  <si>
    <t>Eaton Corporation, PLC</t>
  </si>
  <si>
    <t>ETN</t>
  </si>
  <si>
    <t>Entergy Corporation</t>
  </si>
  <si>
    <t>ETR</t>
  </si>
  <si>
    <t>Equitrans Midstream Corporation</t>
  </si>
  <si>
    <t>ETRN</t>
  </si>
  <si>
    <t>Etsy, Inc.</t>
  </si>
  <si>
    <t>ETSY</t>
  </si>
  <si>
    <t>Everbridge, Inc.</t>
  </si>
  <si>
    <t>EVBG</t>
  </si>
  <si>
    <t>Evercore Inc</t>
  </si>
  <si>
    <t>EVR</t>
  </si>
  <si>
    <t>Financial - Investment Bank</t>
  </si>
  <si>
    <t>Evergy Inc.</t>
  </si>
  <si>
    <t>EVRG</t>
  </si>
  <si>
    <t>Edwards Lifesciences Corporation</t>
  </si>
  <si>
    <t>EW</t>
  </si>
  <si>
    <t>East West Bancorp, Inc.</t>
  </si>
  <si>
    <t>EWBC</t>
  </si>
  <si>
    <t>Exact Sciences Corporation</t>
  </si>
  <si>
    <t>EXAS</t>
  </si>
  <si>
    <t>Exelon Corporation</t>
  </si>
  <si>
    <t>EXC</t>
  </si>
  <si>
    <t>Exelixis, Inc.</t>
  </si>
  <si>
    <t>EXEL</t>
  </si>
  <si>
    <t>Eagle Materials Inc</t>
  </si>
  <si>
    <t>EXP</t>
  </si>
  <si>
    <t>Expeditors International of Washington, Inc.</t>
  </si>
  <si>
    <t>EXPD</t>
  </si>
  <si>
    <t>Expedia Group, Inc.</t>
  </si>
  <si>
    <t>EXPE</t>
  </si>
  <si>
    <t>Experian PLC</t>
  </si>
  <si>
    <t>EXPGY</t>
  </si>
  <si>
    <t>Exp World Holdings, Inc.</t>
  </si>
  <si>
    <t>EXPI</t>
  </si>
  <si>
    <t>Exponent, Inc.</t>
  </si>
  <si>
    <t>EXPO</t>
  </si>
  <si>
    <t>Extra Space Storage Inc</t>
  </si>
  <si>
    <t>EXR</t>
  </si>
  <si>
    <t>National Vision Holdings, Inc.</t>
  </si>
  <si>
    <t>EYE</t>
  </si>
  <si>
    <t>Ford Motor Company</t>
  </si>
  <si>
    <t>F</t>
  </si>
  <si>
    <t>First American Financial Corporation</t>
  </si>
  <si>
    <t>FAF</t>
  </si>
  <si>
    <t>Diamondback Energy, Inc.</t>
  </si>
  <si>
    <t>FANG</t>
  </si>
  <si>
    <t>Fanuc Corp.</t>
  </si>
  <si>
    <t>FANUY</t>
  </si>
  <si>
    <t>Industrial Automation and Robotics</t>
  </si>
  <si>
    <t>Fastenal Company</t>
  </si>
  <si>
    <t>FAST</t>
  </si>
  <si>
    <t>Fate Therapeutics, Inc.</t>
  </si>
  <si>
    <t>FATE</t>
  </si>
  <si>
    <t>Facebook, Inc.</t>
  </si>
  <si>
    <t>FB</t>
  </si>
  <si>
    <t>Fortune Brands Home &amp; Security, Inc.</t>
  </si>
  <si>
    <t>FBHS</t>
  </si>
  <si>
    <t>FuelCell Energy, Inc.</t>
  </si>
  <si>
    <t>FCEL</t>
  </si>
  <si>
    <t>FTI Consulting, Inc.</t>
  </si>
  <si>
    <t>FCN</t>
  </si>
  <si>
    <t>FreeportMcMoRan Inc.</t>
  </si>
  <si>
    <t>FCX</t>
  </si>
  <si>
    <t>FactSet Research Systems Inc.</t>
  </si>
  <si>
    <t>FDS</t>
  </si>
  <si>
    <t>FedEx Corporation</t>
  </si>
  <si>
    <t>FDX</t>
  </si>
  <si>
    <t>Transportation - Air Freight and Cargo</t>
  </si>
  <si>
    <t>FirstEnergy Corporation</t>
  </si>
  <si>
    <t>FE</t>
  </si>
  <si>
    <t>Franklin Electric Co., Inc.</t>
  </si>
  <si>
    <t>FELE</t>
  </si>
  <si>
    <t>Wolseley PLC</t>
  </si>
  <si>
    <t>FireEye, Inc.</t>
  </si>
  <si>
    <t>FEYE</t>
  </si>
  <si>
    <t>First Financial Bankshares, Inc.</t>
  </si>
  <si>
    <t>FFIN</t>
  </si>
  <si>
    <t>F5 Networks, Inc.</t>
  </si>
  <si>
    <t>FFIV</t>
  </si>
  <si>
    <t>First Horizon Corporation</t>
  </si>
  <si>
    <t>FHN</t>
  </si>
  <si>
    <t>Fair Isaac Corporation</t>
  </si>
  <si>
    <t>FICO</t>
  </si>
  <si>
    <t>Fidelity National Information Services, Inc.</t>
  </si>
  <si>
    <t>FIS</t>
  </si>
  <si>
    <t>Fiserv, Inc.</t>
  </si>
  <si>
    <t>FISV</t>
  </si>
  <si>
    <t>Fifth Third Bancorp</t>
  </si>
  <si>
    <t>FITB</t>
  </si>
  <si>
    <t>Five Below, Inc.</t>
  </si>
  <si>
    <t>FIVE</t>
  </si>
  <si>
    <t>Five9, Inc.</t>
  </si>
  <si>
    <t>FIVN</t>
  </si>
  <si>
    <t>National Beverage Corp.</t>
  </si>
  <si>
    <t>FIZZ</t>
  </si>
  <si>
    <t>Foot Locker, Inc.</t>
  </si>
  <si>
    <t>FL</t>
  </si>
  <si>
    <t>Flex Ltd.</t>
  </si>
  <si>
    <t>FLEX</t>
  </si>
  <si>
    <t>Flowers Foods, Inc.</t>
  </si>
  <si>
    <t>FLO</t>
  </si>
  <si>
    <t>Flowserve Corporation</t>
  </si>
  <si>
    <t>FleetCor Technologies, Inc.</t>
  </si>
  <si>
    <t>FLT</t>
  </si>
  <si>
    <t>FMC Corporation</t>
  </si>
  <si>
    <t>FMC</t>
  </si>
  <si>
    <t>Fresenius Medical Care AG &amp; Co. KGaA</t>
  </si>
  <si>
    <t>FMS</t>
  </si>
  <si>
    <t>Fabrinet</t>
  </si>
  <si>
    <t>FN</t>
  </si>
  <si>
    <t>F.N.B. Corporation</t>
  </si>
  <si>
    <t>FNB</t>
  </si>
  <si>
    <t>Floor &amp; Decor Holdings, Inc.</t>
  </si>
  <si>
    <t>FND</t>
  </si>
  <si>
    <t>FNF</t>
  </si>
  <si>
    <t>Focus Financial Partners Inc.</t>
  </si>
  <si>
    <t>FOCS</t>
  </si>
  <si>
    <t>Shift4 Payments, Inc.</t>
  </si>
  <si>
    <t>FOUR</t>
  </si>
  <si>
    <t>Fox Corporation</t>
  </si>
  <si>
    <t>FOXA</t>
  </si>
  <si>
    <t>Fox Factory Holding Corp.</t>
  </si>
  <si>
    <t>FOXF</t>
  </si>
  <si>
    <t>First Industrial Realty Trust, Inc.</t>
  </si>
  <si>
    <t>FR</t>
  </si>
  <si>
    <t>First Republic Bank</t>
  </si>
  <si>
    <t>FRC</t>
  </si>
  <si>
    <t>JFrog Ltd.</t>
  </si>
  <si>
    <t>FROG</t>
  </si>
  <si>
    <t>Freshpet, Inc.</t>
  </si>
  <si>
    <t>FRPT</t>
  </si>
  <si>
    <t>Federal Realty Investment Trust</t>
  </si>
  <si>
    <t>FRT</t>
  </si>
  <si>
    <t>First Solar, Inc.</t>
  </si>
  <si>
    <t>FSLR</t>
  </si>
  <si>
    <t>Fastly, Inc.</t>
  </si>
  <si>
    <t>FSLY</t>
  </si>
  <si>
    <t>FRESENIUS SE&amp;CO</t>
  </si>
  <si>
    <t>FSNUY</t>
  </si>
  <si>
    <t>Fortescue Metals Group Ltd.</t>
  </si>
  <si>
    <t>FSUGY</t>
  </si>
  <si>
    <t>Mining - Iron</t>
  </si>
  <si>
    <t>FirstService Corporation</t>
  </si>
  <si>
    <t>FSV</t>
  </si>
  <si>
    <t>Frontdoor, Inc.</t>
  </si>
  <si>
    <t>FTDR</t>
  </si>
  <si>
    <t>TechnipFMC plc</t>
  </si>
  <si>
    <t>FTI</t>
  </si>
  <si>
    <t>Fortinet, Inc.</t>
  </si>
  <si>
    <t>FTNT</t>
  </si>
  <si>
    <t>Fortis Inc.</t>
  </si>
  <si>
    <t>FTS</t>
  </si>
  <si>
    <t>Fortive Corporation</t>
  </si>
  <si>
    <t>FTV</t>
  </si>
  <si>
    <t>Fuji Heavy Industries Ltd.</t>
  </si>
  <si>
    <t>FUJHY</t>
  </si>
  <si>
    <t>Fujifilm Holdings Corp.</t>
  </si>
  <si>
    <t>FUJIY</t>
  </si>
  <si>
    <t>Semiconductor Equipment - Photomasks</t>
  </si>
  <si>
    <t>Fuchs Petrolub SE Unsponsored ADR</t>
  </si>
  <si>
    <t>FUPBY</t>
  </si>
  <si>
    <t>FVRR</t>
  </si>
  <si>
    <t>Liberty Media Corporation</t>
  </si>
  <si>
    <t>FWONK</t>
  </si>
  <si>
    <t>Genpact Limited</t>
  </si>
  <si>
    <t>G</t>
  </si>
  <si>
    <t>GATX Corporation</t>
  </si>
  <si>
    <t>GATX</t>
  </si>
  <si>
    <t>Glacier Bancorp, Inc.</t>
  </si>
  <si>
    <t>GBCI</t>
  </si>
  <si>
    <t>General Dynamics Corporation</t>
  </si>
  <si>
    <t>GD</t>
  </si>
  <si>
    <t>GoDaddy Inc.</t>
  </si>
  <si>
    <t>GDDY</t>
  </si>
  <si>
    <t>Internet - Delivery Services</t>
  </si>
  <si>
    <t>GoodRx Holdings, Inc.</t>
  </si>
  <si>
    <t>GDRX</t>
  </si>
  <si>
    <t>GDS Holdings Limited</t>
  </si>
  <si>
    <t>GDS</t>
  </si>
  <si>
    <t>General Electric Company</t>
  </si>
  <si>
    <t>GE</t>
  </si>
  <si>
    <t>GECINA ACT NOM</t>
  </si>
  <si>
    <t>GECFF</t>
  </si>
  <si>
    <t>Geely Automobile Holdings Ltd.</t>
  </si>
  <si>
    <t>GELYY</t>
  </si>
  <si>
    <t>Gold Fields Limited</t>
  </si>
  <si>
    <t>GFI</t>
  </si>
  <si>
    <t>GFL Environmental Inc.</t>
  </si>
  <si>
    <t>GFL</t>
  </si>
  <si>
    <t>Gerdau S.A.</t>
  </si>
  <si>
    <t>GGB</t>
  </si>
  <si>
    <t>Graco Inc.</t>
  </si>
  <si>
    <t>Guardant Health, Inc.</t>
  </si>
  <si>
    <t>GH</t>
  </si>
  <si>
    <t>CGI Group, Inc.</t>
  </si>
  <si>
    <t>GIB</t>
  </si>
  <si>
    <t>Gildan Activewear, Inc.</t>
  </si>
  <si>
    <t>GIL</t>
  </si>
  <si>
    <t>Gilead Sciences, Inc.</t>
  </si>
  <si>
    <t>GILD</t>
  </si>
  <si>
    <t>General Mills, Inc.</t>
  </si>
  <si>
    <t>GIS</t>
  </si>
  <si>
    <t>Glaukos Corporation</t>
  </si>
  <si>
    <t>GKOS</t>
  </si>
  <si>
    <t>Globe Life Inc.</t>
  </si>
  <si>
    <t>GL</t>
  </si>
  <si>
    <t>Glanbia Plc ADR</t>
  </si>
  <si>
    <t>GLAPY</t>
  </si>
  <si>
    <t>Glencore PLC</t>
  </si>
  <si>
    <t>GLNCY</t>
  </si>
  <si>
    <t>Globant S.A.</t>
  </si>
  <si>
    <t>GLOB</t>
  </si>
  <si>
    <t>Galp Energia SGPS SA</t>
  </si>
  <si>
    <t>GLPEY</t>
  </si>
  <si>
    <t>Galapagos NV</t>
  </si>
  <si>
    <t>GLPG</t>
  </si>
  <si>
    <t>Gaming and Leisure Properties, Inc.</t>
  </si>
  <si>
    <t>GLPI</t>
  </si>
  <si>
    <t>Corning Incorporated</t>
  </si>
  <si>
    <t>GLW</t>
  </si>
  <si>
    <t>General Motors Company</t>
  </si>
  <si>
    <t>GM</t>
  </si>
  <si>
    <t>Genmab AS Sponsored ADR</t>
  </si>
  <si>
    <t>GMAB</t>
  </si>
  <si>
    <t>Globus Medical, Inc.</t>
  </si>
  <si>
    <t>GMED</t>
  </si>
  <si>
    <t>GN STORE NORD</t>
  </si>
  <si>
    <t>GNNDY</t>
  </si>
  <si>
    <t>Generac Holdings Inc.</t>
  </si>
  <si>
    <t>GNRC</t>
  </si>
  <si>
    <t>Electronics - Power Generation</t>
  </si>
  <si>
    <t>Gentex Corporation</t>
  </si>
  <si>
    <t>GNTX</t>
  </si>
  <si>
    <t>Grocery Outlet Holding Corp.</t>
  </si>
  <si>
    <t>GO</t>
  </si>
  <si>
    <t>GoHealth, Inc.</t>
  </si>
  <si>
    <t>GOCO</t>
  </si>
  <si>
    <t>Barrick Gold Corporation</t>
  </si>
  <si>
    <t>GOLD</t>
  </si>
  <si>
    <t>Alphabet Inc.</t>
  </si>
  <si>
    <t>GOOG</t>
  </si>
  <si>
    <t>GOOGL</t>
  </si>
  <si>
    <t>Canada Goose Holdings Inc.</t>
  </si>
  <si>
    <t>GOOS</t>
  </si>
  <si>
    <t>Genuine Parts Company</t>
  </si>
  <si>
    <t>GPC</t>
  </si>
  <si>
    <t>Graphic Packaging Holding Company</t>
  </si>
  <si>
    <t>GPK</t>
  </si>
  <si>
    <t>Global Payments Inc.</t>
  </si>
  <si>
    <t>GPN</t>
  </si>
  <si>
    <t>The Gap, Inc.</t>
  </si>
  <si>
    <t>GPS</t>
  </si>
  <si>
    <t>W.R. Grace &amp; Co.</t>
  </si>
  <si>
    <t>GRA</t>
  </si>
  <si>
    <t>Grifols, S.A.</t>
  </si>
  <si>
    <t>GRFS</t>
  </si>
  <si>
    <t>Garmin Ltd.</t>
  </si>
  <si>
    <t>GRMN</t>
  </si>
  <si>
    <t>Granite Real Estate Inc.</t>
  </si>
  <si>
    <t>GRP.U</t>
  </si>
  <si>
    <t>Grubhub Inc.</t>
  </si>
  <si>
    <t>GRUB</t>
  </si>
  <si>
    <t>The Goldman Sachs Group, Inc.</t>
  </si>
  <si>
    <t>GS</t>
  </si>
  <si>
    <t>Goosehead Insurance Inc.</t>
  </si>
  <si>
    <t>GSHD</t>
  </si>
  <si>
    <t>GlaxoSmithKline plc</t>
  </si>
  <si>
    <t>GSK</t>
  </si>
  <si>
    <t>Gates Industrial Corporation PLC</t>
  </si>
  <si>
    <t>GTES</t>
  </si>
  <si>
    <t>Chart Industries, Inc.</t>
  </si>
  <si>
    <t>Givaudan SA</t>
  </si>
  <si>
    <t>GVDNY</t>
  </si>
  <si>
    <t>Guidewire Software, Inc.</t>
  </si>
  <si>
    <t>GWRE</t>
  </si>
  <si>
    <t>W.W. Grainger, Inc.</t>
  </si>
  <si>
    <t>GWW</t>
  </si>
  <si>
    <t>Hyatt Hotels Corporation</t>
  </si>
  <si>
    <t>H</t>
  </si>
  <si>
    <t>The Hain Celestial Group, Inc.</t>
  </si>
  <si>
    <t>HAIN</t>
  </si>
  <si>
    <t>Halliburton Company</t>
  </si>
  <si>
    <t>HAL</t>
  </si>
  <si>
    <t>Halozyme Therapeutics, Inc.</t>
  </si>
  <si>
    <t>HALO</t>
  </si>
  <si>
    <t>Hasbro, Inc.</t>
  </si>
  <si>
    <t>HAS</t>
  </si>
  <si>
    <t>Hannon Armstrong Sustainable Infrastructure Capital, Inc.</t>
  </si>
  <si>
    <t>HASI</t>
  </si>
  <si>
    <t>HAYS PLC</t>
  </si>
  <si>
    <t>HAYPY</t>
  </si>
  <si>
    <t>Staffing Firms</t>
  </si>
  <si>
    <t>Huntington Bancshares Incorporated</t>
  </si>
  <si>
    <t>HBAN</t>
  </si>
  <si>
    <t>Hanesbrands Inc.</t>
  </si>
  <si>
    <t>HBI</t>
  </si>
  <si>
    <t>HCA Healthcare, Inc.</t>
  </si>
  <si>
    <t>HCA</t>
  </si>
  <si>
    <t>Holcim Ltd.</t>
  </si>
  <si>
    <t>HCMLY</t>
  </si>
  <si>
    <t>The Home Depot, Inc.</t>
  </si>
  <si>
    <t>HD</t>
  </si>
  <si>
    <t>HDFC Bank Limited</t>
  </si>
  <si>
    <t>HDB</t>
  </si>
  <si>
    <t>HeidelbergCement AG</t>
  </si>
  <si>
    <t>HDELY</t>
  </si>
  <si>
    <t>Hawaiian Electric Industries, Inc.</t>
  </si>
  <si>
    <t>HE</t>
  </si>
  <si>
    <t>Heico Corporation</t>
  </si>
  <si>
    <t>HEI</t>
  </si>
  <si>
    <t>Helen of Troy Limited</t>
  </si>
  <si>
    <t>HELE</t>
  </si>
  <si>
    <t>Henkel AG &amp; Co.</t>
  </si>
  <si>
    <t>HENKY</t>
  </si>
  <si>
    <t>Hess Corporation</t>
  </si>
  <si>
    <t>HES</t>
  </si>
  <si>
    <t>Howard Hughes Corporation The</t>
  </si>
  <si>
    <t>HHC</t>
  </si>
  <si>
    <t>Funeral Services</t>
  </si>
  <si>
    <t>The Hartford Financial Services Group, Inc.</t>
  </si>
  <si>
    <t>HIG</t>
  </si>
  <si>
    <t>Huntington Ingalls Industries, Inc.</t>
  </si>
  <si>
    <t>HII</t>
  </si>
  <si>
    <t>Highwoods Properties, Inc.</t>
  </si>
  <si>
    <t>HIW</t>
  </si>
  <si>
    <t>Hikma Pharmaceuticals Plc</t>
  </si>
  <si>
    <t>HKMPF</t>
  </si>
  <si>
    <t>Henderson Land Development Co.</t>
  </si>
  <si>
    <t>HLDCY</t>
  </si>
  <si>
    <t>Herbalife LTD.</t>
  </si>
  <si>
    <t>HLF</t>
  </si>
  <si>
    <t>Houlihan Lokey, Inc.</t>
  </si>
  <si>
    <t>HLI</t>
  </si>
  <si>
    <t>HALMA PLC</t>
  </si>
  <si>
    <t>HLMAF</t>
  </si>
  <si>
    <t>Hamilton Lane Inc.</t>
  </si>
  <si>
    <t>HLNE</t>
  </si>
  <si>
    <t>Hilton Worldwide Holdings Inc.</t>
  </si>
  <si>
    <t>HLT</t>
  </si>
  <si>
    <t>H Lundbeck AS</t>
  </si>
  <si>
    <t>HLUYY</t>
  </si>
  <si>
    <t>Honda Motor Co., Ltd.</t>
  </si>
  <si>
    <t>HMC</t>
  </si>
  <si>
    <t>Hennes &amp; Mauritz AB</t>
  </si>
  <si>
    <t>HNNMY</t>
  </si>
  <si>
    <t>Huaneng Power International, Inc.</t>
  </si>
  <si>
    <t>HNP</t>
  </si>
  <si>
    <t>Hoya Corp.</t>
  </si>
  <si>
    <t>HOCPY</t>
  </si>
  <si>
    <t>HarleyDavidson, Inc.</t>
  </si>
  <si>
    <t>HOG</t>
  </si>
  <si>
    <t>Hologic, Inc.</t>
  </si>
  <si>
    <t>HOLX</t>
  </si>
  <si>
    <t>Home BancShares, Inc.</t>
  </si>
  <si>
    <t>HOMB</t>
  </si>
  <si>
    <t>Honeywell International Inc.</t>
  </si>
  <si>
    <t>HON</t>
  </si>
  <si>
    <t>Hewlett Packard Enterprise Company</t>
  </si>
  <si>
    <t>HPE</t>
  </si>
  <si>
    <t>Hudson Pacific Properties, Inc.</t>
  </si>
  <si>
    <t>HPP</t>
  </si>
  <si>
    <t>HP Inc.</t>
  </si>
  <si>
    <t>HPQ</t>
  </si>
  <si>
    <t>HealthEquity, Inc.</t>
  </si>
  <si>
    <t>HQY</t>
  </si>
  <si>
    <t>Healthcare Realty Trust Incorporated</t>
  </si>
  <si>
    <t>HR</t>
  </si>
  <si>
    <t>H&amp;R Block, Inc.</t>
  </si>
  <si>
    <t>HRB</t>
  </si>
  <si>
    <t>HillRom Holdings, Inc.</t>
  </si>
  <si>
    <t>HRC</t>
  </si>
  <si>
    <t>Hargreaves Lansdown plc</t>
  </si>
  <si>
    <t>HRGLY</t>
  </si>
  <si>
    <t>Hormel Foods Corporation</t>
  </si>
  <si>
    <t>HRL</t>
  </si>
  <si>
    <t>HSBC Holdings plc</t>
  </si>
  <si>
    <t>HSBC</t>
  </si>
  <si>
    <t>Henry Schein, Inc.</t>
  </si>
  <si>
    <t>HSIC</t>
  </si>
  <si>
    <t>Host Hotels &amp; Resorts, Inc.</t>
  </si>
  <si>
    <t>HST</t>
  </si>
  <si>
    <t>Hershey Company The</t>
  </si>
  <si>
    <t>HSY</t>
  </si>
  <si>
    <t>Food - Confectionery</t>
  </si>
  <si>
    <t>Healthcare Trust of America, Inc.</t>
  </si>
  <si>
    <t>HTA</t>
  </si>
  <si>
    <t>HITACHI CONSTR</t>
  </si>
  <si>
    <t>HTCMY</t>
  </si>
  <si>
    <t>Hubbell Inc</t>
  </si>
  <si>
    <t>HUBB</t>
  </si>
  <si>
    <t xml:space="preserve">Manufacturing - Electrical Utilities </t>
  </si>
  <si>
    <t>HubSpot, Inc.</t>
  </si>
  <si>
    <t>HUBS</t>
  </si>
  <si>
    <t>Humana Inc.</t>
  </si>
  <si>
    <t>HUM</t>
  </si>
  <si>
    <t>Huntsman Corporation</t>
  </si>
  <si>
    <t>HUN</t>
  </si>
  <si>
    <t>HUYA Inc. Sponsored ADR</t>
  </si>
  <si>
    <t>HUYA</t>
  </si>
  <si>
    <t>Hannover Ruck SE</t>
  </si>
  <si>
    <t>HVRRY</t>
  </si>
  <si>
    <t>Hancock Whitney Corporation</t>
  </si>
  <si>
    <t>HWC</t>
  </si>
  <si>
    <t>HOWDEN JOINERY</t>
  </si>
  <si>
    <t>HWDJY</t>
  </si>
  <si>
    <t>Howmet Aerospace Inc.</t>
  </si>
  <si>
    <t>HWM</t>
  </si>
  <si>
    <t>Hexcel Corporation</t>
  </si>
  <si>
    <t>HXL</t>
  </si>
  <si>
    <t>Horizon Therapeutics Public Limited Company</t>
  </si>
  <si>
    <t>HZNP</t>
  </si>
  <si>
    <t>IAA, Inc.</t>
  </si>
  <si>
    <t>IAA</t>
  </si>
  <si>
    <t>IACInterActiveCorp</t>
  </si>
  <si>
    <t>IAC</t>
  </si>
  <si>
    <t>Integra LifeSciences Holdings Corporation</t>
  </si>
  <si>
    <t>IART</t>
  </si>
  <si>
    <t>Interactive Brokers Group, Inc.</t>
  </si>
  <si>
    <t>IBKR</t>
  </si>
  <si>
    <t>International Business Machines Corporation</t>
  </si>
  <si>
    <t>IBM</t>
  </si>
  <si>
    <t>ICICI Bank Limited</t>
  </si>
  <si>
    <t>IBN</t>
  </si>
  <si>
    <t>Installed Building Products, Inc.</t>
  </si>
  <si>
    <t>IBP</t>
  </si>
  <si>
    <t>International Consolidated Airlines Group SA</t>
  </si>
  <si>
    <t>ICAGY</t>
  </si>
  <si>
    <t>Intercontinental Exchange Inc.</t>
  </si>
  <si>
    <t>ICE</t>
  </si>
  <si>
    <t>Israel Chemicals Shs</t>
  </si>
  <si>
    <t>ICL</t>
  </si>
  <si>
    <t>ICON PLC</t>
  </si>
  <si>
    <t>ICLR</t>
  </si>
  <si>
    <t>ICU Medical, Inc.</t>
  </si>
  <si>
    <t>ICUI</t>
  </si>
  <si>
    <t>IDACORP, Inc.</t>
  </si>
  <si>
    <t>IDA</t>
  </si>
  <si>
    <t>IDEXX Laboratories, Inc.</t>
  </si>
  <si>
    <t>IDXX</t>
  </si>
  <si>
    <t>IDEX Corporation</t>
  </si>
  <si>
    <t>International Flavors &amp; Fragrances Inc.</t>
  </si>
  <si>
    <t>IFF</t>
  </si>
  <si>
    <t>Infineon Technologies AG</t>
  </si>
  <si>
    <t>IFNNY</t>
  </si>
  <si>
    <t>Intercontinental Hotels Group</t>
  </si>
  <si>
    <t>IHG</t>
  </si>
  <si>
    <t>Innovative Industrial Properties, Inc.</t>
  </si>
  <si>
    <t>IIPR</t>
  </si>
  <si>
    <t>IIVI Incorporated</t>
  </si>
  <si>
    <t>IIVI</t>
  </si>
  <si>
    <t>INTERTEK GP PLC</t>
  </si>
  <si>
    <t>IKTSY</t>
  </si>
  <si>
    <t>Illumina, Inc.</t>
  </si>
  <si>
    <t>ILMN</t>
  </si>
  <si>
    <t>Imperial Tobacco Group PLC</t>
  </si>
  <si>
    <t>IMBBY</t>
  </si>
  <si>
    <t>IMI PLC</t>
  </si>
  <si>
    <t>IMIAY</t>
  </si>
  <si>
    <t>Impala Platinum Holdings Ltd.</t>
  </si>
  <si>
    <t>IMPUY</t>
  </si>
  <si>
    <t>Incyte Corporation</t>
  </si>
  <si>
    <t>INCY</t>
  </si>
  <si>
    <t>IHS Markit Ltd.</t>
  </si>
  <si>
    <t>INFO</t>
  </si>
  <si>
    <t>Infosys Limited</t>
  </si>
  <si>
    <t>INFY</t>
  </si>
  <si>
    <t>ING Group, N.V.</t>
  </si>
  <si>
    <t>ING</t>
  </si>
  <si>
    <t>Ingredion Incorporated</t>
  </si>
  <si>
    <t>INGR</t>
  </si>
  <si>
    <t>Inovalon Holdings, Inc.</t>
  </si>
  <si>
    <t>INOV</t>
  </si>
  <si>
    <t>Inspire Medical Systems, Inc.</t>
  </si>
  <si>
    <t>INSP</t>
  </si>
  <si>
    <t>Intel Corporation</t>
  </si>
  <si>
    <t>INTC</t>
  </si>
  <si>
    <t>Semiconductor - General</t>
  </si>
  <si>
    <t>Intuit Inc.</t>
  </si>
  <si>
    <t>INTU</t>
  </si>
  <si>
    <t>Invitation Home Inc.</t>
  </si>
  <si>
    <t>INVH</t>
  </si>
  <si>
    <t>Ionis Pharmaceuticals, Inc.</t>
  </si>
  <si>
    <t>IONS</t>
  </si>
  <si>
    <t>Iovance Biotherapeutics, Inc.</t>
  </si>
  <si>
    <t>IOVA</t>
  </si>
  <si>
    <t>International Paper Company</t>
  </si>
  <si>
    <t>IP</t>
  </si>
  <si>
    <t>Interpublic Group of Companies, Inc. The</t>
  </si>
  <si>
    <t>IPG</t>
  </si>
  <si>
    <t>IPG Photonics Corporation</t>
  </si>
  <si>
    <t>IPGP</t>
  </si>
  <si>
    <t>Lasers Systems and Components</t>
  </si>
  <si>
    <t>iQIYI, Inc. Sponsored ADR</t>
  </si>
  <si>
    <t>IQ</t>
  </si>
  <si>
    <t>IQVIA Holdings Inc.</t>
  </si>
  <si>
    <t>IQV</t>
  </si>
  <si>
    <t>Ingersoll Rand Inc.</t>
  </si>
  <si>
    <t>Iridium Communications Inc</t>
  </si>
  <si>
    <t>IRDM</t>
  </si>
  <si>
    <t>Satellite and Communication</t>
  </si>
  <si>
    <t>Iron Mountain Incorporated</t>
  </si>
  <si>
    <t>IRM</t>
  </si>
  <si>
    <t>Intesa Sanpaolo SpA</t>
  </si>
  <si>
    <t>ISNPY</t>
  </si>
  <si>
    <t>Intuitive Surgical, Inc.</t>
  </si>
  <si>
    <t>ISRG</t>
  </si>
  <si>
    <t>Gartner, Inc.</t>
  </si>
  <si>
    <t>IT</t>
  </si>
  <si>
    <t>Itron, Inc.</t>
  </si>
  <si>
    <t>ITRI</t>
  </si>
  <si>
    <t>ITT Inc.</t>
  </si>
  <si>
    <t>ITT</t>
  </si>
  <si>
    <t>Itau Unibanco Holding S.A.</t>
  </si>
  <si>
    <t>ITUB</t>
  </si>
  <si>
    <t>Illinois Tool Works Inc.</t>
  </si>
  <si>
    <t>Invesco Ltd.</t>
  </si>
  <si>
    <t>IVZ</t>
  </si>
  <si>
    <t>Orix Corp Ads</t>
  </si>
  <si>
    <t>IX</t>
  </si>
  <si>
    <t>Jacobs Engineering Group Inc.</t>
  </si>
  <si>
    <t>J</t>
  </si>
  <si>
    <t>Jamf Holding Corp.</t>
  </si>
  <si>
    <t>JAMF</t>
  </si>
  <si>
    <t>Jazz Pharmaceuticals PLC</t>
  </si>
  <si>
    <t>JAZZ</t>
  </si>
  <si>
    <t>JBG SMITH Properties</t>
  </si>
  <si>
    <t>JBGS</t>
  </si>
  <si>
    <t>J.B. Hunt Transport Services, Inc.</t>
  </si>
  <si>
    <t>JBHT</t>
  </si>
  <si>
    <t>Transportation - Truck</t>
  </si>
  <si>
    <t>Jabil, Inc.</t>
  </si>
  <si>
    <t>JBL</t>
  </si>
  <si>
    <t>Electronics - Manufacturing Services</t>
  </si>
  <si>
    <t>JetBlue Airways Corporation</t>
  </si>
  <si>
    <t>JBLU</t>
  </si>
  <si>
    <t>John Bean Technologies Corporation</t>
  </si>
  <si>
    <t>JBT</t>
  </si>
  <si>
    <t>Johnson Controls International plc</t>
  </si>
  <si>
    <t>JCI</t>
  </si>
  <si>
    <t>j2 Global, Inc.</t>
  </si>
  <si>
    <t>JCOM</t>
  </si>
  <si>
    <t>JD.com, Inc.</t>
  </si>
  <si>
    <t>JD</t>
  </si>
  <si>
    <t>Jefferies Financial Group Inc.</t>
  </si>
  <si>
    <t>JEF</t>
  </si>
  <si>
    <t>Janus Henderson Group plc</t>
  </si>
  <si>
    <t>JHG</t>
  </si>
  <si>
    <t>James Hardie Industries PLC.</t>
  </si>
  <si>
    <t>JHX</t>
  </si>
  <si>
    <t>Jack Henry &amp; Associates, Inc.</t>
  </si>
  <si>
    <t>JKHY</t>
  </si>
  <si>
    <t>Electronics - Miscellaneous Services</t>
  </si>
  <si>
    <t>Jones Lang LaSalle Incorporated</t>
  </si>
  <si>
    <t>JLL</t>
  </si>
  <si>
    <t>JUMIA TECHADR</t>
  </si>
  <si>
    <t>JMIA</t>
  </si>
  <si>
    <t>Johnson &amp; Johnson</t>
  </si>
  <si>
    <t>JNJ</t>
  </si>
  <si>
    <t>Juniper Networks, Inc.</t>
  </si>
  <si>
    <t>JNPR</t>
  </si>
  <si>
    <t>51job, Inc.</t>
  </si>
  <si>
    <t>JOBS</t>
  </si>
  <si>
    <t>Publishing - Periodicals</t>
  </si>
  <si>
    <t>JPMorgan Chase &amp; Co.</t>
  </si>
  <si>
    <t>JPM</t>
  </si>
  <si>
    <t>J. Sainsbury PLC</t>
  </si>
  <si>
    <t>JSAIY</t>
  </si>
  <si>
    <t>JSR CP UNSP ADR</t>
  </si>
  <si>
    <t>JSCPY</t>
  </si>
  <si>
    <t>Nordstrom, Inc.</t>
  </si>
  <si>
    <t>JWN</t>
  </si>
  <si>
    <t>Kellogg Company</t>
  </si>
  <si>
    <t>K</t>
  </si>
  <si>
    <t>KBC Group SA</t>
  </si>
  <si>
    <t>KBCSY</t>
  </si>
  <si>
    <t>KB Home</t>
  </si>
  <si>
    <t>KBH</t>
  </si>
  <si>
    <t>KBR, Inc.</t>
  </si>
  <si>
    <t>KBR</t>
  </si>
  <si>
    <t>Kingsoft Cloud Holdings Limited Sponsored ADR</t>
  </si>
  <si>
    <t>KC</t>
  </si>
  <si>
    <t>KDDI Corporation Unsponsored ADR</t>
  </si>
  <si>
    <t>KDDIY</t>
  </si>
  <si>
    <t>Keurig Dr Pepper, Inc</t>
  </si>
  <si>
    <t>KDP</t>
  </si>
  <si>
    <t>Korea Electric Power Corporation</t>
  </si>
  <si>
    <t>KEP</t>
  </si>
  <si>
    <t>Kirby Corporation</t>
  </si>
  <si>
    <t>KEX</t>
  </si>
  <si>
    <t>Keysight Technologies Inc.</t>
  </si>
  <si>
    <t>KEYS</t>
  </si>
  <si>
    <t>Electronics - Measuring Instruments</t>
  </si>
  <si>
    <t>Kinross Gold Corporation</t>
  </si>
  <si>
    <t>KGC</t>
  </si>
  <si>
    <t>Kingfisher PLC</t>
  </si>
  <si>
    <t>KGFHY</t>
  </si>
  <si>
    <t>The Kraft Heinz Company</t>
  </si>
  <si>
    <t>KHC</t>
  </si>
  <si>
    <t>KION GROUP AG</t>
  </si>
  <si>
    <t>KIGRY</t>
  </si>
  <si>
    <t>Kimco Realty Corporation</t>
  </si>
  <si>
    <t>KIM</t>
  </si>
  <si>
    <t>KKR &amp; Co. Inc.</t>
  </si>
  <si>
    <t>KKR</t>
  </si>
  <si>
    <t>Kirkland Lake Gold Ltd.</t>
  </si>
  <si>
    <t>KL</t>
  </si>
  <si>
    <t>KLA Corporation</t>
  </si>
  <si>
    <t>KLAC</t>
  </si>
  <si>
    <t>KimberlyClark Corporation</t>
  </si>
  <si>
    <t>KMB</t>
  </si>
  <si>
    <t>Kemper Corporation</t>
  </si>
  <si>
    <t>KMPR</t>
  </si>
  <si>
    <t>Kennametal Inc.</t>
  </si>
  <si>
    <t>KMT</t>
  </si>
  <si>
    <t>Komatsu Ltd.</t>
  </si>
  <si>
    <t>KMTUY</t>
  </si>
  <si>
    <t>CarMax, Inc.</t>
  </si>
  <si>
    <t>KMX</t>
  </si>
  <si>
    <t>Kirin Holdings Co.</t>
  </si>
  <si>
    <t>KNBWY</t>
  </si>
  <si>
    <t>Kinsale Capital Group, Inc.</t>
  </si>
  <si>
    <t>KNSL</t>
  </si>
  <si>
    <t>KnightSwift Transportation Holdings Inc.</t>
  </si>
  <si>
    <t>KNX</t>
  </si>
  <si>
    <t>CocaCola Company The</t>
  </si>
  <si>
    <t>KO</t>
  </si>
  <si>
    <t>Kodiak Sciences Inc.</t>
  </si>
  <si>
    <t>KOD</t>
  </si>
  <si>
    <t>The Kroger Co.</t>
  </si>
  <si>
    <t>KR</t>
  </si>
  <si>
    <t>Kilroy Realty Corporation</t>
  </si>
  <si>
    <t>KRC</t>
  </si>
  <si>
    <t>Kornit Digital Ltd.</t>
  </si>
  <si>
    <t>KRNT</t>
  </si>
  <si>
    <t>Kerry Group PLC</t>
  </si>
  <si>
    <t>KRYAY</t>
  </si>
  <si>
    <t>Kohls Corporation</t>
  </si>
  <si>
    <t>KSS</t>
  </si>
  <si>
    <t>Retail - Regional Department Stores</t>
  </si>
  <si>
    <t>Kansas City Southern</t>
  </si>
  <si>
    <t>KSU</t>
  </si>
  <si>
    <t>Kratos Defense &amp; Security Solutions, Inc.</t>
  </si>
  <si>
    <t>KTOS</t>
  </si>
  <si>
    <t>Kubota Corp.</t>
  </si>
  <si>
    <t>KUBTY</t>
  </si>
  <si>
    <t>Kawasaki Heavy Industries Ltd.</t>
  </si>
  <si>
    <t>KWHIY</t>
  </si>
  <si>
    <t>Quaker Chemical Corporation</t>
  </si>
  <si>
    <t>KWR</t>
  </si>
  <si>
    <t>Lithia Motors, Inc.</t>
  </si>
  <si>
    <t>LAD</t>
  </si>
  <si>
    <t>Lancaster Colony Corporation</t>
  </si>
  <si>
    <t>LANC</t>
  </si>
  <si>
    <t>Lazard Ltd</t>
  </si>
  <si>
    <t>LAZ</t>
  </si>
  <si>
    <t>Luminar Technologies, Inc.</t>
  </si>
  <si>
    <t>LAZR</t>
  </si>
  <si>
    <t>L Brands, Inc.</t>
  </si>
  <si>
    <t>LB</t>
  </si>
  <si>
    <t>Liberty Broadband Corporation</t>
  </si>
  <si>
    <t>LBRDK</t>
  </si>
  <si>
    <t>Liberty Global PLC</t>
  </si>
  <si>
    <t>LBTYA</t>
  </si>
  <si>
    <t>LCI Industries</t>
  </si>
  <si>
    <t>LCII</t>
  </si>
  <si>
    <t>Leidos Holdings, Inc.</t>
  </si>
  <si>
    <t>LDOS</t>
  </si>
  <si>
    <t>Lear Corporation</t>
  </si>
  <si>
    <t>LEA</t>
  </si>
  <si>
    <t>Lincoln Electric Holdings, Inc.</t>
  </si>
  <si>
    <t>LECO</t>
  </si>
  <si>
    <t>Leggett &amp; Platt, Incorporated</t>
  </si>
  <si>
    <t>LEG</t>
  </si>
  <si>
    <t>Legend Biotech Corporation Sponsored ADR</t>
  </si>
  <si>
    <t>LEGN</t>
  </si>
  <si>
    <t>Lennar Corporation</t>
  </si>
  <si>
    <t>LEN</t>
  </si>
  <si>
    <t>Leslies, Inc.</t>
  </si>
  <si>
    <t>LESL</t>
  </si>
  <si>
    <t>Levi Strauss &amp; Co.</t>
  </si>
  <si>
    <t>LEVI</t>
  </si>
  <si>
    <t>China Life Insurance Company Limited</t>
  </si>
  <si>
    <t>LFC</t>
  </si>
  <si>
    <t>Littelfuse, Inc.</t>
  </si>
  <si>
    <t>LFUS</t>
  </si>
  <si>
    <t>Legal &amp; General Group PLC</t>
  </si>
  <si>
    <t>LGGNY</t>
  </si>
  <si>
    <t>Laboratory Corporation of America Holdings</t>
  </si>
  <si>
    <t>LH</t>
  </si>
  <si>
    <t>LHC Group, Inc.</t>
  </si>
  <si>
    <t>LHCG</t>
  </si>
  <si>
    <t>L3Harris Technologies Inc</t>
  </si>
  <si>
    <t>LHX</t>
  </si>
  <si>
    <t>Li Auto Inc. Sponsored ADR</t>
  </si>
  <si>
    <t>LI</t>
  </si>
  <si>
    <t>Lennox International, Inc.</t>
  </si>
  <si>
    <t>LII</t>
  </si>
  <si>
    <t>Linde plc</t>
  </si>
  <si>
    <t>LIN</t>
  </si>
  <si>
    <t>LION CORP</t>
  </si>
  <si>
    <t>LIOPF</t>
  </si>
  <si>
    <t>Lumentum Holdings Inc.</t>
  </si>
  <si>
    <t>LITE</t>
  </si>
  <si>
    <t>LivaNova PLC</t>
  </si>
  <si>
    <t>LIVN</t>
  </si>
  <si>
    <t>LKQ Corporation</t>
  </si>
  <si>
    <t>LKQ</t>
  </si>
  <si>
    <t>Eli Lilly and Company</t>
  </si>
  <si>
    <t>LLY</t>
  </si>
  <si>
    <t>Lemonade, Inc.</t>
  </si>
  <si>
    <t>LMND</t>
  </si>
  <si>
    <t>Lockheed Martin Corporation</t>
  </si>
  <si>
    <t>LMT</t>
  </si>
  <si>
    <t>Lincoln National Corporation</t>
  </si>
  <si>
    <t>LNC</t>
  </si>
  <si>
    <t>Cheniere Energy, Inc.</t>
  </si>
  <si>
    <t>LNG</t>
  </si>
  <si>
    <t>Alliant Energy Corporation</t>
  </si>
  <si>
    <t>LNT</t>
  </si>
  <si>
    <t>Lenovo Group Ltd.</t>
  </si>
  <si>
    <t>LNVGY</t>
  </si>
  <si>
    <t>Logitech International S.A.</t>
  </si>
  <si>
    <t>LOGI</t>
  </si>
  <si>
    <t>Computer - Peripheral Equipment</t>
  </si>
  <si>
    <t>Grand Canyon Education, Inc.</t>
  </si>
  <si>
    <t>LOPE</t>
  </si>
  <si>
    <t>Lowes Companies, Inc.</t>
  </si>
  <si>
    <t>LOW</t>
  </si>
  <si>
    <t>LG Display Co., Ltd.</t>
  </si>
  <si>
    <t>LPL</t>
  </si>
  <si>
    <t>LPL Financial Holdings Inc.</t>
  </si>
  <si>
    <t>LPLA</t>
  </si>
  <si>
    <t>Open Lending Corporation</t>
  </si>
  <si>
    <t>LPRO</t>
  </si>
  <si>
    <t>LivePerson, Inc.</t>
  </si>
  <si>
    <t>LPSN</t>
  </si>
  <si>
    <t>LouisianaPacific Corporation</t>
  </si>
  <si>
    <t>LPX</t>
  </si>
  <si>
    <t>Lam Research Corporation</t>
  </si>
  <si>
    <t>LRCX</t>
  </si>
  <si>
    <t>LOreal SA</t>
  </si>
  <si>
    <t>LRLCY</t>
  </si>
  <si>
    <t>Lattice Semiconductor Corporation</t>
  </si>
  <si>
    <t>LSCC</t>
  </si>
  <si>
    <t>Land Securities Group PLC</t>
  </si>
  <si>
    <t>LSGOF</t>
  </si>
  <si>
    <t>Life Storage, Inc.</t>
  </si>
  <si>
    <t>LSI</t>
  </si>
  <si>
    <t>Lightspeed POS Inc.</t>
  </si>
  <si>
    <t>LSPD</t>
  </si>
  <si>
    <t>Landstar System, Inc.</t>
  </si>
  <si>
    <t>LSTR</t>
  </si>
  <si>
    <t>LSXMK</t>
  </si>
  <si>
    <t>Lufax Holding Ltd. Sponsored ADR</t>
  </si>
  <si>
    <t>LU</t>
  </si>
  <si>
    <t>lululemon athletica inc.</t>
  </si>
  <si>
    <t>LULU</t>
  </si>
  <si>
    <t>Lumen Technologies, Inc.</t>
  </si>
  <si>
    <t>LUMN</t>
  </si>
  <si>
    <t>Southwest Airlines Co.</t>
  </si>
  <si>
    <t>LUV</t>
  </si>
  <si>
    <t>LVMHMoet Hennessy Louis Vuitton SA</t>
  </si>
  <si>
    <t>LVMUY</t>
  </si>
  <si>
    <t>Las Vegas Sands Corp.</t>
  </si>
  <si>
    <t>LVS</t>
  </si>
  <si>
    <t>Lamb Weston Holdings Inc.</t>
  </si>
  <si>
    <t>LW</t>
  </si>
  <si>
    <t>LyondellBasell Industries N.V.</t>
  </si>
  <si>
    <t>LYB</t>
  </si>
  <si>
    <t>Lyft, Inc.</t>
  </si>
  <si>
    <t>LYFT</t>
  </si>
  <si>
    <t>Lloyds Banking Group PLC</t>
  </si>
  <si>
    <t>LYG</t>
  </si>
  <si>
    <t>Live Nation Entertainment, Inc.</t>
  </si>
  <si>
    <t>LYV</t>
  </si>
  <si>
    <t>Lonza Group Ag</t>
  </si>
  <si>
    <t>LZAGY</t>
  </si>
  <si>
    <t>Macys, Inc.</t>
  </si>
  <si>
    <t>M</t>
  </si>
  <si>
    <t>Mastercard Incorporated</t>
  </si>
  <si>
    <t>MA</t>
  </si>
  <si>
    <t>MidAmerica Apartment Communities, Inc.</t>
  </si>
  <si>
    <t>MAA</t>
  </si>
  <si>
    <t>Marks and Spencer Group PLC</t>
  </si>
  <si>
    <t>MAKSY</t>
  </si>
  <si>
    <t>ManpowerGroup Inc.</t>
  </si>
  <si>
    <t>MAN</t>
  </si>
  <si>
    <t>Manhattan Associates, Inc.</t>
  </si>
  <si>
    <t>MANH</t>
  </si>
  <si>
    <t>ManTech International Corporation</t>
  </si>
  <si>
    <t>MANT</t>
  </si>
  <si>
    <t>Marriott International, Inc.</t>
  </si>
  <si>
    <t>MAR</t>
  </si>
  <si>
    <t>Marubeni Corp.</t>
  </si>
  <si>
    <t>MARUY</t>
  </si>
  <si>
    <t>Masco Corporation</t>
  </si>
  <si>
    <t>MAS</t>
  </si>
  <si>
    <t>Masimo Corporation</t>
  </si>
  <si>
    <t>MASI</t>
  </si>
  <si>
    <t>Mattel, Inc.</t>
  </si>
  <si>
    <t>MAT</t>
  </si>
  <si>
    <t>Moelis &amp; Company</t>
  </si>
  <si>
    <t>MC</t>
  </si>
  <si>
    <t>McDonalds Corporation</t>
  </si>
  <si>
    <t>MCD</t>
  </si>
  <si>
    <t>McAfee Corp.</t>
  </si>
  <si>
    <t>MCFE</t>
  </si>
  <si>
    <t>Microchip Technology Incorporated</t>
  </si>
  <si>
    <t>MCHP</t>
  </si>
  <si>
    <t>McKesson Corporation</t>
  </si>
  <si>
    <t>MCK</t>
  </si>
  <si>
    <t>Moodys Corporation</t>
  </si>
  <si>
    <t>MCO</t>
  </si>
  <si>
    <t>MongoDB, Inc.</t>
  </si>
  <si>
    <t>MDB</t>
  </si>
  <si>
    <t>M.D.C. Holdings, Inc.</t>
  </si>
  <si>
    <t>MDC</t>
  </si>
  <si>
    <t>Medallia, Inc.</t>
  </si>
  <si>
    <t>MDLA</t>
  </si>
  <si>
    <t>Mondelez International, Inc.</t>
  </si>
  <si>
    <t>MDLZ</t>
  </si>
  <si>
    <t>Medtronic PLC</t>
  </si>
  <si>
    <t>MDT</t>
  </si>
  <si>
    <t>MDU Resources Group, Inc.</t>
  </si>
  <si>
    <t>MDU</t>
  </si>
  <si>
    <t>Medpace Holdings, Inc.</t>
  </si>
  <si>
    <t>MEDP</t>
  </si>
  <si>
    <t>MercadoLibre, Inc.</t>
  </si>
  <si>
    <t>MELI</t>
  </si>
  <si>
    <t>MetLife, Inc.</t>
  </si>
  <si>
    <t>MET</t>
  </si>
  <si>
    <t>Manulife Financial Corp</t>
  </si>
  <si>
    <t>MFC</t>
  </si>
  <si>
    <t>Mizuho Financial Group, Inc.</t>
  </si>
  <si>
    <t>MFG</t>
  </si>
  <si>
    <t>Magna International Inc.</t>
  </si>
  <si>
    <t>MGA</t>
  </si>
  <si>
    <t>Michelin</t>
  </si>
  <si>
    <t>MGDDY</t>
  </si>
  <si>
    <t>MGM Resorts International</t>
  </si>
  <si>
    <t>MGM</t>
  </si>
  <si>
    <t>Magnite, Inc.</t>
  </si>
  <si>
    <t>MGNI</t>
  </si>
  <si>
    <t>MGM Growth Properties LLC</t>
  </si>
  <si>
    <t>MGP</t>
  </si>
  <si>
    <t>Mohawk Industries, Inc.</t>
  </si>
  <si>
    <t>MHK</t>
  </si>
  <si>
    <t>Mitsubishi Heavy Industries, Ltd.</t>
  </si>
  <si>
    <t>MHVYF</t>
  </si>
  <si>
    <t>The Middleby Corporation</t>
  </si>
  <si>
    <t>Mitsubishi Estate Co.</t>
  </si>
  <si>
    <t>MITEY</t>
  </si>
  <si>
    <t>McCormick &amp; Company, Incorporated</t>
  </si>
  <si>
    <t>MKC</t>
  </si>
  <si>
    <t>Markel Corporation</t>
  </si>
  <si>
    <t>MKL</t>
  </si>
  <si>
    <t>MKS Instruments, Inc.</t>
  </si>
  <si>
    <t>MKSI</t>
  </si>
  <si>
    <t>Makita Corp.</t>
  </si>
  <si>
    <t>MKTAY</t>
  </si>
  <si>
    <t>Tools - Handheld</t>
  </si>
  <si>
    <t>MarketAxess Holdings Inc.</t>
  </si>
  <si>
    <t>MKTX</t>
  </si>
  <si>
    <t>Melco Resorts &amp; Entertainment Limited</t>
  </si>
  <si>
    <t>MLCO</t>
  </si>
  <si>
    <t>Martin Marietta Materials, Inc.</t>
  </si>
  <si>
    <t>MLM</t>
  </si>
  <si>
    <t>Marsh &amp; McLennan Companies, Inc.</t>
  </si>
  <si>
    <t>MMC</t>
  </si>
  <si>
    <t>3M Company</t>
  </si>
  <si>
    <t>MMM</t>
  </si>
  <si>
    <t>Magellan Midstream Partners, L.P.</t>
  </si>
  <si>
    <t>MMP</t>
  </si>
  <si>
    <t>Maximus, Inc.</t>
  </si>
  <si>
    <t>MMS</t>
  </si>
  <si>
    <t>MINISO Group Holding Limited Unsponsored ADR</t>
  </si>
  <si>
    <t>MNSO</t>
  </si>
  <si>
    <t>Monster Beverage Corporation</t>
  </si>
  <si>
    <t>MNST</t>
  </si>
  <si>
    <t>Altria Group, Inc.</t>
  </si>
  <si>
    <t>MO</t>
  </si>
  <si>
    <t>Molina Healthcare, Inc</t>
  </si>
  <si>
    <t>MOH</t>
  </si>
  <si>
    <t>MONDI PLC UNS</t>
  </si>
  <si>
    <t>MONDY</t>
  </si>
  <si>
    <t>The Mosaic Company</t>
  </si>
  <si>
    <t>MOS</t>
  </si>
  <si>
    <t>Marathon Petroleum Corporation</t>
  </si>
  <si>
    <t>MPC</t>
  </si>
  <si>
    <t>MPLX LP</t>
  </si>
  <si>
    <t>MPLX</t>
  </si>
  <si>
    <t>Medical Properties Trust, Inc.</t>
  </si>
  <si>
    <t>MPW</t>
  </si>
  <si>
    <t>Monolithic Power Systems, Inc.</t>
  </si>
  <si>
    <t>MPWR</t>
  </si>
  <si>
    <t>Murata Manufacturing Inc.</t>
  </si>
  <si>
    <t>MRAAY</t>
  </si>
  <si>
    <t>Mercury Systems Inc</t>
  </si>
  <si>
    <t>MRCY</t>
  </si>
  <si>
    <t>Merck &amp; Co., Inc.</t>
  </si>
  <si>
    <t>MRK</t>
  </si>
  <si>
    <t>Moderna, Inc.</t>
  </si>
  <si>
    <t>MRNA</t>
  </si>
  <si>
    <t>Marathon Oil Corporation</t>
  </si>
  <si>
    <t>MRO</t>
  </si>
  <si>
    <t>Mirati Therapeutics, Inc.</t>
  </si>
  <si>
    <t>MRTX</t>
  </si>
  <si>
    <t>Maravai LifeSciences Holdings, Inc.</t>
  </si>
  <si>
    <t>MRVI</t>
  </si>
  <si>
    <t>MRVL</t>
  </si>
  <si>
    <t>WM MORRISON SUP</t>
  </si>
  <si>
    <t>MRWSY</t>
  </si>
  <si>
    <t>Food - Natural Foods Products</t>
  </si>
  <si>
    <t>Morgan Stanley</t>
  </si>
  <si>
    <t>MS</t>
  </si>
  <si>
    <t>MSA Safety Incorporporated</t>
  </si>
  <si>
    <t>MSA</t>
  </si>
  <si>
    <t>MS&amp;AD Insurance Group Holdings Inc.</t>
  </si>
  <si>
    <t>MSADY</t>
  </si>
  <si>
    <t>MSCI Inc</t>
  </si>
  <si>
    <t>MSCI</t>
  </si>
  <si>
    <t>Microsoft Corporation</t>
  </si>
  <si>
    <t>MSFT</t>
  </si>
  <si>
    <t>The Madison Square Garden Company</t>
  </si>
  <si>
    <t>MSGS</t>
  </si>
  <si>
    <t>Motorola Solutions, Inc.</t>
  </si>
  <si>
    <t>MSI</t>
  </si>
  <si>
    <t>MSC Industrial Direct Company, Inc.</t>
  </si>
  <si>
    <t>MSM</t>
  </si>
  <si>
    <t>Datto Holding Corp.</t>
  </si>
  <si>
    <t>MSP</t>
  </si>
  <si>
    <t>ArcelorMittal</t>
  </si>
  <si>
    <t>MT</t>
  </si>
  <si>
    <t>M&amp;T Bank Corporation</t>
  </si>
  <si>
    <t>MTB</t>
  </si>
  <si>
    <t>Match Group Inc.</t>
  </si>
  <si>
    <t>MTCH</t>
  </si>
  <si>
    <t>MettlerToledo International, Inc.</t>
  </si>
  <si>
    <t>MTD</t>
  </si>
  <si>
    <t>MGIC Investment Corporation</t>
  </si>
  <si>
    <t>MTG</t>
  </si>
  <si>
    <t>Meritage Homes Corporation</t>
  </si>
  <si>
    <t>MTH</t>
  </si>
  <si>
    <t>Mitsubishi Chemical Holdings Corp.</t>
  </si>
  <si>
    <t>MTLHY</t>
  </si>
  <si>
    <t>Vail Resorts, Inc.</t>
  </si>
  <si>
    <t>MTN</t>
  </si>
  <si>
    <t>MACOM Technology Solutions Holdings, Inc.</t>
  </si>
  <si>
    <t>MTSI</t>
  </si>
  <si>
    <t>MasTec, Inc.</t>
  </si>
  <si>
    <t>MTZ</t>
  </si>
  <si>
    <t>Micron Technology, Inc.</t>
  </si>
  <si>
    <t>MU</t>
  </si>
  <si>
    <t>Semiconductor Memory</t>
  </si>
  <si>
    <t>Mitsubishi UFJ Financial Group, Inc.</t>
  </si>
  <si>
    <t>MUFG</t>
  </si>
  <si>
    <t>Murphy USA Inc.</t>
  </si>
  <si>
    <t>MUSA</t>
  </si>
  <si>
    <t>Maxim Integrated Products, Inc.</t>
  </si>
  <si>
    <t>MXIM</t>
  </si>
  <si>
    <t>Inari Medical, Inc.</t>
  </si>
  <si>
    <t>NARI</t>
  </si>
  <si>
    <t>National Instruments Corporation</t>
  </si>
  <si>
    <t>NATI</t>
  </si>
  <si>
    <t>Navistar International Corporation</t>
  </si>
  <si>
    <t>NAV</t>
  </si>
  <si>
    <t>Neurocrine Biosciences, Inc.</t>
  </si>
  <si>
    <t>NBIX</t>
  </si>
  <si>
    <t>Norwegian Cruise Line Holdings Ltd.</t>
  </si>
  <si>
    <t>NCLH</t>
  </si>
  <si>
    <t>nCino, Inc.</t>
  </si>
  <si>
    <t>NCNO</t>
  </si>
  <si>
    <t>NCR Corporation</t>
  </si>
  <si>
    <t>NCR</t>
  </si>
  <si>
    <t>Nasdaq, Inc.</t>
  </si>
  <si>
    <t>NDAQ</t>
  </si>
  <si>
    <t>Nitto Denko Corp.</t>
  </si>
  <si>
    <t>NDEKY</t>
  </si>
  <si>
    <t>Nordson Corporation</t>
  </si>
  <si>
    <t>NextEra Energy, Inc.</t>
  </si>
  <si>
    <t>NEE</t>
  </si>
  <si>
    <t>Newmont Corporation</t>
  </si>
  <si>
    <t>NEM</t>
  </si>
  <si>
    <t>NeoGenomics, Inc.</t>
  </si>
  <si>
    <t>NEO</t>
  </si>
  <si>
    <t>Neogen Corporation</t>
  </si>
  <si>
    <t>NEOG</t>
  </si>
  <si>
    <t>NextEra Energy Partners, LP</t>
  </si>
  <si>
    <t>NEP</t>
  </si>
  <si>
    <t>Cloudflare, Inc.</t>
  </si>
  <si>
    <t>NET</t>
  </si>
  <si>
    <t>New Relic, Inc.</t>
  </si>
  <si>
    <t>NEWR</t>
  </si>
  <si>
    <t>New Fortress Energy LLC</t>
  </si>
  <si>
    <t>NFE</t>
  </si>
  <si>
    <t>National Fuel Gas Company</t>
  </si>
  <si>
    <t>NFG</t>
  </si>
  <si>
    <t>Netflix, Inc.</t>
  </si>
  <si>
    <t>NFLX</t>
  </si>
  <si>
    <t>National Grid Transco, PLC</t>
  </si>
  <si>
    <t>NGG</t>
  </si>
  <si>
    <t>ANGLO AMER ADR</t>
  </si>
  <si>
    <t>NGLOY</t>
  </si>
  <si>
    <t>National Health Investors, Inc.</t>
  </si>
  <si>
    <t>NHI</t>
  </si>
  <si>
    <t>Norsk Hydro ASA</t>
  </si>
  <si>
    <t>NHYDY</t>
  </si>
  <si>
    <t>Metal Products - Procurement and Fabrication</t>
  </si>
  <si>
    <t>NiSource, Inc</t>
  </si>
  <si>
    <t>NI</t>
  </si>
  <si>
    <t>Nice Ltd.</t>
  </si>
  <si>
    <t>NICE</t>
  </si>
  <si>
    <t>Nidec Corp.</t>
  </si>
  <si>
    <t>NJDCY</t>
  </si>
  <si>
    <t>NewJersey Resources Corporation</t>
  </si>
  <si>
    <t>NJR</t>
  </si>
  <si>
    <t>NIKE, Inc.</t>
  </si>
  <si>
    <t>NKE</t>
  </si>
  <si>
    <t>Nikola Corporation</t>
  </si>
  <si>
    <t>NKLA</t>
  </si>
  <si>
    <t>Nektar Therapeutics</t>
  </si>
  <si>
    <t>NKTR</t>
  </si>
  <si>
    <t>NortonLifeLock Inc.</t>
  </si>
  <si>
    <t>NLOK</t>
  </si>
  <si>
    <t>Nielsen Holdings Plc</t>
  </si>
  <si>
    <t>NLSN</t>
  </si>
  <si>
    <t>Annaly Capital Management Inc</t>
  </si>
  <si>
    <t>NLY</t>
  </si>
  <si>
    <t>Nomura Holdings Inc ADR</t>
  </si>
  <si>
    <t>NMR</t>
  </si>
  <si>
    <t>NNCHY</t>
  </si>
  <si>
    <t>National Retail Properties</t>
  </si>
  <si>
    <t>NNN</t>
  </si>
  <si>
    <t>Northrop Grumman Corporation</t>
  </si>
  <si>
    <t>NOC</t>
  </si>
  <si>
    <t>Nokia Corporation</t>
  </si>
  <si>
    <t>NOK</t>
  </si>
  <si>
    <t>Nomad Foods Limited</t>
  </si>
  <si>
    <t>NOMD</t>
  </si>
  <si>
    <t>NOV Inc.</t>
  </si>
  <si>
    <t>NOV</t>
  </si>
  <si>
    <t>Sunnova Energy International Inc.</t>
  </si>
  <si>
    <t>NOVA</t>
  </si>
  <si>
    <t>Novanta Inc.</t>
  </si>
  <si>
    <t>NOVT</t>
  </si>
  <si>
    <t>ServiceNow, Inc.</t>
  </si>
  <si>
    <t>NOW</t>
  </si>
  <si>
    <t>Paints and Related Products</t>
  </si>
  <si>
    <t>NOMURA RESH LTD</t>
  </si>
  <si>
    <t>NRILY</t>
  </si>
  <si>
    <t>New Residential Investment Corp.</t>
  </si>
  <si>
    <t>NRZ</t>
  </si>
  <si>
    <t>Nissan Motor Co.</t>
  </si>
  <si>
    <t>NSANY</t>
  </si>
  <si>
    <t>Norfolk Southern Corporation</t>
  </si>
  <si>
    <t>NSC</t>
  </si>
  <si>
    <t>Insperity, Inc.</t>
  </si>
  <si>
    <t>NSP</t>
  </si>
  <si>
    <t>Nestle SA</t>
  </si>
  <si>
    <t>NSRGY</t>
  </si>
  <si>
    <t>NetApp, Inc.</t>
  </si>
  <si>
    <t>NTAP</t>
  </si>
  <si>
    <t>Natura &amp;Co Holding S.A. ADR</t>
  </si>
  <si>
    <t>NTCO</t>
  </si>
  <si>
    <t>Nintendo Co.</t>
  </si>
  <si>
    <t>NTDOY</t>
  </si>
  <si>
    <t>Intellia Therapeutics, Inc.</t>
  </si>
  <si>
    <t>NTLA</t>
  </si>
  <si>
    <t>Nutanix Inc.</t>
  </si>
  <si>
    <t>NTNX</t>
  </si>
  <si>
    <t>Nutrien Ltd.</t>
  </si>
  <si>
    <t>NTR</t>
  </si>
  <si>
    <t>Natera, Inc.</t>
  </si>
  <si>
    <t>NTRA</t>
  </si>
  <si>
    <t>Northern Trust Corporation</t>
  </si>
  <si>
    <t>NTRS</t>
  </si>
  <si>
    <t>Nuance Communications, Inc.</t>
  </si>
  <si>
    <t>NUAN</t>
  </si>
  <si>
    <t>Nucor Corporation</t>
  </si>
  <si>
    <t>NUE</t>
  </si>
  <si>
    <t>Novavax, Inc.</t>
  </si>
  <si>
    <t>NVAX</t>
  </si>
  <si>
    <t>NovoCure Limited</t>
  </si>
  <si>
    <t>NVCR</t>
  </si>
  <si>
    <t>NVIDIA Corporation</t>
  </si>
  <si>
    <t>NVDA</t>
  </si>
  <si>
    <t>Novo Nordisk AS</t>
  </si>
  <si>
    <t>NVO</t>
  </si>
  <si>
    <t>NVR, Inc.</t>
  </si>
  <si>
    <t>NVR</t>
  </si>
  <si>
    <t>Nevro Corp.</t>
  </si>
  <si>
    <t>NVRO</t>
  </si>
  <si>
    <t>Novartis AG</t>
  </si>
  <si>
    <t>NVS</t>
  </si>
  <si>
    <t>Envista Holdings Corporation</t>
  </si>
  <si>
    <t>NVST</t>
  </si>
  <si>
    <t>nVent Electric PLC</t>
  </si>
  <si>
    <t>NVT</t>
  </si>
  <si>
    <t>Invitae Corporation</t>
  </si>
  <si>
    <t>NVTA</t>
  </si>
  <si>
    <t>Newell Brands Inc.</t>
  </si>
  <si>
    <t>NWL</t>
  </si>
  <si>
    <t>Next PLC</t>
  </si>
  <si>
    <t>NXGPY</t>
  </si>
  <si>
    <t>NXP Semiconductors N.V.</t>
  </si>
  <si>
    <t>NXPI</t>
  </si>
  <si>
    <t>Nexstar Media Group, Inc</t>
  </si>
  <si>
    <t>NXST</t>
  </si>
  <si>
    <t>New York Community Bancorp, Inc.</t>
  </si>
  <si>
    <t>NYCB</t>
  </si>
  <si>
    <t>The New York Times Company</t>
  </si>
  <si>
    <t>NYT</t>
  </si>
  <si>
    <t>Publishing - Newspapers</t>
  </si>
  <si>
    <t>Realty Income Corporation</t>
  </si>
  <si>
    <t>O</t>
  </si>
  <si>
    <t>Owens Corning Inc</t>
  </si>
  <si>
    <t>OC</t>
  </si>
  <si>
    <t>OCADO GROUP PLC</t>
  </si>
  <si>
    <t>OCDDY</t>
  </si>
  <si>
    <t>OneConnect Financial Technology Co., Ltd. Sponsored ADR</t>
  </si>
  <si>
    <t>OCFT</t>
  </si>
  <si>
    <t>Olympus Corp.</t>
  </si>
  <si>
    <t>OCPNY</t>
  </si>
  <si>
    <t>Old Dominion Freight Line, Inc.</t>
  </si>
  <si>
    <t>ODFL</t>
  </si>
  <si>
    <t>OGE Energy Corporation</t>
  </si>
  <si>
    <t>OGE</t>
  </si>
  <si>
    <t>ONE Gas, Inc.</t>
  </si>
  <si>
    <t>OGS</t>
  </si>
  <si>
    <t>Omega Healthcare Investors, Inc.</t>
  </si>
  <si>
    <t>OHI</t>
  </si>
  <si>
    <t>ONEOK, Inc.</t>
  </si>
  <si>
    <t>OKE</t>
  </si>
  <si>
    <t>Okta, Inc.</t>
  </si>
  <si>
    <t>OKTA</t>
  </si>
  <si>
    <t>ORIENTAL LAND</t>
  </si>
  <si>
    <t>OLCLY</t>
  </si>
  <si>
    <t>Universal Display Corporation</t>
  </si>
  <si>
    <t>OLED</t>
  </si>
  <si>
    <t>Ollies Bargain Outlet Holdings, Inc.</t>
  </si>
  <si>
    <t>OLLI</t>
  </si>
  <si>
    <t>Olin Corporation</t>
  </si>
  <si>
    <t>OLN</t>
  </si>
  <si>
    <t>Omnicom Group Inc.</t>
  </si>
  <si>
    <t>OMC</t>
  </si>
  <si>
    <t>Omnicell, Inc.</t>
  </si>
  <si>
    <t>OMCL</t>
  </si>
  <si>
    <t>OneMain Holdings, Inc.</t>
  </si>
  <si>
    <t>OMF</t>
  </si>
  <si>
    <t>Omron Corp.</t>
  </si>
  <si>
    <t>OMRNY</t>
  </si>
  <si>
    <t>ON Semiconductor Corporation</t>
  </si>
  <si>
    <t>ON</t>
  </si>
  <si>
    <t>1Life Healthcare, Inc.</t>
  </si>
  <si>
    <t>ONEM</t>
  </si>
  <si>
    <t>Option Care Health, Inc.</t>
  </si>
  <si>
    <t>OPCH</t>
  </si>
  <si>
    <t>Ormat Technologies, Inc.</t>
  </si>
  <si>
    <t>ORA</t>
  </si>
  <si>
    <t>Orange</t>
  </si>
  <si>
    <t>ORAN</t>
  </si>
  <si>
    <t>Owl Rock Capital Corporation</t>
  </si>
  <si>
    <t>ORCC</t>
  </si>
  <si>
    <t>Oracle Corporation</t>
  </si>
  <si>
    <t>ORCL</t>
  </si>
  <si>
    <t>Old Republic International Corporation</t>
  </si>
  <si>
    <t>ORI</t>
  </si>
  <si>
    <t>OReilly Automotive, Inc.</t>
  </si>
  <si>
    <t>ORLY</t>
  </si>
  <si>
    <t>Orient Overseas International Ltd.</t>
  </si>
  <si>
    <t>OROVY</t>
  </si>
  <si>
    <t>Oak Street Health, Inc.</t>
  </si>
  <si>
    <t>OSH</t>
  </si>
  <si>
    <t>Oshkosh Corporation</t>
  </si>
  <si>
    <t>OSK</t>
  </si>
  <si>
    <t>Open Text Corporation</t>
  </si>
  <si>
    <t>OTEX</t>
  </si>
  <si>
    <t>Otis Worldwide Corporation</t>
  </si>
  <si>
    <t>OTIS</t>
  </si>
  <si>
    <t>OverseaChinese Banking Corporation Limited</t>
  </si>
  <si>
    <t>OVCHY</t>
  </si>
  <si>
    <t>Ovintiv Inc.</t>
  </si>
  <si>
    <t>OVV</t>
  </si>
  <si>
    <t>Occidental Petroleum Corporation</t>
  </si>
  <si>
    <t>OXY</t>
  </si>
  <si>
    <t>Bank OZK</t>
  </si>
  <si>
    <t>OZK</t>
  </si>
  <si>
    <t>Ozon Holdings PLC Sponsored ADR</t>
  </si>
  <si>
    <t>OZON</t>
  </si>
  <si>
    <t>Plains All American Pipeline, L.P.</t>
  </si>
  <si>
    <t>PAA</t>
  </si>
  <si>
    <t>Pan American Silver Corp.</t>
  </si>
  <si>
    <t>PAAS</t>
  </si>
  <si>
    <t>Mining - Silver</t>
  </si>
  <si>
    <t>Grupo Aeroportuario Del Pacifico, S.A. de C.V.</t>
  </si>
  <si>
    <t>PAC</t>
  </si>
  <si>
    <t>Pacific Biosciences of California, Inc.</t>
  </si>
  <si>
    <t>PACB</t>
  </si>
  <si>
    <t>PacWest Bancorp</t>
  </si>
  <si>
    <t>PACW</t>
  </si>
  <si>
    <t>Penske Automotive Group, Inc.</t>
  </si>
  <si>
    <t>PAG</t>
  </si>
  <si>
    <t>PagSeguro Digital Ltd.</t>
  </si>
  <si>
    <t>PAGS</t>
  </si>
  <si>
    <t>Palo Alto Networks, Inc.</t>
  </si>
  <si>
    <t>PANW</t>
  </si>
  <si>
    <t>Paycom Software, Inc.</t>
  </si>
  <si>
    <t>PAYC</t>
  </si>
  <si>
    <t>Paychex, Inc.</t>
  </si>
  <si>
    <t>PAYX</t>
  </si>
  <si>
    <t>Prosperity Bancshares, Inc.</t>
  </si>
  <si>
    <t>PB</t>
  </si>
  <si>
    <t>Pembina Pipeline Corp.</t>
  </si>
  <si>
    <t>PBA</t>
  </si>
  <si>
    <t>Peoples United Financial, Inc.</t>
  </si>
  <si>
    <t>PBCT</t>
  </si>
  <si>
    <t>Petroleo Brasileiro S.A. Petrobras</t>
  </si>
  <si>
    <t>PBR</t>
  </si>
  <si>
    <t>PACCAR Inc.</t>
  </si>
  <si>
    <t>PCAR</t>
  </si>
  <si>
    <t>Pacific Gas &amp; Electric Co.</t>
  </si>
  <si>
    <t>PCG</t>
  </si>
  <si>
    <t>Potlatch Corporation</t>
  </si>
  <si>
    <t>PCH</t>
  </si>
  <si>
    <t>Panasonic Corp.</t>
  </si>
  <si>
    <t>PCRFY</t>
  </si>
  <si>
    <t>Paylocity Holding Corporation</t>
  </si>
  <si>
    <t>PCTY</t>
  </si>
  <si>
    <t>PD</t>
  </si>
  <si>
    <t>Pernod Ricard SA</t>
  </si>
  <si>
    <t>PDRDY</t>
  </si>
  <si>
    <t>PDYPY</t>
  </si>
  <si>
    <t>Healthpeak Properties, Inc.</t>
  </si>
  <si>
    <t>PEAK</t>
  </si>
  <si>
    <t>Public Service Enterprise Group Incorporated</t>
  </si>
  <si>
    <t>PEG</t>
  </si>
  <si>
    <t>Pegasystems Inc.</t>
  </si>
  <si>
    <t>PEGA</t>
  </si>
  <si>
    <t>Penumbra, Inc.</t>
  </si>
  <si>
    <t>PEN</t>
  </si>
  <si>
    <t>Penn National Gaming, Inc.</t>
  </si>
  <si>
    <t>PENN</t>
  </si>
  <si>
    <t>PepsiCo, Inc.</t>
  </si>
  <si>
    <t>PEP</t>
  </si>
  <si>
    <t>Pfizer Inc.</t>
  </si>
  <si>
    <t>PFE</t>
  </si>
  <si>
    <t>Principal Financial Group, Inc.</t>
  </si>
  <si>
    <t>PFG</t>
  </si>
  <si>
    <t>Performance Food Group Company</t>
  </si>
  <si>
    <t>PFGC</t>
  </si>
  <si>
    <t>Proofpoint, Inc.</t>
  </si>
  <si>
    <t>PFPT</t>
  </si>
  <si>
    <t>PennyMac Financial Services, Inc.</t>
  </si>
  <si>
    <t>PFSI</t>
  </si>
  <si>
    <t>Procter &amp; Gamble Company The</t>
  </si>
  <si>
    <t>PG</t>
  </si>
  <si>
    <t>Progyny, Inc.</t>
  </si>
  <si>
    <t>PGNY</t>
  </si>
  <si>
    <t>The Progressive Corporation</t>
  </si>
  <si>
    <t>PGR</t>
  </si>
  <si>
    <t>ParkerHannifin Corporation</t>
  </si>
  <si>
    <t>Koninklijke Philips N.V.</t>
  </si>
  <si>
    <t>PHG</t>
  </si>
  <si>
    <t>PulteGroup, Inc.</t>
  </si>
  <si>
    <t>PHM</t>
  </si>
  <si>
    <t>Polaris Inc.</t>
  </si>
  <si>
    <t>PII</t>
  </si>
  <si>
    <t>Premier, Inc.</t>
  </si>
  <si>
    <t>PINC</t>
  </si>
  <si>
    <t>Pinterest, Inc.</t>
  </si>
  <si>
    <t>PINS</t>
  </si>
  <si>
    <t>Park Hotels &amp; Resorts Inc.</t>
  </si>
  <si>
    <t>PK</t>
  </si>
  <si>
    <t>Packaging Corporation of America</t>
  </si>
  <si>
    <t>PKG</t>
  </si>
  <si>
    <t>PerkinElmer, Inc.</t>
  </si>
  <si>
    <t>PKI</t>
  </si>
  <si>
    <t>POSCO</t>
  </si>
  <si>
    <t>PKX</t>
  </si>
  <si>
    <t>Anaplan, Inc.</t>
  </si>
  <si>
    <t>PLAN</t>
  </si>
  <si>
    <t>Prologis, Inc.</t>
  </si>
  <si>
    <t>PLD</t>
  </si>
  <si>
    <t>Planet Fitness, Inc.</t>
  </si>
  <si>
    <t>PLNT</t>
  </si>
  <si>
    <t>Palantir Technologies Inc.</t>
  </si>
  <si>
    <t>PLTR</t>
  </si>
  <si>
    <t>Plug Power, Inc.</t>
  </si>
  <si>
    <t>PLUG</t>
  </si>
  <si>
    <t>Philip Morris International Inc.</t>
  </si>
  <si>
    <t>PM</t>
  </si>
  <si>
    <t>The PNC Financial Services Group, Inc</t>
  </si>
  <si>
    <t>PNC</t>
  </si>
  <si>
    <t>Pinnacle Financial Partners, Inc.</t>
  </si>
  <si>
    <t>PNFP</t>
  </si>
  <si>
    <t>Ping An Insurance Co. of China Ltd.</t>
  </si>
  <si>
    <t>PNGAY</t>
  </si>
  <si>
    <t>PNM Resources, Inc.</t>
  </si>
  <si>
    <t>PNM</t>
  </si>
  <si>
    <t>Pentair plc</t>
  </si>
  <si>
    <t>Pinnacle West Capital Corporation</t>
  </si>
  <si>
    <t>PNW</t>
  </si>
  <si>
    <t>Insulet Corporation</t>
  </si>
  <si>
    <t>PODD</t>
  </si>
  <si>
    <t>Pool Corporation</t>
  </si>
  <si>
    <t>POOL</t>
  </si>
  <si>
    <t>Portland General Electric Company</t>
  </si>
  <si>
    <t>POR</t>
  </si>
  <si>
    <t>POLA ORBIS</t>
  </si>
  <si>
    <t>PORBF</t>
  </si>
  <si>
    <t>Post Holdings, Inc.</t>
  </si>
  <si>
    <t>POST</t>
  </si>
  <si>
    <t>Power Integrations, Inc.</t>
  </si>
  <si>
    <t>POWI</t>
  </si>
  <si>
    <t>Semiconductors - Power</t>
  </si>
  <si>
    <t>Pacific Premier Bancorp Inc</t>
  </si>
  <si>
    <t>PPBI</t>
  </si>
  <si>
    <t>Pilgrims Pride Corporation</t>
  </si>
  <si>
    <t>PPC</t>
  </si>
  <si>
    <t>PPD, Inc.</t>
  </si>
  <si>
    <t>PPD</t>
  </si>
  <si>
    <t>PPG Industries, Inc.</t>
  </si>
  <si>
    <t>PPG</t>
  </si>
  <si>
    <t>Kering SA</t>
  </si>
  <si>
    <t>PPRUY</t>
  </si>
  <si>
    <t>PRA Health Sciences, Inc.</t>
  </si>
  <si>
    <t>PRAH</t>
  </si>
  <si>
    <t>PRG</t>
  </si>
  <si>
    <t>Perrigo Company plc</t>
  </si>
  <si>
    <t>PRGO</t>
  </si>
  <si>
    <t>Primerica, Inc.</t>
  </si>
  <si>
    <t>PRI</t>
  </si>
  <si>
    <t>Prudential Financial, Inc.</t>
  </si>
  <si>
    <t>PRU</t>
  </si>
  <si>
    <t>Public Storage</t>
  </si>
  <si>
    <t>PSA</t>
  </si>
  <si>
    <t>PS Business Parks, Inc.</t>
  </si>
  <si>
    <t>PSB</t>
  </si>
  <si>
    <t>Persimmon Plc</t>
  </si>
  <si>
    <t>PSMMY</t>
  </si>
  <si>
    <t>Parsons Corporation</t>
  </si>
  <si>
    <t>PSN</t>
  </si>
  <si>
    <t>Pure Storage, Inc.</t>
  </si>
  <si>
    <t>PSTG</t>
  </si>
  <si>
    <t>Phillips 66</t>
  </si>
  <si>
    <t>PSX</t>
  </si>
  <si>
    <t>Phillips 66 Partners LP</t>
  </si>
  <si>
    <t>PSXP</t>
  </si>
  <si>
    <t>PTC Inc.</t>
  </si>
  <si>
    <t>PTC</t>
  </si>
  <si>
    <t>Peloton Interactive, Inc.</t>
  </si>
  <si>
    <t>PTON</t>
  </si>
  <si>
    <t>PetroChina Company Limited</t>
  </si>
  <si>
    <t>PTR</t>
  </si>
  <si>
    <t>Prudential Public Limited Company</t>
  </si>
  <si>
    <t>PUK</t>
  </si>
  <si>
    <t>PVH Corp.</t>
  </si>
  <si>
    <t>PVH</t>
  </si>
  <si>
    <t>Quanta Services, Inc.</t>
  </si>
  <si>
    <t>PWR</t>
  </si>
  <si>
    <t>Pioneer Natural Resources Company</t>
  </si>
  <si>
    <t>PXD</t>
  </si>
  <si>
    <t>PayPal Holdings, Inc.</t>
  </si>
  <si>
    <t>PYPL</t>
  </si>
  <si>
    <t>QUALCOMM Incorporated</t>
  </si>
  <si>
    <t>QCOM</t>
  </si>
  <si>
    <t>Quidel Corporation</t>
  </si>
  <si>
    <t>QDEL</t>
  </si>
  <si>
    <t>Qualys, Inc.</t>
  </si>
  <si>
    <t>QLYS</t>
  </si>
  <si>
    <t>Qurate Retail Group, Inc.</t>
  </si>
  <si>
    <t>QRTEA</t>
  </si>
  <si>
    <t>Qorvo, Inc.</t>
  </si>
  <si>
    <t>QRVO</t>
  </si>
  <si>
    <t>Semiconductors - Radio Frequency</t>
  </si>
  <si>
    <t>Restaurant Brands International Inc.</t>
  </si>
  <si>
    <t>QSR</t>
  </si>
  <si>
    <t>QTS Realty Trust, Inc.</t>
  </si>
  <si>
    <t>QTS</t>
  </si>
  <si>
    <t>Q2 Holdings, Inc.</t>
  </si>
  <si>
    <t>QTWO</t>
  </si>
  <si>
    <t>Ryder System, Inc.</t>
  </si>
  <si>
    <t>R</t>
  </si>
  <si>
    <t>Ferrari N.V.</t>
  </si>
  <si>
    <t>RACE</t>
  </si>
  <si>
    <t>LiveRamp Holdings, Inc.</t>
  </si>
  <si>
    <t>RAMP</t>
  </si>
  <si>
    <t>Randstad Holding NV</t>
  </si>
  <si>
    <t>RANJY</t>
  </si>
  <si>
    <t>Ultragenyx Pharmaceutical Inc.</t>
  </si>
  <si>
    <t>RARE</t>
  </si>
  <si>
    <t>Ritchie Bros. Auctioneers Incorporated</t>
  </si>
  <si>
    <t>RBA</t>
  </si>
  <si>
    <t>Regal Beloit Corporation</t>
  </si>
  <si>
    <t>RBC</t>
  </si>
  <si>
    <t>Reckitt Benckiser Group PLC</t>
  </si>
  <si>
    <t>RBGLY</t>
  </si>
  <si>
    <t>Rogers Communication, Inc.</t>
  </si>
  <si>
    <t>RCI</t>
  </si>
  <si>
    <t>Royal Caribbean Cruises Ltd.</t>
  </si>
  <si>
    <t>RCL</t>
  </si>
  <si>
    <t>Recruit Holdings Co., Ltd.</t>
  </si>
  <si>
    <t>RCRRF</t>
  </si>
  <si>
    <t>Redfin Corporation</t>
  </si>
  <si>
    <t>RDFN</t>
  </si>
  <si>
    <t>Radian Group Inc.</t>
  </si>
  <si>
    <t>RDN</t>
  </si>
  <si>
    <t>Royal Dutch Shell PLC</t>
  </si>
  <si>
    <t>RDS.A</t>
  </si>
  <si>
    <t>Koninklijke DSM NV</t>
  </si>
  <si>
    <t>RDSMY</t>
  </si>
  <si>
    <t>Dr. Reddys Laboratories Ltd</t>
  </si>
  <si>
    <t>RDY</t>
  </si>
  <si>
    <t>Everest Re Group, Ltd.</t>
  </si>
  <si>
    <t>RE</t>
  </si>
  <si>
    <t>Regency Centers Corporation</t>
  </si>
  <si>
    <t>REG</t>
  </si>
  <si>
    <t>Regeneron Pharmaceuticals, Inc.</t>
  </si>
  <si>
    <t>REGN</t>
  </si>
  <si>
    <t>REMY COINTREAU</t>
  </si>
  <si>
    <t>REMYY</t>
  </si>
  <si>
    <t>Repsol SA</t>
  </si>
  <si>
    <t>REPYY</t>
  </si>
  <si>
    <t>Reata Pharmaceuticals, Inc.</t>
  </si>
  <si>
    <t>RETA</t>
  </si>
  <si>
    <t>Rexford Industrial Realty, Inc.</t>
  </si>
  <si>
    <t>REXR</t>
  </si>
  <si>
    <t>Reynolds Consumer Products Inc.</t>
  </si>
  <si>
    <t>REYN</t>
  </si>
  <si>
    <t>Resideo Technologies, Inc.</t>
  </si>
  <si>
    <t>REZI</t>
  </si>
  <si>
    <t>Regions Financial Corporation</t>
  </si>
  <si>
    <t>RF</t>
  </si>
  <si>
    <t>Reinsurance Group of America, Incorporated</t>
  </si>
  <si>
    <t>RGA</t>
  </si>
  <si>
    <t>Repligen Corporation</t>
  </si>
  <si>
    <t>RGEN</t>
  </si>
  <si>
    <t>Royal Gold, Inc.</t>
  </si>
  <si>
    <t>RGLD</t>
  </si>
  <si>
    <t>RH</t>
  </si>
  <si>
    <t>Roche Holding AG</t>
  </si>
  <si>
    <t>RHHBY</t>
  </si>
  <si>
    <t>Robert Half International Inc.</t>
  </si>
  <si>
    <t>RHI</t>
  </si>
  <si>
    <t>Ryman Hospitality Properties, Inc.</t>
  </si>
  <si>
    <t>RHP</t>
  </si>
  <si>
    <t>Rio Tinto PLC</t>
  </si>
  <si>
    <t>RIO</t>
  </si>
  <si>
    <t>Raymond James Financial, Inc.</t>
  </si>
  <si>
    <t>RJF</t>
  </si>
  <si>
    <t>Rocket Companies, Inc.</t>
  </si>
  <si>
    <t>RKT</t>
  </si>
  <si>
    <t>Ralph Lauren Corporation</t>
  </si>
  <si>
    <t>RL</t>
  </si>
  <si>
    <t>Relay Therapeutics, Inc.</t>
  </si>
  <si>
    <t>RLAY</t>
  </si>
  <si>
    <t>RLI Corp.</t>
  </si>
  <si>
    <t>RLI</t>
  </si>
  <si>
    <t>ResMed Inc.</t>
  </si>
  <si>
    <t>RMD</t>
  </si>
  <si>
    <t>Ringcentral, Inc.</t>
  </si>
  <si>
    <t>RNG</t>
  </si>
  <si>
    <t>RenaissanceRe Holdings Ltd.</t>
  </si>
  <si>
    <t>RNR</t>
  </si>
  <si>
    <t>Rogers Corporation</t>
  </si>
  <si>
    <t>ROG</t>
  </si>
  <si>
    <t>Rockwell Automation, Inc.</t>
  </si>
  <si>
    <t>ROK</t>
  </si>
  <si>
    <t>Roku, Inc.</t>
  </si>
  <si>
    <t>ROKU</t>
  </si>
  <si>
    <t>Rollins, Inc.</t>
  </si>
  <si>
    <t>ROL</t>
  </si>
  <si>
    <t>Building Products - Maintenance Service</t>
  </si>
  <si>
    <t>RBC Bearings Incorporated</t>
  </si>
  <si>
    <t>Root, Inc.</t>
  </si>
  <si>
    <t>ROOT</t>
  </si>
  <si>
    <t>Roper Technologies, Inc.</t>
  </si>
  <si>
    <t>Ross Stores, Inc.</t>
  </si>
  <si>
    <t>ROST</t>
  </si>
  <si>
    <t>Rapid7, Inc.</t>
  </si>
  <si>
    <t>RPD</t>
  </si>
  <si>
    <t>RPM International Inc.</t>
  </si>
  <si>
    <t>RPM</t>
  </si>
  <si>
    <t>Royalty Pharma PLC</t>
  </si>
  <si>
    <t>RPRX</t>
  </si>
  <si>
    <t>Reliance Steel &amp; Aluminum Co.</t>
  </si>
  <si>
    <t>RS</t>
  </si>
  <si>
    <t>Republic Services, Inc.</t>
  </si>
  <si>
    <t>RSG</t>
  </si>
  <si>
    <t>Rentokil Initial PLC</t>
  </si>
  <si>
    <t>RTOKY</t>
  </si>
  <si>
    <t>Raytheon Technologies Corporation</t>
  </si>
  <si>
    <t>RTX</t>
  </si>
  <si>
    <t>Sunrun Inc.</t>
  </si>
  <si>
    <t>RUN</t>
  </si>
  <si>
    <t>RWE AG</t>
  </si>
  <si>
    <t>RWEOY</t>
  </si>
  <si>
    <t>Rexnord Corporation</t>
  </si>
  <si>
    <t>RXN</t>
  </si>
  <si>
    <t>Rackspace Technology, Inc.</t>
  </si>
  <si>
    <t>RXT</t>
  </si>
  <si>
    <t>Royal Bank Of Canada</t>
  </si>
  <si>
    <t>RY</t>
  </si>
  <si>
    <t>Ryanair Holdings PLC</t>
  </si>
  <si>
    <t>RYAAY</t>
  </si>
  <si>
    <t>Rayonier Inc.</t>
  </si>
  <si>
    <t>RYN</t>
  </si>
  <si>
    <t>Sabre Corporation</t>
  </si>
  <si>
    <t>SABR</t>
  </si>
  <si>
    <t>Safehold Inc.</t>
  </si>
  <si>
    <t>SAFE</t>
  </si>
  <si>
    <t>Safran SA</t>
  </si>
  <si>
    <t>SAFRY</t>
  </si>
  <si>
    <t>Sage Therapeutics, Inc.</t>
  </si>
  <si>
    <t>SAGE</t>
  </si>
  <si>
    <t>Saia, Inc.</t>
  </si>
  <si>
    <t>SAIA</t>
  </si>
  <si>
    <t>Science Applications International Corporation</t>
  </si>
  <si>
    <t>SAIC</t>
  </si>
  <si>
    <t>The Boston Beer Company, Inc.</t>
  </si>
  <si>
    <t>SAM</t>
  </si>
  <si>
    <t>Banco Santander, S.A.</t>
  </si>
  <si>
    <t>SAN</t>
  </si>
  <si>
    <t>SARTORIUS AG</t>
  </si>
  <si>
    <t>SARTF</t>
  </si>
  <si>
    <t>SBA Communications Corporation</t>
  </si>
  <si>
    <t>SBAC</t>
  </si>
  <si>
    <t>Schneider Electric SE</t>
  </si>
  <si>
    <t>SBGSY</t>
  </si>
  <si>
    <t>SBI Holdings Inc.</t>
  </si>
  <si>
    <t>SBHGF</t>
  </si>
  <si>
    <t>Signature Bank</t>
  </si>
  <si>
    <t>SBNY</t>
  </si>
  <si>
    <t>Sabra Healthcare REIT, Inc.</t>
  </si>
  <si>
    <t>SBRA</t>
  </si>
  <si>
    <t>Sibanye Gold Limited</t>
  </si>
  <si>
    <t>SBSW</t>
  </si>
  <si>
    <t>Starbucks Corporation</t>
  </si>
  <si>
    <t>SBUX</t>
  </si>
  <si>
    <t>Santander Consumer USA Holdings Inc.</t>
  </si>
  <si>
    <t>SC</t>
  </si>
  <si>
    <t>Standard Chartered PLC</t>
  </si>
  <si>
    <t>SCBFF</t>
  </si>
  <si>
    <t>Southern Copper Corporation</t>
  </si>
  <si>
    <t>SCCO</t>
  </si>
  <si>
    <t>Societe Generale Group</t>
  </si>
  <si>
    <t>SCGLY</t>
  </si>
  <si>
    <t>The Charles Schwab Corporation</t>
  </si>
  <si>
    <t>SCHW</t>
  </si>
  <si>
    <t>Sands China Ltd.</t>
  </si>
  <si>
    <t>SCHYY</t>
  </si>
  <si>
    <t>Service Corporation International</t>
  </si>
  <si>
    <t>SCI</t>
  </si>
  <si>
    <t>Swisscom AG</t>
  </si>
  <si>
    <t>SCMWY</t>
  </si>
  <si>
    <t>SmileDirectClub, Inc.</t>
  </si>
  <si>
    <t>SDC</t>
  </si>
  <si>
    <t>Schrodinger, Inc.</t>
  </si>
  <si>
    <t>SDGR</t>
  </si>
  <si>
    <t>Sandvik AB</t>
  </si>
  <si>
    <t>SDVKY</t>
  </si>
  <si>
    <t>Sea Limited Sponsored ADR</t>
  </si>
  <si>
    <t>SE</t>
  </si>
  <si>
    <t>SolarEdge Technologies, Inc.</t>
  </si>
  <si>
    <t>SEDG</t>
  </si>
  <si>
    <t>Sealed Air Corporation</t>
  </si>
  <si>
    <t>SEE</t>
  </si>
  <si>
    <t>SEGRO PLC REIT</t>
  </si>
  <si>
    <t>SEGXF</t>
  </si>
  <si>
    <t>SEI Investments Company</t>
  </si>
  <si>
    <t>SEIC</t>
  </si>
  <si>
    <t>Seiko Epson Corp.</t>
  </si>
  <si>
    <t>SEKEY</t>
  </si>
  <si>
    <t>Select Medical Holdings Corporation</t>
  </si>
  <si>
    <t>SEM</t>
  </si>
  <si>
    <t>SPECTRIS PLC</t>
  </si>
  <si>
    <t>SEPJY</t>
  </si>
  <si>
    <t>Stitch Fix, Inc.</t>
  </si>
  <si>
    <t>SFIX</t>
  </si>
  <si>
    <t>Seagen Inc.</t>
  </si>
  <si>
    <t>SGEN</t>
  </si>
  <si>
    <t>Scientific Games Corp</t>
  </si>
  <si>
    <t>SGMS</t>
  </si>
  <si>
    <t>Sage Group PLC</t>
  </si>
  <si>
    <t>SGPYY</t>
  </si>
  <si>
    <t>SGS SA</t>
  </si>
  <si>
    <t>SGSOY</t>
  </si>
  <si>
    <t>Shake Shack, Inc.</t>
  </si>
  <si>
    <t>SHAK</t>
  </si>
  <si>
    <t>Sotera Health Company</t>
  </si>
  <si>
    <t>SHC</t>
  </si>
  <si>
    <t>Sharp Corp.</t>
  </si>
  <si>
    <t>SHCAY</t>
  </si>
  <si>
    <t>ShinEtsu Chemical Co.</t>
  </si>
  <si>
    <t>SHECY</t>
  </si>
  <si>
    <t>Shell Midstream Partners, L.P.</t>
  </si>
  <si>
    <t>SHLX</t>
  </si>
  <si>
    <t>Shopify Inc.</t>
  </si>
  <si>
    <t>SHOP</t>
  </si>
  <si>
    <t>The SherwinWilliams Company</t>
  </si>
  <si>
    <t>SHW</t>
  </si>
  <si>
    <t>Siemens AG</t>
  </si>
  <si>
    <t>SIEGY</t>
  </si>
  <si>
    <t>Selective Insurance Group, Inc.</t>
  </si>
  <si>
    <t>SIGI</t>
  </si>
  <si>
    <t>Sirius XM Holdings Inc.</t>
  </si>
  <si>
    <t>SIRI</t>
  </si>
  <si>
    <t>SiteOne Landscape Supply, Inc.</t>
  </si>
  <si>
    <t>SITE</t>
  </si>
  <si>
    <t>SVB Financial Group</t>
  </si>
  <si>
    <t>SIVB</t>
  </si>
  <si>
    <t>Six Flags Entertainment Corporation New</t>
  </si>
  <si>
    <t>SIX</t>
  </si>
  <si>
    <t>The J. M. Smucker Company</t>
  </si>
  <si>
    <t>SJM</t>
  </si>
  <si>
    <t>Shaw Communications Inc.</t>
  </si>
  <si>
    <t>SJR</t>
  </si>
  <si>
    <t>AB SKF</t>
  </si>
  <si>
    <t>SKFRY</t>
  </si>
  <si>
    <t>SK Telecom Co., Ltd.</t>
  </si>
  <si>
    <t>SKM</t>
  </si>
  <si>
    <t>Skechers U.S.A., Inc.</t>
  </si>
  <si>
    <t>SKX</t>
  </si>
  <si>
    <t>Silicon Laboratories, Inc.</t>
  </si>
  <si>
    <t>SLAB</t>
  </si>
  <si>
    <t>Schlumberger Limited</t>
  </si>
  <si>
    <t>SLB</t>
  </si>
  <si>
    <t>Sun Life Financial Inc.</t>
  </si>
  <si>
    <t>SLF</t>
  </si>
  <si>
    <t>Standard Life PLC Unsponsored ADR</t>
  </si>
  <si>
    <t>SLFPY</t>
  </si>
  <si>
    <t>SL Green Realty Corporation</t>
  </si>
  <si>
    <t>SLG</t>
  </si>
  <si>
    <t>Silgan Holdings Inc.</t>
  </si>
  <si>
    <t>SLGN</t>
  </si>
  <si>
    <t>SLM Corporation</t>
  </si>
  <si>
    <t>SLM</t>
  </si>
  <si>
    <t>SelectQuote, Inc.</t>
  </si>
  <si>
    <t>SLQT</t>
  </si>
  <si>
    <t>Smartsheet Inc.</t>
  </si>
  <si>
    <t>SMAR</t>
  </si>
  <si>
    <t>Smc Corporation</t>
  </si>
  <si>
    <t>SMCAY</t>
  </si>
  <si>
    <t>Sumitomo Mitsui Financial Group Inc</t>
  </si>
  <si>
    <t>SMFG</t>
  </si>
  <si>
    <t>SMURFIT KAPPA</t>
  </si>
  <si>
    <t>SMFKY</t>
  </si>
  <si>
    <t>The Scotts MiracleGro Company</t>
  </si>
  <si>
    <t>SMG</t>
  </si>
  <si>
    <t>Smiths Group PLC</t>
  </si>
  <si>
    <t>SMGZY</t>
  </si>
  <si>
    <t>Semtech Corporation</t>
  </si>
  <si>
    <t>SMTC</t>
  </si>
  <si>
    <t>SnapOn Incorporated</t>
  </si>
  <si>
    <t>SNA</t>
  </si>
  <si>
    <t>Snap Inc.</t>
  </si>
  <si>
    <t>SNAP</t>
  </si>
  <si>
    <t>Schneider National, Inc.</t>
  </si>
  <si>
    <t>SNDR</t>
  </si>
  <si>
    <t>Sony Corporation</t>
  </si>
  <si>
    <t>Smith &amp; Nephew SNATS, Inc.</t>
  </si>
  <si>
    <t>SNN</t>
  </si>
  <si>
    <t>Snowflake Inc.</t>
  </si>
  <si>
    <t>SNOW</t>
  </si>
  <si>
    <t>China Petroleum &amp; Chemical Corporation</t>
  </si>
  <si>
    <t>SNP</t>
  </si>
  <si>
    <t>Synopsys, Inc.</t>
  </si>
  <si>
    <t>SNPS</t>
  </si>
  <si>
    <t>Synovus Financial Corp.</t>
  </si>
  <si>
    <t>SNV</t>
  </si>
  <si>
    <t>SYNNEX Corporation</t>
  </si>
  <si>
    <t>SNX</t>
  </si>
  <si>
    <t>Sanofi</t>
  </si>
  <si>
    <t>SNY</t>
  </si>
  <si>
    <t>Southern Company The</t>
  </si>
  <si>
    <t>SO</t>
  </si>
  <si>
    <t>SUMITOMO HEAVY</t>
  </si>
  <si>
    <t>SOHVY</t>
  </si>
  <si>
    <t>Secom Co.</t>
  </si>
  <si>
    <t>SOMLY</t>
  </si>
  <si>
    <t>Sonoco Products Company</t>
  </si>
  <si>
    <t>SON</t>
  </si>
  <si>
    <t>SONOVA HOLDING</t>
  </si>
  <si>
    <t>SONVY</t>
  </si>
  <si>
    <t>South32 Ltd.</t>
  </si>
  <si>
    <t>SOUHY</t>
  </si>
  <si>
    <t>Spectrum Brands Holdings Inc.</t>
  </si>
  <si>
    <t>SPB</t>
  </si>
  <si>
    <t>Virgin Galactic Holdings, Inc.</t>
  </si>
  <si>
    <t>SPCE</t>
  </si>
  <si>
    <t>Simon Property Group, Inc.</t>
  </si>
  <si>
    <t>SPG</t>
  </si>
  <si>
    <t>S&amp;P Global Inc.</t>
  </si>
  <si>
    <t>SPGI</t>
  </si>
  <si>
    <t>Spark New Zealand Ltd.</t>
  </si>
  <si>
    <t>SPKKY</t>
  </si>
  <si>
    <t>Splunk Inc.</t>
  </si>
  <si>
    <t>SPLK</t>
  </si>
  <si>
    <t>Spotify Technology SA</t>
  </si>
  <si>
    <t>SPOT</t>
  </si>
  <si>
    <t>Spirit Aerosystems Holdings, Inc.</t>
  </si>
  <si>
    <t>SPR</t>
  </si>
  <si>
    <t>SPS Commerce, Inc.</t>
  </si>
  <si>
    <t>SPSC</t>
  </si>
  <si>
    <t>SunPower Corporation</t>
  </si>
  <si>
    <t>SPWR</t>
  </si>
  <si>
    <t>SPIRAX SARCO</t>
  </si>
  <si>
    <t>SPXSF</t>
  </si>
  <si>
    <t>Square, Inc.</t>
  </si>
  <si>
    <t>SQ</t>
  </si>
  <si>
    <t>Square Enix Holdings Co., Ltd.</t>
  </si>
  <si>
    <t>SQNXF</t>
  </si>
  <si>
    <t>Spire Inc.</t>
  </si>
  <si>
    <t>SR</t>
  </si>
  <si>
    <t>Spirit Realty Capital, Inc.</t>
  </si>
  <si>
    <t>SRC</t>
  </si>
  <si>
    <t>Stericycle, Inc.</t>
  </si>
  <si>
    <t>SRCL</t>
  </si>
  <si>
    <t>Sempra Energy</t>
  </si>
  <si>
    <t>SRE</t>
  </si>
  <si>
    <t>Sarepta Therapeutics, Inc.</t>
  </si>
  <si>
    <t>SRPT</t>
  </si>
  <si>
    <t>SSAB SVENSKT</t>
  </si>
  <si>
    <t>SSAAY</t>
  </si>
  <si>
    <t>Simpson Manufacturing Company, Inc.</t>
  </si>
  <si>
    <t>SSD</t>
  </si>
  <si>
    <t>SSE PLC</t>
  </si>
  <si>
    <t>SSEZY</t>
  </si>
  <si>
    <t>Sasol Ltd.</t>
  </si>
  <si>
    <t>SSL</t>
  </si>
  <si>
    <t>SS&amp;C Technologies Holdings, Inc.</t>
  </si>
  <si>
    <t>SSNC</t>
  </si>
  <si>
    <t>Swiss Re Ltd.</t>
  </si>
  <si>
    <t>SSREY</t>
  </si>
  <si>
    <t>Silver Standard Resources Inc.</t>
  </si>
  <si>
    <t>SSRM</t>
  </si>
  <si>
    <t>Sumitomo Corp.</t>
  </si>
  <si>
    <t>SSUMY</t>
  </si>
  <si>
    <t>Sensata Technologies Holding N.V.</t>
  </si>
  <si>
    <t>ST</t>
  </si>
  <si>
    <t>STAAR Surgical Company</t>
  </si>
  <si>
    <t>STAA</t>
  </si>
  <si>
    <t>Stag Industrial, Inc.</t>
  </si>
  <si>
    <t>STAG</t>
  </si>
  <si>
    <t>STERIS plc</t>
  </si>
  <si>
    <t>STE</t>
  </si>
  <si>
    <t>Sterling Bancorp</t>
  </si>
  <si>
    <t>STL</t>
  </si>
  <si>
    <t>Steel Dynamics, Inc.</t>
  </si>
  <si>
    <t>STLD</t>
  </si>
  <si>
    <t>STMicroelectronics N.V.</t>
  </si>
  <si>
    <t>STM</t>
  </si>
  <si>
    <t>Stamps.com Inc.</t>
  </si>
  <si>
    <t>STMP</t>
  </si>
  <si>
    <t>Stantec Inc.</t>
  </si>
  <si>
    <t>STN</t>
  </si>
  <si>
    <t>StoneCo Ltd.</t>
  </si>
  <si>
    <t>STNE</t>
  </si>
  <si>
    <t>STORE Capital Corporation</t>
  </si>
  <si>
    <t>STOR</t>
  </si>
  <si>
    <t>State Street Corporation</t>
  </si>
  <si>
    <t>STT</t>
  </si>
  <si>
    <t>STARWOOD PROPERTY TRUST, INC.</t>
  </si>
  <si>
    <t>STWD</t>
  </si>
  <si>
    <t>STX</t>
  </si>
  <si>
    <t>Constellation Brands Inc</t>
  </si>
  <si>
    <t>STZ</t>
  </si>
  <si>
    <t>Suncor Energy  Inc.</t>
  </si>
  <si>
    <t>SU</t>
  </si>
  <si>
    <t>Sun Hung Kai Properties Ltd.</t>
  </si>
  <si>
    <t>SUHJY</t>
  </si>
  <si>
    <t>Sun Communities, Inc.</t>
  </si>
  <si>
    <t>SUI</t>
  </si>
  <si>
    <t>Sunoco LP</t>
  </si>
  <si>
    <t>SUN</t>
  </si>
  <si>
    <t>SUMCO CORP ADR</t>
  </si>
  <si>
    <t>SUOPY</t>
  </si>
  <si>
    <t>ShockWave Medical, Inc.</t>
  </si>
  <si>
    <t>SWAV</t>
  </si>
  <si>
    <t>Switch, Inc.</t>
  </si>
  <si>
    <t>SWCH</t>
  </si>
  <si>
    <t>SolarWinds Corp.</t>
  </si>
  <si>
    <t>SWI</t>
  </si>
  <si>
    <t>Stanley Black &amp; Decker, Inc.</t>
  </si>
  <si>
    <t>SWK</t>
  </si>
  <si>
    <t>Skyworks Solutions, Inc.</t>
  </si>
  <si>
    <t>SWKS</t>
  </si>
  <si>
    <t>Swedish Match AB Unsponsored ADR</t>
  </si>
  <si>
    <t>SWMAY</t>
  </si>
  <si>
    <t>Swire Pacific Ltd.</t>
  </si>
  <si>
    <t>SWRAY</t>
  </si>
  <si>
    <t>SWTX</t>
  </si>
  <si>
    <t>Southwest Gas Corporation</t>
  </si>
  <si>
    <t>SWX</t>
  </si>
  <si>
    <t>Sensient Technologies Corporation</t>
  </si>
  <si>
    <t>SXT</t>
  </si>
  <si>
    <t>Synchrony Financial</t>
  </si>
  <si>
    <t>SYF</t>
  </si>
  <si>
    <t>Symrise AG Unsponsored ADR</t>
  </si>
  <si>
    <t>SYIEY</t>
  </si>
  <si>
    <t>Stryker Corporation</t>
  </si>
  <si>
    <t>SYK</t>
  </si>
  <si>
    <t>Synaptics Incorporated</t>
  </si>
  <si>
    <t>SYNA</t>
  </si>
  <si>
    <t>Syneos Health, Inc.</t>
  </si>
  <si>
    <t>SYNH</t>
  </si>
  <si>
    <t>Sysco Corporation</t>
  </si>
  <si>
    <t>SYY</t>
  </si>
  <si>
    <t>SUZUKI MOTOR CP</t>
  </si>
  <si>
    <t>SZKMY</t>
  </si>
  <si>
    <t>AT&amp;T Inc.</t>
  </si>
  <si>
    <t>T</t>
  </si>
  <si>
    <t>Takeda Pharmaceutical Co.</t>
  </si>
  <si>
    <t>TAK</t>
  </si>
  <si>
    <t>Molson Coors Beverage Company</t>
  </si>
  <si>
    <t>TAP</t>
  </si>
  <si>
    <t>Tate &amp; Lyle PLC</t>
  </si>
  <si>
    <t>TATYY</t>
  </si>
  <si>
    <t>Texas Capital Bancshares, Inc.</t>
  </si>
  <si>
    <t>TCBI</t>
  </si>
  <si>
    <t>Tencent Holding Ltd.</t>
  </si>
  <si>
    <t>TCEHY</t>
  </si>
  <si>
    <t>TCF Financial Corporation</t>
  </si>
  <si>
    <t>TCF</t>
  </si>
  <si>
    <t>Toronto Dominion Bank The</t>
  </si>
  <si>
    <t>TD</t>
  </si>
  <si>
    <t>Transdigm Group Incorporated</t>
  </si>
  <si>
    <t>TDG</t>
  </si>
  <si>
    <t>Teladoc Health, Inc.</t>
  </si>
  <si>
    <t>TDOC</t>
  </si>
  <si>
    <t>Teledyne Technologies Incorporated</t>
  </si>
  <si>
    <t>TDY</t>
  </si>
  <si>
    <t>Atlassian Corporation PLC</t>
  </si>
  <si>
    <t>TEAM</t>
  </si>
  <si>
    <t>BioTechne Corp</t>
  </si>
  <si>
    <t>TECH</t>
  </si>
  <si>
    <t>Teck Resources Ltd</t>
  </si>
  <si>
    <t>TECK</t>
  </si>
  <si>
    <t>Telefonica SA</t>
  </si>
  <si>
    <t>TEF</t>
  </si>
  <si>
    <t>TE Connectivity Ltd.</t>
  </si>
  <si>
    <t>TEL</t>
  </si>
  <si>
    <t>Tenable Holdings, Inc.</t>
  </si>
  <si>
    <t>TENB</t>
  </si>
  <si>
    <t>Teradyne, Inc.</t>
  </si>
  <si>
    <t>TER</t>
  </si>
  <si>
    <t>Teva Pharmaceutical Industries Ltd.</t>
  </si>
  <si>
    <t>TEVA</t>
  </si>
  <si>
    <t>Truist Financial Corporation</t>
  </si>
  <si>
    <t>TFC</t>
  </si>
  <si>
    <t>TFI International Inc.</t>
  </si>
  <si>
    <t>TFII</t>
  </si>
  <si>
    <t>TFS Financial Corporation</t>
  </si>
  <si>
    <t>TFSL</t>
  </si>
  <si>
    <t>Teleflex Incorporated</t>
  </si>
  <si>
    <t>TFX</t>
  </si>
  <si>
    <t>TEGNA Inc.</t>
  </si>
  <si>
    <t>TGNA</t>
  </si>
  <si>
    <t>Target Corporation</t>
  </si>
  <si>
    <t>TGT</t>
  </si>
  <si>
    <t>TG Therapeutics, Inc.</t>
  </si>
  <si>
    <t>TGTX</t>
  </si>
  <si>
    <t>Tenet Healthcare Corporation</t>
  </si>
  <si>
    <t>THC</t>
  </si>
  <si>
    <t>The Hanover Insurance Group, Inc.</t>
  </si>
  <si>
    <t>THG</t>
  </si>
  <si>
    <t>Thk Co., Ltd.</t>
  </si>
  <si>
    <t>THKLY</t>
  </si>
  <si>
    <t>Thor Industries, Inc.</t>
  </si>
  <si>
    <t>THO</t>
  </si>
  <si>
    <t>Building Products - Mobile Homes and RV Builders</t>
  </si>
  <si>
    <t>TIMB</t>
  </si>
  <si>
    <t>Teijin Ltd.</t>
  </si>
  <si>
    <t>TINLY</t>
  </si>
  <si>
    <t>The TJX Companies, Inc.</t>
  </si>
  <si>
    <t>TJX</t>
  </si>
  <si>
    <t>Telekom Austria AG</t>
  </si>
  <si>
    <t>TKAGY</t>
  </si>
  <si>
    <t>Tokio Marine Holdings Inc.</t>
  </si>
  <si>
    <t>TKOMY</t>
  </si>
  <si>
    <t>Timken Company The</t>
  </si>
  <si>
    <t>TKR</t>
  </si>
  <si>
    <t>TeliaSonera AB</t>
  </si>
  <si>
    <t>TLSNY</t>
  </si>
  <si>
    <t>Toyota Motor Corporation</t>
  </si>
  <si>
    <t>TM</t>
  </si>
  <si>
    <t>Taylor Morrison Home Corporation</t>
  </si>
  <si>
    <t>TMHC</t>
  </si>
  <si>
    <t>Trend Micro Inc.</t>
  </si>
  <si>
    <t>TMICY</t>
  </si>
  <si>
    <t>TEMENOS GROUP</t>
  </si>
  <si>
    <t>TMNSF</t>
  </si>
  <si>
    <t>Thermo Fisher Scientific Inc.</t>
  </si>
  <si>
    <t>TMO</t>
  </si>
  <si>
    <t>TMobile US, Inc.</t>
  </si>
  <si>
    <t>TMUS</t>
  </si>
  <si>
    <t>Terminix Global Holdings, Inc.</t>
  </si>
  <si>
    <t>TMX</t>
  </si>
  <si>
    <t>Tandem Diabetes Care, Inc.</t>
  </si>
  <si>
    <t>TNDM</t>
  </si>
  <si>
    <t>TriNet Group, Inc.</t>
  </si>
  <si>
    <t>TNET</t>
  </si>
  <si>
    <t>Tokyo Electron Ltd.</t>
  </si>
  <si>
    <t>TOELY</t>
  </si>
  <si>
    <t>Toll Brothers Inc.</t>
  </si>
  <si>
    <t>TOL</t>
  </si>
  <si>
    <t>TOSOH CORP</t>
  </si>
  <si>
    <t>TOSCF</t>
  </si>
  <si>
    <t>Toshiba Corp.</t>
  </si>
  <si>
    <t>TOSYY</t>
  </si>
  <si>
    <t>TOTAL SE</t>
  </si>
  <si>
    <t>TOT</t>
  </si>
  <si>
    <t>Texas Pacific Land Corporation</t>
  </si>
  <si>
    <t>TPL</t>
  </si>
  <si>
    <t>Tapestry, Inc.</t>
  </si>
  <si>
    <t>TPR</t>
  </si>
  <si>
    <t>Turning Point Therapeutics, Inc.</t>
  </si>
  <si>
    <t>TPTX</t>
  </si>
  <si>
    <t>Tempur Sealy International, Inc.</t>
  </si>
  <si>
    <t>TPX</t>
  </si>
  <si>
    <t>Trex Company, Inc.</t>
  </si>
  <si>
    <t>TREX</t>
  </si>
  <si>
    <t>Targa Resources, Inc.</t>
  </si>
  <si>
    <t>TRGP</t>
  </si>
  <si>
    <t>Thomson Reuters Corp</t>
  </si>
  <si>
    <t>TRI</t>
  </si>
  <si>
    <t>TripAdvisor, Inc.</t>
  </si>
  <si>
    <t>TRIP</t>
  </si>
  <si>
    <t>Trimble Inc.</t>
  </si>
  <si>
    <t>TRMB</t>
  </si>
  <si>
    <t>Trinity Industries, Inc.</t>
  </si>
  <si>
    <t>TRN</t>
  </si>
  <si>
    <t>Terreno Realty Corporation</t>
  </si>
  <si>
    <t>TRNO</t>
  </si>
  <si>
    <t>T. Rowe Price Group, Inc.</t>
  </si>
  <si>
    <t>TROW</t>
  </si>
  <si>
    <t>TC Energy Corporation</t>
  </si>
  <si>
    <t>TRP</t>
  </si>
  <si>
    <t>Triton International Limited</t>
  </si>
  <si>
    <t>TRTN</t>
  </si>
  <si>
    <t>TransUnion</t>
  </si>
  <si>
    <t>TRU</t>
  </si>
  <si>
    <t>Trupanion, Inc.</t>
  </si>
  <si>
    <t>TRUP</t>
  </si>
  <si>
    <t>The Travelers Companies, Inc.</t>
  </si>
  <si>
    <t>TRV</t>
  </si>
  <si>
    <t>Toray Industries Inc.</t>
  </si>
  <si>
    <t>TRYIY</t>
  </si>
  <si>
    <t>Textile - Products</t>
  </si>
  <si>
    <t>Tenaris S.A.</t>
  </si>
  <si>
    <t>TS</t>
  </si>
  <si>
    <t>Tesco PLC</t>
  </si>
  <si>
    <t>Tractor Supply Company</t>
  </si>
  <si>
    <t>TSCO</t>
  </si>
  <si>
    <t>Tsingtao Brewery Co.</t>
  </si>
  <si>
    <t>TSGTY</t>
  </si>
  <si>
    <t>Tesla, Inc.</t>
  </si>
  <si>
    <t>TSLA</t>
  </si>
  <si>
    <t>Taiwan Semiconductor Manufacturing Company Ltd.</t>
  </si>
  <si>
    <t>TSM</t>
  </si>
  <si>
    <t>Semiconductor - Circuit Foundry</t>
  </si>
  <si>
    <t>Tyson Foods, Inc.</t>
  </si>
  <si>
    <t>TSN</t>
  </si>
  <si>
    <t>Trane Technologies plc</t>
  </si>
  <si>
    <t>TT</t>
  </si>
  <si>
    <t>Toro Company The</t>
  </si>
  <si>
    <t>TTC</t>
  </si>
  <si>
    <t>The Trade Desk Inc.</t>
  </si>
  <si>
    <t>TTD</t>
  </si>
  <si>
    <t>TDK Corp.</t>
  </si>
  <si>
    <t>TTDKY</t>
  </si>
  <si>
    <t>TeleTech Holdings, Inc.</t>
  </si>
  <si>
    <t>TTEC</t>
  </si>
  <si>
    <t>Tetra Tech, Inc.</t>
  </si>
  <si>
    <t>TTEK</t>
  </si>
  <si>
    <t>Tata Motors Ltd</t>
  </si>
  <si>
    <t>TTM</t>
  </si>
  <si>
    <t>TakeTwo Interactive Software, Inc.</t>
  </si>
  <si>
    <t>TTWO</t>
  </si>
  <si>
    <t>TELUS Corporation</t>
  </si>
  <si>
    <t>TU</t>
  </si>
  <si>
    <t>TUI AG ADR</t>
  </si>
  <si>
    <t>TUIFY</t>
  </si>
  <si>
    <t>Grupo Televisa S.A.</t>
  </si>
  <si>
    <t>TV</t>
  </si>
  <si>
    <t>Tradeweb Markets Inc.</t>
  </si>
  <si>
    <t>TW</t>
  </si>
  <si>
    <t>Twilio Inc.</t>
  </si>
  <si>
    <t>TWLO</t>
  </si>
  <si>
    <t>Taylor Wimpey PLC Unsponsored ADR</t>
  </si>
  <si>
    <t>TWODY</t>
  </si>
  <si>
    <t>Twist Bioscience Corporation</t>
  </si>
  <si>
    <t>TWST</t>
  </si>
  <si>
    <t>Twitter, Inc.</t>
  </si>
  <si>
    <t>TWTR</t>
  </si>
  <si>
    <t>Ternium S.A.</t>
  </si>
  <si>
    <t>TX</t>
  </si>
  <si>
    <t>TXG</t>
  </si>
  <si>
    <t>Texas Instruments Incorporated</t>
  </si>
  <si>
    <t>TXN</t>
  </si>
  <si>
    <t>Texas Roadhouse, Inc.</t>
  </si>
  <si>
    <t>TXRH</t>
  </si>
  <si>
    <t>Textron Inc.</t>
  </si>
  <si>
    <t>TXT</t>
  </si>
  <si>
    <t>Tyler Technologies, Inc.</t>
  </si>
  <si>
    <t>TYL</t>
  </si>
  <si>
    <t>Unity Software Inc.</t>
  </si>
  <si>
    <t>U</t>
  </si>
  <si>
    <t>Under Armour, Inc.</t>
  </si>
  <si>
    <t>UAA</t>
  </si>
  <si>
    <t>United Airlines Holdings Inc</t>
  </si>
  <si>
    <t>UAL</t>
  </si>
  <si>
    <t>Uber Technologies, Inc.</t>
  </si>
  <si>
    <t>UBER</t>
  </si>
  <si>
    <t>UBS Group AG</t>
  </si>
  <si>
    <t>UBS</t>
  </si>
  <si>
    <t>UbiSoft Entertainment Inc.</t>
  </si>
  <si>
    <t>UBSFY</t>
  </si>
  <si>
    <t>United Dominion Realty Trust, Inc.</t>
  </si>
  <si>
    <t>UDR</t>
  </si>
  <si>
    <t>UFPI</t>
  </si>
  <si>
    <t>UGI Corporation</t>
  </si>
  <si>
    <t>UGI</t>
  </si>
  <si>
    <t>Ultrapar Participacoes S.A.</t>
  </si>
  <si>
    <t>UGP</t>
  </si>
  <si>
    <t>Universal Health Services, Inc.</t>
  </si>
  <si>
    <t>UHS</t>
  </si>
  <si>
    <t>Ubiquiti Inc.</t>
  </si>
  <si>
    <t>UI</t>
  </si>
  <si>
    <t>Ulta Beauty Inc.</t>
  </si>
  <si>
    <t>ULTA</t>
  </si>
  <si>
    <t>UMB Financial Corporation</t>
  </si>
  <si>
    <t>UMBF</t>
  </si>
  <si>
    <t>Umpqua Holdings Corporation</t>
  </si>
  <si>
    <t>UMPQ</t>
  </si>
  <si>
    <t>UNICREDITO SPA</t>
  </si>
  <si>
    <t>UNCFF</t>
  </si>
  <si>
    <t>Unifirst Corporation</t>
  </si>
  <si>
    <t>UNF</t>
  </si>
  <si>
    <t>UnitedHealth Group Incorporated</t>
  </si>
  <si>
    <t>UNH</t>
  </si>
  <si>
    <t>UNICHARM CORP</t>
  </si>
  <si>
    <t>UNICY</t>
  </si>
  <si>
    <t>Unum Group</t>
  </si>
  <si>
    <t>UNM</t>
  </si>
  <si>
    <t>Union Pacific Corporation</t>
  </si>
  <si>
    <t>UNP</t>
  </si>
  <si>
    <t>UNVR</t>
  </si>
  <si>
    <t>United Parcel Service, Inc.</t>
  </si>
  <si>
    <t>UPS</t>
  </si>
  <si>
    <t>Upstart Holdings, Inc.</t>
  </si>
  <si>
    <t>UPST</t>
  </si>
  <si>
    <t>Upwork Inc.</t>
  </si>
  <si>
    <t>UPWK</t>
  </si>
  <si>
    <t>United Rentals, Inc.</t>
  </si>
  <si>
    <t>URI</t>
  </si>
  <si>
    <t>U.S. Bancorp</t>
  </si>
  <si>
    <t>USB</t>
  </si>
  <si>
    <t>US Foods Holding Corp.</t>
  </si>
  <si>
    <t>USFD</t>
  </si>
  <si>
    <t>UNITE Group PLC</t>
  </si>
  <si>
    <t>UTGPF</t>
  </si>
  <si>
    <t>United Therapeutics Corporation</t>
  </si>
  <si>
    <t>UTHR</t>
  </si>
  <si>
    <t>Visa Inc.</t>
  </si>
  <si>
    <t>V</t>
  </si>
  <si>
    <t>Marriot Vacations Worldwide Corporation</t>
  </si>
  <si>
    <t>VAC</t>
  </si>
  <si>
    <t>VALE S.A.</t>
  </si>
  <si>
    <t>VALE</t>
  </si>
  <si>
    <t>Visteon Corporation</t>
  </si>
  <si>
    <t>VC</t>
  </si>
  <si>
    <t>Veeva Systems Inc.</t>
  </si>
  <si>
    <t>VEEV</t>
  </si>
  <si>
    <t>VEON Ltd.</t>
  </si>
  <si>
    <t>VEON</t>
  </si>
  <si>
    <t>VEREIT Inc.</t>
  </si>
  <si>
    <t>VER</t>
  </si>
  <si>
    <t>V.F. Corporation</t>
  </si>
  <si>
    <t>VFC</t>
  </si>
  <si>
    <t>Vonage Holdings Corp.</t>
  </si>
  <si>
    <t>VG</t>
  </si>
  <si>
    <t>ViacomCBS Inc.</t>
  </si>
  <si>
    <t>VIAC</t>
  </si>
  <si>
    <t>Viavi Solutions Inc.</t>
  </si>
  <si>
    <t>VIAV</t>
  </si>
  <si>
    <t>VICI Properties Inc.</t>
  </si>
  <si>
    <t>VICI</t>
  </si>
  <si>
    <t>Vicor Corporation</t>
  </si>
  <si>
    <t>VICR</t>
  </si>
  <si>
    <t>Vipshop Holdings Limited</t>
  </si>
  <si>
    <t>VIPS</t>
  </si>
  <si>
    <t>Vir Biotechnology, Inc.</t>
  </si>
  <si>
    <t>VIR</t>
  </si>
  <si>
    <t>Virtu Financial, Inc.</t>
  </si>
  <si>
    <t>VIRT</t>
  </si>
  <si>
    <t>Vivendi SA</t>
  </si>
  <si>
    <t>VIVHY</t>
  </si>
  <si>
    <t>Ahold NV</t>
  </si>
  <si>
    <t>ADRNY</t>
  </si>
  <si>
    <t>Affirm Holdings, Inc.</t>
  </si>
  <si>
    <t>AFRM</t>
  </si>
  <si>
    <t>First Majestic Silver Corp.</t>
  </si>
  <si>
    <t>AG</t>
  </si>
  <si>
    <t>Alstom ADR</t>
  </si>
  <si>
    <t>ALSMY</t>
  </si>
  <si>
    <t>Amadeus IT Group SA Unsponsored ADR</t>
  </si>
  <si>
    <t>Amyris, Inc.</t>
  </si>
  <si>
    <t>AMRS</t>
  </si>
  <si>
    <t>ACERINOX SA ADR</t>
  </si>
  <si>
    <t>ANIOY</t>
  </si>
  <si>
    <t>APi Group Corporation</t>
  </si>
  <si>
    <t>APG</t>
  </si>
  <si>
    <t>Apple Hospitality REIT, Inc.</t>
  </si>
  <si>
    <t>APLE</t>
  </si>
  <si>
    <t>Atlantia SpA</t>
  </si>
  <si>
    <t>ATASY</t>
  </si>
  <si>
    <t>Atotech Limited</t>
  </si>
  <si>
    <t>ATC</t>
  </si>
  <si>
    <t>Atlas Corp.</t>
  </si>
  <si>
    <t>ATCO</t>
  </si>
  <si>
    <t>Autohome Inc.</t>
  </si>
  <si>
    <t>ATHM</t>
  </si>
  <si>
    <t>Avient Corporation</t>
  </si>
  <si>
    <t>AXON</t>
  </si>
  <si>
    <t>Banco De Chile</t>
  </si>
  <si>
    <t>BCH</t>
  </si>
  <si>
    <t>Beacon Roofing Supply, Inc.</t>
  </si>
  <si>
    <t>BECN</t>
  </si>
  <si>
    <t>Boohoo Group Plc Unsponsored ADR</t>
  </si>
  <si>
    <t>Banco Santander Chile</t>
  </si>
  <si>
    <t>BSAC</t>
  </si>
  <si>
    <t>Britvic PLC Sponsored ADR</t>
  </si>
  <si>
    <t>BTVCY</t>
  </si>
  <si>
    <t>CONAGRA BRANDS</t>
  </si>
  <si>
    <t>Avis Budget Group, Inc.</t>
  </si>
  <si>
    <t>CAR</t>
  </si>
  <si>
    <t>Cathay General Bancorp</t>
  </si>
  <si>
    <t>CATY</t>
  </si>
  <si>
    <t>Carlyle Group Inc.</t>
  </si>
  <si>
    <t>Chewy Inc.</t>
  </si>
  <si>
    <t>ChampionX Corporation</t>
  </si>
  <si>
    <t>CHINA MENGNIU</t>
  </si>
  <si>
    <t>CIADY</t>
  </si>
  <si>
    <t>CLP Holdings Ltd.</t>
  </si>
  <si>
    <t>CLPHY</t>
  </si>
  <si>
    <t>Clarivate PLC</t>
  </si>
  <si>
    <t>CLVT</t>
  </si>
  <si>
    <t>Commercial Metals Company</t>
  </si>
  <si>
    <t>CMC</t>
  </si>
  <si>
    <t>Cannae Holdings, Inc.</t>
  </si>
  <si>
    <t>Columbia Banking System, Inc.</t>
  </si>
  <si>
    <t>COLB</t>
  </si>
  <si>
    <t>China Resources Enterprise Ltd.</t>
  </si>
  <si>
    <t>CRHKY</t>
  </si>
  <si>
    <t>CrowdStrike Holdings Inc.</t>
  </si>
  <si>
    <t>Cornerstone OnDemand, Inc.</t>
  </si>
  <si>
    <t>CSOD</t>
  </si>
  <si>
    <t>CVB Financial Corporation</t>
  </si>
  <si>
    <t>CVBF</t>
  </si>
  <si>
    <t>Casella Waste Systems, Inc.</t>
  </si>
  <si>
    <t>CWST</t>
  </si>
  <si>
    <t>Dana Incorporated</t>
  </si>
  <si>
    <t>DAN</t>
  </si>
  <si>
    <t>Desktop Metal, Inc.</t>
  </si>
  <si>
    <t>DM</t>
  </si>
  <si>
    <t>Manufacturing - Print</t>
  </si>
  <si>
    <t>EPR Properties</t>
  </si>
  <si>
    <t>EPR</t>
  </si>
  <si>
    <t>Element Solutions Inc.</t>
  </si>
  <si>
    <t>EssilorLuxottica Unsponsored ADR</t>
  </si>
  <si>
    <t>FrancoNevada Corporation</t>
  </si>
  <si>
    <t>FNV</t>
  </si>
  <si>
    <t>FS KKR Capital Corp. II</t>
  </si>
  <si>
    <t>FSKR</t>
  </si>
  <si>
    <t>Farfetch Limited</t>
  </si>
  <si>
    <t>FTCH</t>
  </si>
  <si>
    <t>Futu Holdings Limited Sponsored ADR</t>
  </si>
  <si>
    <t>FUTU</t>
  </si>
  <si>
    <t>Fiverr International Lt.</t>
  </si>
  <si>
    <t>GameStop Corp.</t>
  </si>
  <si>
    <t>GME</t>
  </si>
  <si>
    <t>The Goodyear Tire &amp; Rubber Company</t>
  </si>
  <si>
    <t>GT</t>
  </si>
  <si>
    <t>HollyFrontier Corporation</t>
  </si>
  <si>
    <t>HFC</t>
  </si>
  <si>
    <t>Hilton Grand Vacations Inc.</t>
  </si>
  <si>
    <t>HGV</t>
  </si>
  <si>
    <t>Hecla Mining Company</t>
  </si>
  <si>
    <t>HL</t>
  </si>
  <si>
    <t>Helmerich &amp; Payne, Inc.</t>
  </si>
  <si>
    <t>HP</t>
  </si>
  <si>
    <t>China Lodging Group, Limited</t>
  </si>
  <si>
    <t>HTHT</t>
  </si>
  <si>
    <t>Independent Bank Group, Inc</t>
  </si>
  <si>
    <t>IBTX</t>
  </si>
  <si>
    <t>IMab Sponsored ADR</t>
  </si>
  <si>
    <t>IMAB</t>
  </si>
  <si>
    <t>Investors Bancorp, Inc.</t>
  </si>
  <si>
    <t>ISBC</t>
  </si>
  <si>
    <t>Itochu Corp.</t>
  </si>
  <si>
    <t>ITOCY</t>
  </si>
  <si>
    <t>KornFerry International</t>
  </si>
  <si>
    <t>KFY</t>
  </si>
  <si>
    <t>Kingdee International Software Group Co., Ltd. Unsponsored ADR</t>
  </si>
  <si>
    <t>KGDEY</t>
  </si>
  <si>
    <t>Karuna Therapeutics, Inc.</t>
  </si>
  <si>
    <t>KRTX</t>
  </si>
  <si>
    <t>KT Corporation</t>
  </si>
  <si>
    <t>KT</t>
  </si>
  <si>
    <t>Kuraray Co.</t>
  </si>
  <si>
    <t>KURRY</t>
  </si>
  <si>
    <t>Lions Gate Entertainment Corp.</t>
  </si>
  <si>
    <t>LGF.A</t>
  </si>
  <si>
    <t>LGI Homes, Inc.</t>
  </si>
  <si>
    <t>LGIH</t>
  </si>
  <si>
    <t>Li Ning Co.</t>
  </si>
  <si>
    <t>LNNGY</t>
  </si>
  <si>
    <t>Meggitt PLC Unsponsored ADR</t>
  </si>
  <si>
    <t>MEGGY</t>
  </si>
  <si>
    <t>Magnolia Oil &amp; Gas Corp</t>
  </si>
  <si>
    <t>MGY</t>
  </si>
  <si>
    <t>Mitsui &amp; Co.</t>
  </si>
  <si>
    <t>MITSY</t>
  </si>
  <si>
    <t>MONOTARO</t>
  </si>
  <si>
    <t>MONOY</t>
  </si>
  <si>
    <t>Nikon Corp.</t>
  </si>
  <si>
    <t>NINOY</t>
  </si>
  <si>
    <t>NIO Inc.</t>
  </si>
  <si>
    <t>NIO</t>
  </si>
  <si>
    <t>Nissan Chemical Corporation Unsponsored ADR</t>
  </si>
  <si>
    <t>NetEase, Inc.</t>
  </si>
  <si>
    <t>NTES</t>
  </si>
  <si>
    <t>NuVasive, Inc.</t>
  </si>
  <si>
    <t>NUVA</t>
  </si>
  <si>
    <t>Novozymes AS</t>
  </si>
  <si>
    <t>NVZMY</t>
  </si>
  <si>
    <t>Ortho Clinical Diagnostics Holdings PLC</t>
  </si>
  <si>
    <t>OCDX</t>
  </si>
  <si>
    <t>Old National Bancorp</t>
  </si>
  <si>
    <t>ONB</t>
  </si>
  <si>
    <t>OUTFRONT Media Inc.</t>
  </si>
  <si>
    <t>OUT</t>
  </si>
  <si>
    <t>PagerDuty Inc.</t>
  </si>
  <si>
    <t>PDC Energy, Inc.</t>
  </si>
  <si>
    <t>PDCE</t>
  </si>
  <si>
    <t>Pinduoduo Inc. Sponsored ADR</t>
  </si>
  <si>
    <t>PDD</t>
  </si>
  <si>
    <t>Flutter Entertainment PLC Unsponsored ADR</t>
  </si>
  <si>
    <t>Playtika Holding Corp.</t>
  </si>
  <si>
    <t>PLTK</t>
  </si>
  <si>
    <t>Poshmark, Inc.</t>
  </si>
  <si>
    <t>POSH</t>
  </si>
  <si>
    <t>PPL Corporation</t>
  </si>
  <si>
    <t>PPL</t>
  </si>
  <si>
    <t>360 DigiTech, Inc. Sponsored ADR</t>
  </si>
  <si>
    <t>QFIN</t>
  </si>
  <si>
    <t>R1 RCM Inc.</t>
  </si>
  <si>
    <t>RCM</t>
  </si>
  <si>
    <t>RENISHAW PLC 20</t>
  </si>
  <si>
    <t>RNSHF</t>
  </si>
  <si>
    <t>Red Rock Resorts, Inc.</t>
  </si>
  <si>
    <t>RRR</t>
  </si>
  <si>
    <t>RollsRoyce Holdings PLC</t>
  </si>
  <si>
    <t>RYCEY</t>
  </si>
  <si>
    <t>Sanderson Farms, Inc.</t>
  </si>
  <si>
    <t>SAFM</t>
  </si>
  <si>
    <t>Sana Biotechnology, Inc.</t>
  </si>
  <si>
    <t>SANA</t>
  </si>
  <si>
    <t>Spirit Airlines, Inc.</t>
  </si>
  <si>
    <t>SAVE</t>
  </si>
  <si>
    <t>SeaWorld Entertainment, Inc.</t>
  </si>
  <si>
    <t>SEAS</t>
  </si>
  <si>
    <t>Stora Enso Oyj</t>
  </si>
  <si>
    <t>SEOAY</t>
  </si>
  <si>
    <t>SoftBank Group Corp. Unsponsored ADR</t>
  </si>
  <si>
    <t>SFTBY</t>
  </si>
  <si>
    <t>Shoals Technologies Group, Inc.</t>
  </si>
  <si>
    <t>SHLS</t>
  </si>
  <si>
    <t>Showa Denko K.K.</t>
  </si>
  <si>
    <t>SHWDY</t>
  </si>
  <si>
    <t>Sompo Holdings, Inc.</t>
  </si>
  <si>
    <t>SMPNY</t>
  </si>
  <si>
    <t>SUMITOMO CHEMCL</t>
  </si>
  <si>
    <t>SOMMY</t>
  </si>
  <si>
    <t>Sonos, Inc.</t>
  </si>
  <si>
    <t>SONO</t>
  </si>
  <si>
    <t>Shutterstock, Inc.</t>
  </si>
  <si>
    <t>SSTK</t>
  </si>
  <si>
    <t>Extended Stay America, Inc.</t>
  </si>
  <si>
    <t>STAY</t>
  </si>
  <si>
    <t>Summit Materials, Inc.</t>
  </si>
  <si>
    <t>SUM</t>
  </si>
  <si>
    <t>SpringWorks Therapeutics Inc.</t>
  </si>
  <si>
    <t>Trip.com Group Limited Sponsored ADR</t>
  </si>
  <si>
    <t>TCOM</t>
  </si>
  <si>
    <t>Tingyi Cayman Islands Holdings Corp.</t>
  </si>
  <si>
    <t>TCYMF</t>
  </si>
  <si>
    <t>Teradata Corporation</t>
  </si>
  <si>
    <t>TDC</t>
  </si>
  <si>
    <t>TELUS International CDA Inc.</t>
  </si>
  <si>
    <t>TIXT</t>
  </si>
  <si>
    <t>Tilray, Inc.</t>
  </si>
  <si>
    <t>TLRY</t>
  </si>
  <si>
    <t>Tencent Music Entertainment Group Sponsored ADR</t>
  </si>
  <si>
    <t>TME</t>
  </si>
  <si>
    <t>Travel  Leisure Co.</t>
  </si>
  <si>
    <t>TNL</t>
  </si>
  <si>
    <t>Terumo Corp.</t>
  </si>
  <si>
    <t>TRUMY</t>
  </si>
  <si>
    <t>10x Genomics Inc.</t>
  </si>
  <si>
    <t>United Bankshares, Inc.</t>
  </si>
  <si>
    <t>UBSI</t>
  </si>
  <si>
    <t>UFP Industries, Inc.</t>
  </si>
  <si>
    <t>Univar Solutions Inc.</t>
  </si>
  <si>
    <t>Urban Outfitters, Inc.</t>
  </si>
  <si>
    <t>URBN</t>
  </si>
  <si>
    <t>Voestalpine AG</t>
  </si>
  <si>
    <t>VLPNY</t>
  </si>
  <si>
    <t>Steel - Speciality</t>
  </si>
  <si>
    <t>Viasat Inc.</t>
  </si>
  <si>
    <t>VSAT</t>
  </si>
  <si>
    <t>Vistra Corp.</t>
  </si>
  <si>
    <t>Walker &amp; Dunlop, Inc.</t>
  </si>
  <si>
    <t>WD</t>
  </si>
  <si>
    <t>Werner Enterprises, Inc.</t>
  </si>
  <si>
    <t>WERN</t>
  </si>
  <si>
    <t>Western Midstream Partners, LP</t>
  </si>
  <si>
    <t>Demant AS Unsponsored ADR</t>
  </si>
  <si>
    <t>Petco Health and Wellness Company, Inc.</t>
  </si>
  <si>
    <t>WOOF</t>
  </si>
  <si>
    <t>Slack Technologies, Inc.</t>
  </si>
  <si>
    <t>WORK</t>
  </si>
  <si>
    <t>Weingarten Realty Investors</t>
  </si>
  <si>
    <t>WRI</t>
  </si>
  <si>
    <t>WillScot Mobile Mini Holdings Corp.</t>
  </si>
  <si>
    <t>Worley Limited Unsponsored ADR</t>
  </si>
  <si>
    <t>WYGPY</t>
  </si>
  <si>
    <t>Wynn Macau Ltd.</t>
  </si>
  <si>
    <t>WYNMF</t>
  </si>
  <si>
    <t>Qualtrics International Inc.</t>
  </si>
  <si>
    <t>XM</t>
  </si>
  <si>
    <t>Xerox Holdings Corporation</t>
  </si>
  <si>
    <t>Z Holdings Corporation Unsponsored ADR</t>
  </si>
  <si>
    <t>JOYY Inc. Sponsored ADR</t>
  </si>
  <si>
    <t>Zai Lab Limited Unsponsored ADR</t>
  </si>
  <si>
    <t>ZLAB</t>
  </si>
  <si>
    <t>ZTO Express Cayman Inc.</t>
  </si>
  <si>
    <t>ZTO</t>
  </si>
  <si>
    <t>Annual Sales ($mil)</t>
  </si>
  <si>
    <t>Ambev S.A.</t>
  </si>
  <si>
    <t>ABEV</t>
  </si>
  <si>
    <t>ABM Industries Incorporated</t>
  </si>
  <si>
    <t>ABM</t>
  </si>
  <si>
    <t>Accolade, Inc.</t>
  </si>
  <si>
    <t>ACCD</t>
  </si>
  <si>
    <t>ACV Auctions Inc.</t>
  </si>
  <si>
    <t>ACVA</t>
  </si>
  <si>
    <t>American Equity Investment Life Holding Company</t>
  </si>
  <si>
    <t>AEL</t>
  </si>
  <si>
    <t>Alamos Gold Inc.</t>
  </si>
  <si>
    <t>AGI</t>
  </si>
  <si>
    <t>Agilon Health, Inc.</t>
  </si>
  <si>
    <t>AGL</t>
  </si>
  <si>
    <t>Anhui Conch Cement Co.</t>
  </si>
  <si>
    <t>AHCHY</t>
  </si>
  <si>
    <t>AdaptHealth Corp.</t>
  </si>
  <si>
    <t>AHCO</t>
  </si>
  <si>
    <t>ASHMORE GROUP</t>
  </si>
  <si>
    <t>AJMPF</t>
  </si>
  <si>
    <t>Alignment Healthcare, Inc.</t>
  </si>
  <si>
    <t>ALHC</t>
  </si>
  <si>
    <t>Alkermes plc</t>
  </si>
  <si>
    <t>ALKS</t>
  </si>
  <si>
    <t>AMC Entertainment Holdings, Inc.</t>
  </si>
  <si>
    <t>AMC</t>
  </si>
  <si>
    <t>Ameresco, Inc.</t>
  </si>
  <si>
    <t>AMRC</t>
  </si>
  <si>
    <t>Australia &amp; New Zealand Banking Group Ltd.</t>
  </si>
  <si>
    <t>ANZBY</t>
  </si>
  <si>
    <t>APA Corporation</t>
  </si>
  <si>
    <t>AppLovin Corporation</t>
  </si>
  <si>
    <t>APP</t>
  </si>
  <si>
    <t>Evoqua Water Technologies Corp.</t>
  </si>
  <si>
    <t>AQUA</t>
  </si>
  <si>
    <t>Antero Resources Corporation</t>
  </si>
  <si>
    <t>AR</t>
  </si>
  <si>
    <t>Arconic Corporation</t>
  </si>
  <si>
    <t>ARNC</t>
  </si>
  <si>
    <t>Asahi Glass Co. Ltd.</t>
  </si>
  <si>
    <t>ASGLY</t>
  </si>
  <si>
    <t>Glass Products</t>
  </si>
  <si>
    <t>Academy Sports and Outdoors, Inc.</t>
  </si>
  <si>
    <t>ASO</t>
  </si>
  <si>
    <t>Allegheny Technologies Incorporated</t>
  </si>
  <si>
    <t>ATI</t>
  </si>
  <si>
    <t>AtriCure, Inc.</t>
  </si>
  <si>
    <t>ATRC</t>
  </si>
  <si>
    <t>Atlantic Union Bankshares Corporation</t>
  </si>
  <si>
    <t>AUB</t>
  </si>
  <si>
    <t>AU Optronics Corp</t>
  </si>
  <si>
    <t>AUOTY</t>
  </si>
  <si>
    <t>Avista Corporation</t>
  </si>
  <si>
    <t>AVA</t>
  </si>
  <si>
    <t>Bank of Communications Co.</t>
  </si>
  <si>
    <t>BCMXY</t>
  </si>
  <si>
    <t>BioCryst Pharmaceuticals, Inc.</t>
  </si>
  <si>
    <t>BCRX</t>
  </si>
  <si>
    <t>Brookfield Renewable Partners L.P.</t>
  </si>
  <si>
    <t>BEP</t>
  </si>
  <si>
    <t>Brookfield Renewable Corporation</t>
  </si>
  <si>
    <t>BEPC</t>
  </si>
  <si>
    <t>Black Hills Corporation</t>
  </si>
  <si>
    <t>BKH</t>
  </si>
  <si>
    <t>Bank Hapoalim</t>
  </si>
  <si>
    <t>BKHYY</t>
  </si>
  <si>
    <t>Broadstone Net Lease, Inc.</t>
  </si>
  <si>
    <t>BNL</t>
  </si>
  <si>
    <t>HUGO BOSS</t>
  </si>
  <si>
    <t>BOSSY</t>
  </si>
  <si>
    <t>BOUYGUES SA</t>
  </si>
  <si>
    <t>BOUYF</t>
  </si>
  <si>
    <t>Box, Inc.</t>
  </si>
  <si>
    <t>BOX</t>
  </si>
  <si>
    <t>Brady Corporation</t>
  </si>
  <si>
    <t>BRC</t>
  </si>
  <si>
    <t>China Resources Cement Holdings Ltd. Unsponsored ADR</t>
  </si>
  <si>
    <t>CARCY</t>
  </si>
  <si>
    <t>Cabot Corporation</t>
  </si>
  <si>
    <t>CBT</t>
  </si>
  <si>
    <t>CocaCola Europacific Partners</t>
  </si>
  <si>
    <t>Cogent Communications Holdings, Inc.</t>
  </si>
  <si>
    <t>CCOI</t>
  </si>
  <si>
    <t>Coal</t>
  </si>
  <si>
    <t>Central Garden &amp; Pet Company</t>
  </si>
  <si>
    <t>CENT</t>
  </si>
  <si>
    <t>Chesapeake Energy Corporation</t>
  </si>
  <si>
    <t>CHK</t>
  </si>
  <si>
    <t>ChargePoint Holdings, Inc.</t>
  </si>
  <si>
    <t>CHPT</t>
  </si>
  <si>
    <t>China Construction Bank Corp.</t>
  </si>
  <si>
    <t>CICHY</t>
  </si>
  <si>
    <t>Chimera Investment Corporation</t>
  </si>
  <si>
    <t>CIM</t>
  </si>
  <si>
    <t>Cincinnati Financial Corporation</t>
  </si>
  <si>
    <t>CINF</t>
  </si>
  <si>
    <t>CI Financial Corp.</t>
  </si>
  <si>
    <t>CIXX</t>
  </si>
  <si>
    <t>COLONY CAPITAL, INC.</t>
  </si>
  <si>
    <t>CLNY</t>
  </si>
  <si>
    <t>Clover Health Investments, Corp.</t>
  </si>
  <si>
    <t>CLOV</t>
  </si>
  <si>
    <t>CommScope Holding Company, Inc.</t>
  </si>
  <si>
    <t>COMM</t>
  </si>
  <si>
    <t>Compass, Inc.</t>
  </si>
  <si>
    <t>COMP</t>
  </si>
  <si>
    <t>Coursera, Inc.</t>
  </si>
  <si>
    <t>COUR</t>
  </si>
  <si>
    <t>Copa Holdings, S.A.</t>
  </si>
  <si>
    <t>CPA</t>
  </si>
  <si>
    <t>Coupang, Inc.</t>
  </si>
  <si>
    <t>CPNG</t>
  </si>
  <si>
    <t>Cricut, Inc.</t>
  </si>
  <si>
    <t>CRCT</t>
  </si>
  <si>
    <t>CommVault Systems, Inc.</t>
  </si>
  <si>
    <t>CVLT</t>
  </si>
  <si>
    <t>Camping World Holdings Inc.</t>
  </si>
  <si>
    <t>CWH</t>
  </si>
  <si>
    <t>Deutsche Boerse AG</t>
  </si>
  <si>
    <t>DBOEY</t>
  </si>
  <si>
    <t>DCP Midstream Partners, LP</t>
  </si>
  <si>
    <t>DCP</t>
  </si>
  <si>
    <t>Dillards, Inc.</t>
  </si>
  <si>
    <t>DDS</t>
  </si>
  <si>
    <t>DigitalOcean Holdings, Inc.</t>
  </si>
  <si>
    <t>DOCN</t>
  </si>
  <si>
    <t>Diversey Holdings, Ltd.</t>
  </si>
  <si>
    <t>DSEY</t>
  </si>
  <si>
    <t>DiaSorin S.p.A.</t>
  </si>
  <si>
    <t>DSRLF</t>
  </si>
  <si>
    <t>DTE Energy Company</t>
  </si>
  <si>
    <t>DTE</t>
  </si>
  <si>
    <t>DoubleVerify Holdings, Inc.</t>
  </si>
  <si>
    <t>DV</t>
  </si>
  <si>
    <t>Deutsche Wohnen AG</t>
  </si>
  <si>
    <t>DWHHF</t>
  </si>
  <si>
    <t>Electricite de France SA</t>
  </si>
  <si>
    <t>ECIFY</t>
  </si>
  <si>
    <t>Callaway Golf Company</t>
  </si>
  <si>
    <t>ELY</t>
  </si>
  <si>
    <t>Enable Midstream Partners, LP</t>
  </si>
  <si>
    <t>ENBL</t>
  </si>
  <si>
    <t>Energizer Holdings, Inc.</t>
  </si>
  <si>
    <t>ENR</t>
  </si>
  <si>
    <t>Essential Properties Realty Trust, Inc.</t>
  </si>
  <si>
    <t>EPRT</t>
  </si>
  <si>
    <t>Evertec, Inc.</t>
  </si>
  <si>
    <t>EVTC</t>
  </si>
  <si>
    <t>ExlService Holdings, Inc.</t>
  </si>
  <si>
    <t>EXLS</t>
  </si>
  <si>
    <t>First Cash, Inc.</t>
  </si>
  <si>
    <t>FCFS</t>
  </si>
  <si>
    <t>First Citizens BancShares, Inc.</t>
  </si>
  <si>
    <t>FCNCA</t>
  </si>
  <si>
    <t>FERG</t>
  </si>
  <si>
    <t>First Hawaiian, Inc.</t>
  </si>
  <si>
    <t>FHB</t>
  </si>
  <si>
    <t>Federated Hermes, Inc.</t>
  </si>
  <si>
    <t>FHI</t>
  </si>
  <si>
    <t>Comfort Systems USA, Inc.</t>
  </si>
  <si>
    <t>FIX</t>
  </si>
  <si>
    <t>Fresnillo PLC</t>
  </si>
  <si>
    <t>FNLPF</t>
  </si>
  <si>
    <t>Freenet AG</t>
  </si>
  <si>
    <t>FRTAF</t>
  </si>
  <si>
    <t>Communication - Network Software</t>
  </si>
  <si>
    <t>Fisker Inc.</t>
  </si>
  <si>
    <t>FSR</t>
  </si>
  <si>
    <t>fuboTV Inc.</t>
  </si>
  <si>
    <t>FUBO</t>
  </si>
  <si>
    <t>H. B. Fuller Company</t>
  </si>
  <si>
    <t>FUL</t>
  </si>
  <si>
    <t>GEA Group AG</t>
  </si>
  <si>
    <t>GEAGF</t>
  </si>
  <si>
    <t>Genius Sports Limited</t>
  </si>
  <si>
    <t>GENI</t>
  </si>
  <si>
    <t>Globale Online Ltd.</t>
  </si>
  <si>
    <t>GLBE</t>
  </si>
  <si>
    <t>GETINGE AB</t>
  </si>
  <si>
    <t>GNGBY</t>
  </si>
  <si>
    <t>Acushnet Holdings Corp.</t>
  </si>
  <si>
    <t>GOLF</t>
  </si>
  <si>
    <t>Gaotu Techedu Inc.</t>
  </si>
  <si>
    <t>GOTU</t>
  </si>
  <si>
    <t>Grafton Group PLC</t>
  </si>
  <si>
    <t>GROUF</t>
  </si>
  <si>
    <t>Gazprom Neft OAO</t>
  </si>
  <si>
    <t>GZPFY</t>
  </si>
  <si>
    <t>Hayward Holdings, Inc.</t>
  </si>
  <si>
    <t>HAYW</t>
  </si>
  <si>
    <t>Harbour Energy PLC Sponsored ADR</t>
  </si>
  <si>
    <t>HBRIY</t>
  </si>
  <si>
    <t>Oil and Gas - Exploration and Production - International</t>
  </si>
  <si>
    <t>Hutchison China MediTech Limited</t>
  </si>
  <si>
    <t>HCM</t>
  </si>
  <si>
    <t>Hengan International Group Co., Ltd. Unsponsored ADR</t>
  </si>
  <si>
    <t>HEGIY</t>
  </si>
  <si>
    <t>Heineken NV</t>
  </si>
  <si>
    <t>HEINY</t>
  </si>
  <si>
    <t>Hillenbrand Inc</t>
  </si>
  <si>
    <t>HI</t>
  </si>
  <si>
    <t>Herc Holdings Inc.</t>
  </si>
  <si>
    <t>HRI</t>
  </si>
  <si>
    <t>Hilltop Holdings Inc.</t>
  </si>
  <si>
    <t>HTH</t>
  </si>
  <si>
    <t>Iberdrola S.A.</t>
  </si>
  <si>
    <t>IBDRY</t>
  </si>
  <si>
    <t>Industrial &amp; Commercial Bank of China Ltd.</t>
  </si>
  <si>
    <t>IDCBY</t>
  </si>
  <si>
    <t>International Game Technology</t>
  </si>
  <si>
    <t>IGT</t>
  </si>
  <si>
    <t>iHeartMedia, Inc.</t>
  </si>
  <si>
    <t>IHRT</t>
  </si>
  <si>
    <t>Imperial Oil Limited</t>
  </si>
  <si>
    <t>IMO</t>
  </si>
  <si>
    <t>IntraCellular Therapies Inc.</t>
  </si>
  <si>
    <t>ITCI</t>
  </si>
  <si>
    <t>Jfe Holdings Inc.</t>
  </si>
  <si>
    <t>JFEEF</t>
  </si>
  <si>
    <t>J &amp; J Snack Foods Corp.</t>
  </si>
  <si>
    <t>JJSF</t>
  </si>
  <si>
    <t>KeyCorp</t>
  </si>
  <si>
    <t>KEY</t>
  </si>
  <si>
    <t>Koninklijke KPN NV</t>
  </si>
  <si>
    <t>KKPNF</t>
  </si>
  <si>
    <t>Kulicke and Soffa Industries, Inc.</t>
  </si>
  <si>
    <t>KLIC</t>
  </si>
  <si>
    <t>KLEPIERRE SA</t>
  </si>
  <si>
    <t>KLPEF</t>
  </si>
  <si>
    <t>Kinder Morgan, Inc.</t>
  </si>
  <si>
    <t>KMI</t>
  </si>
  <si>
    <t>KnowBe4, Inc.</t>
  </si>
  <si>
    <t>KNBE</t>
  </si>
  <si>
    <t>Keppel REIT</t>
  </si>
  <si>
    <t>KREVF</t>
  </si>
  <si>
    <t>Kontoor Brands, Inc.</t>
  </si>
  <si>
    <t>KTB</t>
  </si>
  <si>
    <t>Keyence Corporation</t>
  </si>
  <si>
    <t>KYCCF</t>
  </si>
  <si>
    <t>loanDepot, Inc.</t>
  </si>
  <si>
    <t>LDI</t>
  </si>
  <si>
    <t>Liberty Latin America Ltd.</t>
  </si>
  <si>
    <t>LILA</t>
  </si>
  <si>
    <t>Livent Corporation</t>
  </si>
  <si>
    <t>LTHM</t>
  </si>
  <si>
    <t>Lexington Realty Trust</t>
  </si>
  <si>
    <t>LXP</t>
  </si>
  <si>
    <t>Lynas Corp.</t>
  </si>
  <si>
    <t>LYSDY</t>
  </si>
  <si>
    <t>Macerich Company The</t>
  </si>
  <si>
    <t>MAC</t>
  </si>
  <si>
    <t>Mercury General Corporation</t>
  </si>
  <si>
    <t>MCY</t>
  </si>
  <si>
    <t>MEDIFAST INC</t>
  </si>
  <si>
    <t>MED</t>
  </si>
  <si>
    <t>Macquarie Infrastructure Company</t>
  </si>
  <si>
    <t>MIC</t>
  </si>
  <si>
    <t>Mimecast Limited</t>
  </si>
  <si>
    <t>MIME</t>
  </si>
  <si>
    <t>Merit Medical Systems, Inc.</t>
  </si>
  <si>
    <t>MMSI</t>
  </si>
  <si>
    <t>MP Materials Corp.</t>
  </si>
  <si>
    <t>MP</t>
  </si>
  <si>
    <t>MultiPlan Corporation</t>
  </si>
  <si>
    <t>MPLN</t>
  </si>
  <si>
    <t>Marvell Technology, Inc.</t>
  </si>
  <si>
    <t>MicroStrategy Incorporated</t>
  </si>
  <si>
    <t>MSTR</t>
  </si>
  <si>
    <t>Matador Resources Company</t>
  </si>
  <si>
    <t>MTDR</t>
  </si>
  <si>
    <t>Murphy Oil Corporation</t>
  </si>
  <si>
    <t>MUR</t>
  </si>
  <si>
    <t>Navient Corporation</t>
  </si>
  <si>
    <t>NAVI</t>
  </si>
  <si>
    <t>NABTESCO CP TKY</t>
  </si>
  <si>
    <t>NCTKF</t>
  </si>
  <si>
    <t>NINE DRAGONS</t>
  </si>
  <si>
    <t>NDGPY</t>
  </si>
  <si>
    <t>Novagold Resources Inc.</t>
  </si>
  <si>
    <t>NG</t>
  </si>
  <si>
    <t>Ingevity Corporation</t>
  </si>
  <si>
    <t>NGVT</t>
  </si>
  <si>
    <t>NRG Energy, Inc.</t>
  </si>
  <si>
    <t>NRG</t>
  </si>
  <si>
    <t>National Storage Affiliates Trust</t>
  </si>
  <si>
    <t>NSA</t>
  </si>
  <si>
    <t>Insight Enterprises, Inc.</t>
  </si>
  <si>
    <t>NSIT</t>
  </si>
  <si>
    <t>Retail - Mail Order</t>
  </si>
  <si>
    <t>Nu Skin Enterprises, Inc.</t>
  </si>
  <si>
    <t>NUS</t>
  </si>
  <si>
    <t>NorthWestern Corporation</t>
  </si>
  <si>
    <t>NWE</t>
  </si>
  <si>
    <t>News Corporation</t>
  </si>
  <si>
    <t>NWSA</t>
  </si>
  <si>
    <t>OBIC CO LTD</t>
  </si>
  <si>
    <t>OBIIF</t>
  </si>
  <si>
    <t>Corporate Office Properties Trust</t>
  </si>
  <si>
    <t>OFC</t>
  </si>
  <si>
    <t>OI Glass, Inc.</t>
  </si>
  <si>
    <t>OI</t>
  </si>
  <si>
    <t>Olink Holding AB publ Sponsored ADR</t>
  </si>
  <si>
    <t>OLK</t>
  </si>
  <si>
    <t>Olo Inc.</t>
  </si>
  <si>
    <t>OLO</t>
  </si>
  <si>
    <t>Owens &amp; Minor, Inc.</t>
  </si>
  <si>
    <t>OMI</t>
  </si>
  <si>
    <t>Onto Innovation Inc.</t>
  </si>
  <si>
    <t>ONTO</t>
  </si>
  <si>
    <t>Nanotechnology</t>
  </si>
  <si>
    <t>Opendoor Technologies Inc.</t>
  </si>
  <si>
    <t>OPEN</t>
  </si>
  <si>
    <t>Ono Pharmaceutical Co.</t>
  </si>
  <si>
    <t>OPHLF</t>
  </si>
  <si>
    <t>Oscar Health, Inc.</t>
  </si>
  <si>
    <t>OSCR</t>
  </si>
  <si>
    <t>Overstock.com, Inc.</t>
  </si>
  <si>
    <t>OSTK</t>
  </si>
  <si>
    <t>UiPath, Inc.</t>
  </si>
  <si>
    <t>PATH</t>
  </si>
  <si>
    <t>Patterson Companies, Inc.</t>
  </si>
  <si>
    <t>PDCO</t>
  </si>
  <si>
    <t>Pebblebrook Hotel Trust</t>
  </si>
  <si>
    <t>PEB</t>
  </si>
  <si>
    <t>Aarons Holdings Company, Inc.</t>
  </si>
  <si>
    <t>Privia Health Group, Inc.</t>
  </si>
  <si>
    <t>PRVA</t>
  </si>
  <si>
    <t>Prospect Capital Corporation</t>
  </si>
  <si>
    <t>PSEC</t>
  </si>
  <si>
    <t>Pearson, PLC</t>
  </si>
  <si>
    <t>PSO</t>
  </si>
  <si>
    <t>Publicis Groupe SA</t>
  </si>
  <si>
    <t>PUBGY</t>
  </si>
  <si>
    <t>Papa Johns International, Inc.</t>
  </si>
  <si>
    <t>PZZA</t>
  </si>
  <si>
    <t>QIAGEN N.V.</t>
  </si>
  <si>
    <t>QGEN</t>
  </si>
  <si>
    <t>QuantumScape Corporation</t>
  </si>
  <si>
    <t>QS</t>
  </si>
  <si>
    <t>Roblox Corporation</t>
  </si>
  <si>
    <t>RBLX</t>
  </si>
  <si>
    <t>RentACenter, Inc.</t>
  </si>
  <si>
    <t>RCII</t>
  </si>
  <si>
    <t>Renewable Energy Group, Inc.</t>
  </si>
  <si>
    <t>REGI</t>
  </si>
  <si>
    <t>Biofuels</t>
  </si>
  <si>
    <t>Range Resources Corporation</t>
  </si>
  <si>
    <t>RRC</t>
  </si>
  <si>
    <t>Rush Street Interactive, Inc.</t>
  </si>
  <si>
    <t>RSI</t>
  </si>
  <si>
    <t>Revolve Group, Inc.</t>
  </si>
  <si>
    <t>RVLV</t>
  </si>
  <si>
    <t>Recursion Pharmaceuticals, Inc.</t>
  </si>
  <si>
    <t>RXRX</t>
  </si>
  <si>
    <t>SailPoint Technologies Holdings, Inc.</t>
  </si>
  <si>
    <t>SAIL</t>
  </si>
  <si>
    <t>SAP SE</t>
  </si>
  <si>
    <t>SAP</t>
  </si>
  <si>
    <t>Straumann Holding AG</t>
  </si>
  <si>
    <t>SAUHF</t>
  </si>
  <si>
    <t>SINO PHARMACEUT</t>
  </si>
  <si>
    <t>SBMFF</t>
  </si>
  <si>
    <t>ServisFirst Bancshares, Inc.</t>
  </si>
  <si>
    <t>SFBS</t>
  </si>
  <si>
    <t>Sprouts Farmers Market, Inc.</t>
  </si>
  <si>
    <t>SFM</t>
  </si>
  <si>
    <t>Simmons First National Corporation</t>
  </si>
  <si>
    <t>SFNC</t>
  </si>
  <si>
    <t>SES S.A.</t>
  </si>
  <si>
    <t>SGBAF</t>
  </si>
  <si>
    <t>Signify Health, Inc.</t>
  </si>
  <si>
    <t>SGFY</t>
  </si>
  <si>
    <t>Surgery Partners, Inc.</t>
  </si>
  <si>
    <t>SGRY</t>
  </si>
  <si>
    <t>Steven Madden, Ltd.</t>
  </si>
  <si>
    <t>SHOO</t>
  </si>
  <si>
    <t>National Steel Company</t>
  </si>
  <si>
    <t>SID</t>
  </si>
  <si>
    <t>Signet Jewelers Limited</t>
  </si>
  <si>
    <t>SIG</t>
  </si>
  <si>
    <t>SITE CENTERS CORP.</t>
  </si>
  <si>
    <t>SITC</t>
  </si>
  <si>
    <t>South Jersey Industries, Inc.</t>
  </si>
  <si>
    <t>SJI</t>
  </si>
  <si>
    <t>Skillz Inc.</t>
  </si>
  <si>
    <t>SKLZ</t>
  </si>
  <si>
    <t>The Simply Good Foods Company</t>
  </si>
  <si>
    <t>SMPL</t>
  </si>
  <si>
    <t>Sunny Optical Technology Group Company Limited</t>
  </si>
  <si>
    <t>SNPTF</t>
  </si>
  <si>
    <t>SoFi Technologies, Inc.</t>
  </si>
  <si>
    <t>SOFI</t>
  </si>
  <si>
    <t>SONY</t>
  </si>
  <si>
    <t>Sprout Social, Inc.</t>
  </si>
  <si>
    <t>SPT</t>
  </si>
  <si>
    <t>South State Corporation</t>
  </si>
  <si>
    <t>SSB</t>
  </si>
  <si>
    <t>Stellantis N.V.</t>
  </si>
  <si>
    <t>STLA</t>
  </si>
  <si>
    <t>Seagate Technology Holdings PLC</t>
  </si>
  <si>
    <t>Suntec Real Estate Investment Trust</t>
  </si>
  <si>
    <t>SURVF</t>
  </si>
  <si>
    <t>Latham Group, Inc.</t>
  </si>
  <si>
    <t>SWIM</t>
  </si>
  <si>
    <t>Southwestern Energy Company</t>
  </si>
  <si>
    <t>SWN</t>
  </si>
  <si>
    <t>TAL Education Group</t>
  </si>
  <si>
    <t>TAL</t>
  </si>
  <si>
    <t>Terex Corporation</t>
  </si>
  <si>
    <t>TEX</t>
  </si>
  <si>
    <t>TIM S.A. Sponsored ADR</t>
  </si>
  <si>
    <t>Telstra Corp.</t>
  </si>
  <si>
    <t>TLSYY</t>
  </si>
  <si>
    <t>TELE2 AB ADR</t>
  </si>
  <si>
    <t>TLTZY</t>
  </si>
  <si>
    <t>Tronox Holdings PLC</t>
  </si>
  <si>
    <t>TROX</t>
  </si>
  <si>
    <t>TSCDY</t>
  </si>
  <si>
    <t>TuSimple Holdings Inc.</t>
  </si>
  <si>
    <t>TSP</t>
  </si>
  <si>
    <t>Tuya Inc. Sponsored ADR</t>
  </si>
  <si>
    <t>TUYA</t>
  </si>
  <si>
    <t>Unilever PLC</t>
  </si>
  <si>
    <t>UL</t>
  </si>
  <si>
    <t>Frontier Group Holdings, Inc.</t>
  </si>
  <si>
    <t>ULCC</t>
  </si>
  <si>
    <t>United Microelectronics Corporation</t>
  </si>
  <si>
    <t>UMC</t>
  </si>
  <si>
    <t>United States Cellular Corporation</t>
  </si>
  <si>
    <t>USM</t>
  </si>
  <si>
    <t>Utz Brands, Inc.</t>
  </si>
  <si>
    <t>UTZ</t>
  </si>
  <si>
    <t>Veolia Environnement SA</t>
  </si>
  <si>
    <t>VEOEY</t>
  </si>
  <si>
    <t>Telefonica Brasil S.A.</t>
  </si>
  <si>
    <t>VIV</t>
  </si>
  <si>
    <t>Varonis Systems, Inc.</t>
  </si>
  <si>
    <t>VRNS</t>
  </si>
  <si>
    <t>Victrex PLC</t>
  </si>
  <si>
    <t>VTXPF</t>
  </si>
  <si>
    <t>VIZIO Holding Corp.</t>
  </si>
  <si>
    <t>VZIO</t>
  </si>
  <si>
    <t>Welbilt, Inc.</t>
  </si>
  <si>
    <t>WBT</t>
  </si>
  <si>
    <t>Waterdrop Inc. Unsponsored ADR</t>
  </si>
  <si>
    <t>WDH</t>
  </si>
  <si>
    <t>Cactus, Inc.</t>
  </si>
  <si>
    <t>WHD</t>
  </si>
  <si>
    <t>XINYI GLASS HLD</t>
  </si>
  <si>
    <t>XYIGF</t>
  </si>
  <si>
    <t>Yelp Inc.</t>
  </si>
  <si>
    <t>YELP</t>
  </si>
  <si>
    <t>Yandex N.V.</t>
  </si>
  <si>
    <t>YNDX</t>
  </si>
  <si>
    <t>Yanzhou Coal Mining Company Limited</t>
  </si>
  <si>
    <t>YZCAY</t>
  </si>
  <si>
    <t>Zhihu Inc. Sponsored ADR</t>
  </si>
  <si>
    <t>ZH</t>
  </si>
  <si>
    <t>ZIM Integrated Shipping Services Ltd.</t>
  </si>
  <si>
    <t>ZIM</t>
  </si>
  <si>
    <t>Zte Corp.</t>
  </si>
  <si>
    <t>ZTCOY</t>
  </si>
  <si>
    <t>Zymergen Inc.</t>
  </si>
  <si>
    <t>ZY</t>
  </si>
  <si>
    <t>AIA GROUP LTD</t>
  </si>
  <si>
    <t>AAGIY</t>
  </si>
  <si>
    <t>Air Canada</t>
  </si>
  <si>
    <t>ACDVF</t>
  </si>
  <si>
    <t>Agri Bank China</t>
  </si>
  <si>
    <t>ACGBY</t>
  </si>
  <si>
    <t>ACI Worldwide, Inc.</t>
  </si>
  <si>
    <t>ACIW</t>
  </si>
  <si>
    <t>iShares MSCI ACWI ETF</t>
  </si>
  <si>
    <t>ACWI</t>
  </si>
  <si>
    <t>ATOS ORIGIN SA</t>
  </si>
  <si>
    <t>AEXAY</t>
  </si>
  <si>
    <t>iShares Core U.S. Aggregate Bond ETF</t>
  </si>
  <si>
    <t>AGG</t>
  </si>
  <si>
    <t>Assured Guaranty Ltd.</t>
  </si>
  <si>
    <t>AGO</t>
  </si>
  <si>
    <t>Ajinomoto Co.</t>
  </si>
  <si>
    <t>AJINY</t>
  </si>
  <si>
    <t>Akbank Turk Anonim Sirketi</t>
  </si>
  <si>
    <t>AKBTY</t>
  </si>
  <si>
    <t>Actelion Ltd.</t>
  </si>
  <si>
    <t>ALIOF</t>
  </si>
  <si>
    <t>Allianz SE</t>
  </si>
  <si>
    <t>ALIZY</t>
  </si>
  <si>
    <t>ANA Holdings Inc.</t>
  </si>
  <si>
    <t>ALNPY</t>
  </si>
  <si>
    <t>Amada Co.</t>
  </si>
  <si>
    <t>AMDLY</t>
  </si>
  <si>
    <t>Amkor Technology, Inc.</t>
  </si>
  <si>
    <t>AMKR</t>
  </si>
  <si>
    <t>ams AG Unsponsored ADR</t>
  </si>
  <si>
    <t>AMSSY</t>
  </si>
  <si>
    <t>American National Group, Inc.</t>
  </si>
  <si>
    <t>ANAT</t>
  </si>
  <si>
    <t>Angi Inc.</t>
  </si>
  <si>
    <t>ANGI</t>
  </si>
  <si>
    <t>Aeon Co. Ltd.</t>
  </si>
  <si>
    <t>AONNY</t>
  </si>
  <si>
    <t>Arcadis NV</t>
  </si>
  <si>
    <t>ARCAY</t>
  </si>
  <si>
    <t>Aggreko PLC</t>
  </si>
  <si>
    <t>ARGKF</t>
  </si>
  <si>
    <t>ASM International NV</t>
  </si>
  <si>
    <t>ASMIY</t>
  </si>
  <si>
    <t>Atkore Inc.</t>
  </si>
  <si>
    <t>ATKR</t>
  </si>
  <si>
    <t>Wire and Cable Products</t>
  </si>
  <si>
    <t>Advanced Info Service Public Co.</t>
  </si>
  <si>
    <t>AVIFY</t>
  </si>
  <si>
    <t>Alumina Ltd.</t>
  </si>
  <si>
    <t>AWCMY</t>
  </si>
  <si>
    <t>Bank of China Ltd.</t>
  </si>
  <si>
    <t>BACHY</t>
  </si>
  <si>
    <t>Brookfield Asset Management Inc</t>
  </si>
  <si>
    <t>BAM</t>
  </si>
  <si>
    <t>Signature Aviation PLC Unsponsored ADR</t>
  </si>
  <si>
    <t>BBAVY</t>
  </si>
  <si>
    <t>BBDO</t>
  </si>
  <si>
    <t>Banco Do Brasil SA</t>
  </si>
  <si>
    <t>BDORY</t>
  </si>
  <si>
    <t>Better Environment Concepts Inc.</t>
  </si>
  <si>
    <t>BEEN</t>
  </si>
  <si>
    <t>BE Semiconductor Industries NV</t>
  </si>
  <si>
    <t>BESIY</t>
  </si>
  <si>
    <t>Brown Forman Corporation</t>
  </si>
  <si>
    <t>BF.A</t>
  </si>
  <si>
    <t>BOC Hong Kong  Ltd.</t>
  </si>
  <si>
    <t>BHKLY</t>
  </si>
  <si>
    <t>BIO.B</t>
  </si>
  <si>
    <t>Bollore S.A.</t>
  </si>
  <si>
    <t>BOIVF</t>
  </si>
  <si>
    <t>Brookfield Property Partners L.P.</t>
  </si>
  <si>
    <t>BPY</t>
  </si>
  <si>
    <t>BRK.A</t>
  </si>
  <si>
    <t>Churchill Capital Corp IV</t>
  </si>
  <si>
    <t>CCIV</t>
  </si>
  <si>
    <t>China Coal Energy Co.</t>
  </si>
  <si>
    <t>CCOZY</t>
  </si>
  <si>
    <t>Cap Gemini SA</t>
  </si>
  <si>
    <t>CGEMY</t>
  </si>
  <si>
    <t>Chiba Bank Ltd.</t>
  </si>
  <si>
    <t>CHBAY</t>
  </si>
  <si>
    <t>China CITIC Bank Corporation Limited</t>
  </si>
  <si>
    <t>CHCJY</t>
  </si>
  <si>
    <t>Christian Dior S.E. Unsponsored ADR</t>
  </si>
  <si>
    <t>CHDRY</t>
  </si>
  <si>
    <t>Comp En De Mn Cemig ADS</t>
  </si>
  <si>
    <t>CIG</t>
  </si>
  <si>
    <t>China Merchants Bank Co.</t>
  </si>
  <si>
    <t>CIHKY</t>
  </si>
  <si>
    <t>Ck Hutchison Holdings Ltd</t>
  </si>
  <si>
    <t>CKHUY</t>
  </si>
  <si>
    <t>CHINA MINSHENG</t>
  </si>
  <si>
    <t>CMAKY</t>
  </si>
  <si>
    <t>China Merchants Holdings International Co.</t>
  </si>
  <si>
    <t>CMHHY</t>
  </si>
  <si>
    <t>CocaCola Bottling Co. Consolidated</t>
  </si>
  <si>
    <t>COKE</t>
  </si>
  <si>
    <t>C.P. Pokphand Co.</t>
  </si>
  <si>
    <t>CPKPY</t>
  </si>
  <si>
    <t>Casio Computer Co.</t>
  </si>
  <si>
    <t>CSIOY</t>
  </si>
  <si>
    <t>China Shenhua Energy Co.</t>
  </si>
  <si>
    <t>CSUAY</t>
  </si>
  <si>
    <t>Citic Ltd.</t>
  </si>
  <si>
    <t>CTPCY</t>
  </si>
  <si>
    <t>CUK</t>
  </si>
  <si>
    <t>Colruyt SA Unsponsored ADR</t>
  </si>
  <si>
    <t>CUYTY</t>
  </si>
  <si>
    <t>SmartCentres Real Estate Investment Trust</t>
  </si>
  <si>
    <t>CWYUF</t>
  </si>
  <si>
    <t>CyberAgent, Inc.</t>
  </si>
  <si>
    <t>CYAGF</t>
  </si>
  <si>
    <t>NTT DOCOMO, Inc</t>
  </si>
  <si>
    <t>DCMYY</t>
  </si>
  <si>
    <t>Dairy Farm International Holdings Ltd.</t>
  </si>
  <si>
    <t>DFIHY</t>
  </si>
  <si>
    <t>SPDR Dow Jones Industrial Average ETF</t>
  </si>
  <si>
    <t>DIA</t>
  </si>
  <si>
    <t>Daito Trust Construction Co., Ltd.</t>
  </si>
  <si>
    <t>DIFTY</t>
  </si>
  <si>
    <t>Discovery Communications, Inc.</t>
  </si>
  <si>
    <t>DISCB</t>
  </si>
  <si>
    <t>DISCK</t>
  </si>
  <si>
    <t>DANSKE BANK AS</t>
  </si>
  <si>
    <t>DNKEY</t>
  </si>
  <si>
    <t>DNP Select Income Fund Inc.</t>
  </si>
  <si>
    <t>DNP</t>
  </si>
  <si>
    <t>Dai Nippon Printing Co.</t>
  </si>
  <si>
    <t>DNPLY</t>
  </si>
  <si>
    <t>Daiwa Securities Group Inc.</t>
  </si>
  <si>
    <t>DSEEY</t>
  </si>
  <si>
    <t>DOMETIC GP AB</t>
  </si>
  <si>
    <t>DTCGF</t>
  </si>
  <si>
    <t>Dufry AG</t>
  </si>
  <si>
    <t>DUFRY</t>
  </si>
  <si>
    <t>iShares Select Dividend ETF</t>
  </si>
  <si>
    <t>DVY</t>
  </si>
  <si>
    <t>Daiwa House Industry Co. Ltd.</t>
  </si>
  <si>
    <t>DWAHY</t>
  </si>
  <si>
    <t>GrafTech International Ltd.</t>
  </si>
  <si>
    <t>EAF</t>
  </si>
  <si>
    <t>Centrais Eltricas Brasileiras SA</t>
  </si>
  <si>
    <t>EBR</t>
  </si>
  <si>
    <t>EDENRED</t>
  </si>
  <si>
    <t>EDNMY</t>
  </si>
  <si>
    <t>Euronet Worldwide, Inc.</t>
  </si>
  <si>
    <t>EEFT</t>
  </si>
  <si>
    <t>iShares MSCI Emerging Markets ETF</t>
  </si>
  <si>
    <t>EEM</t>
  </si>
  <si>
    <t>iShares MSCI EAFE ETF</t>
  </si>
  <si>
    <t>EFA</t>
  </si>
  <si>
    <t>iShares J.P. Morgan USD Emerging Markets Bond ETF</t>
  </si>
  <si>
    <t>EMB</t>
  </si>
  <si>
    <t>Enagas SA Unsponsored ADR</t>
  </si>
  <si>
    <t>ENGGY</t>
  </si>
  <si>
    <t>GDF Suez SA</t>
  </si>
  <si>
    <t>ENGIY</t>
  </si>
  <si>
    <t>Enel Americas S.A.</t>
  </si>
  <si>
    <t>ENIA</t>
  </si>
  <si>
    <t>Enersis Chile S.A.</t>
  </si>
  <si>
    <t>ENIC</t>
  </si>
  <si>
    <t>Enel SpA</t>
  </si>
  <si>
    <t>ENLAY</t>
  </si>
  <si>
    <t>Enstar Group Limited</t>
  </si>
  <si>
    <t>ESGR</t>
  </si>
  <si>
    <t>EVN AG</t>
  </si>
  <si>
    <t>EVNVY</t>
  </si>
  <si>
    <t>EVRAZ PLC</t>
  </si>
  <si>
    <t>EVRZF</t>
  </si>
  <si>
    <t>Evotec AG</t>
  </si>
  <si>
    <t>EVTCY</t>
  </si>
  <si>
    <t>iShares MSCI Germany ETF</t>
  </si>
  <si>
    <t>EWG</t>
  </si>
  <si>
    <t>iShares MSCI Japan ETF</t>
  </si>
  <si>
    <t>EWJ</t>
  </si>
  <si>
    <t>iShares MSCI United Kingdom ETF</t>
  </si>
  <si>
    <t>EWU</t>
  </si>
  <si>
    <t>iShares MSCI South Korea ETF</t>
  </si>
  <si>
    <t>EWY</t>
  </si>
  <si>
    <t>iShares MSCI Brazil ETF</t>
  </si>
  <si>
    <t>EWZ</t>
  </si>
  <si>
    <t>iShares MSCI Eurozone ETF</t>
  </si>
  <si>
    <t>EZU</t>
  </si>
  <si>
    <t>Direxion Daily Financial Bull 3X Shares</t>
  </si>
  <si>
    <t>FAS</t>
  </si>
  <si>
    <t>First Trust Dow Jones Internet ETF</t>
  </si>
  <si>
    <t>FDN</t>
  </si>
  <si>
    <t>FIGS, Inc.</t>
  </si>
  <si>
    <t>FIGS</t>
  </si>
  <si>
    <t>Finmeccanica SpA</t>
  </si>
  <si>
    <t>FINMY</t>
  </si>
  <si>
    <t>First National of Nebraska Inc.</t>
  </si>
  <si>
    <t>FINN</t>
  </si>
  <si>
    <t>Fujitsu Ltd.</t>
  </si>
  <si>
    <t>FJTSY</t>
  </si>
  <si>
    <t>FOX</t>
  </si>
  <si>
    <t>First Quantum Minerals Ltd.</t>
  </si>
  <si>
    <t>FQVLF</t>
  </si>
  <si>
    <t>Fairfax Financial Holdings Ltd.</t>
  </si>
  <si>
    <t>FRFHF</t>
  </si>
  <si>
    <t>Freedom Holding Corp.</t>
  </si>
  <si>
    <t>FRHC</t>
  </si>
  <si>
    <t>Ferrovial SA</t>
  </si>
  <si>
    <t>FRRVY</t>
  </si>
  <si>
    <t>FWONA</t>
  </si>
  <si>
    <t>Liberty Media Corp.</t>
  </si>
  <si>
    <t>FWONB</t>
  </si>
  <si>
    <t>iShares China LargeCap ETF</t>
  </si>
  <si>
    <t>FXI</t>
  </si>
  <si>
    <t>Gibson Energy Inc.</t>
  </si>
  <si>
    <t>GBNXF</t>
  </si>
  <si>
    <t>Grupo Financiero Banorte SAB de CV</t>
  </si>
  <si>
    <t>GBOOY</t>
  </si>
  <si>
    <t>MEDIASET ESPANA</t>
  </si>
  <si>
    <t>GETVY</t>
  </si>
  <si>
    <t>G4S PLC</t>
  </si>
  <si>
    <t>GFSZY</t>
  </si>
  <si>
    <t>Graham Holdings Company</t>
  </si>
  <si>
    <t>GHC</t>
  </si>
  <si>
    <t>SPDR Gold Shares</t>
  </si>
  <si>
    <t>GLD</t>
  </si>
  <si>
    <t>GOME Retail Holdings Limited Unsponsored ADR</t>
  </si>
  <si>
    <t>GMELY</t>
  </si>
  <si>
    <t>Genmab AS</t>
  </si>
  <si>
    <t>GNMSF</t>
  </si>
  <si>
    <t>Grupo Financiero Inbursa SA</t>
  </si>
  <si>
    <t>GPFOY</t>
  </si>
  <si>
    <t>Gulfport Energy Corporation</t>
  </si>
  <si>
    <t>GPOR</t>
  </si>
  <si>
    <t>Grasim Industries Ltd.</t>
  </si>
  <si>
    <t>GRSXY</t>
  </si>
  <si>
    <t>HAVAS ORD</t>
  </si>
  <si>
    <t>HAVSF</t>
  </si>
  <si>
    <t>HEI.A</t>
  </si>
  <si>
    <t>Power Assets Holdings Ltd.</t>
  </si>
  <si>
    <t>HGKGY</t>
  </si>
  <si>
    <t>Hino Motors Ltd.</t>
  </si>
  <si>
    <t>HINOY</t>
  </si>
  <si>
    <t>Hang Lung Properties Ltd.</t>
  </si>
  <si>
    <t>HLPPY</t>
  </si>
  <si>
    <t>Hongkong Land Holdings Ltd.</t>
  </si>
  <si>
    <t>HNGKY</t>
  </si>
  <si>
    <t>Hang Lung Group Ltd.</t>
  </si>
  <si>
    <t>HNLGY</t>
  </si>
  <si>
    <t>Hong Kong &amp; China Gas Co.</t>
  </si>
  <si>
    <t>HOKCY</t>
  </si>
  <si>
    <t>Huabao International Holdings Ltd.</t>
  </si>
  <si>
    <t>HUIHY</t>
  </si>
  <si>
    <t>iShares iBoxx  High Yield Corporate Bond ETF</t>
  </si>
  <si>
    <t>HYG</t>
  </si>
  <si>
    <t>Hyundai Motor Co.</t>
  </si>
  <si>
    <t>HYMLF</t>
  </si>
  <si>
    <t>Hypermarcas</t>
  </si>
  <si>
    <t>HYPMY</t>
  </si>
  <si>
    <t>iShares Gold Trust</t>
  </si>
  <si>
    <t>IAU</t>
  </si>
  <si>
    <t>iShares Nasdaq Biotechnology ETF</t>
  </si>
  <si>
    <t>IBB</t>
  </si>
  <si>
    <t>iShares International Select Dividend ETF</t>
  </si>
  <si>
    <t>IDV</t>
  </si>
  <si>
    <t>iShares 710 Year Treasury Bond ETF</t>
  </si>
  <si>
    <t>IEF</t>
  </si>
  <si>
    <t>Icahn Enterprises L.P.</t>
  </si>
  <si>
    <t>IEP</t>
  </si>
  <si>
    <t>iShares 510 Year Investment Grade Corporate Bond ETF</t>
  </si>
  <si>
    <t>IGIB</t>
  </si>
  <si>
    <t>iShares 15 Year Investment Grade Corporate Bond ETF</t>
  </si>
  <si>
    <t>IGSB</t>
  </si>
  <si>
    <t>iShares Core S&amp;P MidCap ETF</t>
  </si>
  <si>
    <t>IJH</t>
  </si>
  <si>
    <t>iShares S&amp;P MidCap 400 Value ETF</t>
  </si>
  <si>
    <t>IJJ</t>
  </si>
  <si>
    <t>iShares S&amp;P MidCap 400 Growth ETF</t>
  </si>
  <si>
    <t>IJK</t>
  </si>
  <si>
    <t>iShares Core S&amp;P SmallCap ETF</t>
  </si>
  <si>
    <t>IJR</t>
  </si>
  <si>
    <t>iShares S&amp;P SmallCap 600 Value ETF</t>
  </si>
  <si>
    <t>IJS</t>
  </si>
  <si>
    <t>iShares S&amp;P SmallCap 600 Growth ETF</t>
  </si>
  <si>
    <t>IJT</t>
  </si>
  <si>
    <t>IPSEN SA ADR</t>
  </si>
  <si>
    <t>IPSEY</t>
  </si>
  <si>
    <t>Inpex Corp.</t>
  </si>
  <si>
    <t>IPXHY</t>
  </si>
  <si>
    <t>Isuzu Motors Ltd.</t>
  </si>
  <si>
    <t>ISUZY</t>
  </si>
  <si>
    <t>ITV PLC.</t>
  </si>
  <si>
    <t>ITVPY</t>
  </si>
  <si>
    <t>iShares Core S&amp;P 500 ETF</t>
  </si>
  <si>
    <t>IVV</t>
  </si>
  <si>
    <t>iShares Russell 1000 Value ETF</t>
  </si>
  <si>
    <t>IWD</t>
  </si>
  <si>
    <t>iShares Russell 1000 Growth ETF</t>
  </si>
  <si>
    <t>IWF</t>
  </si>
  <si>
    <t>iShares Russell 2000 ETF</t>
  </si>
  <si>
    <t>IWM</t>
  </si>
  <si>
    <t>iShares Russell 2000 Value ETF</t>
  </si>
  <si>
    <t>IWN</t>
  </si>
  <si>
    <t>iShares Russell 2000 Growth ETF</t>
  </si>
  <si>
    <t>IWO</t>
  </si>
  <si>
    <t>iShares Russell MidCap Growth ETF</t>
  </si>
  <si>
    <t>IWP</t>
  </si>
  <si>
    <t>iShares Russell MidCap ETF</t>
  </si>
  <si>
    <t>IWR</t>
  </si>
  <si>
    <t>iShares Russell MidCap Value ETF</t>
  </si>
  <si>
    <t>IWS</t>
  </si>
  <si>
    <t>iShares U.S. Real Estate ETF</t>
  </si>
  <si>
    <t>IYR</t>
  </si>
  <si>
    <t>iShares U.S. Technology ETF</t>
  </si>
  <si>
    <t>IYW</t>
  </si>
  <si>
    <t>Japan Airlines Ltd</t>
  </si>
  <si>
    <t>JAPSY</t>
  </si>
  <si>
    <t>JBS SA</t>
  </si>
  <si>
    <t>JBSAY</t>
  </si>
  <si>
    <t>Jiangsu Expressway Co.</t>
  </si>
  <si>
    <t>JEXYY</t>
  </si>
  <si>
    <t>Jardine Matheson Holdings Ltd.</t>
  </si>
  <si>
    <t>JMHLY</t>
  </si>
  <si>
    <t>SPDR Bloomberg Barclays High Yield Bond ETF</t>
  </si>
  <si>
    <t>JNK</t>
  </si>
  <si>
    <t>John Wiley &amp; Sons, Inc.</t>
  </si>
  <si>
    <t>JW.A</t>
  </si>
  <si>
    <t>JW.B</t>
  </si>
  <si>
    <t>KB Financial Group Inc</t>
  </si>
  <si>
    <t>KB</t>
  </si>
  <si>
    <t>Kumba Iron Ore Ltd.</t>
  </si>
  <si>
    <t>KIROY</t>
  </si>
  <si>
    <t>KKPNY</t>
  </si>
  <si>
    <t>Klabin SA</t>
  </si>
  <si>
    <t>KLBAY</t>
  </si>
  <si>
    <t>KUNLUN EGY ADR</t>
  </si>
  <si>
    <t>KLYCY</t>
  </si>
  <si>
    <t>Kone Oyj Unsponsored ADR</t>
  </si>
  <si>
    <t>KNYJY</t>
  </si>
  <si>
    <t>Keppel Corp.</t>
  </si>
  <si>
    <t>KPELY</t>
  </si>
  <si>
    <t>Kyocera Corporation</t>
  </si>
  <si>
    <t>KYOCY</t>
  </si>
  <si>
    <t>Kaz Minerals PLC</t>
  </si>
  <si>
    <t>KZMYY</t>
  </si>
  <si>
    <t>Loews Corporation</t>
  </si>
  <si>
    <t>L</t>
  </si>
  <si>
    <t>Lamar Advertising Company</t>
  </si>
  <si>
    <t>LAMR</t>
  </si>
  <si>
    <t>LBRDA</t>
  </si>
  <si>
    <t>LBTYB</t>
  </si>
  <si>
    <t>LBTYK</t>
  </si>
  <si>
    <t>LEG Immobilien AG</t>
  </si>
  <si>
    <t>LEGIF</t>
  </si>
  <si>
    <t>LEN.B</t>
  </si>
  <si>
    <t>LGF.B</t>
  </si>
  <si>
    <t>LeGrand SA</t>
  </si>
  <si>
    <t>LGRVF</t>
  </si>
  <si>
    <t>LILAK</t>
  </si>
  <si>
    <t>iShares iBoxx  Investment Grade Corporate Bond ETF</t>
  </si>
  <si>
    <t>LQD</t>
  </si>
  <si>
    <t>LSXMA</t>
  </si>
  <si>
    <t>LSXMB</t>
  </si>
  <si>
    <t>Lukoil</t>
  </si>
  <si>
    <t>LUKOY</t>
  </si>
  <si>
    <t>Lundin Mining Corp.</t>
  </si>
  <si>
    <t>LUNMF</t>
  </si>
  <si>
    <t>Marui Group Co.</t>
  </si>
  <si>
    <t>MAURY</t>
  </si>
  <si>
    <t>Man Wah Holdings Limited</t>
  </si>
  <si>
    <t>MAWHY</t>
  </si>
  <si>
    <t>iShares MBS ETF</t>
  </si>
  <si>
    <t>MBB</t>
  </si>
  <si>
    <t>Marine Harvest ASA</t>
  </si>
  <si>
    <t>MHGVY</t>
  </si>
  <si>
    <t>Mitsubishi Electric Corporation</t>
  </si>
  <si>
    <t>MIELF</t>
  </si>
  <si>
    <t>Merck KGaA</t>
  </si>
  <si>
    <t>MKGAF</t>
  </si>
  <si>
    <t>Metallurgical Corp. of China Ltd.</t>
  </si>
  <si>
    <t>MLLUY</t>
  </si>
  <si>
    <t>MAIL RU GROUP</t>
  </si>
  <si>
    <t>MLRYY</t>
  </si>
  <si>
    <t>Minebea Co.</t>
  </si>
  <si>
    <t>MNBEY</t>
  </si>
  <si>
    <t>Morningstar, Inc.</t>
  </si>
  <si>
    <t>MORN</t>
  </si>
  <si>
    <t>Mitsubishi Corp.</t>
  </si>
  <si>
    <t>MSBHF</t>
  </si>
  <si>
    <t>MTU Aero Engines AG</t>
  </si>
  <si>
    <t>MTUAY</t>
  </si>
  <si>
    <t>iShares National Muni Bond ETF</t>
  </si>
  <si>
    <t>MUB</t>
  </si>
  <si>
    <t>Mnchener RckversicherungsGesellschaft</t>
  </si>
  <si>
    <t>MURGY</t>
  </si>
  <si>
    <t>Microvision, Inc.</t>
  </si>
  <si>
    <t>MVIS</t>
  </si>
  <si>
    <t>Newcrest Mining Ltd.</t>
  </si>
  <si>
    <t>NCMGY</t>
  </si>
  <si>
    <t>New World Development Co.</t>
  </si>
  <si>
    <t>NDVLY</t>
  </si>
  <si>
    <t>NewMarket Corporation</t>
  </si>
  <si>
    <t>NEU</t>
  </si>
  <si>
    <t>JSC MMC Norilsk Nickel</t>
  </si>
  <si>
    <t>NILSY</t>
  </si>
  <si>
    <t>NN Group NV Unsponsored ADR</t>
  </si>
  <si>
    <t>NNGRY</t>
  </si>
  <si>
    <t>Nippon Yusen Kabushiki Kaisha</t>
  </si>
  <si>
    <t>NPNYY</t>
  </si>
  <si>
    <t>Nippon Steel &amp; Sumitomo Metal Corp.</t>
  </si>
  <si>
    <t>NPSCY</t>
  </si>
  <si>
    <t>NSK Ltd.</t>
  </si>
  <si>
    <t>NPSKY</t>
  </si>
  <si>
    <t>Naspers Ltd.</t>
  </si>
  <si>
    <t>NPSNY</t>
  </si>
  <si>
    <t>Nordea Bank AB</t>
  </si>
  <si>
    <t>NRDBY</t>
  </si>
  <si>
    <t>National Bank of Canada</t>
  </si>
  <si>
    <t>NTIOF</t>
  </si>
  <si>
    <t>Nippon Telegraph and Telephone Corporation</t>
  </si>
  <si>
    <t>NTTYY</t>
  </si>
  <si>
    <t>NatWest Group plc</t>
  </si>
  <si>
    <t>NWG</t>
  </si>
  <si>
    <t>NWS</t>
  </si>
  <si>
    <t>Obayashi Corporation</t>
  </si>
  <si>
    <t>OBYCF</t>
  </si>
  <si>
    <t>OC OERLIKON CP</t>
  </si>
  <si>
    <t>OERLF</t>
  </si>
  <si>
    <t>Gazprom OAO</t>
  </si>
  <si>
    <t>OGZPY</t>
  </si>
  <si>
    <t>Oi S.A.</t>
  </si>
  <si>
    <t>OIBRC</t>
  </si>
  <si>
    <t>VanEck Vectors Oil Services ETF</t>
  </si>
  <si>
    <t>OIH</t>
  </si>
  <si>
    <t>ONEX Corporation</t>
  </si>
  <si>
    <t>ONEXF</t>
  </si>
  <si>
    <t>Orion OYJ Unsponsored ADR</t>
  </si>
  <si>
    <t>ORINY</t>
  </si>
  <si>
    <t>Osram Licht AG</t>
  </si>
  <si>
    <t>OSAGF</t>
  </si>
  <si>
    <t>Oatly Group AB Sponsored ADR</t>
  </si>
  <si>
    <t>OTLY</t>
  </si>
  <si>
    <t>Paymentus Holdings, Inc.</t>
  </si>
  <si>
    <t>PAY</t>
  </si>
  <si>
    <t>PBR.A</t>
  </si>
  <si>
    <t>Prosiebensat.1 Media Se</t>
  </si>
  <si>
    <t>PBSFY</t>
  </si>
  <si>
    <t>PCCW Ltd.</t>
  </si>
  <si>
    <t>PCCWY</t>
  </si>
  <si>
    <t>Procore Technologies, Inc.</t>
  </si>
  <si>
    <t>PCOR</t>
  </si>
  <si>
    <t>PCWLF</t>
  </si>
  <si>
    <t>iShares Preferred and Income Securities ETF</t>
  </si>
  <si>
    <t>PFF</t>
  </si>
  <si>
    <t>PIGEON CORP</t>
  </si>
  <si>
    <t>PGENY</t>
  </si>
  <si>
    <t>Invesco Preferred ETF</t>
  </si>
  <si>
    <t>PGX</t>
  </si>
  <si>
    <t>Porsche Automobil Holding SE Unsponsored ADR</t>
  </si>
  <si>
    <t>POAHY</t>
  </si>
  <si>
    <t>PT Bank Mandiri Persero TBK</t>
  </si>
  <si>
    <t>PPERY</t>
  </si>
  <si>
    <t>Prosus N.V. Sponsored ADR</t>
  </si>
  <si>
    <t>PROSY</t>
  </si>
  <si>
    <t>Pershing Square Holdings, Ltd.</t>
  </si>
  <si>
    <t>PSHZF</t>
  </si>
  <si>
    <t>Pershing Square Tontine Holdings, Ltd.</t>
  </si>
  <si>
    <t>PSTH</t>
  </si>
  <si>
    <t>Unclassified</t>
  </si>
  <si>
    <t>Invesco QQQ</t>
  </si>
  <si>
    <t>QQQ</t>
  </si>
  <si>
    <t>QRTEB</t>
  </si>
  <si>
    <t>Raiffeisen Bank International AG</t>
  </si>
  <si>
    <t>RAIFY</t>
  </si>
  <si>
    <t>Recordati Industria Chimica E Farmaceutica S.P.A.</t>
  </si>
  <si>
    <t>RCDTF</t>
  </si>
  <si>
    <t>Red Electrica Corporacion SA</t>
  </si>
  <si>
    <t>RDEIY</t>
  </si>
  <si>
    <t>RDS.B</t>
  </si>
  <si>
    <t>RELX PLC</t>
  </si>
  <si>
    <t>RELX</t>
  </si>
  <si>
    <t>Rakuten, Inc.</t>
  </si>
  <si>
    <t>RKUNY</t>
  </si>
  <si>
    <t>RLX Technology Inc. Sponsored ADR</t>
  </si>
  <si>
    <t>RLX</t>
  </si>
  <si>
    <t>Rohm Co.</t>
  </si>
  <si>
    <t>ROHCY</t>
  </si>
  <si>
    <t>Invesco S&amp;P 500 Equal Weight ETF</t>
  </si>
  <si>
    <t>RSP</t>
  </si>
  <si>
    <t>Companhia de saneamento Basico Do Estado De Sao Paulo  Sabesp</t>
  </si>
  <si>
    <t>SBS</t>
  </si>
  <si>
    <t>Sodexo SA</t>
  </si>
  <si>
    <t>SDXAY</t>
  </si>
  <si>
    <t>SPDR S&amp;P Dividend ETF</t>
  </si>
  <si>
    <t>SDY</t>
  </si>
  <si>
    <t>Seaboard Corporation</t>
  </si>
  <si>
    <t>SEB</t>
  </si>
  <si>
    <t>Stifel Financial Corporation</t>
  </si>
  <si>
    <t>SF</t>
  </si>
  <si>
    <t>Surgutneftegaz OAO</t>
  </si>
  <si>
    <t>SGTZY</t>
  </si>
  <si>
    <t>ShangriLa Asia Ltd.</t>
  </si>
  <si>
    <t>SHALY</t>
  </si>
  <si>
    <t>Shinhan Financial Group Co Ltd</t>
  </si>
  <si>
    <t>SHG</t>
  </si>
  <si>
    <t>SPDR Nuveen Bloomberg Barclays Short Term Municipal Bond ETF</t>
  </si>
  <si>
    <t>SHM</t>
  </si>
  <si>
    <t>Shimizu Corporation Unsponsored ADR</t>
  </si>
  <si>
    <t>SHMUY</t>
  </si>
  <si>
    <t>iShares Short Treasury Bond ETF</t>
  </si>
  <si>
    <t>SHV</t>
  </si>
  <si>
    <t>Shandong Weigao Medical Polymer Co.</t>
  </si>
  <si>
    <t>SHWGF</t>
  </si>
  <si>
    <t>iShares 13 Year Treasury Bond ETF</t>
  </si>
  <si>
    <t>SHY</t>
  </si>
  <si>
    <t>Shizuoka Bank Ltd.</t>
  </si>
  <si>
    <t>SHZUY</t>
  </si>
  <si>
    <t>Shanghai Electric Group Co., Ltd.</t>
  </si>
  <si>
    <t>SIELY</t>
  </si>
  <si>
    <t>Grupo Simec, S.A. de C.V.</t>
  </si>
  <si>
    <t>SIM</t>
  </si>
  <si>
    <t>SJM Holdings Ltd.</t>
  </si>
  <si>
    <t>SJMHF</t>
  </si>
  <si>
    <t>Sekisui House Ltd.</t>
  </si>
  <si>
    <t>SKHSY</t>
  </si>
  <si>
    <t>Soitec SA</t>
  </si>
  <si>
    <t>SLOIF</t>
  </si>
  <si>
    <t>San Miguel Corp.</t>
  </si>
  <si>
    <t>SMGBY</t>
  </si>
  <si>
    <t>Sino Land Co.</t>
  </si>
  <si>
    <t>SNLAY</t>
  </si>
  <si>
    <t>Sogou Inc. Sponsored ADR</t>
  </si>
  <si>
    <t>SOGO</t>
  </si>
  <si>
    <t>SPDR S&amp;P 500 ETF</t>
  </si>
  <si>
    <t>SPY</t>
  </si>
  <si>
    <t>Sysmex Corporation ADR</t>
  </si>
  <si>
    <t>SSMXY</t>
  </si>
  <si>
    <t>STADA ARZNEIMI</t>
  </si>
  <si>
    <t>STDAF</t>
  </si>
  <si>
    <t>Stem, Inc.</t>
  </si>
  <si>
    <t>STEM</t>
  </si>
  <si>
    <t>STZ.B</t>
  </si>
  <si>
    <t>Suzano S.A. Sponsored ADR</t>
  </si>
  <si>
    <t>SUZ</t>
  </si>
  <si>
    <t>SKANDINAVISKA</t>
  </si>
  <si>
    <t>SVKEF</t>
  </si>
  <si>
    <t>Swedbank AB</t>
  </si>
  <si>
    <t>SWDBY</t>
  </si>
  <si>
    <t>Swatch Group AG</t>
  </si>
  <si>
    <t>SWGAY</t>
  </si>
  <si>
    <t>Terna Rete Elettrica Nazionale SpA Unsponsored ADR</t>
  </si>
  <si>
    <t>TEZNY</t>
  </si>
  <si>
    <t>SPDR Nuveen Bloomberg Barclays Municipal Bond ETF</t>
  </si>
  <si>
    <t>TFI</t>
  </si>
  <si>
    <t>Telecom Italia S.P.A.</t>
  </si>
  <si>
    <t>TIAIY</t>
  </si>
  <si>
    <t>Millicom International Cellular SA</t>
  </si>
  <si>
    <t>TIGO</t>
  </si>
  <si>
    <t>UP Fintech Holding Limited</t>
  </si>
  <si>
    <t>TIGR</t>
  </si>
  <si>
    <t>iShares TIPS Bond ETF</t>
  </si>
  <si>
    <t>TIP</t>
  </si>
  <si>
    <t>Turkcell Iletisim Hizmetleri AS</t>
  </si>
  <si>
    <t>TKC</t>
  </si>
  <si>
    <t>PT Telekomunikasi Indonesia, Tbk</t>
  </si>
  <si>
    <t>TLK</t>
  </si>
  <si>
    <t>iShares 20 Year Treasury Bond ETF</t>
  </si>
  <si>
    <t>TLT</t>
  </si>
  <si>
    <t>Tenaga Nasional Berhad</t>
  </si>
  <si>
    <t>TNABY</t>
  </si>
  <si>
    <t>Turquoise Hill Resources Ltd.</t>
  </si>
  <si>
    <t>TRQ</t>
  </si>
  <si>
    <t>Techtronic Industries Co.</t>
  </si>
  <si>
    <t>TTNDY</t>
  </si>
  <si>
    <t>UA</t>
  </si>
  <si>
    <t>Amerco</t>
  </si>
  <si>
    <t>UHAL</t>
  </si>
  <si>
    <t>United States Oil ETF</t>
  </si>
  <si>
    <t>USO</t>
  </si>
  <si>
    <t>United Utilities Group PLC</t>
  </si>
  <si>
    <t>UUGRY</t>
  </si>
  <si>
    <t>Valaris Limited</t>
  </si>
  <si>
    <t>VAL</t>
  </si>
  <si>
    <t>Vinci SA</t>
  </si>
  <si>
    <t>VCISY</t>
  </si>
  <si>
    <t>VINDA INTL</t>
  </si>
  <si>
    <t>VDAHF</t>
  </si>
  <si>
    <t>Vedanta  Limited</t>
  </si>
  <si>
    <t>VEDL</t>
  </si>
  <si>
    <t>Vanguard Financials ETF</t>
  </si>
  <si>
    <t>VFH</t>
  </si>
  <si>
    <t>Flughafen Wien AG</t>
  </si>
  <si>
    <t>VIAAY</t>
  </si>
  <si>
    <t>VIACA</t>
  </si>
  <si>
    <t>Vanguard Real Estate ETF</t>
  </si>
  <si>
    <t>VNQ</t>
  </si>
  <si>
    <t>Vanguard Total Stock Market ETF</t>
  </si>
  <si>
    <t>VTI</t>
  </si>
  <si>
    <t>Vanguard FTSE Emerging Markets ETF</t>
  </si>
  <si>
    <t>VWO</t>
  </si>
  <si>
    <t>Woori Bank</t>
  </si>
  <si>
    <t>WF</t>
  </si>
  <si>
    <t>Wilmar International Ltd.</t>
  </si>
  <si>
    <t>WLMIY</t>
  </si>
  <si>
    <t>Woolworths Holdings Limited Sponsored ADR</t>
  </si>
  <si>
    <t>WLWHY</t>
  </si>
  <si>
    <t>George Weston Ltd.</t>
  </si>
  <si>
    <t>WNGRF</t>
  </si>
  <si>
    <t>Woodside Petroleum Ltd.</t>
  </si>
  <si>
    <t>WOPEY</t>
  </si>
  <si>
    <t>Worthington Industries, Inc.</t>
  </si>
  <si>
    <t>WOR</t>
  </si>
  <si>
    <t>WSO.B</t>
  </si>
  <si>
    <t>White Mountains Insurance Group, Ltd.</t>
  </si>
  <si>
    <t>WTM</t>
  </si>
  <si>
    <t>SPDR S&amp;P Biotech ETF</t>
  </si>
  <si>
    <t>XBI</t>
  </si>
  <si>
    <t>Materials Select Sector SPDR ETF</t>
  </si>
  <si>
    <t>XLB</t>
  </si>
  <si>
    <t>Financial Select Sector SPDR ETF</t>
  </si>
  <si>
    <t>XLF</t>
  </si>
  <si>
    <t>Utilities Select Sector SPDR ETF</t>
  </si>
  <si>
    <t>XLU</t>
  </si>
  <si>
    <t>Consumer Discretionary Select Sector SPDR ETF</t>
  </si>
  <si>
    <t>XLY</t>
  </si>
  <si>
    <t>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</si>
</sst>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4" tint="0.3999450666829432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0000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4" fillId="0" borderId="0"/>
  </cellStyleXfs>
  <cellXfs count="61">
    <xf numFmtId="0" fontId="0" fillId="0" borderId="0" xfId="0"/>
    <xf numFmtId="0" fontId="0" fillId="4" borderId="0" xfId="0" applyFill="1"/>
    <xf numFmtId="0" fontId="0" fillId="2" borderId="0" xfId="0" applyFill="1"/>
    <xf numFmtId="0" fontId="0" fillId="5" borderId="0" xfId="0" applyFill="1"/>
    <xf numFmtId="0" fontId="0" fillId="3" borderId="0" xfId="0" applyFill="1"/>
    <xf numFmtId="0" fontId="0" fillId="6" borderId="0" xfId="0" applyFill="1"/>
    <xf numFmtId="0" fontId="0" fillId="7" borderId="0" xfId="0" applyFill="1"/>
    <xf numFmtId="3" fontId="0" fillId="7" borderId="0" xfId="0" applyNumberFormat="1" applyFill="1"/>
    <xf numFmtId="0" fontId="0" fillId="8" borderId="0" xfId="0" applyFill="1"/>
    <xf numFmtId="0" fontId="0" fillId="9" borderId="0" xfId="0" applyFill="1"/>
    <xf numFmtId="1" fontId="0" fillId="9" borderId="0" xfId="0" applyNumberFormat="1" applyFill="1"/>
    <xf numFmtId="3" fontId="0" fillId="9" borderId="0" xfId="0" applyNumberFormat="1" applyFill="1"/>
    <xf numFmtId="0" fontId="0" fillId="10" borderId="0" xfId="0" applyFill="1"/>
    <xf numFmtId="3" fontId="0" fillId="0" borderId="0" xfId="0" applyNumberFormat="1"/>
    <xf numFmtId="0" fontId="0" fillId="4" borderId="0" xfId="0" applyFill="1" applyAlignment="1">
      <alignment vertical="center"/>
    </xf>
    <xf numFmtId="0" fontId="3" fillId="4" borderId="0" xfId="0" applyFont="1" applyFill="1"/>
    <xf numFmtId="0" fontId="0" fillId="0" borderId="0" xfId="0" applyAlignment="1">
      <alignment vertical="center"/>
    </xf>
    <xf numFmtId="2" fontId="0" fillId="6" borderId="0" xfId="0" applyNumberFormat="1" applyFill="1"/>
    <xf numFmtId="3" fontId="0" fillId="4" borderId="0" xfId="0" applyNumberFormat="1" applyFill="1"/>
    <xf numFmtId="164" fontId="0" fillId="4" borderId="0" xfId="1" applyNumberFormat="1" applyFont="1" applyFill="1"/>
    <xf numFmtId="2" fontId="0" fillId="4" borderId="0" xfId="0" applyNumberFormat="1" applyFill="1" applyAlignment="1">
      <alignment horizontal="center"/>
    </xf>
    <xf numFmtId="3" fontId="0" fillId="4" borderId="0" xfId="0" applyNumberFormat="1" applyFill="1" applyAlignment="1">
      <alignment horizontal="center"/>
    </xf>
    <xf numFmtId="164" fontId="5" fillId="4" borderId="0" xfId="1" applyNumberFormat="1" applyFont="1" applyFill="1"/>
    <xf numFmtId="0" fontId="0" fillId="10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0" fontId="0" fillId="4" borderId="0" xfId="0" applyFill="1"/>
    <xf numFmtId="0" fontId="0" fillId="8" borderId="0" xfId="0" applyFill="1" applyAlignment="1">
      <alignment horizontal="center"/>
    </xf>
    <xf numFmtId="164" fontId="0" fillId="4" borderId="0" xfId="1" applyNumberFormat="1" applyFont="1" applyFill="1" applyAlignment="1">
      <alignment horizontal="center"/>
    </xf>
    <xf numFmtId="164" fontId="0" fillId="0" borderId="0" xfId="0" applyNumberFormat="1" applyAlignment="1">
      <alignment horizontal="center"/>
    </xf>
    <xf numFmtId="0" fontId="0" fillId="11" borderId="0" xfId="0" applyFill="1"/>
    <xf numFmtId="3" fontId="0" fillId="11" borderId="0" xfId="0" applyNumberFormat="1" applyFill="1"/>
    <xf numFmtId="164" fontId="0" fillId="11" borderId="0" xfId="1" applyNumberFormat="1" applyFont="1" applyFill="1" applyAlignment="1">
      <alignment horizontal="center"/>
    </xf>
    <xf numFmtId="2" fontId="0" fillId="11" borderId="0" xfId="0" applyNumberFormat="1" applyFill="1" applyAlignment="1">
      <alignment horizontal="center"/>
    </xf>
    <xf numFmtId="3" fontId="0" fillId="11" borderId="0" xfId="0" applyNumberFormat="1" applyFill="1" applyAlignment="1">
      <alignment horizontal="center"/>
    </xf>
    <xf numFmtId="164" fontId="5" fillId="11" borderId="0" xfId="1" applyNumberFormat="1" applyFont="1" applyFill="1"/>
    <xf numFmtId="0" fontId="0" fillId="11" borderId="0" xfId="0" applyFill="1" applyAlignment="1">
      <alignment horizontal="center"/>
    </xf>
    <xf numFmtId="0" fontId="0" fillId="13" borderId="0" xfId="0" applyFill="1"/>
    <xf numFmtId="3" fontId="0" fillId="13" borderId="0" xfId="0" applyNumberFormat="1" applyFill="1"/>
    <xf numFmtId="164" fontId="0" fillId="13" borderId="0" xfId="1" applyNumberFormat="1" applyFont="1" applyFill="1" applyAlignment="1">
      <alignment horizontal="center"/>
    </xf>
    <xf numFmtId="2" fontId="0" fillId="13" borderId="0" xfId="0" applyNumberFormat="1" applyFill="1" applyAlignment="1">
      <alignment horizontal="center"/>
    </xf>
    <xf numFmtId="3" fontId="0" fillId="13" borderId="0" xfId="0" applyNumberFormat="1" applyFill="1" applyAlignment="1">
      <alignment horizontal="center"/>
    </xf>
    <xf numFmtId="164" fontId="5" fillId="13" borderId="0" xfId="1" applyNumberFormat="1" applyFont="1" applyFill="1"/>
    <xf numFmtId="0" fontId="0" fillId="13" borderId="0" xfId="0" applyFill="1" applyAlignment="1">
      <alignment horizontal="center"/>
    </xf>
    <xf numFmtId="10" fontId="0" fillId="9" borderId="0" xfId="0" applyNumberFormat="1" applyFill="1"/>
    <xf numFmtId="0" fontId="0" fillId="0" borderId="0" xfId="0"/>
    <xf numFmtId="10" fontId="0" fillId="3" borderId="0" xfId="0" applyNumberFormat="1" applyFill="1"/>
    <xf numFmtId="0" fontId="3" fillId="4" borderId="0" xfId="0" applyFont="1" applyFill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2" fillId="11" borderId="2" xfId="0" applyFont="1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3" fillId="12" borderId="5" xfId="0" applyFont="1" applyFill="1" applyBorder="1" applyAlignment="1">
      <alignment horizontal="center"/>
    </xf>
    <xf numFmtId="0" fontId="0" fillId="12" borderId="6" xfId="0" applyFill="1" applyBorder="1" applyAlignment="1">
      <alignment horizontal="center"/>
    </xf>
    <xf numFmtId="0" fontId="0" fillId="12" borderId="7" xfId="0" applyFill="1" applyBorder="1" applyAlignment="1">
      <alignment horizontal="center"/>
    </xf>
    <xf numFmtId="0" fontId="0" fillId="4" borderId="0" xfId="0" applyFill="1" applyAlignment="1">
      <alignment wrapText="1"/>
    </xf>
    <xf numFmtId="0" fontId="0" fillId="0" borderId="0" xfId="0"/>
    <xf numFmtId="0" fontId="3" fillId="12" borderId="6" xfId="0" applyFont="1" applyFill="1" applyBorder="1" applyAlignment="1">
      <alignment horizontal="center"/>
    </xf>
    <xf numFmtId="0" fontId="3" fillId="12" borderId="7" xfId="0" applyFont="1" applyFill="1" applyBorder="1" applyAlignment="1">
      <alignment horizontal="center"/>
    </xf>
    <xf numFmtId="0" fontId="0" fillId="4" borderId="0" xfId="0" applyFill="1"/>
  </cellXfs>
  <cellStyles count="3">
    <cellStyle name="Normal" xfId="0" builtinId="0"/>
    <cellStyle name="Normal 2" xfId="2" xr:uid="{2C060D42-2755-477C-A55A-794790BED554}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225871-A521-4BAA-86B7-3C204582360A}">
  <sheetPr codeName="Sheet5">
    <tabColor rgb="FFFFFF00"/>
  </sheetPr>
  <dimension ref="B1:J15"/>
  <sheetViews>
    <sheetView tabSelected="1" topLeftCell="A4" workbookViewId="0">
      <selection activeCell="B13" sqref="B13:J15"/>
    </sheetView>
  </sheetViews>
  <sheetFormatPr defaultColWidth="9.1328125" defaultRowHeight="14.25" x14ac:dyDescent="0.45"/>
  <cols>
    <col min="1" max="1" width="9.1328125" style="1"/>
    <col min="2" max="10" width="12.86328125" style="1" customWidth="1"/>
    <col min="11" max="16384" width="9.1328125" style="1"/>
  </cols>
  <sheetData>
    <row r="1" spans="2:10" x14ac:dyDescent="0.45">
      <c r="B1" s="48"/>
      <c r="C1" s="48"/>
      <c r="D1" s="48"/>
      <c r="E1" s="48"/>
      <c r="F1" s="48"/>
      <c r="G1" s="48"/>
      <c r="H1" s="48"/>
      <c r="I1" s="48"/>
      <c r="J1" s="48"/>
    </row>
    <row r="2" spans="2:10" ht="14.65" thickBot="1" x14ac:dyDescent="0.5">
      <c r="B2" s="49"/>
      <c r="C2" s="49"/>
      <c r="D2" s="49"/>
      <c r="E2" s="49"/>
      <c r="F2" s="49"/>
      <c r="G2" s="49"/>
      <c r="H2" s="49"/>
      <c r="I2" s="49"/>
      <c r="J2" s="49"/>
    </row>
    <row r="3" spans="2:10" ht="14.65" thickBot="1" x14ac:dyDescent="0.5">
      <c r="B3" s="50" t="s">
        <v>554</v>
      </c>
      <c r="C3" s="51"/>
      <c r="D3" s="51"/>
      <c r="E3" s="51"/>
      <c r="F3" s="51"/>
      <c r="G3" s="51"/>
      <c r="H3" s="51"/>
      <c r="I3" s="51"/>
      <c r="J3" s="52"/>
    </row>
    <row r="5" spans="2:10" x14ac:dyDescent="0.45">
      <c r="B5" s="14"/>
      <c r="C5" s="14"/>
      <c r="D5" s="14"/>
      <c r="E5" s="14"/>
    </row>
    <row r="6" spans="2:10" x14ac:dyDescent="0.45">
      <c r="B6" s="53" t="s">
        <v>551</v>
      </c>
      <c r="C6" s="54"/>
      <c r="D6" s="54"/>
      <c r="E6" s="54"/>
      <c r="F6" s="54"/>
      <c r="G6" s="54"/>
      <c r="H6" s="54"/>
      <c r="I6" s="54"/>
      <c r="J6" s="55"/>
    </row>
    <row r="8" spans="2:10" x14ac:dyDescent="0.45">
      <c r="B8" s="53" t="s">
        <v>552</v>
      </c>
      <c r="C8" s="58"/>
      <c r="D8" s="58"/>
      <c r="E8" s="58"/>
      <c r="F8" s="59"/>
      <c r="G8" s="53" t="s">
        <v>553</v>
      </c>
      <c r="H8" s="58"/>
      <c r="I8" s="58"/>
      <c r="J8" s="59"/>
    </row>
    <row r="10" spans="2:10" x14ac:dyDescent="0.45">
      <c r="B10" s="1" t="s">
        <v>555</v>
      </c>
      <c r="G10" s="60"/>
      <c r="H10" s="57"/>
      <c r="I10" s="57"/>
      <c r="J10" s="57"/>
    </row>
    <row r="11" spans="2:10" x14ac:dyDescent="0.45">
      <c r="G11" s="60"/>
      <c r="H11" s="57"/>
      <c r="I11" s="57"/>
      <c r="J11" s="57"/>
    </row>
    <row r="13" spans="2:10" x14ac:dyDescent="0.45">
      <c r="B13" s="15"/>
    </row>
    <row r="14" spans="2:10" ht="33.75" customHeight="1" x14ac:dyDescent="0.45">
      <c r="B14" s="56"/>
      <c r="C14" s="57"/>
      <c r="D14" s="57"/>
      <c r="E14" s="57"/>
      <c r="F14" s="57"/>
      <c r="G14" s="57"/>
      <c r="H14" s="57"/>
      <c r="I14" s="57"/>
      <c r="J14" s="57"/>
    </row>
    <row r="15" spans="2:10" x14ac:dyDescent="0.45">
      <c r="B15" s="16"/>
    </row>
  </sheetData>
  <mergeCells count="8">
    <mergeCell ref="B1:J2"/>
    <mergeCell ref="B3:J3"/>
    <mergeCell ref="B6:J6"/>
    <mergeCell ref="B14:J14"/>
    <mergeCell ref="B8:F8"/>
    <mergeCell ref="G8:J8"/>
    <mergeCell ref="G10:J10"/>
    <mergeCell ref="G11:J1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8F932B-D7D8-40AD-8EE6-2F09D89DAC04}">
  <sheetPr codeName="Sheet3"/>
  <dimension ref="A1:Z19"/>
  <sheetViews>
    <sheetView zoomScale="80" zoomScaleNormal="80" workbookViewId="0">
      <pane ySplit="1" topLeftCell="A2" activePane="bottomLeft" state="frozen"/>
      <selection pane="bottomLeft" activeCell="C6" sqref="C6"/>
    </sheetView>
  </sheetViews>
  <sheetFormatPr defaultRowHeight="14.25" x14ac:dyDescent="0.45"/>
  <cols>
    <col min="4" max="4" width="24" customWidth="1"/>
    <col min="5" max="5" width="33.86328125" customWidth="1"/>
    <col min="7" max="7" width="13.3984375" style="13" customWidth="1"/>
    <col min="14" max="15" width="17.73046875" style="25" bestFit="1" customWidth="1"/>
    <col min="26" max="26" width="18" style="25" customWidth="1"/>
  </cols>
  <sheetData>
    <row r="1" spans="1:26" x14ac:dyDescent="0.45">
      <c r="A1" s="3" t="s">
        <v>0</v>
      </c>
      <c r="B1" s="3" t="s">
        <v>1</v>
      </c>
      <c r="C1" s="6" t="s">
        <v>12</v>
      </c>
      <c r="D1" s="6" t="s">
        <v>308</v>
      </c>
      <c r="E1" s="6" t="s">
        <v>235</v>
      </c>
      <c r="F1" s="6" t="s">
        <v>11</v>
      </c>
      <c r="G1" s="7" t="s">
        <v>565</v>
      </c>
      <c r="H1" s="2" t="s">
        <v>8</v>
      </c>
      <c r="I1" s="2" t="s">
        <v>7</v>
      </c>
      <c r="J1" s="2" t="s">
        <v>6</v>
      </c>
      <c r="K1" s="4" t="s">
        <v>5</v>
      </c>
      <c r="L1" s="4" t="s">
        <v>4</v>
      </c>
      <c r="M1" s="4" t="s">
        <v>3</v>
      </c>
      <c r="N1" s="28" t="s">
        <v>391</v>
      </c>
      <c r="O1" s="28" t="s">
        <v>392</v>
      </c>
      <c r="P1" s="5" t="s">
        <v>2</v>
      </c>
      <c r="Q1" s="5" t="s">
        <v>393</v>
      </c>
      <c r="R1" s="5" t="s">
        <v>394</v>
      </c>
      <c r="S1" s="9" t="s">
        <v>461</v>
      </c>
      <c r="T1" s="10" t="s">
        <v>567</v>
      </c>
      <c r="U1" s="11" t="s">
        <v>409</v>
      </c>
      <c r="V1" s="9" t="s">
        <v>410</v>
      </c>
      <c r="W1" s="12" t="s">
        <v>14</v>
      </c>
      <c r="X1" s="12" t="s">
        <v>13</v>
      </c>
      <c r="Y1" s="12" t="s">
        <v>410</v>
      </c>
      <c r="Z1" s="23" t="s">
        <v>566</v>
      </c>
    </row>
    <row r="2" spans="1:26" s="26" customFormat="1" x14ac:dyDescent="0.45">
      <c r="B2" s="3" t="s">
        <v>764</v>
      </c>
      <c r="C2" s="26" t="str">
        <f>VLOOKUP(B2,Nasdaq.com!$B:$AK,MATCH('Idea generation'!$C$1,Nasdaq.com!$B$1:$AK$1,),)</f>
        <v>NSDQ</v>
      </c>
      <c r="D2" s="26" t="str">
        <f>VLOOKUP(B2,Nasdaq.com!$B:$AK,MATCH('Idea generation'!$D$1,Nasdaq.com!$B$1:$AK$1,),)</f>
        <v>Industrial Products</v>
      </c>
      <c r="E2" s="26" t="str">
        <f>VLOOKUP(B2,Nasdaq.com!$B:$AK,MATCH('Idea generation'!$E$1,Nasdaq.com!$B$1:$AK$1,),)</f>
        <v xml:space="preserve">Manufacturing - General Industrial </v>
      </c>
      <c r="F2" s="26" t="e">
        <f>VLOOKUP(B2,Nasdaq.com!$B:$AK,MATCH('Idea generation'!$F$1,Nasdaq.com!$B$1:$AK$1,),)</f>
        <v>#N/A</v>
      </c>
      <c r="G2" s="18">
        <f>VLOOKUP(B2,Nasdaq.com!$B:$AK,MATCH('Idea generation'!$G$1,Nasdaq.com!$B$1:$AK$1,),)</f>
        <v>4200.37</v>
      </c>
      <c r="H2" s="26">
        <f>VLOOKUP(B2,Nasdaq.com!$B:$AK,MATCH('Idea generation'!$H$1,Nasdaq.com!$B$1:$AK$1,),)</f>
        <v>2.82</v>
      </c>
      <c r="I2" s="26">
        <f>VLOOKUP(B2,Nasdaq.com!$B:$AK,MATCH('Idea generation'!$I$1,Nasdaq.com!$B$1:$AK$1,),)</f>
        <v>3.19</v>
      </c>
      <c r="J2" s="26">
        <f>VLOOKUP(B2,Nasdaq.com!$B:$AK,MATCH('Idea generation'!$J$1,Nasdaq.com!$B$1:$AK$1,),)</f>
        <v>3.75</v>
      </c>
      <c r="K2" s="26">
        <f>VLOOKUP(B2,Nasdaq.com!$B:$AK,MATCH('Idea generation'!$K$1,Nasdaq.com!$B$1:$AK$1,),)</f>
        <v>20.98</v>
      </c>
      <c r="L2" s="26">
        <f>VLOOKUP(B2,Nasdaq.com!$B:$AK,MATCH('Idea generation'!$L$1,Nasdaq.com!$B$1:$AK$1,),)</f>
        <v>20.32</v>
      </c>
      <c r="M2" s="26">
        <f>VLOOKUP(B2,Nasdaq.com!$B:$AK,MATCH('Idea generation'!$M$1,Nasdaq.com!$B$1:$AK$1,),)</f>
        <v>17.29</v>
      </c>
      <c r="N2" s="29">
        <f>VLOOKUP(B2,Nasdaq.com!$B:$AK,MATCH('Idea generation'!$N$1,Nasdaq.com!$B$1:$AK$1,),)</f>
        <v>0.1312056737588653</v>
      </c>
      <c r="O2" s="29">
        <f>VLOOKUP(B2,Nasdaq.com!$B:$AK,MATCH('Idea generation'!$O$1,Nasdaq.com!$B$1:$AK$1,),)</f>
        <v>0.17554858934169282</v>
      </c>
      <c r="P2" s="26">
        <f>VLOOKUP(B2,Nasdaq.com!$B:$AK,MATCH('Idea generation'!$P$1,Nasdaq.com!$B$1:$AK$1,),)</f>
        <v>1.35</v>
      </c>
      <c r="Q2" s="20">
        <f>VLOOKUP(B2,Nasdaq.com!$B:$AK,MATCH('Idea generation'!$Q$1,Nasdaq.com!$B$1:$AK$1,),)</f>
        <v>1.5487135135135128</v>
      </c>
      <c r="R2" s="20">
        <f>VLOOKUP(B2,Nasdaq.com!$B:$AK,MATCH('Idea generation'!$R$1,Nasdaq.com!$B$1:$AK$1,),)</f>
        <v>0.98491249999999975</v>
      </c>
      <c r="S2" s="26">
        <f>VLOOKUP(B2,Nasdaq.com!$B:$AK,MATCH('Idea generation'!$S$1,Nasdaq.com!$B$1:$AK$1,),)</f>
        <v>10.46</v>
      </c>
      <c r="T2" s="21">
        <f>VLOOKUP(B2,Nasdaq.com!$B:$AK,MATCH('Idea generation'!$T$1,Nasdaq.com!$B$1:$AK$1,),)</f>
        <v>1847.81005</v>
      </c>
      <c r="U2" s="26">
        <f>VLOOKUP(B2,Nasdaq.com!$B:$AK,MATCH('Idea generation'!$U$1,Nasdaq.com!$B$1:$AK$1,),)</f>
        <v>28.1</v>
      </c>
      <c r="V2" s="19">
        <f>VLOOKUP(B2,Nasdaq.com!$B:$AK,MATCH('Idea generation'!$V$1,Nasdaq.com!$B$1:$AK$1,),)</f>
        <v>7.0573609501738147E-2</v>
      </c>
      <c r="W2" s="26">
        <f>VLOOKUP(B2,Nasdaq.com!$B:$AK,MATCH('Idea generation'!$W$1,Nasdaq.com!$B$1:$AK$1,),)</f>
        <v>13.16</v>
      </c>
      <c r="X2" s="26">
        <f>VLOOKUP(B2,Nasdaq.com!$B:$AK,MATCH('Idea generation'!$X$1,Nasdaq.com!$B$1:$AK$1,),)</f>
        <v>0.37</v>
      </c>
      <c r="Y2" s="26">
        <f>VLOOKUP(B2,Nasdaq.com!$B:$AK,MATCH('Idea generation'!$Y$1,Nasdaq.com!$B$1:$AK$1,),)</f>
        <v>7.0573609501738147E-2</v>
      </c>
      <c r="Z2" s="24">
        <f>VLOOKUP(B2,Nasdaq.com!$B:$AK,MATCH('Idea generation'!$Z$1,Nasdaq.com!$B$1:$AK$1,),)</f>
        <v>20210723</v>
      </c>
    </row>
    <row r="3" spans="1:26" s="26" customFormat="1" x14ac:dyDescent="0.45">
      <c r="B3" s="3" t="s">
        <v>766</v>
      </c>
      <c r="C3" s="26" t="str">
        <f>VLOOKUP(B3,Nasdaq.com!$B:$AK,MATCH('Idea generation'!$C$1,Nasdaq.com!$B$1:$AK$1,),)</f>
        <v>NYSE</v>
      </c>
      <c r="D3" s="26" t="str">
        <f>VLOOKUP(B3,Nasdaq.com!$B:$AK,MATCH('Idea generation'!$D$1,Nasdaq.com!$B$1:$AK$1,),)</f>
        <v>Industrial Products</v>
      </c>
      <c r="E3" s="26" t="str">
        <f>VLOOKUP(B3,Nasdaq.com!$B:$AK,MATCH('Idea generation'!$E$1,Nasdaq.com!$B$1:$AK$1,),)</f>
        <v xml:space="preserve">Manufacturing - General Industrial </v>
      </c>
      <c r="F3" s="26" t="e">
        <f>VLOOKUP(B3,Nasdaq.com!$B:$AK,MATCH('Idea generation'!$F$1,Nasdaq.com!$B$1:$AK$1,),)</f>
        <v>#N/A</v>
      </c>
      <c r="G3" s="18">
        <f>VLOOKUP(B3,Nasdaq.com!$B:$AK,MATCH('Idea generation'!$G$1,Nasdaq.com!$B$1:$AK$1,),)</f>
        <v>3716.51</v>
      </c>
      <c r="H3" s="26">
        <f>VLOOKUP(B3,Nasdaq.com!$B:$AK,MATCH('Idea generation'!$H$1,Nasdaq.com!$B$1:$AK$1,),)</f>
        <v>3.69</v>
      </c>
      <c r="I3" s="26">
        <f>VLOOKUP(B3,Nasdaq.com!$B:$AK,MATCH('Idea generation'!$I$1,Nasdaq.com!$B$1:$AK$1,),)</f>
        <v>4.3899999999999997</v>
      </c>
      <c r="J3" s="26">
        <f>VLOOKUP(B3,Nasdaq.com!$B:$AK,MATCH('Idea generation'!$J$1,Nasdaq.com!$B$1:$AK$1,),)</f>
        <v>4.8600000000000003</v>
      </c>
      <c r="K3" s="26">
        <f>VLOOKUP(B3,Nasdaq.com!$B:$AK,MATCH('Idea generation'!$K$1,Nasdaq.com!$B$1:$AK$1,),)</f>
        <v>23.67</v>
      </c>
      <c r="L3" s="26">
        <f>VLOOKUP(B3,Nasdaq.com!$B:$AK,MATCH('Idea generation'!$L$1,Nasdaq.com!$B$1:$AK$1,),)</f>
        <v>21.79</v>
      </c>
      <c r="M3" s="26">
        <f>VLOOKUP(B3,Nasdaq.com!$B:$AK,MATCH('Idea generation'!$M$1,Nasdaq.com!$B$1:$AK$1,),)</f>
        <v>19.68</v>
      </c>
      <c r="N3" s="29">
        <f>VLOOKUP(B3,Nasdaq.com!$B:$AK,MATCH('Idea generation'!$N$1,Nasdaq.com!$B$1:$AK$1,),)</f>
        <v>0.18970189701897011</v>
      </c>
      <c r="O3" s="29">
        <f>VLOOKUP(B3,Nasdaq.com!$B:$AK,MATCH('Idea generation'!$O$1,Nasdaq.com!$B$1:$AK$1,),)</f>
        <v>0.10706150341685665</v>
      </c>
      <c r="P3" s="26">
        <f>VLOOKUP(B3,Nasdaq.com!$B:$AK,MATCH('Idea generation'!$P$1,Nasdaq.com!$B$1:$AK$1,),)</f>
        <v>0</v>
      </c>
      <c r="Q3" s="20">
        <f>VLOOKUP(B3,Nasdaq.com!$B:$AK,MATCH('Idea generation'!$Q$1,Nasdaq.com!$B$1:$AK$1,),)</f>
        <v>1.148644285714286</v>
      </c>
      <c r="R3" s="20">
        <f>VLOOKUP(B3,Nasdaq.com!$B:$AK,MATCH('Idea generation'!$R$1,Nasdaq.com!$B$1:$AK$1,),)</f>
        <v>1.8381957446808481</v>
      </c>
      <c r="S3" s="26">
        <f>VLOOKUP(B3,Nasdaq.com!$B:$AK,MATCH('Idea generation'!$S$1,Nasdaq.com!$B$1:$AK$1,),)</f>
        <v>17.87</v>
      </c>
      <c r="T3" s="21">
        <f>VLOOKUP(B3,Nasdaq.com!$B:$AK,MATCH('Idea generation'!$T$1,Nasdaq.com!$B$1:$AK$1,),)</f>
        <v>3172</v>
      </c>
      <c r="U3" s="26">
        <f>VLOOKUP(B3,Nasdaq.com!$B:$AK,MATCH('Idea generation'!$U$1,Nasdaq.com!$B$1:$AK$1,),)</f>
        <v>6.9</v>
      </c>
      <c r="V3" s="22">
        <f>VLOOKUP(B3,Nasdaq.com!$B:$AK,MATCH('Idea generation'!$V$1,Nasdaq.com!$B$1:$AK$1,),)</f>
        <v>-2.2691910711259713E-2</v>
      </c>
      <c r="W3" s="26">
        <f>VLOOKUP(B3,Nasdaq.com!$B:$AK,MATCH('Idea generation'!$W$1,Nasdaq.com!$B$1:$AK$1,),)</f>
        <v>35.64</v>
      </c>
      <c r="X3" s="26">
        <f>VLOOKUP(B3,Nasdaq.com!$B:$AK,MATCH('Idea generation'!$X$1,Nasdaq.com!$B$1:$AK$1,),)</f>
        <v>1.38</v>
      </c>
      <c r="Y3" s="26">
        <f>VLOOKUP(B3,Nasdaq.com!$B:$AK,MATCH('Idea generation'!$Y$1,Nasdaq.com!$B$1:$AK$1,),)</f>
        <v>-2.2691910711259713E-2</v>
      </c>
      <c r="Z3" s="24">
        <f>VLOOKUP(B3,Nasdaq.com!$B:$AK,MATCH('Idea generation'!$Z$1,Nasdaq.com!$B$1:$AK$1,),)</f>
        <v>20210811</v>
      </c>
    </row>
    <row r="4" spans="1:26" s="26" customFormat="1" x14ac:dyDescent="0.45">
      <c r="B4" s="3" t="s">
        <v>640</v>
      </c>
      <c r="C4" s="26" t="str">
        <f>VLOOKUP(B4,Nasdaq.com!$B:$AK,MATCH('Idea generation'!$C$1,Nasdaq.com!$B$1:$AK$1,),)</f>
        <v>NYSE</v>
      </c>
      <c r="D4" s="26" t="str">
        <f>VLOOKUP(B4,Nasdaq.com!$B:$AK,MATCH('Idea generation'!$D$1,Nasdaq.com!$B$1:$AK$1,),)</f>
        <v>Industrial Products</v>
      </c>
      <c r="E4" s="26" t="str">
        <f>VLOOKUP(B4,Nasdaq.com!$B:$AK,MATCH('Idea generation'!$E$1,Nasdaq.com!$B$1:$AK$1,),)</f>
        <v xml:space="preserve">Manufacturing - General Industrial </v>
      </c>
      <c r="F4" s="26" t="e">
        <f>VLOOKUP(B4,Nasdaq.com!$B:$AK,MATCH('Idea generation'!$F$1,Nasdaq.com!$B$1:$AK$1,),)</f>
        <v>#N/A</v>
      </c>
      <c r="G4" s="18">
        <f>VLOOKUP(B4,Nasdaq.com!$B:$AK,MATCH('Idea generation'!$G$1,Nasdaq.com!$B$1:$AK$1,),)</f>
        <v>6142.56</v>
      </c>
      <c r="H4" s="26">
        <f>VLOOKUP(B4,Nasdaq.com!$B:$AK,MATCH('Idea generation'!$H$1,Nasdaq.com!$B$1:$AK$1,),)</f>
        <v>1.38</v>
      </c>
      <c r="I4" s="26">
        <f>VLOOKUP(B4,Nasdaq.com!$B:$AK,MATCH('Idea generation'!$I$1,Nasdaq.com!$B$1:$AK$1,),)</f>
        <v>2.13</v>
      </c>
      <c r="J4" s="26">
        <f>VLOOKUP(B4,Nasdaq.com!$B:$AK,MATCH('Idea generation'!$J$1,Nasdaq.com!$B$1:$AK$1,),)</f>
        <v>2.48</v>
      </c>
      <c r="K4" s="26">
        <f>VLOOKUP(B4,Nasdaq.com!$B:$AK,MATCH('Idea generation'!$K$1,Nasdaq.com!$B$1:$AK$1,),)</f>
        <v>31.24</v>
      </c>
      <c r="L4" s="26">
        <f>VLOOKUP(B4,Nasdaq.com!$B:$AK,MATCH('Idea generation'!$L$1,Nasdaq.com!$B$1:$AK$1,),)</f>
        <v>21.22</v>
      </c>
      <c r="M4" s="26">
        <f>VLOOKUP(B4,Nasdaq.com!$B:$AK,MATCH('Idea generation'!$M$1,Nasdaq.com!$B$1:$AK$1,),)</f>
        <v>18.3</v>
      </c>
      <c r="N4" s="29">
        <f>VLOOKUP(B4,Nasdaq.com!$B:$AK,MATCH('Idea generation'!$N$1,Nasdaq.com!$B$1:$AK$1,),)</f>
        <v>0.5434782608695653</v>
      </c>
      <c r="O4" s="29">
        <f>VLOOKUP(B4,Nasdaq.com!$B:$AK,MATCH('Idea generation'!$O$1,Nasdaq.com!$B$1:$AK$1,),)</f>
        <v>0.16431924882629112</v>
      </c>
      <c r="P4" s="26">
        <f>VLOOKUP(B4,Nasdaq.com!$B:$AK,MATCH('Idea generation'!$P$1,Nasdaq.com!$B$1:$AK$1,),)</f>
        <v>1</v>
      </c>
      <c r="Q4" s="20">
        <f>VLOOKUP(B4,Nasdaq.com!$B:$AK,MATCH('Idea generation'!$Q$1,Nasdaq.com!$B$1:$AK$1,),)</f>
        <v>0.39044799999999991</v>
      </c>
      <c r="R4" s="20">
        <f>VLOOKUP(B4,Nasdaq.com!$B:$AK,MATCH('Idea generation'!$R$1,Nasdaq.com!$B$1:$AK$1,),)</f>
        <v>1.1136857142857142</v>
      </c>
      <c r="S4" s="26">
        <f>VLOOKUP(B4,Nasdaq.com!$B:$AK,MATCH('Idea generation'!$S$1,Nasdaq.com!$B$1:$AK$1,),)</f>
        <v>5.49</v>
      </c>
      <c r="T4" s="21">
        <f>VLOOKUP(B4,Nasdaq.com!$B:$AK,MATCH('Idea generation'!$T$1,Nasdaq.com!$B$1:$AK$1,),)</f>
        <v>3624.3740200000002</v>
      </c>
      <c r="U4" s="26">
        <f>VLOOKUP(B4,Nasdaq.com!$B:$AK,MATCH('Idea generation'!$U$1,Nasdaq.com!$B$1:$AK$1,),)</f>
        <v>-3.22</v>
      </c>
      <c r="V4" s="22">
        <f>VLOOKUP(B4,Nasdaq.com!$B:$AK,MATCH('Idea generation'!$V$1,Nasdaq.com!$B$1:$AK$1,),)</f>
        <v>0.1802818250797032</v>
      </c>
      <c r="W4" s="26">
        <f>VLOOKUP(B4,Nasdaq.com!$B:$AK,MATCH('Idea generation'!$W$1,Nasdaq.com!$B$1:$AK$1,),)</f>
        <v>12.82</v>
      </c>
      <c r="X4" s="26">
        <f>VLOOKUP(B4,Nasdaq.com!$B:$AK,MATCH('Idea generation'!$X$1,Nasdaq.com!$B$1:$AK$1,),)</f>
        <v>0</v>
      </c>
      <c r="Y4" s="26">
        <f>VLOOKUP(B4,Nasdaq.com!$B:$AK,MATCH('Idea generation'!$Y$1,Nasdaq.com!$B$1:$AK$1,),)</f>
        <v>0.1802818250797032</v>
      </c>
      <c r="Z4" s="24">
        <f>VLOOKUP(B4,Nasdaq.com!$B:$AK,MATCH('Idea generation'!$Z$1,Nasdaq.com!$B$1:$AK$1,),)</f>
        <v>20210805</v>
      </c>
    </row>
    <row r="5" spans="1:26" s="26" customFormat="1" x14ac:dyDescent="0.45">
      <c r="B5" s="3" t="s">
        <v>208</v>
      </c>
      <c r="C5" s="26" t="str">
        <f>VLOOKUP(B5,Nasdaq.com!$B:$AK,MATCH('Idea generation'!$C$1,Nasdaq.com!$B$1:$AK$1,),)</f>
        <v>NYSE</v>
      </c>
      <c r="D5" s="26" t="str">
        <f>VLOOKUP(B5,Nasdaq.com!$B:$AK,MATCH('Idea generation'!$D$1,Nasdaq.com!$B$1:$AK$1,),)</f>
        <v>Industrial Products</v>
      </c>
      <c r="E5" s="26" t="str">
        <f>VLOOKUP(B5,Nasdaq.com!$B:$AK,MATCH('Idea generation'!$E$1,Nasdaq.com!$B$1:$AK$1,),)</f>
        <v xml:space="preserve">Manufacturing - General Industrial </v>
      </c>
      <c r="F5" s="26" t="e">
        <f>VLOOKUP(B5,Nasdaq.com!$B:$AK,MATCH('Idea generation'!$F$1,Nasdaq.com!$B$1:$AK$1,),)</f>
        <v>#N/A</v>
      </c>
      <c r="G5" s="18">
        <f>VLOOKUP(B5,Nasdaq.com!$B:$AK,MATCH('Idea generation'!$G$1,Nasdaq.com!$B$1:$AK$1,),)</f>
        <v>21684.080000000002</v>
      </c>
      <c r="H5" s="26">
        <f>VLOOKUP(B5,Nasdaq.com!$B:$AK,MATCH('Idea generation'!$H$1,Nasdaq.com!$B$1:$AK$1,),)</f>
        <v>5.49</v>
      </c>
      <c r="I5" s="26">
        <f>VLOOKUP(B5,Nasdaq.com!$B:$AK,MATCH('Idea generation'!$I$1,Nasdaq.com!$B$1:$AK$1,),)</f>
        <v>6.98</v>
      </c>
      <c r="J5" s="26">
        <f>VLOOKUP(B5,Nasdaq.com!$B:$AK,MATCH('Idea generation'!$J$1,Nasdaq.com!$B$1:$AK$1,),)</f>
        <v>7.58</v>
      </c>
      <c r="K5" s="26">
        <f>VLOOKUP(B5,Nasdaq.com!$B:$AK,MATCH('Idea generation'!$K$1,Nasdaq.com!$B$1:$AK$1,),)</f>
        <v>24.74</v>
      </c>
      <c r="L5" s="26">
        <f>VLOOKUP(B5,Nasdaq.com!$B:$AK,MATCH('Idea generation'!$L$1,Nasdaq.com!$B$1:$AK$1,),)</f>
        <v>21.59</v>
      </c>
      <c r="M5" s="26">
        <f>VLOOKUP(B5,Nasdaq.com!$B:$AK,MATCH('Idea generation'!$M$1,Nasdaq.com!$B$1:$AK$1,),)</f>
        <v>19.88</v>
      </c>
      <c r="N5" s="29">
        <f>VLOOKUP(B5,Nasdaq.com!$B:$AK,MATCH('Idea generation'!$N$1,Nasdaq.com!$B$1:$AK$1,),)</f>
        <v>0.27140255009107472</v>
      </c>
      <c r="O5" s="29">
        <f>VLOOKUP(B5,Nasdaq.com!$B:$AK,MATCH('Idea generation'!$O$1,Nasdaq.com!$B$1:$AK$1,),)</f>
        <v>8.5959885386819423E-2</v>
      </c>
      <c r="P5" s="26">
        <f>VLOOKUP(B5,Nasdaq.com!$B:$AK,MATCH('Idea generation'!$P$1,Nasdaq.com!$B$1:$AK$1,),)</f>
        <v>1.88</v>
      </c>
      <c r="Q5" s="20">
        <f>VLOOKUP(B5,Nasdaq.com!$B:$AK,MATCH('Idea generation'!$Q$1,Nasdaq.com!$B$1:$AK$1,),)</f>
        <v>0.79549731543624147</v>
      </c>
      <c r="R5" s="20">
        <f>VLOOKUP(B5,Nasdaq.com!$B:$AK,MATCH('Idea generation'!$R$1,Nasdaq.com!$B$1:$AK$1,),)</f>
        <v>2.3127066666666685</v>
      </c>
      <c r="S5" s="26">
        <f>VLOOKUP(B5,Nasdaq.com!$B:$AK,MATCH('Idea generation'!$S$1,Nasdaq.com!$B$1:$AK$1,),)</f>
        <v>26.74</v>
      </c>
      <c r="T5" s="21">
        <f>VLOOKUP(B5,Nasdaq.com!$B:$AK,MATCH('Idea generation'!$T$1,Nasdaq.com!$B$1:$AK$1,),)</f>
        <v>7490.0341699999999</v>
      </c>
      <c r="U5" s="26">
        <f>VLOOKUP(B5,Nasdaq.com!$B:$AK,MATCH('Idea generation'!$U$1,Nasdaq.com!$B$1:$AK$1,),)</f>
        <v>-0.85</v>
      </c>
      <c r="V5" s="22">
        <f>VLOOKUP(B5,Nasdaq.com!$B:$AK,MATCH('Idea generation'!$V$1,Nasdaq.com!$B$1:$AK$1,),)</f>
        <v>0.12063182549941943</v>
      </c>
      <c r="W5" s="26">
        <f>VLOOKUP(B5,Nasdaq.com!$B:$AK,MATCH('Idea generation'!$W$1,Nasdaq.com!$B$1:$AK$1,),)</f>
        <v>23.13</v>
      </c>
      <c r="X5" s="26">
        <f>VLOOKUP(B5,Nasdaq.com!$B:$AK,MATCH('Idea generation'!$X$1,Nasdaq.com!$B$1:$AK$1,),)</f>
        <v>1.31</v>
      </c>
      <c r="Y5" s="26">
        <f>VLOOKUP(B5,Nasdaq.com!$B:$AK,MATCH('Idea generation'!$Y$1,Nasdaq.com!$B$1:$AK$1,),)</f>
        <v>0.12063182549941943</v>
      </c>
      <c r="Z5" s="24">
        <f>VLOOKUP(B5,Nasdaq.com!$B:$AK,MATCH('Idea generation'!$Z$1,Nasdaq.com!$B$1:$AK$1,),)</f>
        <v>20210728</v>
      </c>
    </row>
    <row r="6" spans="1:26" s="26" customFormat="1" x14ac:dyDescent="0.45">
      <c r="B6" s="3" t="s">
        <v>613</v>
      </c>
      <c r="C6" s="26" t="str">
        <f>VLOOKUP(B6,Nasdaq.com!$B:$AK,MATCH('Idea generation'!$C$1,Nasdaq.com!$B$1:$AK$1,),)</f>
        <v>NYSE</v>
      </c>
      <c r="D6" s="26" t="str">
        <f>VLOOKUP(B6,Nasdaq.com!$B:$AK,MATCH('Idea generation'!$D$1,Nasdaq.com!$B$1:$AK$1,),)</f>
        <v>Industrial Products</v>
      </c>
      <c r="E6" s="26" t="str">
        <f>VLOOKUP(B6,Nasdaq.com!$B:$AK,MATCH('Idea generation'!$E$1,Nasdaq.com!$B$1:$AK$1,),)</f>
        <v xml:space="preserve">Manufacturing - General Industrial </v>
      </c>
      <c r="F6" s="26" t="e">
        <f>VLOOKUP(B6,Nasdaq.com!$B:$AK,MATCH('Idea generation'!$F$1,Nasdaq.com!$B$1:$AK$1,),)</f>
        <v>#N/A</v>
      </c>
      <c r="G6" s="18">
        <f>VLOOKUP(B6,Nasdaq.com!$B:$AK,MATCH('Idea generation'!$G$1,Nasdaq.com!$B$1:$AK$1,),)</f>
        <v>5651.77</v>
      </c>
      <c r="H6" s="26">
        <f>VLOOKUP(B6,Nasdaq.com!$B:$AK,MATCH('Idea generation'!$H$1,Nasdaq.com!$B$1:$AK$1,),)</f>
        <v>1.79</v>
      </c>
      <c r="I6" s="26">
        <f>VLOOKUP(B6,Nasdaq.com!$B:$AK,MATCH('Idea generation'!$I$1,Nasdaq.com!$B$1:$AK$1,),)</f>
        <v>1.6</v>
      </c>
      <c r="J6" s="26">
        <f>VLOOKUP(B6,Nasdaq.com!$B:$AK,MATCH('Idea generation'!$J$1,Nasdaq.com!$B$1:$AK$1,),)</f>
        <v>1.99</v>
      </c>
      <c r="K6" s="26">
        <f>VLOOKUP(B6,Nasdaq.com!$B:$AK,MATCH('Idea generation'!$K$1,Nasdaq.com!$B$1:$AK$1,),)</f>
        <v>23.57</v>
      </c>
      <c r="L6" s="26">
        <f>VLOOKUP(B6,Nasdaq.com!$B:$AK,MATCH('Idea generation'!$L$1,Nasdaq.com!$B$1:$AK$1,),)</f>
        <v>27.16</v>
      </c>
      <c r="M6" s="26">
        <f>VLOOKUP(B6,Nasdaq.com!$B:$AK,MATCH('Idea generation'!$M$1,Nasdaq.com!$B$1:$AK$1,),)</f>
        <v>21.84</v>
      </c>
      <c r="N6" s="29">
        <f>VLOOKUP(B6,Nasdaq.com!$B:$AK,MATCH('Idea generation'!$N$1,Nasdaq.com!$B$1:$AK$1,),)</f>
        <v>-0.10614525139664802</v>
      </c>
      <c r="O6" s="29">
        <f>VLOOKUP(B6,Nasdaq.com!$B:$AK,MATCH('Idea generation'!$O$1,Nasdaq.com!$B$1:$AK$1,),)</f>
        <v>0.24374999999999994</v>
      </c>
      <c r="P6" s="26">
        <f>VLOOKUP(B6,Nasdaq.com!$B:$AK,MATCH('Idea generation'!$P$1,Nasdaq.com!$B$1:$AK$1,),)</f>
        <v>2.2200000000000002</v>
      </c>
      <c r="Q6" s="20">
        <f>VLOOKUP(B6,Nasdaq.com!$B:$AK,MATCH('Idea generation'!$Q$1,Nasdaq.com!$B$1:$AK$1,),)</f>
        <v>-2.5587578947368428</v>
      </c>
      <c r="R6" s="20">
        <f>VLOOKUP(B6,Nasdaq.com!$B:$AK,MATCH('Idea generation'!$R$1,Nasdaq.com!$B$1:$AK$1,),)</f>
        <v>0.89600000000000024</v>
      </c>
      <c r="S6" s="26">
        <f>VLOOKUP(B6,Nasdaq.com!$B:$AK,MATCH('Idea generation'!$S$1,Nasdaq.com!$B$1:$AK$1,),)</f>
        <v>13.96</v>
      </c>
      <c r="T6" s="21">
        <f>VLOOKUP(B6,Nasdaq.com!$B:$AK,MATCH('Idea generation'!$T$1,Nasdaq.com!$B$1:$AK$1,),)</f>
        <v>3593.7260700000002</v>
      </c>
      <c r="U6" s="26">
        <f>VLOOKUP(B6,Nasdaq.com!$B:$AK,MATCH('Idea generation'!$U$1,Nasdaq.com!$B$1:$AK$1,),)</f>
        <v>-1.29</v>
      </c>
      <c r="V6" s="22">
        <f>VLOOKUP(B6,Nasdaq.com!$B:$AK,MATCH('Idea generation'!$V$1,Nasdaq.com!$B$1:$AK$1,),)</f>
        <v>-3.6051299176799077E-2</v>
      </c>
      <c r="W6" s="26">
        <f>VLOOKUP(B6,Nasdaq.com!$B:$AK,MATCH('Idea generation'!$W$1,Nasdaq.com!$B$1:$AK$1,),)</f>
        <v>40</v>
      </c>
      <c r="X6" s="26">
        <f>VLOOKUP(B6,Nasdaq.com!$B:$AK,MATCH('Idea generation'!$X$1,Nasdaq.com!$B$1:$AK$1,),)</f>
        <v>1.84</v>
      </c>
      <c r="Y6" s="26">
        <f>VLOOKUP(B6,Nasdaq.com!$B:$AK,MATCH('Idea generation'!$Y$1,Nasdaq.com!$B$1:$AK$1,),)</f>
        <v>-3.6051299176799077E-2</v>
      </c>
      <c r="Z6" s="24">
        <f>VLOOKUP(B6,Nasdaq.com!$B:$AK,MATCH('Idea generation'!$Z$1,Nasdaq.com!$B$1:$AK$1,),)</f>
        <v>20210729</v>
      </c>
    </row>
    <row r="7" spans="1:26" x14ac:dyDescent="0.45">
      <c r="B7" s="3" t="s">
        <v>219</v>
      </c>
      <c r="C7" s="27" t="str">
        <f>VLOOKUP(B7,Nasdaq.com!$B:$AK,MATCH('Idea generation'!$C$1,Nasdaq.com!$B$1:$AK$1,),)</f>
        <v>NYSE</v>
      </c>
      <c r="D7" s="27" t="str">
        <f>VLOOKUP(B7,Nasdaq.com!$B:$AK,MATCH('Idea generation'!$D$1,Nasdaq.com!$B$1:$AK$1,),)</f>
        <v>Industrial Products</v>
      </c>
      <c r="E7" s="27" t="str">
        <f>VLOOKUP(B7,Nasdaq.com!$B:$AK,MATCH('Idea generation'!$E$1,Nasdaq.com!$B$1:$AK$1,),)</f>
        <v xml:space="preserve">Manufacturing - General Industrial </v>
      </c>
      <c r="F7" s="27" t="e">
        <f>VLOOKUP(B7,Nasdaq.com!$B:$AK,MATCH('Idea generation'!$F$1,Nasdaq.com!$B$1:$AK$1,),)</f>
        <v>#N/A</v>
      </c>
      <c r="G7" s="18">
        <f>VLOOKUP(B7,Nasdaq.com!$B:$AK,MATCH('Idea generation'!$G$1,Nasdaq.com!$B$1:$AK$1,),)</f>
        <v>12487.36</v>
      </c>
      <c r="H7" s="27">
        <f>VLOOKUP(B7,Nasdaq.com!$B:$AK,MATCH('Idea generation'!$H$1,Nasdaq.com!$B$1:$AK$1,),)</f>
        <v>1.85</v>
      </c>
      <c r="I7" s="27">
        <f>VLOOKUP(B7,Nasdaq.com!$B:$AK,MATCH('Idea generation'!$I$1,Nasdaq.com!$B$1:$AK$1,),)</f>
        <v>2.4700000000000002</v>
      </c>
      <c r="J7" s="27">
        <f>VLOOKUP(B7,Nasdaq.com!$B:$AK,MATCH('Idea generation'!$J$1,Nasdaq.com!$B$1:$AK$1,),)</f>
        <v>2.66</v>
      </c>
      <c r="K7" s="27">
        <f>VLOOKUP(B7,Nasdaq.com!$B:$AK,MATCH('Idea generation'!$K$1,Nasdaq.com!$B$1:$AK$1,),)</f>
        <v>34.28</v>
      </c>
      <c r="L7" s="27">
        <f>VLOOKUP(B7,Nasdaq.com!$B:$AK,MATCH('Idea generation'!$L$1,Nasdaq.com!$B$1:$AK$1,),)</f>
        <v>29.82</v>
      </c>
      <c r="M7" s="27">
        <f>VLOOKUP(B7,Nasdaq.com!$B:$AK,MATCH('Idea generation'!$M$1,Nasdaq.com!$B$1:$AK$1,),)</f>
        <v>27.74</v>
      </c>
      <c r="N7" s="29">
        <f>VLOOKUP(B7,Nasdaq.com!$B:$AK,MATCH('Idea generation'!$N$1,Nasdaq.com!$B$1:$AK$1,),)</f>
        <v>0.33513513513513515</v>
      </c>
      <c r="O7" s="29">
        <f>VLOOKUP(B7,Nasdaq.com!$B:$AK,MATCH('Idea generation'!$O$1,Nasdaq.com!$B$1:$AK$1,),)</f>
        <v>7.69230769230769E-2</v>
      </c>
      <c r="P7" s="27">
        <f>VLOOKUP(B7,Nasdaq.com!$B:$AK,MATCH('Idea generation'!$P$1,Nasdaq.com!$B$1:$AK$1,),)</f>
        <v>3.73</v>
      </c>
      <c r="Q7" s="20">
        <f>VLOOKUP(B7,Nasdaq.com!$B:$AK,MATCH('Idea generation'!$Q$1,Nasdaq.com!$B$1:$AK$1,),)</f>
        <v>0.88979032258064505</v>
      </c>
      <c r="R7" s="20">
        <f>VLOOKUP(B7,Nasdaq.com!$B:$AK,MATCH('Idea generation'!$R$1,Nasdaq.com!$B$1:$AK$1,),)</f>
        <v>3.6062000000000007</v>
      </c>
      <c r="S7" s="27">
        <f>VLOOKUP(B7,Nasdaq.com!$B:$AK,MATCH('Idea generation'!$S$1,Nasdaq.com!$B$1:$AK$1,),)</f>
        <v>30.6</v>
      </c>
      <c r="T7" s="21">
        <f>VLOOKUP(B7,Nasdaq.com!$B:$AK,MATCH('Idea generation'!$T$1,Nasdaq.com!$B$1:$AK$1,),)</f>
        <v>1907.7879600000001</v>
      </c>
      <c r="U7" s="27">
        <f>VLOOKUP(B7,Nasdaq.com!$B:$AK,MATCH('Idea generation'!$U$1,Nasdaq.com!$B$1:$AK$1,),)</f>
        <v>5.51</v>
      </c>
      <c r="V7" s="22">
        <f>VLOOKUP(B7,Nasdaq.com!$B:$AK,MATCH('Idea generation'!$V$1,Nasdaq.com!$B$1:$AK$1,),)</f>
        <v>0.15615805006938946</v>
      </c>
      <c r="W7" s="27">
        <f>VLOOKUP(B7,Nasdaq.com!$B:$AK,MATCH('Idea generation'!$W$1,Nasdaq.com!$B$1:$AK$1,),)</f>
        <v>16</v>
      </c>
      <c r="X7" s="27">
        <f>VLOOKUP(B7,Nasdaq.com!$B:$AK,MATCH('Idea generation'!$X$1,Nasdaq.com!$B$1:$AK$1,),)</f>
        <v>1.02</v>
      </c>
      <c r="Y7" s="27">
        <f>VLOOKUP(B7,Nasdaq.com!$B:$AK,MATCH('Idea generation'!$Y$1,Nasdaq.com!$B$1:$AK$1,),)</f>
        <v>0.15615805006938946</v>
      </c>
      <c r="Z7" s="24">
        <f>VLOOKUP(B7,Nasdaq.com!$B:$AK,MATCH('Idea generation'!$Z$1,Nasdaq.com!$B$1:$AK$1,),)</f>
        <v>20210728</v>
      </c>
    </row>
    <row r="8" spans="1:26" s="31" customFormat="1" x14ac:dyDescent="0.45">
      <c r="B8" s="31" t="s">
        <v>728</v>
      </c>
      <c r="C8" s="31" t="str">
        <f>VLOOKUP(B8,Nasdaq.com!$B:$AK,MATCH('Idea generation'!$C$1,Nasdaq.com!$B$1:$AK$1,),)</f>
        <v>NYSE</v>
      </c>
      <c r="D8" s="31" t="str">
        <f>VLOOKUP(B8,Nasdaq.com!$B:$AK,MATCH('Idea generation'!$D$1,Nasdaq.com!$B$1:$AK$1,),)</f>
        <v>Industrial Products</v>
      </c>
      <c r="E8" s="31" t="str">
        <f>VLOOKUP(B8,Nasdaq.com!$B:$AK,MATCH('Idea generation'!$E$1,Nasdaq.com!$B$1:$AK$1,),)</f>
        <v xml:space="preserve">Manufacturing - General Industrial </v>
      </c>
      <c r="F8" s="31" t="e">
        <f>VLOOKUP(B8,Nasdaq.com!$B:$AK,MATCH('Idea generation'!$F$1,Nasdaq.com!$B$1:$AK$1,),)</f>
        <v>#N/A</v>
      </c>
      <c r="G8" s="32">
        <f>VLOOKUP(B8,Nasdaq.com!$B:$AK,MATCH('Idea generation'!$G$1,Nasdaq.com!$B$1:$AK$1,),)</f>
        <v>5377.4</v>
      </c>
      <c r="H8" s="31">
        <f>VLOOKUP(B8,Nasdaq.com!$B:$AK,MATCH('Idea generation'!$H$1,Nasdaq.com!$B$1:$AK$1,),)</f>
        <v>2.61</v>
      </c>
      <c r="I8" s="31">
        <f>VLOOKUP(B8,Nasdaq.com!$B:$AK,MATCH('Idea generation'!$I$1,Nasdaq.com!$B$1:$AK$1,),)</f>
        <v>3.92</v>
      </c>
      <c r="J8" s="31">
        <f>VLOOKUP(B8,Nasdaq.com!$B:$AK,MATCH('Idea generation'!$J$1,Nasdaq.com!$B$1:$AK$1,),)</f>
        <v>5.49</v>
      </c>
      <c r="K8" s="31">
        <f>VLOOKUP(B8,Nasdaq.com!$B:$AK,MATCH('Idea generation'!$K$1,Nasdaq.com!$B$1:$AK$1,),)</f>
        <v>45.24</v>
      </c>
      <c r="L8" s="31">
        <f>VLOOKUP(B8,Nasdaq.com!$B:$AK,MATCH('Idea generation'!$L$1,Nasdaq.com!$B$1:$AK$1,),)</f>
        <v>37.74</v>
      </c>
      <c r="M8" s="31">
        <f>VLOOKUP(B8,Nasdaq.com!$B:$AK,MATCH('Idea generation'!$M$1,Nasdaq.com!$B$1:$AK$1,),)</f>
        <v>26.95</v>
      </c>
      <c r="N8" s="33">
        <f>VLOOKUP(B8,Nasdaq.com!$B:$AK,MATCH('Idea generation'!$N$1,Nasdaq.com!$B$1:$AK$1,),)</f>
        <v>0.50191570881226055</v>
      </c>
      <c r="O8" s="33">
        <f>VLOOKUP(B8,Nasdaq.com!$B:$AK,MATCH('Idea generation'!$O$1,Nasdaq.com!$B$1:$AK$1,),)</f>
        <v>0.40051020408163274</v>
      </c>
      <c r="P8" s="31">
        <f>VLOOKUP(B8,Nasdaq.com!$B:$AK,MATCH('Idea generation'!$P$1,Nasdaq.com!$B$1:$AK$1,),)</f>
        <v>0</v>
      </c>
      <c r="Q8" s="34">
        <f>VLOOKUP(B8,Nasdaq.com!$B:$AK,MATCH('Idea generation'!$Q$1,Nasdaq.com!$B$1:$AK$1,),)</f>
        <v>0.75191908396946561</v>
      </c>
      <c r="R8" s="34">
        <f>VLOOKUP(B8,Nasdaq.com!$B:$AK,MATCH('Idea generation'!$R$1,Nasdaq.com!$B$1:$AK$1,),)</f>
        <v>0.67289171974522277</v>
      </c>
      <c r="S8" s="31">
        <f>VLOOKUP(B8,Nasdaq.com!$B:$AK,MATCH('Idea generation'!$S$1,Nasdaq.com!$B$1:$AK$1,),)</f>
        <v>5.76</v>
      </c>
      <c r="T8" s="35">
        <f>VLOOKUP(B8,Nasdaq.com!$B:$AK,MATCH('Idea generation'!$T$1,Nasdaq.com!$B$1:$AK$1,),)</f>
        <v>1383.43298</v>
      </c>
      <c r="U8" s="31">
        <f>VLOOKUP(B8,Nasdaq.com!$B:$AK,MATCH('Idea generation'!$U$1,Nasdaq.com!$B$1:$AK$1,),)</f>
        <v>9.5299999999999994</v>
      </c>
      <c r="V8" s="36">
        <f>VLOOKUP(B8,Nasdaq.com!$B:$AK,MATCH('Idea generation'!$V$1,Nasdaq.com!$B$1:$AK$1,),)</f>
        <v>0.17528925324951164</v>
      </c>
      <c r="W8" s="31">
        <f>VLOOKUP(B8,Nasdaq.com!$B:$AK,MATCH('Idea generation'!$W$1,Nasdaq.com!$B$1:$AK$1,),)</f>
        <v>8.82</v>
      </c>
      <c r="X8" s="31">
        <f>VLOOKUP(B8,Nasdaq.com!$B:$AK,MATCH('Idea generation'!$X$1,Nasdaq.com!$B$1:$AK$1,),)</f>
        <v>0</v>
      </c>
      <c r="Y8" s="31">
        <f>VLOOKUP(B8,Nasdaq.com!$B:$AK,MATCH('Idea generation'!$Y$1,Nasdaq.com!$B$1:$AK$1,),)</f>
        <v>0.17528925324951164</v>
      </c>
      <c r="Z8" s="37">
        <f>VLOOKUP(B8,Nasdaq.com!$B:$AK,MATCH('Idea generation'!$Z$1,Nasdaq.com!$B$1:$AK$1,),)</f>
        <v>20210722</v>
      </c>
    </row>
    <row r="9" spans="1:26" x14ac:dyDescent="0.45">
      <c r="B9" s="3" t="s">
        <v>229</v>
      </c>
      <c r="C9" s="27" t="str">
        <f>VLOOKUP(B9,Nasdaq.com!$B:$AK,MATCH('Idea generation'!$C$1,Nasdaq.com!$B$1:$AK$1,),)</f>
        <v>NYSE</v>
      </c>
      <c r="D9" s="27" t="str">
        <f>VLOOKUP(B9,Nasdaq.com!$B:$AK,MATCH('Idea generation'!$D$1,Nasdaq.com!$B$1:$AK$1,),)</f>
        <v>Industrial Products</v>
      </c>
      <c r="E9" s="27" t="str">
        <f>VLOOKUP(B9,Nasdaq.com!$B:$AK,MATCH('Idea generation'!$E$1,Nasdaq.com!$B$1:$AK$1,),)</f>
        <v xml:space="preserve">Manufacturing - General Industrial </v>
      </c>
      <c r="F9" s="27" t="e">
        <f>VLOOKUP(B9,Nasdaq.com!$B:$AK,MATCH('Idea generation'!$F$1,Nasdaq.com!$B$1:$AK$1,),)</f>
        <v>#N/A</v>
      </c>
      <c r="G9" s="18">
        <f>VLOOKUP(B9,Nasdaq.com!$B:$AK,MATCH('Idea generation'!$G$1,Nasdaq.com!$B$1:$AK$1,),)</f>
        <v>16781.52</v>
      </c>
      <c r="H9" s="27">
        <f>VLOOKUP(B9,Nasdaq.com!$B:$AK,MATCH('Idea generation'!$H$1,Nasdaq.com!$B$1:$AK$1,),)</f>
        <v>5.15</v>
      </c>
      <c r="I9" s="27">
        <f>VLOOKUP(B9,Nasdaq.com!$B:$AK,MATCH('Idea generation'!$I$1,Nasdaq.com!$B$1:$AK$1,),)</f>
        <v>6.16</v>
      </c>
      <c r="J9" s="27">
        <f>VLOOKUP(B9,Nasdaq.com!$B:$AK,MATCH('Idea generation'!$J$1,Nasdaq.com!$B$1:$AK$1,),)</f>
        <v>6.71</v>
      </c>
      <c r="K9" s="27">
        <f>VLOOKUP(B9,Nasdaq.com!$B:$AK,MATCH('Idea generation'!$K$1,Nasdaq.com!$B$1:$AK$1,),)</f>
        <v>41.08</v>
      </c>
      <c r="L9" s="27">
        <f>VLOOKUP(B9,Nasdaq.com!$B:$AK,MATCH('Idea generation'!$L$1,Nasdaq.com!$B$1:$AK$1,),)</f>
        <v>35.85</v>
      </c>
      <c r="M9" s="27">
        <f>VLOOKUP(B9,Nasdaq.com!$B:$AK,MATCH('Idea generation'!$M$1,Nasdaq.com!$B$1:$AK$1,),)</f>
        <v>32.96</v>
      </c>
      <c r="N9" s="29">
        <f>VLOOKUP(B9,Nasdaq.com!$B:$AK,MATCH('Idea generation'!$N$1,Nasdaq.com!$B$1:$AK$1,),)</f>
        <v>0.19611650485436888</v>
      </c>
      <c r="O9" s="29">
        <f>VLOOKUP(B9,Nasdaq.com!$B:$AK,MATCH('Idea generation'!$O$1,Nasdaq.com!$B$1:$AK$1,),)</f>
        <v>8.928571428571426E-2</v>
      </c>
      <c r="P9" s="27">
        <f>VLOOKUP(B9,Nasdaq.com!$B:$AK,MATCH('Idea generation'!$P$1,Nasdaq.com!$B$1:$AK$1,),)</f>
        <v>2.99</v>
      </c>
      <c r="Q9" s="20">
        <f>VLOOKUP(B9,Nasdaq.com!$B:$AK,MATCH('Idea generation'!$Q$1,Nasdaq.com!$B$1:$AK$1,),)</f>
        <v>1.8279950495049513</v>
      </c>
      <c r="R9" s="20">
        <f>VLOOKUP(B9,Nasdaq.com!$B:$AK,MATCH('Idea generation'!$R$1,Nasdaq.com!$B$1:$AK$1,),)</f>
        <v>3.6915200000000015</v>
      </c>
      <c r="S9" s="27">
        <f>VLOOKUP(B9,Nasdaq.com!$B:$AK,MATCH('Idea generation'!$S$1,Nasdaq.com!$B$1:$AK$1,),)</f>
        <v>16.7</v>
      </c>
      <c r="T9" s="21">
        <f>VLOOKUP(B9,Nasdaq.com!$B:$AK,MATCH('Idea generation'!$T$1,Nasdaq.com!$B$1:$AK$1,),)</f>
        <v>2664.01</v>
      </c>
      <c r="U9" s="27">
        <f>VLOOKUP(B9,Nasdaq.com!$B:$AK,MATCH('Idea generation'!$U$1,Nasdaq.com!$B$1:$AK$1,),)</f>
        <v>3.45</v>
      </c>
      <c r="V9" s="22">
        <f>VLOOKUP(B9,Nasdaq.com!$B:$AK,MATCH('Idea generation'!$V$1,Nasdaq.com!$B$1:$AK$1,),)</f>
        <v>0.13282588820615318</v>
      </c>
      <c r="W9" s="27">
        <f>VLOOKUP(B9,Nasdaq.com!$B:$AK,MATCH('Idea generation'!$W$1,Nasdaq.com!$B$1:$AK$1,),)</f>
        <v>7.09</v>
      </c>
      <c r="X9" s="27">
        <f>VLOOKUP(B9,Nasdaq.com!$B:$AK,MATCH('Idea generation'!$X$1,Nasdaq.com!$B$1:$AK$1,),)</f>
        <v>0.98</v>
      </c>
      <c r="Y9" s="27">
        <f>VLOOKUP(B9,Nasdaq.com!$B:$AK,MATCH('Idea generation'!$Y$1,Nasdaq.com!$B$1:$AK$1,),)</f>
        <v>0.13282588820615318</v>
      </c>
      <c r="Z9" s="24">
        <f>VLOOKUP(B9,Nasdaq.com!$B:$AK,MATCH('Idea generation'!$Z$1,Nasdaq.com!$B$1:$AK$1,),)</f>
        <v>20210722</v>
      </c>
    </row>
    <row r="10" spans="1:26" x14ac:dyDescent="0.45">
      <c r="B10" s="3" t="s">
        <v>239</v>
      </c>
      <c r="C10" s="27" t="str">
        <f>VLOOKUP(B10,Nasdaq.com!$B:$AK,MATCH('Idea generation'!$C$1,Nasdaq.com!$B$1:$AK$1,),)</f>
        <v>NYSE</v>
      </c>
      <c r="D10" s="27" t="str">
        <f>VLOOKUP(B10,Nasdaq.com!$B:$AK,MATCH('Idea generation'!$D$1,Nasdaq.com!$B$1:$AK$1,),)</f>
        <v>Industrial Products</v>
      </c>
      <c r="E10" s="27" t="str">
        <f>VLOOKUP(B10,Nasdaq.com!$B:$AK,MATCH('Idea generation'!$E$1,Nasdaq.com!$B$1:$AK$1,),)</f>
        <v xml:space="preserve">Manufacturing - General Industrial </v>
      </c>
      <c r="F10" s="27" t="e">
        <f>VLOOKUP(B10,Nasdaq.com!$B:$AK,MATCH('Idea generation'!$F$1,Nasdaq.com!$B$1:$AK$1,),)</f>
        <v>#N/A</v>
      </c>
      <c r="G10" s="18">
        <f>VLOOKUP(B10,Nasdaq.com!$B:$AK,MATCH('Idea generation'!$G$1,Nasdaq.com!$B$1:$AK$1,),)</f>
        <v>19995.310000000001</v>
      </c>
      <c r="H10" s="27">
        <f>VLOOKUP(B10,Nasdaq.com!$B:$AK,MATCH('Idea generation'!$H$1,Nasdaq.com!$B$1:$AK$1,),)</f>
        <v>1.42</v>
      </c>
      <c r="I10" s="27">
        <f>VLOOKUP(B10,Nasdaq.com!$B:$AK,MATCH('Idea generation'!$I$1,Nasdaq.com!$B$1:$AK$1,),)</f>
        <v>1.71</v>
      </c>
      <c r="J10" s="27">
        <f>VLOOKUP(B10,Nasdaq.com!$B:$AK,MATCH('Idea generation'!$J$1,Nasdaq.com!$B$1:$AK$1,),)</f>
        <v>1.99</v>
      </c>
      <c r="K10" s="27">
        <f>VLOOKUP(B10,Nasdaq.com!$B:$AK,MATCH('Idea generation'!$K$1,Nasdaq.com!$B$1:$AK$1,),)</f>
        <v>28.21</v>
      </c>
      <c r="L10" s="27">
        <f>VLOOKUP(B10,Nasdaq.com!$B:$AK,MATCH('Idea generation'!$L$1,Nasdaq.com!$B$1:$AK$1,),)</f>
        <v>27.93</v>
      </c>
      <c r="M10" s="27">
        <f>VLOOKUP(B10,Nasdaq.com!$B:$AK,MATCH('Idea generation'!$M$1,Nasdaq.com!$B$1:$AK$1,),)</f>
        <v>24.01</v>
      </c>
      <c r="N10" s="29">
        <f>VLOOKUP(B10,Nasdaq.com!$B:$AK,MATCH('Idea generation'!$N$1,Nasdaq.com!$B$1:$AK$1,),)</f>
        <v>0.20422535211267609</v>
      </c>
      <c r="O10" s="29">
        <f>VLOOKUP(B10,Nasdaq.com!$B:$AK,MATCH('Idea generation'!$O$1,Nasdaq.com!$B$1:$AK$1,),)</f>
        <v>0.16374269005847955</v>
      </c>
      <c r="P10" s="27">
        <f>VLOOKUP(B10,Nasdaq.com!$B:$AK,MATCH('Idea generation'!$P$1,Nasdaq.com!$B$1:$AK$1,),)</f>
        <v>0</v>
      </c>
      <c r="Q10" s="20">
        <f>VLOOKUP(B10,Nasdaq.com!$B:$AK,MATCH('Idea generation'!$Q$1,Nasdaq.com!$B$1:$AK$1,),)</f>
        <v>1.3676068965517241</v>
      </c>
      <c r="R10" s="20">
        <f>VLOOKUP(B10,Nasdaq.com!$B:$AK,MATCH('Idea generation'!$R$1,Nasdaq.com!$B$1:$AK$1,),)</f>
        <v>1.4663249999999999</v>
      </c>
      <c r="S10" s="27">
        <f>VLOOKUP(B10,Nasdaq.com!$B:$AK,MATCH('Idea generation'!$S$1,Nasdaq.com!$B$1:$AK$1,),)</f>
        <v>1.29</v>
      </c>
      <c r="T10" s="21">
        <f>VLOOKUP(B10,Nasdaq.com!$B:$AK,MATCH('Idea generation'!$T$1,Nasdaq.com!$B$1:$AK$1,),)</f>
        <v>5100.6928699999999</v>
      </c>
      <c r="U10" s="27">
        <f>VLOOKUP(B10,Nasdaq.com!$B:$AK,MATCH('Idea generation'!$U$1,Nasdaq.com!$B$1:$AK$1,),)</f>
        <v>22.6</v>
      </c>
      <c r="V10" s="22"/>
      <c r="W10" s="27">
        <f>VLOOKUP(B10,Nasdaq.com!$B:$AK,MATCH('Idea generation'!$W$1,Nasdaq.com!$B$1:$AK$1,),)</f>
        <v>25</v>
      </c>
      <c r="X10" s="27">
        <f>VLOOKUP(B10,Nasdaq.com!$B:$AK,MATCH('Idea generation'!$X$1,Nasdaq.com!$B$1:$AK$1,),)</f>
        <v>0</v>
      </c>
      <c r="Y10" s="27">
        <f>VLOOKUP(B10,Nasdaq.com!$B:$AK,MATCH('Idea generation'!$Y$1,Nasdaq.com!$B$1:$AK$1,),)</f>
        <v>3.8795338275426673E-2</v>
      </c>
      <c r="Z10" s="24">
        <f>VLOOKUP(B10,Nasdaq.com!$B:$AK,MATCH('Idea generation'!$Z$1,Nasdaq.com!$B$1:$AK$1,),)</f>
        <v>20210802</v>
      </c>
    </row>
    <row r="11" spans="1:26" x14ac:dyDescent="0.45">
      <c r="B11" s="3" t="s">
        <v>242</v>
      </c>
      <c r="C11" s="27" t="str">
        <f>VLOOKUP(B11,Nasdaq.com!$B:$AK,MATCH('Idea generation'!$C$1,Nasdaq.com!$B$1:$AK$1,),)</f>
        <v>NYSE</v>
      </c>
      <c r="D11" s="27" t="str">
        <f>VLOOKUP(B11,Nasdaq.com!$B:$AK,MATCH('Idea generation'!$D$1,Nasdaq.com!$B$1:$AK$1,),)</f>
        <v>Industrial Products</v>
      </c>
      <c r="E11" s="27" t="str">
        <f>VLOOKUP(B11,Nasdaq.com!$B:$AK,MATCH('Idea generation'!$E$1,Nasdaq.com!$B$1:$AK$1,),)</f>
        <v xml:space="preserve">Manufacturing - General Industrial </v>
      </c>
      <c r="F11" s="27" t="e">
        <f>VLOOKUP(B11,Nasdaq.com!$B:$AK,MATCH('Idea generation'!$F$1,Nasdaq.com!$B$1:$AK$1,),)</f>
        <v>#N/A</v>
      </c>
      <c r="G11" s="18">
        <f>VLOOKUP(B11,Nasdaq.com!$B:$AK,MATCH('Idea generation'!$G$1,Nasdaq.com!$B$1:$AK$1,),)</f>
        <v>73385.88</v>
      </c>
      <c r="H11" s="27">
        <f>VLOOKUP(B11,Nasdaq.com!$B:$AK,MATCH('Idea generation'!$H$1,Nasdaq.com!$B$1:$AK$1,),)</f>
        <v>6.38</v>
      </c>
      <c r="I11" s="27">
        <f>VLOOKUP(B11,Nasdaq.com!$B:$AK,MATCH('Idea generation'!$I$1,Nasdaq.com!$B$1:$AK$1,),)</f>
        <v>8.4</v>
      </c>
      <c r="J11" s="27">
        <f>VLOOKUP(B11,Nasdaq.com!$B:$AK,MATCH('Idea generation'!$J$1,Nasdaq.com!$B$1:$AK$1,),)</f>
        <v>9.19</v>
      </c>
      <c r="K11" s="27">
        <f>VLOOKUP(B11,Nasdaq.com!$B:$AK,MATCH('Idea generation'!$K$1,Nasdaq.com!$B$1:$AK$1,),)</f>
        <v>32.54</v>
      </c>
      <c r="L11" s="27">
        <f>VLOOKUP(B11,Nasdaq.com!$B:$AK,MATCH('Idea generation'!$L$1,Nasdaq.com!$B$1:$AK$1,),)</f>
        <v>27.66</v>
      </c>
      <c r="M11" s="27">
        <f>VLOOKUP(B11,Nasdaq.com!$B:$AK,MATCH('Idea generation'!$M$1,Nasdaq.com!$B$1:$AK$1,),)</f>
        <v>25.29</v>
      </c>
      <c r="N11" s="29">
        <f>VLOOKUP(B11,Nasdaq.com!$B:$AK,MATCH('Idea generation'!$N$1,Nasdaq.com!$B$1:$AK$1,),)</f>
        <v>0.31661442006269602</v>
      </c>
      <c r="O11" s="29">
        <f>VLOOKUP(B11,Nasdaq.com!$B:$AK,MATCH('Idea generation'!$O$1,Nasdaq.com!$B$1:$AK$1,),)</f>
        <v>9.4047619047618936E-2</v>
      </c>
      <c r="P11" s="27">
        <f>VLOOKUP(B11,Nasdaq.com!$B:$AK,MATCH('Idea generation'!$P$1,Nasdaq.com!$B$1:$AK$1,),)</f>
        <v>2.35</v>
      </c>
      <c r="Q11" s="20">
        <f>VLOOKUP(B11,Nasdaq.com!$B:$AK,MATCH('Idea generation'!$Q$1,Nasdaq.com!$B$1:$AK$1,),)</f>
        <v>0.87361782178217795</v>
      </c>
      <c r="R11" s="20">
        <f>VLOOKUP(B11,Nasdaq.com!$B:$AK,MATCH('Idea generation'!$R$1,Nasdaq.com!$B$1:$AK$1,),)</f>
        <v>2.6890632911392434</v>
      </c>
      <c r="S11" s="27">
        <f>VLOOKUP(B11,Nasdaq.com!$B:$AK,MATCH('Idea generation'!$S$1,Nasdaq.com!$B$1:$AK$1,),)</f>
        <v>78.8</v>
      </c>
      <c r="T11" s="21">
        <f>VLOOKUP(B11,Nasdaq.com!$B:$AK,MATCH('Idea generation'!$T$1,Nasdaq.com!$B$1:$AK$1,),)</f>
        <v>14281.869140000001</v>
      </c>
      <c r="U11" s="27">
        <f>VLOOKUP(B11,Nasdaq.com!$B:$AK,MATCH('Idea generation'!$U$1,Nasdaq.com!$B$1:$AK$1,),)</f>
        <v>-1.3</v>
      </c>
      <c r="V11" s="22">
        <f>VLOOKUP(B11,Nasdaq.com!$B:$AK,MATCH('Idea generation'!$V$1,Nasdaq.com!$B$1:$AK$1,),)</f>
        <v>0.13582544456815657</v>
      </c>
      <c r="W11" s="27">
        <f>VLOOKUP(B11,Nasdaq.com!$B:$AK,MATCH('Idea generation'!$W$1,Nasdaq.com!$B$1:$AK$1,),)</f>
        <v>11.05</v>
      </c>
      <c r="X11" s="27">
        <f>VLOOKUP(B11,Nasdaq.com!$B:$AK,MATCH('Idea generation'!$X$1,Nasdaq.com!$B$1:$AK$1,),)</f>
        <v>1.96</v>
      </c>
      <c r="Y11" s="27">
        <f>VLOOKUP(B11,Nasdaq.com!$B:$AK,MATCH('Idea generation'!$Y$1,Nasdaq.com!$B$1:$AK$1,),)</f>
        <v>0.13582544456815657</v>
      </c>
      <c r="Z11" s="24">
        <f>VLOOKUP(B11,Nasdaq.com!$B:$AK,MATCH('Idea generation'!$Z$1,Nasdaq.com!$B$1:$AK$1,),)</f>
        <v>20210730</v>
      </c>
    </row>
    <row r="12" spans="1:26" x14ac:dyDescent="0.45">
      <c r="B12" s="3" t="s">
        <v>614</v>
      </c>
      <c r="C12" s="27" t="str">
        <f>VLOOKUP(B12,Nasdaq.com!$B:$AK,MATCH('Idea generation'!$C$1,Nasdaq.com!$B$1:$AK$1,),)</f>
        <v>NSDQ</v>
      </c>
      <c r="D12" s="27" t="str">
        <f>VLOOKUP(B12,Nasdaq.com!$B:$AK,MATCH('Idea generation'!$D$1,Nasdaq.com!$B$1:$AK$1,),)</f>
        <v>Industrial Products</v>
      </c>
      <c r="E12" s="27" t="str">
        <f>VLOOKUP(B12,Nasdaq.com!$B:$AK,MATCH('Idea generation'!$E$1,Nasdaq.com!$B$1:$AK$1,),)</f>
        <v xml:space="preserve">Manufacturing - General Industrial </v>
      </c>
      <c r="F12" s="27" t="e">
        <f>VLOOKUP(B12,Nasdaq.com!$B:$AK,MATCH('Idea generation'!$F$1,Nasdaq.com!$B$1:$AK$1,),)</f>
        <v>#N/A</v>
      </c>
      <c r="G12" s="18">
        <f>VLOOKUP(B12,Nasdaq.com!$B:$AK,MATCH('Idea generation'!$G$1,Nasdaq.com!$B$1:$AK$1,),)</f>
        <v>9424.1299999999992</v>
      </c>
      <c r="H12" s="27">
        <f>VLOOKUP(B12,Nasdaq.com!$B:$AK,MATCH('Idea generation'!$H$1,Nasdaq.com!$B$1:$AK$1,),)</f>
        <v>4.78</v>
      </c>
      <c r="I12" s="27">
        <f>VLOOKUP(B12,Nasdaq.com!$B:$AK,MATCH('Idea generation'!$I$1,Nasdaq.com!$B$1:$AK$1,),)</f>
        <v>7.71</v>
      </c>
      <c r="J12" s="27">
        <f>VLOOKUP(B12,Nasdaq.com!$B:$AK,MATCH('Idea generation'!$J$1,Nasdaq.com!$B$1:$AK$1,),)</f>
        <v>8.64</v>
      </c>
      <c r="K12" s="27">
        <f>VLOOKUP(B12,Nasdaq.com!$B:$AK,MATCH('Idea generation'!$K$1,Nasdaq.com!$B$1:$AK$1,),)</f>
        <v>31.96</v>
      </c>
      <c r="L12" s="27">
        <f>VLOOKUP(B12,Nasdaq.com!$B:$AK,MATCH('Idea generation'!$L$1,Nasdaq.com!$B$1:$AK$1,),)</f>
        <v>21.97</v>
      </c>
      <c r="M12" s="27">
        <f>VLOOKUP(B12,Nasdaq.com!$B:$AK,MATCH('Idea generation'!$M$1,Nasdaq.com!$B$1:$AK$1,),)</f>
        <v>19.61</v>
      </c>
      <c r="N12" s="29">
        <f>VLOOKUP(B12,Nasdaq.com!$B:$AK,MATCH('Idea generation'!$N$1,Nasdaq.com!$B$1:$AK$1,),)</f>
        <v>0.61297071129707104</v>
      </c>
      <c r="O12" s="29">
        <f>VLOOKUP(B12,Nasdaq.com!$B:$AK,MATCH('Idea generation'!$O$1,Nasdaq.com!$B$1:$AK$1,),)</f>
        <v>0.1206225680933853</v>
      </c>
      <c r="P12" s="27">
        <f>VLOOKUP(B12,Nasdaq.com!$B:$AK,MATCH('Idea generation'!$P$1,Nasdaq.com!$B$1:$AK$1,),)</f>
        <v>0</v>
      </c>
      <c r="Q12" s="20">
        <f>VLOOKUP(B12,Nasdaq.com!$B:$AK,MATCH('Idea generation'!$Q$1,Nasdaq.com!$B$1:$AK$1,),)</f>
        <v>0.35841843003412971</v>
      </c>
      <c r="R12" s="20">
        <f>VLOOKUP(B12,Nasdaq.com!$B:$AK,MATCH('Idea generation'!$R$1,Nasdaq.com!$B$1:$AK$1,),)</f>
        <v>1.6257322580645148</v>
      </c>
      <c r="S12" s="27">
        <f>VLOOKUP(B12,Nasdaq.com!$B:$AK,MATCH('Idea generation'!$S$1,Nasdaq.com!$B$1:$AK$1,),)</f>
        <v>14.7</v>
      </c>
      <c r="T12" s="21">
        <f>VLOOKUP(B12,Nasdaq.com!$B:$AK,MATCH('Idea generation'!$T$1,Nasdaq.com!$B$1:$AK$1,),)</f>
        <v>3124.0910600000002</v>
      </c>
      <c r="U12" s="27">
        <f>VLOOKUP(B12,Nasdaq.com!$B:$AK,MATCH('Idea generation'!$U$1,Nasdaq.com!$B$1:$AK$1,),)</f>
        <v>5.69</v>
      </c>
      <c r="V12" s="22">
        <f>VLOOKUP(B12,Nasdaq.com!$B:$AK,MATCH('Idea generation'!$V$1,Nasdaq.com!$B$1:$AK$1,),)</f>
        <v>0.24304332221895067</v>
      </c>
      <c r="W12" s="27">
        <f>VLOOKUP(B12,Nasdaq.com!$B:$AK,MATCH('Idea generation'!$W$1,Nasdaq.com!$B$1:$AK$1,),)</f>
        <v>9.82</v>
      </c>
      <c r="X12" s="27">
        <f>VLOOKUP(B12,Nasdaq.com!$B:$AK,MATCH('Idea generation'!$X$1,Nasdaq.com!$B$1:$AK$1,),)</f>
        <v>0</v>
      </c>
      <c r="Y12" s="27">
        <f>VLOOKUP(B12,Nasdaq.com!$B:$AK,MATCH('Idea generation'!$Y$1,Nasdaq.com!$B$1:$AK$1,),)</f>
        <v>0.24304332221895067</v>
      </c>
      <c r="Z12" s="24">
        <f>VLOOKUP(B12,Nasdaq.com!$B:$AK,MATCH('Idea generation'!$Z$1,Nasdaq.com!$B$1:$AK$1,),)</f>
        <v>20210804</v>
      </c>
    </row>
    <row r="13" spans="1:26" x14ac:dyDescent="0.45">
      <c r="B13" s="3" t="s">
        <v>453</v>
      </c>
      <c r="C13" s="27" t="str">
        <f>VLOOKUP(B13,Nasdaq.com!$B:$AK,MATCH('Idea generation'!$C$1,Nasdaq.com!$B$1:$AK$1,),)</f>
        <v>NSDQ</v>
      </c>
      <c r="D13" s="27" t="str">
        <f>VLOOKUP(B13,Nasdaq.com!$B:$AK,MATCH('Idea generation'!$D$1,Nasdaq.com!$B$1:$AK$1,),)</f>
        <v>Industrial Products</v>
      </c>
      <c r="E13" s="27" t="str">
        <f>VLOOKUP(B13,Nasdaq.com!$B:$AK,MATCH('Idea generation'!$E$1,Nasdaq.com!$B$1:$AK$1,),)</f>
        <v xml:space="preserve">Manufacturing - General Industrial </v>
      </c>
      <c r="F13" s="27" t="e">
        <f>VLOOKUP(B13,Nasdaq.com!$B:$AK,MATCH('Idea generation'!$F$1,Nasdaq.com!$B$1:$AK$1,),)</f>
        <v>#N/A</v>
      </c>
      <c r="G13" s="18">
        <f>VLOOKUP(B13,Nasdaq.com!$B:$AK,MATCH('Idea generation'!$G$1,Nasdaq.com!$B$1:$AK$1,),)</f>
        <v>12900.82</v>
      </c>
      <c r="H13" s="27">
        <f>VLOOKUP(B13,Nasdaq.com!$B:$AK,MATCH('Idea generation'!$H$1,Nasdaq.com!$B$1:$AK$1,),)</f>
        <v>5.43</v>
      </c>
      <c r="I13" s="27">
        <f>VLOOKUP(B13,Nasdaq.com!$B:$AK,MATCH('Idea generation'!$I$1,Nasdaq.com!$B$1:$AK$1,),)</f>
        <v>7.56</v>
      </c>
      <c r="J13" s="27">
        <f>VLOOKUP(B13,Nasdaq.com!$B:$AK,MATCH('Idea generation'!$J$1,Nasdaq.com!$B$1:$AK$1,),)</f>
        <v>8.31</v>
      </c>
      <c r="K13" s="27">
        <f>VLOOKUP(B13,Nasdaq.com!$B:$AK,MATCH('Idea generation'!$K$1,Nasdaq.com!$B$1:$AK$1,),)</f>
        <v>34.43</v>
      </c>
      <c r="L13" s="27">
        <f>VLOOKUP(B13,Nasdaq.com!$B:$AK,MATCH('Idea generation'!$L$1,Nasdaq.com!$B$1:$AK$1,),)</f>
        <v>29.38</v>
      </c>
      <c r="M13" s="27">
        <f>VLOOKUP(B13,Nasdaq.com!$B:$AK,MATCH('Idea generation'!$M$1,Nasdaq.com!$B$1:$AK$1,),)</f>
        <v>26.74</v>
      </c>
      <c r="N13" s="29">
        <f>VLOOKUP(B13,Nasdaq.com!$B:$AK,MATCH('Idea generation'!$N$1,Nasdaq.com!$B$1:$AK$1,),)</f>
        <v>0.39226519337016574</v>
      </c>
      <c r="O13" s="29">
        <f>VLOOKUP(B13,Nasdaq.com!$B:$AK,MATCH('Idea generation'!$O$1,Nasdaq.com!$B$1:$AK$1,),)</f>
        <v>9.9206349206349326E-2</v>
      </c>
      <c r="P13" s="27">
        <f>VLOOKUP(B13,Nasdaq.com!$B:$AK,MATCH('Idea generation'!$P$1,Nasdaq.com!$B$1:$AK$1,),)</f>
        <v>2.2599999999999998</v>
      </c>
      <c r="Q13" s="20">
        <f>VLOOKUP(B13,Nasdaq.com!$B:$AK,MATCH('Idea generation'!$Q$1,Nasdaq.com!$B$1:$AK$1,),)</f>
        <v>0.74898309859154921</v>
      </c>
      <c r="R13" s="20">
        <f>VLOOKUP(B13,Nasdaq.com!$B:$AK,MATCH('Idea generation'!$R$1,Nasdaq.com!$B$1:$AK$1,),)</f>
        <v>2.6953919999999965</v>
      </c>
      <c r="S13" s="27">
        <f>VLOOKUP(B13,Nasdaq.com!$B:$AK,MATCH('Idea generation'!$S$1,Nasdaq.com!$B$1:$AK$1,),)</f>
        <v>20.6</v>
      </c>
      <c r="T13" s="21">
        <f>VLOOKUP(B13,Nasdaq.com!$B:$AK,MATCH('Idea generation'!$T$1,Nasdaq.com!$B$1:$AK$1,),)</f>
        <v>2329.82006</v>
      </c>
      <c r="U13" s="27">
        <f>VLOOKUP(B13,Nasdaq.com!$B:$AK,MATCH('Idea generation'!$U$1,Nasdaq.com!$B$1:$AK$1,),)</f>
        <v>3.73</v>
      </c>
      <c r="V13" s="22">
        <f>VLOOKUP(B13,Nasdaq.com!$B:$AK,MATCH('Idea generation'!$V$1,Nasdaq.com!$B$1:$AK$1,),)</f>
        <v>9.840180095233611E-2</v>
      </c>
      <c r="W13" s="27">
        <f>VLOOKUP(B13,Nasdaq.com!$B:$AK,MATCH('Idea generation'!$W$1,Nasdaq.com!$B$1:$AK$1,),)</f>
        <v>28.48</v>
      </c>
      <c r="X13" s="27">
        <f>VLOOKUP(B13,Nasdaq.com!$B:$AK,MATCH('Idea generation'!$X$1,Nasdaq.com!$B$1:$AK$1,),)</f>
        <v>0.7</v>
      </c>
      <c r="Y13" s="27">
        <f>VLOOKUP(B13,Nasdaq.com!$B:$AK,MATCH('Idea generation'!$Y$1,Nasdaq.com!$B$1:$AK$1,),)</f>
        <v>9.840180095233611E-2</v>
      </c>
      <c r="Z13" s="24">
        <f>VLOOKUP(B13,Nasdaq.com!$B:$AK,MATCH('Idea generation'!$Z$1,Nasdaq.com!$B$1:$AK$1,),)</f>
        <v>20210818</v>
      </c>
    </row>
    <row r="14" spans="1:26" x14ac:dyDescent="0.45">
      <c r="B14" s="3" t="s">
        <v>273</v>
      </c>
      <c r="C14" s="27" t="str">
        <f>VLOOKUP(B14,Nasdaq.com!$B:$AK,MATCH('Idea generation'!$C$1,Nasdaq.com!$B$1:$AK$1,),)</f>
        <v>NYSE</v>
      </c>
      <c r="D14" s="27" t="str">
        <f>VLOOKUP(B14,Nasdaq.com!$B:$AK,MATCH('Idea generation'!$D$1,Nasdaq.com!$B$1:$AK$1,),)</f>
        <v>Industrial Products</v>
      </c>
      <c r="E14" s="27" t="str">
        <f>VLOOKUP(B14,Nasdaq.com!$B:$AK,MATCH('Idea generation'!$E$1,Nasdaq.com!$B$1:$AK$1,),)</f>
        <v xml:space="preserve">Manufacturing - General Industrial </v>
      </c>
      <c r="F14" s="27" t="e">
        <f>VLOOKUP(B14,Nasdaq.com!$B:$AK,MATCH('Idea generation'!$F$1,Nasdaq.com!$B$1:$AK$1,),)</f>
        <v>#N/A</v>
      </c>
      <c r="G14" s="18">
        <f>VLOOKUP(B14,Nasdaq.com!$B:$AK,MATCH('Idea generation'!$G$1,Nasdaq.com!$B$1:$AK$1,),)</f>
        <v>39413.68</v>
      </c>
      <c r="H14" s="27">
        <f>VLOOKUP(B14,Nasdaq.com!$B:$AK,MATCH('Idea generation'!$H$1,Nasdaq.com!$B$1:$AK$1,),)</f>
        <v>9.74</v>
      </c>
      <c r="I14" s="27">
        <f>VLOOKUP(B14,Nasdaq.com!$B:$AK,MATCH('Idea generation'!$I$1,Nasdaq.com!$B$1:$AK$1,),)</f>
        <v>14.78</v>
      </c>
      <c r="J14" s="27">
        <f>VLOOKUP(B14,Nasdaq.com!$B:$AK,MATCH('Idea generation'!$J$1,Nasdaq.com!$B$1:$AK$1,),)</f>
        <v>16.899999999999999</v>
      </c>
      <c r="K14" s="27">
        <f>VLOOKUP(B14,Nasdaq.com!$B:$AK,MATCH('Idea generation'!$K$1,Nasdaq.com!$B$1:$AK$1,),)</f>
        <v>23.19</v>
      </c>
      <c r="L14" s="27">
        <f>VLOOKUP(B14,Nasdaq.com!$B:$AK,MATCH('Idea generation'!$L$1,Nasdaq.com!$B$1:$AK$1,),)</f>
        <v>20.66</v>
      </c>
      <c r="M14" s="27">
        <f>VLOOKUP(B14,Nasdaq.com!$B:$AK,MATCH('Idea generation'!$M$1,Nasdaq.com!$B$1:$AK$1,),)</f>
        <v>18.079999999999998</v>
      </c>
      <c r="N14" s="29">
        <f>VLOOKUP(B14,Nasdaq.com!$B:$AK,MATCH('Idea generation'!$N$1,Nasdaq.com!$B$1:$AK$1,),)</f>
        <v>0.51745379876796704</v>
      </c>
      <c r="O14" s="29">
        <f>VLOOKUP(B14,Nasdaq.com!$B:$AK,MATCH('Idea generation'!$O$1,Nasdaq.com!$B$1:$AK$1,),)</f>
        <v>0.14343707713125842</v>
      </c>
      <c r="P14" s="27">
        <f>VLOOKUP(B14,Nasdaq.com!$B:$AK,MATCH('Idea generation'!$P$1,Nasdaq.com!$B$1:$AK$1,),)</f>
        <v>1.75</v>
      </c>
      <c r="Q14" s="20">
        <f>VLOOKUP(B14,Nasdaq.com!$B:$AK,MATCH('Idea generation'!$Q$1,Nasdaq.com!$B$1:$AK$1,),)</f>
        <v>0.39926269841269851</v>
      </c>
      <c r="R14" s="20">
        <f>VLOOKUP(B14,Nasdaq.com!$B:$AK,MATCH('Idea generation'!$R$1,Nasdaq.com!$B$1:$AK$1,),)</f>
        <v>1.2604830188679248</v>
      </c>
      <c r="S14" s="27">
        <f>VLOOKUP(B14,Nasdaq.com!$B:$AK,MATCH('Idea generation'!$S$1,Nasdaq.com!$B$1:$AK$1,),)</f>
        <v>25.33</v>
      </c>
      <c r="T14" s="21">
        <f>VLOOKUP(B14,Nasdaq.com!$B:$AK,MATCH('Idea generation'!$T$1,Nasdaq.com!$B$1:$AK$1,),)</f>
        <v>14259.670889999999</v>
      </c>
      <c r="U14" s="27">
        <f>VLOOKUP(B14,Nasdaq.com!$B:$AK,MATCH('Idea generation'!$U$1,Nasdaq.com!$B$1:$AK$1,),)</f>
        <v>4.6500000000000004</v>
      </c>
      <c r="V14" s="22">
        <f>VLOOKUP(B14,Nasdaq.com!$B:$AK,MATCH('Idea generation'!$V$1,Nasdaq.com!$B$1:$AK$1,),)</f>
        <v>4.1192367285068324E-2</v>
      </c>
      <c r="W14" s="27">
        <f>VLOOKUP(B14,Nasdaq.com!$B:$AK,MATCH('Idea generation'!$W$1,Nasdaq.com!$B$1:$AK$1,),)</f>
        <v>9.6</v>
      </c>
      <c r="X14" s="27">
        <f>VLOOKUP(B14,Nasdaq.com!$B:$AK,MATCH('Idea generation'!$X$1,Nasdaq.com!$B$1:$AK$1,),)</f>
        <v>1.35</v>
      </c>
      <c r="Y14" s="27">
        <f>VLOOKUP(B14,Nasdaq.com!$B:$AK,MATCH('Idea generation'!$Y$1,Nasdaq.com!$B$1:$AK$1,),)</f>
        <v>4.1192367285068324E-2</v>
      </c>
      <c r="Z14" s="24">
        <f>VLOOKUP(B14,Nasdaq.com!$B:$AK,MATCH('Idea generation'!$Z$1,Nasdaq.com!$B$1:$AK$1,),)</f>
        <v>20210805</v>
      </c>
    </row>
    <row r="15" spans="1:26" x14ac:dyDescent="0.45">
      <c r="B15" s="3" t="s">
        <v>529</v>
      </c>
      <c r="C15" s="27" t="str">
        <f>VLOOKUP(B15,Nasdaq.com!$B:$AK,MATCH('Idea generation'!$C$1,Nasdaq.com!$B$1:$AK$1,),)</f>
        <v>NSDQ</v>
      </c>
      <c r="D15" s="27" t="str">
        <f>VLOOKUP(B15,Nasdaq.com!$B:$AK,MATCH('Idea generation'!$D$1,Nasdaq.com!$B$1:$AK$1,),)</f>
        <v>Industrial Products</v>
      </c>
      <c r="E15" s="27" t="str">
        <f>VLOOKUP(B15,Nasdaq.com!$B:$AK,MATCH('Idea generation'!$E$1,Nasdaq.com!$B$1:$AK$1,),)</f>
        <v xml:space="preserve">Manufacturing - General Industrial </v>
      </c>
      <c r="F15" s="27" t="e">
        <f>VLOOKUP(B15,Nasdaq.com!$B:$AK,MATCH('Idea generation'!$F$1,Nasdaq.com!$B$1:$AK$1,),)</f>
        <v>#N/A</v>
      </c>
      <c r="G15" s="18">
        <f>VLOOKUP(B15,Nasdaq.com!$B:$AK,MATCH('Idea generation'!$G$1,Nasdaq.com!$B$1:$AK$1,),)</f>
        <v>5052.78</v>
      </c>
      <c r="H15" s="27">
        <f>VLOOKUP(B15,Nasdaq.com!$B:$AK,MATCH('Idea generation'!$H$1,Nasdaq.com!$B$1:$AK$1,),)</f>
        <v>3.85</v>
      </c>
      <c r="I15" s="27">
        <f>VLOOKUP(B15,Nasdaq.com!$B:$AK,MATCH('Idea generation'!$I$1,Nasdaq.com!$B$1:$AK$1,),)</f>
        <v>4.4800000000000004</v>
      </c>
      <c r="J15" s="27">
        <f>VLOOKUP(B15,Nasdaq.com!$B:$AK,MATCH('Idea generation'!$J$1,Nasdaq.com!$B$1:$AK$1,),)</f>
        <v>5.0999999999999996</v>
      </c>
      <c r="K15" s="27">
        <f>VLOOKUP(B15,Nasdaq.com!$B:$AK,MATCH('Idea generation'!$K$1,Nasdaq.com!$B$1:$AK$1,),)</f>
        <v>52.44</v>
      </c>
      <c r="L15" s="27">
        <f>VLOOKUP(B15,Nasdaq.com!$B:$AK,MATCH('Idea generation'!$L$1,Nasdaq.com!$B$1:$AK$1,),)</f>
        <v>44.74</v>
      </c>
      <c r="M15" s="27">
        <f>VLOOKUP(B15,Nasdaq.com!$B:$AK,MATCH('Idea generation'!$M$1,Nasdaq.com!$B$1:$AK$1,),)</f>
        <v>39.28</v>
      </c>
      <c r="N15" s="29">
        <f>VLOOKUP(B15,Nasdaq.com!$B:$AK,MATCH('Idea generation'!$N$1,Nasdaq.com!$B$1:$AK$1,),)</f>
        <v>0.16363636363636372</v>
      </c>
      <c r="O15" s="29">
        <f>VLOOKUP(B15,Nasdaq.com!$B:$AK,MATCH('Idea generation'!$O$1,Nasdaq.com!$B$1:$AK$1,),)</f>
        <v>0.13839285714285696</v>
      </c>
      <c r="P15" s="27">
        <f>VLOOKUP(B15,Nasdaq.com!$B:$AK,MATCH('Idea generation'!$P$1,Nasdaq.com!$B$1:$AK$1,),)</f>
        <v>0</v>
      </c>
      <c r="Q15" s="20">
        <f>VLOOKUP(B15,Nasdaq.com!$B:$AK,MATCH('Idea generation'!$Q$1,Nasdaq.com!$B$1:$AK$1,),)</f>
        <v>2.73411111111111</v>
      </c>
      <c r="R15" s="20">
        <f>VLOOKUP(B15,Nasdaq.com!$B:$AK,MATCH('Idea generation'!$R$1,Nasdaq.com!$B$1:$AK$1,),)</f>
        <v>2.8382967741935521</v>
      </c>
      <c r="S15" s="27">
        <f>VLOOKUP(B15,Nasdaq.com!$B:$AK,MATCH('Idea generation'!$S$1,Nasdaq.com!$B$1:$AK$1,),)</f>
        <v>8.08</v>
      </c>
      <c r="T15" s="21">
        <f>VLOOKUP(B15,Nasdaq.com!$B:$AK,MATCH('Idea generation'!$T$1,Nasdaq.com!$B$1:$AK$1,),)</f>
        <v>675.08696999999995</v>
      </c>
      <c r="U15" s="27">
        <f>VLOOKUP(B15,Nasdaq.com!$B:$AK,MATCH('Idea generation'!$U$1,Nasdaq.com!$B$1:$AK$1,),)</f>
        <v>2.17</v>
      </c>
      <c r="V15" s="22">
        <f>VLOOKUP(B15,Nasdaq.com!$B:$AK,MATCH('Idea generation'!$V$1,Nasdaq.com!$B$1:$AK$1,),)</f>
        <v>0.10855359781930429</v>
      </c>
      <c r="W15" s="27">
        <f>VLOOKUP(B15,Nasdaq.com!$B:$AK,MATCH('Idea generation'!$W$1,Nasdaq.com!$B$1:$AK$1,),)</f>
        <v>0.93</v>
      </c>
      <c r="X15" s="27">
        <f>VLOOKUP(B15,Nasdaq.com!$B:$AK,MATCH('Idea generation'!$X$1,Nasdaq.com!$B$1:$AK$1,),)</f>
        <v>0</v>
      </c>
      <c r="Y15" s="27">
        <f>VLOOKUP(B15,Nasdaq.com!$B:$AK,MATCH('Idea generation'!$Y$1,Nasdaq.com!$B$1:$AK$1,),)</f>
        <v>0.10855359781930429</v>
      </c>
      <c r="Z15" s="24">
        <f>VLOOKUP(B15,Nasdaq.com!$B:$AK,MATCH('Idea generation'!$Z$1,Nasdaq.com!$B$1:$AK$1,),)</f>
        <v>20210805</v>
      </c>
    </row>
    <row r="16" spans="1:26" x14ac:dyDescent="0.45">
      <c r="B16" s="3" t="s">
        <v>283</v>
      </c>
      <c r="C16" s="27" t="str">
        <f>VLOOKUP(B16,Nasdaq.com!$B:$AK,MATCH('Idea generation'!$C$1,Nasdaq.com!$B$1:$AK$1,),)</f>
        <v>NYSE</v>
      </c>
      <c r="D16" s="27" t="str">
        <f>VLOOKUP(B16,Nasdaq.com!$B:$AK,MATCH('Idea generation'!$D$1,Nasdaq.com!$B$1:$AK$1,),)</f>
        <v>Industrial Products</v>
      </c>
      <c r="E16" s="27" t="str">
        <f>VLOOKUP(B16,Nasdaq.com!$B:$AK,MATCH('Idea generation'!$E$1,Nasdaq.com!$B$1:$AK$1,),)</f>
        <v xml:space="preserve">Manufacturing - General Industrial </v>
      </c>
      <c r="F16" s="27" t="e">
        <f>VLOOKUP(B16,Nasdaq.com!$B:$AK,MATCH('Idea generation'!$F$1,Nasdaq.com!$B$1:$AK$1,),)</f>
        <v>#N/A</v>
      </c>
      <c r="G16" s="18">
        <f>VLOOKUP(B16,Nasdaq.com!$B:$AK,MATCH('Idea generation'!$G$1,Nasdaq.com!$B$1:$AK$1,),)</f>
        <v>47457.54</v>
      </c>
      <c r="H16" s="27">
        <f>VLOOKUP(B16,Nasdaq.com!$B:$AK,MATCH('Idea generation'!$H$1,Nasdaq.com!$B$1:$AK$1,),)</f>
        <v>12.65</v>
      </c>
      <c r="I16" s="27">
        <f>VLOOKUP(B16,Nasdaq.com!$B:$AK,MATCH('Idea generation'!$I$1,Nasdaq.com!$B$1:$AK$1,),)</f>
        <v>14.99</v>
      </c>
      <c r="J16" s="27">
        <f>VLOOKUP(B16,Nasdaq.com!$B:$AK,MATCH('Idea generation'!$J$1,Nasdaq.com!$B$1:$AK$1,),)</f>
        <v>16.010000000000002</v>
      </c>
      <c r="K16" s="27">
        <f>VLOOKUP(B16,Nasdaq.com!$B:$AK,MATCH('Idea generation'!$K$1,Nasdaq.com!$B$1:$AK$1,),)</f>
        <v>33.979999999999997</v>
      </c>
      <c r="L16" s="27">
        <f>VLOOKUP(B16,Nasdaq.com!$B:$AK,MATCH('Idea generation'!$L$1,Nasdaq.com!$B$1:$AK$1,),)</f>
        <v>30.08</v>
      </c>
      <c r="M16" s="27">
        <f>VLOOKUP(B16,Nasdaq.com!$B:$AK,MATCH('Idea generation'!$M$1,Nasdaq.com!$B$1:$AK$1,),)</f>
        <v>28.17</v>
      </c>
      <c r="N16" s="29">
        <f>VLOOKUP(B16,Nasdaq.com!$B:$AK,MATCH('Idea generation'!$N$1,Nasdaq.com!$B$1:$AK$1,),)</f>
        <v>0.18498023715415018</v>
      </c>
      <c r="O16" s="29">
        <f>VLOOKUP(B16,Nasdaq.com!$B:$AK,MATCH('Idea generation'!$O$1,Nasdaq.com!$B$1:$AK$1,),)</f>
        <v>6.8045363575717235E-2</v>
      </c>
      <c r="P16" s="27">
        <f>VLOOKUP(B16,Nasdaq.com!$B:$AK,MATCH('Idea generation'!$P$1,Nasdaq.com!$B$1:$AK$1,),)</f>
        <v>2.86</v>
      </c>
      <c r="Q16" s="20">
        <f>VLOOKUP(B16,Nasdaq.com!$B:$AK,MATCH('Idea generation'!$Q$1,Nasdaq.com!$B$1:$AK$1,),)</f>
        <v>1.626119658119658</v>
      </c>
      <c r="R16" s="20">
        <f>VLOOKUP(B16,Nasdaq.com!$B:$AK,MATCH('Idea generation'!$R$1,Nasdaq.com!$B$1:$AK$1,),)</f>
        <v>4.1398852941176418</v>
      </c>
      <c r="S16" s="27">
        <f>VLOOKUP(B16,Nasdaq.com!$B:$AK,MATCH('Idea generation'!$S$1,Nasdaq.com!$B$1:$AK$1,),)</f>
        <v>13.61</v>
      </c>
      <c r="T16" s="21">
        <f>VLOOKUP(B16,Nasdaq.com!$B:$AK,MATCH('Idea generation'!$T$1,Nasdaq.com!$B$1:$AK$1,),)</f>
        <v>6334.8569299999999</v>
      </c>
      <c r="U16" s="27">
        <f>VLOOKUP(B16,Nasdaq.com!$B:$AK,MATCH('Idea generation'!$U$1,Nasdaq.com!$B$1:$AK$1,),)</f>
        <v>9.8000000000000007</v>
      </c>
      <c r="V16" s="22">
        <f>VLOOKUP(B16,Nasdaq.com!$B:$AK,MATCH('Idea generation'!$V$1,Nasdaq.com!$B$1:$AK$1,),)</f>
        <v>0.14614480107108602</v>
      </c>
      <c r="W16" s="27">
        <f>VLOOKUP(B16,Nasdaq.com!$B:$AK,MATCH('Idea generation'!$W$1,Nasdaq.com!$B$1:$AK$1,),)</f>
        <v>8.43</v>
      </c>
      <c r="X16" s="27">
        <f>VLOOKUP(B16,Nasdaq.com!$B:$AK,MATCH('Idea generation'!$X$1,Nasdaq.com!$B$1:$AK$1,),)</f>
        <v>0.5</v>
      </c>
      <c r="Y16" s="27">
        <f>VLOOKUP(B16,Nasdaq.com!$B:$AK,MATCH('Idea generation'!$Y$1,Nasdaq.com!$B$1:$AK$1,),)</f>
        <v>0.14614480107108602</v>
      </c>
      <c r="Z16" s="24">
        <f>VLOOKUP(B16,Nasdaq.com!$B:$AK,MATCH('Idea generation'!$Z$1,Nasdaq.com!$B$1:$AK$1,),)</f>
        <v>20210727</v>
      </c>
    </row>
    <row r="17" spans="2:26" x14ac:dyDescent="0.45">
      <c r="B17" s="3" t="s">
        <v>501</v>
      </c>
      <c r="C17" s="27" t="str">
        <f>VLOOKUP(B17,Nasdaq.com!$B:$AK,MATCH('Idea generation'!$C$1,Nasdaq.com!$B$1:$AK$1,),)</f>
        <v>NYSE</v>
      </c>
      <c r="D17" s="27" t="str">
        <f>VLOOKUP(B17,Nasdaq.com!$B:$AK,MATCH('Idea generation'!$D$1,Nasdaq.com!$B$1:$AK$1,),)</f>
        <v>Industrial Products</v>
      </c>
      <c r="E17" s="27" t="str">
        <f>VLOOKUP(B17,Nasdaq.com!$B:$AK,MATCH('Idea generation'!$E$1,Nasdaq.com!$B$1:$AK$1,),)</f>
        <v xml:space="preserve">Manufacturing - General Industrial </v>
      </c>
      <c r="F17" s="27" t="e">
        <f>VLOOKUP(B17,Nasdaq.com!$B:$AK,MATCH('Idea generation'!$F$1,Nasdaq.com!$B$1:$AK$1,),)</f>
        <v>#N/A</v>
      </c>
      <c r="G17" s="18">
        <f>VLOOKUP(B17,Nasdaq.com!$B:$AK,MATCH('Idea generation'!$G$1,Nasdaq.com!$B$1:$AK$1,),)</f>
        <v>21325.919999999998</v>
      </c>
      <c r="H17" s="27">
        <f>VLOOKUP(B17,Nasdaq.com!$B:$AK,MATCH('Idea generation'!$H$1,Nasdaq.com!$B$1:$AK$1,),)</f>
        <v>1.95</v>
      </c>
      <c r="I17" s="27">
        <f>VLOOKUP(B17,Nasdaq.com!$B:$AK,MATCH('Idea generation'!$I$1,Nasdaq.com!$B$1:$AK$1,),)</f>
        <v>2.75</v>
      </c>
      <c r="J17" s="27">
        <f>VLOOKUP(B17,Nasdaq.com!$B:$AK,MATCH('Idea generation'!$J$1,Nasdaq.com!$B$1:$AK$1,),)</f>
        <v>3.26</v>
      </c>
      <c r="K17" s="27">
        <f>VLOOKUP(B17,Nasdaq.com!$B:$AK,MATCH('Idea generation'!$K$1,Nasdaq.com!$B$1:$AK$1,),)</f>
        <v>49.56</v>
      </c>
      <c r="L17" s="27">
        <f>VLOOKUP(B17,Nasdaq.com!$B:$AK,MATCH('Idea generation'!$L$1,Nasdaq.com!$B$1:$AK$1,),)</f>
        <v>43.14</v>
      </c>
      <c r="M17" s="27">
        <f>VLOOKUP(B17,Nasdaq.com!$B:$AK,MATCH('Idea generation'!$M$1,Nasdaq.com!$B$1:$AK$1,),)</f>
        <v>36.299999999999997</v>
      </c>
      <c r="N17" s="29">
        <f>VLOOKUP(B17,Nasdaq.com!$B:$AK,MATCH('Idea generation'!$N$1,Nasdaq.com!$B$1:$AK$1,),)</f>
        <v>0.4102564102564103</v>
      </c>
      <c r="O17" s="29">
        <f>VLOOKUP(B17,Nasdaq.com!$B:$AK,MATCH('Idea generation'!$O$1,Nasdaq.com!$B$1:$AK$1,),)</f>
        <v>0.18545454545454537</v>
      </c>
      <c r="P17" s="27">
        <f>VLOOKUP(B17,Nasdaq.com!$B:$AK,MATCH('Idea generation'!$P$1,Nasdaq.com!$B$1:$AK$1,),)</f>
        <v>3.6</v>
      </c>
      <c r="Q17" s="20">
        <f>VLOOKUP(B17,Nasdaq.com!$B:$AK,MATCH('Idea generation'!$Q$1,Nasdaq.com!$B$1:$AK$1,),)</f>
        <v>1.0515375</v>
      </c>
      <c r="R17" s="20">
        <f>VLOOKUP(B17,Nasdaq.com!$B:$AK,MATCH('Idea generation'!$R$1,Nasdaq.com!$B$1:$AK$1,),)</f>
        <v>1.9573529411764714</v>
      </c>
      <c r="S17" s="27">
        <f>VLOOKUP(B17,Nasdaq.com!$B:$AK,MATCH('Idea generation'!$S$1,Nasdaq.com!$B$1:$AK$1,),)</f>
        <v>14.89</v>
      </c>
      <c r="T17" s="21">
        <f>VLOOKUP(B17,Nasdaq.com!$B:$AK,MATCH('Idea generation'!$T$1,Nasdaq.com!$B$1:$AK$1,),)</f>
        <v>5306.4692299999997</v>
      </c>
      <c r="U17" s="27">
        <f>VLOOKUP(B17,Nasdaq.com!$B:$AK,MATCH('Idea generation'!$U$1,Nasdaq.com!$B$1:$AK$1,),)</f>
        <v>6.89</v>
      </c>
      <c r="V17" s="22">
        <f>VLOOKUP(B17,Nasdaq.com!$B:$AK,MATCH('Idea generation'!$V$1,Nasdaq.com!$B$1:$AK$1,),)</f>
        <v>8.8283271123871965E-2</v>
      </c>
      <c r="W17" s="27">
        <f>VLOOKUP(B17,Nasdaq.com!$B:$AK,MATCH('Idea generation'!$W$1,Nasdaq.com!$B$1:$AK$1,),)</f>
        <v>51.35</v>
      </c>
      <c r="X17" s="27">
        <f>VLOOKUP(B17,Nasdaq.com!$B:$AK,MATCH('Idea generation'!$X$1,Nasdaq.com!$B$1:$AK$1,),)</f>
        <v>0.95</v>
      </c>
      <c r="Y17" s="27">
        <f>VLOOKUP(B17,Nasdaq.com!$B:$AK,MATCH('Idea generation'!$Y$1,Nasdaq.com!$B$1:$AK$1,),)</f>
        <v>8.8283271123871965E-2</v>
      </c>
      <c r="Z17" s="24">
        <f>VLOOKUP(B17,Nasdaq.com!$B:$AK,MATCH('Idea generation'!$Z$1,Nasdaq.com!$B$1:$AK$1,),)</f>
        <v>20210729</v>
      </c>
    </row>
    <row r="18" spans="2:26" s="38" customFormat="1" x14ac:dyDescent="0.45">
      <c r="B18" s="38" t="s">
        <v>274</v>
      </c>
      <c r="C18" s="38" t="str">
        <f>VLOOKUP(B18,Nasdaq.com!$B:$AK,MATCH('Idea generation'!$C$1,Nasdaq.com!$B$1:$AK$1,),)</f>
        <v>NYSE</v>
      </c>
      <c r="D18" s="38" t="str">
        <f>VLOOKUP(B18,Nasdaq.com!$B:$AK,MATCH('Idea generation'!$D$1,Nasdaq.com!$B$1:$AK$1,),)</f>
        <v>Industrial Products</v>
      </c>
      <c r="E18" s="38" t="str">
        <f>VLOOKUP(B18,Nasdaq.com!$B:$AK,MATCH('Idea generation'!$E$1,Nasdaq.com!$B$1:$AK$1,),)</f>
        <v>Manufacturing - Thermal Products</v>
      </c>
      <c r="F18" s="38" t="e">
        <f>VLOOKUP(B18,Nasdaq.com!$B:$AK,MATCH('Idea generation'!$F$1,Nasdaq.com!$B$1:$AK$1,),)</f>
        <v>#N/A</v>
      </c>
      <c r="G18" s="39">
        <f>VLOOKUP(B18,Nasdaq.com!$B:$AK,MATCH('Idea generation'!$G$1,Nasdaq.com!$B$1:$AK$1,),)</f>
        <v>11501.16</v>
      </c>
      <c r="H18" s="38">
        <f>VLOOKUP(B18,Nasdaq.com!$B:$AK,MATCH('Idea generation'!$H$1,Nasdaq.com!$B$1:$AK$1,),)</f>
        <v>2.44</v>
      </c>
      <c r="I18" s="38">
        <f>VLOOKUP(B18,Nasdaq.com!$B:$AK,MATCH('Idea generation'!$I$1,Nasdaq.com!$B$1:$AK$1,),)</f>
        <v>3.01</v>
      </c>
      <c r="J18" s="38">
        <f>VLOOKUP(B18,Nasdaq.com!$B:$AK,MATCH('Idea generation'!$J$1,Nasdaq.com!$B$1:$AK$1,),)</f>
        <v>3.29</v>
      </c>
      <c r="K18" s="38">
        <f>VLOOKUP(B18,Nasdaq.com!$B:$AK,MATCH('Idea generation'!$K$1,Nasdaq.com!$B$1:$AK$1,),)</f>
        <v>25.35</v>
      </c>
      <c r="L18" s="38">
        <f>VLOOKUP(B18,Nasdaq.com!$B:$AK,MATCH('Idea generation'!$L$1,Nasdaq.com!$B$1:$AK$1,),)</f>
        <v>22.98</v>
      </c>
      <c r="M18" s="38">
        <f>VLOOKUP(B18,Nasdaq.com!$B:$AK,MATCH('Idea generation'!$M$1,Nasdaq.com!$B$1:$AK$1,),)</f>
        <v>21.06</v>
      </c>
      <c r="N18" s="40">
        <f>VLOOKUP(B18,Nasdaq.com!$B:$AK,MATCH('Idea generation'!$N$1,Nasdaq.com!$B$1:$AK$1,),)</f>
        <v>0.23360655737704911</v>
      </c>
      <c r="O18" s="40">
        <f>VLOOKUP(B18,Nasdaq.com!$B:$AK,MATCH('Idea generation'!$O$1,Nasdaq.com!$B$1:$AK$1,),)</f>
        <v>9.3023255813953584E-2</v>
      </c>
      <c r="P18" s="38">
        <f>VLOOKUP(B18,Nasdaq.com!$B:$AK,MATCH('Idea generation'!$P$1,Nasdaq.com!$B$1:$AK$1,),)</f>
        <v>2.02</v>
      </c>
      <c r="Q18" s="41">
        <f>VLOOKUP(B18,Nasdaq.com!$B:$AK,MATCH('Idea generation'!$Q$1,Nasdaq.com!$B$1:$AK$1,),)</f>
        <v>0.98370526315789508</v>
      </c>
      <c r="R18" s="41">
        <f>VLOOKUP(B18,Nasdaq.com!$B:$AK,MATCH('Idea generation'!$R$1,Nasdaq.com!$B$1:$AK$1,),)</f>
        <v>2.2639499999999977</v>
      </c>
      <c r="S18" s="38">
        <f>VLOOKUP(B18,Nasdaq.com!$B:$AK,MATCH('Idea generation'!$S$1,Nasdaq.com!$B$1:$AK$1,),)</f>
        <v>22.54</v>
      </c>
      <c r="T18" s="42">
        <f>VLOOKUP(B18,Nasdaq.com!$B:$AK,MATCH('Idea generation'!$T$1,Nasdaq.com!$B$1:$AK$1,),)</f>
        <v>3344.85302</v>
      </c>
      <c r="U18" s="38">
        <f>VLOOKUP(B18,Nasdaq.com!$B:$AK,MATCH('Idea generation'!$U$1,Nasdaq.com!$B$1:$AK$1,),)</f>
        <v>-16.940000000000001</v>
      </c>
      <c r="V18" s="43">
        <f>VLOOKUP(B18,Nasdaq.com!$B:$AK,MATCH('Idea generation'!$V$1,Nasdaq.com!$B$1:$AK$1,),)</f>
        <v>0.10837465040758162</v>
      </c>
      <c r="W18" s="38">
        <f>VLOOKUP(B18,Nasdaq.com!$B:$AK,MATCH('Idea generation'!$W$1,Nasdaq.com!$B$1:$AK$1,),)</f>
        <v>32.79</v>
      </c>
      <c r="X18" s="38">
        <f>VLOOKUP(B18,Nasdaq.com!$B:$AK,MATCH('Idea generation'!$X$1,Nasdaq.com!$B$1:$AK$1,),)</f>
        <v>1.1599999999999999</v>
      </c>
      <c r="Y18" s="38">
        <f>VLOOKUP(B18,Nasdaq.com!$B:$AK,MATCH('Idea generation'!$Y$1,Nasdaq.com!$B$1:$AK$1,),)</f>
        <v>0.10837465040758162</v>
      </c>
      <c r="Z18" s="44">
        <f>VLOOKUP(B18,Nasdaq.com!$B:$AK,MATCH('Idea generation'!$Z$1,Nasdaq.com!$B$1:$AK$1,),)</f>
        <v>20210722</v>
      </c>
    </row>
    <row r="19" spans="2:26" x14ac:dyDescent="0.45">
      <c r="N19" s="30">
        <f>AVERAGE(N2:N18)</f>
        <v>0.29993056018694952</v>
      </c>
      <c r="O19" s="30">
        <f>AVERAGE(O2:O18)</f>
        <v>0.14407826751683817</v>
      </c>
    </row>
  </sheetData>
  <autoFilter ref="A1:Z17" xr:uid="{854E8EE2-020C-4BE4-BD88-66B2E9803338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Y2500"/>
  <sheetViews>
    <sheetView zoomScale="90" zoomScaleNormal="90" workbookViewId="0">
      <pane xSplit="1" ySplit="1" topLeftCell="F2" activePane="bottomRight" state="frozen"/>
      <selection pane="topRight" activeCell="B1" sqref="B1"/>
      <selection pane="bottomLeft" activeCell="A2" sqref="A2"/>
      <selection pane="bottomRight"/>
    </sheetView>
  </sheetViews>
  <sheetFormatPr defaultColWidth="9.1328125" defaultRowHeight="14.25" x14ac:dyDescent="0.45"/>
  <cols>
    <col min="1" max="2" width="9.1328125" style="3"/>
    <col min="3" max="6" width="9.1328125" style="6"/>
    <col min="7" max="9" width="9.1328125" style="2"/>
    <col min="10" max="11" width="9.1328125" style="4"/>
    <col min="12" max="14" width="9.1328125" style="8"/>
    <col min="15" max="17" width="9.1328125" style="5"/>
    <col min="18" max="22" width="9.1328125" style="9"/>
    <col min="23" max="25" width="9.1328125" style="12"/>
    <col min="26" max="16384" width="9.1328125" style="46"/>
  </cols>
  <sheetData>
    <row r="1" spans="1:25" x14ac:dyDescent="0.45">
      <c r="A1" s="3" t="s">
        <v>0</v>
      </c>
      <c r="B1" s="3" t="s">
        <v>1</v>
      </c>
      <c r="C1" s="6" t="s">
        <v>12</v>
      </c>
      <c r="D1" s="6" t="s">
        <v>308</v>
      </c>
      <c r="E1" s="6" t="s">
        <v>235</v>
      </c>
      <c r="F1" s="6" t="s">
        <v>565</v>
      </c>
      <c r="G1" s="2" t="s">
        <v>8</v>
      </c>
      <c r="H1" s="2" t="s">
        <v>7</v>
      </c>
      <c r="I1" s="2" t="s">
        <v>6</v>
      </c>
      <c r="J1" s="4" t="s">
        <v>391</v>
      </c>
      <c r="K1" s="4" t="s">
        <v>392</v>
      </c>
      <c r="L1" s="8" t="s">
        <v>5</v>
      </c>
      <c r="M1" s="8" t="s">
        <v>4</v>
      </c>
      <c r="N1" s="8" t="s">
        <v>3</v>
      </c>
      <c r="O1" s="5" t="s">
        <v>393</v>
      </c>
      <c r="P1" s="5" t="s">
        <v>394</v>
      </c>
      <c r="Q1" s="5" t="s">
        <v>2</v>
      </c>
      <c r="R1" s="9" t="s">
        <v>461</v>
      </c>
      <c r="S1" s="9" t="s">
        <v>409</v>
      </c>
      <c r="T1" s="9" t="s">
        <v>567</v>
      </c>
      <c r="U1" s="9" t="s">
        <v>3980</v>
      </c>
      <c r="V1" s="9" t="s">
        <v>410</v>
      </c>
      <c r="W1" s="12" t="s">
        <v>14</v>
      </c>
      <c r="X1" s="12" t="s">
        <v>13</v>
      </c>
      <c r="Y1" s="12" t="s">
        <v>566</v>
      </c>
    </row>
    <row r="2" spans="1:25" x14ac:dyDescent="0.45">
      <c r="A2" s="3" t="s">
        <v>15</v>
      </c>
      <c r="B2" s="3" t="s">
        <v>16</v>
      </c>
      <c r="C2" s="6" t="s">
        <v>518</v>
      </c>
      <c r="D2" s="6" t="s">
        <v>189</v>
      </c>
      <c r="E2" s="6" t="s">
        <v>214</v>
      </c>
      <c r="F2" s="6">
        <v>42521.5</v>
      </c>
      <c r="G2" s="2">
        <v>3.22</v>
      </c>
      <c r="H2" s="2">
        <v>4.09</v>
      </c>
      <c r="I2" s="2">
        <v>4.5599999999999996</v>
      </c>
      <c r="J2" s="47">
        <f>(H2-G2)/ABS(G2)</f>
        <v>0.27018633540372661</v>
      </c>
      <c r="K2" s="47">
        <f>(I2-H2)/ABS(H2)</f>
        <v>0.11491442542787281</v>
      </c>
      <c r="L2" s="8">
        <v>36.97</v>
      </c>
      <c r="M2" s="8">
        <v>34.26</v>
      </c>
      <c r="N2" s="8">
        <v>30.75</v>
      </c>
      <c r="O2" s="17">
        <f>M2/(J2*100)</f>
        <v>1.2680137931034485</v>
      </c>
      <c r="P2" s="17">
        <f>N2/(K2*100)</f>
        <v>2.6759042553191499</v>
      </c>
      <c r="Q2" s="5">
        <v>2.64</v>
      </c>
      <c r="R2" s="9">
        <v>24.14</v>
      </c>
      <c r="S2" s="9">
        <v>6.76</v>
      </c>
      <c r="T2" s="9">
        <v>6148.4428699999999</v>
      </c>
      <c r="U2" s="9">
        <v>5339</v>
      </c>
      <c r="V2" s="45">
        <f>(T2-U2)/U2</f>
        <v>0.1516094530811013</v>
      </c>
      <c r="W2" s="12">
        <v>18.29</v>
      </c>
      <c r="X2" s="12">
        <v>0.55000000000000004</v>
      </c>
      <c r="Y2" s="12">
        <v>20210817</v>
      </c>
    </row>
    <row r="3" spans="1:25" x14ac:dyDescent="0.45">
      <c r="A3" s="3" t="s">
        <v>750</v>
      </c>
      <c r="B3" s="3" t="s">
        <v>751</v>
      </c>
      <c r="C3" s="6" t="s">
        <v>518</v>
      </c>
      <c r="D3" s="6" t="s">
        <v>272</v>
      </c>
      <c r="E3" s="6" t="s">
        <v>439</v>
      </c>
      <c r="F3" s="6">
        <v>7091.81</v>
      </c>
      <c r="G3" s="2">
        <v>-1.28</v>
      </c>
      <c r="H3" s="2">
        <v>4.6500000000000004</v>
      </c>
      <c r="I3" s="2">
        <v>4.4000000000000004</v>
      </c>
      <c r="J3" s="47">
        <f t="shared" ref="J3:J66" si="0">(H3-G3)/ABS(G3)</f>
        <v>4.6328125</v>
      </c>
      <c r="K3" s="47">
        <f t="shared" ref="K3:K66" si="1">(I3-H3)/ABS(H3)</f>
        <v>-5.3763440860215048E-2</v>
      </c>
      <c r="M3" s="8">
        <v>8.17</v>
      </c>
      <c r="N3" s="8">
        <v>8.64</v>
      </c>
      <c r="O3" s="17">
        <f t="shared" ref="O3:O66" si="2">M3/(J3*100)</f>
        <v>1.7635075885328835E-2</v>
      </c>
      <c r="P3" s="17">
        <f t="shared" ref="P3:P66" si="3">N3/(K3*100)</f>
        <v>-1.6070400000000002</v>
      </c>
      <c r="R3" s="9">
        <v>-0.45</v>
      </c>
      <c r="S3" s="9">
        <v>-2.5499999999999998</v>
      </c>
      <c r="T3" s="9">
        <v>10575.867179999999</v>
      </c>
      <c r="U3" s="9">
        <v>9286</v>
      </c>
      <c r="V3" s="45">
        <f t="shared" ref="V3:V66" si="4">(T3-U3)/U3</f>
        <v>0.13890449924617695</v>
      </c>
      <c r="W3" s="12">
        <v>64.58</v>
      </c>
      <c r="X3" s="12">
        <v>0</v>
      </c>
      <c r="Y3" s="12">
        <v>20210721</v>
      </c>
    </row>
    <row r="4" spans="1:25" x14ac:dyDescent="0.45">
      <c r="A4" s="3" t="s">
        <v>462</v>
      </c>
      <c r="B4" s="3" t="s">
        <v>463</v>
      </c>
      <c r="C4" s="6" t="s">
        <v>520</v>
      </c>
      <c r="D4" s="6" t="s">
        <v>189</v>
      </c>
      <c r="E4" s="6" t="s">
        <v>211</v>
      </c>
      <c r="F4" s="6">
        <v>8395.4500000000007</v>
      </c>
      <c r="G4" s="2">
        <v>0.18</v>
      </c>
      <c r="H4" s="2">
        <v>0.28999999999999998</v>
      </c>
      <c r="I4" s="2">
        <v>0.33</v>
      </c>
      <c r="J4" s="47">
        <f t="shared" si="0"/>
        <v>0.61111111111111105</v>
      </c>
      <c r="K4" s="47">
        <f t="shared" si="1"/>
        <v>0.13793103448275876</v>
      </c>
      <c r="L4" s="8">
        <v>36.56</v>
      </c>
      <c r="M4" s="8">
        <v>23.55</v>
      </c>
      <c r="N4" s="8">
        <v>21.05</v>
      </c>
      <c r="O4" s="17">
        <f t="shared" si="2"/>
        <v>0.38536363636363641</v>
      </c>
      <c r="P4" s="17">
        <f t="shared" si="3"/>
        <v>1.5261249999999986</v>
      </c>
      <c r="R4" s="9">
        <v>11.21</v>
      </c>
      <c r="S4" s="9">
        <v>3.36</v>
      </c>
      <c r="T4" s="9">
        <v>2895.7099600000001</v>
      </c>
      <c r="U4" s="9">
        <v>2484.06</v>
      </c>
      <c r="V4" s="45">
        <f t="shared" si="4"/>
        <v>0.16571659299694863</v>
      </c>
      <c r="W4" s="12">
        <v>0</v>
      </c>
      <c r="X4" s="12">
        <v>0.6</v>
      </c>
      <c r="Y4" s="12">
        <v>20210611</v>
      </c>
    </row>
    <row r="5" spans="1:25" x14ac:dyDescent="0.45">
      <c r="A5" s="3" t="s">
        <v>4445</v>
      </c>
      <c r="B5" s="3" t="s">
        <v>4446</v>
      </c>
      <c r="C5" s="6" t="s">
        <v>520</v>
      </c>
      <c r="D5" s="6" t="s">
        <v>234</v>
      </c>
      <c r="E5" s="6" t="s">
        <v>241</v>
      </c>
      <c r="F5" s="6">
        <v>150295</v>
      </c>
      <c r="J5" s="47" t="e">
        <f t="shared" si="0"/>
        <v>#DIV/0!</v>
      </c>
      <c r="K5" s="47" t="e">
        <f t="shared" si="1"/>
        <v>#DIV/0!</v>
      </c>
      <c r="O5" s="17" t="e">
        <f t="shared" si="2"/>
        <v>#DIV/0!</v>
      </c>
      <c r="P5" s="17" t="e">
        <f t="shared" si="3"/>
        <v>#DIV/0!</v>
      </c>
      <c r="U5" s="9">
        <v>50359</v>
      </c>
      <c r="V5" s="45">
        <f t="shared" si="4"/>
        <v>-1</v>
      </c>
      <c r="X5" s="12">
        <v>1.96</v>
      </c>
    </row>
    <row r="6" spans="1:25" x14ac:dyDescent="0.45">
      <c r="A6" s="3" t="s">
        <v>415</v>
      </c>
      <c r="B6" s="3" t="s">
        <v>18</v>
      </c>
      <c r="C6" s="6" t="s">
        <v>519</v>
      </c>
      <c r="D6" s="6" t="s">
        <v>309</v>
      </c>
      <c r="E6" s="6" t="s">
        <v>307</v>
      </c>
      <c r="F6" s="6">
        <v>15296.99</v>
      </c>
      <c r="G6" s="2">
        <v>-19.79</v>
      </c>
      <c r="H6" s="2">
        <v>-8.74</v>
      </c>
      <c r="I6" s="2">
        <v>-0.04</v>
      </c>
      <c r="J6" s="47">
        <f t="shared" si="0"/>
        <v>0.55836280949974737</v>
      </c>
      <c r="K6" s="47">
        <f t="shared" si="1"/>
        <v>0.99542334096109852</v>
      </c>
      <c r="O6" s="17">
        <f t="shared" si="2"/>
        <v>0</v>
      </c>
      <c r="P6" s="17">
        <f t="shared" si="3"/>
        <v>0</v>
      </c>
      <c r="S6" s="9">
        <v>-12.21</v>
      </c>
      <c r="T6" s="9">
        <v>28132.119139999999</v>
      </c>
      <c r="U6" s="9">
        <v>17337</v>
      </c>
      <c r="V6" s="45">
        <f t="shared" si="4"/>
        <v>0.62266361769625644</v>
      </c>
      <c r="W6" s="12">
        <v>0.69</v>
      </c>
      <c r="X6" s="12">
        <v>0</v>
      </c>
      <c r="Y6" s="12">
        <v>20210722</v>
      </c>
    </row>
    <row r="7" spans="1:25" x14ac:dyDescent="0.45">
      <c r="A7" s="3" t="s">
        <v>706</v>
      </c>
      <c r="B7" s="3" t="s">
        <v>707</v>
      </c>
      <c r="C7" s="6" t="s">
        <v>519</v>
      </c>
      <c r="D7" s="6" t="s">
        <v>210</v>
      </c>
      <c r="E7" s="6" t="s">
        <v>187</v>
      </c>
      <c r="F7" s="6">
        <v>3384.69</v>
      </c>
      <c r="G7" s="2">
        <v>1.41</v>
      </c>
      <c r="H7" s="2">
        <v>1.31</v>
      </c>
      <c r="I7" s="2">
        <v>1.4</v>
      </c>
      <c r="J7" s="47">
        <f t="shared" si="0"/>
        <v>-7.0921985815602745E-2</v>
      </c>
      <c r="K7" s="47">
        <f t="shared" si="1"/>
        <v>6.870229007633577E-2</v>
      </c>
      <c r="L7" s="8">
        <v>47.12</v>
      </c>
      <c r="M7" s="8">
        <v>49.28</v>
      </c>
      <c r="N7" s="8">
        <v>46.11</v>
      </c>
      <c r="O7" s="17">
        <f t="shared" si="2"/>
        <v>-6.9484800000000089</v>
      </c>
      <c r="P7" s="17">
        <f t="shared" si="3"/>
        <v>6.7115666666666769</v>
      </c>
      <c r="R7" s="9">
        <v>21.14</v>
      </c>
      <c r="S7" s="9">
        <v>7.33</v>
      </c>
      <c r="U7" s="9">
        <v>514.54999999999995</v>
      </c>
      <c r="V7" s="45">
        <f t="shared" si="4"/>
        <v>-1</v>
      </c>
      <c r="W7" s="12">
        <v>25</v>
      </c>
      <c r="X7" s="12">
        <v>0.59</v>
      </c>
      <c r="Y7" s="12">
        <v>20210805</v>
      </c>
    </row>
    <row r="8" spans="1:25" x14ac:dyDescent="0.45">
      <c r="A8" s="3" t="s">
        <v>411</v>
      </c>
      <c r="B8" s="3" t="s">
        <v>19</v>
      </c>
      <c r="C8" s="6" t="s">
        <v>518</v>
      </c>
      <c r="D8" s="6" t="s">
        <v>303</v>
      </c>
      <c r="E8" s="6" t="s">
        <v>102</v>
      </c>
      <c r="F8" s="6">
        <v>12893.42</v>
      </c>
      <c r="G8" s="2">
        <v>8.57</v>
      </c>
      <c r="H8" s="2">
        <v>10.82</v>
      </c>
      <c r="I8" s="2">
        <v>12.26</v>
      </c>
      <c r="J8" s="47">
        <f t="shared" si="0"/>
        <v>0.26254375729288215</v>
      </c>
      <c r="K8" s="47">
        <f t="shared" si="1"/>
        <v>0.13308687615526799</v>
      </c>
      <c r="L8" s="8">
        <v>18.010000000000002</v>
      </c>
      <c r="M8" s="8">
        <v>18.21</v>
      </c>
      <c r="N8" s="8">
        <v>16.07</v>
      </c>
      <c r="O8" s="17">
        <f t="shared" si="2"/>
        <v>0.6935986666666667</v>
      </c>
      <c r="P8" s="17">
        <f t="shared" si="3"/>
        <v>1.2074819444444449</v>
      </c>
      <c r="Q8" s="5">
        <v>1.31</v>
      </c>
      <c r="R8" s="9">
        <v>20.48</v>
      </c>
      <c r="S8" s="9">
        <v>1.39</v>
      </c>
      <c r="T8" s="9">
        <v>10582.56445</v>
      </c>
      <c r="U8" s="9">
        <v>10106.32</v>
      </c>
      <c r="V8" s="45">
        <f t="shared" si="4"/>
        <v>4.7123428705997845E-2</v>
      </c>
      <c r="W8" s="12">
        <v>8.44</v>
      </c>
      <c r="X8" s="12">
        <v>0.51</v>
      </c>
      <c r="Y8" s="12">
        <v>20210817</v>
      </c>
    </row>
    <row r="9" spans="1:25" x14ac:dyDescent="0.45">
      <c r="A9" s="3" t="s">
        <v>20</v>
      </c>
      <c r="B9" s="3" t="s">
        <v>21</v>
      </c>
      <c r="C9" s="6" t="s">
        <v>519</v>
      </c>
      <c r="D9" s="6" t="s">
        <v>189</v>
      </c>
      <c r="E9" s="6" t="s">
        <v>201</v>
      </c>
      <c r="F9" s="6">
        <v>2121498.5</v>
      </c>
      <c r="G9" s="2">
        <v>3.24</v>
      </c>
      <c r="H9" s="2">
        <v>5.17</v>
      </c>
      <c r="I9" s="2">
        <v>5.34</v>
      </c>
      <c r="J9" s="47">
        <f t="shared" si="0"/>
        <v>0.59567901234567888</v>
      </c>
      <c r="K9" s="47">
        <f t="shared" si="1"/>
        <v>3.2882011605415845E-2</v>
      </c>
      <c r="L9" s="8">
        <v>19.899999999999999</v>
      </c>
      <c r="M9" s="8">
        <v>24.57</v>
      </c>
      <c r="N9" s="8">
        <v>23.8</v>
      </c>
      <c r="O9" s="17">
        <f t="shared" si="2"/>
        <v>0.41247046632124362</v>
      </c>
      <c r="P9" s="17">
        <f t="shared" si="3"/>
        <v>7.238000000000004</v>
      </c>
      <c r="Q9" s="5">
        <v>1.97</v>
      </c>
      <c r="R9" s="9">
        <v>111.8</v>
      </c>
      <c r="S9" s="9">
        <v>7.22</v>
      </c>
      <c r="T9" s="9">
        <v>355547.59375</v>
      </c>
      <c r="U9" s="9">
        <v>274515</v>
      </c>
      <c r="V9" s="45">
        <f t="shared" si="4"/>
        <v>0.29518457552410615</v>
      </c>
      <c r="W9" s="12">
        <v>40</v>
      </c>
      <c r="X9" s="12">
        <v>0.69</v>
      </c>
      <c r="Y9" s="12">
        <v>20210729</v>
      </c>
    </row>
    <row r="10" spans="1:25" x14ac:dyDescent="0.45">
      <c r="A10" s="3" t="s">
        <v>752</v>
      </c>
      <c r="B10" s="3" t="s">
        <v>753</v>
      </c>
      <c r="C10" s="6" t="s">
        <v>518</v>
      </c>
      <c r="D10" s="6" t="s">
        <v>234</v>
      </c>
      <c r="E10" s="6" t="s">
        <v>220</v>
      </c>
      <c r="F10" s="6">
        <v>4543.5</v>
      </c>
      <c r="G10" s="2">
        <v>2.77</v>
      </c>
      <c r="H10" s="2">
        <v>3.32</v>
      </c>
      <c r="I10" s="2">
        <v>3.57</v>
      </c>
      <c r="J10" s="47">
        <f t="shared" si="0"/>
        <v>0.1985559566787003</v>
      </c>
      <c r="K10" s="47">
        <f t="shared" si="1"/>
        <v>7.5301204819277115E-2</v>
      </c>
      <c r="L10" s="8">
        <v>15</v>
      </c>
      <c r="M10" s="8">
        <v>13.92</v>
      </c>
      <c r="N10" s="8">
        <v>12.94</v>
      </c>
      <c r="O10" s="17">
        <f t="shared" si="2"/>
        <v>0.70106181818181834</v>
      </c>
      <c r="P10" s="17">
        <f t="shared" si="3"/>
        <v>1.718432</v>
      </c>
      <c r="Q10" s="5">
        <v>1.08</v>
      </c>
      <c r="R10" s="9">
        <v>19.309999999999999</v>
      </c>
      <c r="S10" s="9">
        <v>4.97</v>
      </c>
      <c r="T10" s="9">
        <v>3377.1000899999999</v>
      </c>
      <c r="U10" s="9">
        <v>3708.54</v>
      </c>
      <c r="V10" s="45">
        <f t="shared" si="4"/>
        <v>-8.9372073646232758E-2</v>
      </c>
      <c r="W10" s="12">
        <v>6.58</v>
      </c>
      <c r="X10" s="12">
        <v>7.01</v>
      </c>
      <c r="Y10" s="12">
        <v>20210722</v>
      </c>
    </row>
    <row r="11" spans="1:25" x14ac:dyDescent="0.45">
      <c r="A11" s="3" t="s">
        <v>22</v>
      </c>
      <c r="B11" s="3" t="s">
        <v>23</v>
      </c>
      <c r="C11" s="6" t="s">
        <v>518</v>
      </c>
      <c r="D11" s="6" t="s">
        <v>272</v>
      </c>
      <c r="E11" s="6" t="s">
        <v>252</v>
      </c>
      <c r="F11" s="6">
        <v>75299.839999999997</v>
      </c>
      <c r="G11" s="2">
        <v>0.9</v>
      </c>
      <c r="H11" s="2">
        <v>1.26</v>
      </c>
      <c r="I11" s="2">
        <v>1.52</v>
      </c>
      <c r="J11" s="47">
        <f t="shared" si="0"/>
        <v>0.39999999999999997</v>
      </c>
      <c r="K11" s="47">
        <f t="shared" si="1"/>
        <v>0.20634920634920637</v>
      </c>
      <c r="L11" s="8">
        <v>34.729999999999997</v>
      </c>
      <c r="M11" s="8">
        <v>27.45</v>
      </c>
      <c r="N11" s="8">
        <v>22.85</v>
      </c>
      <c r="O11" s="17">
        <f t="shared" si="2"/>
        <v>0.68625000000000003</v>
      </c>
      <c r="P11" s="17">
        <f t="shared" si="3"/>
        <v>1.1073461538461538</v>
      </c>
      <c r="Q11" s="5">
        <v>4.43</v>
      </c>
      <c r="R11" s="9">
        <v>14.27</v>
      </c>
      <c r="S11" s="9">
        <v>-6.61</v>
      </c>
      <c r="T11" s="9">
        <v>28785.800780000001</v>
      </c>
      <c r="U11" s="9">
        <v>26134</v>
      </c>
      <c r="V11" s="45">
        <f t="shared" si="4"/>
        <v>0.1014693801178542</v>
      </c>
      <c r="W11" s="12">
        <v>10.71</v>
      </c>
      <c r="X11" s="12">
        <v>1.48</v>
      </c>
      <c r="Y11" s="12">
        <v>20210728</v>
      </c>
    </row>
    <row r="12" spans="1:25" x14ac:dyDescent="0.45">
      <c r="A12" s="3" t="s">
        <v>24</v>
      </c>
      <c r="B12" s="3" t="s">
        <v>25</v>
      </c>
      <c r="C12" s="6" t="s">
        <v>518</v>
      </c>
      <c r="D12" s="6" t="s">
        <v>279</v>
      </c>
      <c r="E12" s="6" t="s">
        <v>250</v>
      </c>
      <c r="F12" s="6">
        <v>201349.34</v>
      </c>
      <c r="G12" s="2">
        <v>10.48</v>
      </c>
      <c r="H12" s="2">
        <v>12.6</v>
      </c>
      <c r="I12" s="2">
        <v>13.99</v>
      </c>
      <c r="J12" s="47">
        <f t="shared" si="0"/>
        <v>0.20229007633587778</v>
      </c>
      <c r="K12" s="47">
        <f t="shared" si="1"/>
        <v>0.11031746031746037</v>
      </c>
      <c r="L12" s="8">
        <v>10.33</v>
      </c>
      <c r="M12" s="8">
        <v>9.0500000000000007</v>
      </c>
      <c r="N12" s="8">
        <v>8.15</v>
      </c>
      <c r="O12" s="17">
        <f t="shared" si="2"/>
        <v>0.44737735849056626</v>
      </c>
      <c r="P12" s="17">
        <f t="shared" si="3"/>
        <v>0.73877697841726586</v>
      </c>
      <c r="Q12" s="5">
        <v>1.71</v>
      </c>
      <c r="R12" s="9">
        <v>136.75</v>
      </c>
      <c r="S12" s="9">
        <v>13.08</v>
      </c>
      <c r="T12" s="9">
        <v>55934.203119999998</v>
      </c>
      <c r="U12" s="9">
        <v>45804</v>
      </c>
      <c r="V12" s="45">
        <f t="shared" si="4"/>
        <v>0.2211641585887695</v>
      </c>
      <c r="W12" s="12">
        <v>6.5</v>
      </c>
      <c r="X12" s="12">
        <v>4.5599999999999996</v>
      </c>
      <c r="Y12" s="12">
        <v>20210730</v>
      </c>
    </row>
    <row r="13" spans="1:25" x14ac:dyDescent="0.45">
      <c r="A13" s="3" t="s">
        <v>416</v>
      </c>
      <c r="B13" s="3" t="s">
        <v>26</v>
      </c>
      <c r="C13" s="6" t="s">
        <v>518</v>
      </c>
      <c r="D13" s="6" t="s">
        <v>279</v>
      </c>
      <c r="E13" s="6" t="s">
        <v>257</v>
      </c>
      <c r="F13" s="6">
        <v>24115.22</v>
      </c>
      <c r="G13" s="2">
        <v>7.88</v>
      </c>
      <c r="H13" s="2">
        <v>8.75</v>
      </c>
      <c r="I13" s="2">
        <v>9.99</v>
      </c>
      <c r="J13" s="47">
        <f t="shared" si="0"/>
        <v>0.11040609137055839</v>
      </c>
      <c r="K13" s="47">
        <f t="shared" si="1"/>
        <v>0.14171428571428574</v>
      </c>
      <c r="L13" s="8">
        <v>13.89</v>
      </c>
      <c r="M13" s="8">
        <v>13.42</v>
      </c>
      <c r="N13" s="8">
        <v>11.75</v>
      </c>
      <c r="O13" s="17">
        <f t="shared" si="2"/>
        <v>1.2155126436781607</v>
      </c>
      <c r="P13" s="17">
        <f t="shared" si="3"/>
        <v>0.82913306451612889</v>
      </c>
      <c r="Q13" s="5">
        <v>1.18</v>
      </c>
      <c r="R13" s="9">
        <v>277.60000000000002</v>
      </c>
      <c r="S13" s="9">
        <v>7.07</v>
      </c>
      <c r="T13" s="9">
        <v>206297.89061999999</v>
      </c>
      <c r="U13" s="9">
        <v>189893.91</v>
      </c>
      <c r="V13" s="45">
        <f t="shared" si="4"/>
        <v>8.6384974747215362E-2</v>
      </c>
      <c r="W13" s="12">
        <v>0.8</v>
      </c>
      <c r="X13" s="12">
        <v>1.5</v>
      </c>
      <c r="Y13" s="12">
        <v>20210804</v>
      </c>
    </row>
    <row r="14" spans="1:25" x14ac:dyDescent="0.45">
      <c r="A14" s="3" t="s">
        <v>813</v>
      </c>
      <c r="B14" s="3" t="s">
        <v>814</v>
      </c>
      <c r="C14" s="6" t="s">
        <v>519</v>
      </c>
      <c r="D14" s="6" t="s">
        <v>234</v>
      </c>
      <c r="E14" s="6" t="s">
        <v>172</v>
      </c>
      <c r="F14" s="6">
        <v>3874.28</v>
      </c>
      <c r="G14" s="2">
        <v>3.53</v>
      </c>
      <c r="H14" s="2">
        <v>5.26</v>
      </c>
      <c r="I14" s="2">
        <v>4.09</v>
      </c>
      <c r="J14" s="47">
        <f t="shared" si="0"/>
        <v>0.4900849858356941</v>
      </c>
      <c r="K14" s="47">
        <f t="shared" si="1"/>
        <v>-0.22243346007604561</v>
      </c>
      <c r="L14" s="8">
        <v>10.23</v>
      </c>
      <c r="M14" s="8">
        <v>10.57</v>
      </c>
      <c r="N14" s="8">
        <v>13.57</v>
      </c>
      <c r="O14" s="17">
        <f t="shared" si="2"/>
        <v>0.21567687861271673</v>
      </c>
      <c r="P14" s="17">
        <f t="shared" si="3"/>
        <v>-0.61007008547008557</v>
      </c>
      <c r="R14" s="9">
        <v>14.46</v>
      </c>
      <c r="S14" s="9">
        <v>36.47</v>
      </c>
      <c r="T14" s="9">
        <v>1046.3480199999999</v>
      </c>
      <c r="U14" s="9">
        <v>1173</v>
      </c>
      <c r="V14" s="45">
        <f t="shared" si="4"/>
        <v>-0.10797270247229335</v>
      </c>
      <c r="W14" s="12">
        <v>48.21</v>
      </c>
      <c r="X14" s="12">
        <v>1.08</v>
      </c>
      <c r="Y14" s="12">
        <v>20210726</v>
      </c>
    </row>
    <row r="15" spans="1:25" x14ac:dyDescent="0.45">
      <c r="A15" s="3" t="s">
        <v>815</v>
      </c>
      <c r="B15" s="3" t="s">
        <v>816</v>
      </c>
      <c r="C15" s="6" t="s">
        <v>519</v>
      </c>
      <c r="D15" s="6" t="s">
        <v>279</v>
      </c>
      <c r="E15" s="6" t="s">
        <v>256</v>
      </c>
      <c r="F15" s="6">
        <v>6458.87</v>
      </c>
      <c r="G15" s="2">
        <v>0.93</v>
      </c>
      <c r="H15" s="2">
        <v>0.44</v>
      </c>
      <c r="I15" s="2">
        <v>-0.22</v>
      </c>
      <c r="J15" s="47">
        <f t="shared" si="0"/>
        <v>-0.5268817204301075</v>
      </c>
      <c r="K15" s="47">
        <f t="shared" si="1"/>
        <v>-1.5</v>
      </c>
      <c r="M15" s="8">
        <v>54.81</v>
      </c>
      <c r="O15" s="17">
        <f t="shared" si="2"/>
        <v>-1.0402714285714287</v>
      </c>
      <c r="P15" s="17">
        <f t="shared" si="3"/>
        <v>0</v>
      </c>
      <c r="T15" s="9">
        <v>333.07699000000002</v>
      </c>
      <c r="U15" s="9">
        <v>233.15</v>
      </c>
      <c r="V15" s="45">
        <f t="shared" si="4"/>
        <v>0.42859528200729152</v>
      </c>
      <c r="W15" s="12">
        <v>0</v>
      </c>
      <c r="X15" s="12">
        <v>0</v>
      </c>
      <c r="Y15" s="12">
        <v>20210812</v>
      </c>
    </row>
    <row r="16" spans="1:25" x14ac:dyDescent="0.45">
      <c r="A16" s="3" t="s">
        <v>900</v>
      </c>
      <c r="B16" s="3" t="s">
        <v>901</v>
      </c>
      <c r="C16" s="6" t="s">
        <v>519</v>
      </c>
      <c r="D16" s="6" t="s">
        <v>279</v>
      </c>
      <c r="E16" s="6" t="s">
        <v>262</v>
      </c>
      <c r="F16" s="6">
        <v>4314.91</v>
      </c>
      <c r="H16" s="2">
        <v>0.22</v>
      </c>
      <c r="I16" s="2">
        <v>0.3</v>
      </c>
      <c r="J16" s="47" t="e">
        <f t="shared" si="0"/>
        <v>#DIV/0!</v>
      </c>
      <c r="K16" s="47">
        <f t="shared" si="1"/>
        <v>0.36363636363636359</v>
      </c>
      <c r="M16" s="8">
        <v>87.29</v>
      </c>
      <c r="N16" s="8">
        <v>64.290000000000006</v>
      </c>
      <c r="O16" s="17" t="e">
        <f t="shared" si="2"/>
        <v>#DIV/0!</v>
      </c>
      <c r="P16" s="17">
        <f t="shared" si="3"/>
        <v>1.7679750000000003</v>
      </c>
      <c r="T16" s="9">
        <v>412.04097999999999</v>
      </c>
      <c r="U16" s="9">
        <v>327.81</v>
      </c>
      <c r="V16" s="45">
        <f t="shared" si="4"/>
        <v>0.25695061163478838</v>
      </c>
      <c r="X16" s="12">
        <v>0</v>
      </c>
    </row>
    <row r="17" spans="1:25" x14ac:dyDescent="0.45">
      <c r="A17" s="3" t="s">
        <v>3981</v>
      </c>
      <c r="B17" s="3" t="s">
        <v>3982</v>
      </c>
      <c r="C17" s="6" t="s">
        <v>518</v>
      </c>
      <c r="D17" s="6" t="s">
        <v>225</v>
      </c>
      <c r="E17" s="6" t="s">
        <v>186</v>
      </c>
      <c r="F17" s="6">
        <v>59635.33</v>
      </c>
      <c r="G17" s="2">
        <v>0.1</v>
      </c>
      <c r="H17" s="2">
        <v>0.13</v>
      </c>
      <c r="I17" s="2">
        <v>0.14000000000000001</v>
      </c>
      <c r="J17" s="47">
        <f t="shared" si="0"/>
        <v>0.3</v>
      </c>
      <c r="K17" s="47">
        <f t="shared" si="1"/>
        <v>7.6923076923076983E-2</v>
      </c>
      <c r="L17" s="8">
        <v>25.27</v>
      </c>
      <c r="M17" s="8">
        <v>30.32</v>
      </c>
      <c r="N17" s="8">
        <v>27.07</v>
      </c>
      <c r="O17" s="17">
        <f t="shared" si="2"/>
        <v>1.0106666666666666</v>
      </c>
      <c r="P17" s="17">
        <f t="shared" si="3"/>
        <v>3.5190999999999972</v>
      </c>
      <c r="Q17" s="5">
        <v>4.6399999999999997</v>
      </c>
      <c r="R17" s="9">
        <v>17.03</v>
      </c>
      <c r="S17" s="9">
        <v>-3.5</v>
      </c>
      <c r="T17" s="9">
        <v>12291.41992</v>
      </c>
      <c r="U17" s="9">
        <v>11333.52</v>
      </c>
      <c r="V17" s="45">
        <f t="shared" si="4"/>
        <v>8.4519189095708991E-2</v>
      </c>
      <c r="W17" s="12">
        <v>0</v>
      </c>
      <c r="X17" s="12">
        <v>0.39</v>
      </c>
      <c r="Y17" s="12">
        <v>20210729</v>
      </c>
    </row>
    <row r="18" spans="1:25" x14ac:dyDescent="0.45">
      <c r="A18" s="3" t="s">
        <v>817</v>
      </c>
      <c r="B18" s="3" t="s">
        <v>818</v>
      </c>
      <c r="C18" s="6" t="s">
        <v>518</v>
      </c>
      <c r="D18" s="6" t="s">
        <v>303</v>
      </c>
      <c r="E18" s="6" t="s">
        <v>632</v>
      </c>
      <c r="F18" s="6">
        <v>3476.82</v>
      </c>
      <c r="G18" s="2">
        <v>12.56</v>
      </c>
      <c r="H18" s="2">
        <v>17.489999999999998</v>
      </c>
      <c r="I18" s="2">
        <v>17.190000000000001</v>
      </c>
      <c r="J18" s="47">
        <f t="shared" si="0"/>
        <v>0.39251592356687881</v>
      </c>
      <c r="K18" s="47">
        <f t="shared" si="1"/>
        <v>-1.7152658662092462E-2</v>
      </c>
      <c r="L18" s="8">
        <v>11.44</v>
      </c>
      <c r="M18" s="8">
        <v>10.28</v>
      </c>
      <c r="N18" s="8">
        <v>10.46</v>
      </c>
      <c r="O18" s="17">
        <f t="shared" si="2"/>
        <v>0.26190020283975668</v>
      </c>
      <c r="P18" s="17">
        <f t="shared" si="3"/>
        <v>-6.0981800000000588</v>
      </c>
      <c r="Q18" s="5">
        <v>0.56000000000000005</v>
      </c>
      <c r="R18" s="9">
        <v>35.56</v>
      </c>
      <c r="S18" s="9">
        <v>2.75</v>
      </c>
      <c r="T18" s="9">
        <v>9106.8017500000005</v>
      </c>
      <c r="U18" s="9">
        <v>7131.8</v>
      </c>
      <c r="V18" s="45">
        <f t="shared" si="4"/>
        <v>0.27692893098516508</v>
      </c>
      <c r="W18" s="12">
        <v>30.73</v>
      </c>
      <c r="X18" s="12">
        <v>0</v>
      </c>
      <c r="Y18" s="12">
        <v>20210727</v>
      </c>
    </row>
    <row r="19" spans="1:25" x14ac:dyDescent="0.45">
      <c r="A19" s="3" t="s">
        <v>3983</v>
      </c>
      <c r="B19" s="3" t="s">
        <v>3984</v>
      </c>
      <c r="C19" s="6" t="s">
        <v>518</v>
      </c>
      <c r="D19" s="6" t="s">
        <v>175</v>
      </c>
      <c r="E19" s="6" t="s">
        <v>3103</v>
      </c>
      <c r="F19" s="6">
        <v>3256.53</v>
      </c>
      <c r="G19" s="2">
        <v>2.46</v>
      </c>
      <c r="H19" s="2">
        <v>3.31</v>
      </c>
      <c r="I19" s="2">
        <v>3.19</v>
      </c>
      <c r="J19" s="47">
        <f t="shared" si="0"/>
        <v>0.34552845528455289</v>
      </c>
      <c r="K19" s="47">
        <f t="shared" si="1"/>
        <v>-3.6253776435045348E-2</v>
      </c>
      <c r="L19" s="8">
        <v>14.84</v>
      </c>
      <c r="M19" s="8">
        <v>14.66</v>
      </c>
      <c r="N19" s="8">
        <v>15.22</v>
      </c>
      <c r="O19" s="17">
        <f t="shared" si="2"/>
        <v>0.42427764705882354</v>
      </c>
      <c r="P19" s="17">
        <f t="shared" si="3"/>
        <v>-4.19818333333333</v>
      </c>
      <c r="R19" s="9">
        <v>14.42</v>
      </c>
      <c r="S19" s="9">
        <v>5.22</v>
      </c>
      <c r="T19" s="9">
        <v>6088.4101499999997</v>
      </c>
      <c r="U19" s="9">
        <v>5987.6</v>
      </c>
      <c r="V19" s="45">
        <f t="shared" si="4"/>
        <v>1.6836487073284678E-2</v>
      </c>
      <c r="W19" s="12">
        <v>9.33</v>
      </c>
      <c r="X19" s="12">
        <v>1.57</v>
      </c>
      <c r="Y19" s="12">
        <v>20210914</v>
      </c>
    </row>
    <row r="20" spans="1:25" x14ac:dyDescent="0.45">
      <c r="A20" s="3" t="s">
        <v>27</v>
      </c>
      <c r="B20" s="3" t="s">
        <v>28</v>
      </c>
      <c r="C20" s="6" t="s">
        <v>519</v>
      </c>
      <c r="D20" s="6" t="s">
        <v>279</v>
      </c>
      <c r="E20" s="6" t="s">
        <v>262</v>
      </c>
      <c r="F20" s="6">
        <v>13308.87</v>
      </c>
      <c r="G20" s="2">
        <v>4.8</v>
      </c>
      <c r="H20" s="2">
        <v>4.3899999999999997</v>
      </c>
      <c r="I20" s="2">
        <v>5.18</v>
      </c>
      <c r="J20" s="47">
        <f t="shared" si="0"/>
        <v>-8.5416666666666696E-2</v>
      </c>
      <c r="K20" s="47">
        <f t="shared" si="1"/>
        <v>0.17995444191343965</v>
      </c>
      <c r="L20" s="8">
        <v>73.459999999999994</v>
      </c>
      <c r="M20" s="8">
        <v>66.86</v>
      </c>
      <c r="N20" s="8">
        <v>56.76</v>
      </c>
      <c r="O20" s="17">
        <f t="shared" si="2"/>
        <v>-7.8275121951219484</v>
      </c>
      <c r="P20" s="17">
        <f t="shared" si="3"/>
        <v>3.15413164556962</v>
      </c>
      <c r="Q20" s="5">
        <v>4.46</v>
      </c>
      <c r="R20" s="9">
        <v>14.99</v>
      </c>
      <c r="S20" s="9">
        <v>20.62</v>
      </c>
      <c r="T20" s="9">
        <v>1013.82501</v>
      </c>
      <c r="U20" s="9">
        <v>847.52</v>
      </c>
      <c r="V20" s="45">
        <f t="shared" si="4"/>
        <v>0.1962254696054371</v>
      </c>
      <c r="W20" s="12">
        <v>12.73</v>
      </c>
      <c r="X20" s="12">
        <v>0</v>
      </c>
      <c r="Y20" s="12">
        <v>20210805</v>
      </c>
    </row>
    <row r="21" spans="1:25" x14ac:dyDescent="0.45">
      <c r="A21" s="3" t="s">
        <v>819</v>
      </c>
      <c r="B21" s="3" t="s">
        <v>820</v>
      </c>
      <c r="C21" s="6" t="s">
        <v>519</v>
      </c>
      <c r="D21" s="6" t="s">
        <v>189</v>
      </c>
      <c r="E21" s="6" t="s">
        <v>246</v>
      </c>
      <c r="F21" s="6">
        <v>89448.15</v>
      </c>
      <c r="G21" s="2">
        <v>-13.19</v>
      </c>
      <c r="H21" s="2">
        <v>-2.06</v>
      </c>
      <c r="I21" s="2">
        <v>-0.04</v>
      </c>
      <c r="J21" s="47">
        <f t="shared" si="0"/>
        <v>0.84382107657316141</v>
      </c>
      <c r="K21" s="47">
        <f t="shared" si="1"/>
        <v>0.98058252427184467</v>
      </c>
      <c r="O21" s="17">
        <f t="shared" si="2"/>
        <v>0</v>
      </c>
      <c r="P21" s="17">
        <f t="shared" si="3"/>
        <v>0</v>
      </c>
      <c r="T21" s="9">
        <v>5368.4912100000001</v>
      </c>
      <c r="U21" s="9">
        <v>3378.2</v>
      </c>
      <c r="V21" s="45">
        <f t="shared" si="4"/>
        <v>0.58915730566573932</v>
      </c>
      <c r="W21" s="12">
        <v>20</v>
      </c>
      <c r="X21" s="12">
        <v>0</v>
      </c>
      <c r="Y21" s="12">
        <v>20210812</v>
      </c>
    </row>
    <row r="22" spans="1:25" x14ac:dyDescent="0.45">
      <c r="A22" s="3" t="s">
        <v>464</v>
      </c>
      <c r="B22" s="3" t="s">
        <v>465</v>
      </c>
      <c r="C22" s="6" t="s">
        <v>518</v>
      </c>
      <c r="D22" s="6" t="s">
        <v>279</v>
      </c>
      <c r="E22" s="6" t="s">
        <v>264</v>
      </c>
      <c r="F22" s="6">
        <v>193762.23</v>
      </c>
      <c r="G22" s="2">
        <v>3.57</v>
      </c>
      <c r="H22" s="2">
        <v>4.4800000000000004</v>
      </c>
      <c r="I22" s="2">
        <v>4.8600000000000003</v>
      </c>
      <c r="J22" s="47">
        <f t="shared" si="0"/>
        <v>0.25490196078431387</v>
      </c>
      <c r="K22" s="47">
        <f t="shared" si="1"/>
        <v>8.4821428571428534E-2</v>
      </c>
      <c r="L22" s="8">
        <v>25.24</v>
      </c>
      <c r="M22" s="8">
        <v>24.32</v>
      </c>
      <c r="N22" s="8">
        <v>22.42</v>
      </c>
      <c r="O22" s="17">
        <f t="shared" si="2"/>
        <v>0.95409230769230713</v>
      </c>
      <c r="P22" s="17">
        <f t="shared" si="3"/>
        <v>2.6432000000000011</v>
      </c>
      <c r="Q22" s="5">
        <v>1.86</v>
      </c>
      <c r="R22" s="9">
        <v>24.02</v>
      </c>
      <c r="S22" s="9">
        <v>12.13</v>
      </c>
      <c r="T22" s="9">
        <v>39963.761709999999</v>
      </c>
      <c r="U22" s="9">
        <v>34608</v>
      </c>
      <c r="V22" s="45">
        <f t="shared" si="4"/>
        <v>0.15475501935968558</v>
      </c>
      <c r="W22" s="12">
        <v>-0.75</v>
      </c>
      <c r="X22" s="12">
        <v>1.65</v>
      </c>
      <c r="Y22" s="12">
        <v>20210715</v>
      </c>
    </row>
    <row r="23" spans="1:25" x14ac:dyDescent="0.45">
      <c r="A23" s="3" t="s">
        <v>521</v>
      </c>
      <c r="B23" s="3" t="s">
        <v>522</v>
      </c>
      <c r="C23" s="6" t="s">
        <v>519</v>
      </c>
      <c r="D23" s="6" t="s">
        <v>279</v>
      </c>
      <c r="E23" s="6" t="s">
        <v>256</v>
      </c>
      <c r="F23" s="6">
        <v>4185.4799999999996</v>
      </c>
      <c r="G23" s="2">
        <v>-1.84</v>
      </c>
      <c r="H23" s="2">
        <v>-1.26</v>
      </c>
      <c r="I23" s="2">
        <v>-0.83</v>
      </c>
      <c r="J23" s="47">
        <f t="shared" si="0"/>
        <v>0.31521739130434784</v>
      </c>
      <c r="K23" s="47">
        <f t="shared" si="1"/>
        <v>0.34126984126984128</v>
      </c>
      <c r="O23" s="17">
        <f t="shared" si="2"/>
        <v>0</v>
      </c>
      <c r="P23" s="17">
        <f t="shared" si="3"/>
        <v>0</v>
      </c>
      <c r="R23" s="9">
        <v>-41.17</v>
      </c>
      <c r="S23" s="9">
        <v>184.08</v>
      </c>
      <c r="T23" s="9">
        <v>523.85600999999997</v>
      </c>
      <c r="U23" s="9">
        <v>441.76</v>
      </c>
      <c r="V23" s="45">
        <f t="shared" si="4"/>
        <v>0.18583848696124589</v>
      </c>
      <c r="W23" s="12">
        <v>20.75</v>
      </c>
      <c r="X23" s="12">
        <v>0</v>
      </c>
      <c r="Y23" s="12">
        <v>20210804</v>
      </c>
    </row>
    <row r="24" spans="1:25" x14ac:dyDescent="0.45">
      <c r="A24" s="3" t="s">
        <v>30</v>
      </c>
      <c r="B24" s="3" t="s">
        <v>31</v>
      </c>
      <c r="C24" s="6" t="s">
        <v>518</v>
      </c>
      <c r="D24" s="6" t="s">
        <v>234</v>
      </c>
      <c r="E24" s="6" t="s">
        <v>287</v>
      </c>
      <c r="F24" s="6">
        <v>6718.2</v>
      </c>
      <c r="G24" s="2">
        <v>1.94</v>
      </c>
      <c r="H24" s="2">
        <v>1.92</v>
      </c>
      <c r="I24" s="2">
        <v>2.3199999999999998</v>
      </c>
      <c r="J24" s="47">
        <f t="shared" si="0"/>
        <v>-1.0309278350515474E-2</v>
      </c>
      <c r="K24" s="47">
        <f t="shared" si="1"/>
        <v>0.20833333333333329</v>
      </c>
      <c r="L24" s="8">
        <v>26.34</v>
      </c>
      <c r="M24" s="8">
        <v>25.4</v>
      </c>
      <c r="N24" s="8">
        <v>21.03</v>
      </c>
      <c r="O24" s="17">
        <f t="shared" si="2"/>
        <v>-24.637999999999973</v>
      </c>
      <c r="P24" s="17">
        <f t="shared" si="3"/>
        <v>1.0094400000000003</v>
      </c>
      <c r="Q24" s="5">
        <v>0.76</v>
      </c>
      <c r="R24" s="9">
        <v>0.16</v>
      </c>
      <c r="S24" s="9">
        <v>4.22</v>
      </c>
      <c r="T24" s="9">
        <v>897.68298000000004</v>
      </c>
      <c r="U24" s="9">
        <v>870.58</v>
      </c>
      <c r="V24" s="45">
        <f t="shared" si="4"/>
        <v>3.1132095844149877E-2</v>
      </c>
      <c r="W24" s="12">
        <v>1.79</v>
      </c>
      <c r="X24" s="12">
        <v>3.86</v>
      </c>
      <c r="Y24" s="12">
        <v>20210719</v>
      </c>
    </row>
    <row r="25" spans="1:25" x14ac:dyDescent="0.45">
      <c r="A25" s="3" t="s">
        <v>3985</v>
      </c>
      <c r="B25" s="3" t="s">
        <v>3986</v>
      </c>
      <c r="C25" s="6" t="s">
        <v>519</v>
      </c>
      <c r="D25" s="6" t="s">
        <v>175</v>
      </c>
      <c r="E25" s="6" t="s">
        <v>305</v>
      </c>
      <c r="F25" s="6">
        <v>3081.39</v>
      </c>
      <c r="G25" s="2">
        <v>-1.24</v>
      </c>
      <c r="H25" s="2">
        <v>-0.78</v>
      </c>
      <c r="I25" s="2">
        <v>-0.57999999999999996</v>
      </c>
      <c r="J25" s="47">
        <f t="shared" si="0"/>
        <v>0.37096774193548382</v>
      </c>
      <c r="K25" s="47">
        <f t="shared" si="1"/>
        <v>0.2564102564102565</v>
      </c>
      <c r="O25" s="17">
        <f t="shared" si="2"/>
        <v>0</v>
      </c>
      <c r="P25" s="17">
        <f t="shared" si="3"/>
        <v>0</v>
      </c>
      <c r="R25" s="9">
        <v>-27.59</v>
      </c>
      <c r="T25" s="9">
        <v>262.72899999999998</v>
      </c>
      <c r="U25" s="9">
        <v>170.36</v>
      </c>
      <c r="V25" s="45">
        <f t="shared" si="4"/>
        <v>0.54219887297487657</v>
      </c>
      <c r="W25" s="12">
        <v>128.57</v>
      </c>
      <c r="X25" s="12">
        <v>0</v>
      </c>
    </row>
    <row r="26" spans="1:25" x14ac:dyDescent="0.45">
      <c r="A26" s="3" t="s">
        <v>4447</v>
      </c>
      <c r="B26" s="3" t="s">
        <v>4448</v>
      </c>
      <c r="C26" s="6" t="s">
        <v>520</v>
      </c>
      <c r="D26" s="6" t="s">
        <v>309</v>
      </c>
      <c r="E26" s="6" t="s">
        <v>307</v>
      </c>
      <c r="F26" s="6">
        <v>8473.2800000000007</v>
      </c>
      <c r="J26" s="47" t="e">
        <f t="shared" si="0"/>
        <v>#DIV/0!</v>
      </c>
      <c r="K26" s="47" t="e">
        <f t="shared" si="1"/>
        <v>#DIV/0!</v>
      </c>
      <c r="O26" s="17" t="e">
        <f t="shared" si="2"/>
        <v>#DIV/0!</v>
      </c>
      <c r="P26" s="17" t="e">
        <f t="shared" si="3"/>
        <v>#DIV/0!</v>
      </c>
      <c r="R26" s="9">
        <v>-308.33</v>
      </c>
      <c r="S26" s="9">
        <v>-32.590000000000003</v>
      </c>
      <c r="U26" s="9">
        <v>4354.45</v>
      </c>
      <c r="V26" s="45">
        <f t="shared" si="4"/>
        <v>-1</v>
      </c>
      <c r="X26" s="12">
        <v>0</v>
      </c>
      <c r="Y26" s="12">
        <v>20210730</v>
      </c>
    </row>
    <row r="27" spans="1:25" x14ac:dyDescent="0.45">
      <c r="A27" s="3" t="s">
        <v>4449</v>
      </c>
      <c r="B27" s="3" t="s">
        <v>4450</v>
      </c>
      <c r="C27" s="6" t="s">
        <v>520</v>
      </c>
      <c r="D27" s="6" t="s">
        <v>234</v>
      </c>
      <c r="E27" s="6" t="s">
        <v>105</v>
      </c>
      <c r="F27" s="6">
        <v>126693.86</v>
      </c>
      <c r="J27" s="47" t="e">
        <f t="shared" si="0"/>
        <v>#DIV/0!</v>
      </c>
      <c r="K27" s="47" t="e">
        <f t="shared" si="1"/>
        <v>#DIV/0!</v>
      </c>
      <c r="L27" s="8">
        <v>4.1500000000000004</v>
      </c>
      <c r="O27" s="17" t="e">
        <f t="shared" si="2"/>
        <v>#DIV/0!</v>
      </c>
      <c r="P27" s="17" t="e">
        <f t="shared" si="3"/>
        <v>#DIV/0!</v>
      </c>
      <c r="R27" s="9">
        <v>10.18</v>
      </c>
      <c r="U27" s="9">
        <v>148128.59</v>
      </c>
      <c r="V27" s="45">
        <f t="shared" si="4"/>
        <v>-1</v>
      </c>
      <c r="X27" s="12">
        <v>6.45</v>
      </c>
      <c r="Y27" s="12">
        <v>20210830</v>
      </c>
    </row>
    <row r="28" spans="1:25" x14ac:dyDescent="0.45">
      <c r="A28" s="3" t="s">
        <v>32</v>
      </c>
      <c r="B28" s="3" t="s">
        <v>33</v>
      </c>
      <c r="C28" s="6" t="s">
        <v>519</v>
      </c>
      <c r="D28" s="6" t="s">
        <v>234</v>
      </c>
      <c r="E28" s="6" t="s">
        <v>244</v>
      </c>
      <c r="F28" s="6">
        <v>15765.36</v>
      </c>
      <c r="G28" s="2">
        <v>1.32</v>
      </c>
      <c r="H28" s="2">
        <v>3.13</v>
      </c>
      <c r="I28" s="2">
        <v>4.0999999999999996</v>
      </c>
      <c r="J28" s="47">
        <f t="shared" si="0"/>
        <v>1.3712121212121211</v>
      </c>
      <c r="K28" s="47">
        <f t="shared" si="1"/>
        <v>0.30990415335463251</v>
      </c>
      <c r="L28" s="8">
        <v>26.39</v>
      </c>
      <c r="M28" s="8">
        <v>12.46</v>
      </c>
      <c r="N28" s="8">
        <v>9.5299999999999994</v>
      </c>
      <c r="O28" s="17">
        <f t="shared" si="2"/>
        <v>9.0868508287292815E-2</v>
      </c>
      <c r="P28" s="17">
        <f t="shared" si="3"/>
        <v>0.30751443298969078</v>
      </c>
      <c r="Q28" s="5">
        <v>1.25</v>
      </c>
      <c r="R28" s="9">
        <v>4.96</v>
      </c>
      <c r="S28" s="9">
        <v>16.02</v>
      </c>
      <c r="T28" s="9">
        <v>8890.8495999999996</v>
      </c>
      <c r="U28" s="9">
        <v>8525.2800000000007</v>
      </c>
      <c r="V28" s="45">
        <f t="shared" si="4"/>
        <v>4.2880656119212372E-2</v>
      </c>
      <c r="W28" s="12">
        <v>18</v>
      </c>
      <c r="X28" s="12">
        <v>0</v>
      </c>
      <c r="Y28" s="12">
        <v>20210804</v>
      </c>
    </row>
    <row r="29" spans="1:25" x14ac:dyDescent="0.45">
      <c r="A29" s="3" t="s">
        <v>568</v>
      </c>
      <c r="B29" s="3" t="s">
        <v>569</v>
      </c>
      <c r="C29" s="6" t="s">
        <v>518</v>
      </c>
      <c r="D29" s="6" t="s">
        <v>90</v>
      </c>
      <c r="E29" s="6" t="s">
        <v>269</v>
      </c>
      <c r="F29" s="6">
        <v>9253.5300000000007</v>
      </c>
      <c r="G29" s="2">
        <v>0.2</v>
      </c>
      <c r="H29" s="2">
        <v>0.68</v>
      </c>
      <c r="I29" s="2">
        <v>0.83</v>
      </c>
      <c r="J29" s="47">
        <f t="shared" si="0"/>
        <v>2.4</v>
      </c>
      <c r="K29" s="47">
        <f t="shared" si="1"/>
        <v>0.2205882352941175</v>
      </c>
      <c r="M29" s="8">
        <v>19.989999999999998</v>
      </c>
      <c r="N29" s="8">
        <v>16.37</v>
      </c>
      <c r="O29" s="17">
        <f t="shared" si="2"/>
        <v>8.3291666666666667E-2</v>
      </c>
      <c r="P29" s="17">
        <f t="shared" si="3"/>
        <v>0.74210666666666725</v>
      </c>
      <c r="T29" s="9">
        <v>30654.019530000001</v>
      </c>
      <c r="U29" s="9">
        <v>28504.87</v>
      </c>
      <c r="V29" s="45">
        <f t="shared" si="4"/>
        <v>7.539587200362613E-2</v>
      </c>
      <c r="X29" s="12">
        <v>0</v>
      </c>
      <c r="Y29" s="12">
        <v>20210826</v>
      </c>
    </row>
    <row r="30" spans="1:25" x14ac:dyDescent="0.45">
      <c r="A30" s="3" t="s">
        <v>708</v>
      </c>
      <c r="B30" s="3" t="s">
        <v>709</v>
      </c>
      <c r="C30" s="6" t="s">
        <v>519</v>
      </c>
      <c r="D30" s="6" t="s">
        <v>279</v>
      </c>
      <c r="E30" s="6" t="s">
        <v>261</v>
      </c>
      <c r="F30" s="6">
        <v>5938.04</v>
      </c>
      <c r="G30" s="2">
        <v>2.33</v>
      </c>
      <c r="H30" s="2">
        <v>2.46</v>
      </c>
      <c r="I30" s="2">
        <v>2.8</v>
      </c>
      <c r="J30" s="47">
        <f t="shared" si="0"/>
        <v>5.5793991416308968E-2</v>
      </c>
      <c r="K30" s="47">
        <f t="shared" si="1"/>
        <v>0.13821138211382109</v>
      </c>
      <c r="L30" s="8">
        <v>23.47</v>
      </c>
      <c r="M30" s="8">
        <v>26.94</v>
      </c>
      <c r="N30" s="8">
        <v>23.63</v>
      </c>
      <c r="O30" s="17">
        <f t="shared" si="2"/>
        <v>4.8284769230769271</v>
      </c>
      <c r="P30" s="17">
        <f t="shared" si="3"/>
        <v>1.7097000000000007</v>
      </c>
      <c r="Q30" s="5">
        <v>22.64</v>
      </c>
      <c r="R30" s="9">
        <v>10.82</v>
      </c>
      <c r="S30" s="9">
        <v>2.73</v>
      </c>
      <c r="T30" s="9">
        <v>2270.11303</v>
      </c>
      <c r="U30" s="9">
        <v>2089.9299999999998</v>
      </c>
      <c r="V30" s="45">
        <f t="shared" si="4"/>
        <v>8.6214863655720606E-2</v>
      </c>
      <c r="W30" s="12">
        <v>4.4400000000000004</v>
      </c>
      <c r="X30" s="12">
        <v>0</v>
      </c>
      <c r="Y30" s="12">
        <v>20210803</v>
      </c>
    </row>
    <row r="31" spans="1:25" x14ac:dyDescent="0.45">
      <c r="A31" s="3" t="s">
        <v>902</v>
      </c>
      <c r="B31" s="3" t="s">
        <v>903</v>
      </c>
      <c r="C31" s="6" t="s">
        <v>518</v>
      </c>
      <c r="D31" s="6" t="s">
        <v>225</v>
      </c>
      <c r="E31" s="6" t="s">
        <v>206</v>
      </c>
      <c r="F31" s="6">
        <v>9778.1299999999992</v>
      </c>
      <c r="G31" s="2">
        <v>3.13</v>
      </c>
      <c r="H31" s="2">
        <v>1.99</v>
      </c>
      <c r="I31" s="2">
        <v>2.02</v>
      </c>
      <c r="J31" s="47">
        <f t="shared" si="0"/>
        <v>-0.36421725239616609</v>
      </c>
      <c r="K31" s="47">
        <f t="shared" si="1"/>
        <v>1.5075376884422124E-2</v>
      </c>
      <c r="L31" s="8">
        <v>6.53</v>
      </c>
      <c r="M31" s="8">
        <v>10.54</v>
      </c>
      <c r="N31" s="8">
        <v>10.4</v>
      </c>
      <c r="O31" s="17">
        <f t="shared" si="2"/>
        <v>-0.28938771929824564</v>
      </c>
      <c r="P31" s="17">
        <f t="shared" si="3"/>
        <v>6.8986666666666601</v>
      </c>
      <c r="Q31" s="5">
        <v>0.88</v>
      </c>
      <c r="R31" s="9">
        <v>137.75</v>
      </c>
      <c r="T31" s="9">
        <v>66244.914059999996</v>
      </c>
      <c r="U31" s="9">
        <v>69690.399999999994</v>
      </c>
      <c r="V31" s="45">
        <f t="shared" si="4"/>
        <v>-4.9439893299507522E-2</v>
      </c>
      <c r="W31" s="12">
        <v>20</v>
      </c>
      <c r="X31" s="12">
        <v>1.91</v>
      </c>
      <c r="Y31" s="12">
        <v>20210726</v>
      </c>
    </row>
    <row r="32" spans="1:25" x14ac:dyDescent="0.45">
      <c r="A32" s="3" t="s">
        <v>4451</v>
      </c>
      <c r="B32" s="3" t="s">
        <v>4452</v>
      </c>
      <c r="C32" s="6" t="s">
        <v>519</v>
      </c>
      <c r="D32" s="6" t="s">
        <v>189</v>
      </c>
      <c r="E32" s="6" t="s">
        <v>202</v>
      </c>
      <c r="F32" s="6">
        <v>4585.9799999999996</v>
      </c>
      <c r="J32" s="47" t="e">
        <f t="shared" si="0"/>
        <v>#DIV/0!</v>
      </c>
      <c r="K32" s="47" t="e">
        <f t="shared" si="1"/>
        <v>#DIV/0!</v>
      </c>
      <c r="L32" s="8">
        <v>22.7</v>
      </c>
      <c r="O32" s="17" t="e">
        <f t="shared" si="2"/>
        <v>#DIV/0!</v>
      </c>
      <c r="P32" s="17" t="e">
        <f t="shared" si="3"/>
        <v>#DIV/0!</v>
      </c>
      <c r="R32" s="9">
        <v>16.170000000000002</v>
      </c>
      <c r="S32" s="9">
        <v>7.29</v>
      </c>
      <c r="U32" s="9">
        <v>1294.32</v>
      </c>
      <c r="V32" s="45">
        <f t="shared" si="4"/>
        <v>-1</v>
      </c>
      <c r="X32" s="12">
        <v>0</v>
      </c>
      <c r="Y32" s="12">
        <v>20210805</v>
      </c>
    </row>
    <row r="33" spans="1:25" x14ac:dyDescent="0.45">
      <c r="A33" s="3" t="s">
        <v>34</v>
      </c>
      <c r="B33" s="3" t="s">
        <v>35</v>
      </c>
      <c r="C33" s="6" t="s">
        <v>518</v>
      </c>
      <c r="D33" s="6" t="s">
        <v>210</v>
      </c>
      <c r="E33" s="6" t="s">
        <v>215</v>
      </c>
      <c r="F33" s="6">
        <v>9435.02</v>
      </c>
      <c r="G33" s="2">
        <v>2.13</v>
      </c>
      <c r="H33" s="2">
        <v>2.73</v>
      </c>
      <c r="I33" s="2">
        <v>3.13</v>
      </c>
      <c r="J33" s="47">
        <f t="shared" si="0"/>
        <v>0.28169014084507049</v>
      </c>
      <c r="K33" s="47">
        <f t="shared" si="1"/>
        <v>0.1465201465201465</v>
      </c>
      <c r="L33" s="8">
        <v>26.41</v>
      </c>
      <c r="M33" s="8">
        <v>23.61</v>
      </c>
      <c r="N33" s="8">
        <v>20.61</v>
      </c>
      <c r="O33" s="17">
        <f t="shared" si="2"/>
        <v>0.83815499999999987</v>
      </c>
      <c r="P33" s="17">
        <f t="shared" si="3"/>
        <v>1.4066325000000002</v>
      </c>
      <c r="Q33" s="5">
        <v>0.98</v>
      </c>
      <c r="R33" s="9">
        <v>11.49</v>
      </c>
      <c r="S33" s="9">
        <v>-4.72</v>
      </c>
      <c r="T33" s="9">
        <v>13264.695309999999</v>
      </c>
      <c r="U33" s="9">
        <v>13239.98</v>
      </c>
      <c r="V33" s="45">
        <f t="shared" si="4"/>
        <v>1.8667180766133778E-3</v>
      </c>
      <c r="W33" s="12">
        <v>6.35</v>
      </c>
      <c r="X33" s="12">
        <v>0</v>
      </c>
      <c r="Y33" s="12">
        <v>20210803</v>
      </c>
    </row>
    <row r="34" spans="1:25" x14ac:dyDescent="0.45">
      <c r="A34" s="3" t="s">
        <v>36</v>
      </c>
      <c r="B34" s="3" t="s">
        <v>37</v>
      </c>
      <c r="C34" s="6" t="s">
        <v>518</v>
      </c>
      <c r="D34" s="6" t="s">
        <v>175</v>
      </c>
      <c r="E34" s="6" t="s">
        <v>205</v>
      </c>
      <c r="F34" s="6">
        <v>179469.41</v>
      </c>
      <c r="G34" s="2">
        <v>7.64</v>
      </c>
      <c r="H34" s="2">
        <v>8.48</v>
      </c>
      <c r="I34" s="2">
        <v>9.3800000000000008</v>
      </c>
      <c r="J34" s="47">
        <f t="shared" si="0"/>
        <v>0.10994764397905769</v>
      </c>
      <c r="K34" s="47">
        <f t="shared" si="1"/>
        <v>0.10613207547169815</v>
      </c>
      <c r="L34" s="8">
        <v>36.17</v>
      </c>
      <c r="M34" s="8">
        <v>33.28</v>
      </c>
      <c r="N34" s="8">
        <v>30.08</v>
      </c>
      <c r="O34" s="17">
        <f t="shared" si="2"/>
        <v>3.0268952380952356</v>
      </c>
      <c r="P34" s="17">
        <f t="shared" si="3"/>
        <v>2.8342044444444436</v>
      </c>
      <c r="Q34" s="5">
        <v>3.33</v>
      </c>
      <c r="R34" s="9">
        <v>28.53</v>
      </c>
      <c r="S34" s="9">
        <v>6.69</v>
      </c>
      <c r="T34" s="9">
        <v>49127.867180000001</v>
      </c>
      <c r="U34" s="9">
        <v>44327.040000000001</v>
      </c>
      <c r="V34" s="45">
        <f t="shared" si="4"/>
        <v>0.10830470927000765</v>
      </c>
      <c r="W34" s="12">
        <v>6.84</v>
      </c>
      <c r="X34" s="12">
        <v>1.25</v>
      </c>
      <c r="Y34" s="12">
        <v>20210624</v>
      </c>
    </row>
    <row r="35" spans="1:25" x14ac:dyDescent="0.45">
      <c r="A35" s="3" t="s">
        <v>3987</v>
      </c>
      <c r="B35" s="3" t="s">
        <v>3988</v>
      </c>
      <c r="C35" s="6" t="s">
        <v>519</v>
      </c>
      <c r="D35" s="6" t="s">
        <v>303</v>
      </c>
      <c r="E35" s="6" t="s">
        <v>245</v>
      </c>
      <c r="F35" s="6">
        <v>3527.91</v>
      </c>
      <c r="H35" s="2">
        <v>-0.83</v>
      </c>
      <c r="I35" s="2">
        <v>-0.89</v>
      </c>
      <c r="J35" s="47" t="e">
        <f t="shared" si="0"/>
        <v>#DIV/0!</v>
      </c>
      <c r="K35" s="47">
        <f t="shared" si="1"/>
        <v>-7.228915662650609E-2</v>
      </c>
      <c r="O35" s="17" t="e">
        <f t="shared" si="2"/>
        <v>#DIV/0!</v>
      </c>
      <c r="P35" s="17">
        <f t="shared" si="3"/>
        <v>0</v>
      </c>
      <c r="T35" s="9">
        <v>314.11498999999998</v>
      </c>
      <c r="U35" s="9">
        <v>208.36</v>
      </c>
      <c r="V35" s="45">
        <f t="shared" si="4"/>
        <v>0.50755898444999015</v>
      </c>
      <c r="W35" s="12">
        <v>38.549999999999997</v>
      </c>
      <c r="X35" s="12">
        <v>0</v>
      </c>
      <c r="Y35" s="12">
        <v>20210812</v>
      </c>
    </row>
    <row r="36" spans="1:25" x14ac:dyDescent="0.45">
      <c r="A36" s="3" t="s">
        <v>4453</v>
      </c>
      <c r="B36" s="3" t="s">
        <v>4454</v>
      </c>
      <c r="C36" s="6" t="s">
        <v>519</v>
      </c>
      <c r="D36" s="6" t="s">
        <v>234</v>
      </c>
      <c r="E36" s="6" t="s">
        <v>904</v>
      </c>
      <c r="F36" s="6">
        <v>16841.34</v>
      </c>
      <c r="J36" s="47" t="e">
        <f t="shared" si="0"/>
        <v>#DIV/0!</v>
      </c>
      <c r="K36" s="47" t="e">
        <f t="shared" si="1"/>
        <v>#DIV/0!</v>
      </c>
      <c r="O36" s="17" t="e">
        <f t="shared" si="2"/>
        <v>#DIV/0!</v>
      </c>
      <c r="P36" s="17" t="e">
        <f t="shared" si="3"/>
        <v>#DIV/0!</v>
      </c>
      <c r="V36" s="45" t="e">
        <f t="shared" si="4"/>
        <v>#DIV/0!</v>
      </c>
      <c r="X36" s="12">
        <v>1.28</v>
      </c>
    </row>
    <row r="37" spans="1:25" x14ac:dyDescent="0.45">
      <c r="A37" s="3" t="s">
        <v>754</v>
      </c>
      <c r="B37" s="3" t="s">
        <v>38</v>
      </c>
      <c r="C37" s="6" t="s">
        <v>519</v>
      </c>
      <c r="D37" s="6" t="s">
        <v>189</v>
      </c>
      <c r="E37" s="6" t="s">
        <v>202</v>
      </c>
      <c r="F37" s="6">
        <v>246017.03</v>
      </c>
      <c r="G37" s="2">
        <v>9.94</v>
      </c>
      <c r="H37" s="2">
        <v>11.88</v>
      </c>
      <c r="I37" s="2">
        <v>13.69</v>
      </c>
      <c r="J37" s="47">
        <f t="shared" si="0"/>
        <v>0.19517102615694179</v>
      </c>
      <c r="K37" s="47">
        <f t="shared" si="1"/>
        <v>0.15235690235690225</v>
      </c>
      <c r="L37" s="8">
        <v>46.92</v>
      </c>
      <c r="M37" s="8">
        <v>43.31</v>
      </c>
      <c r="N37" s="8">
        <v>37.58</v>
      </c>
      <c r="O37" s="17">
        <f t="shared" si="2"/>
        <v>2.2190793814432976</v>
      </c>
      <c r="P37" s="17">
        <f t="shared" si="3"/>
        <v>2.4665767955801123</v>
      </c>
      <c r="Q37" s="5">
        <v>2.37</v>
      </c>
      <c r="R37" s="9">
        <v>36.299999999999997</v>
      </c>
      <c r="S37" s="9">
        <v>22.53</v>
      </c>
      <c r="T37" s="9">
        <v>15493.59375</v>
      </c>
      <c r="U37" s="9">
        <v>12868</v>
      </c>
      <c r="V37" s="45">
        <f t="shared" si="4"/>
        <v>0.20404054631644389</v>
      </c>
      <c r="W37" s="12">
        <v>12.54</v>
      </c>
      <c r="X37" s="12">
        <v>0</v>
      </c>
      <c r="Y37" s="12">
        <v>20210617</v>
      </c>
    </row>
    <row r="38" spans="1:25" x14ac:dyDescent="0.45">
      <c r="A38" s="3" t="s">
        <v>622</v>
      </c>
      <c r="B38" s="3" t="s">
        <v>623</v>
      </c>
      <c r="C38" s="6" t="s">
        <v>518</v>
      </c>
      <c r="D38" s="6" t="s">
        <v>234</v>
      </c>
      <c r="E38" s="6" t="s">
        <v>288</v>
      </c>
      <c r="F38" s="6">
        <v>4711.5</v>
      </c>
      <c r="G38" s="2">
        <v>3.2</v>
      </c>
      <c r="H38" s="2">
        <v>3.48</v>
      </c>
      <c r="I38" s="2">
        <v>3.72</v>
      </c>
      <c r="J38" s="47">
        <f t="shared" si="0"/>
        <v>8.7499999999999939E-2</v>
      </c>
      <c r="K38" s="47">
        <f t="shared" si="1"/>
        <v>6.8965517241379379E-2</v>
      </c>
      <c r="L38" s="8">
        <v>22.67</v>
      </c>
      <c r="M38" s="8">
        <v>21.11</v>
      </c>
      <c r="N38" s="8">
        <v>19.73</v>
      </c>
      <c r="O38" s="17">
        <f t="shared" si="2"/>
        <v>2.4125714285714301</v>
      </c>
      <c r="P38" s="17">
        <f t="shared" si="3"/>
        <v>2.8608499999999975</v>
      </c>
      <c r="R38" s="9">
        <v>4.0999999999999996</v>
      </c>
      <c r="S38" s="9">
        <v>28.09</v>
      </c>
      <c r="T38" s="9">
        <v>328.29199</v>
      </c>
      <c r="U38" s="9">
        <v>248.57</v>
      </c>
      <c r="V38" s="45">
        <f t="shared" si="4"/>
        <v>0.32072249265800379</v>
      </c>
      <c r="W38" s="12">
        <v>1.2</v>
      </c>
      <c r="X38" s="12">
        <v>3.55</v>
      </c>
      <c r="Y38" s="12">
        <v>20210719</v>
      </c>
    </row>
    <row r="39" spans="1:25" x14ac:dyDescent="0.45">
      <c r="A39" s="3" t="s">
        <v>39</v>
      </c>
      <c r="B39" s="3" t="s">
        <v>40</v>
      </c>
      <c r="C39" s="6" t="s">
        <v>520</v>
      </c>
      <c r="D39" s="6" t="s">
        <v>216</v>
      </c>
      <c r="E39" s="6" t="s">
        <v>302</v>
      </c>
      <c r="F39" s="6">
        <v>70129.64</v>
      </c>
      <c r="G39" s="2">
        <v>1.24</v>
      </c>
      <c r="H39" s="2">
        <v>4.54</v>
      </c>
      <c r="I39" s="2">
        <v>5.86</v>
      </c>
      <c r="J39" s="47">
        <f t="shared" si="0"/>
        <v>2.661290322580645</v>
      </c>
      <c r="K39" s="47">
        <f t="shared" si="1"/>
        <v>0.29074889867841414</v>
      </c>
      <c r="L39" s="8">
        <v>63.9</v>
      </c>
      <c r="M39" s="8">
        <v>39.450000000000003</v>
      </c>
      <c r="N39" s="8">
        <v>30.56</v>
      </c>
      <c r="O39" s="17">
        <f t="shared" si="2"/>
        <v>0.14823636363636364</v>
      </c>
      <c r="P39" s="17">
        <f t="shared" si="3"/>
        <v>1.0510787878787877</v>
      </c>
      <c r="R39" s="9">
        <v>13.77</v>
      </c>
      <c r="S39" s="9">
        <v>2.72</v>
      </c>
      <c r="T39" s="9">
        <v>25941.181639999999</v>
      </c>
      <c r="U39" s="9">
        <v>22665.88</v>
      </c>
      <c r="V39" s="45">
        <f t="shared" si="4"/>
        <v>0.14450361689023314</v>
      </c>
      <c r="W39" s="12">
        <v>47.17</v>
      </c>
      <c r="X39" s="12">
        <v>0.73</v>
      </c>
      <c r="Y39" s="12">
        <v>20210805</v>
      </c>
    </row>
    <row r="40" spans="1:25" x14ac:dyDescent="0.45">
      <c r="A40" s="3" t="s">
        <v>41</v>
      </c>
      <c r="B40" s="3" t="s">
        <v>42</v>
      </c>
      <c r="C40" s="6" t="s">
        <v>519</v>
      </c>
      <c r="D40" s="6" t="s">
        <v>189</v>
      </c>
      <c r="E40" s="6" t="s">
        <v>298</v>
      </c>
      <c r="F40" s="6">
        <v>61361.73</v>
      </c>
      <c r="G40" s="2">
        <v>4.78</v>
      </c>
      <c r="H40" s="2">
        <v>6.27</v>
      </c>
      <c r="I40" s="2">
        <v>6.84</v>
      </c>
      <c r="J40" s="47">
        <f t="shared" si="0"/>
        <v>0.31171548117154796</v>
      </c>
      <c r="K40" s="47">
        <f t="shared" si="1"/>
        <v>9.0909090909090967E-2</v>
      </c>
      <c r="L40" s="8">
        <v>28.78</v>
      </c>
      <c r="M40" s="8">
        <v>26.53</v>
      </c>
      <c r="N40" s="8">
        <v>24.31</v>
      </c>
      <c r="O40" s="17">
        <f t="shared" si="2"/>
        <v>0.85109664429530252</v>
      </c>
      <c r="P40" s="17">
        <f t="shared" si="3"/>
        <v>2.6740999999999979</v>
      </c>
      <c r="Q40" s="5">
        <v>2.17</v>
      </c>
      <c r="R40" s="9">
        <v>17.91</v>
      </c>
      <c r="S40" s="9">
        <v>11.1</v>
      </c>
      <c r="T40" s="9">
        <v>6655.5468700000001</v>
      </c>
      <c r="U40" s="9">
        <v>5603.06</v>
      </c>
      <c r="V40" s="45">
        <f t="shared" si="4"/>
        <v>0.18784144199776545</v>
      </c>
      <c r="W40" s="12">
        <v>6.21</v>
      </c>
      <c r="X40" s="12">
        <v>1.66</v>
      </c>
      <c r="Y40" s="12">
        <v>20210818</v>
      </c>
    </row>
    <row r="41" spans="1:25" x14ac:dyDescent="0.45">
      <c r="A41" s="3" t="s">
        <v>412</v>
      </c>
      <c r="B41" s="3" t="s">
        <v>43</v>
      </c>
      <c r="C41" s="6" t="s">
        <v>518</v>
      </c>
      <c r="D41" s="6" t="s">
        <v>225</v>
      </c>
      <c r="E41" s="6" t="s">
        <v>395</v>
      </c>
      <c r="F41" s="6">
        <v>38053.199999999997</v>
      </c>
      <c r="G41" s="2">
        <v>3.44</v>
      </c>
      <c r="H41" s="2">
        <v>4.51</v>
      </c>
      <c r="I41" s="2">
        <v>4.3499999999999996</v>
      </c>
      <c r="J41" s="47">
        <f t="shared" si="0"/>
        <v>0.31104651162790692</v>
      </c>
      <c r="K41" s="47">
        <f t="shared" si="1"/>
        <v>-3.5476718403547707E-2</v>
      </c>
      <c r="L41" s="8">
        <v>15.69</v>
      </c>
      <c r="M41" s="8">
        <v>15.09</v>
      </c>
      <c r="N41" s="8">
        <v>15.66</v>
      </c>
      <c r="O41" s="17">
        <f t="shared" si="2"/>
        <v>0.48513644859813093</v>
      </c>
      <c r="P41" s="17">
        <f t="shared" si="3"/>
        <v>-4.4141624999999962</v>
      </c>
      <c r="Q41" s="5">
        <v>2.4300000000000002</v>
      </c>
      <c r="R41" s="9">
        <v>12.28</v>
      </c>
      <c r="S41" s="9">
        <v>1.17</v>
      </c>
      <c r="T41" s="9">
        <v>72928.046870000006</v>
      </c>
      <c r="U41" s="9">
        <v>64355</v>
      </c>
      <c r="V41" s="45">
        <f t="shared" si="4"/>
        <v>0.13321493077460966</v>
      </c>
      <c r="W41" s="12">
        <v>39</v>
      </c>
      <c r="X41" s="12">
        <v>2.17</v>
      </c>
      <c r="Y41" s="12">
        <v>20210804</v>
      </c>
    </row>
    <row r="42" spans="1:25" x14ac:dyDescent="0.45">
      <c r="A42" s="3" t="s">
        <v>755</v>
      </c>
      <c r="B42" s="3" t="s">
        <v>756</v>
      </c>
      <c r="C42" s="6" t="s">
        <v>518</v>
      </c>
      <c r="D42" s="6" t="s">
        <v>46</v>
      </c>
      <c r="E42" s="6" t="s">
        <v>80</v>
      </c>
      <c r="F42" s="6">
        <v>4593.6000000000004</v>
      </c>
      <c r="G42" s="2">
        <v>-0.15</v>
      </c>
      <c r="H42" s="2">
        <v>3.49</v>
      </c>
      <c r="I42" s="2">
        <v>5.38</v>
      </c>
      <c r="J42" s="47">
        <f t="shared" si="0"/>
        <v>24.266666666666669</v>
      </c>
      <c r="K42" s="47">
        <f t="shared" si="1"/>
        <v>0.54154727793696267</v>
      </c>
      <c r="L42" s="8">
        <v>39.64</v>
      </c>
      <c r="M42" s="8">
        <v>13.98</v>
      </c>
      <c r="N42" s="8">
        <v>9.07</v>
      </c>
      <c r="O42" s="17">
        <f t="shared" si="2"/>
        <v>5.7609890109890103E-3</v>
      </c>
      <c r="P42" s="17">
        <f t="shared" si="3"/>
        <v>0.16748306878306882</v>
      </c>
      <c r="Q42" s="5">
        <v>0.46</v>
      </c>
      <c r="R42" s="9">
        <v>7.12</v>
      </c>
      <c r="S42" s="9">
        <v>-5.58</v>
      </c>
      <c r="T42" s="9">
        <v>14830.9121</v>
      </c>
      <c r="U42" s="9">
        <v>12670</v>
      </c>
      <c r="V42" s="45">
        <f t="shared" si="4"/>
        <v>0.17055344119968427</v>
      </c>
      <c r="W42" s="12">
        <v>94.92</v>
      </c>
      <c r="X42" s="12">
        <v>0</v>
      </c>
      <c r="Y42" s="12">
        <v>20210805</v>
      </c>
    </row>
    <row r="43" spans="1:25" x14ac:dyDescent="0.45">
      <c r="A43" s="3" t="s">
        <v>44</v>
      </c>
      <c r="B43" s="3" t="s">
        <v>45</v>
      </c>
      <c r="C43" s="6" t="s">
        <v>519</v>
      </c>
      <c r="D43" s="6" t="s">
        <v>175</v>
      </c>
      <c r="E43" s="6" t="s">
        <v>281</v>
      </c>
      <c r="F43" s="6">
        <v>84333.48</v>
      </c>
      <c r="G43" s="2">
        <v>5.75</v>
      </c>
      <c r="H43" s="2">
        <v>5.95</v>
      </c>
      <c r="I43" s="2">
        <v>6.53</v>
      </c>
      <c r="J43" s="47">
        <f t="shared" si="0"/>
        <v>3.4782608695652202E-2</v>
      </c>
      <c r="K43" s="47">
        <f t="shared" si="1"/>
        <v>9.747899159663867E-2</v>
      </c>
      <c r="L43" s="8">
        <v>33.25</v>
      </c>
      <c r="M43" s="8">
        <v>33.31</v>
      </c>
      <c r="N43" s="8">
        <v>30.34</v>
      </c>
      <c r="O43" s="17">
        <f t="shared" si="2"/>
        <v>9.5766249999999928</v>
      </c>
      <c r="P43" s="17">
        <f t="shared" si="3"/>
        <v>3.1124655172413789</v>
      </c>
      <c r="Q43" s="5">
        <v>2.78</v>
      </c>
      <c r="R43" s="9">
        <v>44.23</v>
      </c>
      <c r="S43" s="9">
        <v>5.43</v>
      </c>
      <c r="T43" s="9">
        <v>14923.962890000001</v>
      </c>
      <c r="U43" s="9">
        <v>14589.8</v>
      </c>
      <c r="V43" s="45">
        <f t="shared" si="4"/>
        <v>2.2903870512275798E-2</v>
      </c>
      <c r="W43" s="12">
        <v>3.85</v>
      </c>
      <c r="X43" s="12">
        <v>1.88</v>
      </c>
      <c r="Y43" s="12">
        <v>20210804</v>
      </c>
    </row>
    <row r="44" spans="1:25" x14ac:dyDescent="0.45">
      <c r="A44" s="3" t="s">
        <v>595</v>
      </c>
      <c r="B44" s="3" t="s">
        <v>596</v>
      </c>
      <c r="C44" s="6" t="s">
        <v>519</v>
      </c>
      <c r="D44" s="6" t="s">
        <v>279</v>
      </c>
      <c r="E44" s="6" t="s">
        <v>256</v>
      </c>
      <c r="F44" s="6">
        <v>5025.9399999999996</v>
      </c>
      <c r="G44" s="2">
        <v>-1.08</v>
      </c>
      <c r="H44" s="2">
        <v>-1.55</v>
      </c>
      <c r="I44" s="2">
        <v>-1.39</v>
      </c>
      <c r="J44" s="47">
        <f t="shared" si="0"/>
        <v>-0.43518518518518512</v>
      </c>
      <c r="K44" s="47">
        <f t="shared" si="1"/>
        <v>0.10322580645161299</v>
      </c>
      <c r="O44" s="17">
        <f t="shared" si="2"/>
        <v>0</v>
      </c>
      <c r="P44" s="17">
        <f t="shared" si="3"/>
        <v>0</v>
      </c>
      <c r="R44" s="9">
        <v>-22.42</v>
      </c>
      <c r="T44" s="9">
        <v>149.72</v>
      </c>
      <c r="U44" s="9">
        <v>98.38</v>
      </c>
      <c r="V44" s="45">
        <f t="shared" si="4"/>
        <v>0.52185403537304331</v>
      </c>
      <c r="W44" s="12">
        <v>29.27</v>
      </c>
      <c r="X44" s="12">
        <v>0</v>
      </c>
      <c r="Y44" s="12">
        <v>20210809</v>
      </c>
    </row>
    <row r="45" spans="1:25" x14ac:dyDescent="0.45">
      <c r="A45" s="3" t="s">
        <v>3729</v>
      </c>
      <c r="B45" s="3" t="s">
        <v>3730</v>
      </c>
      <c r="C45" s="6" t="s">
        <v>520</v>
      </c>
      <c r="D45" s="6" t="s">
        <v>225</v>
      </c>
      <c r="E45" s="6" t="s">
        <v>206</v>
      </c>
      <c r="F45" s="6">
        <v>31117.89</v>
      </c>
      <c r="G45" s="2">
        <v>2.71</v>
      </c>
      <c r="H45" s="2">
        <v>2.38</v>
      </c>
      <c r="I45" s="2">
        <v>2.38</v>
      </c>
      <c r="J45" s="47">
        <f t="shared" si="0"/>
        <v>-0.12177121771217715</v>
      </c>
      <c r="K45" s="47">
        <f t="shared" si="1"/>
        <v>0</v>
      </c>
      <c r="L45" s="8">
        <v>11.56</v>
      </c>
      <c r="M45" s="8">
        <v>12.51</v>
      </c>
      <c r="N45" s="8">
        <v>12.51</v>
      </c>
      <c r="O45" s="17">
        <f t="shared" si="2"/>
        <v>-1.0273363636363633</v>
      </c>
      <c r="P45" s="17" t="e">
        <f t="shared" si="3"/>
        <v>#DIV/0!</v>
      </c>
      <c r="Q45" s="5">
        <v>5.37</v>
      </c>
      <c r="R45" s="9">
        <v>17.850000000000001</v>
      </c>
      <c r="S45" s="9">
        <v>11.14</v>
      </c>
      <c r="T45" s="9">
        <v>86850.78125</v>
      </c>
      <c r="U45" s="9">
        <v>85363.68</v>
      </c>
      <c r="V45" s="45">
        <f t="shared" si="4"/>
        <v>1.7420772511213285E-2</v>
      </c>
      <c r="W45" s="12">
        <v>-4.92</v>
      </c>
      <c r="X45" s="12">
        <v>2.62</v>
      </c>
      <c r="Y45" s="12">
        <v>20210804</v>
      </c>
    </row>
    <row r="46" spans="1:25" x14ac:dyDescent="0.45">
      <c r="A46" s="3" t="s">
        <v>570</v>
      </c>
      <c r="B46" s="3" t="s">
        <v>571</v>
      </c>
      <c r="C46" s="6" t="s">
        <v>520</v>
      </c>
      <c r="D46" s="6" t="s">
        <v>272</v>
      </c>
      <c r="E46" s="6" t="s">
        <v>233</v>
      </c>
      <c r="F46" s="6">
        <v>6173.7</v>
      </c>
      <c r="G46" s="2">
        <v>0.6</v>
      </c>
      <c r="H46" s="2">
        <v>0.85</v>
      </c>
      <c r="I46" s="2">
        <v>0.93</v>
      </c>
      <c r="J46" s="47">
        <f t="shared" si="0"/>
        <v>0.41666666666666669</v>
      </c>
      <c r="K46" s="47">
        <f t="shared" si="1"/>
        <v>9.4117647058823611E-2</v>
      </c>
      <c r="L46" s="8">
        <v>24.73</v>
      </c>
      <c r="M46" s="8">
        <v>13.97</v>
      </c>
      <c r="N46" s="8">
        <v>12.77</v>
      </c>
      <c r="O46" s="17">
        <f t="shared" si="2"/>
        <v>0.33527999999999997</v>
      </c>
      <c r="P46" s="17">
        <f t="shared" si="3"/>
        <v>1.3568124999999989</v>
      </c>
      <c r="R46" s="9">
        <v>17.36</v>
      </c>
      <c r="S46" s="9">
        <v>3.83</v>
      </c>
      <c r="T46" s="9">
        <v>7793.8798800000004</v>
      </c>
      <c r="U46" s="9">
        <v>7652.29</v>
      </c>
      <c r="V46" s="45">
        <f t="shared" si="4"/>
        <v>1.8502942256501054E-2</v>
      </c>
      <c r="X46" s="12">
        <v>1.87</v>
      </c>
      <c r="Y46" s="12">
        <v>20210611</v>
      </c>
    </row>
    <row r="47" spans="1:25" x14ac:dyDescent="0.45">
      <c r="A47" s="3" t="s">
        <v>757</v>
      </c>
      <c r="B47" s="3" t="s">
        <v>758</v>
      </c>
      <c r="C47" s="6" t="s">
        <v>518</v>
      </c>
      <c r="D47" s="6" t="s">
        <v>175</v>
      </c>
      <c r="E47" s="6" t="s">
        <v>224</v>
      </c>
      <c r="F47" s="6">
        <v>5742.09</v>
      </c>
      <c r="G47" s="2">
        <v>8.57</v>
      </c>
      <c r="H47" s="2">
        <v>15.21</v>
      </c>
      <c r="I47" s="2">
        <v>14.78</v>
      </c>
      <c r="J47" s="47">
        <f t="shared" si="0"/>
        <v>0.7747957992998834</v>
      </c>
      <c r="K47" s="47">
        <f t="shared" si="1"/>
        <v>-2.8270874424720677E-2</v>
      </c>
      <c r="L47" s="8">
        <v>7.75</v>
      </c>
      <c r="M47" s="8">
        <v>7.59</v>
      </c>
      <c r="N47" s="8">
        <v>7.81</v>
      </c>
      <c r="O47" s="17">
        <f t="shared" si="2"/>
        <v>9.7961295180722871E-2</v>
      </c>
      <c r="P47" s="17">
        <f t="shared" si="3"/>
        <v>-2.7625604651162696</v>
      </c>
      <c r="Q47" s="5">
        <v>0.42</v>
      </c>
      <c r="R47" s="9">
        <v>49.06</v>
      </c>
      <c r="S47" s="9">
        <v>-9.91</v>
      </c>
      <c r="T47" s="9">
        <v>4370.3120099999996</v>
      </c>
      <c r="U47" s="9">
        <v>4521.3999999999996</v>
      </c>
      <c r="V47" s="45">
        <f t="shared" si="4"/>
        <v>-3.341619631087716E-2</v>
      </c>
      <c r="W47" s="12">
        <v>94.43</v>
      </c>
      <c r="X47" s="12">
        <v>0.73</v>
      </c>
      <c r="Y47" s="12">
        <v>20210722</v>
      </c>
    </row>
    <row r="48" spans="1:25" x14ac:dyDescent="0.45">
      <c r="A48" s="3" t="s">
        <v>47</v>
      </c>
      <c r="B48" s="3" t="s">
        <v>48</v>
      </c>
      <c r="C48" s="6" t="s">
        <v>519</v>
      </c>
      <c r="D48" s="6" t="s">
        <v>189</v>
      </c>
      <c r="E48" s="6" t="s">
        <v>202</v>
      </c>
      <c r="F48" s="6">
        <v>60613.66</v>
      </c>
      <c r="G48" s="2">
        <v>3.94</v>
      </c>
      <c r="H48" s="2">
        <v>4.88</v>
      </c>
      <c r="I48" s="2">
        <v>6.95</v>
      </c>
      <c r="J48" s="47">
        <f t="shared" si="0"/>
        <v>0.23857868020304568</v>
      </c>
      <c r="K48" s="47">
        <f t="shared" si="1"/>
        <v>0.42418032786885251</v>
      </c>
      <c r="L48" s="8">
        <v>65.13</v>
      </c>
      <c r="M48" s="8">
        <v>56.51</v>
      </c>
      <c r="N48" s="8">
        <v>39.67</v>
      </c>
      <c r="O48" s="17">
        <f t="shared" si="2"/>
        <v>2.3686106382978722</v>
      </c>
      <c r="P48" s="17">
        <f t="shared" si="3"/>
        <v>0.93521545893719804</v>
      </c>
      <c r="Q48" s="5">
        <v>1.61</v>
      </c>
      <c r="R48" s="9">
        <v>104.82</v>
      </c>
      <c r="S48" s="9">
        <v>16.649999999999999</v>
      </c>
      <c r="T48" s="9">
        <v>4341.1489199999996</v>
      </c>
      <c r="U48" s="9">
        <v>3790.4</v>
      </c>
      <c r="V48" s="45">
        <f t="shared" si="4"/>
        <v>0.14530100253271411</v>
      </c>
      <c r="W48" s="12">
        <v>9.57</v>
      </c>
      <c r="X48" s="12">
        <v>0</v>
      </c>
      <c r="Y48" s="12">
        <v>20210824</v>
      </c>
    </row>
    <row r="49" spans="1:25" x14ac:dyDescent="0.45">
      <c r="A49" s="3" t="s">
        <v>597</v>
      </c>
      <c r="B49" s="3" t="s">
        <v>598</v>
      </c>
      <c r="C49" s="6" t="s">
        <v>518</v>
      </c>
      <c r="D49" s="6" t="s">
        <v>272</v>
      </c>
      <c r="E49" s="6" t="s">
        <v>297</v>
      </c>
      <c r="F49" s="6">
        <v>9439.58</v>
      </c>
      <c r="G49" s="2">
        <v>1.08</v>
      </c>
      <c r="H49" s="2">
        <v>0.74</v>
      </c>
      <c r="I49" s="2">
        <v>1.08</v>
      </c>
      <c r="J49" s="47">
        <f t="shared" si="0"/>
        <v>-0.31481481481481488</v>
      </c>
      <c r="K49" s="47">
        <f t="shared" si="1"/>
        <v>0.4594594594594596</v>
      </c>
      <c r="M49" s="8">
        <v>15.55</v>
      </c>
      <c r="N49" s="8">
        <v>10.66</v>
      </c>
      <c r="O49" s="17">
        <f t="shared" si="2"/>
        <v>-0.49394117647058816</v>
      </c>
      <c r="P49" s="17">
        <f t="shared" si="3"/>
        <v>0.23201176470588231</v>
      </c>
      <c r="Q49" s="5">
        <v>1.92</v>
      </c>
      <c r="R49" s="9">
        <v>-8.8000000000000007</v>
      </c>
      <c r="S49" s="9">
        <v>7.67</v>
      </c>
      <c r="T49" s="9">
        <v>5240.7997999999998</v>
      </c>
      <c r="U49" s="9">
        <v>5315</v>
      </c>
      <c r="V49" s="45">
        <f t="shared" si="4"/>
        <v>-1.3960526810912553E-2</v>
      </c>
      <c r="W49" s="12">
        <v>-146.66999999999999</v>
      </c>
      <c r="X49" s="12">
        <v>1.22</v>
      </c>
      <c r="Y49" s="12">
        <v>20210804</v>
      </c>
    </row>
    <row r="50" spans="1:25" x14ac:dyDescent="0.45">
      <c r="A50" s="3" t="s">
        <v>49</v>
      </c>
      <c r="B50" s="3" t="s">
        <v>50</v>
      </c>
      <c r="C50" s="6" t="s">
        <v>518</v>
      </c>
      <c r="D50" s="6" t="s">
        <v>327</v>
      </c>
      <c r="E50" s="6" t="s">
        <v>321</v>
      </c>
      <c r="F50" s="6">
        <v>21813.97</v>
      </c>
      <c r="G50" s="2">
        <v>3.46</v>
      </c>
      <c r="H50" s="2">
        <v>3.77</v>
      </c>
      <c r="I50" s="2">
        <v>4.0199999999999996</v>
      </c>
      <c r="J50" s="47">
        <f t="shared" si="0"/>
        <v>8.9595375722543363E-2</v>
      </c>
      <c r="K50" s="47">
        <f t="shared" si="1"/>
        <v>6.6312997347479988E-2</v>
      </c>
      <c r="L50" s="8">
        <v>22.35</v>
      </c>
      <c r="M50" s="8">
        <v>22.62</v>
      </c>
      <c r="N50" s="8">
        <v>21.24</v>
      </c>
      <c r="O50" s="17">
        <f t="shared" si="2"/>
        <v>2.5246838709677419</v>
      </c>
      <c r="P50" s="17">
        <f t="shared" si="3"/>
        <v>3.2029920000000054</v>
      </c>
      <c r="Q50" s="5">
        <v>3.08</v>
      </c>
      <c r="R50" s="9">
        <v>10.84</v>
      </c>
      <c r="S50" s="9">
        <v>-1.18</v>
      </c>
      <c r="T50" s="9">
        <v>6146.0131799999999</v>
      </c>
      <c r="U50" s="9">
        <v>5794</v>
      </c>
      <c r="V50" s="45">
        <f t="shared" si="4"/>
        <v>6.0754777355885387E-2</v>
      </c>
      <c r="W50" s="12">
        <v>15.19</v>
      </c>
      <c r="X50" s="12">
        <v>2.58</v>
      </c>
      <c r="Y50" s="12">
        <v>20210805</v>
      </c>
    </row>
    <row r="51" spans="1:25" x14ac:dyDescent="0.45">
      <c r="A51" s="3" t="s">
        <v>710</v>
      </c>
      <c r="B51" s="3" t="s">
        <v>711</v>
      </c>
      <c r="C51" s="6" t="s">
        <v>519</v>
      </c>
      <c r="D51" s="6" t="s">
        <v>189</v>
      </c>
      <c r="E51" s="6" t="s">
        <v>300</v>
      </c>
      <c r="F51" s="6">
        <v>3899.18</v>
      </c>
      <c r="G51" s="2">
        <v>5.0999999999999996</v>
      </c>
      <c r="H51" s="2">
        <v>5.61</v>
      </c>
      <c r="I51" s="2">
        <v>6.55</v>
      </c>
      <c r="J51" s="47">
        <f t="shared" si="0"/>
        <v>0.10000000000000014</v>
      </c>
      <c r="K51" s="47">
        <f t="shared" si="1"/>
        <v>0.16755793226381452</v>
      </c>
      <c r="L51" s="8">
        <v>18.059999999999999</v>
      </c>
      <c r="M51" s="8">
        <v>18.079999999999998</v>
      </c>
      <c r="N51" s="8">
        <v>15.51</v>
      </c>
      <c r="O51" s="17">
        <f t="shared" si="2"/>
        <v>1.8079999999999972</v>
      </c>
      <c r="P51" s="17">
        <f t="shared" si="3"/>
        <v>0.92565000000000053</v>
      </c>
      <c r="R51" s="9">
        <v>26.01</v>
      </c>
      <c r="S51" s="9">
        <v>25.12</v>
      </c>
      <c r="T51" s="9">
        <v>1495.8000400000001</v>
      </c>
      <c r="U51" s="9">
        <v>1415.83</v>
      </c>
      <c r="V51" s="45">
        <f t="shared" si="4"/>
        <v>5.6482798076040314E-2</v>
      </c>
      <c r="W51" s="12">
        <v>1.57</v>
      </c>
      <c r="X51" s="12">
        <v>0.39</v>
      </c>
      <c r="Y51" s="12">
        <v>20210804</v>
      </c>
    </row>
    <row r="52" spans="1:25" x14ac:dyDescent="0.45">
      <c r="A52" s="3" t="s">
        <v>3989</v>
      </c>
      <c r="B52" s="3" t="s">
        <v>3990</v>
      </c>
      <c r="C52" s="6" t="s">
        <v>518</v>
      </c>
      <c r="D52" s="6" t="s">
        <v>234</v>
      </c>
      <c r="E52" s="6" t="s">
        <v>241</v>
      </c>
      <c r="F52" s="6">
        <v>3080.43</v>
      </c>
      <c r="G52" s="2">
        <v>0.97</v>
      </c>
      <c r="H52" s="2">
        <v>2.95</v>
      </c>
      <c r="I52" s="2">
        <v>4.78</v>
      </c>
      <c r="J52" s="47">
        <f t="shared" si="0"/>
        <v>2.0412371134020622</v>
      </c>
      <c r="K52" s="47">
        <f t="shared" si="1"/>
        <v>0.62033898305084745</v>
      </c>
      <c r="L52" s="8">
        <v>10.09</v>
      </c>
      <c r="M52" s="8">
        <v>10.94</v>
      </c>
      <c r="N52" s="8">
        <v>6.75</v>
      </c>
      <c r="O52" s="17">
        <f t="shared" si="2"/>
        <v>5.359494949494948E-2</v>
      </c>
      <c r="P52" s="17">
        <f t="shared" si="3"/>
        <v>0.10881147540983606</v>
      </c>
      <c r="R52" s="9">
        <v>5.56</v>
      </c>
      <c r="S52" s="9">
        <v>14.22</v>
      </c>
      <c r="T52" s="9">
        <v>2019.0260000000001</v>
      </c>
      <c r="U52" s="9">
        <v>2424.65</v>
      </c>
      <c r="V52" s="45">
        <f t="shared" si="4"/>
        <v>-0.1672917740704844</v>
      </c>
      <c r="W52" s="12">
        <v>-27.12</v>
      </c>
      <c r="X52" s="12">
        <v>0.99</v>
      </c>
      <c r="Y52" s="12">
        <v>20210804</v>
      </c>
    </row>
    <row r="53" spans="1:25" x14ac:dyDescent="0.45">
      <c r="A53" s="3" t="s">
        <v>51</v>
      </c>
      <c r="B53" s="3" t="s">
        <v>52</v>
      </c>
      <c r="C53" s="6" t="s">
        <v>518</v>
      </c>
      <c r="D53" s="6" t="s">
        <v>90</v>
      </c>
      <c r="E53" s="6" t="s">
        <v>267</v>
      </c>
      <c r="F53" s="6">
        <v>17241.23</v>
      </c>
      <c r="G53" s="2">
        <v>1.86</v>
      </c>
      <c r="H53" s="2">
        <v>2.63</v>
      </c>
      <c r="I53" s="2">
        <v>2.84</v>
      </c>
      <c r="J53" s="47">
        <f t="shared" si="0"/>
        <v>0.41397849462365577</v>
      </c>
      <c r="K53" s="47">
        <f t="shared" si="1"/>
        <v>7.9847908745247137E-2</v>
      </c>
      <c r="L53" s="8">
        <v>30.74</v>
      </c>
      <c r="M53" s="8">
        <v>26.86</v>
      </c>
      <c r="N53" s="8">
        <v>24.93</v>
      </c>
      <c r="O53" s="17">
        <f t="shared" si="2"/>
        <v>0.64882597402597419</v>
      </c>
      <c r="P53" s="17">
        <f t="shared" si="3"/>
        <v>3.122185714285715</v>
      </c>
      <c r="Q53" s="5">
        <v>26.86</v>
      </c>
      <c r="R53" s="9">
        <v>10.11</v>
      </c>
      <c r="S53" s="9">
        <v>8.36</v>
      </c>
      <c r="T53" s="9">
        <v>3806.6100999999999</v>
      </c>
      <c r="U53" s="9">
        <v>3138.11</v>
      </c>
      <c r="V53" s="45">
        <f t="shared" si="4"/>
        <v>0.21302634388214553</v>
      </c>
      <c r="W53" s="12">
        <v>19.64</v>
      </c>
      <c r="X53" s="12">
        <v>0.78</v>
      </c>
      <c r="Y53" s="12">
        <v>20210804</v>
      </c>
    </row>
    <row r="54" spans="1:25" x14ac:dyDescent="0.45">
      <c r="A54" s="3" t="s">
        <v>759</v>
      </c>
      <c r="B54" s="3" t="s">
        <v>760</v>
      </c>
      <c r="C54" s="6" t="s">
        <v>518</v>
      </c>
      <c r="D54" s="6" t="s">
        <v>303</v>
      </c>
      <c r="E54" s="6" t="s">
        <v>290</v>
      </c>
      <c r="F54" s="6">
        <v>5648.7</v>
      </c>
      <c r="G54" s="2">
        <v>-0.09</v>
      </c>
      <c r="H54" s="2">
        <v>2.06</v>
      </c>
      <c r="I54" s="2">
        <v>2.2400000000000002</v>
      </c>
      <c r="J54" s="47">
        <f t="shared" si="0"/>
        <v>23.888888888888889</v>
      </c>
      <c r="K54" s="47">
        <f t="shared" si="1"/>
        <v>8.7378640776699101E-2</v>
      </c>
      <c r="L54" s="8">
        <v>28.3</v>
      </c>
      <c r="M54" s="8">
        <v>16.34</v>
      </c>
      <c r="N54" s="8">
        <v>15.02</v>
      </c>
      <c r="O54" s="17">
        <f t="shared" si="2"/>
        <v>6.8399999999999989E-3</v>
      </c>
      <c r="P54" s="17">
        <f t="shared" si="3"/>
        <v>1.7189555555555542</v>
      </c>
      <c r="R54" s="9">
        <v>21.66</v>
      </c>
      <c r="S54" s="9">
        <v>2.69</v>
      </c>
      <c r="T54" s="9">
        <v>4935.7900300000001</v>
      </c>
      <c r="U54" s="9">
        <v>3759.11</v>
      </c>
      <c r="V54" s="45">
        <f t="shared" si="4"/>
        <v>0.31302090920457232</v>
      </c>
      <c r="W54" s="12">
        <v>6.67</v>
      </c>
      <c r="X54" s="12">
        <v>1.63</v>
      </c>
      <c r="Y54" s="12">
        <v>20210908</v>
      </c>
    </row>
    <row r="55" spans="1:25" x14ac:dyDescent="0.45">
      <c r="A55" s="3" t="s">
        <v>53</v>
      </c>
      <c r="B55" s="3" t="s">
        <v>54</v>
      </c>
      <c r="C55" s="6" t="s">
        <v>519</v>
      </c>
      <c r="D55" s="6" t="s">
        <v>327</v>
      </c>
      <c r="E55" s="6" t="s">
        <v>321</v>
      </c>
      <c r="F55" s="6">
        <v>42203.92</v>
      </c>
      <c r="G55" s="2">
        <v>4.34</v>
      </c>
      <c r="H55" s="2">
        <v>4.68</v>
      </c>
      <c r="I55" s="2">
        <v>4.96</v>
      </c>
      <c r="J55" s="47">
        <f t="shared" si="0"/>
        <v>7.8341013824884759E-2</v>
      </c>
      <c r="K55" s="47">
        <f t="shared" si="1"/>
        <v>5.9829059829059887E-2</v>
      </c>
      <c r="L55" s="8">
        <v>18.48</v>
      </c>
      <c r="M55" s="8">
        <v>18.059999999999999</v>
      </c>
      <c r="N55" s="8">
        <v>17.010000000000002</v>
      </c>
      <c r="O55" s="17">
        <f t="shared" si="2"/>
        <v>2.305305882352942</v>
      </c>
      <c r="P55" s="17">
        <f t="shared" si="3"/>
        <v>2.8430999999999975</v>
      </c>
      <c r="Q55" s="5">
        <v>3.07</v>
      </c>
      <c r="R55" s="9">
        <v>10.93</v>
      </c>
      <c r="S55" s="9">
        <v>-1.29</v>
      </c>
      <c r="T55" s="9">
        <v>16102.530269999999</v>
      </c>
      <c r="U55" s="9">
        <v>14942.5</v>
      </c>
      <c r="V55" s="45">
        <f t="shared" si="4"/>
        <v>7.7632944286431277E-2</v>
      </c>
      <c r="W55" s="12">
        <v>-6.5</v>
      </c>
      <c r="X55" s="12">
        <v>3.51</v>
      </c>
      <c r="Y55" s="12">
        <v>20210805</v>
      </c>
    </row>
    <row r="56" spans="1:25" x14ac:dyDescent="0.45">
      <c r="A56" s="3" t="s">
        <v>599</v>
      </c>
      <c r="B56" s="3" t="s">
        <v>600</v>
      </c>
      <c r="C56" s="6" t="s">
        <v>518</v>
      </c>
      <c r="D56" s="6" t="s">
        <v>234</v>
      </c>
      <c r="E56" s="6" t="s">
        <v>601</v>
      </c>
      <c r="F56" s="6">
        <v>7522.69</v>
      </c>
      <c r="G56" s="2">
        <v>-1.89</v>
      </c>
      <c r="H56" s="2">
        <v>5.85</v>
      </c>
      <c r="I56" s="2">
        <v>7.25</v>
      </c>
      <c r="J56" s="47">
        <f t="shared" si="0"/>
        <v>4.0952380952380949</v>
      </c>
      <c r="K56" s="47">
        <f t="shared" si="1"/>
        <v>0.23931623931623938</v>
      </c>
      <c r="L56" s="8">
        <v>9.44</v>
      </c>
      <c r="M56" s="8">
        <v>9.86</v>
      </c>
      <c r="N56" s="8">
        <v>7.96</v>
      </c>
      <c r="O56" s="17">
        <f t="shared" si="2"/>
        <v>2.4076744186046512E-2</v>
      </c>
      <c r="P56" s="17">
        <f t="shared" si="3"/>
        <v>0.33261428571428558</v>
      </c>
      <c r="Q56" s="5">
        <v>0.53</v>
      </c>
      <c r="R56" s="9">
        <v>8.56</v>
      </c>
      <c r="S56" s="9">
        <v>-2.54</v>
      </c>
      <c r="T56" s="9">
        <v>4157.0151299999998</v>
      </c>
      <c r="U56" s="9">
        <v>4493.63</v>
      </c>
      <c r="V56" s="45">
        <f t="shared" si="4"/>
        <v>-7.4909342780780874E-2</v>
      </c>
      <c r="W56" s="12">
        <v>72.319999999999993</v>
      </c>
      <c r="X56" s="12">
        <v>0</v>
      </c>
      <c r="Y56" s="12">
        <v>20210804</v>
      </c>
    </row>
    <row r="57" spans="1:25" x14ac:dyDescent="0.45">
      <c r="A57" s="3" t="s">
        <v>55</v>
      </c>
      <c r="B57" s="3" t="s">
        <v>56</v>
      </c>
      <c r="C57" s="6" t="s">
        <v>518</v>
      </c>
      <c r="D57" s="6" t="s">
        <v>327</v>
      </c>
      <c r="E57" s="6" t="s">
        <v>321</v>
      </c>
      <c r="F57" s="6">
        <v>16789.689999999999</v>
      </c>
      <c r="G57" s="2">
        <v>1.41</v>
      </c>
      <c r="H57" s="2">
        <v>1.55</v>
      </c>
      <c r="I57" s="2">
        <v>1.69</v>
      </c>
      <c r="J57" s="47">
        <f t="shared" si="0"/>
        <v>9.9290780141844059E-2</v>
      </c>
      <c r="K57" s="47">
        <f t="shared" si="1"/>
        <v>9.032258064516123E-2</v>
      </c>
      <c r="L57" s="8">
        <v>17.62</v>
      </c>
      <c r="M57" s="8">
        <v>16.23</v>
      </c>
      <c r="N57" s="8">
        <v>14.93</v>
      </c>
      <c r="O57" s="17">
        <f t="shared" si="2"/>
        <v>1.6345928571428558</v>
      </c>
      <c r="P57" s="17">
        <f t="shared" si="3"/>
        <v>1.6529642857142868</v>
      </c>
      <c r="Q57" s="5">
        <v>2</v>
      </c>
      <c r="R57" s="9">
        <v>26.18</v>
      </c>
      <c r="S57" s="9">
        <v>-9.16</v>
      </c>
      <c r="T57" s="9">
        <v>9959.0097600000008</v>
      </c>
      <c r="U57" s="9">
        <v>9660</v>
      </c>
      <c r="V57" s="45">
        <f t="shared" si="4"/>
        <v>3.0953391304347912E-2</v>
      </c>
      <c r="W57" s="12">
        <v>-6.67</v>
      </c>
      <c r="X57" s="12">
        <v>2.39</v>
      </c>
      <c r="Y57" s="12">
        <v>20210805</v>
      </c>
    </row>
    <row r="58" spans="1:25" x14ac:dyDescent="0.45">
      <c r="A58" s="3" t="s">
        <v>4455</v>
      </c>
      <c r="B58" s="3" t="s">
        <v>4456</v>
      </c>
      <c r="C58" s="6" t="s">
        <v>520</v>
      </c>
      <c r="D58" s="6" t="s">
        <v>175</v>
      </c>
      <c r="E58" s="6" t="s">
        <v>305</v>
      </c>
      <c r="F58" s="6">
        <v>7100.06</v>
      </c>
      <c r="J58" s="47" t="e">
        <f t="shared" si="0"/>
        <v>#DIV/0!</v>
      </c>
      <c r="K58" s="47" t="e">
        <f t="shared" si="1"/>
        <v>#DIV/0!</v>
      </c>
      <c r="O58" s="17" t="e">
        <f t="shared" si="2"/>
        <v>#DIV/0!</v>
      </c>
      <c r="P58" s="17" t="e">
        <f t="shared" si="3"/>
        <v>#DIV/0!</v>
      </c>
      <c r="U58" s="9">
        <v>12770.97</v>
      </c>
      <c r="V58" s="45">
        <f t="shared" si="4"/>
        <v>-1</v>
      </c>
      <c r="X58" s="12">
        <v>1.18</v>
      </c>
    </row>
    <row r="59" spans="1:25" x14ac:dyDescent="0.45">
      <c r="A59" s="3" t="s">
        <v>57</v>
      </c>
      <c r="B59" s="3" t="s">
        <v>58</v>
      </c>
      <c r="C59" s="6" t="s">
        <v>518</v>
      </c>
      <c r="D59" s="6" t="s">
        <v>234</v>
      </c>
      <c r="E59" s="6" t="s">
        <v>244</v>
      </c>
      <c r="F59" s="6">
        <v>10553.21</v>
      </c>
      <c r="G59" s="2">
        <v>7.2</v>
      </c>
      <c r="H59" s="2">
        <v>7.5</v>
      </c>
      <c r="I59" s="2">
        <v>8.0500000000000007</v>
      </c>
      <c r="J59" s="47">
        <f t="shared" si="0"/>
        <v>4.1666666666666644E-2</v>
      </c>
      <c r="K59" s="47">
        <f t="shared" si="1"/>
        <v>7.3333333333333431E-2</v>
      </c>
      <c r="L59" s="8">
        <v>13.82</v>
      </c>
      <c r="M59" s="8">
        <v>16.53</v>
      </c>
      <c r="N59" s="8">
        <v>15.4</v>
      </c>
      <c r="O59" s="17">
        <f t="shared" si="2"/>
        <v>3.9672000000000027</v>
      </c>
      <c r="P59" s="17">
        <f t="shared" si="3"/>
        <v>2.0999999999999974</v>
      </c>
      <c r="R59" s="9">
        <v>12.14</v>
      </c>
      <c r="S59" s="9">
        <v>5.1100000000000003</v>
      </c>
      <c r="T59" s="9">
        <v>5582</v>
      </c>
      <c r="U59" s="9">
        <v>7909</v>
      </c>
      <c r="V59" s="45">
        <f t="shared" si="4"/>
        <v>-0.29422177266405358</v>
      </c>
      <c r="W59" s="12">
        <v>36.78</v>
      </c>
      <c r="X59" s="12">
        <v>1.61</v>
      </c>
      <c r="Y59" s="12">
        <v>20210803</v>
      </c>
    </row>
    <row r="60" spans="1:25" x14ac:dyDescent="0.45">
      <c r="A60" s="3" t="s">
        <v>59</v>
      </c>
      <c r="B60" s="3" t="s">
        <v>60</v>
      </c>
      <c r="C60" s="6" t="s">
        <v>518</v>
      </c>
      <c r="D60" s="6" t="s">
        <v>234</v>
      </c>
      <c r="E60" s="6" t="s">
        <v>238</v>
      </c>
      <c r="F60" s="6">
        <v>38462.370000000003</v>
      </c>
      <c r="G60" s="2">
        <v>4.93</v>
      </c>
      <c r="H60" s="2">
        <v>5.23</v>
      </c>
      <c r="I60" s="2">
        <v>5.15</v>
      </c>
      <c r="J60" s="47">
        <f t="shared" si="0"/>
        <v>6.0851926977687772E-2</v>
      </c>
      <c r="K60" s="47">
        <f t="shared" si="1"/>
        <v>-1.5296367112810719E-2</v>
      </c>
      <c r="L60" s="8">
        <v>10.74</v>
      </c>
      <c r="M60" s="8">
        <v>10.82</v>
      </c>
      <c r="N60" s="8">
        <v>10.99</v>
      </c>
      <c r="O60" s="17">
        <f t="shared" si="2"/>
        <v>1.7780866666666626</v>
      </c>
      <c r="P60" s="17">
        <f t="shared" si="3"/>
        <v>-7.1847124999999954</v>
      </c>
      <c r="Q60" s="5">
        <v>2.16</v>
      </c>
      <c r="R60" s="9">
        <v>11.69</v>
      </c>
      <c r="S60" s="9">
        <v>0.13</v>
      </c>
      <c r="T60" s="9">
        <v>21571.542959999999</v>
      </c>
      <c r="U60" s="9">
        <v>22147</v>
      </c>
      <c r="V60" s="45">
        <f t="shared" si="4"/>
        <v>-2.5983521018648176E-2</v>
      </c>
      <c r="W60" s="12">
        <v>27.5</v>
      </c>
      <c r="X60" s="12">
        <v>2.33</v>
      </c>
      <c r="Y60" s="12">
        <v>20210727</v>
      </c>
    </row>
    <row r="61" spans="1:25" x14ac:dyDescent="0.45">
      <c r="A61" s="3" t="s">
        <v>3731</v>
      </c>
      <c r="B61" s="3" t="s">
        <v>3732</v>
      </c>
      <c r="C61" s="6" t="s">
        <v>519</v>
      </c>
      <c r="D61" s="6" t="s">
        <v>175</v>
      </c>
      <c r="E61" s="6" t="s">
        <v>194</v>
      </c>
      <c r="F61" s="6">
        <v>15974.52</v>
      </c>
      <c r="H61" s="2">
        <v>-2.02</v>
      </c>
      <c r="I61" s="2">
        <v>-0.88</v>
      </c>
      <c r="J61" s="47" t="e">
        <f t="shared" si="0"/>
        <v>#DIV/0!</v>
      </c>
      <c r="K61" s="47">
        <f t="shared" si="1"/>
        <v>0.56435643564356441</v>
      </c>
      <c r="O61" s="17" t="e">
        <f t="shared" si="2"/>
        <v>#DIV/0!</v>
      </c>
      <c r="P61" s="17">
        <f t="shared" si="3"/>
        <v>0</v>
      </c>
      <c r="R61" s="9">
        <v>-53.97</v>
      </c>
      <c r="T61" s="9">
        <v>832.88396999999998</v>
      </c>
      <c r="U61" s="9">
        <v>509.53</v>
      </c>
      <c r="V61" s="45">
        <f t="shared" si="4"/>
        <v>0.63461223087943797</v>
      </c>
      <c r="W61" s="12">
        <v>-148.28</v>
      </c>
      <c r="X61" s="12">
        <v>0</v>
      </c>
      <c r="Y61" s="12">
        <v>20210809</v>
      </c>
    </row>
    <row r="62" spans="1:25" x14ac:dyDescent="0.45">
      <c r="A62" s="3" t="s">
        <v>3733</v>
      </c>
      <c r="B62" s="3" t="s">
        <v>3734</v>
      </c>
      <c r="C62" s="6" t="s">
        <v>518</v>
      </c>
      <c r="D62" s="6" t="s">
        <v>90</v>
      </c>
      <c r="E62" s="6" t="s">
        <v>2824</v>
      </c>
      <c r="F62" s="6">
        <v>4404.6000000000004</v>
      </c>
      <c r="G62" s="2">
        <v>0.19</v>
      </c>
      <c r="H62" s="2">
        <v>0.23</v>
      </c>
      <c r="I62" s="2">
        <v>0.49</v>
      </c>
      <c r="J62" s="47">
        <f t="shared" si="0"/>
        <v>0.21052631578947373</v>
      </c>
      <c r="K62" s="47">
        <f t="shared" si="1"/>
        <v>1.1304347826086956</v>
      </c>
      <c r="L62" s="8">
        <v>109.31</v>
      </c>
      <c r="M62" s="8">
        <v>74.959999999999994</v>
      </c>
      <c r="N62" s="8">
        <v>35.94</v>
      </c>
      <c r="O62" s="17">
        <f t="shared" si="2"/>
        <v>3.5605999999999987</v>
      </c>
      <c r="P62" s="17">
        <f t="shared" si="3"/>
        <v>0.31793076923076924</v>
      </c>
      <c r="R62" s="9">
        <v>4.58</v>
      </c>
      <c r="S62" s="9">
        <v>8.8699999999999992</v>
      </c>
      <c r="T62" s="9">
        <v>504.29998000000001</v>
      </c>
      <c r="U62" s="9">
        <v>363.88</v>
      </c>
      <c r="V62" s="45">
        <f t="shared" si="4"/>
        <v>0.38589639441574147</v>
      </c>
      <c r="W62" s="12">
        <v>-57.14</v>
      </c>
      <c r="X62" s="12">
        <v>0</v>
      </c>
      <c r="Y62" s="12">
        <v>20210805</v>
      </c>
    </row>
    <row r="63" spans="1:25" x14ac:dyDescent="0.45">
      <c r="A63" s="3" t="s">
        <v>61</v>
      </c>
      <c r="B63" s="3" t="s">
        <v>62</v>
      </c>
      <c r="C63" s="6" t="s">
        <v>518</v>
      </c>
      <c r="D63" s="6" t="s">
        <v>272</v>
      </c>
      <c r="E63" s="6" t="s">
        <v>253</v>
      </c>
      <c r="F63" s="6">
        <v>10042.84</v>
      </c>
      <c r="G63" s="2">
        <v>5.14</v>
      </c>
      <c r="H63" s="2">
        <v>8.67</v>
      </c>
      <c r="I63" s="2">
        <v>9.67</v>
      </c>
      <c r="J63" s="47">
        <f t="shared" si="0"/>
        <v>0.68677042801556432</v>
      </c>
      <c r="K63" s="47">
        <f t="shared" si="1"/>
        <v>0.11534025374855825</v>
      </c>
      <c r="L63" s="8">
        <v>19.77</v>
      </c>
      <c r="M63" s="8">
        <v>15.37</v>
      </c>
      <c r="N63" s="8">
        <v>13.79</v>
      </c>
      <c r="O63" s="17">
        <f t="shared" si="2"/>
        <v>0.22380113314447589</v>
      </c>
      <c r="P63" s="17">
        <f t="shared" si="3"/>
        <v>1.1955929999999999</v>
      </c>
      <c r="Q63" s="5">
        <v>0.94</v>
      </c>
      <c r="R63" s="9">
        <v>17.440000000000001</v>
      </c>
      <c r="S63" s="9">
        <v>5.52</v>
      </c>
      <c r="T63" s="9">
        <v>10718.594719999999</v>
      </c>
      <c r="U63" s="9">
        <v>9149.7000000000007</v>
      </c>
      <c r="V63" s="45">
        <f t="shared" si="4"/>
        <v>0.17146952577680125</v>
      </c>
      <c r="W63" s="12">
        <v>80.180000000000007</v>
      </c>
      <c r="X63" s="12">
        <v>0.6</v>
      </c>
      <c r="Y63" s="12">
        <v>20210729</v>
      </c>
    </row>
    <row r="64" spans="1:25" x14ac:dyDescent="0.45">
      <c r="A64" s="3" t="s">
        <v>466</v>
      </c>
      <c r="B64" s="3" t="s">
        <v>467</v>
      </c>
      <c r="C64" s="6" t="s">
        <v>520</v>
      </c>
      <c r="D64" s="6" t="s">
        <v>234</v>
      </c>
      <c r="E64" s="6" t="s">
        <v>243</v>
      </c>
      <c r="F64" s="6">
        <v>11622.63</v>
      </c>
      <c r="G64" s="2">
        <v>7.36</v>
      </c>
      <c r="H64" s="2">
        <v>6.23</v>
      </c>
      <c r="I64" s="2">
        <v>6.24</v>
      </c>
      <c r="J64" s="47">
        <f t="shared" si="0"/>
        <v>-0.15353260869565216</v>
      </c>
      <c r="K64" s="47">
        <f t="shared" si="1"/>
        <v>1.6051364365970765E-3</v>
      </c>
      <c r="L64" s="8">
        <v>9.83</v>
      </c>
      <c r="M64" s="8">
        <v>9.59</v>
      </c>
      <c r="N64" s="8">
        <v>9.58</v>
      </c>
      <c r="O64" s="17">
        <f t="shared" si="2"/>
        <v>-0.62462300884955757</v>
      </c>
      <c r="P64" s="17">
        <f t="shared" si="3"/>
        <v>59.683400000001271</v>
      </c>
      <c r="R64" s="9">
        <v>7.42</v>
      </c>
      <c r="S64" s="9">
        <v>-0.28000000000000003</v>
      </c>
      <c r="T64" s="9">
        <v>5728.58007</v>
      </c>
      <c r="U64" s="9">
        <v>14129.51</v>
      </c>
      <c r="V64" s="45">
        <f t="shared" si="4"/>
        <v>-0.5945662609672947</v>
      </c>
      <c r="X64" s="12">
        <v>7.51</v>
      </c>
      <c r="Y64" s="12">
        <v>20210805</v>
      </c>
    </row>
    <row r="65" spans="1:25" x14ac:dyDescent="0.45">
      <c r="A65" s="3" t="s">
        <v>4457</v>
      </c>
      <c r="B65" s="3" t="s">
        <v>4458</v>
      </c>
      <c r="C65" s="6" t="s">
        <v>518</v>
      </c>
      <c r="D65" s="6" t="s">
        <v>234</v>
      </c>
      <c r="E65" s="6" t="s">
        <v>904</v>
      </c>
      <c r="F65" s="6">
        <v>88005.6</v>
      </c>
      <c r="J65" s="47" t="e">
        <f t="shared" si="0"/>
        <v>#DIV/0!</v>
      </c>
      <c r="K65" s="47" t="e">
        <f t="shared" si="1"/>
        <v>#DIV/0!</v>
      </c>
      <c r="O65" s="17" t="e">
        <f t="shared" si="2"/>
        <v>#DIV/0!</v>
      </c>
      <c r="P65" s="17" t="e">
        <f t="shared" si="3"/>
        <v>#DIV/0!</v>
      </c>
      <c r="V65" s="45" t="e">
        <f t="shared" si="4"/>
        <v>#DIV/0!</v>
      </c>
      <c r="X65" s="12">
        <v>1.95</v>
      </c>
    </row>
    <row r="66" spans="1:25" x14ac:dyDescent="0.45">
      <c r="A66" s="3" t="s">
        <v>3991</v>
      </c>
      <c r="B66" s="3" t="s">
        <v>3992</v>
      </c>
      <c r="C66" s="6" t="s">
        <v>518</v>
      </c>
      <c r="D66" s="6" t="s">
        <v>90</v>
      </c>
      <c r="E66" s="6" t="s">
        <v>267</v>
      </c>
      <c r="F66" s="6">
        <v>3377.56</v>
      </c>
      <c r="G66" s="2">
        <v>0.36</v>
      </c>
      <c r="H66" s="2">
        <v>0.6</v>
      </c>
      <c r="I66" s="2">
        <v>0.51</v>
      </c>
      <c r="J66" s="47">
        <f t="shared" si="0"/>
        <v>0.66666666666666663</v>
      </c>
      <c r="K66" s="47">
        <f t="shared" si="1"/>
        <v>-0.14999999999999997</v>
      </c>
      <c r="L66" s="8">
        <v>18.7</v>
      </c>
      <c r="M66" s="8">
        <v>14.38</v>
      </c>
      <c r="N66" s="8">
        <v>16.93</v>
      </c>
      <c r="O66" s="17">
        <f t="shared" si="2"/>
        <v>0.21570000000000003</v>
      </c>
      <c r="P66" s="17">
        <f t="shared" si="3"/>
        <v>-1.1286666666666669</v>
      </c>
      <c r="Q66" s="5">
        <v>1.51</v>
      </c>
      <c r="R66" s="9">
        <v>6.22</v>
      </c>
      <c r="S66" s="9">
        <v>11.59</v>
      </c>
      <c r="T66" s="9">
        <v>883.22698000000003</v>
      </c>
      <c r="U66" s="9">
        <v>748.1</v>
      </c>
      <c r="V66" s="45">
        <f t="shared" si="4"/>
        <v>0.18062689480016039</v>
      </c>
      <c r="W66" s="12">
        <v>8.33</v>
      </c>
      <c r="X66" s="12">
        <v>0.57999999999999996</v>
      </c>
      <c r="Y66" s="12">
        <v>20210804</v>
      </c>
    </row>
    <row r="67" spans="1:25" x14ac:dyDescent="0.45">
      <c r="A67" s="3" t="s">
        <v>761</v>
      </c>
      <c r="B67" s="3" t="s">
        <v>762</v>
      </c>
      <c r="C67" s="6" t="s">
        <v>519</v>
      </c>
      <c r="D67" s="6" t="s">
        <v>279</v>
      </c>
      <c r="E67" s="6" t="s">
        <v>264</v>
      </c>
      <c r="F67" s="6">
        <v>3626.73</v>
      </c>
      <c r="G67" s="2">
        <v>-4.75</v>
      </c>
      <c r="H67" s="2">
        <v>25.4</v>
      </c>
      <c r="I67" s="2">
        <v>-6.56</v>
      </c>
      <c r="J67" s="47">
        <f t="shared" ref="J67:J130" si="5">(H67-G67)/ABS(G67)</f>
        <v>6.3473684210526313</v>
      </c>
      <c r="K67" s="47">
        <f t="shared" ref="K67:K130" si="6">(I67-H67)/ABS(H67)</f>
        <v>-1.258267716535433</v>
      </c>
      <c r="M67" s="8">
        <v>2.3199999999999998</v>
      </c>
      <c r="O67" s="17">
        <f t="shared" ref="O67:O130" si="7">M67/(J67*100)</f>
        <v>3.6550580431177447E-3</v>
      </c>
      <c r="P67" s="17">
        <f t="shared" ref="P67:P130" si="8">N67/(K67*100)</f>
        <v>0</v>
      </c>
      <c r="R67" s="9">
        <v>-40.479999999999997</v>
      </c>
      <c r="S67" s="9">
        <v>37.61</v>
      </c>
      <c r="T67" s="9">
        <v>6.4899899999999997</v>
      </c>
      <c r="U67" s="9">
        <v>203.2</v>
      </c>
      <c r="V67" s="45">
        <f t="shared" ref="V67:V130" si="9">(T67-U67)/U67</f>
        <v>-0.9680610728346456</v>
      </c>
      <c r="W67" s="12">
        <v>-6.5</v>
      </c>
      <c r="X67" s="12">
        <v>0</v>
      </c>
      <c r="Y67" s="12">
        <v>20210729</v>
      </c>
    </row>
    <row r="68" spans="1:25" x14ac:dyDescent="0.45">
      <c r="A68" s="3" t="s">
        <v>3993</v>
      </c>
      <c r="B68" s="3" t="s">
        <v>3994</v>
      </c>
      <c r="C68" s="6" t="s">
        <v>518</v>
      </c>
      <c r="D68" s="6" t="s">
        <v>279</v>
      </c>
      <c r="E68" s="6" t="s">
        <v>266</v>
      </c>
      <c r="F68" s="6">
        <v>14456.9</v>
      </c>
      <c r="H68" s="2">
        <v>-0.39</v>
      </c>
      <c r="I68" s="2">
        <v>-0.08</v>
      </c>
      <c r="J68" s="47" t="e">
        <f t="shared" si="5"/>
        <v>#DIV/0!</v>
      </c>
      <c r="K68" s="47">
        <f t="shared" si="6"/>
        <v>0.79487179487179482</v>
      </c>
      <c r="O68" s="17" t="e">
        <f t="shared" si="7"/>
        <v>#DIV/0!</v>
      </c>
      <c r="P68" s="17">
        <f t="shared" si="8"/>
        <v>0</v>
      </c>
      <c r="T68" s="9">
        <v>1773.42004</v>
      </c>
      <c r="V68" s="45" t="e">
        <f t="shared" si="9"/>
        <v>#DIV/0!</v>
      </c>
      <c r="W68" s="12">
        <v>0</v>
      </c>
      <c r="X68" s="12">
        <v>0</v>
      </c>
      <c r="Y68" s="12">
        <v>20210825</v>
      </c>
    </row>
    <row r="69" spans="1:25" x14ac:dyDescent="0.45">
      <c r="A69" s="3" t="s">
        <v>543</v>
      </c>
      <c r="B69" s="3" t="s">
        <v>544</v>
      </c>
      <c r="C69" s="6" t="s">
        <v>519</v>
      </c>
      <c r="D69" s="6" t="s">
        <v>234</v>
      </c>
      <c r="E69" s="6" t="s">
        <v>285</v>
      </c>
      <c r="F69" s="6">
        <v>9794.77</v>
      </c>
      <c r="G69" s="2">
        <v>2.62</v>
      </c>
      <c r="H69" s="2">
        <v>2.65</v>
      </c>
      <c r="I69" s="2">
        <v>2.34</v>
      </c>
      <c r="J69" s="47">
        <f t="shared" si="5"/>
        <v>1.1450381679389238E-2</v>
      </c>
      <c r="K69" s="47">
        <f t="shared" si="6"/>
        <v>-0.11698113207547173</v>
      </c>
      <c r="L69" s="8">
        <v>6.43</v>
      </c>
      <c r="M69" s="8">
        <v>7.03</v>
      </c>
      <c r="N69" s="8">
        <v>7.97</v>
      </c>
      <c r="O69" s="17">
        <f t="shared" si="7"/>
        <v>6.1395333333333735</v>
      </c>
      <c r="P69" s="17">
        <f t="shared" si="8"/>
        <v>-0.68130645161290304</v>
      </c>
      <c r="R69" s="9">
        <v>17.440000000000001</v>
      </c>
      <c r="S69" s="9">
        <v>3.16</v>
      </c>
      <c r="T69" s="9">
        <v>1470.3000400000001</v>
      </c>
      <c r="U69" s="9">
        <v>845</v>
      </c>
      <c r="V69" s="45">
        <f t="shared" si="9"/>
        <v>0.7400000473372782</v>
      </c>
      <c r="W69" s="12">
        <v>18.75</v>
      </c>
      <c r="X69" s="12">
        <v>7.72</v>
      </c>
      <c r="Y69" s="12">
        <v>20210726</v>
      </c>
    </row>
    <row r="70" spans="1:25" x14ac:dyDescent="0.45">
      <c r="A70" s="3" t="s">
        <v>4459</v>
      </c>
      <c r="B70" s="3" t="s">
        <v>4460</v>
      </c>
      <c r="C70" s="6" t="s">
        <v>518</v>
      </c>
      <c r="D70" s="6" t="s">
        <v>234</v>
      </c>
      <c r="E70" s="6" t="s">
        <v>243</v>
      </c>
      <c r="F70" s="6">
        <v>3620.18</v>
      </c>
      <c r="J70" s="47" t="e">
        <f t="shared" si="5"/>
        <v>#DIV/0!</v>
      </c>
      <c r="K70" s="47" t="e">
        <f t="shared" si="6"/>
        <v>#DIV/0!</v>
      </c>
      <c r="L70" s="8">
        <v>15.1</v>
      </c>
      <c r="O70" s="17" t="e">
        <f t="shared" si="7"/>
        <v>#DIV/0!</v>
      </c>
      <c r="P70" s="17" t="e">
        <f t="shared" si="8"/>
        <v>#DIV/0!</v>
      </c>
      <c r="R70" s="9">
        <v>4.05</v>
      </c>
      <c r="S70" s="9">
        <v>-14.39</v>
      </c>
      <c r="U70" s="9">
        <v>1115</v>
      </c>
      <c r="V70" s="45">
        <f t="shared" si="9"/>
        <v>-1</v>
      </c>
      <c r="X70" s="12">
        <v>1.83</v>
      </c>
      <c r="Y70" s="12">
        <v>20210806</v>
      </c>
    </row>
    <row r="71" spans="1:25" x14ac:dyDescent="0.45">
      <c r="A71" s="3" t="s">
        <v>572</v>
      </c>
      <c r="B71" s="3" t="s">
        <v>573</v>
      </c>
      <c r="C71" s="6" t="s">
        <v>520</v>
      </c>
      <c r="D71" s="6" t="s">
        <v>234</v>
      </c>
      <c r="E71" s="6" t="s">
        <v>523</v>
      </c>
      <c r="F71" s="6">
        <v>5675.02</v>
      </c>
      <c r="G71" s="2">
        <v>15.48</v>
      </c>
      <c r="H71" s="2">
        <v>19.309999999999999</v>
      </c>
      <c r="I71" s="2">
        <v>22.15</v>
      </c>
      <c r="J71" s="47">
        <f t="shared" si="5"/>
        <v>0.24741602067183452</v>
      </c>
      <c r="K71" s="47">
        <f t="shared" si="6"/>
        <v>0.1470740548938374</v>
      </c>
      <c r="M71" s="8">
        <v>3.75</v>
      </c>
      <c r="N71" s="8">
        <v>3.27</v>
      </c>
      <c r="O71" s="17">
        <f t="shared" si="7"/>
        <v>0.15156657963446482</v>
      </c>
      <c r="P71" s="17">
        <f t="shared" si="8"/>
        <v>0.22233697183098589</v>
      </c>
      <c r="T71" s="9">
        <v>14737.37988</v>
      </c>
      <c r="U71" s="9">
        <v>11629.62</v>
      </c>
      <c r="V71" s="45">
        <f t="shared" si="9"/>
        <v>0.26722798165374273</v>
      </c>
      <c r="X71" s="12">
        <v>10.53</v>
      </c>
    </row>
    <row r="72" spans="1:25" x14ac:dyDescent="0.45">
      <c r="A72" s="3" t="s">
        <v>64</v>
      </c>
      <c r="B72" s="3" t="s">
        <v>65</v>
      </c>
      <c r="C72" s="6" t="s">
        <v>518</v>
      </c>
      <c r="D72" s="6" t="s">
        <v>327</v>
      </c>
      <c r="E72" s="6" t="s">
        <v>321</v>
      </c>
      <c r="F72" s="6">
        <v>16866.849999999999</v>
      </c>
      <c r="G72" s="2">
        <v>1.97</v>
      </c>
      <c r="H72" s="2">
        <v>2.2999999999999998</v>
      </c>
      <c r="I72" s="2">
        <v>2.4500000000000002</v>
      </c>
      <c r="J72" s="47">
        <f t="shared" si="5"/>
        <v>0.16751269035532987</v>
      </c>
      <c r="K72" s="47">
        <f t="shared" si="6"/>
        <v>6.5217391304347991E-2</v>
      </c>
      <c r="L72" s="8">
        <v>22.72</v>
      </c>
      <c r="M72" s="8">
        <v>23.73</v>
      </c>
      <c r="N72" s="8">
        <v>22.21</v>
      </c>
      <c r="O72" s="17">
        <f t="shared" si="7"/>
        <v>1.4166090909090918</v>
      </c>
      <c r="P72" s="17">
        <f t="shared" si="8"/>
        <v>3.4055333333333246</v>
      </c>
      <c r="Q72" s="5">
        <v>3.25</v>
      </c>
      <c r="R72" s="9">
        <v>4.67</v>
      </c>
      <c r="S72" s="9">
        <v>2.65</v>
      </c>
      <c r="T72" s="9">
        <v>6544.7319299999999</v>
      </c>
      <c r="U72" s="9">
        <v>6320</v>
      </c>
      <c r="V72" s="45">
        <f t="shared" si="9"/>
        <v>3.5558849683544294E-2</v>
      </c>
      <c r="W72" s="12">
        <v>46.15</v>
      </c>
      <c r="X72" s="12">
        <v>3.23</v>
      </c>
      <c r="Y72" s="12">
        <v>20210720</v>
      </c>
    </row>
    <row r="73" spans="1:25" x14ac:dyDescent="0.45">
      <c r="A73" s="3" t="s">
        <v>3995</v>
      </c>
      <c r="B73" s="3" t="s">
        <v>3996</v>
      </c>
      <c r="C73" s="6" t="s">
        <v>520</v>
      </c>
      <c r="D73" s="6" t="s">
        <v>210</v>
      </c>
      <c r="E73" s="6" t="s">
        <v>188</v>
      </c>
      <c r="F73" s="6">
        <v>7150.4</v>
      </c>
      <c r="H73" s="2">
        <v>4.91</v>
      </c>
      <c r="I73" s="2">
        <v>4.8</v>
      </c>
      <c r="J73" s="47" t="e">
        <f t="shared" si="5"/>
        <v>#DIV/0!</v>
      </c>
      <c r="K73" s="47">
        <f t="shared" si="6"/>
        <v>-2.2403258655804545E-2</v>
      </c>
      <c r="L73" s="8">
        <v>6.09</v>
      </c>
      <c r="M73" s="8">
        <v>5.6</v>
      </c>
      <c r="N73" s="8">
        <v>5.73</v>
      </c>
      <c r="O73" s="17" t="e">
        <f t="shared" si="7"/>
        <v>#DIV/0!</v>
      </c>
      <c r="P73" s="17">
        <f t="shared" si="8"/>
        <v>-2.5576636363636296</v>
      </c>
      <c r="R73" s="9">
        <v>21.74</v>
      </c>
      <c r="T73" s="9">
        <v>26986.195309999999</v>
      </c>
      <c r="U73" s="9">
        <v>25542.15</v>
      </c>
      <c r="V73" s="45">
        <f t="shared" si="9"/>
        <v>5.6535777528516497E-2</v>
      </c>
      <c r="X73" s="12">
        <v>5.16</v>
      </c>
      <c r="Y73" s="12">
        <v>20210614</v>
      </c>
    </row>
    <row r="74" spans="1:25" x14ac:dyDescent="0.45">
      <c r="A74" s="3" t="s">
        <v>3997</v>
      </c>
      <c r="B74" s="3" t="s">
        <v>3998</v>
      </c>
      <c r="C74" s="6" t="s">
        <v>519</v>
      </c>
      <c r="D74" s="6" t="s">
        <v>279</v>
      </c>
      <c r="E74" s="6" t="s">
        <v>264</v>
      </c>
      <c r="F74" s="6">
        <v>3418.52</v>
      </c>
      <c r="G74" s="2">
        <v>0.14000000000000001</v>
      </c>
      <c r="H74" s="2">
        <v>1.32</v>
      </c>
      <c r="I74" s="2">
        <v>1.48</v>
      </c>
      <c r="J74" s="47">
        <f t="shared" si="5"/>
        <v>8.4285714285714288</v>
      </c>
      <c r="K74" s="47">
        <f t="shared" si="6"/>
        <v>0.12121212121212115</v>
      </c>
      <c r="L74" s="8">
        <v>48.09</v>
      </c>
      <c r="M74" s="8">
        <v>19.98</v>
      </c>
      <c r="N74" s="8">
        <v>17.87</v>
      </c>
      <c r="O74" s="17">
        <f t="shared" si="7"/>
        <v>2.370508474576271E-2</v>
      </c>
      <c r="P74" s="17">
        <f t="shared" si="8"/>
        <v>1.4742750000000009</v>
      </c>
      <c r="Q74" s="5">
        <v>0.47</v>
      </c>
      <c r="R74" s="9">
        <v>7.41</v>
      </c>
      <c r="T74" s="9">
        <v>2314.6279199999999</v>
      </c>
      <c r="U74" s="9">
        <v>1056.3900000000001</v>
      </c>
      <c r="V74" s="45">
        <f t="shared" si="9"/>
        <v>1.1910732967937974</v>
      </c>
      <c r="W74" s="12">
        <v>-29.17</v>
      </c>
      <c r="X74" s="12">
        <v>0</v>
      </c>
      <c r="Y74" s="12">
        <v>20210803</v>
      </c>
    </row>
    <row r="75" spans="1:25" x14ac:dyDescent="0.45">
      <c r="A75" s="3" t="s">
        <v>821</v>
      </c>
      <c r="B75" s="3" t="s">
        <v>822</v>
      </c>
      <c r="C75" s="6" t="s">
        <v>520</v>
      </c>
      <c r="D75" s="6" t="s">
        <v>175</v>
      </c>
      <c r="E75" s="6" t="s">
        <v>281</v>
      </c>
      <c r="F75" s="6">
        <v>11216.42</v>
      </c>
      <c r="G75" s="2">
        <v>1.6</v>
      </c>
      <c r="H75" s="2">
        <v>2.17</v>
      </c>
      <c r="I75" s="2">
        <v>2.4700000000000002</v>
      </c>
      <c r="J75" s="47">
        <f t="shared" si="5"/>
        <v>0.3562499999999999</v>
      </c>
      <c r="K75" s="47">
        <f t="shared" si="6"/>
        <v>0.1382488479262674</v>
      </c>
      <c r="L75" s="8">
        <v>25.09</v>
      </c>
      <c r="M75" s="8">
        <v>15.84</v>
      </c>
      <c r="N75" s="8">
        <v>13.92</v>
      </c>
      <c r="O75" s="17">
        <f t="shared" si="7"/>
        <v>0.44463157894736849</v>
      </c>
      <c r="P75" s="17">
        <f t="shared" si="8"/>
        <v>1.0068799999999991</v>
      </c>
      <c r="R75" s="9">
        <v>11.88</v>
      </c>
      <c r="S75" s="9">
        <v>-1.95</v>
      </c>
      <c r="T75" s="9">
        <v>25851.650389999999</v>
      </c>
      <c r="U75" s="9">
        <v>22342.63</v>
      </c>
      <c r="V75" s="45">
        <f t="shared" si="9"/>
        <v>0.15705493892169353</v>
      </c>
      <c r="X75" s="12">
        <v>2.41</v>
      </c>
      <c r="Y75" s="12">
        <v>20210805</v>
      </c>
    </row>
    <row r="76" spans="1:25" x14ac:dyDescent="0.45">
      <c r="A76" s="3" t="s">
        <v>468</v>
      </c>
      <c r="B76" s="3" t="s">
        <v>469</v>
      </c>
      <c r="C76" s="6" t="s">
        <v>520</v>
      </c>
      <c r="D76" s="6" t="s">
        <v>90</v>
      </c>
      <c r="E76" s="6" t="s">
        <v>196</v>
      </c>
      <c r="F76" s="6">
        <v>15925.67</v>
      </c>
      <c r="G76" s="2">
        <v>1.28</v>
      </c>
      <c r="H76" s="2">
        <v>1.7</v>
      </c>
      <c r="I76" s="2">
        <v>1.68</v>
      </c>
      <c r="J76" s="47">
        <f t="shared" si="5"/>
        <v>0.32812499999999994</v>
      </c>
      <c r="K76" s="47">
        <f t="shared" si="6"/>
        <v>-1.1764705882352951E-2</v>
      </c>
      <c r="L76" s="8">
        <v>14.28</v>
      </c>
      <c r="M76" s="8">
        <v>13.48</v>
      </c>
      <c r="N76" s="8">
        <v>13.6</v>
      </c>
      <c r="O76" s="17">
        <f t="shared" si="7"/>
        <v>0.41081904761904769</v>
      </c>
      <c r="P76" s="17">
        <f t="shared" si="8"/>
        <v>-11.55999999999999</v>
      </c>
      <c r="R76" s="9">
        <v>8.2899999999999991</v>
      </c>
      <c r="S76" s="9">
        <v>3.89</v>
      </c>
      <c r="T76" s="9">
        <v>20693.025389999999</v>
      </c>
      <c r="U76" s="9">
        <v>19866.38</v>
      </c>
      <c r="V76" s="45">
        <f t="shared" si="9"/>
        <v>4.1610267698493526E-2</v>
      </c>
      <c r="X76" s="12">
        <v>1.82</v>
      </c>
      <c r="Y76" s="12">
        <v>20210803</v>
      </c>
    </row>
    <row r="77" spans="1:25" x14ac:dyDescent="0.45">
      <c r="A77" s="3" t="s">
        <v>823</v>
      </c>
      <c r="B77" s="3" t="s">
        <v>824</v>
      </c>
      <c r="C77" s="6" t="s">
        <v>518</v>
      </c>
      <c r="D77" s="6" t="s">
        <v>189</v>
      </c>
      <c r="E77" s="6" t="s">
        <v>204</v>
      </c>
      <c r="F77" s="6">
        <v>6267.86</v>
      </c>
      <c r="G77" s="2">
        <v>-0.59</v>
      </c>
      <c r="H77" s="2">
        <v>-1.1200000000000001</v>
      </c>
      <c r="I77" s="2">
        <v>-1.01</v>
      </c>
      <c r="J77" s="47">
        <f t="shared" si="5"/>
        <v>-0.89830508474576298</v>
      </c>
      <c r="K77" s="47">
        <f t="shared" si="6"/>
        <v>9.8214285714285796E-2</v>
      </c>
      <c r="O77" s="17">
        <f t="shared" si="7"/>
        <v>0</v>
      </c>
      <c r="P77" s="17">
        <f t="shared" si="8"/>
        <v>0</v>
      </c>
      <c r="T77" s="9">
        <v>244.755</v>
      </c>
      <c r="U77" s="9">
        <v>183.22</v>
      </c>
      <c r="V77" s="45">
        <f t="shared" si="9"/>
        <v>0.33585307280864535</v>
      </c>
      <c r="W77" s="12">
        <v>17.239999999999998</v>
      </c>
      <c r="X77" s="12">
        <v>0</v>
      </c>
    </row>
    <row r="78" spans="1:25" x14ac:dyDescent="0.45">
      <c r="A78" s="3" t="s">
        <v>67</v>
      </c>
      <c r="B78" s="3" t="s">
        <v>68</v>
      </c>
      <c r="C78" s="6" t="s">
        <v>518</v>
      </c>
      <c r="D78" s="6" t="s">
        <v>234</v>
      </c>
      <c r="E78" s="6" t="s">
        <v>243</v>
      </c>
      <c r="F78" s="6">
        <v>44760.62</v>
      </c>
      <c r="G78" s="2">
        <v>2.56</v>
      </c>
      <c r="H78" s="2">
        <v>4.4800000000000004</v>
      </c>
      <c r="I78" s="2">
        <v>5.24</v>
      </c>
      <c r="J78" s="47">
        <f t="shared" si="5"/>
        <v>0.75000000000000011</v>
      </c>
      <c r="K78" s="47">
        <f t="shared" si="6"/>
        <v>0.16964285714285707</v>
      </c>
      <c r="L78" s="8">
        <v>15.07</v>
      </c>
      <c r="M78" s="8">
        <v>11.65</v>
      </c>
      <c r="N78" s="8">
        <v>9.94</v>
      </c>
      <c r="O78" s="17">
        <f t="shared" si="7"/>
        <v>0.1553333333333333</v>
      </c>
      <c r="P78" s="17">
        <f t="shared" si="8"/>
        <v>0.58593684210526331</v>
      </c>
      <c r="Q78" s="5">
        <v>1.17</v>
      </c>
      <c r="R78" s="9">
        <v>4.75</v>
      </c>
      <c r="S78" s="9">
        <v>-2.62</v>
      </c>
      <c r="T78" s="9">
        <v>43989</v>
      </c>
      <c r="U78" s="9">
        <v>43736</v>
      </c>
      <c r="V78" s="45">
        <f t="shared" si="9"/>
        <v>5.7847082494969816E-3</v>
      </c>
      <c r="W78" s="12">
        <v>6.06</v>
      </c>
      <c r="X78" s="12">
        <v>2.4500000000000002</v>
      </c>
      <c r="Y78" s="12">
        <v>20210802</v>
      </c>
    </row>
    <row r="79" spans="1:25" x14ac:dyDescent="0.45">
      <c r="A79" s="3" t="s">
        <v>763</v>
      </c>
      <c r="B79" s="3" t="s">
        <v>764</v>
      </c>
      <c r="C79" s="6" t="s">
        <v>519</v>
      </c>
      <c r="D79" s="6" t="s">
        <v>272</v>
      </c>
      <c r="E79" s="6" t="s">
        <v>254</v>
      </c>
      <c r="F79" s="6">
        <v>4200.37</v>
      </c>
      <c r="G79" s="2">
        <v>2.82</v>
      </c>
      <c r="H79" s="2">
        <v>3.19</v>
      </c>
      <c r="I79" s="2">
        <v>3.75</v>
      </c>
      <c r="J79" s="47">
        <f t="shared" si="5"/>
        <v>0.1312056737588653</v>
      </c>
      <c r="K79" s="47">
        <f t="shared" si="6"/>
        <v>0.17554858934169282</v>
      </c>
      <c r="L79" s="8">
        <v>20.98</v>
      </c>
      <c r="M79" s="8">
        <v>20.32</v>
      </c>
      <c r="N79" s="8">
        <v>17.29</v>
      </c>
      <c r="O79" s="17">
        <f t="shared" si="7"/>
        <v>1.5487135135135128</v>
      </c>
      <c r="P79" s="17">
        <f t="shared" si="8"/>
        <v>0.98491249999999975</v>
      </c>
      <c r="Q79" s="5">
        <v>1.35</v>
      </c>
      <c r="R79" s="9">
        <v>10.46</v>
      </c>
      <c r="S79" s="9">
        <v>28.1</v>
      </c>
      <c r="T79" s="9">
        <v>1847.81005</v>
      </c>
      <c r="U79" s="9">
        <v>1726</v>
      </c>
      <c r="V79" s="45">
        <f t="shared" si="9"/>
        <v>7.0573609501738147E-2</v>
      </c>
      <c r="W79" s="12">
        <v>13.16</v>
      </c>
      <c r="X79" s="12">
        <v>0.37</v>
      </c>
      <c r="Y79" s="12">
        <v>20210723</v>
      </c>
    </row>
    <row r="80" spans="1:25" x14ac:dyDescent="0.45">
      <c r="A80" s="3" t="s">
        <v>470</v>
      </c>
      <c r="B80" s="3" t="s">
        <v>471</v>
      </c>
      <c r="C80" s="6" t="s">
        <v>520</v>
      </c>
      <c r="D80" s="6" t="s">
        <v>90</v>
      </c>
      <c r="E80" s="6" t="s">
        <v>196</v>
      </c>
      <c r="F80" s="6">
        <v>81776.289999999994</v>
      </c>
      <c r="G80" s="2">
        <v>1.1299999999999999</v>
      </c>
      <c r="H80" s="2">
        <v>1.26</v>
      </c>
      <c r="I80" s="2">
        <v>1.38</v>
      </c>
      <c r="J80" s="47">
        <f t="shared" si="5"/>
        <v>0.11504424778761073</v>
      </c>
      <c r="K80" s="47">
        <f t="shared" si="6"/>
        <v>9.523809523809515E-2</v>
      </c>
      <c r="M80" s="8">
        <v>27.44</v>
      </c>
      <c r="N80" s="8">
        <v>25</v>
      </c>
      <c r="O80" s="17">
        <f t="shared" si="7"/>
        <v>2.3851692307692285</v>
      </c>
      <c r="P80" s="17">
        <f t="shared" si="8"/>
        <v>2.6250000000000027</v>
      </c>
      <c r="Q80" s="5">
        <v>4.7699999999999996</v>
      </c>
      <c r="T80" s="9">
        <v>25561.800780000001</v>
      </c>
      <c r="U80" s="9">
        <v>23398.03</v>
      </c>
      <c r="V80" s="45">
        <f t="shared" si="9"/>
        <v>9.2476622177166318E-2</v>
      </c>
      <c r="X80" s="12">
        <v>1.48</v>
      </c>
    </row>
    <row r="81" spans="1:25" x14ac:dyDescent="0.45">
      <c r="A81" s="3" t="s">
        <v>825</v>
      </c>
      <c r="B81" s="3" t="s">
        <v>826</v>
      </c>
      <c r="C81" s="6" t="s">
        <v>518</v>
      </c>
      <c r="D81" s="6" t="s">
        <v>234</v>
      </c>
      <c r="E81" s="6" t="s">
        <v>287</v>
      </c>
      <c r="F81" s="6">
        <v>7842.85</v>
      </c>
      <c r="G81" s="2">
        <v>2.19</v>
      </c>
      <c r="H81" s="2">
        <v>2.02</v>
      </c>
      <c r="I81" s="2">
        <v>2.11</v>
      </c>
      <c r="J81" s="47">
        <f t="shared" si="5"/>
        <v>-7.7625570776255676E-2</v>
      </c>
      <c r="K81" s="47">
        <f t="shared" si="6"/>
        <v>4.4554455445544483E-2</v>
      </c>
      <c r="M81" s="8">
        <v>24.82</v>
      </c>
      <c r="N81" s="8">
        <v>23.76</v>
      </c>
      <c r="O81" s="17">
        <f t="shared" si="7"/>
        <v>-3.1974000000000014</v>
      </c>
      <c r="P81" s="17">
        <f t="shared" si="8"/>
        <v>5.3328000000000086</v>
      </c>
      <c r="T81" s="9">
        <v>688.98698999999999</v>
      </c>
      <c r="U81" s="9">
        <v>719.56</v>
      </c>
      <c r="V81" s="45">
        <f t="shared" si="9"/>
        <v>-4.2488479070543046E-2</v>
      </c>
      <c r="W81" s="12">
        <v>2.04</v>
      </c>
      <c r="X81" s="12">
        <v>3.44</v>
      </c>
      <c r="Y81" s="12">
        <v>20210729</v>
      </c>
    </row>
    <row r="82" spans="1:25" x14ac:dyDescent="0.45">
      <c r="A82" s="3" t="s">
        <v>712</v>
      </c>
      <c r="B82" s="3" t="s">
        <v>713</v>
      </c>
      <c r="C82" s="6" t="s">
        <v>520</v>
      </c>
      <c r="D82" s="6" t="s">
        <v>309</v>
      </c>
      <c r="E82" s="6" t="s">
        <v>307</v>
      </c>
      <c r="F82" s="6">
        <v>12048.33</v>
      </c>
      <c r="G82" s="2">
        <v>-2.61</v>
      </c>
      <c r="H82" s="2">
        <v>-0.39</v>
      </c>
      <c r="I82" s="2">
        <v>0.64</v>
      </c>
      <c r="J82" s="47">
        <f t="shared" si="5"/>
        <v>0.85057471264367812</v>
      </c>
      <c r="K82" s="47">
        <f t="shared" si="6"/>
        <v>2.641025641025641</v>
      </c>
      <c r="N82" s="8">
        <v>25.92</v>
      </c>
      <c r="O82" s="17">
        <f t="shared" si="7"/>
        <v>0</v>
      </c>
      <c r="P82" s="17">
        <f t="shared" si="8"/>
        <v>9.8143689320388361E-2</v>
      </c>
      <c r="R82" s="9">
        <v>-16.41</v>
      </c>
      <c r="S82" s="9">
        <v>-7.05</v>
      </c>
      <c r="T82" s="9">
        <v>16236.99511</v>
      </c>
      <c r="U82" s="9">
        <v>10072.9</v>
      </c>
      <c r="V82" s="45">
        <f t="shared" si="9"/>
        <v>0.61194840711215248</v>
      </c>
      <c r="X82" s="12">
        <v>0.56000000000000005</v>
      </c>
      <c r="Y82" s="12">
        <v>20210616</v>
      </c>
    </row>
    <row r="83" spans="1:25" x14ac:dyDescent="0.45">
      <c r="A83" s="3" t="s">
        <v>765</v>
      </c>
      <c r="B83" s="3" t="s">
        <v>766</v>
      </c>
      <c r="C83" s="6" t="s">
        <v>518</v>
      </c>
      <c r="D83" s="6" t="s">
        <v>272</v>
      </c>
      <c r="E83" s="6" t="s">
        <v>254</v>
      </c>
      <c r="F83" s="6">
        <v>3716.51</v>
      </c>
      <c r="G83" s="2">
        <v>3.69</v>
      </c>
      <c r="H83" s="2">
        <v>4.3899999999999997</v>
      </c>
      <c r="I83" s="2">
        <v>4.8600000000000003</v>
      </c>
      <c r="J83" s="47">
        <f t="shared" si="5"/>
        <v>0.18970189701897011</v>
      </c>
      <c r="K83" s="47">
        <f t="shared" si="6"/>
        <v>0.10706150341685665</v>
      </c>
      <c r="L83" s="8">
        <v>23.67</v>
      </c>
      <c r="M83" s="8">
        <v>21.79</v>
      </c>
      <c r="N83" s="8">
        <v>19.68</v>
      </c>
      <c r="O83" s="17">
        <f t="shared" si="7"/>
        <v>1.148644285714286</v>
      </c>
      <c r="P83" s="17">
        <f t="shared" si="8"/>
        <v>1.8381957446808481</v>
      </c>
      <c r="R83" s="9">
        <v>17.87</v>
      </c>
      <c r="S83" s="9">
        <v>6.9</v>
      </c>
      <c r="T83" s="9">
        <v>3172</v>
      </c>
      <c r="U83" s="9">
        <v>3245.65</v>
      </c>
      <c r="V83" s="45">
        <f t="shared" si="9"/>
        <v>-2.2691910711259713E-2</v>
      </c>
      <c r="W83" s="12">
        <v>35.64</v>
      </c>
      <c r="X83" s="12">
        <v>1.38</v>
      </c>
      <c r="Y83" s="12">
        <v>20210811</v>
      </c>
    </row>
    <row r="84" spans="1:25" x14ac:dyDescent="0.45">
      <c r="A84" s="3" t="s">
        <v>69</v>
      </c>
      <c r="B84" s="3" t="s">
        <v>70</v>
      </c>
      <c r="C84" s="6" t="s">
        <v>518</v>
      </c>
      <c r="D84" s="6" t="s">
        <v>234</v>
      </c>
      <c r="E84" s="6" t="s">
        <v>243</v>
      </c>
      <c r="F84" s="6">
        <v>9857.82</v>
      </c>
      <c r="G84" s="2">
        <v>8.8800000000000008</v>
      </c>
      <c r="H84" s="2">
        <v>9.74</v>
      </c>
      <c r="I84" s="2">
        <v>12.1</v>
      </c>
      <c r="J84" s="47">
        <f t="shared" si="5"/>
        <v>9.6846846846846774E-2</v>
      </c>
      <c r="K84" s="47">
        <f t="shared" si="6"/>
        <v>0.24229979466119089</v>
      </c>
      <c r="L84" s="8">
        <v>19.260000000000002</v>
      </c>
      <c r="M84" s="8">
        <v>16.72</v>
      </c>
      <c r="N84" s="8">
        <v>13.45</v>
      </c>
      <c r="O84" s="17">
        <f t="shared" si="7"/>
        <v>1.7264372093023268</v>
      </c>
      <c r="P84" s="17">
        <f t="shared" si="8"/>
        <v>0.55509745762711871</v>
      </c>
      <c r="Q84" s="5">
        <v>0.96</v>
      </c>
      <c r="R84" s="9">
        <v>8.7799999999999994</v>
      </c>
      <c r="S84" s="9">
        <v>9.08</v>
      </c>
      <c r="T84" s="9">
        <v>9772.5585900000005</v>
      </c>
      <c r="U84" s="9">
        <v>10094.799999999999</v>
      </c>
      <c r="V84" s="45">
        <f t="shared" si="9"/>
        <v>-3.1921524943535159E-2</v>
      </c>
      <c r="W84" s="12">
        <v>26.02</v>
      </c>
      <c r="X84" s="12">
        <v>1.62</v>
      </c>
      <c r="Y84" s="12">
        <v>20210803</v>
      </c>
    </row>
    <row r="85" spans="1:25" x14ac:dyDescent="0.45">
      <c r="A85" s="3" t="s">
        <v>767</v>
      </c>
      <c r="B85" s="3" t="s">
        <v>71</v>
      </c>
      <c r="C85" s="6" t="s">
        <v>518</v>
      </c>
      <c r="D85" s="6" t="s">
        <v>234</v>
      </c>
      <c r="E85" s="6" t="s">
        <v>240</v>
      </c>
      <c r="F85" s="6">
        <v>29778.560000000001</v>
      </c>
      <c r="G85" s="2">
        <v>4.62</v>
      </c>
      <c r="H85" s="2">
        <v>5.0199999999999996</v>
      </c>
      <c r="I85" s="2">
        <v>5.41</v>
      </c>
      <c r="J85" s="47">
        <f t="shared" si="5"/>
        <v>8.6580086580086466E-2</v>
      </c>
      <c r="K85" s="47">
        <f t="shared" si="6"/>
        <v>7.7689243027888572E-2</v>
      </c>
      <c r="L85" s="8">
        <v>29.35</v>
      </c>
      <c r="M85" s="8">
        <v>28.74</v>
      </c>
      <c r="N85" s="8">
        <v>26.69</v>
      </c>
      <c r="O85" s="17">
        <f t="shared" si="7"/>
        <v>3.3194700000000039</v>
      </c>
      <c r="P85" s="17">
        <f t="shared" si="8"/>
        <v>3.4354820512820456</v>
      </c>
      <c r="Q85" s="5">
        <v>3.72</v>
      </c>
      <c r="R85" s="9">
        <v>15.89</v>
      </c>
      <c r="S85" s="9">
        <v>6.4</v>
      </c>
      <c r="T85" s="9">
        <v>7665.2831999999999</v>
      </c>
      <c r="U85" s="9">
        <v>7003.6</v>
      </c>
      <c r="V85" s="45">
        <f t="shared" si="9"/>
        <v>9.4477582957336145E-2</v>
      </c>
      <c r="W85" s="12">
        <v>10.38</v>
      </c>
      <c r="X85" s="12">
        <v>1.33</v>
      </c>
      <c r="Y85" s="12">
        <v>20210729</v>
      </c>
    </row>
    <row r="86" spans="1:25" x14ac:dyDescent="0.45">
      <c r="A86" s="3" t="s">
        <v>4461</v>
      </c>
      <c r="B86" s="3" t="s">
        <v>4462</v>
      </c>
      <c r="C86" s="6" t="s">
        <v>520</v>
      </c>
      <c r="D86" s="6" t="s">
        <v>225</v>
      </c>
      <c r="E86" s="6" t="s">
        <v>226</v>
      </c>
      <c r="F86" s="6">
        <v>13240.32</v>
      </c>
      <c r="J86" s="47" t="e">
        <f t="shared" si="5"/>
        <v>#DIV/0!</v>
      </c>
      <c r="K86" s="47" t="e">
        <f t="shared" si="6"/>
        <v>#DIV/0!</v>
      </c>
      <c r="L86" s="8">
        <v>23.64</v>
      </c>
      <c r="O86" s="17" t="e">
        <f t="shared" si="7"/>
        <v>#DIV/0!</v>
      </c>
      <c r="P86" s="17" t="e">
        <f t="shared" si="8"/>
        <v>#DIV/0!</v>
      </c>
      <c r="R86" s="9">
        <v>9.42</v>
      </c>
      <c r="U86" s="9">
        <v>10108</v>
      </c>
      <c r="V86" s="45">
        <f t="shared" si="9"/>
        <v>-1</v>
      </c>
      <c r="X86" s="12">
        <v>0.43</v>
      </c>
      <c r="Y86" s="12">
        <v>20210729</v>
      </c>
    </row>
    <row r="87" spans="1:25" x14ac:dyDescent="0.45">
      <c r="A87" s="3" t="s">
        <v>3999</v>
      </c>
      <c r="B87" s="3" t="s">
        <v>4000</v>
      </c>
      <c r="C87" s="6" t="s">
        <v>520</v>
      </c>
      <c r="D87" s="6" t="s">
        <v>234</v>
      </c>
      <c r="E87" s="6" t="s">
        <v>220</v>
      </c>
      <c r="F87" s="6">
        <v>3952.14</v>
      </c>
      <c r="G87" s="2">
        <v>0.32</v>
      </c>
      <c r="H87" s="2">
        <v>0.39</v>
      </c>
      <c r="I87" s="2">
        <v>0.34</v>
      </c>
      <c r="J87" s="47">
        <f t="shared" si="5"/>
        <v>0.21875000000000003</v>
      </c>
      <c r="K87" s="47">
        <f t="shared" si="6"/>
        <v>-0.12820512820512817</v>
      </c>
      <c r="M87" s="8">
        <v>14.22</v>
      </c>
      <c r="N87" s="8">
        <v>16.309999999999999</v>
      </c>
      <c r="O87" s="17">
        <f t="shared" si="7"/>
        <v>0.65005714285714278</v>
      </c>
      <c r="P87" s="17">
        <f t="shared" si="8"/>
        <v>-1.2721800000000003</v>
      </c>
      <c r="T87" s="9">
        <v>411.85998000000001</v>
      </c>
      <c r="U87" s="9">
        <v>416.69</v>
      </c>
      <c r="V87" s="45">
        <f t="shared" si="9"/>
        <v>-1.1591398881662603E-2</v>
      </c>
      <c r="X87" s="12">
        <v>0</v>
      </c>
    </row>
    <row r="88" spans="1:25" x14ac:dyDescent="0.45">
      <c r="A88" s="3" t="s">
        <v>827</v>
      </c>
      <c r="B88" s="3" t="s">
        <v>828</v>
      </c>
      <c r="C88" s="6" t="s">
        <v>518</v>
      </c>
      <c r="D88" s="6" t="s">
        <v>10</v>
      </c>
      <c r="E88" s="6" t="s">
        <v>29</v>
      </c>
      <c r="F88" s="6">
        <v>3890.56</v>
      </c>
      <c r="G88" s="2">
        <v>1.71</v>
      </c>
      <c r="H88" s="2">
        <v>1.82</v>
      </c>
      <c r="I88" s="2">
        <v>2</v>
      </c>
      <c r="J88" s="47">
        <f t="shared" si="5"/>
        <v>6.4327485380117011E-2</v>
      </c>
      <c r="K88" s="47">
        <f t="shared" si="6"/>
        <v>9.8901098901098869E-2</v>
      </c>
      <c r="L88" s="8">
        <v>32.39</v>
      </c>
      <c r="M88" s="8">
        <v>26.64</v>
      </c>
      <c r="N88" s="8">
        <v>24.29</v>
      </c>
      <c r="O88" s="17">
        <f t="shared" si="7"/>
        <v>4.1413090909090879</v>
      </c>
      <c r="P88" s="17">
        <f t="shared" si="8"/>
        <v>2.4559888888888897</v>
      </c>
      <c r="R88" s="9">
        <v>29.26</v>
      </c>
      <c r="S88" s="9">
        <v>3.54</v>
      </c>
      <c r="T88" s="9">
        <v>2168.0769</v>
      </c>
      <c r="U88" s="9">
        <v>2072.6999999999998</v>
      </c>
      <c r="V88" s="45">
        <f t="shared" si="9"/>
        <v>4.6015776523375414E-2</v>
      </c>
      <c r="W88" s="12">
        <v>-52.17</v>
      </c>
      <c r="X88" s="12">
        <v>0</v>
      </c>
      <c r="Y88" s="12">
        <v>20210726</v>
      </c>
    </row>
    <row r="89" spans="1:25" x14ac:dyDescent="0.45">
      <c r="A89" s="3" t="s">
        <v>72</v>
      </c>
      <c r="B89" s="3" t="s">
        <v>73</v>
      </c>
      <c r="C89" s="6" t="s">
        <v>519</v>
      </c>
      <c r="D89" s="6" t="s">
        <v>189</v>
      </c>
      <c r="E89" s="6" t="s">
        <v>247</v>
      </c>
      <c r="F89" s="6">
        <v>19198.79</v>
      </c>
      <c r="G89" s="2">
        <v>5.2</v>
      </c>
      <c r="H89" s="2">
        <v>5.54</v>
      </c>
      <c r="I89" s="2">
        <v>6.07</v>
      </c>
      <c r="J89" s="47">
        <f t="shared" si="5"/>
        <v>6.538461538461536E-2</v>
      </c>
      <c r="K89" s="47">
        <f t="shared" si="6"/>
        <v>9.5667870036101124E-2</v>
      </c>
      <c r="L89" s="8">
        <v>21.81</v>
      </c>
      <c r="M89" s="8">
        <v>21.27</v>
      </c>
      <c r="N89" s="8">
        <v>19.399999999999999</v>
      </c>
      <c r="O89" s="17">
        <f t="shared" si="7"/>
        <v>3.2530588235294129</v>
      </c>
      <c r="P89" s="17">
        <f t="shared" si="8"/>
        <v>2.0278490566037726</v>
      </c>
      <c r="Q89" s="5">
        <v>1.68</v>
      </c>
      <c r="R89" s="9">
        <v>17.41</v>
      </c>
      <c r="S89" s="9">
        <v>7.88</v>
      </c>
      <c r="T89" s="9">
        <v>3433.22802</v>
      </c>
      <c r="U89" s="9">
        <v>3198.15</v>
      </c>
      <c r="V89" s="45">
        <f t="shared" si="9"/>
        <v>7.3504375967356109E-2</v>
      </c>
      <c r="W89" s="12">
        <v>6.15</v>
      </c>
      <c r="X89" s="12">
        <v>0</v>
      </c>
      <c r="Y89" s="12">
        <v>20210727</v>
      </c>
    </row>
    <row r="90" spans="1:25" x14ac:dyDescent="0.45">
      <c r="A90" s="3" t="s">
        <v>4463</v>
      </c>
      <c r="B90" s="3" t="s">
        <v>4464</v>
      </c>
      <c r="C90" s="6" t="s">
        <v>520</v>
      </c>
      <c r="D90" s="6" t="s">
        <v>234</v>
      </c>
      <c r="E90" s="6" t="s">
        <v>105</v>
      </c>
      <c r="F90" s="6">
        <v>3484</v>
      </c>
      <c r="J90" s="47" t="e">
        <f t="shared" si="5"/>
        <v>#DIV/0!</v>
      </c>
      <c r="K90" s="47" t="e">
        <f t="shared" si="6"/>
        <v>#DIV/0!</v>
      </c>
      <c r="L90" s="8">
        <v>3.94</v>
      </c>
      <c r="O90" s="17" t="e">
        <f t="shared" si="7"/>
        <v>#DIV/0!</v>
      </c>
      <c r="P90" s="17" t="e">
        <f t="shared" si="8"/>
        <v>#DIV/0!</v>
      </c>
      <c r="R90" s="9">
        <v>10.34</v>
      </c>
      <c r="S90" s="9">
        <v>-2.76</v>
      </c>
      <c r="U90" s="9">
        <v>5808.45</v>
      </c>
      <c r="V90" s="45">
        <f t="shared" si="9"/>
        <v>-1</v>
      </c>
      <c r="X90" s="12">
        <v>1.27</v>
      </c>
      <c r="Y90" s="12">
        <v>20210615</v>
      </c>
    </row>
    <row r="91" spans="1:25" x14ac:dyDescent="0.45">
      <c r="A91" s="3" t="s">
        <v>74</v>
      </c>
      <c r="B91" s="3" t="s">
        <v>509</v>
      </c>
      <c r="C91" s="6" t="s">
        <v>520</v>
      </c>
      <c r="D91" s="6" t="s">
        <v>90</v>
      </c>
      <c r="E91" s="6" t="s">
        <v>196</v>
      </c>
      <c r="F91" s="6">
        <v>24882.3</v>
      </c>
      <c r="G91" s="2">
        <v>1.49</v>
      </c>
      <c r="H91" s="2">
        <v>1.9</v>
      </c>
      <c r="I91" s="2">
        <v>2.08</v>
      </c>
      <c r="J91" s="47">
        <f t="shared" si="5"/>
        <v>0.27516778523489926</v>
      </c>
      <c r="K91" s="47">
        <f t="shared" si="6"/>
        <v>9.4736842105263244E-2</v>
      </c>
      <c r="L91" s="8">
        <v>25.22</v>
      </c>
      <c r="M91" s="8">
        <v>22.6</v>
      </c>
      <c r="N91" s="8">
        <v>20.61</v>
      </c>
      <c r="O91" s="17">
        <f t="shared" si="7"/>
        <v>0.82131707317073199</v>
      </c>
      <c r="P91" s="17">
        <f t="shared" si="8"/>
        <v>2.1754999999999982</v>
      </c>
      <c r="Q91" s="5">
        <v>1.63</v>
      </c>
      <c r="R91" s="9">
        <v>13.9</v>
      </c>
      <c r="S91" s="9">
        <v>-12.35</v>
      </c>
      <c r="T91" s="9">
        <v>11173.634760000001</v>
      </c>
      <c r="U91" s="9">
        <v>9742.99</v>
      </c>
      <c r="V91" s="45">
        <f t="shared" si="9"/>
        <v>0.14683836891960281</v>
      </c>
      <c r="W91" s="12">
        <v>38.24</v>
      </c>
      <c r="X91" s="12">
        <v>2.33</v>
      </c>
      <c r="Y91" s="12">
        <v>20210728</v>
      </c>
    </row>
    <row r="92" spans="1:25" x14ac:dyDescent="0.45">
      <c r="A92" s="3" t="s">
        <v>680</v>
      </c>
      <c r="B92" s="3" t="s">
        <v>681</v>
      </c>
      <c r="C92" s="6" t="s">
        <v>518</v>
      </c>
      <c r="D92" s="6" t="s">
        <v>309</v>
      </c>
      <c r="E92" s="6" t="s">
        <v>310</v>
      </c>
      <c r="F92" s="6">
        <v>5257.71</v>
      </c>
      <c r="G92" s="2">
        <v>4.2</v>
      </c>
      <c r="H92" s="2">
        <v>3.94</v>
      </c>
      <c r="I92" s="2">
        <v>5.18</v>
      </c>
      <c r="J92" s="47">
        <f t="shared" si="5"/>
        <v>-6.1904761904761955E-2</v>
      </c>
      <c r="K92" s="47">
        <f t="shared" si="6"/>
        <v>0.31472081218274106</v>
      </c>
      <c r="L92" s="8">
        <v>11.75</v>
      </c>
      <c r="M92" s="8">
        <v>11.69</v>
      </c>
      <c r="N92" s="8">
        <v>8.89</v>
      </c>
      <c r="O92" s="17">
        <f t="shared" si="7"/>
        <v>-1.888384615384614</v>
      </c>
      <c r="P92" s="17">
        <f t="shared" si="8"/>
        <v>0.28247258064516134</v>
      </c>
      <c r="Q92" s="5">
        <v>0.66</v>
      </c>
      <c r="R92" s="9">
        <v>7.61</v>
      </c>
      <c r="S92" s="9">
        <v>10.82</v>
      </c>
      <c r="T92" s="9">
        <v>2136.9951099999998</v>
      </c>
      <c r="U92" s="9">
        <v>2015.44</v>
      </c>
      <c r="V92" s="45">
        <f t="shared" si="9"/>
        <v>6.0311946770928326E-2</v>
      </c>
      <c r="W92" s="12">
        <v>-30.69</v>
      </c>
      <c r="X92" s="12">
        <v>1.39</v>
      </c>
      <c r="Y92" s="12">
        <v>20210805</v>
      </c>
    </row>
    <row r="93" spans="1:25" x14ac:dyDescent="0.45">
      <c r="A93" s="3" t="s">
        <v>75</v>
      </c>
      <c r="B93" s="3" t="s">
        <v>76</v>
      </c>
      <c r="C93" s="6" t="s">
        <v>518</v>
      </c>
      <c r="D93" s="6" t="s">
        <v>90</v>
      </c>
      <c r="E93" s="6" t="s">
        <v>196</v>
      </c>
      <c r="F93" s="6">
        <v>20352.78</v>
      </c>
      <c r="G93" s="2">
        <v>4.0999999999999996</v>
      </c>
      <c r="H93" s="2">
        <v>3.61</v>
      </c>
      <c r="I93" s="2">
        <v>4.9000000000000004</v>
      </c>
      <c r="J93" s="47">
        <f t="shared" si="5"/>
        <v>-0.11951219512195117</v>
      </c>
      <c r="K93" s="47">
        <f t="shared" si="6"/>
        <v>0.35734072022160679</v>
      </c>
      <c r="L93" s="8">
        <v>41.32</v>
      </c>
      <c r="M93" s="8">
        <v>48.28</v>
      </c>
      <c r="N93" s="8">
        <v>35.6</v>
      </c>
      <c r="O93" s="17">
        <f t="shared" si="7"/>
        <v>-4.039755102040818</v>
      </c>
      <c r="P93" s="17">
        <f t="shared" si="8"/>
        <v>0.99624806201550342</v>
      </c>
      <c r="Q93" s="5">
        <v>2.4300000000000002</v>
      </c>
      <c r="R93" s="9">
        <v>9.66</v>
      </c>
      <c r="S93" s="9">
        <v>2.85</v>
      </c>
      <c r="T93" s="9">
        <v>3244.9040500000001</v>
      </c>
      <c r="U93" s="9">
        <v>3128.91</v>
      </c>
      <c r="V93" s="45">
        <f t="shared" si="9"/>
        <v>3.70717118741032E-2</v>
      </c>
      <c r="W93" s="12">
        <v>39.24</v>
      </c>
      <c r="X93" s="12">
        <v>0.89</v>
      </c>
      <c r="Y93" s="12">
        <v>20210804</v>
      </c>
    </row>
    <row r="94" spans="1:25" x14ac:dyDescent="0.45">
      <c r="A94" s="3" t="s">
        <v>829</v>
      </c>
      <c r="B94" s="3" t="s">
        <v>574</v>
      </c>
      <c r="C94" s="6" t="s">
        <v>518</v>
      </c>
      <c r="D94" s="6" t="s">
        <v>279</v>
      </c>
      <c r="E94" s="6" t="s">
        <v>262</v>
      </c>
      <c r="F94" s="6">
        <v>33812.730000000003</v>
      </c>
      <c r="G94" s="2">
        <v>1.05</v>
      </c>
      <c r="H94" s="2">
        <v>1.91</v>
      </c>
      <c r="I94" s="2">
        <v>2.33</v>
      </c>
      <c r="J94" s="47">
        <f t="shared" si="5"/>
        <v>0.81904761904761891</v>
      </c>
      <c r="K94" s="47">
        <f t="shared" si="6"/>
        <v>0.21989528795811528</v>
      </c>
      <c r="L94" s="8">
        <v>64.13</v>
      </c>
      <c r="M94" s="8">
        <v>36.26</v>
      </c>
      <c r="N94" s="8">
        <v>29.71</v>
      </c>
      <c r="O94" s="17">
        <f t="shared" si="7"/>
        <v>0.44270930232558142</v>
      </c>
      <c r="P94" s="17">
        <f t="shared" si="8"/>
        <v>1.3510976190476185</v>
      </c>
      <c r="Q94" s="5">
        <v>2.0699999999999998</v>
      </c>
      <c r="R94" s="9">
        <v>2.84</v>
      </c>
      <c r="T94" s="9">
        <v>7931.6328100000001</v>
      </c>
      <c r="U94" s="9">
        <v>6833</v>
      </c>
      <c r="V94" s="45">
        <f t="shared" si="9"/>
        <v>0.16078337626225669</v>
      </c>
      <c r="W94" s="12">
        <v>11.36</v>
      </c>
      <c r="X94" s="12">
        <v>0</v>
      </c>
      <c r="Y94" s="12">
        <v>20210817</v>
      </c>
    </row>
    <row r="95" spans="1:25" x14ac:dyDescent="0.45">
      <c r="A95" s="3" t="s">
        <v>768</v>
      </c>
      <c r="B95" s="3" t="s">
        <v>769</v>
      </c>
      <c r="C95" s="6" t="s">
        <v>518</v>
      </c>
      <c r="D95" s="6" t="s">
        <v>327</v>
      </c>
      <c r="E95" s="6" t="s">
        <v>321</v>
      </c>
      <c r="F95" s="6">
        <v>3646.96</v>
      </c>
      <c r="G95" s="2">
        <v>3.32</v>
      </c>
      <c r="H95" s="2">
        <v>3.26</v>
      </c>
      <c r="I95" s="2">
        <v>3.89</v>
      </c>
      <c r="J95" s="47">
        <f t="shared" si="5"/>
        <v>-1.8072289156626523E-2</v>
      </c>
      <c r="K95" s="47">
        <f t="shared" si="6"/>
        <v>0.19325153374233139</v>
      </c>
      <c r="L95" s="8">
        <v>22.84</v>
      </c>
      <c r="M95" s="8">
        <v>21.47</v>
      </c>
      <c r="N95" s="8">
        <v>17.940000000000001</v>
      </c>
      <c r="O95" s="17">
        <f t="shared" si="7"/>
        <v>-11.880066666666655</v>
      </c>
      <c r="P95" s="17">
        <f t="shared" si="8"/>
        <v>0.92832380952380911</v>
      </c>
      <c r="Q95" s="5">
        <v>3.58</v>
      </c>
      <c r="R95" s="9">
        <v>6.07</v>
      </c>
      <c r="S95" s="9">
        <v>-4.24</v>
      </c>
      <c r="T95" s="9">
        <v>1196.1300000000001</v>
      </c>
      <c r="U95" s="9">
        <v>1169.0999999999999</v>
      </c>
      <c r="V95" s="45">
        <f t="shared" si="9"/>
        <v>2.3120348986399968E-2</v>
      </c>
      <c r="W95" s="12">
        <v>-10.81</v>
      </c>
      <c r="X95" s="12">
        <v>3.61</v>
      </c>
      <c r="Y95" s="12">
        <v>20210804</v>
      </c>
    </row>
    <row r="96" spans="1:25" x14ac:dyDescent="0.45">
      <c r="A96" s="3" t="s">
        <v>905</v>
      </c>
      <c r="B96" s="3" t="s">
        <v>906</v>
      </c>
      <c r="C96" s="6" t="s">
        <v>519</v>
      </c>
      <c r="D96" s="6" t="s">
        <v>189</v>
      </c>
      <c r="E96" s="6" t="s">
        <v>213</v>
      </c>
      <c r="F96" s="6">
        <v>5174</v>
      </c>
      <c r="G96" s="2">
        <v>0.41</v>
      </c>
      <c r="H96" s="2">
        <v>0.66</v>
      </c>
      <c r="I96" s="2">
        <v>0.88</v>
      </c>
      <c r="J96" s="47">
        <f t="shared" si="5"/>
        <v>0.60975609756097582</v>
      </c>
      <c r="K96" s="47">
        <f t="shared" si="6"/>
        <v>0.33333333333333326</v>
      </c>
      <c r="M96" s="8">
        <v>41.35</v>
      </c>
      <c r="N96" s="8">
        <v>31.01</v>
      </c>
      <c r="O96" s="17">
        <f t="shared" si="7"/>
        <v>0.67813999999999974</v>
      </c>
      <c r="P96" s="17">
        <f t="shared" si="8"/>
        <v>0.93030000000000013</v>
      </c>
      <c r="T96" s="9">
        <v>712.09996999999998</v>
      </c>
      <c r="U96" s="9">
        <v>486.55</v>
      </c>
      <c r="V96" s="45">
        <f t="shared" si="9"/>
        <v>0.4635699722536224</v>
      </c>
      <c r="W96" s="12">
        <v>7.14</v>
      </c>
      <c r="X96" s="12">
        <v>0</v>
      </c>
    </row>
    <row r="97" spans="1:25" x14ac:dyDescent="0.45">
      <c r="A97" s="3" t="s">
        <v>77</v>
      </c>
      <c r="B97" s="3" t="s">
        <v>78</v>
      </c>
      <c r="C97" s="6" t="s">
        <v>519</v>
      </c>
      <c r="D97" s="6" t="s">
        <v>279</v>
      </c>
      <c r="E97" s="6" t="s">
        <v>257</v>
      </c>
      <c r="F97" s="6">
        <v>46334.46</v>
      </c>
      <c r="G97" s="2">
        <v>4.6900000000000004</v>
      </c>
      <c r="H97" s="2">
        <v>10.53</v>
      </c>
      <c r="I97" s="2">
        <v>12.6</v>
      </c>
      <c r="J97" s="47">
        <f t="shared" si="5"/>
        <v>1.2452025586353941</v>
      </c>
      <c r="K97" s="47">
        <f t="shared" si="6"/>
        <v>0.19658119658119663</v>
      </c>
      <c r="L97" s="8">
        <v>83.64</v>
      </c>
      <c r="M97" s="8">
        <v>55.6</v>
      </c>
      <c r="N97" s="8">
        <v>46.49</v>
      </c>
      <c r="O97" s="17">
        <f t="shared" si="7"/>
        <v>0.44651369863013712</v>
      </c>
      <c r="P97" s="17">
        <f t="shared" si="8"/>
        <v>2.3649260869565212</v>
      </c>
      <c r="Q97" s="5">
        <v>2.4</v>
      </c>
      <c r="R97" s="9">
        <v>14.65</v>
      </c>
      <c r="S97" s="9">
        <v>24.58</v>
      </c>
      <c r="T97" s="9">
        <v>3717.4050200000001</v>
      </c>
      <c r="U97" s="9">
        <v>2471.94</v>
      </c>
      <c r="V97" s="45">
        <f t="shared" si="9"/>
        <v>0.50384112073917653</v>
      </c>
      <c r="W97" s="12">
        <v>25.13</v>
      </c>
      <c r="X97" s="12">
        <v>0</v>
      </c>
      <c r="Y97" s="12">
        <v>20210728</v>
      </c>
    </row>
    <row r="98" spans="1:25" x14ac:dyDescent="0.45">
      <c r="A98" s="3" t="s">
        <v>830</v>
      </c>
      <c r="B98" s="3" t="s">
        <v>831</v>
      </c>
      <c r="C98" s="6" t="s">
        <v>519</v>
      </c>
      <c r="D98" s="6" t="s">
        <v>309</v>
      </c>
      <c r="E98" s="6" t="s">
        <v>307</v>
      </c>
      <c r="F98" s="6">
        <v>3521.89</v>
      </c>
      <c r="G98" s="2">
        <v>-10.62</v>
      </c>
      <c r="H98" s="2">
        <v>3.86</v>
      </c>
      <c r="I98" s="2">
        <v>16.489999999999998</v>
      </c>
      <c r="J98" s="47">
        <f t="shared" si="5"/>
        <v>1.3634651600753296</v>
      </c>
      <c r="K98" s="47">
        <f t="shared" si="6"/>
        <v>3.2720207253886007</v>
      </c>
      <c r="M98" s="8">
        <v>55.6</v>
      </c>
      <c r="N98" s="8">
        <v>13.01</v>
      </c>
      <c r="O98" s="17">
        <f t="shared" si="7"/>
        <v>0.40778453038674034</v>
      </c>
      <c r="P98" s="17">
        <f t="shared" si="8"/>
        <v>3.9761361836896283E-2</v>
      </c>
      <c r="R98" s="9">
        <v>-33.46</v>
      </c>
      <c r="S98" s="9">
        <v>-2.35</v>
      </c>
      <c r="T98" s="9">
        <v>1649.03198</v>
      </c>
      <c r="U98" s="9">
        <v>990.07</v>
      </c>
      <c r="V98" s="45">
        <f t="shared" si="9"/>
        <v>0.66557110103326012</v>
      </c>
      <c r="W98" s="12">
        <v>-12.93</v>
      </c>
      <c r="X98" s="12">
        <v>0</v>
      </c>
      <c r="Y98" s="12">
        <v>20210804</v>
      </c>
    </row>
    <row r="99" spans="1:25" x14ac:dyDescent="0.45">
      <c r="A99" s="3" t="s">
        <v>4001</v>
      </c>
      <c r="B99" s="3" t="s">
        <v>4002</v>
      </c>
      <c r="C99" s="6" t="s">
        <v>519</v>
      </c>
      <c r="D99" s="6" t="s">
        <v>279</v>
      </c>
      <c r="E99" s="6" t="s">
        <v>266</v>
      </c>
      <c r="F99" s="6">
        <v>4464.6099999999997</v>
      </c>
      <c r="H99" s="2">
        <v>-0.66</v>
      </c>
      <c r="I99" s="2">
        <v>-0.45</v>
      </c>
      <c r="J99" s="47" t="e">
        <f t="shared" si="5"/>
        <v>#DIV/0!</v>
      </c>
      <c r="K99" s="47">
        <f t="shared" si="6"/>
        <v>0.31818181818181818</v>
      </c>
      <c r="O99" s="17" t="e">
        <f t="shared" si="7"/>
        <v>#DIV/0!</v>
      </c>
      <c r="P99" s="17">
        <f t="shared" si="8"/>
        <v>0</v>
      </c>
      <c r="T99" s="9">
        <v>1040.0400299999999</v>
      </c>
      <c r="U99" s="9">
        <v>959.22</v>
      </c>
      <c r="V99" s="45">
        <f t="shared" si="9"/>
        <v>8.4255989241258378E-2</v>
      </c>
      <c r="W99" s="12">
        <v>-94.74</v>
      </c>
      <c r="X99" s="12">
        <v>0</v>
      </c>
      <c r="Y99" s="12">
        <v>20210816</v>
      </c>
    </row>
    <row r="100" spans="1:25" x14ac:dyDescent="0.45">
      <c r="A100" s="3" t="s">
        <v>4465</v>
      </c>
      <c r="B100" s="3" t="s">
        <v>4466</v>
      </c>
      <c r="C100" s="6" t="s">
        <v>520</v>
      </c>
      <c r="D100" s="6" t="s">
        <v>279</v>
      </c>
      <c r="E100" s="6" t="s">
        <v>256</v>
      </c>
      <c r="F100" s="6">
        <v>29891.13</v>
      </c>
      <c r="J100" s="47" t="e">
        <f t="shared" si="5"/>
        <v>#DIV/0!</v>
      </c>
      <c r="K100" s="47" t="e">
        <f t="shared" si="6"/>
        <v>#DIV/0!</v>
      </c>
      <c r="O100" s="17" t="e">
        <f t="shared" si="7"/>
        <v>#DIV/0!</v>
      </c>
      <c r="P100" s="17" t="e">
        <f t="shared" si="8"/>
        <v>#DIV/0!</v>
      </c>
      <c r="V100" s="45" t="e">
        <f t="shared" si="9"/>
        <v>#DIV/0!</v>
      </c>
      <c r="X100" s="12">
        <v>0</v>
      </c>
    </row>
    <row r="101" spans="1:25" x14ac:dyDescent="0.45">
      <c r="A101" s="3" t="s">
        <v>4467</v>
      </c>
      <c r="B101" s="3" t="s">
        <v>4468</v>
      </c>
      <c r="C101" s="6" t="s">
        <v>520</v>
      </c>
      <c r="D101" s="6" t="s">
        <v>234</v>
      </c>
      <c r="E101" s="6" t="s">
        <v>243</v>
      </c>
      <c r="F101" s="6">
        <v>108762.92</v>
      </c>
      <c r="J101" s="47" t="e">
        <f t="shared" si="5"/>
        <v>#DIV/0!</v>
      </c>
      <c r="K101" s="47" t="e">
        <f t="shared" si="6"/>
        <v>#DIV/0!</v>
      </c>
      <c r="L101" s="8">
        <v>11.72</v>
      </c>
      <c r="O101" s="17" t="e">
        <f t="shared" si="7"/>
        <v>#DIV/0!</v>
      </c>
      <c r="P101" s="17" t="e">
        <f t="shared" si="8"/>
        <v>#DIV/0!</v>
      </c>
      <c r="R101" s="9">
        <v>10.41</v>
      </c>
      <c r="S101" s="9">
        <v>4.67</v>
      </c>
      <c r="U101" s="9">
        <v>160428.09</v>
      </c>
      <c r="V101" s="45">
        <f t="shared" si="9"/>
        <v>-1</v>
      </c>
      <c r="X101" s="12">
        <v>3.06</v>
      </c>
      <c r="Y101" s="12">
        <v>20210804</v>
      </c>
    </row>
    <row r="102" spans="1:25" x14ac:dyDescent="0.45">
      <c r="A102" s="3" t="s">
        <v>602</v>
      </c>
      <c r="B102" s="3" t="s">
        <v>603</v>
      </c>
      <c r="C102" s="6" t="s">
        <v>518</v>
      </c>
      <c r="D102" s="6" t="s">
        <v>309</v>
      </c>
      <c r="E102" s="6" t="s">
        <v>307</v>
      </c>
      <c r="F102" s="6">
        <v>8168.5</v>
      </c>
      <c r="G102" s="2">
        <v>-10.5</v>
      </c>
      <c r="H102" s="2">
        <v>-2.56</v>
      </c>
      <c r="I102" s="2">
        <v>5.24</v>
      </c>
      <c r="J102" s="47">
        <f t="shared" si="5"/>
        <v>0.75619047619047619</v>
      </c>
      <c r="K102" s="47">
        <f t="shared" si="6"/>
        <v>3.046875</v>
      </c>
      <c r="N102" s="8">
        <v>12.52</v>
      </c>
      <c r="O102" s="17">
        <f t="shared" si="7"/>
        <v>0</v>
      </c>
      <c r="P102" s="17">
        <f t="shared" si="8"/>
        <v>4.1091282051282048E-2</v>
      </c>
      <c r="R102" s="9">
        <v>-48.26</v>
      </c>
      <c r="S102" s="9">
        <v>-5.73</v>
      </c>
      <c r="T102" s="9">
        <v>6032.5517499999996</v>
      </c>
      <c r="U102" s="9">
        <v>3566</v>
      </c>
      <c r="V102" s="45">
        <f t="shared" si="9"/>
        <v>0.69168585249579351</v>
      </c>
      <c r="W102" s="12">
        <v>5.39</v>
      </c>
      <c r="X102" s="12">
        <v>0</v>
      </c>
      <c r="Y102" s="12">
        <v>20210722</v>
      </c>
    </row>
    <row r="103" spans="1:25" x14ac:dyDescent="0.45">
      <c r="A103" s="3" t="s">
        <v>4003</v>
      </c>
      <c r="B103" s="3" t="s">
        <v>4004</v>
      </c>
      <c r="C103" s="6" t="s">
        <v>519</v>
      </c>
      <c r="D103" s="6" t="s">
        <v>279</v>
      </c>
      <c r="E103" s="6" t="s">
        <v>256</v>
      </c>
      <c r="F103" s="6">
        <v>3963.16</v>
      </c>
      <c r="G103" s="2">
        <v>0.39</v>
      </c>
      <c r="H103" s="2">
        <v>0.5</v>
      </c>
      <c r="I103" s="2">
        <v>0.93</v>
      </c>
      <c r="J103" s="47">
        <f t="shared" si="5"/>
        <v>0.28205128205128199</v>
      </c>
      <c r="K103" s="47">
        <f t="shared" si="6"/>
        <v>0.8600000000000001</v>
      </c>
      <c r="L103" s="8">
        <v>46.6</v>
      </c>
      <c r="M103" s="8">
        <v>49.9</v>
      </c>
      <c r="N103" s="8">
        <v>26.63</v>
      </c>
      <c r="O103" s="17">
        <f t="shared" si="7"/>
        <v>1.7691818181818184</v>
      </c>
      <c r="P103" s="17">
        <f t="shared" si="8"/>
        <v>0.3096511627906976</v>
      </c>
      <c r="Q103" s="5">
        <v>1.32</v>
      </c>
      <c r="R103" s="9">
        <v>-0.15</v>
      </c>
      <c r="S103" s="9">
        <v>11.66</v>
      </c>
      <c r="T103" s="9">
        <v>1145.4169899999999</v>
      </c>
      <c r="U103" s="9">
        <v>1038.76</v>
      </c>
      <c r="V103" s="45">
        <f t="shared" si="9"/>
        <v>0.10267722091724744</v>
      </c>
      <c r="W103" s="12">
        <v>320</v>
      </c>
      <c r="X103" s="12">
        <v>0</v>
      </c>
      <c r="Y103" s="12">
        <v>20210804</v>
      </c>
    </row>
    <row r="104" spans="1:25" x14ac:dyDescent="0.45">
      <c r="A104" s="3" t="s">
        <v>417</v>
      </c>
      <c r="B104" s="3" t="s">
        <v>81</v>
      </c>
      <c r="C104" s="6" t="s">
        <v>518</v>
      </c>
      <c r="D104" s="6" t="s">
        <v>234</v>
      </c>
      <c r="E104" s="6" t="s">
        <v>244</v>
      </c>
      <c r="F104" s="6">
        <v>39821.019999999997</v>
      </c>
      <c r="G104" s="2">
        <v>12.71</v>
      </c>
      <c r="H104" s="2">
        <v>15.52</v>
      </c>
      <c r="I104" s="2">
        <v>13.12</v>
      </c>
      <c r="J104" s="47">
        <f t="shared" si="5"/>
        <v>0.2210857592446891</v>
      </c>
      <c r="K104" s="47">
        <f t="shared" si="6"/>
        <v>-0.15463917525773199</v>
      </c>
      <c r="L104" s="8">
        <v>7.65</v>
      </c>
      <c r="M104" s="8">
        <v>8.57</v>
      </c>
      <c r="N104" s="8">
        <v>10.14</v>
      </c>
      <c r="O104" s="17">
        <f t="shared" si="7"/>
        <v>0.38763238434163727</v>
      </c>
      <c r="P104" s="17">
        <f t="shared" si="8"/>
        <v>-0.65571999999999986</v>
      </c>
      <c r="Q104" s="5">
        <v>1.1399999999999999</v>
      </c>
      <c r="R104" s="9">
        <v>21.16</v>
      </c>
      <c r="S104" s="9">
        <v>5.7</v>
      </c>
      <c r="T104" s="9">
        <v>46718.710930000001</v>
      </c>
      <c r="U104" s="9">
        <v>44791</v>
      </c>
      <c r="V104" s="45">
        <f t="shared" si="9"/>
        <v>4.303790783862832E-2</v>
      </c>
      <c r="W104" s="12">
        <v>58.7</v>
      </c>
      <c r="X104" s="12">
        <v>2.44</v>
      </c>
      <c r="Y104" s="12">
        <v>20210803</v>
      </c>
    </row>
    <row r="105" spans="1:25" x14ac:dyDescent="0.45">
      <c r="A105" s="3" t="s">
        <v>82</v>
      </c>
      <c r="B105" s="3" t="s">
        <v>83</v>
      </c>
      <c r="C105" s="6" t="s">
        <v>518</v>
      </c>
      <c r="D105" s="6" t="s">
        <v>272</v>
      </c>
      <c r="E105" s="6" t="s">
        <v>297</v>
      </c>
      <c r="F105" s="6">
        <v>12425.08</v>
      </c>
      <c r="G105" s="2">
        <v>4.8</v>
      </c>
      <c r="H105" s="2">
        <v>5.18</v>
      </c>
      <c r="I105" s="2">
        <v>5.51</v>
      </c>
      <c r="J105" s="47">
        <f t="shared" si="5"/>
        <v>7.9166666666666649E-2</v>
      </c>
      <c r="K105" s="47">
        <f t="shared" si="6"/>
        <v>6.3706563706563718E-2</v>
      </c>
      <c r="L105" s="8">
        <v>26.15</v>
      </c>
      <c r="M105" s="8">
        <v>26.64</v>
      </c>
      <c r="N105" s="8">
        <v>25.06</v>
      </c>
      <c r="O105" s="17">
        <f t="shared" si="7"/>
        <v>3.3650526315789482</v>
      </c>
      <c r="P105" s="17">
        <f t="shared" si="8"/>
        <v>3.9336606060606054</v>
      </c>
      <c r="Q105" s="5">
        <v>4.7</v>
      </c>
      <c r="R105" s="9">
        <v>63.36</v>
      </c>
      <c r="S105" s="9">
        <v>5.94</v>
      </c>
      <c r="T105" s="9">
        <v>2790.7871</v>
      </c>
      <c r="U105" s="9">
        <v>2719.9</v>
      </c>
      <c r="V105" s="45">
        <f t="shared" si="9"/>
        <v>2.606239199970584E-2</v>
      </c>
      <c r="W105" s="12">
        <v>17.649999999999999</v>
      </c>
      <c r="X105" s="12">
        <v>1.04</v>
      </c>
      <c r="Y105" s="12">
        <v>20210722</v>
      </c>
    </row>
    <row r="106" spans="1:25" x14ac:dyDescent="0.45">
      <c r="A106" s="3" t="s">
        <v>624</v>
      </c>
      <c r="B106" s="3" t="s">
        <v>625</v>
      </c>
      <c r="C106" s="6" t="s">
        <v>519</v>
      </c>
      <c r="D106" s="6" t="s">
        <v>279</v>
      </c>
      <c r="E106" s="6" t="s">
        <v>256</v>
      </c>
      <c r="F106" s="6">
        <v>4945.0200000000004</v>
      </c>
      <c r="G106" s="2">
        <v>-3.11</v>
      </c>
      <c r="H106" s="2">
        <v>-4.46</v>
      </c>
      <c r="I106" s="2">
        <v>-5.94</v>
      </c>
      <c r="J106" s="47">
        <f t="shared" si="5"/>
        <v>-0.43408360128617368</v>
      </c>
      <c r="K106" s="47">
        <f t="shared" si="6"/>
        <v>-0.33183856502242165</v>
      </c>
      <c r="O106" s="17">
        <f t="shared" si="7"/>
        <v>0</v>
      </c>
      <c r="P106" s="17">
        <f t="shared" si="8"/>
        <v>0</v>
      </c>
      <c r="R106" s="9">
        <v>-34.01</v>
      </c>
      <c r="V106" s="45" t="e">
        <f t="shared" si="9"/>
        <v>#DIV/0!</v>
      </c>
      <c r="W106" s="12">
        <v>-33.33</v>
      </c>
      <c r="X106" s="12">
        <v>0</v>
      </c>
      <c r="Y106" s="12">
        <v>20210809</v>
      </c>
    </row>
    <row r="107" spans="1:25" x14ac:dyDescent="0.45">
      <c r="A107" s="3" t="s">
        <v>626</v>
      </c>
      <c r="B107" s="3" t="s">
        <v>627</v>
      </c>
      <c r="C107" s="6" t="s">
        <v>519</v>
      </c>
      <c r="D107" s="6" t="s">
        <v>279</v>
      </c>
      <c r="E107" s="6" t="s">
        <v>256</v>
      </c>
      <c r="F107" s="6">
        <v>3520.06</v>
      </c>
      <c r="G107" s="2">
        <v>-2.13</v>
      </c>
      <c r="H107" s="2">
        <v>-1.98</v>
      </c>
      <c r="I107" s="2">
        <v>-2.5299999999999998</v>
      </c>
      <c r="J107" s="47">
        <f t="shared" si="5"/>
        <v>7.0422535211267567E-2</v>
      </c>
      <c r="K107" s="47">
        <f t="shared" si="6"/>
        <v>-0.27777777777777768</v>
      </c>
      <c r="O107" s="17">
        <f t="shared" si="7"/>
        <v>0</v>
      </c>
      <c r="P107" s="17">
        <f t="shared" si="8"/>
        <v>0</v>
      </c>
      <c r="R107" s="9">
        <v>-20.65</v>
      </c>
      <c r="T107" s="9">
        <v>38.486989999999999</v>
      </c>
      <c r="V107" s="45" t="e">
        <f t="shared" si="9"/>
        <v>#DIV/0!</v>
      </c>
      <c r="W107" s="12">
        <v>47.92</v>
      </c>
      <c r="X107" s="12">
        <v>0</v>
      </c>
      <c r="Y107" s="12">
        <v>20210804</v>
      </c>
    </row>
    <row r="108" spans="1:25" x14ac:dyDescent="0.45">
      <c r="A108" s="3" t="s">
        <v>84</v>
      </c>
      <c r="B108" s="3" t="s">
        <v>85</v>
      </c>
      <c r="C108" s="6" t="s">
        <v>518</v>
      </c>
      <c r="D108" s="6" t="s">
        <v>234</v>
      </c>
      <c r="E108" s="6" t="s">
        <v>218</v>
      </c>
      <c r="F108" s="6">
        <v>20272.52</v>
      </c>
      <c r="G108" s="2">
        <v>2.4700000000000002</v>
      </c>
      <c r="H108" s="2">
        <v>6.27</v>
      </c>
      <c r="I108" s="2">
        <v>6.23</v>
      </c>
      <c r="J108" s="47">
        <f t="shared" si="5"/>
        <v>1.5384615384615381</v>
      </c>
      <c r="K108" s="47">
        <f t="shared" si="6"/>
        <v>-6.3795853269536127E-3</v>
      </c>
      <c r="L108" s="8">
        <v>9.85</v>
      </c>
      <c r="M108" s="8">
        <v>8.7200000000000006</v>
      </c>
      <c r="N108" s="8">
        <v>8.77</v>
      </c>
      <c r="O108" s="17">
        <f t="shared" si="7"/>
        <v>5.6680000000000015E-2</v>
      </c>
      <c r="P108" s="17">
        <f t="shared" si="8"/>
        <v>-13.74697500000029</v>
      </c>
      <c r="R108" s="9">
        <v>14.64</v>
      </c>
      <c r="S108" s="9">
        <v>-0.5</v>
      </c>
      <c r="T108" s="9">
        <v>7577.8798800000004</v>
      </c>
      <c r="U108" s="9">
        <v>6686</v>
      </c>
      <c r="V108" s="45">
        <f t="shared" si="9"/>
        <v>0.13339513610529471</v>
      </c>
      <c r="W108" s="12">
        <v>77.12</v>
      </c>
      <c r="X108" s="12">
        <v>1.39</v>
      </c>
      <c r="Y108" s="12">
        <v>20210716</v>
      </c>
    </row>
    <row r="109" spans="1:25" x14ac:dyDescent="0.45">
      <c r="A109" s="3" t="s">
        <v>4469</v>
      </c>
      <c r="B109" s="3" t="s">
        <v>4470</v>
      </c>
      <c r="C109" s="6" t="s">
        <v>520</v>
      </c>
      <c r="D109" s="6" t="s">
        <v>309</v>
      </c>
      <c r="E109" s="6" t="s">
        <v>307</v>
      </c>
      <c r="F109" s="6">
        <v>9287.48</v>
      </c>
      <c r="J109" s="47" t="e">
        <f t="shared" si="5"/>
        <v>#DIV/0!</v>
      </c>
      <c r="K109" s="47" t="e">
        <f t="shared" si="6"/>
        <v>#DIV/0!</v>
      </c>
      <c r="O109" s="17" t="e">
        <f t="shared" si="7"/>
        <v>#DIV/0!</v>
      </c>
      <c r="P109" s="17" t="e">
        <f t="shared" si="8"/>
        <v>#DIV/0!</v>
      </c>
      <c r="R109" s="9">
        <v>-31.5</v>
      </c>
      <c r="S109" s="9">
        <v>-8.4700000000000006</v>
      </c>
      <c r="U109" s="9">
        <v>6874.33</v>
      </c>
      <c r="V109" s="45">
        <f t="shared" si="9"/>
        <v>-1</v>
      </c>
      <c r="X109" s="12">
        <v>0</v>
      </c>
      <c r="Y109" s="12">
        <v>20210804</v>
      </c>
    </row>
    <row r="110" spans="1:25" x14ac:dyDescent="0.45">
      <c r="A110" s="3" t="s">
        <v>86</v>
      </c>
      <c r="B110" s="3" t="s">
        <v>87</v>
      </c>
      <c r="C110" s="6" t="s">
        <v>519</v>
      </c>
      <c r="D110" s="6" t="s">
        <v>279</v>
      </c>
      <c r="E110" s="6" t="s">
        <v>256</v>
      </c>
      <c r="F110" s="6">
        <v>18502.759999999998</v>
      </c>
      <c r="G110" s="2">
        <v>-7.36</v>
      </c>
      <c r="H110" s="2">
        <v>-6.19</v>
      </c>
      <c r="I110" s="2">
        <v>-3.59</v>
      </c>
      <c r="J110" s="47">
        <f t="shared" si="5"/>
        <v>0.15896739130434781</v>
      </c>
      <c r="K110" s="47">
        <f t="shared" si="6"/>
        <v>0.42003231017770604</v>
      </c>
      <c r="O110" s="17">
        <f t="shared" si="7"/>
        <v>0</v>
      </c>
      <c r="P110" s="17">
        <f t="shared" si="8"/>
        <v>0</v>
      </c>
      <c r="R110" s="9">
        <v>-76.92</v>
      </c>
      <c r="S110" s="9">
        <v>74.72</v>
      </c>
      <c r="T110" s="9">
        <v>835.10100999999997</v>
      </c>
      <c r="U110" s="9">
        <v>492.85</v>
      </c>
      <c r="V110" s="45">
        <f t="shared" si="9"/>
        <v>0.69443240336816459</v>
      </c>
      <c r="W110" s="12">
        <v>2.29</v>
      </c>
      <c r="X110" s="12">
        <v>0</v>
      </c>
      <c r="Y110" s="12">
        <v>20210805</v>
      </c>
    </row>
    <row r="111" spans="1:25" x14ac:dyDescent="0.45">
      <c r="A111" s="3" t="s">
        <v>590</v>
      </c>
      <c r="B111" s="3" t="s">
        <v>591</v>
      </c>
      <c r="C111" s="6" t="s">
        <v>520</v>
      </c>
      <c r="D111" s="6" t="s">
        <v>279</v>
      </c>
      <c r="E111" s="6" t="s">
        <v>258</v>
      </c>
      <c r="F111" s="6">
        <v>32227.58</v>
      </c>
      <c r="G111" s="2">
        <v>1.01</v>
      </c>
      <c r="H111" s="2">
        <v>1.1299999999999999</v>
      </c>
      <c r="I111" s="2">
        <v>1.38</v>
      </c>
      <c r="J111" s="47">
        <f t="shared" si="5"/>
        <v>0.1188118811881187</v>
      </c>
      <c r="K111" s="47">
        <f t="shared" si="6"/>
        <v>0.22123893805309736</v>
      </c>
      <c r="L111" s="8">
        <v>22.19</v>
      </c>
      <c r="M111" s="8">
        <v>15.32</v>
      </c>
      <c r="N111" s="8">
        <v>12.54</v>
      </c>
      <c r="O111" s="17">
        <f t="shared" si="7"/>
        <v>1.2894333333333345</v>
      </c>
      <c r="P111" s="17">
        <f t="shared" si="8"/>
        <v>0.56680799999999998</v>
      </c>
      <c r="R111" s="9">
        <v>11.32</v>
      </c>
      <c r="S111" s="9">
        <v>-0.25</v>
      </c>
      <c r="T111" s="9">
        <v>12081.45019</v>
      </c>
      <c r="U111" s="9">
        <v>11787.94</v>
      </c>
      <c r="V111" s="45">
        <f t="shared" si="9"/>
        <v>2.4899192734269011E-2</v>
      </c>
      <c r="X111" s="12">
        <v>1.57</v>
      </c>
      <c r="Y111" s="12">
        <v>20210803</v>
      </c>
    </row>
    <row r="112" spans="1:25" x14ac:dyDescent="0.45">
      <c r="A112" s="3" t="s">
        <v>714</v>
      </c>
      <c r="B112" s="3" t="s">
        <v>715</v>
      </c>
      <c r="C112" s="6" t="s">
        <v>519</v>
      </c>
      <c r="D112" s="6" t="s">
        <v>272</v>
      </c>
      <c r="E112" s="6" t="s">
        <v>297</v>
      </c>
      <c r="F112" s="6">
        <v>4030.42</v>
      </c>
      <c r="G112" s="2">
        <v>1.58</v>
      </c>
      <c r="H112" s="2">
        <v>1.67</v>
      </c>
      <c r="I112" s="2">
        <v>1.85</v>
      </c>
      <c r="J112" s="47">
        <f t="shared" si="5"/>
        <v>5.6962025316455604E-2</v>
      </c>
      <c r="K112" s="47">
        <f t="shared" si="6"/>
        <v>0.10778443113772465</v>
      </c>
      <c r="L112" s="8">
        <v>43.78</v>
      </c>
      <c r="M112" s="8">
        <v>48.39</v>
      </c>
      <c r="N112" s="8">
        <v>43.78</v>
      </c>
      <c r="O112" s="17">
        <f t="shared" si="7"/>
        <v>8.4951333333333476</v>
      </c>
      <c r="P112" s="17">
        <f t="shared" si="8"/>
        <v>4.0618111111111075</v>
      </c>
      <c r="Q112" s="5">
        <v>2.42</v>
      </c>
      <c r="R112" s="9">
        <v>15.41</v>
      </c>
      <c r="S112" s="9">
        <v>23.74</v>
      </c>
      <c r="T112" s="9">
        <v>686.92498000000001</v>
      </c>
      <c r="U112" s="9">
        <v>618</v>
      </c>
      <c r="V112" s="45">
        <f t="shared" si="9"/>
        <v>0.11152909385113269</v>
      </c>
      <c r="W112" s="12">
        <v>28.21</v>
      </c>
      <c r="X112" s="12">
        <v>0</v>
      </c>
      <c r="Y112" s="12">
        <v>20210804</v>
      </c>
    </row>
    <row r="113" spans="1:25" x14ac:dyDescent="0.45">
      <c r="A113" s="3" t="s">
        <v>3735</v>
      </c>
      <c r="B113" s="3" t="s">
        <v>3736</v>
      </c>
      <c r="C113" s="6" t="s">
        <v>520</v>
      </c>
      <c r="D113" s="6" t="s">
        <v>309</v>
      </c>
      <c r="E113" s="6" t="s">
        <v>311</v>
      </c>
      <c r="F113" s="6">
        <v>20453.02</v>
      </c>
      <c r="G113" s="2">
        <v>0.19</v>
      </c>
      <c r="H113" s="2">
        <v>0.27</v>
      </c>
      <c r="I113" s="2">
        <v>0.31</v>
      </c>
      <c r="J113" s="47">
        <f t="shared" si="5"/>
        <v>0.42105263157894746</v>
      </c>
      <c r="K113" s="47">
        <f t="shared" si="6"/>
        <v>0.14814814814814806</v>
      </c>
      <c r="M113" s="8">
        <v>20.41</v>
      </c>
      <c r="N113" s="8">
        <v>17.77</v>
      </c>
      <c r="O113" s="17">
        <f t="shared" si="7"/>
        <v>0.48473749999999988</v>
      </c>
      <c r="P113" s="17">
        <f t="shared" si="8"/>
        <v>1.1994750000000007</v>
      </c>
      <c r="T113" s="9">
        <v>10020.559569999999</v>
      </c>
      <c r="U113" s="9">
        <v>10589.75</v>
      </c>
      <c r="V113" s="45">
        <f t="shared" si="9"/>
        <v>-5.3749184824948705E-2</v>
      </c>
      <c r="X113" s="12">
        <v>0</v>
      </c>
    </row>
    <row r="114" spans="1:25" x14ac:dyDescent="0.45">
      <c r="A114" s="3" t="s">
        <v>88</v>
      </c>
      <c r="B114" s="3" t="s">
        <v>89</v>
      </c>
      <c r="C114" s="6" t="s">
        <v>518</v>
      </c>
      <c r="D114" s="6" t="s">
        <v>46</v>
      </c>
      <c r="E114" s="6" t="s">
        <v>80</v>
      </c>
      <c r="F114" s="6">
        <v>4599.79</v>
      </c>
      <c r="G114" s="2">
        <v>2.69</v>
      </c>
      <c r="H114" s="2">
        <v>3.98</v>
      </c>
      <c r="I114" s="2">
        <v>4.8499999999999996</v>
      </c>
      <c r="J114" s="47">
        <f t="shared" si="5"/>
        <v>0.47955390334572495</v>
      </c>
      <c r="K114" s="47">
        <f t="shared" si="6"/>
        <v>0.21859296482412052</v>
      </c>
      <c r="L114" s="8">
        <v>16.93</v>
      </c>
      <c r="M114" s="8">
        <v>10.54</v>
      </c>
      <c r="N114" s="8">
        <v>8.66</v>
      </c>
      <c r="O114" s="17">
        <f t="shared" si="7"/>
        <v>0.21978759689922478</v>
      </c>
      <c r="P114" s="17">
        <f t="shared" si="8"/>
        <v>0.39617011494252891</v>
      </c>
      <c r="Q114" s="5">
        <v>1.51</v>
      </c>
      <c r="R114" s="9">
        <v>37.83</v>
      </c>
      <c r="S114" s="9">
        <v>4.84</v>
      </c>
      <c r="T114" s="9">
        <v>2411.8869599999998</v>
      </c>
      <c r="U114" s="9">
        <v>2081</v>
      </c>
      <c r="V114" s="45">
        <f t="shared" si="9"/>
        <v>0.15900382508409411</v>
      </c>
      <c r="W114" s="12">
        <v>18.89</v>
      </c>
      <c r="X114" s="12">
        <v>1.81</v>
      </c>
      <c r="Y114" s="12">
        <v>20210803</v>
      </c>
    </row>
    <row r="115" spans="1:25" x14ac:dyDescent="0.45">
      <c r="A115" s="3" t="s">
        <v>716</v>
      </c>
      <c r="B115" s="3" t="s">
        <v>717</v>
      </c>
      <c r="C115" s="6" t="s">
        <v>519</v>
      </c>
      <c r="D115" s="6" t="s">
        <v>210</v>
      </c>
      <c r="E115" s="6" t="s">
        <v>215</v>
      </c>
      <c r="F115" s="6">
        <v>4903</v>
      </c>
      <c r="G115" s="2">
        <v>0.14000000000000001</v>
      </c>
      <c r="H115" s="2">
        <v>0.48</v>
      </c>
      <c r="I115" s="2">
        <v>0.57999999999999996</v>
      </c>
      <c r="J115" s="47">
        <f t="shared" si="5"/>
        <v>2.4285714285714279</v>
      </c>
      <c r="K115" s="47">
        <f t="shared" si="6"/>
        <v>0.20833333333333329</v>
      </c>
      <c r="L115" s="8">
        <v>141.85</v>
      </c>
      <c r="M115" s="8">
        <v>135.94</v>
      </c>
      <c r="N115" s="8">
        <v>112.5</v>
      </c>
      <c r="O115" s="17">
        <f t="shared" si="7"/>
        <v>0.55975294117647068</v>
      </c>
      <c r="P115" s="17">
        <f t="shared" si="8"/>
        <v>5.4000000000000012</v>
      </c>
      <c r="R115" s="9">
        <v>4.01</v>
      </c>
      <c r="S115" s="9">
        <v>12.16</v>
      </c>
      <c r="T115" s="9">
        <v>507.88499999999999</v>
      </c>
      <c r="U115" s="9">
        <v>469.92</v>
      </c>
      <c r="V115" s="45">
        <f t="shared" si="9"/>
        <v>8.079034729315622E-2</v>
      </c>
      <c r="W115" s="12">
        <v>55</v>
      </c>
      <c r="X115" s="12">
        <v>0</v>
      </c>
      <c r="Y115" s="12">
        <v>20210805</v>
      </c>
    </row>
    <row r="116" spans="1:25" x14ac:dyDescent="0.45">
      <c r="A116" s="3" t="s">
        <v>91</v>
      </c>
      <c r="B116" s="3" t="s">
        <v>92</v>
      </c>
      <c r="C116" s="6" t="s">
        <v>518</v>
      </c>
      <c r="D116" s="6" t="s">
        <v>46</v>
      </c>
      <c r="E116" s="6" t="s">
        <v>80</v>
      </c>
      <c r="F116" s="6">
        <v>9078.81</v>
      </c>
      <c r="G116" s="2">
        <v>2.94</v>
      </c>
      <c r="H116" s="2">
        <v>6.7</v>
      </c>
      <c r="I116" s="2">
        <v>8.44</v>
      </c>
      <c r="J116" s="47">
        <f t="shared" si="5"/>
        <v>1.2789115646258504</v>
      </c>
      <c r="K116" s="47">
        <f t="shared" si="6"/>
        <v>0.25970149253731334</v>
      </c>
      <c r="L116" s="8">
        <v>25.58</v>
      </c>
      <c r="M116" s="8">
        <v>15.51</v>
      </c>
      <c r="N116" s="8">
        <v>12.31</v>
      </c>
      <c r="O116" s="17">
        <f t="shared" si="7"/>
        <v>0.12127499999999999</v>
      </c>
      <c r="P116" s="17">
        <f t="shared" si="8"/>
        <v>0.47400574712643695</v>
      </c>
      <c r="R116" s="9">
        <v>15.8</v>
      </c>
      <c r="S116" s="9">
        <v>-7.53</v>
      </c>
      <c r="T116" s="9">
        <v>9075.5683499999996</v>
      </c>
      <c r="U116" s="9">
        <v>7447.4</v>
      </c>
      <c r="V116" s="45">
        <f t="shared" si="9"/>
        <v>0.21862238499342052</v>
      </c>
      <c r="W116" s="12">
        <v>28.78</v>
      </c>
      <c r="X116" s="12">
        <v>2.39</v>
      </c>
      <c r="Y116" s="12">
        <v>20210716</v>
      </c>
    </row>
    <row r="117" spans="1:25" x14ac:dyDescent="0.45">
      <c r="A117" s="3" t="s">
        <v>93</v>
      </c>
      <c r="B117" s="3" t="s">
        <v>94</v>
      </c>
      <c r="C117" s="6" t="s">
        <v>519</v>
      </c>
      <c r="D117" s="6" t="s">
        <v>279</v>
      </c>
      <c r="E117" s="6" t="s">
        <v>256</v>
      </c>
      <c r="F117" s="6">
        <v>39602.22</v>
      </c>
      <c r="G117" s="2">
        <v>12.06</v>
      </c>
      <c r="H117" s="2">
        <v>13.46</v>
      </c>
      <c r="I117" s="2">
        <v>14.61</v>
      </c>
      <c r="J117" s="47">
        <f t="shared" si="5"/>
        <v>0.11608623548922059</v>
      </c>
      <c r="K117" s="47">
        <f t="shared" si="6"/>
        <v>8.5438335809806726E-2</v>
      </c>
      <c r="L117" s="8">
        <v>13.97</v>
      </c>
      <c r="M117" s="8">
        <v>13.31</v>
      </c>
      <c r="N117" s="8">
        <v>12.26</v>
      </c>
      <c r="O117" s="17">
        <f t="shared" si="7"/>
        <v>1.1465614285714283</v>
      </c>
      <c r="P117" s="17">
        <f t="shared" si="8"/>
        <v>1.4349530434782627</v>
      </c>
      <c r="Q117" s="5">
        <v>0.89</v>
      </c>
      <c r="R117" s="9">
        <v>23.43</v>
      </c>
      <c r="S117" s="9">
        <v>18.22</v>
      </c>
      <c r="T117" s="9">
        <v>6616.9658200000003</v>
      </c>
      <c r="U117" s="9">
        <v>6069.9</v>
      </c>
      <c r="V117" s="45">
        <f t="shared" si="9"/>
        <v>9.01276495494161E-2</v>
      </c>
      <c r="W117" s="12">
        <v>14.29</v>
      </c>
      <c r="X117" s="12">
        <v>0</v>
      </c>
      <c r="Y117" s="12">
        <v>20210729</v>
      </c>
    </row>
    <row r="118" spans="1:25" x14ac:dyDescent="0.45">
      <c r="A118" s="3" t="s">
        <v>770</v>
      </c>
      <c r="B118" s="3" t="s">
        <v>771</v>
      </c>
      <c r="C118" s="6" t="s">
        <v>518</v>
      </c>
      <c r="D118" s="6" t="s">
        <v>289</v>
      </c>
      <c r="E118" s="6" t="s">
        <v>276</v>
      </c>
      <c r="F118" s="6">
        <v>4916.79</v>
      </c>
      <c r="G118" s="2">
        <v>-0.22</v>
      </c>
      <c r="H118" s="2">
        <v>0.82</v>
      </c>
      <c r="I118" s="2">
        <v>0.85</v>
      </c>
      <c r="J118" s="47">
        <f t="shared" si="5"/>
        <v>4.7272727272727275</v>
      </c>
      <c r="K118" s="47">
        <f t="shared" si="6"/>
        <v>3.6585365853658569E-2</v>
      </c>
      <c r="L118" s="8">
        <v>11.57</v>
      </c>
      <c r="M118" s="8">
        <v>12.6</v>
      </c>
      <c r="N118" s="8">
        <v>12.15</v>
      </c>
      <c r="O118" s="17">
        <f t="shared" si="7"/>
        <v>2.6653846153846153E-2</v>
      </c>
      <c r="P118" s="17">
        <f t="shared" si="8"/>
        <v>3.3209999999999971</v>
      </c>
      <c r="R118" s="9">
        <v>17.34</v>
      </c>
      <c r="S118" s="9">
        <v>174.34</v>
      </c>
      <c r="T118" s="9">
        <v>848.47900000000004</v>
      </c>
      <c r="U118" s="9">
        <v>900.72</v>
      </c>
      <c r="V118" s="45">
        <f t="shared" si="9"/>
        <v>-5.7999156230571079E-2</v>
      </c>
      <c r="W118" s="12">
        <v>-4.55</v>
      </c>
      <c r="X118" s="12">
        <v>8.74</v>
      </c>
      <c r="Y118" s="12">
        <v>20210804</v>
      </c>
    </row>
    <row r="119" spans="1:25" x14ac:dyDescent="0.45">
      <c r="A119" s="3" t="s">
        <v>3737</v>
      </c>
      <c r="B119" s="3" t="s">
        <v>472</v>
      </c>
      <c r="C119" s="6" t="s">
        <v>520</v>
      </c>
      <c r="D119" s="6" t="s">
        <v>175</v>
      </c>
      <c r="E119" s="6" t="s">
        <v>305</v>
      </c>
      <c r="F119" s="6">
        <v>35436.269999999997</v>
      </c>
      <c r="G119" s="2">
        <v>-0.81</v>
      </c>
      <c r="H119" s="2">
        <v>0.42</v>
      </c>
      <c r="I119" s="2">
        <v>2.1800000000000002</v>
      </c>
      <c r="J119" s="47">
        <f t="shared" si="5"/>
        <v>1.5185185185185184</v>
      </c>
      <c r="K119" s="47">
        <f t="shared" si="6"/>
        <v>4.1904761904761916</v>
      </c>
      <c r="M119" s="8">
        <v>187.29</v>
      </c>
      <c r="N119" s="8">
        <v>36.08</v>
      </c>
      <c r="O119" s="17">
        <f t="shared" si="7"/>
        <v>1.2333731707317073</v>
      </c>
      <c r="P119" s="17">
        <f t="shared" si="8"/>
        <v>8.6099999999999968E-2</v>
      </c>
      <c r="R119" s="9">
        <v>-14.12</v>
      </c>
      <c r="S119" s="9">
        <v>-19.350000000000001</v>
      </c>
      <c r="T119" s="9">
        <v>3837.98999</v>
      </c>
      <c r="U119" s="9">
        <v>2483.15</v>
      </c>
      <c r="V119" s="45">
        <f t="shared" si="9"/>
        <v>0.54561343052171629</v>
      </c>
      <c r="W119" s="12">
        <v>45</v>
      </c>
      <c r="X119" s="12">
        <v>0</v>
      </c>
      <c r="Y119" s="12">
        <v>20210729</v>
      </c>
    </row>
    <row r="120" spans="1:25" x14ac:dyDescent="0.45">
      <c r="A120" s="3" t="s">
        <v>95</v>
      </c>
      <c r="B120" s="3" t="s">
        <v>96</v>
      </c>
      <c r="C120" s="6" t="s">
        <v>519</v>
      </c>
      <c r="D120" s="6" t="s">
        <v>189</v>
      </c>
      <c r="E120" s="6" t="s">
        <v>300</v>
      </c>
      <c r="F120" s="6">
        <v>123067.5</v>
      </c>
      <c r="G120" s="2">
        <v>4.08</v>
      </c>
      <c r="H120" s="2">
        <v>6.53</v>
      </c>
      <c r="I120" s="2">
        <v>7.3</v>
      </c>
      <c r="J120" s="47">
        <f t="shared" si="5"/>
        <v>0.60049019607843146</v>
      </c>
      <c r="K120" s="47">
        <f t="shared" si="6"/>
        <v>0.11791730474732</v>
      </c>
      <c r="L120" s="8">
        <v>25.26</v>
      </c>
      <c r="M120" s="8">
        <v>20.63</v>
      </c>
      <c r="N120" s="8">
        <v>18.440000000000001</v>
      </c>
      <c r="O120" s="17">
        <f t="shared" si="7"/>
        <v>0.3435526530612244</v>
      </c>
      <c r="P120" s="17">
        <f t="shared" si="8"/>
        <v>1.5638077922077931</v>
      </c>
      <c r="Q120" s="5">
        <v>1.1499999999999999</v>
      </c>
      <c r="R120" s="9">
        <v>45.08</v>
      </c>
      <c r="S120" s="9">
        <v>9.73</v>
      </c>
      <c r="T120" s="9">
        <v>22649.79492</v>
      </c>
      <c r="U120" s="9">
        <v>17202</v>
      </c>
      <c r="V120" s="45">
        <f t="shared" si="9"/>
        <v>0.31669543773979769</v>
      </c>
      <c r="W120" s="12">
        <v>7.95</v>
      </c>
      <c r="X120" s="12">
        <v>0.71</v>
      </c>
      <c r="Y120" s="12">
        <v>20210812</v>
      </c>
    </row>
    <row r="121" spans="1:25" x14ac:dyDescent="0.45">
      <c r="A121" s="3" t="s">
        <v>832</v>
      </c>
      <c r="B121" s="3" t="s">
        <v>833</v>
      </c>
      <c r="C121" s="6" t="s">
        <v>519</v>
      </c>
      <c r="D121" s="6" t="s">
        <v>189</v>
      </c>
      <c r="E121" s="6" t="s">
        <v>213</v>
      </c>
      <c r="F121" s="6">
        <v>3492.54</v>
      </c>
      <c r="G121" s="2">
        <v>0.27</v>
      </c>
      <c r="H121" s="2">
        <v>0.95</v>
      </c>
      <c r="I121" s="2">
        <v>1.24</v>
      </c>
      <c r="J121" s="47">
        <f t="shared" si="5"/>
        <v>2.5185185185185182</v>
      </c>
      <c r="K121" s="47">
        <f t="shared" si="6"/>
        <v>0.3052631578947369</v>
      </c>
      <c r="L121" s="8">
        <v>185.13</v>
      </c>
      <c r="M121" s="8">
        <v>100.98</v>
      </c>
      <c r="N121" s="8">
        <v>77.55</v>
      </c>
      <c r="O121" s="17">
        <f t="shared" si="7"/>
        <v>0.40095000000000008</v>
      </c>
      <c r="P121" s="17">
        <f t="shared" si="8"/>
        <v>2.5404310344827579</v>
      </c>
      <c r="Q121" s="5">
        <v>6.73</v>
      </c>
      <c r="R121" s="9">
        <v>-11.63</v>
      </c>
      <c r="S121" s="9">
        <v>-8.0500000000000007</v>
      </c>
      <c r="T121" s="9">
        <v>300.21499</v>
      </c>
      <c r="U121" s="9">
        <v>222.99</v>
      </c>
      <c r="V121" s="45">
        <f t="shared" si="9"/>
        <v>0.34631593344993045</v>
      </c>
      <c r="W121" s="12">
        <v>35.29</v>
      </c>
      <c r="X121" s="12">
        <v>0</v>
      </c>
      <c r="Y121" s="12">
        <v>20210901</v>
      </c>
    </row>
    <row r="122" spans="1:25" x14ac:dyDescent="0.45">
      <c r="A122" s="3" t="s">
        <v>4005</v>
      </c>
      <c r="B122" s="3" t="s">
        <v>4006</v>
      </c>
      <c r="C122" s="6" t="s">
        <v>518</v>
      </c>
      <c r="D122" s="6" t="s">
        <v>216</v>
      </c>
      <c r="E122" s="6" t="s">
        <v>1102</v>
      </c>
      <c r="F122" s="6">
        <v>22210.71</v>
      </c>
      <c r="G122" s="2">
        <v>-29.23</v>
      </c>
      <c r="H122" s="2">
        <v>-3.23</v>
      </c>
      <c r="I122" s="2">
        <v>-0.64</v>
      </c>
      <c r="J122" s="47">
        <f t="shared" si="5"/>
        <v>0.88949709202873761</v>
      </c>
      <c r="K122" s="47">
        <f t="shared" si="6"/>
        <v>0.80185758513931882</v>
      </c>
      <c r="O122" s="17">
        <f t="shared" si="7"/>
        <v>0</v>
      </c>
      <c r="P122" s="17">
        <f t="shared" si="8"/>
        <v>0</v>
      </c>
      <c r="S122" s="9">
        <v>-14.19</v>
      </c>
      <c r="T122" s="9">
        <v>2346.6669900000002</v>
      </c>
      <c r="U122" s="9">
        <v>1242.4000000000001</v>
      </c>
      <c r="V122" s="45">
        <f t="shared" si="9"/>
        <v>0.88881760302640056</v>
      </c>
      <c r="W122" s="12">
        <v>-10.94</v>
      </c>
      <c r="X122" s="12">
        <v>0</v>
      </c>
      <c r="Y122" s="12">
        <v>20210805</v>
      </c>
    </row>
    <row r="123" spans="1:25" x14ac:dyDescent="0.45">
      <c r="A123" s="3" t="s">
        <v>556</v>
      </c>
      <c r="B123" s="3" t="s">
        <v>557</v>
      </c>
      <c r="C123" s="6" t="s">
        <v>518</v>
      </c>
      <c r="D123" s="6" t="s">
        <v>272</v>
      </c>
      <c r="E123" s="6" t="s">
        <v>207</v>
      </c>
      <c r="F123" s="6">
        <v>18853.07</v>
      </c>
      <c r="G123" s="2">
        <v>0.63</v>
      </c>
      <c r="H123" s="2">
        <v>0.74</v>
      </c>
      <c r="I123" s="2">
        <v>0.78</v>
      </c>
      <c r="J123" s="47">
        <f t="shared" si="5"/>
        <v>0.17460317460317459</v>
      </c>
      <c r="K123" s="47">
        <f t="shared" si="6"/>
        <v>5.4054054054054106E-2</v>
      </c>
      <c r="M123" s="8">
        <v>16.309999999999999</v>
      </c>
      <c r="N123" s="8">
        <v>15.44</v>
      </c>
      <c r="O123" s="17">
        <f t="shared" si="7"/>
        <v>0.93411818181818185</v>
      </c>
      <c r="P123" s="17">
        <f t="shared" si="8"/>
        <v>2.8563999999999972</v>
      </c>
      <c r="Q123" s="5">
        <v>1.8</v>
      </c>
      <c r="R123" s="9">
        <v>20.36</v>
      </c>
      <c r="S123" s="9">
        <v>34.619999999999997</v>
      </c>
      <c r="T123" s="9">
        <v>12698.721670000001</v>
      </c>
      <c r="U123" s="9">
        <v>12468</v>
      </c>
      <c r="V123" s="45">
        <f t="shared" si="9"/>
        <v>1.8505106673083159E-2</v>
      </c>
      <c r="W123" s="12">
        <v>-5.56</v>
      </c>
      <c r="X123" s="12">
        <v>3.89</v>
      </c>
      <c r="Y123" s="12">
        <v>20210817</v>
      </c>
    </row>
    <row r="124" spans="1:25" x14ac:dyDescent="0.45">
      <c r="A124" s="3" t="s">
        <v>473</v>
      </c>
      <c r="B124" s="3" t="s">
        <v>474</v>
      </c>
      <c r="C124" s="6" t="s">
        <v>519</v>
      </c>
      <c r="D124" s="6" t="s">
        <v>189</v>
      </c>
      <c r="E124" s="6" t="s">
        <v>213</v>
      </c>
      <c r="F124" s="6">
        <v>97153.07</v>
      </c>
      <c r="G124" s="2">
        <v>1.23</v>
      </c>
      <c r="H124" s="2">
        <v>2.16</v>
      </c>
      <c r="I124" s="2">
        <v>2.7</v>
      </c>
      <c r="J124" s="47">
        <f t="shared" si="5"/>
        <v>0.75609756097560987</v>
      </c>
      <c r="K124" s="47">
        <f t="shared" si="6"/>
        <v>0.25</v>
      </c>
      <c r="L124" s="8">
        <v>49.06</v>
      </c>
      <c r="M124" s="8">
        <v>36.99</v>
      </c>
      <c r="N124" s="8">
        <v>29.64</v>
      </c>
      <c r="O124" s="17">
        <f t="shared" si="7"/>
        <v>0.48922258064516122</v>
      </c>
      <c r="P124" s="17">
        <f t="shared" si="8"/>
        <v>1.1856</v>
      </c>
      <c r="Q124" s="5">
        <v>1.06</v>
      </c>
      <c r="R124" s="9">
        <v>35.31</v>
      </c>
      <c r="S124" s="9">
        <v>20.18</v>
      </c>
      <c r="T124" s="9">
        <v>14598.391600000001</v>
      </c>
      <c r="U124" s="9">
        <v>9763</v>
      </c>
      <c r="V124" s="45">
        <f t="shared" si="9"/>
        <v>0.4952772303595207</v>
      </c>
      <c r="W124" s="12">
        <v>18.18</v>
      </c>
      <c r="X124" s="12">
        <v>0</v>
      </c>
      <c r="Y124" s="12">
        <v>20210727</v>
      </c>
    </row>
    <row r="125" spans="1:25" x14ac:dyDescent="0.45">
      <c r="A125" s="3" t="s">
        <v>4471</v>
      </c>
      <c r="B125" s="3" t="s">
        <v>4472</v>
      </c>
      <c r="C125" s="6" t="s">
        <v>520</v>
      </c>
      <c r="D125" s="6" t="s">
        <v>272</v>
      </c>
      <c r="E125" s="6" t="s">
        <v>907</v>
      </c>
      <c r="F125" s="6">
        <v>3857.79</v>
      </c>
      <c r="J125" s="47" t="e">
        <f t="shared" si="5"/>
        <v>#DIV/0!</v>
      </c>
      <c r="K125" s="47" t="e">
        <f t="shared" si="6"/>
        <v>#DIV/0!</v>
      </c>
      <c r="L125" s="8">
        <v>21.38</v>
      </c>
      <c r="O125" s="17" t="e">
        <f t="shared" si="7"/>
        <v>#DIV/0!</v>
      </c>
      <c r="P125" s="17" t="e">
        <f t="shared" si="8"/>
        <v>#DIV/0!</v>
      </c>
      <c r="R125" s="9">
        <v>4.2</v>
      </c>
      <c r="S125" s="9">
        <v>0.08</v>
      </c>
      <c r="U125" s="9">
        <v>2362.71</v>
      </c>
      <c r="V125" s="45">
        <f t="shared" si="9"/>
        <v>-1</v>
      </c>
      <c r="X125" s="12">
        <v>1.02</v>
      </c>
      <c r="Y125" s="12">
        <v>20210806</v>
      </c>
    </row>
    <row r="126" spans="1:25" x14ac:dyDescent="0.45">
      <c r="A126" s="3" t="s">
        <v>401</v>
      </c>
      <c r="B126" s="3" t="s">
        <v>97</v>
      </c>
      <c r="C126" s="6" t="s">
        <v>518</v>
      </c>
      <c r="D126" s="6" t="s">
        <v>189</v>
      </c>
      <c r="E126" s="6" t="s">
        <v>214</v>
      </c>
      <c r="F126" s="6">
        <v>31338.04</v>
      </c>
      <c r="G126" s="2">
        <v>3.91</v>
      </c>
      <c r="H126" s="2">
        <v>4.53</v>
      </c>
      <c r="I126" s="2">
        <v>5.03</v>
      </c>
      <c r="J126" s="47">
        <f t="shared" si="5"/>
        <v>0.15856777493606139</v>
      </c>
      <c r="K126" s="47">
        <f t="shared" si="6"/>
        <v>0.11037527593818984</v>
      </c>
      <c r="L126" s="8">
        <v>33.93</v>
      </c>
      <c r="M126" s="8">
        <v>29.99</v>
      </c>
      <c r="N126" s="8">
        <v>27</v>
      </c>
      <c r="O126" s="17">
        <f t="shared" si="7"/>
        <v>1.8913048387096774</v>
      </c>
      <c r="P126" s="17">
        <f t="shared" si="8"/>
        <v>2.4462000000000002</v>
      </c>
      <c r="Q126" s="5">
        <v>2.95</v>
      </c>
      <c r="R126" s="9">
        <v>15.97</v>
      </c>
      <c r="S126" s="9">
        <v>5.54</v>
      </c>
      <c r="T126" s="9">
        <v>5196.68505</v>
      </c>
      <c r="U126" s="9">
        <v>4540.03</v>
      </c>
      <c r="V126" s="45">
        <f t="shared" si="9"/>
        <v>0.14463672046219966</v>
      </c>
      <c r="W126" s="12">
        <v>4.9000000000000004</v>
      </c>
      <c r="X126" s="12">
        <v>0.59</v>
      </c>
      <c r="Y126" s="12">
        <v>20210803</v>
      </c>
    </row>
    <row r="127" spans="1:25" x14ac:dyDescent="0.45">
      <c r="A127" s="3" t="s">
        <v>435</v>
      </c>
      <c r="B127" s="3" t="s">
        <v>436</v>
      </c>
      <c r="C127" s="6" t="s">
        <v>519</v>
      </c>
      <c r="D127" s="6" t="s">
        <v>279</v>
      </c>
      <c r="E127" s="6" t="s">
        <v>263</v>
      </c>
      <c r="F127" s="6">
        <v>8457.6</v>
      </c>
      <c r="G127" s="2">
        <v>6.08</v>
      </c>
      <c r="H127" s="2">
        <v>6.98</v>
      </c>
      <c r="I127" s="2">
        <v>7.46</v>
      </c>
      <c r="J127" s="47">
        <f t="shared" si="5"/>
        <v>0.14802631578947373</v>
      </c>
      <c r="K127" s="47">
        <f t="shared" si="6"/>
        <v>6.8767908309455519E-2</v>
      </c>
      <c r="L127" s="8">
        <v>39.28</v>
      </c>
      <c r="M127" s="8">
        <v>37.200000000000003</v>
      </c>
      <c r="N127" s="8">
        <v>34.79</v>
      </c>
      <c r="O127" s="17">
        <f t="shared" si="7"/>
        <v>2.5130666666666661</v>
      </c>
      <c r="P127" s="17">
        <f t="shared" si="8"/>
        <v>5.0590458333333377</v>
      </c>
      <c r="Q127" s="5">
        <v>3.09</v>
      </c>
      <c r="R127" s="9">
        <v>28.53</v>
      </c>
      <c r="S127" s="9">
        <v>10.06</v>
      </c>
      <c r="T127" s="9">
        <v>2319.1760199999999</v>
      </c>
      <c r="U127" s="9">
        <v>2071.52</v>
      </c>
      <c r="V127" s="45">
        <f t="shared" si="9"/>
        <v>0.11955280180736845</v>
      </c>
      <c r="W127" s="12">
        <v>7.69</v>
      </c>
      <c r="X127" s="12">
        <v>0</v>
      </c>
      <c r="Y127" s="12">
        <v>20210727</v>
      </c>
    </row>
    <row r="128" spans="1:25" x14ac:dyDescent="0.45">
      <c r="A128" s="3" t="s">
        <v>834</v>
      </c>
      <c r="B128" s="3" t="s">
        <v>835</v>
      </c>
      <c r="C128" s="6" t="s">
        <v>520</v>
      </c>
      <c r="D128" s="6" t="s">
        <v>279</v>
      </c>
      <c r="E128" s="6" t="s">
        <v>266</v>
      </c>
      <c r="F128" s="6">
        <v>10527.04</v>
      </c>
      <c r="G128" s="2">
        <v>0.7</v>
      </c>
      <c r="H128" s="2">
        <v>0.95</v>
      </c>
      <c r="I128" s="2">
        <v>1.21</v>
      </c>
      <c r="J128" s="47">
        <f t="shared" si="5"/>
        <v>0.35714285714285715</v>
      </c>
      <c r="K128" s="47">
        <f t="shared" si="6"/>
        <v>0.27368421052631581</v>
      </c>
      <c r="L128" s="8">
        <v>58.13</v>
      </c>
      <c r="M128" s="8">
        <v>48.95</v>
      </c>
      <c r="N128" s="8">
        <v>38.43</v>
      </c>
      <c r="O128" s="17">
        <f t="shared" si="7"/>
        <v>1.3706</v>
      </c>
      <c r="P128" s="17">
        <f t="shared" si="8"/>
        <v>1.4041730769230767</v>
      </c>
      <c r="R128" s="9">
        <v>20.16</v>
      </c>
      <c r="T128" s="9">
        <v>2438.7800200000001</v>
      </c>
      <c r="U128" s="9">
        <v>1776.75</v>
      </c>
      <c r="V128" s="45">
        <f t="shared" si="9"/>
        <v>0.37260729984522312</v>
      </c>
      <c r="X128" s="12">
        <v>0</v>
      </c>
      <c r="Y128" s="12">
        <v>20210803</v>
      </c>
    </row>
    <row r="129" spans="1:25" x14ac:dyDescent="0.45">
      <c r="A129" s="3" t="s">
        <v>628</v>
      </c>
      <c r="B129" s="3" t="s">
        <v>629</v>
      </c>
      <c r="C129" s="6" t="s">
        <v>518</v>
      </c>
      <c r="D129" s="6" t="s">
        <v>234</v>
      </c>
      <c r="E129" s="6" t="s">
        <v>220</v>
      </c>
      <c r="F129" s="6">
        <v>6697.67</v>
      </c>
      <c r="G129" s="2">
        <v>12.89</v>
      </c>
      <c r="H129" s="2">
        <v>16.5</v>
      </c>
      <c r="I129" s="2">
        <v>18.29</v>
      </c>
      <c r="J129" s="47">
        <f t="shared" si="5"/>
        <v>0.28006206361520553</v>
      </c>
      <c r="K129" s="47">
        <f t="shared" si="6"/>
        <v>0.10848484848484843</v>
      </c>
      <c r="L129" s="8">
        <v>11.09</v>
      </c>
      <c r="M129" s="8">
        <v>9.75</v>
      </c>
      <c r="N129" s="8">
        <v>8.8000000000000007</v>
      </c>
      <c r="O129" s="17">
        <f t="shared" si="7"/>
        <v>0.34813711911357348</v>
      </c>
      <c r="P129" s="17">
        <f t="shared" si="8"/>
        <v>0.81117318435754227</v>
      </c>
      <c r="Q129" s="5">
        <v>0.59</v>
      </c>
      <c r="R129" s="9">
        <v>18.760000000000002</v>
      </c>
      <c r="S129" s="9">
        <v>-1.78</v>
      </c>
      <c r="T129" s="9">
        <v>2343.5549299999998</v>
      </c>
      <c r="U129" s="9">
        <v>2027.5</v>
      </c>
      <c r="V129" s="45">
        <f t="shared" si="9"/>
        <v>0.15588405918618978</v>
      </c>
      <c r="W129" s="12">
        <v>0.47</v>
      </c>
      <c r="X129" s="12">
        <v>0.02</v>
      </c>
      <c r="Y129" s="12">
        <v>20210726</v>
      </c>
    </row>
    <row r="130" spans="1:25" x14ac:dyDescent="0.45">
      <c r="A130" s="3" t="s">
        <v>98</v>
      </c>
      <c r="B130" s="3" t="s">
        <v>99</v>
      </c>
      <c r="C130" s="6" t="s">
        <v>519</v>
      </c>
      <c r="D130" s="6" t="s">
        <v>279</v>
      </c>
      <c r="E130" s="6" t="s">
        <v>256</v>
      </c>
      <c r="F130" s="6">
        <v>137617.17000000001</v>
      </c>
      <c r="G130" s="2">
        <v>16.13</v>
      </c>
      <c r="H130" s="2">
        <v>16.350000000000001</v>
      </c>
      <c r="I130" s="2">
        <v>17.82</v>
      </c>
      <c r="J130" s="47">
        <f t="shared" si="5"/>
        <v>1.3639181649101205E-2</v>
      </c>
      <c r="K130" s="47">
        <f t="shared" si="6"/>
        <v>8.9908256880733867E-2</v>
      </c>
      <c r="L130" s="8">
        <v>14.85</v>
      </c>
      <c r="M130" s="8">
        <v>14.65</v>
      </c>
      <c r="N130" s="8">
        <v>13.44</v>
      </c>
      <c r="O130" s="17">
        <f t="shared" si="7"/>
        <v>10.741113636363517</v>
      </c>
      <c r="P130" s="17">
        <f t="shared" si="8"/>
        <v>1.4948571428571442</v>
      </c>
      <c r="Q130" s="5">
        <v>1.74</v>
      </c>
      <c r="R130" s="9">
        <v>93.84</v>
      </c>
      <c r="S130" s="9">
        <v>2.17</v>
      </c>
      <c r="T130" s="9">
        <v>25920.498039999999</v>
      </c>
      <c r="U130" s="9">
        <v>25424</v>
      </c>
      <c r="V130" s="45">
        <f t="shared" si="9"/>
        <v>1.9528714600377542E-2</v>
      </c>
      <c r="W130" s="12">
        <v>-7.5</v>
      </c>
      <c r="X130" s="12">
        <v>2.94</v>
      </c>
      <c r="Y130" s="12">
        <v>20210727</v>
      </c>
    </row>
    <row r="131" spans="1:25" x14ac:dyDescent="0.45">
      <c r="A131" s="3" t="s">
        <v>475</v>
      </c>
      <c r="B131" s="3" t="s">
        <v>476</v>
      </c>
      <c r="C131" s="6" t="s">
        <v>518</v>
      </c>
      <c r="D131" s="6" t="s">
        <v>234</v>
      </c>
      <c r="E131" s="6" t="s">
        <v>287</v>
      </c>
      <c r="F131" s="6">
        <v>12309.41</v>
      </c>
      <c r="G131" s="2">
        <v>1.1399999999999999</v>
      </c>
      <c r="H131" s="2">
        <v>1.28</v>
      </c>
      <c r="I131" s="2">
        <v>1.43</v>
      </c>
      <c r="J131" s="47">
        <f t="shared" ref="J131:J194" si="10">(H131-G131)/ABS(G131)</f>
        <v>0.12280701754385977</v>
      </c>
      <c r="K131" s="47">
        <f t="shared" ref="K131:K194" si="11">(I131-H131)/ABS(H131)</f>
        <v>0.11718749999999993</v>
      </c>
      <c r="L131" s="8">
        <v>32.6</v>
      </c>
      <c r="M131" s="8">
        <v>30.23</v>
      </c>
      <c r="N131" s="8">
        <v>27.2</v>
      </c>
      <c r="O131" s="17">
        <f t="shared" ref="O131:O194" si="12">M131/(J131*100)</f>
        <v>2.4615857142857118</v>
      </c>
      <c r="P131" s="17">
        <f t="shared" ref="P131:P194" si="13">N131/(K131*100)</f>
        <v>2.3210666666666682</v>
      </c>
      <c r="Q131" s="5">
        <v>2.16</v>
      </c>
      <c r="R131" s="9">
        <v>2.36</v>
      </c>
      <c r="S131" s="9">
        <v>8.83</v>
      </c>
      <c r="T131" s="9">
        <v>1273.80395</v>
      </c>
      <c r="U131" s="9">
        <v>1182.8399999999999</v>
      </c>
      <c r="V131" s="45">
        <f t="shared" ref="V131:V194" si="14">(T131-U131)/U131</f>
        <v>7.6903004632917452E-2</v>
      </c>
      <c r="W131" s="12">
        <v>3.23</v>
      </c>
      <c r="X131" s="12">
        <v>1.03</v>
      </c>
      <c r="Y131" s="12">
        <v>20210805</v>
      </c>
    </row>
    <row r="132" spans="1:25" x14ac:dyDescent="0.45">
      <c r="A132" s="3" t="s">
        <v>657</v>
      </c>
      <c r="B132" s="3" t="s">
        <v>510</v>
      </c>
      <c r="C132" s="6" t="s">
        <v>520</v>
      </c>
      <c r="D132" s="6" t="s">
        <v>309</v>
      </c>
      <c r="E132" s="6" t="s">
        <v>315</v>
      </c>
      <c r="F132" s="6">
        <v>60111.28</v>
      </c>
      <c r="G132" s="2">
        <v>0.69</v>
      </c>
      <c r="H132" s="2">
        <v>1.76</v>
      </c>
      <c r="I132" s="2">
        <v>0.93</v>
      </c>
      <c r="J132" s="47">
        <f t="shared" si="10"/>
        <v>1.5507246376811596</v>
      </c>
      <c r="K132" s="47">
        <f t="shared" si="11"/>
        <v>-0.47159090909090906</v>
      </c>
      <c r="L132" s="8">
        <v>10.64</v>
      </c>
      <c r="M132" s="8">
        <v>8.52</v>
      </c>
      <c r="N132" s="8">
        <v>16.13</v>
      </c>
      <c r="O132" s="17">
        <f t="shared" si="12"/>
        <v>5.4942056074766342E-2</v>
      </c>
      <c r="P132" s="17">
        <f t="shared" si="13"/>
        <v>-0.34203373493975903</v>
      </c>
      <c r="R132" s="9">
        <v>18.12</v>
      </c>
      <c r="S132" s="9">
        <v>3.05</v>
      </c>
      <c r="T132" s="9">
        <v>49417</v>
      </c>
      <c r="U132" s="9">
        <v>39740</v>
      </c>
      <c r="V132" s="45">
        <f t="shared" si="14"/>
        <v>0.24350780070457978</v>
      </c>
      <c r="X132" s="12">
        <v>1.1200000000000001</v>
      </c>
      <c r="Y132" s="12">
        <v>20210818</v>
      </c>
    </row>
    <row r="133" spans="1:25" x14ac:dyDescent="0.45">
      <c r="A133" s="3" t="s">
        <v>4473</v>
      </c>
      <c r="B133" s="3" t="s">
        <v>4474</v>
      </c>
      <c r="C133" s="6" t="s">
        <v>519</v>
      </c>
      <c r="D133" s="6" t="s">
        <v>189</v>
      </c>
      <c r="E133" s="6" t="s">
        <v>213</v>
      </c>
      <c r="F133" s="6">
        <v>5645.53</v>
      </c>
      <c r="G133" s="2">
        <v>1.24</v>
      </c>
      <c r="J133" s="47">
        <f t="shared" si="10"/>
        <v>-1</v>
      </c>
      <c r="K133" s="47" t="e">
        <f t="shared" si="11"/>
        <v>#DIV/0!</v>
      </c>
      <c r="L133" s="8">
        <v>14.27</v>
      </c>
      <c r="O133" s="17">
        <f t="shared" si="12"/>
        <v>0</v>
      </c>
      <c r="P133" s="17" t="e">
        <f t="shared" si="13"/>
        <v>#DIV/0!</v>
      </c>
      <c r="R133" s="9">
        <v>17.22</v>
      </c>
      <c r="S133" s="9">
        <v>6.39</v>
      </c>
      <c r="U133" s="9">
        <v>5050.59</v>
      </c>
      <c r="V133" s="45">
        <f t="shared" si="14"/>
        <v>-1</v>
      </c>
      <c r="W133" s="12">
        <v>25.64</v>
      </c>
      <c r="X133" s="12">
        <v>0.69</v>
      </c>
      <c r="Y133" s="12">
        <v>20210726</v>
      </c>
    </row>
    <row r="134" spans="1:25" x14ac:dyDescent="0.45">
      <c r="A134" s="3" t="s">
        <v>772</v>
      </c>
      <c r="B134" s="3" t="s">
        <v>773</v>
      </c>
      <c r="C134" s="6" t="s">
        <v>518</v>
      </c>
      <c r="D134" s="6" t="s">
        <v>279</v>
      </c>
      <c r="E134" s="6" t="s">
        <v>266</v>
      </c>
      <c r="F134" s="6">
        <v>4489.8999999999996</v>
      </c>
      <c r="G134" s="2">
        <v>3.33</v>
      </c>
      <c r="H134" s="2">
        <v>4.92</v>
      </c>
      <c r="I134" s="2">
        <v>4.0599999999999996</v>
      </c>
      <c r="J134" s="47">
        <f t="shared" si="10"/>
        <v>0.47747747747747743</v>
      </c>
      <c r="K134" s="47">
        <f t="shared" si="11"/>
        <v>-0.17479674796747974</v>
      </c>
      <c r="L134" s="8">
        <v>21.84</v>
      </c>
      <c r="M134" s="8">
        <v>19.3</v>
      </c>
      <c r="N134" s="8">
        <v>23.4</v>
      </c>
      <c r="O134" s="17">
        <f t="shared" si="12"/>
        <v>0.40420754716981133</v>
      </c>
      <c r="P134" s="17">
        <f t="shared" si="13"/>
        <v>-1.3386976744186039</v>
      </c>
      <c r="Q134" s="5">
        <v>2.95</v>
      </c>
      <c r="R134" s="9">
        <v>25.19</v>
      </c>
      <c r="S134" s="9">
        <v>7.06</v>
      </c>
      <c r="T134" s="9">
        <v>3018.9008699999999</v>
      </c>
      <c r="U134" s="9">
        <v>2393.71</v>
      </c>
      <c r="V134" s="45">
        <f t="shared" si="14"/>
        <v>0.26118070693609496</v>
      </c>
      <c r="W134" s="12">
        <v>25</v>
      </c>
      <c r="X134" s="12">
        <v>0</v>
      </c>
      <c r="Y134" s="12">
        <v>20210805</v>
      </c>
    </row>
    <row r="135" spans="1:25" x14ac:dyDescent="0.45">
      <c r="A135" s="3" t="s">
        <v>418</v>
      </c>
      <c r="B135" s="3" t="s">
        <v>100</v>
      </c>
      <c r="C135" s="6" t="s">
        <v>518</v>
      </c>
      <c r="D135" s="6" t="s">
        <v>234</v>
      </c>
      <c r="E135" s="6" t="s">
        <v>220</v>
      </c>
      <c r="F135" s="6">
        <v>30218.720000000001</v>
      </c>
      <c r="G135" s="2">
        <v>14.05</v>
      </c>
      <c r="H135" s="2">
        <v>21.32</v>
      </c>
      <c r="I135" s="2">
        <v>22.82</v>
      </c>
      <c r="J135" s="47">
        <f t="shared" si="10"/>
        <v>0.5174377224199288</v>
      </c>
      <c r="K135" s="47">
        <f t="shared" si="11"/>
        <v>7.0356472795497185E-2</v>
      </c>
      <c r="L135" s="8">
        <v>18.53</v>
      </c>
      <c r="M135" s="8">
        <v>12.23</v>
      </c>
      <c r="N135" s="8">
        <v>11.43</v>
      </c>
      <c r="O135" s="17">
        <f t="shared" si="12"/>
        <v>0.23635694635488311</v>
      </c>
      <c r="P135" s="17">
        <f t="shared" si="13"/>
        <v>1.624584</v>
      </c>
      <c r="R135" s="9">
        <v>34.89</v>
      </c>
      <c r="S135" s="9">
        <v>1.34</v>
      </c>
      <c r="T135" s="9">
        <v>13600.5</v>
      </c>
      <c r="U135" s="9">
        <v>11899</v>
      </c>
      <c r="V135" s="45">
        <f t="shared" si="14"/>
        <v>0.14299520968148585</v>
      </c>
      <c r="W135" s="12">
        <v>14.8</v>
      </c>
      <c r="X135" s="12">
        <v>1.73</v>
      </c>
      <c r="Y135" s="12">
        <v>20210804</v>
      </c>
    </row>
    <row r="136" spans="1:25" x14ac:dyDescent="0.45">
      <c r="A136" s="3" t="s">
        <v>4007</v>
      </c>
      <c r="B136" s="3" t="s">
        <v>4008</v>
      </c>
      <c r="C136" s="6" t="s">
        <v>518</v>
      </c>
      <c r="D136" s="6" t="s">
        <v>289</v>
      </c>
      <c r="E136" s="6" t="s">
        <v>430</v>
      </c>
      <c r="F136" s="6">
        <v>3002.91</v>
      </c>
      <c r="G136" s="2">
        <v>1.01</v>
      </c>
      <c r="H136" s="2">
        <v>1.27</v>
      </c>
      <c r="I136" s="2">
        <v>1.49</v>
      </c>
      <c r="J136" s="47">
        <f t="shared" si="10"/>
        <v>0.25742574257425743</v>
      </c>
      <c r="K136" s="47">
        <f t="shared" si="11"/>
        <v>0.17322834645669288</v>
      </c>
      <c r="L136" s="8">
        <v>45.4</v>
      </c>
      <c r="M136" s="8">
        <v>46.21</v>
      </c>
      <c r="N136" s="8">
        <v>39.340000000000003</v>
      </c>
      <c r="O136" s="17">
        <f t="shared" si="12"/>
        <v>1.7950807692307691</v>
      </c>
      <c r="P136" s="17">
        <f t="shared" si="13"/>
        <v>2.2709909090909095</v>
      </c>
      <c r="Q136" s="5">
        <v>2.4500000000000002</v>
      </c>
      <c r="R136" s="9">
        <v>12.44</v>
      </c>
      <c r="S136" s="9">
        <v>11.27</v>
      </c>
      <c r="T136" s="9">
        <v>1145.81005</v>
      </c>
      <c r="U136" s="9">
        <v>1032.28</v>
      </c>
      <c r="V136" s="45">
        <f t="shared" si="14"/>
        <v>0.10997989886464921</v>
      </c>
      <c r="W136" s="12">
        <v>150</v>
      </c>
      <c r="X136" s="12">
        <v>0</v>
      </c>
      <c r="Y136" s="12">
        <v>20210802</v>
      </c>
    </row>
    <row r="137" spans="1:25" x14ac:dyDescent="0.45">
      <c r="A137" s="3" t="s">
        <v>3738</v>
      </c>
      <c r="B137" s="3" t="s">
        <v>3739</v>
      </c>
      <c r="C137" s="6" t="s">
        <v>519</v>
      </c>
      <c r="D137" s="6" t="s">
        <v>90</v>
      </c>
      <c r="E137" s="6" t="s">
        <v>198</v>
      </c>
      <c r="F137" s="6">
        <v>4702.33</v>
      </c>
      <c r="G137" s="2">
        <v>-1.54</v>
      </c>
      <c r="H137" s="2">
        <v>-1.35</v>
      </c>
      <c r="I137" s="2">
        <v>-0.26</v>
      </c>
      <c r="J137" s="47">
        <f t="shared" si="10"/>
        <v>0.12337662337662333</v>
      </c>
      <c r="K137" s="47">
        <f t="shared" si="11"/>
        <v>0.80740740740740746</v>
      </c>
      <c r="O137" s="17">
        <f t="shared" si="12"/>
        <v>0</v>
      </c>
      <c r="P137" s="17">
        <f t="shared" si="13"/>
        <v>0</v>
      </c>
      <c r="S137" s="9">
        <v>27.48</v>
      </c>
      <c r="T137" s="9">
        <v>386.67198999999999</v>
      </c>
      <c r="U137" s="9">
        <v>173.14</v>
      </c>
      <c r="V137" s="45">
        <f t="shared" si="14"/>
        <v>1.2332909206422549</v>
      </c>
      <c r="W137" s="12">
        <v>-575</v>
      </c>
      <c r="X137" s="12">
        <v>0</v>
      </c>
      <c r="Y137" s="12">
        <v>20210805</v>
      </c>
    </row>
    <row r="138" spans="1:25" x14ac:dyDescent="0.45">
      <c r="A138" s="3" t="s">
        <v>4475</v>
      </c>
      <c r="B138" s="3" t="s">
        <v>4476</v>
      </c>
      <c r="C138" s="6" t="s">
        <v>520</v>
      </c>
      <c r="D138" s="6" t="s">
        <v>189</v>
      </c>
      <c r="E138" s="6" t="s">
        <v>908</v>
      </c>
      <c r="F138" s="6">
        <v>5820.42</v>
      </c>
      <c r="J138" s="47" t="e">
        <f t="shared" si="10"/>
        <v>#DIV/0!</v>
      </c>
      <c r="K138" s="47" t="e">
        <f t="shared" si="11"/>
        <v>#DIV/0!</v>
      </c>
      <c r="L138" s="8">
        <v>18.61</v>
      </c>
      <c r="O138" s="17" t="e">
        <f t="shared" si="12"/>
        <v>#DIV/0!</v>
      </c>
      <c r="P138" s="17" t="e">
        <f t="shared" si="13"/>
        <v>#DIV/0!</v>
      </c>
      <c r="R138" s="9">
        <v>8.3800000000000008</v>
      </c>
      <c r="S138" s="9">
        <v>53.79</v>
      </c>
      <c r="U138" s="9">
        <v>4169</v>
      </c>
      <c r="V138" s="45">
        <f t="shared" si="14"/>
        <v>-1</v>
      </c>
      <c r="X138" s="12">
        <v>0</v>
      </c>
      <c r="Y138" s="12">
        <v>20210804</v>
      </c>
    </row>
    <row r="139" spans="1:25" x14ac:dyDescent="0.45">
      <c r="A139" s="3" t="s">
        <v>774</v>
      </c>
      <c r="B139" s="3" t="s">
        <v>101</v>
      </c>
      <c r="C139" s="6" t="s">
        <v>518</v>
      </c>
      <c r="D139" s="6" t="s">
        <v>234</v>
      </c>
      <c r="E139" s="6" t="s">
        <v>286</v>
      </c>
      <c r="F139" s="6">
        <v>121168.09</v>
      </c>
      <c r="G139" s="2">
        <v>8.44</v>
      </c>
      <c r="H139" s="2">
        <v>9.43</v>
      </c>
      <c r="I139" s="2">
        <v>10.1</v>
      </c>
      <c r="J139" s="47">
        <f t="shared" si="10"/>
        <v>0.11729857819905216</v>
      </c>
      <c r="K139" s="47">
        <f t="shared" si="11"/>
        <v>7.104984093319193E-2</v>
      </c>
      <c r="L139" s="8">
        <v>30.24</v>
      </c>
      <c r="M139" s="8">
        <v>28.33</v>
      </c>
      <c r="N139" s="8">
        <v>26.44</v>
      </c>
      <c r="O139" s="17">
        <f t="shared" si="12"/>
        <v>2.4152040404040394</v>
      </c>
      <c r="P139" s="17">
        <f t="shared" si="13"/>
        <v>3.7213313432835826</v>
      </c>
      <c r="Q139" s="5">
        <v>2.0099999999999998</v>
      </c>
      <c r="R139" s="9">
        <v>44.78</v>
      </c>
      <c r="S139" s="9">
        <v>8.84</v>
      </c>
      <c r="T139" s="9">
        <v>8832.5058499999996</v>
      </c>
      <c r="U139" s="9">
        <v>8041.5</v>
      </c>
      <c r="V139" s="45">
        <f t="shared" si="14"/>
        <v>9.8365460424050186E-2</v>
      </c>
      <c r="W139" s="12">
        <v>6.03</v>
      </c>
      <c r="X139" s="12">
        <v>1.86</v>
      </c>
      <c r="Y139" s="12">
        <v>20210729</v>
      </c>
    </row>
    <row r="140" spans="1:25" x14ac:dyDescent="0.45">
      <c r="A140" s="3" t="s">
        <v>836</v>
      </c>
      <c r="B140" s="3" t="s">
        <v>837</v>
      </c>
      <c r="C140" s="6" t="s">
        <v>518</v>
      </c>
      <c r="D140" s="6" t="s">
        <v>279</v>
      </c>
      <c r="E140" s="6" t="s">
        <v>265</v>
      </c>
      <c r="F140" s="6">
        <v>3311.79</v>
      </c>
      <c r="G140" s="2">
        <v>-3.14</v>
      </c>
      <c r="H140" s="2">
        <v>-0.81</v>
      </c>
      <c r="I140" s="2">
        <v>-0.69</v>
      </c>
      <c r="J140" s="47">
        <f t="shared" si="10"/>
        <v>0.7420382165605095</v>
      </c>
      <c r="K140" s="47">
        <f t="shared" si="11"/>
        <v>0.14814814814814828</v>
      </c>
      <c r="O140" s="17">
        <f t="shared" si="12"/>
        <v>0</v>
      </c>
      <c r="P140" s="17">
        <f t="shared" si="13"/>
        <v>0</v>
      </c>
      <c r="T140" s="9">
        <v>262.47298999999998</v>
      </c>
      <c r="U140" s="9">
        <v>245.26</v>
      </c>
      <c r="V140" s="45">
        <f t="shared" si="14"/>
        <v>7.0182622523036739E-2</v>
      </c>
      <c r="W140" s="12">
        <v>11.11</v>
      </c>
      <c r="X140" s="12">
        <v>0</v>
      </c>
      <c r="Y140" s="12">
        <v>20210811</v>
      </c>
    </row>
    <row r="141" spans="1:25" x14ac:dyDescent="0.45">
      <c r="A141" s="3" t="s">
        <v>396</v>
      </c>
      <c r="B141" s="3" t="s">
        <v>397</v>
      </c>
      <c r="C141" s="6" t="s">
        <v>518</v>
      </c>
      <c r="D141" s="6" t="s">
        <v>189</v>
      </c>
      <c r="E141" s="6" t="s">
        <v>378</v>
      </c>
      <c r="F141" s="6">
        <v>52699.68</v>
      </c>
      <c r="G141" s="2">
        <v>0.6</v>
      </c>
      <c r="H141" s="2">
        <v>1</v>
      </c>
      <c r="I141" s="2">
        <v>1.26</v>
      </c>
      <c r="J141" s="47">
        <f t="shared" si="10"/>
        <v>0.66666666666666674</v>
      </c>
      <c r="K141" s="47">
        <f t="shared" si="11"/>
        <v>0.26</v>
      </c>
      <c r="L141" s="8">
        <v>14.53</v>
      </c>
      <c r="M141" s="8">
        <v>15.84</v>
      </c>
      <c r="N141" s="8">
        <v>12.52</v>
      </c>
      <c r="O141" s="17">
        <f t="shared" si="12"/>
        <v>0.23759999999999998</v>
      </c>
      <c r="P141" s="17">
        <f t="shared" si="13"/>
        <v>0.48153846153846153</v>
      </c>
      <c r="R141" s="9">
        <v>28.98</v>
      </c>
      <c r="S141" s="9">
        <v>-1.95</v>
      </c>
      <c r="T141" s="9">
        <v>48782.820310000003</v>
      </c>
      <c r="U141" s="9">
        <v>49535.62</v>
      </c>
      <c r="V141" s="45">
        <f t="shared" si="14"/>
        <v>-1.5197138745815634E-2</v>
      </c>
      <c r="W141" s="12">
        <v>-90.91</v>
      </c>
      <c r="X141" s="12">
        <v>2.36</v>
      </c>
      <c r="Y141" s="12">
        <v>20210713</v>
      </c>
    </row>
    <row r="142" spans="1:25" x14ac:dyDescent="0.45">
      <c r="A142" s="3" t="s">
        <v>103</v>
      </c>
      <c r="B142" s="3" t="s">
        <v>104</v>
      </c>
      <c r="C142" s="6" t="s">
        <v>519</v>
      </c>
      <c r="D142" s="6" t="s">
        <v>303</v>
      </c>
      <c r="E142" s="6" t="s">
        <v>245</v>
      </c>
      <c r="F142" s="6">
        <v>1654761.75</v>
      </c>
      <c r="G142" s="2">
        <v>34.64</v>
      </c>
      <c r="H142" s="2">
        <v>57.12</v>
      </c>
      <c r="I142" s="2">
        <v>72.86</v>
      </c>
      <c r="J142" s="47">
        <f t="shared" si="10"/>
        <v>0.64896073903002305</v>
      </c>
      <c r="K142" s="47">
        <f t="shared" si="11"/>
        <v>0.27556022408963587</v>
      </c>
      <c r="L142" s="8">
        <v>62.44</v>
      </c>
      <c r="M142" s="8">
        <v>57.44</v>
      </c>
      <c r="N142" s="8">
        <v>45.03</v>
      </c>
      <c r="O142" s="17">
        <f t="shared" si="12"/>
        <v>0.88510747330960859</v>
      </c>
      <c r="P142" s="17">
        <f t="shared" si="13"/>
        <v>1.6341255400254129</v>
      </c>
      <c r="Q142" s="5">
        <v>2.0499999999999998</v>
      </c>
      <c r="R142" s="9">
        <v>30.47</v>
      </c>
      <c r="S142" s="9">
        <v>28.82</v>
      </c>
      <c r="T142" s="9">
        <v>487323.40625</v>
      </c>
      <c r="U142" s="9">
        <v>386064</v>
      </c>
      <c r="V142" s="45">
        <f t="shared" si="14"/>
        <v>0.26228658007480626</v>
      </c>
      <c r="W142" s="12">
        <v>61.95</v>
      </c>
      <c r="X142" s="12">
        <v>0</v>
      </c>
      <c r="Y142" s="12">
        <v>20210729</v>
      </c>
    </row>
    <row r="143" spans="1:25" x14ac:dyDescent="0.45">
      <c r="A143" s="3" t="s">
        <v>630</v>
      </c>
      <c r="B143" s="3" t="s">
        <v>631</v>
      </c>
      <c r="C143" s="6" t="s">
        <v>518</v>
      </c>
      <c r="D143" s="6" t="s">
        <v>303</v>
      </c>
      <c r="E143" s="6" t="s">
        <v>632</v>
      </c>
      <c r="F143" s="6">
        <v>7766.3</v>
      </c>
      <c r="G143" s="2">
        <v>6.69</v>
      </c>
      <c r="H143" s="2">
        <v>10.15</v>
      </c>
      <c r="I143" s="2">
        <v>9.49</v>
      </c>
      <c r="J143" s="47">
        <f t="shared" si="10"/>
        <v>0.51718983557548581</v>
      </c>
      <c r="K143" s="47">
        <f t="shared" si="11"/>
        <v>-6.5024630541871936E-2</v>
      </c>
      <c r="L143" s="8">
        <v>10.71</v>
      </c>
      <c r="M143" s="8">
        <v>9.51</v>
      </c>
      <c r="N143" s="8">
        <v>10.17</v>
      </c>
      <c r="O143" s="17">
        <f t="shared" si="12"/>
        <v>0.18387832369942195</v>
      </c>
      <c r="P143" s="17">
        <f t="shared" si="13"/>
        <v>-1.5640227272727267</v>
      </c>
      <c r="Q143" s="5">
        <v>0.48</v>
      </c>
      <c r="R143" s="9">
        <v>24.22</v>
      </c>
      <c r="S143" s="9">
        <v>-0.91</v>
      </c>
      <c r="T143" s="9">
        <v>23672.537100000001</v>
      </c>
      <c r="U143" s="9">
        <v>20390</v>
      </c>
      <c r="V143" s="45">
        <f t="shared" si="14"/>
        <v>0.16098759686120653</v>
      </c>
      <c r="W143" s="12">
        <v>55</v>
      </c>
      <c r="X143" s="12">
        <v>0</v>
      </c>
      <c r="Y143" s="12">
        <v>20210722</v>
      </c>
    </row>
    <row r="144" spans="1:25" x14ac:dyDescent="0.45">
      <c r="A144" s="3" t="s">
        <v>4477</v>
      </c>
      <c r="B144" s="3" t="s">
        <v>4478</v>
      </c>
      <c r="C144" s="6" t="s">
        <v>519</v>
      </c>
      <c r="D144" s="6" t="s">
        <v>234</v>
      </c>
      <c r="E144" s="6" t="s">
        <v>243</v>
      </c>
      <c r="F144" s="6">
        <v>3957.26</v>
      </c>
      <c r="J144" s="47" t="e">
        <f t="shared" si="10"/>
        <v>#DIV/0!</v>
      </c>
      <c r="K144" s="47" t="e">
        <f t="shared" si="11"/>
        <v>#DIV/0!</v>
      </c>
      <c r="L144" s="8">
        <v>20.079999999999998</v>
      </c>
      <c r="O144" s="17" t="e">
        <f t="shared" si="12"/>
        <v>#DIV/0!</v>
      </c>
      <c r="P144" s="17" t="e">
        <f t="shared" si="13"/>
        <v>#DIV/0!</v>
      </c>
      <c r="U144" s="9">
        <v>4070.14</v>
      </c>
      <c r="V144" s="45">
        <f t="shared" si="14"/>
        <v>-1</v>
      </c>
      <c r="X144" s="12">
        <v>2.23</v>
      </c>
      <c r="Y144" s="12">
        <v>20210611</v>
      </c>
    </row>
    <row r="145" spans="1:25" x14ac:dyDescent="0.45">
      <c r="A145" s="3" t="s">
        <v>106</v>
      </c>
      <c r="B145" s="3" t="s">
        <v>107</v>
      </c>
      <c r="C145" s="6" t="s">
        <v>518</v>
      </c>
      <c r="D145" s="6" t="s">
        <v>189</v>
      </c>
      <c r="E145" s="6" t="s">
        <v>199</v>
      </c>
      <c r="F145" s="6">
        <v>27437.1</v>
      </c>
      <c r="G145" s="2">
        <v>8.9499999999999993</v>
      </c>
      <c r="H145" s="2">
        <v>10.24</v>
      </c>
      <c r="I145" s="2">
        <v>11.45</v>
      </c>
      <c r="J145" s="47">
        <f t="shared" si="10"/>
        <v>0.14413407821229063</v>
      </c>
      <c r="K145" s="47">
        <f t="shared" si="11"/>
        <v>0.1181640624999999</v>
      </c>
      <c r="L145" s="8">
        <v>37.79</v>
      </c>
      <c r="M145" s="8">
        <v>35.130000000000003</v>
      </c>
      <c r="N145" s="8">
        <v>31.41</v>
      </c>
      <c r="O145" s="17">
        <f t="shared" si="12"/>
        <v>2.4373139534883701</v>
      </c>
      <c r="P145" s="17">
        <f t="shared" si="13"/>
        <v>2.6581685950413245</v>
      </c>
      <c r="Q145" s="5">
        <v>2.76</v>
      </c>
      <c r="R145" s="9">
        <v>20.73</v>
      </c>
      <c r="S145" s="9">
        <v>20.72</v>
      </c>
      <c r="T145" s="9">
        <v>2752.8159099999998</v>
      </c>
      <c r="U145" s="9">
        <v>2317.5100000000002</v>
      </c>
      <c r="V145" s="45">
        <f t="shared" si="14"/>
        <v>0.18783345487182343</v>
      </c>
      <c r="W145" s="12">
        <v>5.04</v>
      </c>
      <c r="X145" s="12">
        <v>0</v>
      </c>
      <c r="Y145" s="12">
        <v>20210803</v>
      </c>
    </row>
    <row r="146" spans="1:25" x14ac:dyDescent="0.45">
      <c r="A146" s="3" t="s">
        <v>4479</v>
      </c>
      <c r="B146" s="3" t="s">
        <v>4480</v>
      </c>
      <c r="C146" s="6" t="s">
        <v>519</v>
      </c>
      <c r="D146" s="6" t="s">
        <v>189</v>
      </c>
      <c r="E146" s="6" t="s">
        <v>246</v>
      </c>
      <c r="F146" s="6">
        <v>7086.86</v>
      </c>
      <c r="G146" s="2">
        <v>0</v>
      </c>
      <c r="H146" s="2">
        <v>-0.1</v>
      </c>
      <c r="I146" s="2">
        <v>0</v>
      </c>
      <c r="J146" s="47" t="e">
        <f t="shared" si="10"/>
        <v>#DIV/0!</v>
      </c>
      <c r="K146" s="47">
        <f t="shared" si="11"/>
        <v>1</v>
      </c>
      <c r="N146" s="8">
        <v>4917.5</v>
      </c>
      <c r="O146" s="17" t="e">
        <f t="shared" si="12"/>
        <v>#DIV/0!</v>
      </c>
      <c r="P146" s="17">
        <f t="shared" si="13"/>
        <v>49.174999999999997</v>
      </c>
      <c r="R146" s="9">
        <v>0.36</v>
      </c>
      <c r="S146" s="9">
        <v>48.65</v>
      </c>
      <c r="T146" s="9">
        <v>1679.0389399999999</v>
      </c>
      <c r="U146" s="9">
        <v>1467.93</v>
      </c>
      <c r="V146" s="45">
        <f t="shared" si="14"/>
        <v>0.14381403745410193</v>
      </c>
      <c r="W146" s="12">
        <v>100</v>
      </c>
      <c r="X146" s="12">
        <v>0</v>
      </c>
      <c r="Y146" s="12">
        <v>20210809</v>
      </c>
    </row>
    <row r="147" spans="1:25" x14ac:dyDescent="0.45">
      <c r="A147" s="3" t="s">
        <v>3740</v>
      </c>
      <c r="B147" s="3" t="s">
        <v>3741</v>
      </c>
      <c r="C147" s="6" t="s">
        <v>520</v>
      </c>
      <c r="D147" s="6" t="s">
        <v>90</v>
      </c>
      <c r="E147" s="6" t="s">
        <v>304</v>
      </c>
      <c r="F147" s="6">
        <v>3787.65</v>
      </c>
      <c r="G147" s="2">
        <v>0.16</v>
      </c>
      <c r="H147" s="2">
        <v>0.68</v>
      </c>
      <c r="I147" s="2">
        <v>0.7</v>
      </c>
      <c r="J147" s="47">
        <f t="shared" si="10"/>
        <v>3.25</v>
      </c>
      <c r="K147" s="47">
        <f t="shared" si="11"/>
        <v>2.9411764705882214E-2</v>
      </c>
      <c r="L147" s="8">
        <v>58.33</v>
      </c>
      <c r="M147" s="8">
        <v>10.29</v>
      </c>
      <c r="N147" s="8">
        <v>10</v>
      </c>
      <c r="O147" s="17">
        <f t="shared" si="12"/>
        <v>3.1661538461538456E-2</v>
      </c>
      <c r="P147" s="17">
        <f t="shared" si="13"/>
        <v>3.4000000000000163</v>
      </c>
      <c r="R147" s="9">
        <v>3.51</v>
      </c>
      <c r="S147" s="9">
        <v>0.16</v>
      </c>
      <c r="T147" s="9">
        <v>7425.6298800000004</v>
      </c>
      <c r="U147" s="9">
        <v>5332.36</v>
      </c>
      <c r="V147" s="45">
        <f t="shared" si="14"/>
        <v>0.39255974465339943</v>
      </c>
      <c r="X147" s="12">
        <v>3.09</v>
      </c>
      <c r="Y147" s="12">
        <v>20210804</v>
      </c>
    </row>
    <row r="148" spans="1:25" x14ac:dyDescent="0.45">
      <c r="A148" s="3" t="s">
        <v>477</v>
      </c>
      <c r="B148" s="3" t="s">
        <v>478</v>
      </c>
      <c r="C148" s="6" t="s">
        <v>520</v>
      </c>
      <c r="D148" s="6" t="s">
        <v>216</v>
      </c>
      <c r="E148" s="6" t="s">
        <v>302</v>
      </c>
      <c r="F148" s="6">
        <v>54715.38</v>
      </c>
      <c r="G148" s="2">
        <v>0.3</v>
      </c>
      <c r="H148" s="2">
        <v>0.42</v>
      </c>
      <c r="I148" s="2">
        <v>0.52</v>
      </c>
      <c r="J148" s="47">
        <f t="shared" si="10"/>
        <v>0.4</v>
      </c>
      <c r="K148" s="47">
        <f t="shared" si="11"/>
        <v>0.23809523809523819</v>
      </c>
      <c r="M148" s="8">
        <v>48.19</v>
      </c>
      <c r="N148" s="8">
        <v>38.549999999999997</v>
      </c>
      <c r="O148" s="17">
        <f t="shared" si="12"/>
        <v>1.20475</v>
      </c>
      <c r="P148" s="17">
        <f t="shared" si="13"/>
        <v>1.6190999999999991</v>
      </c>
      <c r="T148" s="9">
        <v>7073.9247999999998</v>
      </c>
      <c r="U148" s="9">
        <v>4909.3599999999997</v>
      </c>
      <c r="V148" s="45">
        <f t="shared" si="14"/>
        <v>0.44090569850245254</v>
      </c>
      <c r="X148" s="12">
        <v>0</v>
      </c>
    </row>
    <row r="149" spans="1:25" x14ac:dyDescent="0.45">
      <c r="A149" s="3" t="s">
        <v>108</v>
      </c>
      <c r="B149" s="3" t="s">
        <v>109</v>
      </c>
      <c r="C149" s="6" t="s">
        <v>519</v>
      </c>
      <c r="D149" s="6" t="s">
        <v>189</v>
      </c>
      <c r="E149" s="6" t="s">
        <v>202</v>
      </c>
      <c r="F149" s="6">
        <v>28485.49</v>
      </c>
      <c r="G149" s="2">
        <v>6.24</v>
      </c>
      <c r="H149" s="2">
        <v>6.97</v>
      </c>
      <c r="I149" s="2">
        <v>7.88</v>
      </c>
      <c r="J149" s="47">
        <f t="shared" si="10"/>
        <v>0.1169871794871794</v>
      </c>
      <c r="K149" s="47">
        <f t="shared" si="11"/>
        <v>0.13055954088952657</v>
      </c>
      <c r="L149" s="8">
        <v>46.76</v>
      </c>
      <c r="M149" s="8">
        <v>46.92</v>
      </c>
      <c r="N149" s="8">
        <v>41.47</v>
      </c>
      <c r="O149" s="17">
        <f t="shared" si="12"/>
        <v>4.010695890410962</v>
      </c>
      <c r="P149" s="17">
        <f t="shared" si="13"/>
        <v>3.1763285714285709</v>
      </c>
      <c r="Q149" s="5">
        <v>3.8</v>
      </c>
      <c r="R149" s="9">
        <v>12.8</v>
      </c>
      <c r="S149" s="9">
        <v>13.93</v>
      </c>
      <c r="T149" s="9">
        <v>1868.30395</v>
      </c>
      <c r="U149" s="9">
        <v>1681.3</v>
      </c>
      <c r="V149" s="45">
        <f t="shared" si="14"/>
        <v>0.11122580741093203</v>
      </c>
      <c r="W149" s="12">
        <v>31.76</v>
      </c>
      <c r="X149" s="12">
        <v>0</v>
      </c>
      <c r="Y149" s="12">
        <v>20210804</v>
      </c>
    </row>
    <row r="150" spans="1:25" x14ac:dyDescent="0.45">
      <c r="A150" s="3" t="s">
        <v>110</v>
      </c>
      <c r="B150" s="3" t="s">
        <v>111</v>
      </c>
      <c r="C150" s="6" t="s">
        <v>518</v>
      </c>
      <c r="D150" s="6" t="s">
        <v>279</v>
      </c>
      <c r="E150" s="6" t="s">
        <v>260</v>
      </c>
      <c r="F150" s="6">
        <v>94498.7</v>
      </c>
      <c r="G150" s="2">
        <v>22.43</v>
      </c>
      <c r="H150" s="2">
        <v>25.19</v>
      </c>
      <c r="I150" s="2">
        <v>28.2</v>
      </c>
      <c r="J150" s="47">
        <f t="shared" si="10"/>
        <v>0.12304948729380301</v>
      </c>
      <c r="K150" s="47">
        <f t="shared" si="11"/>
        <v>0.11949186184994037</v>
      </c>
      <c r="L150" s="8">
        <v>16.82</v>
      </c>
      <c r="M150" s="8">
        <v>15.32</v>
      </c>
      <c r="N150" s="8">
        <v>13.69</v>
      </c>
      <c r="O150" s="17">
        <f t="shared" si="12"/>
        <v>1.2450275362318834</v>
      </c>
      <c r="P150" s="17">
        <f t="shared" si="13"/>
        <v>1.1456847176079741</v>
      </c>
      <c r="Q150" s="5">
        <v>1.2</v>
      </c>
      <c r="R150" s="9">
        <v>17.100000000000001</v>
      </c>
      <c r="S150" s="9">
        <v>8.69</v>
      </c>
      <c r="T150" s="9">
        <v>135134.79686999999</v>
      </c>
      <c r="U150" s="9">
        <v>121867</v>
      </c>
      <c r="V150" s="45">
        <f t="shared" si="14"/>
        <v>0.10887112072997605</v>
      </c>
      <c r="W150" s="12">
        <v>2.19</v>
      </c>
      <c r="X150" s="12">
        <v>1.17</v>
      </c>
      <c r="Y150" s="12">
        <v>20210804</v>
      </c>
    </row>
    <row r="151" spans="1:25" x14ac:dyDescent="0.45">
      <c r="A151" s="3" t="s">
        <v>4009</v>
      </c>
      <c r="B151" s="3" t="s">
        <v>4010</v>
      </c>
      <c r="C151" s="6" t="s">
        <v>520</v>
      </c>
      <c r="D151" s="6" t="s">
        <v>234</v>
      </c>
      <c r="E151" s="6" t="s">
        <v>105</v>
      </c>
      <c r="F151" s="6">
        <v>63397.06</v>
      </c>
      <c r="G151" s="2">
        <v>0.97</v>
      </c>
      <c r="H151" s="2">
        <v>1.71</v>
      </c>
      <c r="I151" s="2">
        <v>1.7</v>
      </c>
      <c r="J151" s="47">
        <f t="shared" si="10"/>
        <v>0.7628865979381444</v>
      </c>
      <c r="K151" s="47">
        <f t="shared" si="11"/>
        <v>-5.8479532163742748E-3</v>
      </c>
      <c r="M151" s="8">
        <v>13.08</v>
      </c>
      <c r="N151" s="8">
        <v>13.15</v>
      </c>
      <c r="O151" s="17">
        <f t="shared" si="12"/>
        <v>0.17145405405405403</v>
      </c>
      <c r="P151" s="17">
        <f t="shared" si="13"/>
        <v>-22.486499999999982</v>
      </c>
      <c r="Q151" s="5">
        <v>0.63</v>
      </c>
      <c r="T151" s="9">
        <v>13803.00488</v>
      </c>
      <c r="U151" s="9">
        <v>19013.54</v>
      </c>
      <c r="V151" s="45">
        <f t="shared" si="14"/>
        <v>-0.2740433985465095</v>
      </c>
      <c r="X151" s="12">
        <v>4.7699999999999996</v>
      </c>
    </row>
    <row r="152" spans="1:25" x14ac:dyDescent="0.45">
      <c r="A152" s="3" t="s">
        <v>419</v>
      </c>
      <c r="B152" s="3" t="s">
        <v>112</v>
      </c>
      <c r="C152" s="6" t="s">
        <v>518</v>
      </c>
      <c r="D152" s="6" t="s">
        <v>234</v>
      </c>
      <c r="E152" s="6" t="s">
        <v>240</v>
      </c>
      <c r="F152" s="6">
        <v>55452.81</v>
      </c>
      <c r="G152" s="2">
        <v>9.66</v>
      </c>
      <c r="H152" s="2">
        <v>11.12</v>
      </c>
      <c r="I152" s="2">
        <v>12.34</v>
      </c>
      <c r="J152" s="47">
        <f t="shared" si="10"/>
        <v>0.15113871635610757</v>
      </c>
      <c r="K152" s="47">
        <f t="shared" si="11"/>
        <v>0.10971223021582741</v>
      </c>
      <c r="L152" s="8">
        <v>23.65</v>
      </c>
      <c r="M152" s="8">
        <v>22.1</v>
      </c>
      <c r="N152" s="8">
        <v>19.920000000000002</v>
      </c>
      <c r="O152" s="17">
        <f t="shared" si="12"/>
        <v>1.4622328767123298</v>
      </c>
      <c r="P152" s="17">
        <f t="shared" si="13"/>
        <v>1.8156590163934416</v>
      </c>
      <c r="R152" s="9">
        <v>62.86</v>
      </c>
      <c r="S152" s="9">
        <v>-0.26</v>
      </c>
      <c r="T152" s="9">
        <v>11748.782219999999</v>
      </c>
      <c r="U152" s="9">
        <v>11066</v>
      </c>
      <c r="V152" s="45">
        <f t="shared" si="14"/>
        <v>6.1700905476233428E-2</v>
      </c>
      <c r="W152" s="12">
        <v>5.94</v>
      </c>
      <c r="X152" s="12">
        <v>0.83</v>
      </c>
      <c r="Y152" s="12">
        <v>20210730</v>
      </c>
    </row>
    <row r="153" spans="1:25" x14ac:dyDescent="0.45">
      <c r="A153" s="3" t="s">
        <v>4481</v>
      </c>
      <c r="B153" s="3" t="s">
        <v>4482</v>
      </c>
      <c r="C153" s="6" t="s">
        <v>520</v>
      </c>
      <c r="D153" s="6" t="s">
        <v>303</v>
      </c>
      <c r="E153" s="6" t="s">
        <v>292</v>
      </c>
      <c r="F153" s="6">
        <v>23175.75</v>
      </c>
      <c r="J153" s="47" t="e">
        <f t="shared" si="10"/>
        <v>#DIV/0!</v>
      </c>
      <c r="K153" s="47" t="e">
        <f t="shared" si="11"/>
        <v>#DIV/0!</v>
      </c>
      <c r="L153" s="8">
        <v>98.44</v>
      </c>
      <c r="O153" s="17" t="e">
        <f t="shared" si="12"/>
        <v>#DIV/0!</v>
      </c>
      <c r="P153" s="17" t="e">
        <f t="shared" si="13"/>
        <v>#DIV/0!</v>
      </c>
      <c r="U153" s="9">
        <v>78939.3</v>
      </c>
      <c r="V153" s="45">
        <f t="shared" si="14"/>
        <v>-1</v>
      </c>
      <c r="X153" s="12">
        <v>0.91</v>
      </c>
      <c r="Y153" s="12">
        <v>20210714</v>
      </c>
    </row>
    <row r="154" spans="1:25" x14ac:dyDescent="0.45">
      <c r="A154" s="3" t="s">
        <v>420</v>
      </c>
      <c r="B154" s="3" t="s">
        <v>113</v>
      </c>
      <c r="C154" s="6" t="s">
        <v>518</v>
      </c>
      <c r="D154" s="6" t="s">
        <v>272</v>
      </c>
      <c r="E154" s="6" t="s">
        <v>252</v>
      </c>
      <c r="F154" s="6">
        <v>10981.63</v>
      </c>
      <c r="G154" s="2">
        <v>2.0099999999999998</v>
      </c>
      <c r="H154" s="2">
        <v>2.68</v>
      </c>
      <c r="I154" s="2">
        <v>3.06</v>
      </c>
      <c r="J154" s="47">
        <f t="shared" si="10"/>
        <v>0.33333333333333354</v>
      </c>
      <c r="K154" s="47">
        <f t="shared" si="11"/>
        <v>0.14179104477611937</v>
      </c>
      <c r="L154" s="8">
        <v>27.93</v>
      </c>
      <c r="M154" s="8">
        <v>25.57</v>
      </c>
      <c r="N154" s="8">
        <v>22.39</v>
      </c>
      <c r="O154" s="17">
        <f t="shared" si="12"/>
        <v>0.76709999999999945</v>
      </c>
      <c r="P154" s="17">
        <f t="shared" si="13"/>
        <v>1.5790842105263163</v>
      </c>
      <c r="Q154" s="5">
        <v>2.84</v>
      </c>
      <c r="R154" s="9">
        <v>22.37</v>
      </c>
      <c r="S154" s="9">
        <v>1.8</v>
      </c>
      <c r="T154" s="9">
        <v>3298.4919399999999</v>
      </c>
      <c r="U154" s="9">
        <v>2895.3</v>
      </c>
      <c r="V154" s="45">
        <f t="shared" si="14"/>
        <v>0.13925739647014115</v>
      </c>
      <c r="W154" s="12">
        <v>7.14</v>
      </c>
      <c r="X154" s="12">
        <v>1.52</v>
      </c>
      <c r="Y154" s="12">
        <v>20210729</v>
      </c>
    </row>
    <row r="155" spans="1:25" x14ac:dyDescent="0.45">
      <c r="A155" s="3" t="s">
        <v>4011</v>
      </c>
      <c r="B155" s="3" t="s">
        <v>633</v>
      </c>
      <c r="C155" s="6" t="s">
        <v>519</v>
      </c>
      <c r="D155" s="6" t="s">
        <v>289</v>
      </c>
      <c r="E155" s="6" t="s">
        <v>271</v>
      </c>
      <c r="F155" s="6">
        <v>8632.9</v>
      </c>
      <c r="G155" s="2">
        <v>-1.1399999999999999</v>
      </c>
      <c r="H155" s="2">
        <v>2.2200000000000002</v>
      </c>
      <c r="I155" s="2">
        <v>1.45</v>
      </c>
      <c r="J155" s="47">
        <f t="shared" si="10"/>
        <v>2.9473684210526323</v>
      </c>
      <c r="K155" s="47">
        <f t="shared" si="11"/>
        <v>-0.34684684684684691</v>
      </c>
      <c r="M155" s="8">
        <v>10.27</v>
      </c>
      <c r="N155" s="8">
        <v>15.74</v>
      </c>
      <c r="O155" s="17">
        <f t="shared" si="12"/>
        <v>3.4844642857142845E-2</v>
      </c>
      <c r="P155" s="17">
        <f t="shared" si="13"/>
        <v>-0.45380259740259732</v>
      </c>
      <c r="Q155" s="5">
        <v>0.3</v>
      </c>
      <c r="R155" s="9">
        <v>-48.58</v>
      </c>
      <c r="S155" s="9">
        <v>-1.89</v>
      </c>
      <c r="T155" s="9">
        <v>6543.5639600000004</v>
      </c>
      <c r="U155" s="9">
        <v>4435</v>
      </c>
      <c r="V155" s="45">
        <f t="shared" si="14"/>
        <v>0.47543719503945892</v>
      </c>
      <c r="W155" s="12">
        <v>22.97</v>
      </c>
      <c r="X155" s="12">
        <v>0.44</v>
      </c>
      <c r="Y155" s="12">
        <v>20210804</v>
      </c>
    </row>
    <row r="156" spans="1:25" x14ac:dyDescent="0.45">
      <c r="A156" s="3" t="s">
        <v>718</v>
      </c>
      <c r="B156" s="3" t="s">
        <v>719</v>
      </c>
      <c r="C156" s="6" t="s">
        <v>518</v>
      </c>
      <c r="D156" s="6" t="s">
        <v>234</v>
      </c>
      <c r="E156" s="6" t="s">
        <v>220</v>
      </c>
      <c r="F156" s="6">
        <v>3584.63</v>
      </c>
      <c r="G156" s="2">
        <v>3.28</v>
      </c>
      <c r="H156" s="2">
        <v>4.78</v>
      </c>
      <c r="I156" s="2">
        <v>5.1100000000000003</v>
      </c>
      <c r="J156" s="47">
        <f t="shared" si="10"/>
        <v>0.45731707317073189</v>
      </c>
      <c r="K156" s="47">
        <f t="shared" si="11"/>
        <v>6.9037656903765704E-2</v>
      </c>
      <c r="L156" s="8">
        <v>13.75</v>
      </c>
      <c r="M156" s="8">
        <v>10.92</v>
      </c>
      <c r="N156" s="8">
        <v>10.23</v>
      </c>
      <c r="O156" s="17">
        <f t="shared" si="12"/>
        <v>0.23878399999999991</v>
      </c>
      <c r="P156" s="17">
        <f t="shared" si="13"/>
        <v>1.4817999999999998</v>
      </c>
      <c r="Q156" s="5">
        <v>0.44</v>
      </c>
      <c r="R156" s="9">
        <v>178.08</v>
      </c>
      <c r="S156" s="9">
        <v>4.18</v>
      </c>
      <c r="T156" s="9">
        <v>1198.5</v>
      </c>
      <c r="U156" s="9">
        <v>899.6</v>
      </c>
      <c r="V156" s="45">
        <f t="shared" si="14"/>
        <v>0.33225878168074696</v>
      </c>
      <c r="W156" s="12">
        <v>2.73</v>
      </c>
      <c r="X156" s="12">
        <v>6.74</v>
      </c>
      <c r="Y156" s="12">
        <v>20210727</v>
      </c>
    </row>
    <row r="157" spans="1:25" x14ac:dyDescent="0.45">
      <c r="A157" s="3" t="s">
        <v>479</v>
      </c>
      <c r="B157" s="3" t="s">
        <v>480</v>
      </c>
      <c r="C157" s="6" t="s">
        <v>518</v>
      </c>
      <c r="D157" s="6" t="s">
        <v>90</v>
      </c>
      <c r="E157" s="6" t="s">
        <v>196</v>
      </c>
      <c r="F157" s="6">
        <v>65807.8</v>
      </c>
      <c r="G157" s="2">
        <v>8.43</v>
      </c>
      <c r="H157" s="2">
        <v>9.1</v>
      </c>
      <c r="I157" s="2">
        <v>10.86</v>
      </c>
      <c r="J157" s="47">
        <f t="shared" si="10"/>
        <v>7.9478054567022532E-2</v>
      </c>
      <c r="K157" s="47">
        <f t="shared" si="11"/>
        <v>0.19340659340659339</v>
      </c>
      <c r="L157" s="8">
        <v>35.4</v>
      </c>
      <c r="M157" s="8">
        <v>32.67</v>
      </c>
      <c r="N157" s="8">
        <v>27.38</v>
      </c>
      <c r="O157" s="17">
        <f t="shared" si="12"/>
        <v>4.1105686567164179</v>
      </c>
      <c r="P157" s="17">
        <f t="shared" si="13"/>
        <v>1.4156704545454546</v>
      </c>
      <c r="Q157" s="5">
        <v>2.88</v>
      </c>
      <c r="R157" s="9">
        <v>14.75</v>
      </c>
      <c r="S157" s="9">
        <v>7.0000000000000007E-2</v>
      </c>
      <c r="T157" s="9">
        <v>9973.6220699999994</v>
      </c>
      <c r="U157" s="9">
        <v>8856.2999999999993</v>
      </c>
      <c r="V157" s="45">
        <f t="shared" si="14"/>
        <v>0.12616127163713969</v>
      </c>
      <c r="W157" s="12">
        <v>-2.35</v>
      </c>
      <c r="X157" s="12">
        <v>2.02</v>
      </c>
      <c r="Y157" s="12">
        <v>20210722</v>
      </c>
    </row>
    <row r="158" spans="1:25" x14ac:dyDescent="0.45">
      <c r="A158" s="3" t="s">
        <v>838</v>
      </c>
      <c r="B158" s="3" t="s">
        <v>839</v>
      </c>
      <c r="C158" s="6" t="s">
        <v>520</v>
      </c>
      <c r="D158" s="6" t="s">
        <v>90</v>
      </c>
      <c r="E158" s="6" t="s">
        <v>304</v>
      </c>
      <c r="F158" s="6">
        <v>4519.79</v>
      </c>
      <c r="G158" s="2">
        <v>1.71</v>
      </c>
      <c r="H158" s="2">
        <v>5.43</v>
      </c>
      <c r="I158" s="2">
        <v>5.08</v>
      </c>
      <c r="J158" s="47">
        <f t="shared" si="10"/>
        <v>2.1754385964912282</v>
      </c>
      <c r="K158" s="47">
        <f t="shared" si="11"/>
        <v>-6.4456721915285384E-2</v>
      </c>
      <c r="L158" s="8">
        <v>28.83</v>
      </c>
      <c r="M158" s="8">
        <v>10.4</v>
      </c>
      <c r="N158" s="8">
        <v>11.12</v>
      </c>
      <c r="O158" s="17">
        <f t="shared" si="12"/>
        <v>4.7806451612903221E-2</v>
      </c>
      <c r="P158" s="17">
        <f t="shared" si="13"/>
        <v>-1.7251885714285733</v>
      </c>
      <c r="R158" s="9">
        <v>6.47</v>
      </c>
      <c r="S158" s="9">
        <v>0.04</v>
      </c>
      <c r="T158" s="9">
        <v>5917.6699200000003</v>
      </c>
      <c r="U158" s="9">
        <v>4139.34</v>
      </c>
      <c r="V158" s="45">
        <f t="shared" si="14"/>
        <v>0.42961677948658483</v>
      </c>
      <c r="X158" s="12">
        <v>3.19</v>
      </c>
      <c r="Y158" s="12">
        <v>20210616</v>
      </c>
    </row>
    <row r="159" spans="1:25" x14ac:dyDescent="0.45">
      <c r="A159" s="3" t="s">
        <v>3742</v>
      </c>
      <c r="B159" s="3" t="s">
        <v>3743</v>
      </c>
      <c r="C159" s="6" t="s">
        <v>518</v>
      </c>
      <c r="D159" s="6" t="s">
        <v>175</v>
      </c>
      <c r="E159" s="6" t="s">
        <v>194</v>
      </c>
      <c r="F159" s="6">
        <v>4579.17</v>
      </c>
      <c r="G159" s="2">
        <v>1.1100000000000001</v>
      </c>
      <c r="H159" s="2">
        <v>1.17</v>
      </c>
      <c r="I159" s="2">
        <v>1.3</v>
      </c>
      <c r="J159" s="47">
        <f t="shared" si="10"/>
        <v>5.4054054054053897E-2</v>
      </c>
      <c r="K159" s="47">
        <f t="shared" si="11"/>
        <v>0.11111111111111122</v>
      </c>
      <c r="L159" s="8">
        <v>19.440000000000001</v>
      </c>
      <c r="M159" s="8">
        <v>19.440000000000001</v>
      </c>
      <c r="N159" s="8">
        <v>17.5</v>
      </c>
      <c r="O159" s="17">
        <f t="shared" si="12"/>
        <v>3.5964000000000103</v>
      </c>
      <c r="P159" s="17">
        <f t="shared" si="13"/>
        <v>1.5749999999999986</v>
      </c>
      <c r="R159" s="9">
        <v>26.47</v>
      </c>
      <c r="T159" s="9">
        <v>3706.4199199999998</v>
      </c>
      <c r="U159" s="9">
        <v>3587</v>
      </c>
      <c r="V159" s="45">
        <f t="shared" si="14"/>
        <v>3.3292422637301318E-2</v>
      </c>
      <c r="W159" s="12">
        <v>-7.69</v>
      </c>
      <c r="X159" s="12">
        <v>0</v>
      </c>
      <c r="Y159" s="12">
        <v>20210811</v>
      </c>
    </row>
    <row r="160" spans="1:25" x14ac:dyDescent="0.45">
      <c r="A160" s="3" t="s">
        <v>114</v>
      </c>
      <c r="B160" s="3" t="s">
        <v>115</v>
      </c>
      <c r="C160" s="6" t="s">
        <v>518</v>
      </c>
      <c r="D160" s="6" t="s">
        <v>189</v>
      </c>
      <c r="E160" s="6" t="s">
        <v>398</v>
      </c>
      <c r="F160" s="6">
        <v>40721.54</v>
      </c>
      <c r="G160" s="2">
        <v>1.82</v>
      </c>
      <c r="H160" s="2">
        <v>2.25</v>
      </c>
      <c r="I160" s="2">
        <v>2.52</v>
      </c>
      <c r="J160" s="47">
        <f t="shared" si="10"/>
        <v>0.23626373626373623</v>
      </c>
      <c r="K160" s="47">
        <f t="shared" si="11"/>
        <v>0.12000000000000001</v>
      </c>
      <c r="L160" s="8">
        <v>19.190000000000001</v>
      </c>
      <c r="M160" s="8">
        <v>30.27</v>
      </c>
      <c r="N160" s="8">
        <v>26.99</v>
      </c>
      <c r="O160" s="17">
        <f t="shared" si="12"/>
        <v>1.2811953488372094</v>
      </c>
      <c r="P160" s="17">
        <f t="shared" si="13"/>
        <v>2.2491666666666661</v>
      </c>
      <c r="Q160" s="5">
        <v>2.52</v>
      </c>
      <c r="R160" s="9">
        <v>24.16</v>
      </c>
      <c r="S160" s="9">
        <v>8.75</v>
      </c>
      <c r="T160" s="9">
        <v>9879.20507</v>
      </c>
      <c r="U160" s="9">
        <v>8598.9</v>
      </c>
      <c r="V160" s="45">
        <f t="shared" si="14"/>
        <v>0.14889172684878302</v>
      </c>
      <c r="W160" s="12">
        <v>10.64</v>
      </c>
      <c r="X160" s="12">
        <v>0.85</v>
      </c>
      <c r="Y160" s="12">
        <v>20210728</v>
      </c>
    </row>
    <row r="161" spans="1:25" x14ac:dyDescent="0.45">
      <c r="A161" s="3" t="s">
        <v>840</v>
      </c>
      <c r="B161" s="3" t="s">
        <v>841</v>
      </c>
      <c r="C161" s="6" t="s">
        <v>519</v>
      </c>
      <c r="D161" s="6" t="s">
        <v>175</v>
      </c>
      <c r="E161" s="6" t="s">
        <v>305</v>
      </c>
      <c r="F161" s="6">
        <v>4461.3900000000003</v>
      </c>
      <c r="G161" s="2">
        <v>0.03</v>
      </c>
      <c r="H161" s="2">
        <v>-0.28999999999999998</v>
      </c>
      <c r="I161" s="2">
        <v>-0.28000000000000003</v>
      </c>
      <c r="J161" s="47">
        <f t="shared" si="10"/>
        <v>-10.666666666666666</v>
      </c>
      <c r="K161" s="47">
        <f t="shared" si="11"/>
        <v>3.4482758620689495E-2</v>
      </c>
      <c r="O161" s="17">
        <f t="shared" si="12"/>
        <v>0</v>
      </c>
      <c r="P161" s="17">
        <f t="shared" si="13"/>
        <v>0</v>
      </c>
      <c r="R161" s="9">
        <v>-2.9</v>
      </c>
      <c r="T161" s="9">
        <v>182.05298999999999</v>
      </c>
      <c r="U161" s="9">
        <v>133.56</v>
      </c>
      <c r="V161" s="45">
        <f t="shared" si="14"/>
        <v>0.36308018867924524</v>
      </c>
      <c r="W161" s="12">
        <v>-1300</v>
      </c>
      <c r="X161" s="12">
        <v>0</v>
      </c>
      <c r="Y161" s="12">
        <v>20210816</v>
      </c>
    </row>
    <row r="162" spans="1:25" x14ac:dyDescent="0.45">
      <c r="A162" s="3" t="s">
        <v>3744</v>
      </c>
      <c r="B162" s="3" t="s">
        <v>3745</v>
      </c>
      <c r="C162" s="6" t="s">
        <v>518</v>
      </c>
      <c r="D162" s="6" t="s">
        <v>234</v>
      </c>
      <c r="E162" s="6" t="s">
        <v>286</v>
      </c>
      <c r="F162" s="6">
        <v>3643.36</v>
      </c>
      <c r="G162" s="2">
        <v>0.12</v>
      </c>
      <c r="H162" s="2">
        <v>0.65</v>
      </c>
      <c r="I162" s="2">
        <v>1.31</v>
      </c>
      <c r="J162" s="47">
        <f t="shared" si="10"/>
        <v>4.416666666666667</v>
      </c>
      <c r="K162" s="47">
        <f t="shared" si="11"/>
        <v>1.0153846153846153</v>
      </c>
      <c r="M162" s="8">
        <v>24.99</v>
      </c>
      <c r="N162" s="8">
        <v>12.45</v>
      </c>
      <c r="O162" s="17">
        <f t="shared" si="12"/>
        <v>5.6581132075471691E-2</v>
      </c>
      <c r="P162" s="17">
        <f t="shared" si="13"/>
        <v>0.12261363636363637</v>
      </c>
      <c r="R162" s="9">
        <v>-7.1</v>
      </c>
      <c r="S162" s="9">
        <v>-7.34</v>
      </c>
      <c r="T162" s="9">
        <v>841.02697000000001</v>
      </c>
      <c r="U162" s="9">
        <v>601.88</v>
      </c>
      <c r="V162" s="45">
        <f t="shared" si="14"/>
        <v>0.39733330564232072</v>
      </c>
      <c r="W162" s="12">
        <v>33.33</v>
      </c>
      <c r="X162" s="12">
        <v>0.25</v>
      </c>
      <c r="Y162" s="12">
        <v>20210805</v>
      </c>
    </row>
    <row r="163" spans="1:25" x14ac:dyDescent="0.45">
      <c r="A163" s="3" t="s">
        <v>775</v>
      </c>
      <c r="B163" s="3" t="s">
        <v>776</v>
      </c>
      <c r="C163" s="6" t="s">
        <v>519</v>
      </c>
      <c r="D163" s="6" t="s">
        <v>279</v>
      </c>
      <c r="E163" s="6" t="s">
        <v>256</v>
      </c>
      <c r="F163" s="6">
        <v>4732.3999999999996</v>
      </c>
      <c r="G163" s="2">
        <v>-5.53</v>
      </c>
      <c r="H163" s="2">
        <v>-6.93</v>
      </c>
      <c r="I163" s="2">
        <v>-5.16</v>
      </c>
      <c r="J163" s="47">
        <f t="shared" si="10"/>
        <v>-0.25316455696202522</v>
      </c>
      <c r="K163" s="47">
        <f t="shared" si="11"/>
        <v>0.25541125541125537</v>
      </c>
      <c r="O163" s="17">
        <f t="shared" si="12"/>
        <v>0</v>
      </c>
      <c r="P163" s="17">
        <f t="shared" si="13"/>
        <v>0</v>
      </c>
      <c r="R163" s="9">
        <v>-242.18</v>
      </c>
      <c r="T163" s="9">
        <v>29.347989999999999</v>
      </c>
      <c r="U163" s="9">
        <v>250.65</v>
      </c>
      <c r="V163" s="45">
        <f t="shared" si="14"/>
        <v>-0.88291246758428088</v>
      </c>
      <c r="W163" s="12">
        <v>-37.28</v>
      </c>
      <c r="X163" s="12">
        <v>0</v>
      </c>
      <c r="Y163" s="12">
        <v>20210730</v>
      </c>
    </row>
    <row r="164" spans="1:25" x14ac:dyDescent="0.45">
      <c r="A164" s="3" t="s">
        <v>658</v>
      </c>
      <c r="B164" s="3" t="s">
        <v>659</v>
      </c>
      <c r="C164" s="6" t="s">
        <v>520</v>
      </c>
      <c r="D164" s="6" t="s">
        <v>279</v>
      </c>
      <c r="E164" s="6" t="s">
        <v>259</v>
      </c>
      <c r="F164" s="6">
        <v>5573.28</v>
      </c>
      <c r="G164" s="2">
        <v>0.88</v>
      </c>
      <c r="H164" s="2">
        <v>0.94</v>
      </c>
      <c r="I164" s="2">
        <v>1.04</v>
      </c>
      <c r="J164" s="47">
        <f t="shared" si="10"/>
        <v>6.8181818181818121E-2</v>
      </c>
      <c r="K164" s="47">
        <f t="shared" si="11"/>
        <v>0.10638297872340435</v>
      </c>
      <c r="M164" s="8">
        <v>13.06</v>
      </c>
      <c r="N164" s="8">
        <v>11.74</v>
      </c>
      <c r="O164" s="17">
        <f t="shared" si="12"/>
        <v>1.9154666666666684</v>
      </c>
      <c r="P164" s="17">
        <f t="shared" si="13"/>
        <v>1.103559999999999</v>
      </c>
      <c r="T164" s="9">
        <v>2598.6000899999999</v>
      </c>
      <c r="U164" s="9">
        <v>2488.87</v>
      </c>
      <c r="V164" s="45">
        <f t="shared" si="14"/>
        <v>4.4088317188121527E-2</v>
      </c>
      <c r="X164" s="12">
        <v>0</v>
      </c>
    </row>
    <row r="165" spans="1:25" x14ac:dyDescent="0.45">
      <c r="A165" s="3" t="s">
        <v>777</v>
      </c>
      <c r="B165" s="3" t="s">
        <v>116</v>
      </c>
      <c r="C165" s="6" t="s">
        <v>518</v>
      </c>
      <c r="D165" s="6" t="s">
        <v>234</v>
      </c>
      <c r="E165" s="6" t="s">
        <v>220</v>
      </c>
      <c r="F165" s="6">
        <v>13288.67</v>
      </c>
      <c r="G165" s="2">
        <v>1.83</v>
      </c>
      <c r="H165" s="2">
        <v>2.97</v>
      </c>
      <c r="I165" s="2">
        <v>4.2</v>
      </c>
      <c r="J165" s="47">
        <f t="shared" si="10"/>
        <v>0.62295081967213117</v>
      </c>
      <c r="K165" s="47">
        <f t="shared" si="11"/>
        <v>0.41414141414141409</v>
      </c>
      <c r="L165" s="8">
        <v>24.76</v>
      </c>
      <c r="M165" s="8">
        <v>19.260000000000002</v>
      </c>
      <c r="N165" s="8">
        <v>13.61</v>
      </c>
      <c r="O165" s="17">
        <f t="shared" si="12"/>
        <v>0.30917368421052632</v>
      </c>
      <c r="P165" s="17">
        <f t="shared" si="13"/>
        <v>0.3286317073170732</v>
      </c>
      <c r="R165" s="9">
        <v>17.46</v>
      </c>
      <c r="S165" s="9">
        <v>26.82</v>
      </c>
      <c r="T165" s="9">
        <v>2057.9829100000002</v>
      </c>
      <c r="U165" s="9">
        <v>2354.02</v>
      </c>
      <c r="V165" s="45">
        <f t="shared" si="14"/>
        <v>-0.12575810315970121</v>
      </c>
      <c r="W165" s="12">
        <v>11.86</v>
      </c>
      <c r="X165" s="12">
        <v>3.5</v>
      </c>
      <c r="Y165" s="12">
        <v>20210729</v>
      </c>
    </row>
    <row r="166" spans="1:25" x14ac:dyDescent="0.45">
      <c r="A166" s="3" t="s">
        <v>4012</v>
      </c>
      <c r="B166" s="3" t="s">
        <v>4013</v>
      </c>
      <c r="C166" s="6" t="s">
        <v>519</v>
      </c>
      <c r="D166" s="6" t="s">
        <v>175</v>
      </c>
      <c r="E166" s="6" t="s">
        <v>305</v>
      </c>
      <c r="F166" s="6">
        <v>29264.98</v>
      </c>
      <c r="H166" s="2">
        <v>0.31</v>
      </c>
      <c r="I166" s="2">
        <v>0.73</v>
      </c>
      <c r="J166" s="47" t="e">
        <f t="shared" si="10"/>
        <v>#DIV/0!</v>
      </c>
      <c r="K166" s="47">
        <f t="shared" si="11"/>
        <v>1.3548387096774193</v>
      </c>
      <c r="M166" s="8">
        <v>260.27</v>
      </c>
      <c r="N166" s="8">
        <v>109.93</v>
      </c>
      <c r="O166" s="17" t="e">
        <f t="shared" si="12"/>
        <v>#DIV/0!</v>
      </c>
      <c r="P166" s="17">
        <f t="shared" si="13"/>
        <v>0.81138809523809541</v>
      </c>
      <c r="Q166" s="5">
        <v>13.01</v>
      </c>
      <c r="T166" s="9">
        <v>2678.77709</v>
      </c>
      <c r="U166" s="9">
        <v>1451.09</v>
      </c>
      <c r="V166" s="45">
        <f t="shared" si="14"/>
        <v>0.84604475945668445</v>
      </c>
      <c r="W166" s="12">
        <v>-400</v>
      </c>
      <c r="X166" s="12">
        <v>0</v>
      </c>
      <c r="Y166" s="12">
        <v>20210811</v>
      </c>
    </row>
    <row r="167" spans="1:25" x14ac:dyDescent="0.45">
      <c r="A167" s="3" t="s">
        <v>778</v>
      </c>
      <c r="B167" s="3" t="s">
        <v>779</v>
      </c>
      <c r="C167" s="6" t="s">
        <v>519</v>
      </c>
      <c r="D167" s="6" t="s">
        <v>189</v>
      </c>
      <c r="E167" s="6" t="s">
        <v>248</v>
      </c>
      <c r="F167" s="6">
        <v>4781.33</v>
      </c>
      <c r="G167" s="2">
        <v>4.57</v>
      </c>
      <c r="H167" s="2">
        <v>0.2</v>
      </c>
      <c r="I167" s="2">
        <v>0.68</v>
      </c>
      <c r="J167" s="47">
        <f t="shared" si="10"/>
        <v>-0.9562363238512035</v>
      </c>
      <c r="K167" s="47">
        <f t="shared" si="11"/>
        <v>2.4</v>
      </c>
      <c r="L167" s="8">
        <v>31.5</v>
      </c>
      <c r="M167" s="8">
        <v>692.9</v>
      </c>
      <c r="N167" s="8">
        <v>203.79</v>
      </c>
      <c r="O167" s="17">
        <f t="shared" si="12"/>
        <v>-7.246116704805492</v>
      </c>
      <c r="P167" s="17">
        <f t="shared" si="13"/>
        <v>0.84912500000000002</v>
      </c>
      <c r="R167" s="9">
        <v>62.71</v>
      </c>
      <c r="S167" s="9">
        <v>31.84</v>
      </c>
      <c r="T167" s="9">
        <v>352.33499</v>
      </c>
      <c r="U167" s="9">
        <v>310.06</v>
      </c>
      <c r="V167" s="45">
        <f t="shared" si="14"/>
        <v>0.13634454621686126</v>
      </c>
      <c r="W167" s="12">
        <v>-88.89</v>
      </c>
      <c r="X167" s="12">
        <v>0</v>
      </c>
      <c r="Y167" s="12">
        <v>20210802</v>
      </c>
    </row>
    <row r="168" spans="1:25" x14ac:dyDescent="0.45">
      <c r="A168" s="3" t="s">
        <v>634</v>
      </c>
      <c r="B168" s="3" t="s">
        <v>635</v>
      </c>
      <c r="C168" s="6" t="s">
        <v>519</v>
      </c>
      <c r="D168" s="6" t="s">
        <v>189</v>
      </c>
      <c r="E168" s="6" t="s">
        <v>248</v>
      </c>
      <c r="F168" s="6">
        <v>7606.77</v>
      </c>
      <c r="G168" s="2">
        <v>-0.41</v>
      </c>
      <c r="H168" s="2">
        <v>-0.65</v>
      </c>
      <c r="I168" s="2">
        <v>-0.55000000000000004</v>
      </c>
      <c r="J168" s="47">
        <f t="shared" si="10"/>
        <v>-0.58536585365853677</v>
      </c>
      <c r="K168" s="47">
        <f t="shared" si="11"/>
        <v>0.1538461538461538</v>
      </c>
      <c r="O168" s="17">
        <f t="shared" si="12"/>
        <v>0</v>
      </c>
      <c r="P168" s="17">
        <f t="shared" si="13"/>
        <v>0</v>
      </c>
      <c r="R168" s="9">
        <v>-11.34</v>
      </c>
      <c r="S168" s="9">
        <v>18.37</v>
      </c>
      <c r="T168" s="9">
        <v>354.19299000000001</v>
      </c>
      <c r="U168" s="9">
        <v>304.57</v>
      </c>
      <c r="V168" s="45">
        <f t="shared" si="14"/>
        <v>0.16292802968118994</v>
      </c>
      <c r="W168" s="12">
        <v>57.14</v>
      </c>
      <c r="X168" s="12">
        <v>0</v>
      </c>
      <c r="Y168" s="12">
        <v>20210805</v>
      </c>
    </row>
    <row r="169" spans="1:25" x14ac:dyDescent="0.45">
      <c r="A169" s="3" t="s">
        <v>720</v>
      </c>
      <c r="B169" s="3" t="s">
        <v>721</v>
      </c>
      <c r="C169" s="6" t="s">
        <v>519</v>
      </c>
      <c r="D169" s="6" t="s">
        <v>189</v>
      </c>
      <c r="E169" s="6" t="s">
        <v>248</v>
      </c>
      <c r="F169" s="6">
        <v>6427.94</v>
      </c>
      <c r="G169" s="2">
        <v>0.71</v>
      </c>
      <c r="H169" s="2">
        <v>1.56</v>
      </c>
      <c r="I169" s="2">
        <v>2.37</v>
      </c>
      <c r="J169" s="47">
        <f t="shared" si="10"/>
        <v>1.1971830985915495</v>
      </c>
      <c r="K169" s="47">
        <f t="shared" si="11"/>
        <v>0.51923076923076927</v>
      </c>
      <c r="L169" s="8">
        <v>97.15</v>
      </c>
      <c r="M169" s="8">
        <v>46.08</v>
      </c>
      <c r="N169" s="8">
        <v>30.4</v>
      </c>
      <c r="O169" s="17">
        <f t="shared" si="12"/>
        <v>0.38490352941176464</v>
      </c>
      <c r="P169" s="17">
        <f t="shared" si="13"/>
        <v>0.58548148148148138</v>
      </c>
      <c r="Q169" s="5">
        <v>0.92</v>
      </c>
      <c r="R169" s="9">
        <v>66.47</v>
      </c>
      <c r="S169" s="9">
        <v>22.32</v>
      </c>
      <c r="T169" s="9">
        <v>1121.76</v>
      </c>
      <c r="U169" s="9">
        <v>313.58</v>
      </c>
      <c r="V169" s="45">
        <f t="shared" si="14"/>
        <v>2.577268958479495</v>
      </c>
      <c r="W169" s="12">
        <v>13.64</v>
      </c>
      <c r="X169" s="12">
        <v>0</v>
      </c>
      <c r="Y169" s="12">
        <v>20210804</v>
      </c>
    </row>
    <row r="170" spans="1:25" x14ac:dyDescent="0.45">
      <c r="A170" s="3" t="s">
        <v>431</v>
      </c>
      <c r="B170" s="3" t="s">
        <v>117</v>
      </c>
      <c r="C170" s="6" t="s">
        <v>518</v>
      </c>
      <c r="D170" s="6" t="s">
        <v>175</v>
      </c>
      <c r="E170" s="6" t="s">
        <v>305</v>
      </c>
      <c r="F170" s="6">
        <v>42822.37</v>
      </c>
      <c r="G170" s="2">
        <v>1.78</v>
      </c>
      <c r="H170" s="2">
        <v>3.72</v>
      </c>
      <c r="I170" s="2">
        <v>5.14</v>
      </c>
      <c r="J170" s="47">
        <f t="shared" si="10"/>
        <v>1.0898876404494382</v>
      </c>
      <c r="K170" s="47">
        <f t="shared" si="11"/>
        <v>0.38172043010752671</v>
      </c>
      <c r="L170" s="8">
        <v>71.319999999999993</v>
      </c>
      <c r="M170" s="8">
        <v>42.59</v>
      </c>
      <c r="N170" s="8">
        <v>30.79</v>
      </c>
      <c r="O170" s="17">
        <f t="shared" si="12"/>
        <v>0.39077422680412371</v>
      </c>
      <c r="P170" s="17">
        <f t="shared" si="13"/>
        <v>0.80661126760563406</v>
      </c>
      <c r="Q170" s="5">
        <v>3.89</v>
      </c>
      <c r="R170" s="9">
        <v>8.41</v>
      </c>
      <c r="S170" s="9">
        <v>-5.8</v>
      </c>
      <c r="T170" s="9">
        <v>15635.13867</v>
      </c>
      <c r="U170" s="9">
        <v>13066</v>
      </c>
      <c r="V170" s="45">
        <f t="shared" si="14"/>
        <v>0.19662778738711162</v>
      </c>
      <c r="W170" s="12">
        <v>37.659999999999997</v>
      </c>
      <c r="X170" s="12">
        <v>0</v>
      </c>
      <c r="Y170" s="12">
        <v>20210729</v>
      </c>
    </row>
    <row r="171" spans="1:25" x14ac:dyDescent="0.45">
      <c r="A171" s="3" t="s">
        <v>780</v>
      </c>
      <c r="B171" s="3" t="s">
        <v>526</v>
      </c>
      <c r="C171" s="6" t="s">
        <v>518</v>
      </c>
      <c r="D171" s="6" t="s">
        <v>327</v>
      </c>
      <c r="E171" s="6" t="s">
        <v>321</v>
      </c>
      <c r="F171" s="6">
        <v>9673.1200000000008</v>
      </c>
      <c r="G171" s="2">
        <v>0.65</v>
      </c>
      <c r="H171" s="2">
        <v>0.72</v>
      </c>
      <c r="I171" s="2">
        <v>0.82</v>
      </c>
      <c r="J171" s="47">
        <f t="shared" si="10"/>
        <v>0.10769230769230762</v>
      </c>
      <c r="K171" s="47">
        <f t="shared" si="11"/>
        <v>0.13888888888888887</v>
      </c>
      <c r="L171" s="8">
        <v>24.32</v>
      </c>
      <c r="M171" s="8">
        <v>21.96</v>
      </c>
      <c r="N171" s="8">
        <v>19.28</v>
      </c>
      <c r="O171" s="17">
        <f t="shared" si="12"/>
        <v>2.0391428571428589</v>
      </c>
      <c r="P171" s="17">
        <f t="shared" si="13"/>
        <v>1.3881600000000003</v>
      </c>
      <c r="Q171" s="5">
        <v>2.41</v>
      </c>
      <c r="R171" s="9">
        <v>7.55</v>
      </c>
      <c r="S171" s="9">
        <v>16.89</v>
      </c>
      <c r="T171" s="9">
        <v>2039.7769699999999</v>
      </c>
      <c r="U171" s="9">
        <v>1677.1</v>
      </c>
      <c r="V171" s="45">
        <f t="shared" si="14"/>
        <v>0.21625244171486493</v>
      </c>
      <c r="W171" s="12">
        <v>-4.76</v>
      </c>
      <c r="X171" s="12">
        <v>2.94</v>
      </c>
      <c r="Y171" s="12">
        <v>20210812</v>
      </c>
    </row>
    <row r="172" spans="1:25" x14ac:dyDescent="0.45">
      <c r="A172" s="3" t="s">
        <v>4014</v>
      </c>
      <c r="B172" s="3" t="s">
        <v>4015</v>
      </c>
      <c r="C172" s="6" t="s">
        <v>518</v>
      </c>
      <c r="D172" s="6" t="s">
        <v>175</v>
      </c>
      <c r="E172" s="6" t="s">
        <v>305</v>
      </c>
      <c r="F172" s="6">
        <v>3951.92</v>
      </c>
      <c r="G172" s="2">
        <v>0.6</v>
      </c>
      <c r="H172" s="2">
        <v>0.71</v>
      </c>
      <c r="I172" s="2">
        <v>0.82</v>
      </c>
      <c r="J172" s="47">
        <f t="shared" si="10"/>
        <v>0.18333333333333332</v>
      </c>
      <c r="K172" s="47">
        <f t="shared" si="11"/>
        <v>0.15492957746478872</v>
      </c>
      <c r="L172" s="8">
        <v>49.19</v>
      </c>
      <c r="M172" s="8">
        <v>46.55</v>
      </c>
      <c r="N172" s="8">
        <v>40.39</v>
      </c>
      <c r="O172" s="17">
        <f t="shared" si="12"/>
        <v>2.5390909090909091</v>
      </c>
      <c r="P172" s="17">
        <f t="shared" si="13"/>
        <v>2.6069909090909094</v>
      </c>
      <c r="R172" s="9">
        <v>15.43</v>
      </c>
      <c r="S172" s="9">
        <v>4.03</v>
      </c>
      <c r="T172" s="9">
        <v>1453.1639399999999</v>
      </c>
      <c r="U172" s="9">
        <v>1429.46</v>
      </c>
      <c r="V172" s="45">
        <f t="shared" si="14"/>
        <v>1.6582443720006067E-2</v>
      </c>
      <c r="W172" s="12">
        <v>18.18</v>
      </c>
      <c r="X172" s="12">
        <v>0</v>
      </c>
      <c r="Y172" s="12">
        <v>20210803</v>
      </c>
    </row>
    <row r="173" spans="1:25" x14ac:dyDescent="0.45">
      <c r="A173" s="3" t="s">
        <v>4016</v>
      </c>
      <c r="B173" s="3" t="s">
        <v>4017</v>
      </c>
      <c r="C173" s="6" t="s">
        <v>518</v>
      </c>
      <c r="D173" s="6" t="s">
        <v>289</v>
      </c>
      <c r="E173" s="6" t="s">
        <v>271</v>
      </c>
      <c r="F173" s="6">
        <v>4148.13</v>
      </c>
      <c r="G173" s="2">
        <v>-0.43</v>
      </c>
      <c r="H173" s="2">
        <v>1.1599999999999999</v>
      </c>
      <c r="I173" s="2">
        <v>0.19</v>
      </c>
      <c r="J173" s="47">
        <f t="shared" si="10"/>
        <v>3.6976744186046511</v>
      </c>
      <c r="K173" s="47">
        <f t="shared" si="11"/>
        <v>-0.8362068965517242</v>
      </c>
      <c r="L173" s="8">
        <v>50.89</v>
      </c>
      <c r="M173" s="8">
        <v>11.79</v>
      </c>
      <c r="N173" s="8">
        <v>70.819999999999993</v>
      </c>
      <c r="O173" s="17">
        <f t="shared" si="12"/>
        <v>3.1884905660377355E-2</v>
      </c>
      <c r="P173" s="17">
        <f t="shared" si="13"/>
        <v>-0.84691958762886588</v>
      </c>
      <c r="R173" s="9">
        <v>1.1599999999999999</v>
      </c>
      <c r="S173" s="9">
        <v>3.02</v>
      </c>
      <c r="T173" s="9">
        <v>4679.7851499999997</v>
      </c>
      <c r="U173" s="9">
        <v>3491.7</v>
      </c>
      <c r="V173" s="45">
        <f t="shared" si="14"/>
        <v>0.34025980181573445</v>
      </c>
      <c r="W173" s="12">
        <v>34.78</v>
      </c>
      <c r="X173" s="12">
        <v>0</v>
      </c>
      <c r="Y173" s="12">
        <v>20210804</v>
      </c>
    </row>
    <row r="174" spans="1:25" x14ac:dyDescent="0.45">
      <c r="A174" s="3" t="s">
        <v>4483</v>
      </c>
      <c r="B174" s="3" t="s">
        <v>4484</v>
      </c>
      <c r="C174" s="6" t="s">
        <v>520</v>
      </c>
      <c r="D174" s="6" t="s">
        <v>210</v>
      </c>
      <c r="E174" s="6" t="s">
        <v>215</v>
      </c>
      <c r="F174" s="6">
        <v>3866.36</v>
      </c>
      <c r="J174" s="47" t="e">
        <f t="shared" si="10"/>
        <v>#DIV/0!</v>
      </c>
      <c r="K174" s="47" t="e">
        <f t="shared" si="11"/>
        <v>#DIV/0!</v>
      </c>
      <c r="O174" s="17" t="e">
        <f t="shared" si="12"/>
        <v>#DIV/0!</v>
      </c>
      <c r="P174" s="17" t="e">
        <f t="shared" si="13"/>
        <v>#DIV/0!</v>
      </c>
      <c r="U174" s="9">
        <v>2848.16</v>
      </c>
      <c r="V174" s="45">
        <f t="shared" si="14"/>
        <v>-1</v>
      </c>
      <c r="X174" s="12">
        <v>1.44</v>
      </c>
    </row>
    <row r="175" spans="1:25" x14ac:dyDescent="0.45">
      <c r="A175" s="3" t="s">
        <v>541</v>
      </c>
      <c r="B175" s="3" t="s">
        <v>542</v>
      </c>
      <c r="C175" s="6" t="s">
        <v>519</v>
      </c>
      <c r="D175" s="6" t="s">
        <v>234</v>
      </c>
      <c r="E175" s="6" t="s">
        <v>223</v>
      </c>
      <c r="F175" s="6">
        <v>8734.0499999999993</v>
      </c>
      <c r="G175" s="2">
        <v>1.59</v>
      </c>
      <c r="H175" s="2">
        <v>1.73</v>
      </c>
      <c r="I175" s="2">
        <v>1.78</v>
      </c>
      <c r="J175" s="47">
        <f t="shared" si="10"/>
        <v>8.8050314465408744E-2</v>
      </c>
      <c r="K175" s="47">
        <f t="shared" si="11"/>
        <v>2.890173410404627E-2</v>
      </c>
      <c r="L175" s="8">
        <v>11.41</v>
      </c>
      <c r="M175" s="8">
        <v>11.53</v>
      </c>
      <c r="N175" s="8">
        <v>11.25</v>
      </c>
      <c r="O175" s="17">
        <f t="shared" si="12"/>
        <v>1.3094785714285722</v>
      </c>
      <c r="P175" s="17">
        <f t="shared" si="13"/>
        <v>3.8924999999999961</v>
      </c>
      <c r="R175" s="9">
        <v>10.46</v>
      </c>
      <c r="S175" s="9">
        <v>10.89</v>
      </c>
      <c r="T175" s="9">
        <v>1583.6739500000001</v>
      </c>
      <c r="U175" s="9">
        <v>1511</v>
      </c>
      <c r="V175" s="45">
        <f t="shared" si="14"/>
        <v>4.8096591661151628E-2</v>
      </c>
      <c r="W175" s="12">
        <v>2.38</v>
      </c>
      <c r="X175" s="12">
        <v>8.01</v>
      </c>
      <c r="Y175" s="12">
        <v>20210803</v>
      </c>
    </row>
    <row r="176" spans="1:25" x14ac:dyDescent="0.45">
      <c r="A176" s="3" t="s">
        <v>118</v>
      </c>
      <c r="B176" s="3" t="s">
        <v>119</v>
      </c>
      <c r="C176" s="6" t="s">
        <v>518</v>
      </c>
      <c r="D176" s="6" t="s">
        <v>234</v>
      </c>
      <c r="E176" s="6" t="s">
        <v>286</v>
      </c>
      <c r="F176" s="6">
        <v>28087.58</v>
      </c>
      <c r="G176" s="2">
        <v>7.3</v>
      </c>
      <c r="H176" s="2">
        <v>7.75</v>
      </c>
      <c r="I176" s="2">
        <v>8.27</v>
      </c>
      <c r="J176" s="47">
        <f t="shared" si="10"/>
        <v>6.164383561643838E-2</v>
      </c>
      <c r="K176" s="47">
        <f t="shared" si="11"/>
        <v>6.7096774193548328E-2</v>
      </c>
      <c r="L176" s="8">
        <v>25.77</v>
      </c>
      <c r="M176" s="8">
        <v>24.58</v>
      </c>
      <c r="N176" s="8">
        <v>23.02</v>
      </c>
      <c r="O176" s="17">
        <f t="shared" si="12"/>
        <v>3.9874222222222202</v>
      </c>
      <c r="P176" s="17">
        <f t="shared" si="13"/>
        <v>3.4308653846153878</v>
      </c>
      <c r="Q176" s="5">
        <v>3.91</v>
      </c>
      <c r="R176" s="9">
        <v>5.9</v>
      </c>
      <c r="S176" s="9">
        <v>18.329999999999998</v>
      </c>
      <c r="U176" s="9">
        <v>1885.64</v>
      </c>
      <c r="V176" s="45">
        <f t="shared" si="14"/>
        <v>-1</v>
      </c>
      <c r="W176" s="12">
        <v>3.24</v>
      </c>
      <c r="X176" s="12">
        <v>2.29</v>
      </c>
      <c r="Y176" s="12">
        <v>20210726</v>
      </c>
    </row>
    <row r="177" spans="1:25" x14ac:dyDescent="0.45">
      <c r="A177" s="3" t="s">
        <v>781</v>
      </c>
      <c r="B177" s="3" t="s">
        <v>604</v>
      </c>
      <c r="C177" s="6" t="s">
        <v>518</v>
      </c>
      <c r="D177" s="6" t="s">
        <v>234</v>
      </c>
      <c r="E177" s="6" t="s">
        <v>220</v>
      </c>
      <c r="F177" s="6">
        <v>15403.97</v>
      </c>
      <c r="G177" s="2">
        <v>1.77</v>
      </c>
      <c r="H177" s="2">
        <v>2.21</v>
      </c>
      <c r="I177" s="2">
        <v>2.65</v>
      </c>
      <c r="J177" s="47">
        <f t="shared" si="10"/>
        <v>0.24858757062146888</v>
      </c>
      <c r="K177" s="47">
        <f t="shared" si="11"/>
        <v>0.19909502262443438</v>
      </c>
      <c r="L177" s="8">
        <v>31.44</v>
      </c>
      <c r="M177" s="8">
        <v>26.63</v>
      </c>
      <c r="N177" s="8">
        <v>22.18</v>
      </c>
      <c r="O177" s="17">
        <f t="shared" si="12"/>
        <v>1.0712522727272729</v>
      </c>
      <c r="P177" s="17">
        <f t="shared" si="13"/>
        <v>1.1140409090909091</v>
      </c>
      <c r="Q177" s="5">
        <v>1.3</v>
      </c>
      <c r="R177" s="9">
        <v>15.46</v>
      </c>
      <c r="S177" s="9">
        <v>11.86</v>
      </c>
      <c r="T177" s="9">
        <v>2054.3010199999999</v>
      </c>
      <c r="U177" s="9">
        <v>1764.05</v>
      </c>
      <c r="V177" s="45">
        <f t="shared" si="14"/>
        <v>0.16453673081828743</v>
      </c>
      <c r="W177" s="12">
        <v>-9.8000000000000007</v>
      </c>
      <c r="X177" s="12">
        <v>3.2</v>
      </c>
      <c r="Y177" s="12">
        <v>20210804</v>
      </c>
    </row>
    <row r="178" spans="1:25" x14ac:dyDescent="0.45">
      <c r="A178" s="3" t="s">
        <v>4485</v>
      </c>
      <c r="B178" s="3" t="s">
        <v>4486</v>
      </c>
      <c r="C178" s="6" t="s">
        <v>520</v>
      </c>
      <c r="D178" s="6" t="s">
        <v>272</v>
      </c>
      <c r="E178" s="6" t="s">
        <v>233</v>
      </c>
      <c r="F178" s="6">
        <v>3169.58</v>
      </c>
      <c r="G178" s="2">
        <v>0.3</v>
      </c>
      <c r="J178" s="47">
        <f t="shared" si="10"/>
        <v>-1</v>
      </c>
      <c r="K178" s="47" t="e">
        <f t="shared" si="11"/>
        <v>#DIV/0!</v>
      </c>
      <c r="O178" s="17">
        <f t="shared" si="12"/>
        <v>0</v>
      </c>
      <c r="P178" s="17" t="e">
        <f t="shared" si="13"/>
        <v>#DIV/0!</v>
      </c>
      <c r="T178" s="9">
        <v>2193.75</v>
      </c>
      <c r="U178" s="9">
        <v>1752.86</v>
      </c>
      <c r="V178" s="45">
        <f t="shared" si="14"/>
        <v>0.25152607738210703</v>
      </c>
      <c r="X178" s="12">
        <v>0</v>
      </c>
      <c r="Y178" s="12">
        <v>20210614</v>
      </c>
    </row>
    <row r="179" spans="1:25" x14ac:dyDescent="0.45">
      <c r="A179" s="3" t="s">
        <v>660</v>
      </c>
      <c r="B179" s="3" t="s">
        <v>481</v>
      </c>
      <c r="C179" s="6" t="s">
        <v>519</v>
      </c>
      <c r="D179" s="6" t="s">
        <v>279</v>
      </c>
      <c r="E179" s="6" t="s">
        <v>256</v>
      </c>
      <c r="F179" s="6">
        <v>14895.56</v>
      </c>
      <c r="G179" s="2">
        <v>-12.52</v>
      </c>
      <c r="H179" s="2">
        <v>-12.98</v>
      </c>
      <c r="I179" s="2">
        <v>-15.66</v>
      </c>
      <c r="J179" s="47">
        <f t="shared" si="10"/>
        <v>-3.6741214057508055E-2</v>
      </c>
      <c r="K179" s="47">
        <f t="shared" si="11"/>
        <v>-0.2064714946070878</v>
      </c>
      <c r="O179" s="17">
        <f t="shared" si="12"/>
        <v>0</v>
      </c>
      <c r="P179" s="17">
        <f t="shared" si="13"/>
        <v>0</v>
      </c>
      <c r="R179" s="9">
        <v>-50.37</v>
      </c>
      <c r="T179" s="9">
        <v>223.42798999999999</v>
      </c>
      <c r="U179" s="9">
        <v>41.6</v>
      </c>
      <c r="V179" s="45">
        <f t="shared" si="14"/>
        <v>4.3708651442307689</v>
      </c>
      <c r="W179" s="12">
        <v>74.2</v>
      </c>
      <c r="X179" s="12">
        <v>0</v>
      </c>
      <c r="Y179" s="12">
        <v>20210730</v>
      </c>
    </row>
    <row r="180" spans="1:25" x14ac:dyDescent="0.45">
      <c r="A180" s="3" t="s">
        <v>511</v>
      </c>
      <c r="B180" s="3" t="s">
        <v>512</v>
      </c>
      <c r="C180" s="6" t="s">
        <v>520</v>
      </c>
      <c r="D180" s="6" t="s">
        <v>90</v>
      </c>
      <c r="E180" s="6" t="s">
        <v>196</v>
      </c>
      <c r="F180" s="6">
        <v>10161.370000000001</v>
      </c>
      <c r="G180" s="2">
        <v>5.96</v>
      </c>
      <c r="H180" s="2">
        <v>8.41</v>
      </c>
      <c r="I180" s="2">
        <v>8.8800000000000008</v>
      </c>
      <c r="J180" s="47">
        <f t="shared" si="10"/>
        <v>0.41107382550335575</v>
      </c>
      <c r="K180" s="47">
        <f t="shared" si="11"/>
        <v>5.5885850178359169E-2</v>
      </c>
      <c r="L180" s="8">
        <v>19.27</v>
      </c>
      <c r="M180" s="8">
        <v>15.74</v>
      </c>
      <c r="N180" s="8">
        <v>14.92</v>
      </c>
      <c r="O180" s="17">
        <f t="shared" si="12"/>
        <v>0.38289959183673467</v>
      </c>
      <c r="P180" s="17">
        <f t="shared" si="13"/>
        <v>2.6697276595744648</v>
      </c>
      <c r="Q180" s="5">
        <v>0.65</v>
      </c>
      <c r="R180" s="9">
        <v>8.4700000000000006</v>
      </c>
      <c r="S180" s="9">
        <v>2.35</v>
      </c>
      <c r="T180" s="9">
        <v>9946.7998000000007</v>
      </c>
      <c r="U180" s="9">
        <v>9005.1299999999992</v>
      </c>
      <c r="V180" s="45">
        <f t="shared" si="14"/>
        <v>0.10457037266535869</v>
      </c>
      <c r="X180" s="12">
        <v>1.93</v>
      </c>
      <c r="Y180" s="12">
        <v>20210729</v>
      </c>
    </row>
    <row r="181" spans="1:25" x14ac:dyDescent="0.45">
      <c r="A181" s="3" t="s">
        <v>120</v>
      </c>
      <c r="B181" s="3" t="s">
        <v>121</v>
      </c>
      <c r="C181" s="6" t="s">
        <v>518</v>
      </c>
      <c r="D181" s="6" t="s">
        <v>225</v>
      </c>
      <c r="E181" s="6" t="s">
        <v>226</v>
      </c>
      <c r="F181" s="6">
        <v>9488.93</v>
      </c>
      <c r="G181" s="2">
        <v>-0.13</v>
      </c>
      <c r="H181" s="2">
        <v>-0.26</v>
      </c>
      <c r="I181" s="2">
        <v>1.8</v>
      </c>
      <c r="J181" s="47">
        <f t="shared" si="10"/>
        <v>-1</v>
      </c>
      <c r="K181" s="47">
        <f t="shared" si="11"/>
        <v>7.9230769230769234</v>
      </c>
      <c r="N181" s="8">
        <v>20.73</v>
      </c>
      <c r="O181" s="17">
        <f t="shared" si="12"/>
        <v>0</v>
      </c>
      <c r="P181" s="17">
        <f t="shared" si="13"/>
        <v>2.6164077669902912E-2</v>
      </c>
      <c r="R181" s="9">
        <v>-14.89</v>
      </c>
      <c r="S181" s="9">
        <v>-2.77</v>
      </c>
      <c r="T181" s="9">
        <v>12191.66015</v>
      </c>
      <c r="U181" s="9">
        <v>12829.56</v>
      </c>
      <c r="V181" s="45">
        <f t="shared" si="14"/>
        <v>-4.9721101113366306E-2</v>
      </c>
      <c r="W181" s="12">
        <v>31.43</v>
      </c>
      <c r="X181" s="12">
        <v>1.18</v>
      </c>
      <c r="Y181" s="12">
        <v>20210803</v>
      </c>
    </row>
    <row r="182" spans="1:25" x14ac:dyDescent="0.45">
      <c r="A182" s="3" t="s">
        <v>682</v>
      </c>
      <c r="B182" s="3" t="s">
        <v>683</v>
      </c>
      <c r="C182" s="6" t="s">
        <v>519</v>
      </c>
      <c r="D182" s="6" t="s">
        <v>279</v>
      </c>
      <c r="E182" s="6" t="s">
        <v>256</v>
      </c>
      <c r="F182" s="6">
        <v>3780.16</v>
      </c>
      <c r="G182" s="2">
        <v>-7.23</v>
      </c>
      <c r="H182" s="2">
        <v>-7.96</v>
      </c>
      <c r="I182" s="2">
        <v>-7.4</v>
      </c>
      <c r="J182" s="47">
        <f t="shared" si="10"/>
        <v>-0.1009681881051175</v>
      </c>
      <c r="K182" s="47">
        <f t="shared" si="11"/>
        <v>7.0351758793969807E-2</v>
      </c>
      <c r="O182" s="17">
        <f t="shared" si="12"/>
        <v>0</v>
      </c>
      <c r="P182" s="17">
        <f t="shared" si="13"/>
        <v>0</v>
      </c>
      <c r="R182" s="9">
        <v>-36.950000000000003</v>
      </c>
      <c r="T182" s="9">
        <v>3</v>
      </c>
      <c r="U182" s="9">
        <v>0.32</v>
      </c>
      <c r="V182" s="45">
        <f t="shared" si="14"/>
        <v>8.375</v>
      </c>
      <c r="W182" s="12">
        <v>9.59</v>
      </c>
      <c r="X182" s="12">
        <v>0</v>
      </c>
      <c r="Y182" s="12">
        <v>20210804</v>
      </c>
    </row>
    <row r="183" spans="1:25" x14ac:dyDescent="0.45">
      <c r="A183" s="3" t="s">
        <v>4018</v>
      </c>
      <c r="B183" s="3" t="s">
        <v>4019</v>
      </c>
      <c r="C183" s="6" t="s">
        <v>518</v>
      </c>
      <c r="D183" s="6" t="s">
        <v>272</v>
      </c>
      <c r="E183" s="6" t="s">
        <v>439</v>
      </c>
      <c r="F183" s="6">
        <v>4114.1000000000004</v>
      </c>
      <c r="G183" s="2">
        <v>7.0000000000000007E-2</v>
      </c>
      <c r="H183" s="2">
        <v>1.97</v>
      </c>
      <c r="I183" s="2">
        <v>2.71</v>
      </c>
      <c r="J183" s="47">
        <f t="shared" si="10"/>
        <v>27.142857142857139</v>
      </c>
      <c r="K183" s="47">
        <f t="shared" si="11"/>
        <v>0.37563451776649748</v>
      </c>
      <c r="L183" s="8">
        <v>627300096</v>
      </c>
      <c r="M183" s="8">
        <v>18.98</v>
      </c>
      <c r="N183" s="8">
        <v>13.8</v>
      </c>
      <c r="O183" s="17">
        <f t="shared" si="12"/>
        <v>6.9926315789473701E-3</v>
      </c>
      <c r="P183" s="17">
        <f t="shared" si="13"/>
        <v>0.36737837837837839</v>
      </c>
      <c r="R183" s="9">
        <v>0.1</v>
      </c>
      <c r="T183" s="9">
        <v>6817.1948199999997</v>
      </c>
      <c r="U183" s="9">
        <v>5675</v>
      </c>
      <c r="V183" s="45">
        <f t="shared" si="14"/>
        <v>0.20126780969162991</v>
      </c>
      <c r="W183" s="12">
        <v>58.62</v>
      </c>
      <c r="X183" s="12">
        <v>0</v>
      </c>
      <c r="Y183" s="12">
        <v>20210803</v>
      </c>
    </row>
    <row r="184" spans="1:25" x14ac:dyDescent="0.45">
      <c r="A184" s="3" t="s">
        <v>842</v>
      </c>
      <c r="B184" s="3" t="s">
        <v>843</v>
      </c>
      <c r="C184" s="6" t="s">
        <v>519</v>
      </c>
      <c r="D184" s="6" t="s">
        <v>279</v>
      </c>
      <c r="E184" s="6" t="s">
        <v>256</v>
      </c>
      <c r="F184" s="6">
        <v>3849.97</v>
      </c>
      <c r="G184" s="2">
        <v>-2.77</v>
      </c>
      <c r="H184" s="2">
        <v>-3.45</v>
      </c>
      <c r="I184" s="2">
        <v>-4.0599999999999996</v>
      </c>
      <c r="J184" s="47">
        <f t="shared" si="10"/>
        <v>-0.24548736462093868</v>
      </c>
      <c r="K184" s="47">
        <f t="shared" si="11"/>
        <v>-0.17681159420289838</v>
      </c>
      <c r="O184" s="17">
        <f t="shared" si="12"/>
        <v>0</v>
      </c>
      <c r="P184" s="17">
        <f t="shared" si="13"/>
        <v>0</v>
      </c>
      <c r="R184" s="9">
        <v>-33.380000000000003</v>
      </c>
      <c r="T184" s="9">
        <v>21.194990000000001</v>
      </c>
      <c r="U184" s="9">
        <v>21.8</v>
      </c>
      <c r="V184" s="45">
        <f t="shared" si="14"/>
        <v>-2.7752752293577983E-2</v>
      </c>
      <c r="W184" s="12">
        <v>-7.69</v>
      </c>
      <c r="X184" s="12">
        <v>0</v>
      </c>
      <c r="Y184" s="12">
        <v>20210803</v>
      </c>
    </row>
    <row r="185" spans="1:25" x14ac:dyDescent="0.45">
      <c r="A185" s="3" t="s">
        <v>122</v>
      </c>
      <c r="B185" s="3" t="s">
        <v>123</v>
      </c>
      <c r="C185" s="6" t="s">
        <v>518</v>
      </c>
      <c r="D185" s="6" t="s">
        <v>189</v>
      </c>
      <c r="E185" s="6" t="s">
        <v>212</v>
      </c>
      <c r="F185" s="6">
        <v>8935.86</v>
      </c>
      <c r="G185" s="2">
        <v>7.26</v>
      </c>
      <c r="H185" s="2">
        <v>11.89</v>
      </c>
      <c r="I185" s="2">
        <v>12.64</v>
      </c>
      <c r="J185" s="47">
        <f t="shared" si="10"/>
        <v>0.63774104683195609</v>
      </c>
      <c r="K185" s="47">
        <f t="shared" si="11"/>
        <v>6.3078216989066446E-2</v>
      </c>
      <c r="L185" s="8">
        <v>12.51</v>
      </c>
      <c r="M185" s="8">
        <v>10.19</v>
      </c>
      <c r="N185" s="8">
        <v>9.59</v>
      </c>
      <c r="O185" s="17">
        <f t="shared" si="12"/>
        <v>0.15978272138228936</v>
      </c>
      <c r="P185" s="17">
        <f t="shared" si="13"/>
        <v>1.5203346666666666</v>
      </c>
      <c r="Q185" s="5">
        <v>0.51</v>
      </c>
      <c r="R185" s="9">
        <v>14.96</v>
      </c>
      <c r="S185" s="9">
        <v>4.68</v>
      </c>
      <c r="T185" s="9">
        <v>34281.148430000001</v>
      </c>
      <c r="U185" s="9">
        <v>28673.360000000001</v>
      </c>
      <c r="V185" s="45">
        <f t="shared" si="14"/>
        <v>0.19557486217171621</v>
      </c>
      <c r="W185" s="12">
        <v>25.11</v>
      </c>
      <c r="X185" s="12">
        <v>0</v>
      </c>
      <c r="Y185" s="12">
        <v>20210729</v>
      </c>
    </row>
    <row r="186" spans="1:25" x14ac:dyDescent="0.45">
      <c r="A186" s="3" t="s">
        <v>636</v>
      </c>
      <c r="B186" s="3" t="s">
        <v>637</v>
      </c>
      <c r="C186" s="6" t="s">
        <v>519</v>
      </c>
      <c r="D186" s="6" t="s">
        <v>279</v>
      </c>
      <c r="E186" s="6" t="s">
        <v>258</v>
      </c>
      <c r="F186" s="6">
        <v>8515.18</v>
      </c>
      <c r="G186" s="2">
        <v>-0.16</v>
      </c>
      <c r="H186" s="2">
        <v>-0.52</v>
      </c>
      <c r="I186" s="2">
        <v>-0.13</v>
      </c>
      <c r="J186" s="47">
        <f t="shared" si="10"/>
        <v>-2.25</v>
      </c>
      <c r="K186" s="47">
        <f t="shared" si="11"/>
        <v>0.75</v>
      </c>
      <c r="O186" s="17">
        <f t="shared" si="12"/>
        <v>0</v>
      </c>
      <c r="P186" s="17">
        <f t="shared" si="13"/>
        <v>0</v>
      </c>
      <c r="R186" s="9">
        <v>-23.64</v>
      </c>
      <c r="S186" s="9">
        <v>195.91</v>
      </c>
      <c r="T186" s="9">
        <v>167.20099999999999</v>
      </c>
      <c r="U186" s="9">
        <v>87.99</v>
      </c>
      <c r="V186" s="45">
        <f t="shared" si="14"/>
        <v>0.90022729855665418</v>
      </c>
      <c r="W186" s="12">
        <v>-188.89</v>
      </c>
      <c r="X186" s="12">
        <v>0</v>
      </c>
      <c r="Y186" s="12">
        <v>20210804</v>
      </c>
    </row>
    <row r="187" spans="1:25" x14ac:dyDescent="0.45">
      <c r="A187" s="3" t="s">
        <v>909</v>
      </c>
      <c r="B187" s="3" t="s">
        <v>910</v>
      </c>
      <c r="C187" s="6" t="s">
        <v>518</v>
      </c>
      <c r="D187" s="6" t="s">
        <v>189</v>
      </c>
      <c r="E187" s="6" t="s">
        <v>248</v>
      </c>
      <c r="F187" s="6">
        <v>6709.58</v>
      </c>
      <c r="G187" s="2">
        <v>-1.23</v>
      </c>
      <c r="H187" s="2">
        <v>-1.04</v>
      </c>
      <c r="I187" s="2">
        <v>-1.08</v>
      </c>
      <c r="J187" s="47">
        <f t="shared" si="10"/>
        <v>0.15447154471544711</v>
      </c>
      <c r="K187" s="47">
        <f t="shared" si="11"/>
        <v>-3.8461538461538491E-2</v>
      </c>
      <c r="O187" s="17">
        <f t="shared" si="12"/>
        <v>0</v>
      </c>
      <c r="P187" s="17">
        <f t="shared" si="13"/>
        <v>0</v>
      </c>
      <c r="T187" s="9">
        <v>333.86998999999997</v>
      </c>
      <c r="U187" s="9">
        <v>227</v>
      </c>
      <c r="V187" s="45">
        <f t="shared" si="14"/>
        <v>0.47079290748898667</v>
      </c>
      <c r="W187" s="12">
        <v>22.22</v>
      </c>
      <c r="X187" s="12">
        <v>0</v>
      </c>
    </row>
    <row r="188" spans="1:25" x14ac:dyDescent="0.45">
      <c r="A188" s="3" t="s">
        <v>482</v>
      </c>
      <c r="B188" s="3" t="s">
        <v>483</v>
      </c>
      <c r="C188" s="6" t="s">
        <v>520</v>
      </c>
      <c r="D188" s="6" t="s">
        <v>272</v>
      </c>
      <c r="E188" s="6" t="s">
        <v>297</v>
      </c>
      <c r="F188" s="6">
        <v>33065.269999999997</v>
      </c>
      <c r="G188" s="2">
        <v>0.41</v>
      </c>
      <c r="H188" s="2">
        <v>0.56999999999999995</v>
      </c>
      <c r="I188" s="2">
        <v>0.63</v>
      </c>
      <c r="J188" s="47">
        <f t="shared" si="10"/>
        <v>0.39024390243902435</v>
      </c>
      <c r="K188" s="47">
        <f t="shared" si="11"/>
        <v>0.10526315789473695</v>
      </c>
      <c r="L188" s="8">
        <v>34.06</v>
      </c>
      <c r="M188" s="8">
        <v>27.49</v>
      </c>
      <c r="N188" s="8">
        <v>24.87</v>
      </c>
      <c r="O188" s="17">
        <f t="shared" si="12"/>
        <v>0.70443124999999995</v>
      </c>
      <c r="P188" s="17">
        <f t="shared" si="13"/>
        <v>2.3626499999999977</v>
      </c>
      <c r="R188" s="9">
        <v>14.72</v>
      </c>
      <c r="S188" s="9">
        <v>4.03</v>
      </c>
      <c r="T188" s="9">
        <v>11211.50488</v>
      </c>
      <c r="U188" s="9">
        <v>9554.09</v>
      </c>
      <c r="V188" s="45">
        <f t="shared" si="14"/>
        <v>0.17347700094933166</v>
      </c>
      <c r="X188" s="12">
        <v>0.95</v>
      </c>
      <c r="Y188" s="12">
        <v>20210716</v>
      </c>
    </row>
    <row r="189" spans="1:25" x14ac:dyDescent="0.45">
      <c r="A189" s="3" t="s">
        <v>844</v>
      </c>
      <c r="B189" s="3" t="s">
        <v>845</v>
      </c>
      <c r="C189" s="6" t="s">
        <v>518</v>
      </c>
      <c r="D189" s="6" t="s">
        <v>234</v>
      </c>
      <c r="E189" s="6" t="s">
        <v>168</v>
      </c>
      <c r="F189" s="6">
        <v>3438.28</v>
      </c>
      <c r="G189" s="2">
        <v>1.79</v>
      </c>
      <c r="H189" s="2">
        <v>1.71</v>
      </c>
      <c r="I189" s="2">
        <v>1.56</v>
      </c>
      <c r="J189" s="47">
        <f t="shared" si="10"/>
        <v>-4.4692737430167634E-2</v>
      </c>
      <c r="K189" s="47">
        <f t="shared" si="11"/>
        <v>-8.7719298245613989E-2</v>
      </c>
      <c r="L189" s="8">
        <v>15.2</v>
      </c>
      <c r="M189" s="8">
        <v>13.12</v>
      </c>
      <c r="N189" s="8">
        <v>14.4</v>
      </c>
      <c r="O189" s="17">
        <f t="shared" si="12"/>
        <v>-2.9355999999999978</v>
      </c>
      <c r="P189" s="17">
        <f t="shared" si="13"/>
        <v>-1.6416000000000008</v>
      </c>
      <c r="Q189" s="5">
        <v>1.64</v>
      </c>
      <c r="R189" s="9">
        <v>6.67</v>
      </c>
      <c r="S189" s="9">
        <v>7.7</v>
      </c>
      <c r="T189" s="9">
        <v>1079.84997</v>
      </c>
      <c r="U189" s="9">
        <v>1426.9</v>
      </c>
      <c r="V189" s="45">
        <f t="shared" si="14"/>
        <v>-0.24321958791786397</v>
      </c>
      <c r="W189" s="12">
        <v>34.880000000000003</v>
      </c>
      <c r="X189" s="12">
        <v>3.2</v>
      </c>
      <c r="Y189" s="12">
        <v>20210722</v>
      </c>
    </row>
    <row r="190" spans="1:25" x14ac:dyDescent="0.45">
      <c r="A190" s="3" t="s">
        <v>124</v>
      </c>
      <c r="B190" s="3" t="s">
        <v>125</v>
      </c>
      <c r="C190" s="6" t="s">
        <v>520</v>
      </c>
      <c r="D190" s="6" t="s">
        <v>46</v>
      </c>
      <c r="E190" s="6" t="s">
        <v>80</v>
      </c>
      <c r="F190" s="6">
        <v>13314.89</v>
      </c>
      <c r="G190" s="2">
        <v>2.2000000000000002</v>
      </c>
      <c r="H190" s="2">
        <v>5.01</v>
      </c>
      <c r="I190" s="2">
        <v>5.61</v>
      </c>
      <c r="J190" s="47">
        <f t="shared" si="10"/>
        <v>1.2772727272727269</v>
      </c>
      <c r="K190" s="47">
        <f t="shared" si="11"/>
        <v>0.11976047904191628</v>
      </c>
      <c r="L190" s="8">
        <v>70.599999999999994</v>
      </c>
      <c r="M190" s="8">
        <v>9.01</v>
      </c>
      <c r="N190" s="8">
        <v>8.06</v>
      </c>
      <c r="O190" s="17">
        <f t="shared" si="12"/>
        <v>7.0540925266903934E-2</v>
      </c>
      <c r="P190" s="17">
        <f t="shared" si="13"/>
        <v>0.67300999999999944</v>
      </c>
      <c r="R190" s="9">
        <v>1.18</v>
      </c>
      <c r="S190" s="9">
        <v>-1.22</v>
      </c>
      <c r="T190" s="9">
        <v>36034.449209999999</v>
      </c>
      <c r="U190" s="9">
        <v>34891.980000000003</v>
      </c>
      <c r="V190" s="45">
        <f t="shared" si="14"/>
        <v>3.2743031779795685E-2</v>
      </c>
      <c r="W190" s="12">
        <v>-17.57</v>
      </c>
      <c r="X190" s="12">
        <v>3.19</v>
      </c>
      <c r="Y190" s="12">
        <v>20210610</v>
      </c>
    </row>
    <row r="191" spans="1:25" x14ac:dyDescent="0.45">
      <c r="A191" s="3" t="s">
        <v>4020</v>
      </c>
      <c r="B191" s="3" t="s">
        <v>4021</v>
      </c>
      <c r="C191" s="6" t="s">
        <v>520</v>
      </c>
      <c r="D191" s="6" t="s">
        <v>272</v>
      </c>
      <c r="E191" s="6" t="s">
        <v>4022</v>
      </c>
      <c r="F191" s="6">
        <v>10234.89</v>
      </c>
      <c r="G191" s="2">
        <v>0.15</v>
      </c>
      <c r="H191" s="2">
        <v>0.7</v>
      </c>
      <c r="I191" s="2">
        <v>0.75</v>
      </c>
      <c r="J191" s="47">
        <f t="shared" si="10"/>
        <v>3.6666666666666665</v>
      </c>
      <c r="K191" s="47">
        <f t="shared" si="11"/>
        <v>7.1428571428571494E-2</v>
      </c>
      <c r="L191" s="8">
        <v>21.95</v>
      </c>
      <c r="M191" s="8">
        <v>12.86</v>
      </c>
      <c r="N191" s="8">
        <v>12</v>
      </c>
      <c r="O191" s="17">
        <f t="shared" si="12"/>
        <v>3.5072727272727276E-2</v>
      </c>
      <c r="P191" s="17">
        <f t="shared" si="13"/>
        <v>1.6799999999999984</v>
      </c>
      <c r="R191" s="9">
        <v>3.87</v>
      </c>
      <c r="S191" s="9">
        <v>3.82</v>
      </c>
      <c r="T191" s="9">
        <v>14954.549800000001</v>
      </c>
      <c r="U191" s="9">
        <v>13237.54</v>
      </c>
      <c r="V191" s="45">
        <f t="shared" si="14"/>
        <v>0.12970761939151834</v>
      </c>
      <c r="X191" s="12">
        <v>1.52</v>
      </c>
      <c r="Y191" s="12">
        <v>20210730</v>
      </c>
    </row>
    <row r="192" spans="1:25" x14ac:dyDescent="0.45">
      <c r="A192" s="3" t="s">
        <v>661</v>
      </c>
      <c r="B192" s="3" t="s">
        <v>662</v>
      </c>
      <c r="C192" s="6" t="s">
        <v>518</v>
      </c>
      <c r="D192" s="6" t="s">
        <v>189</v>
      </c>
      <c r="E192" s="6" t="s">
        <v>204</v>
      </c>
      <c r="F192" s="6">
        <v>5332.24</v>
      </c>
      <c r="G192" s="2">
        <v>4.68</v>
      </c>
      <c r="H192" s="2">
        <v>5.23</v>
      </c>
      <c r="I192" s="2">
        <v>5.87</v>
      </c>
      <c r="J192" s="47">
        <f t="shared" si="10"/>
        <v>0.11752136752136769</v>
      </c>
      <c r="K192" s="47">
        <f t="shared" si="11"/>
        <v>0.12237093690248559</v>
      </c>
      <c r="L192" s="8">
        <v>20.45</v>
      </c>
      <c r="M192" s="8">
        <v>19.16</v>
      </c>
      <c r="N192" s="8">
        <v>17.059999999999999</v>
      </c>
      <c r="O192" s="17">
        <f t="shared" si="12"/>
        <v>1.6303418181818159</v>
      </c>
      <c r="P192" s="17">
        <f t="shared" si="13"/>
        <v>1.3941218750000008</v>
      </c>
      <c r="Q192" s="5">
        <v>2.15</v>
      </c>
      <c r="R192" s="9">
        <v>16.77</v>
      </c>
      <c r="S192" s="9">
        <v>14.77</v>
      </c>
      <c r="T192" s="9">
        <v>4300.3339800000003</v>
      </c>
      <c r="U192" s="9">
        <v>3950.6</v>
      </c>
      <c r="V192" s="45">
        <f t="shared" si="14"/>
        <v>8.8526800992254448E-2</v>
      </c>
      <c r="W192" s="12">
        <v>4.55</v>
      </c>
      <c r="X192" s="12">
        <v>0</v>
      </c>
      <c r="Y192" s="12">
        <v>20210804</v>
      </c>
    </row>
    <row r="193" spans="1:25" x14ac:dyDescent="0.45">
      <c r="A193" s="3" t="s">
        <v>605</v>
      </c>
      <c r="B193" s="3" t="s">
        <v>606</v>
      </c>
      <c r="C193" s="6" t="s">
        <v>518</v>
      </c>
      <c r="D193" s="6" t="s">
        <v>90</v>
      </c>
      <c r="E193" s="6" t="s">
        <v>198</v>
      </c>
      <c r="F193" s="6">
        <v>5692.07</v>
      </c>
      <c r="G193" s="2">
        <v>2.5299999999999998</v>
      </c>
      <c r="H193" s="2">
        <v>4.87</v>
      </c>
      <c r="I193" s="2">
        <v>5.91</v>
      </c>
      <c r="J193" s="47">
        <f t="shared" si="10"/>
        <v>0.9249011857707512</v>
      </c>
      <c r="K193" s="47">
        <f t="shared" si="11"/>
        <v>0.2135523613963039</v>
      </c>
      <c r="L193" s="8">
        <v>26.49</v>
      </c>
      <c r="M193" s="8">
        <v>19.260000000000002</v>
      </c>
      <c r="N193" s="8">
        <v>15.88</v>
      </c>
      <c r="O193" s="17">
        <f t="shared" si="12"/>
        <v>0.20823846153846151</v>
      </c>
      <c r="P193" s="17">
        <f t="shared" si="13"/>
        <v>0.7436115384615386</v>
      </c>
      <c r="R193" s="9">
        <v>7.03</v>
      </c>
      <c r="S193" s="9">
        <v>-17.920000000000002</v>
      </c>
      <c r="T193" s="9">
        <v>2443.72802</v>
      </c>
      <c r="U193" s="9">
        <v>2326</v>
      </c>
      <c r="V193" s="45">
        <f t="shared" si="14"/>
        <v>5.0613938091143604E-2</v>
      </c>
      <c r="W193" s="12">
        <v>-22.79</v>
      </c>
      <c r="X193" s="12">
        <v>1.28</v>
      </c>
      <c r="Y193" s="12">
        <v>20210727</v>
      </c>
    </row>
    <row r="194" spans="1:25" x14ac:dyDescent="0.45">
      <c r="A194" s="3" t="s">
        <v>126</v>
      </c>
      <c r="B194" s="3" t="s">
        <v>127</v>
      </c>
      <c r="C194" s="6" t="s">
        <v>520</v>
      </c>
      <c r="D194" s="6" t="s">
        <v>272</v>
      </c>
      <c r="E194" s="6" t="s">
        <v>233</v>
      </c>
      <c r="F194" s="6">
        <v>32666.84</v>
      </c>
      <c r="G194" s="2">
        <v>9.09</v>
      </c>
      <c r="H194" s="2">
        <v>10.74</v>
      </c>
      <c r="I194" s="2">
        <v>12.19</v>
      </c>
      <c r="J194" s="47">
        <f t="shared" si="10"/>
        <v>0.18151815181518155</v>
      </c>
      <c r="K194" s="47">
        <f t="shared" si="11"/>
        <v>0.13500931098696456</v>
      </c>
      <c r="L194" s="8">
        <v>38.24</v>
      </c>
      <c r="M194" s="8">
        <v>27.1</v>
      </c>
      <c r="N194" s="8">
        <v>23.88</v>
      </c>
      <c r="O194" s="17">
        <f t="shared" si="12"/>
        <v>1.492963636363636</v>
      </c>
      <c r="P194" s="17">
        <f t="shared" si="13"/>
        <v>1.7687668965517249</v>
      </c>
      <c r="R194" s="9">
        <v>21.61</v>
      </c>
      <c r="S194" s="9">
        <v>13.33</v>
      </c>
      <c r="T194" s="9">
        <v>7469.3847599999999</v>
      </c>
      <c r="U194" s="9">
        <v>5835.25</v>
      </c>
      <c r="V194" s="45">
        <f t="shared" si="14"/>
        <v>0.28004537252045753</v>
      </c>
      <c r="W194" s="12">
        <v>-42.37</v>
      </c>
      <c r="X194" s="12">
        <v>0.24</v>
      </c>
      <c r="Y194" s="12">
        <v>20210615</v>
      </c>
    </row>
    <row r="195" spans="1:25" x14ac:dyDescent="0.45">
      <c r="A195" s="3" t="s">
        <v>4487</v>
      </c>
      <c r="B195" s="3" t="s">
        <v>4488</v>
      </c>
      <c r="C195" s="6" t="s">
        <v>520</v>
      </c>
      <c r="D195" s="6" t="s">
        <v>189</v>
      </c>
      <c r="E195" s="6" t="s">
        <v>911</v>
      </c>
      <c r="F195" s="6">
        <v>16411.73</v>
      </c>
      <c r="J195" s="47" t="e">
        <f t="shared" ref="J195:J258" si="15">(H195-G195)/ABS(G195)</f>
        <v>#DIV/0!</v>
      </c>
      <c r="K195" s="47" t="e">
        <f t="shared" ref="K195:K258" si="16">(I195-H195)/ABS(H195)</f>
        <v>#DIV/0!</v>
      </c>
      <c r="L195" s="8">
        <v>40.340000000000003</v>
      </c>
      <c r="O195" s="17" t="e">
        <f t="shared" ref="O195:O258" si="17">M195/(J195*100)</f>
        <v>#DIV/0!</v>
      </c>
      <c r="P195" s="17" t="e">
        <f t="shared" ref="P195:P258" si="18">N195/(K195*100)</f>
        <v>#DIV/0!</v>
      </c>
      <c r="R195" s="9">
        <v>18.82</v>
      </c>
      <c r="S195" s="9">
        <v>25.03</v>
      </c>
      <c r="U195" s="9">
        <v>1516.98</v>
      </c>
      <c r="V195" s="45">
        <f t="shared" ref="V195:V258" si="19">(T195-U195)/U195</f>
        <v>-1</v>
      </c>
      <c r="X195" s="12">
        <v>0.63</v>
      </c>
      <c r="Y195" s="12">
        <v>20210727</v>
      </c>
    </row>
    <row r="196" spans="1:25" x14ac:dyDescent="0.45">
      <c r="A196" s="3" t="s">
        <v>128</v>
      </c>
      <c r="B196" s="3" t="s">
        <v>129</v>
      </c>
      <c r="C196" s="6" t="s">
        <v>519</v>
      </c>
      <c r="D196" s="6" t="s">
        <v>189</v>
      </c>
      <c r="E196" s="6" t="s">
        <v>300</v>
      </c>
      <c r="F196" s="6">
        <v>286558.81</v>
      </c>
      <c r="G196" s="2">
        <v>9.33</v>
      </c>
      <c r="H196" s="2">
        <v>15.33</v>
      </c>
      <c r="I196" s="2">
        <v>18.3</v>
      </c>
      <c r="J196" s="47">
        <f t="shared" si="15"/>
        <v>0.64308681672025725</v>
      </c>
      <c r="K196" s="47">
        <f t="shared" si="16"/>
        <v>0.19373776908023488</v>
      </c>
      <c r="L196" s="8">
        <v>54</v>
      </c>
      <c r="M196" s="8">
        <v>44.54</v>
      </c>
      <c r="N196" s="8">
        <v>37.299999999999997</v>
      </c>
      <c r="O196" s="17">
        <f t="shared" si="17"/>
        <v>0.69259699999999991</v>
      </c>
      <c r="P196" s="17">
        <f t="shared" si="18"/>
        <v>1.9252828282828278</v>
      </c>
      <c r="Q196" s="5">
        <v>1.49</v>
      </c>
      <c r="R196" s="9">
        <v>33.909999999999997</v>
      </c>
      <c r="S196" s="9">
        <v>20.68</v>
      </c>
      <c r="T196" s="9">
        <v>21852</v>
      </c>
      <c r="U196" s="9">
        <v>15966.28</v>
      </c>
      <c r="V196" s="45">
        <f t="shared" si="19"/>
        <v>0.36863439699165984</v>
      </c>
      <c r="W196" s="12">
        <v>25.32</v>
      </c>
      <c r="X196" s="12">
        <v>0.47</v>
      </c>
      <c r="Y196" s="12">
        <v>20210721</v>
      </c>
    </row>
    <row r="197" spans="1:25" x14ac:dyDescent="0.45">
      <c r="A197" s="3" t="s">
        <v>663</v>
      </c>
      <c r="B197" s="3" t="s">
        <v>513</v>
      </c>
      <c r="C197" s="6" t="s">
        <v>519</v>
      </c>
      <c r="D197" s="6" t="s">
        <v>279</v>
      </c>
      <c r="E197" s="6" t="s">
        <v>256</v>
      </c>
      <c r="F197" s="6">
        <v>7046.27</v>
      </c>
      <c r="G197" s="2">
        <v>-8.48</v>
      </c>
      <c r="H197" s="2">
        <v>-9.2100000000000009</v>
      </c>
      <c r="I197" s="2">
        <v>-7.73</v>
      </c>
      <c r="J197" s="47">
        <f t="shared" si="15"/>
        <v>-8.6084905660377409E-2</v>
      </c>
      <c r="K197" s="47">
        <f t="shared" si="16"/>
        <v>0.16069489685124869</v>
      </c>
      <c r="O197" s="17">
        <f t="shared" si="17"/>
        <v>0</v>
      </c>
      <c r="P197" s="17">
        <f t="shared" si="18"/>
        <v>0</v>
      </c>
      <c r="R197" s="9">
        <v>-54.8</v>
      </c>
      <c r="S197" s="9">
        <v>33.880000000000003</v>
      </c>
      <c r="T197" s="9">
        <v>22.599</v>
      </c>
      <c r="U197" s="9">
        <v>7.94</v>
      </c>
      <c r="V197" s="45">
        <f t="shared" si="19"/>
        <v>1.8462216624685137</v>
      </c>
      <c r="W197" s="12">
        <v>31.55</v>
      </c>
      <c r="X197" s="12">
        <v>0</v>
      </c>
      <c r="Y197" s="12">
        <v>20210826</v>
      </c>
    </row>
    <row r="198" spans="1:25" x14ac:dyDescent="0.45">
      <c r="A198" s="3" t="s">
        <v>4023</v>
      </c>
      <c r="B198" s="3" t="s">
        <v>4024</v>
      </c>
      <c r="C198" s="6" t="s">
        <v>519</v>
      </c>
      <c r="D198" s="6" t="s">
        <v>216</v>
      </c>
      <c r="E198" s="6" t="s">
        <v>251</v>
      </c>
      <c r="F198" s="6">
        <v>3674.79</v>
      </c>
      <c r="G198" s="2">
        <v>3.28</v>
      </c>
      <c r="H198" s="2">
        <v>3.65</v>
      </c>
      <c r="I198" s="2">
        <v>4.18</v>
      </c>
      <c r="J198" s="47">
        <f t="shared" si="15"/>
        <v>0.11280487804878053</v>
      </c>
      <c r="K198" s="47">
        <f t="shared" si="16"/>
        <v>0.14520547945205475</v>
      </c>
      <c r="M198" s="8">
        <v>10.92</v>
      </c>
      <c r="N198" s="8">
        <v>9.5299999999999994</v>
      </c>
      <c r="O198" s="17">
        <f t="shared" si="17"/>
        <v>0.96804324324324287</v>
      </c>
      <c r="P198" s="17">
        <f t="shared" si="18"/>
        <v>0.6563113207547171</v>
      </c>
      <c r="Q198" s="5">
        <v>2.56</v>
      </c>
      <c r="T198" s="9">
        <v>6034.3798800000004</v>
      </c>
      <c r="U198" s="9">
        <v>5689.23</v>
      </c>
      <c r="V198" s="45">
        <f t="shared" si="19"/>
        <v>6.066723967918345E-2</v>
      </c>
      <c r="W198" s="12">
        <v>96.88</v>
      </c>
      <c r="X198" s="12">
        <v>0</v>
      </c>
      <c r="Y198" s="12">
        <v>20210608</v>
      </c>
    </row>
    <row r="199" spans="1:25" x14ac:dyDescent="0.45">
      <c r="A199" s="3" t="s">
        <v>664</v>
      </c>
      <c r="B199" s="3" t="s">
        <v>665</v>
      </c>
      <c r="C199" s="6" t="s">
        <v>520</v>
      </c>
      <c r="D199" s="6" t="s">
        <v>303</v>
      </c>
      <c r="E199" s="6" t="s">
        <v>245</v>
      </c>
      <c r="F199" s="6">
        <v>7172.3</v>
      </c>
      <c r="G199" s="2">
        <v>1.48</v>
      </c>
      <c r="H199" s="2">
        <v>2.16</v>
      </c>
      <c r="I199" s="2">
        <v>2.4500000000000002</v>
      </c>
      <c r="J199" s="47">
        <f t="shared" si="15"/>
        <v>0.4594594594594596</v>
      </c>
      <c r="K199" s="47">
        <f t="shared" si="16"/>
        <v>0.13425925925925927</v>
      </c>
      <c r="M199" s="8">
        <v>33.18</v>
      </c>
      <c r="N199" s="8">
        <v>29.32</v>
      </c>
      <c r="O199" s="17">
        <f t="shared" si="17"/>
        <v>0.72215294117647044</v>
      </c>
      <c r="P199" s="17">
        <f t="shared" si="18"/>
        <v>2.1838344827586207</v>
      </c>
      <c r="T199" s="9">
        <v>5517.5751899999996</v>
      </c>
      <c r="U199" s="9">
        <v>4215.04</v>
      </c>
      <c r="V199" s="45">
        <f t="shared" si="19"/>
        <v>0.3090208372874278</v>
      </c>
      <c r="X199" s="12">
        <v>0</v>
      </c>
    </row>
    <row r="200" spans="1:25" x14ac:dyDescent="0.45">
      <c r="A200" s="3" t="s">
        <v>666</v>
      </c>
      <c r="B200" s="3" t="s">
        <v>667</v>
      </c>
      <c r="C200" s="6" t="s">
        <v>518</v>
      </c>
      <c r="D200" s="6" t="s">
        <v>309</v>
      </c>
      <c r="E200" s="6" t="s">
        <v>312</v>
      </c>
      <c r="F200" s="6">
        <v>5470.8</v>
      </c>
      <c r="G200" s="2">
        <v>2.83</v>
      </c>
      <c r="H200" s="2">
        <v>6.65</v>
      </c>
      <c r="I200" s="2">
        <v>9.4499999999999993</v>
      </c>
      <c r="J200" s="47">
        <f t="shared" si="15"/>
        <v>1.3498233215547704</v>
      </c>
      <c r="K200" s="47">
        <f t="shared" si="16"/>
        <v>0.42105263157894718</v>
      </c>
      <c r="L200" s="8">
        <v>54.93</v>
      </c>
      <c r="M200" s="8">
        <v>27.44</v>
      </c>
      <c r="N200" s="8">
        <v>19.3</v>
      </c>
      <c r="O200" s="17">
        <f t="shared" si="17"/>
        <v>0.20328586387434558</v>
      </c>
      <c r="P200" s="17">
        <f t="shared" si="18"/>
        <v>0.4583750000000002</v>
      </c>
      <c r="Q200" s="5">
        <v>6.24</v>
      </c>
      <c r="R200" s="9">
        <v>5.07</v>
      </c>
      <c r="S200" s="9">
        <v>6.62</v>
      </c>
      <c r="T200" s="9">
        <v>799.26</v>
      </c>
      <c r="U200" s="9">
        <v>592.04</v>
      </c>
      <c r="V200" s="45">
        <f t="shared" si="19"/>
        <v>0.35001013445037504</v>
      </c>
      <c r="W200" s="12">
        <v>230.11</v>
      </c>
      <c r="X200" s="12">
        <v>0</v>
      </c>
      <c r="Y200" s="12">
        <v>20210728</v>
      </c>
    </row>
    <row r="201" spans="1:25" x14ac:dyDescent="0.45">
      <c r="A201" s="3" t="s">
        <v>882</v>
      </c>
      <c r="B201" s="3" t="s">
        <v>883</v>
      </c>
      <c r="C201" s="6" t="s">
        <v>518</v>
      </c>
      <c r="D201" s="6" t="s">
        <v>189</v>
      </c>
      <c r="E201" s="6" t="s">
        <v>213</v>
      </c>
      <c r="F201" s="6">
        <v>18135.060000000001</v>
      </c>
      <c r="G201" s="2">
        <v>0.38</v>
      </c>
      <c r="H201" s="2">
        <v>0.67</v>
      </c>
      <c r="I201" s="2">
        <v>0.78</v>
      </c>
      <c r="J201" s="47">
        <f t="shared" si="15"/>
        <v>0.76315789473684215</v>
      </c>
      <c r="K201" s="47">
        <f t="shared" si="16"/>
        <v>0.16417910447761191</v>
      </c>
      <c r="L201" s="8">
        <v>16.079999999999998</v>
      </c>
      <c r="M201" s="8">
        <v>12.48</v>
      </c>
      <c r="N201" s="8">
        <v>10.72</v>
      </c>
      <c r="O201" s="17">
        <f t="shared" si="17"/>
        <v>0.1635310344827586</v>
      </c>
      <c r="P201" s="17">
        <f t="shared" si="18"/>
        <v>0.65294545454545472</v>
      </c>
      <c r="Q201" s="5">
        <v>0.83</v>
      </c>
      <c r="R201" s="9">
        <v>14.16</v>
      </c>
      <c r="S201" s="9">
        <v>17.02</v>
      </c>
      <c r="U201" s="9">
        <v>16190.54</v>
      </c>
      <c r="V201" s="45">
        <f t="shared" si="19"/>
        <v>-1</v>
      </c>
      <c r="W201" s="12">
        <v>16.670000000000002</v>
      </c>
      <c r="X201" s="12">
        <v>1.05</v>
      </c>
      <c r="Y201" s="12">
        <v>20210730</v>
      </c>
    </row>
    <row r="202" spans="1:25" x14ac:dyDescent="0.45">
      <c r="A202" s="3" t="s">
        <v>3746</v>
      </c>
      <c r="B202" s="3" t="s">
        <v>3747</v>
      </c>
      <c r="C202" s="6" t="s">
        <v>520</v>
      </c>
      <c r="D202" s="6" t="s">
        <v>210</v>
      </c>
      <c r="E202" s="6" t="s">
        <v>912</v>
      </c>
      <c r="F202" s="6">
        <v>15739.44</v>
      </c>
      <c r="G202" s="2">
        <v>-0.59</v>
      </c>
      <c r="H202" s="2">
        <v>0.19</v>
      </c>
      <c r="I202" s="2">
        <v>0.43</v>
      </c>
      <c r="J202" s="47">
        <f t="shared" si="15"/>
        <v>1.3220338983050848</v>
      </c>
      <c r="K202" s="47">
        <f t="shared" si="16"/>
        <v>1.263157894736842</v>
      </c>
      <c r="M202" s="8">
        <v>50.16</v>
      </c>
      <c r="N202" s="8">
        <v>22.16</v>
      </c>
      <c r="O202" s="17">
        <f t="shared" si="17"/>
        <v>0.37941538461538454</v>
      </c>
      <c r="P202" s="17">
        <f t="shared" si="18"/>
        <v>0.17543333333333333</v>
      </c>
      <c r="T202" s="9">
        <v>11560.45996</v>
      </c>
      <c r="U202" s="9">
        <v>14130.43</v>
      </c>
      <c r="V202" s="45">
        <f t="shared" si="19"/>
        <v>-0.18187486438841566</v>
      </c>
      <c r="X202" s="12">
        <v>0</v>
      </c>
      <c r="Y202" s="12">
        <v>20210610</v>
      </c>
    </row>
    <row r="203" spans="1:25" x14ac:dyDescent="0.45">
      <c r="A203" s="3" t="s">
        <v>3748</v>
      </c>
      <c r="B203" s="3" t="s">
        <v>3749</v>
      </c>
      <c r="C203" s="6" t="s">
        <v>518</v>
      </c>
      <c r="D203" s="6" t="s">
        <v>90</v>
      </c>
      <c r="E203" s="6" t="s">
        <v>198</v>
      </c>
      <c r="F203" s="6">
        <v>4621.33</v>
      </c>
      <c r="G203" s="2">
        <v>-1.1200000000000001</v>
      </c>
      <c r="H203" s="2">
        <v>0.67</v>
      </c>
      <c r="I203" s="2">
        <v>0.75</v>
      </c>
      <c r="J203" s="47">
        <f t="shared" si="15"/>
        <v>1.5982142857142856</v>
      </c>
      <c r="K203" s="47">
        <f t="shared" si="16"/>
        <v>0.11940298507462679</v>
      </c>
      <c r="M203" s="8">
        <v>35.65</v>
      </c>
      <c r="N203" s="8">
        <v>31.74</v>
      </c>
      <c r="O203" s="17">
        <f t="shared" si="17"/>
        <v>0.2230614525139665</v>
      </c>
      <c r="P203" s="17">
        <f t="shared" si="18"/>
        <v>2.6582250000000012</v>
      </c>
      <c r="T203" s="9">
        <v>1400.9830300000001</v>
      </c>
      <c r="U203" s="9">
        <v>1234.3</v>
      </c>
      <c r="V203" s="45">
        <f t="shared" si="19"/>
        <v>0.13504255853520225</v>
      </c>
      <c r="W203" s="12">
        <v>-711.11</v>
      </c>
      <c r="X203" s="12">
        <v>0</v>
      </c>
      <c r="Y203" s="12">
        <v>20210803</v>
      </c>
    </row>
    <row r="204" spans="1:25" x14ac:dyDescent="0.45">
      <c r="A204" s="3" t="s">
        <v>3750</v>
      </c>
      <c r="B204" s="3" t="s">
        <v>3751</v>
      </c>
      <c r="C204" s="6" t="s">
        <v>518</v>
      </c>
      <c r="D204" s="6" t="s">
        <v>234</v>
      </c>
      <c r="E204" s="6" t="s">
        <v>220</v>
      </c>
      <c r="F204" s="6">
        <v>3354.15</v>
      </c>
      <c r="G204" s="2">
        <v>1.07</v>
      </c>
      <c r="H204" s="2">
        <v>1.32</v>
      </c>
      <c r="I204" s="2">
        <v>1.26</v>
      </c>
      <c r="J204" s="47">
        <f t="shared" si="15"/>
        <v>0.23364485981308411</v>
      </c>
      <c r="K204" s="47">
        <f t="shared" si="16"/>
        <v>-4.5454545454545491E-2</v>
      </c>
      <c r="L204" s="8">
        <v>11.61</v>
      </c>
      <c r="M204" s="8">
        <v>10.31</v>
      </c>
      <c r="N204" s="8">
        <v>10.79</v>
      </c>
      <c r="O204" s="17">
        <f t="shared" si="17"/>
        <v>0.44126799999999999</v>
      </c>
      <c r="P204" s="17">
        <f t="shared" si="18"/>
        <v>-2.3737999999999979</v>
      </c>
      <c r="Q204" s="5">
        <v>0.85</v>
      </c>
      <c r="R204" s="9">
        <v>10.050000000000001</v>
      </c>
      <c r="S204" s="9">
        <v>12.79</v>
      </c>
      <c r="T204" s="9">
        <v>1568.76</v>
      </c>
      <c r="U204" s="9">
        <v>1421.1</v>
      </c>
      <c r="V204" s="45">
        <f t="shared" si="19"/>
        <v>0.1039054253747098</v>
      </c>
      <c r="W204" s="12">
        <v>-8.82</v>
      </c>
      <c r="X204" s="12">
        <v>3.68</v>
      </c>
      <c r="Y204" s="12">
        <v>20210810</v>
      </c>
    </row>
    <row r="205" spans="1:25" x14ac:dyDescent="0.45">
      <c r="A205" s="3" t="s">
        <v>846</v>
      </c>
      <c r="B205" s="3" t="s">
        <v>847</v>
      </c>
      <c r="C205" s="6" t="s">
        <v>520</v>
      </c>
      <c r="D205" s="6" t="s">
        <v>46</v>
      </c>
      <c r="E205" s="6" t="s">
        <v>66</v>
      </c>
      <c r="F205" s="6">
        <v>7964.73</v>
      </c>
      <c r="G205" s="2">
        <v>0.04</v>
      </c>
      <c r="H205" s="2">
        <v>0.08</v>
      </c>
      <c r="I205" s="2">
        <v>0.08</v>
      </c>
      <c r="J205" s="47">
        <f t="shared" si="15"/>
        <v>1</v>
      </c>
      <c r="K205" s="47">
        <f t="shared" si="16"/>
        <v>0</v>
      </c>
      <c r="M205" s="8">
        <v>27.47</v>
      </c>
      <c r="N205" s="8">
        <v>25.75</v>
      </c>
      <c r="O205" s="17">
        <f t="shared" si="17"/>
        <v>0.2747</v>
      </c>
      <c r="P205" s="17" t="e">
        <f t="shared" si="18"/>
        <v>#DIV/0!</v>
      </c>
      <c r="T205" s="9">
        <v>510.92998999999998</v>
      </c>
      <c r="U205" s="9">
        <v>469.02</v>
      </c>
      <c r="V205" s="45">
        <f t="shared" si="19"/>
        <v>8.9356509317299895E-2</v>
      </c>
      <c r="X205" s="12">
        <v>0</v>
      </c>
    </row>
    <row r="206" spans="1:25" x14ac:dyDescent="0.45">
      <c r="A206" s="3" t="s">
        <v>607</v>
      </c>
      <c r="B206" s="3" t="s">
        <v>608</v>
      </c>
      <c r="C206" s="6" t="s">
        <v>518</v>
      </c>
      <c r="D206" s="6" t="s">
        <v>234</v>
      </c>
      <c r="E206" s="6" t="s">
        <v>241</v>
      </c>
      <c r="F206" s="6">
        <v>11989.68</v>
      </c>
      <c r="G206" s="2">
        <v>5.7</v>
      </c>
      <c r="H206" s="2">
        <v>9.7899999999999991</v>
      </c>
      <c r="I206" s="2">
        <v>8.77</v>
      </c>
      <c r="J206" s="47">
        <f t="shared" si="15"/>
        <v>0.7175438596491226</v>
      </c>
      <c r="K206" s="47">
        <f t="shared" si="16"/>
        <v>-0.10418794688457607</v>
      </c>
      <c r="L206" s="8">
        <v>5.86</v>
      </c>
      <c r="M206" s="8">
        <v>6.39</v>
      </c>
      <c r="N206" s="8">
        <v>7.13</v>
      </c>
      <c r="O206" s="17">
        <f t="shared" si="17"/>
        <v>8.9053789731051367E-2</v>
      </c>
      <c r="P206" s="17">
        <f t="shared" si="18"/>
        <v>-0.68434019607843155</v>
      </c>
      <c r="R206" s="9">
        <v>12.19</v>
      </c>
      <c r="S206" s="9">
        <v>45.08</v>
      </c>
      <c r="T206" s="9">
        <v>6727.7997999999998</v>
      </c>
      <c r="U206" s="9">
        <v>14764</v>
      </c>
      <c r="V206" s="45">
        <f t="shared" si="19"/>
        <v>-0.54431049850988888</v>
      </c>
      <c r="W206" s="12">
        <v>76.739999999999995</v>
      </c>
      <c r="X206" s="12">
        <v>0</v>
      </c>
      <c r="Y206" s="12">
        <v>20210804</v>
      </c>
    </row>
    <row r="207" spans="1:25" x14ac:dyDescent="0.45">
      <c r="A207" s="3" t="s">
        <v>3752</v>
      </c>
      <c r="B207" s="3" t="s">
        <v>3753</v>
      </c>
      <c r="C207" s="6" t="s">
        <v>518</v>
      </c>
      <c r="D207" s="6" t="s">
        <v>189</v>
      </c>
      <c r="E207" s="6" t="s">
        <v>247</v>
      </c>
      <c r="F207" s="6">
        <v>8912.58</v>
      </c>
      <c r="G207" s="2">
        <v>4.5199999999999996</v>
      </c>
      <c r="H207" s="2">
        <v>4.79</v>
      </c>
      <c r="I207" s="2">
        <v>5.39</v>
      </c>
      <c r="J207" s="47">
        <f t="shared" si="15"/>
        <v>5.973451327433639E-2</v>
      </c>
      <c r="K207" s="47">
        <f t="shared" si="16"/>
        <v>0.12526096033402914</v>
      </c>
      <c r="L207" s="8">
        <v>15.4</v>
      </c>
      <c r="M207" s="8">
        <v>14.75</v>
      </c>
      <c r="N207" s="8">
        <v>13.1</v>
      </c>
      <c r="O207" s="17">
        <f t="shared" si="17"/>
        <v>2.4692592592592546</v>
      </c>
      <c r="P207" s="17">
        <f t="shared" si="18"/>
        <v>1.0458166666666673</v>
      </c>
      <c r="Q207" s="5">
        <v>0.9</v>
      </c>
      <c r="R207" s="9">
        <v>21.13</v>
      </c>
      <c r="S207" s="9">
        <v>11.93</v>
      </c>
      <c r="T207" s="9">
        <v>1489.06701</v>
      </c>
      <c r="U207" s="9">
        <v>1326.98</v>
      </c>
      <c r="V207" s="45">
        <f t="shared" si="19"/>
        <v>0.12214728933367493</v>
      </c>
      <c r="W207" s="12">
        <v>-1.08</v>
      </c>
      <c r="X207" s="12">
        <v>1.2</v>
      </c>
      <c r="Y207" s="12">
        <v>20210824</v>
      </c>
    </row>
    <row r="208" spans="1:25" x14ac:dyDescent="0.45">
      <c r="A208" s="3" t="s">
        <v>4025</v>
      </c>
      <c r="B208" s="3" t="s">
        <v>4026</v>
      </c>
      <c r="C208" s="6" t="s">
        <v>518</v>
      </c>
      <c r="D208" s="6" t="s">
        <v>90</v>
      </c>
      <c r="E208" s="6" t="s">
        <v>3950</v>
      </c>
      <c r="F208" s="6">
        <v>3131.74</v>
      </c>
      <c r="G208" s="2">
        <v>-0.55000000000000004</v>
      </c>
      <c r="H208" s="2">
        <v>-0.18</v>
      </c>
      <c r="I208" s="2">
        <v>0.78</v>
      </c>
      <c r="J208" s="47">
        <f t="shared" si="15"/>
        <v>0.67272727272727273</v>
      </c>
      <c r="K208" s="47">
        <f t="shared" si="16"/>
        <v>5.333333333333333</v>
      </c>
      <c r="N208" s="8">
        <v>31.67</v>
      </c>
      <c r="O208" s="17">
        <f t="shared" si="17"/>
        <v>0</v>
      </c>
      <c r="P208" s="17">
        <f t="shared" si="18"/>
        <v>5.938125000000001E-2</v>
      </c>
      <c r="R208" s="9">
        <v>-8.08</v>
      </c>
      <c r="S208" s="9">
        <v>1.71</v>
      </c>
      <c r="T208" s="9">
        <v>2600.75</v>
      </c>
      <c r="U208" s="9">
        <v>2982.1</v>
      </c>
      <c r="V208" s="45">
        <f t="shared" si="19"/>
        <v>-0.12787968210321582</v>
      </c>
      <c r="W208" s="12">
        <v>75</v>
      </c>
      <c r="X208" s="12">
        <v>0</v>
      </c>
      <c r="Y208" s="12">
        <v>20210803</v>
      </c>
    </row>
    <row r="209" spans="1:25" x14ac:dyDescent="0.45">
      <c r="A209" s="3" t="s">
        <v>4489</v>
      </c>
      <c r="B209" s="3" t="s">
        <v>4490</v>
      </c>
      <c r="C209" s="6" t="s">
        <v>518</v>
      </c>
      <c r="D209" s="6" t="s">
        <v>272</v>
      </c>
      <c r="E209" s="6" t="s">
        <v>4491</v>
      </c>
      <c r="F209" s="6">
        <v>3651.62</v>
      </c>
      <c r="J209" s="47" t="e">
        <f t="shared" si="15"/>
        <v>#DIV/0!</v>
      </c>
      <c r="K209" s="47" t="e">
        <f t="shared" si="16"/>
        <v>#DIV/0!</v>
      </c>
      <c r="L209" s="8">
        <v>11.92</v>
      </c>
      <c r="O209" s="17" t="e">
        <f t="shared" si="17"/>
        <v>#DIV/0!</v>
      </c>
      <c r="P209" s="17" t="e">
        <f t="shared" si="18"/>
        <v>#DIV/0!</v>
      </c>
      <c r="R209" s="9">
        <v>67.44</v>
      </c>
      <c r="S209" s="9">
        <v>6.04</v>
      </c>
      <c r="U209" s="9">
        <v>1765.42</v>
      </c>
      <c r="V209" s="45">
        <f t="shared" si="19"/>
        <v>-1</v>
      </c>
      <c r="X209" s="12">
        <v>0</v>
      </c>
      <c r="Y209" s="12">
        <v>20210803</v>
      </c>
    </row>
    <row r="210" spans="1:25" x14ac:dyDescent="0.45">
      <c r="A210" s="3" t="s">
        <v>884</v>
      </c>
      <c r="B210" s="3" t="s">
        <v>885</v>
      </c>
      <c r="C210" s="6" t="s">
        <v>520</v>
      </c>
      <c r="D210" s="6" t="s">
        <v>272</v>
      </c>
      <c r="E210" s="6" t="s">
        <v>254</v>
      </c>
      <c r="F210" s="6">
        <v>75165.02</v>
      </c>
      <c r="G210" s="2">
        <v>1.34</v>
      </c>
      <c r="H210" s="2">
        <v>1.8</v>
      </c>
      <c r="I210" s="2">
        <v>1.94</v>
      </c>
      <c r="J210" s="47">
        <f t="shared" si="15"/>
        <v>0.34328358208955218</v>
      </c>
      <c r="K210" s="47">
        <f t="shared" si="16"/>
        <v>7.7777777777777724E-2</v>
      </c>
      <c r="L210" s="8">
        <v>44.2</v>
      </c>
      <c r="M210" s="8">
        <v>34.380000000000003</v>
      </c>
      <c r="N210" s="8">
        <v>31.9</v>
      </c>
      <c r="O210" s="17">
        <f t="shared" si="17"/>
        <v>1.0015043478260872</v>
      </c>
      <c r="P210" s="17">
        <f t="shared" si="18"/>
        <v>4.1014285714285741</v>
      </c>
      <c r="R210" s="9">
        <v>27.13</v>
      </c>
      <c r="S210" s="9">
        <v>-3.55</v>
      </c>
      <c r="T210" s="9">
        <v>13249.440420000001</v>
      </c>
      <c r="U210" s="9">
        <v>10877.18</v>
      </c>
      <c r="V210" s="45">
        <f t="shared" si="19"/>
        <v>0.21809516988778346</v>
      </c>
      <c r="W210" s="12">
        <v>0</v>
      </c>
      <c r="X210" s="12">
        <v>1.17</v>
      </c>
      <c r="Y210" s="12">
        <v>20210715</v>
      </c>
    </row>
    <row r="211" spans="1:25" x14ac:dyDescent="0.45">
      <c r="A211" s="3" t="s">
        <v>130</v>
      </c>
      <c r="B211" s="3" t="s">
        <v>131</v>
      </c>
      <c r="C211" s="6" t="s">
        <v>518</v>
      </c>
      <c r="D211" s="6" t="s">
        <v>327</v>
      </c>
      <c r="E211" s="6" t="s">
        <v>354</v>
      </c>
      <c r="F211" s="6">
        <v>13217.47</v>
      </c>
      <c r="G211" s="2">
        <v>4.71</v>
      </c>
      <c r="H211" s="2">
        <v>5.05</v>
      </c>
      <c r="I211" s="2">
        <v>5.42</v>
      </c>
      <c r="J211" s="47">
        <f t="shared" si="15"/>
        <v>7.2186836518046679E-2</v>
      </c>
      <c r="K211" s="47">
        <f t="shared" si="16"/>
        <v>7.3267326732673291E-2</v>
      </c>
      <c r="L211" s="8">
        <v>18.98</v>
      </c>
      <c r="M211" s="8">
        <v>20.010000000000002</v>
      </c>
      <c r="N211" s="8">
        <v>18.68</v>
      </c>
      <c r="O211" s="17">
        <f t="shared" si="17"/>
        <v>2.771973529411766</v>
      </c>
      <c r="P211" s="17">
        <f t="shared" si="18"/>
        <v>2.5495675675675669</v>
      </c>
      <c r="Q211" s="5">
        <v>2.72</v>
      </c>
      <c r="R211" s="9">
        <v>9.57</v>
      </c>
      <c r="T211" s="9">
        <v>3319.61499</v>
      </c>
      <c r="U211" s="9">
        <v>2821.14</v>
      </c>
      <c r="V211" s="45">
        <f t="shared" si="19"/>
        <v>0.1766927518662669</v>
      </c>
      <c r="W211" s="12">
        <v>12.2</v>
      </c>
      <c r="X211" s="12">
        <v>2.4700000000000002</v>
      </c>
      <c r="Y211" s="12">
        <v>20210804</v>
      </c>
    </row>
    <row r="212" spans="1:25" x14ac:dyDescent="0.45">
      <c r="A212" s="3" t="s">
        <v>132</v>
      </c>
      <c r="B212" s="3" t="s">
        <v>133</v>
      </c>
      <c r="C212" s="6" t="s">
        <v>518</v>
      </c>
      <c r="D212" s="6" t="s">
        <v>272</v>
      </c>
      <c r="E212" s="6" t="s">
        <v>207</v>
      </c>
      <c r="F212" s="6">
        <v>9342.69</v>
      </c>
      <c r="G212" s="2">
        <v>3.63</v>
      </c>
      <c r="H212" s="2">
        <v>4.17</v>
      </c>
      <c r="I212" s="2">
        <v>4.5599999999999996</v>
      </c>
      <c r="J212" s="47">
        <f t="shared" si="15"/>
        <v>0.1487603305785124</v>
      </c>
      <c r="K212" s="47">
        <f t="shared" si="16"/>
        <v>9.3525179856115026E-2</v>
      </c>
      <c r="L212" s="8">
        <v>37.31</v>
      </c>
      <c r="M212" s="8">
        <v>34.07</v>
      </c>
      <c r="N212" s="8">
        <v>31.2</v>
      </c>
      <c r="O212" s="17">
        <f t="shared" si="17"/>
        <v>2.2902611111111111</v>
      </c>
      <c r="P212" s="17">
        <f t="shared" si="18"/>
        <v>3.336000000000003</v>
      </c>
      <c r="Q212" s="5">
        <v>4.87</v>
      </c>
      <c r="R212" s="9">
        <v>14.27</v>
      </c>
      <c r="S212" s="9">
        <v>5.95</v>
      </c>
      <c r="T212" s="9">
        <v>3165.1389100000001</v>
      </c>
      <c r="U212" s="9">
        <v>2929.34</v>
      </c>
      <c r="V212" s="45">
        <f t="shared" si="19"/>
        <v>8.0495575795230312E-2</v>
      </c>
      <c r="W212" s="12">
        <v>21.11</v>
      </c>
      <c r="X212" s="12">
        <v>1.07</v>
      </c>
      <c r="Y212" s="12">
        <v>20210729</v>
      </c>
    </row>
    <row r="213" spans="1:25" x14ac:dyDescent="0.45">
      <c r="A213" s="3" t="s">
        <v>4027</v>
      </c>
      <c r="B213" s="3" t="s">
        <v>4028</v>
      </c>
      <c r="C213" s="6" t="s">
        <v>519</v>
      </c>
      <c r="D213" s="6" t="s">
        <v>279</v>
      </c>
      <c r="E213" s="6" t="s">
        <v>264</v>
      </c>
      <c r="F213" s="6">
        <v>3374.75</v>
      </c>
      <c r="G213" s="2">
        <v>-1</v>
      </c>
      <c r="H213" s="2">
        <v>-1.28</v>
      </c>
      <c r="I213" s="2">
        <v>-0.86</v>
      </c>
      <c r="J213" s="47">
        <f t="shared" si="15"/>
        <v>-0.28000000000000003</v>
      </c>
      <c r="K213" s="47">
        <f t="shared" si="16"/>
        <v>0.328125</v>
      </c>
      <c r="O213" s="17">
        <f t="shared" si="17"/>
        <v>0</v>
      </c>
      <c r="P213" s="17">
        <f t="shared" si="18"/>
        <v>0</v>
      </c>
      <c r="R213" s="9">
        <v>-10.5</v>
      </c>
      <c r="S213" s="9">
        <v>9.6</v>
      </c>
      <c r="T213" s="9">
        <v>255.05999</v>
      </c>
      <c r="U213" s="9">
        <v>206.53</v>
      </c>
      <c r="V213" s="45">
        <f t="shared" si="19"/>
        <v>0.23497792088316466</v>
      </c>
      <c r="W213" s="12">
        <v>7.32</v>
      </c>
      <c r="X213" s="12">
        <v>0</v>
      </c>
      <c r="Y213" s="12">
        <v>20210727</v>
      </c>
    </row>
    <row r="214" spans="1:25" x14ac:dyDescent="0.45">
      <c r="A214" s="3" t="s">
        <v>134</v>
      </c>
      <c r="B214" s="3" t="s">
        <v>135</v>
      </c>
      <c r="C214" s="6" t="s">
        <v>518</v>
      </c>
      <c r="D214" s="6" t="s">
        <v>189</v>
      </c>
      <c r="E214" s="6" t="s">
        <v>199</v>
      </c>
      <c r="F214" s="6">
        <v>15859.01</v>
      </c>
      <c r="G214" s="2">
        <v>0.52</v>
      </c>
      <c r="H214" s="2">
        <v>2.15</v>
      </c>
      <c r="I214" s="2">
        <v>2.42</v>
      </c>
      <c r="J214" s="47">
        <f t="shared" si="15"/>
        <v>3.1346153846153841</v>
      </c>
      <c r="K214" s="47">
        <f t="shared" si="16"/>
        <v>0.12558139534883722</v>
      </c>
      <c r="L214" s="8">
        <v>20.170000000000002</v>
      </c>
      <c r="M214" s="8">
        <v>16.079999999999998</v>
      </c>
      <c r="N214" s="8">
        <v>14.22</v>
      </c>
      <c r="O214" s="17">
        <f t="shared" si="17"/>
        <v>5.1298159509202461E-2</v>
      </c>
      <c r="P214" s="17">
        <f t="shared" si="18"/>
        <v>1.1323333333333332</v>
      </c>
      <c r="R214" s="9">
        <v>-528.76</v>
      </c>
      <c r="S214" s="9">
        <v>2.0299999999999998</v>
      </c>
      <c r="T214" s="9">
        <v>10085.56835</v>
      </c>
      <c r="U214" s="9">
        <v>9894.64</v>
      </c>
      <c r="V214" s="45">
        <f t="shared" si="19"/>
        <v>1.9296139121787164E-2</v>
      </c>
      <c r="W214" s="12">
        <v>100</v>
      </c>
      <c r="X214" s="12">
        <v>0</v>
      </c>
      <c r="Y214" s="12">
        <v>20210729</v>
      </c>
    </row>
    <row r="215" spans="1:25" x14ac:dyDescent="0.45">
      <c r="A215" s="3" t="s">
        <v>505</v>
      </c>
      <c r="B215" s="3" t="s">
        <v>506</v>
      </c>
      <c r="C215" s="6" t="s">
        <v>519</v>
      </c>
      <c r="D215" s="6" t="s">
        <v>216</v>
      </c>
      <c r="E215" s="6" t="s">
        <v>306</v>
      </c>
      <c r="F215" s="6">
        <v>75005.429999999993</v>
      </c>
      <c r="G215" s="2">
        <v>3.45</v>
      </c>
      <c r="H215" s="2">
        <v>3.78</v>
      </c>
      <c r="I215" s="2">
        <v>4.3499999999999996</v>
      </c>
      <c r="J215" s="47">
        <f t="shared" si="15"/>
        <v>9.565217391304337E-2</v>
      </c>
      <c r="K215" s="47">
        <f t="shared" si="16"/>
        <v>0.15079365079365076</v>
      </c>
      <c r="L215" s="8">
        <v>25.88</v>
      </c>
      <c r="M215" s="8">
        <v>25.56</v>
      </c>
      <c r="N215" s="8">
        <v>22.21</v>
      </c>
      <c r="O215" s="17">
        <f t="shared" si="17"/>
        <v>2.6721818181818211</v>
      </c>
      <c r="P215" s="17">
        <f t="shared" si="18"/>
        <v>1.4728736842105268</v>
      </c>
      <c r="Q215" s="5">
        <v>1.4</v>
      </c>
      <c r="R215" s="9">
        <v>18.18</v>
      </c>
      <c r="S215" s="9">
        <v>4.59</v>
      </c>
      <c r="T215" s="9">
        <v>8794.5468700000001</v>
      </c>
      <c r="U215" s="9">
        <v>8086</v>
      </c>
      <c r="V215" s="45">
        <f t="shared" si="19"/>
        <v>8.7626375216423469E-2</v>
      </c>
      <c r="W215" s="12">
        <v>21.74</v>
      </c>
      <c r="X215" s="12">
        <v>0.49</v>
      </c>
      <c r="Y215" s="12">
        <v>20210803</v>
      </c>
    </row>
    <row r="216" spans="1:25" x14ac:dyDescent="0.45">
      <c r="A216" s="3" t="s">
        <v>527</v>
      </c>
      <c r="B216" s="3" t="s">
        <v>528</v>
      </c>
      <c r="C216" s="6" t="s">
        <v>518</v>
      </c>
      <c r="D216" s="6" t="s">
        <v>90</v>
      </c>
      <c r="E216" s="6" t="s">
        <v>267</v>
      </c>
      <c r="F216" s="6">
        <v>9073.24</v>
      </c>
      <c r="G216" s="2">
        <v>2.15</v>
      </c>
      <c r="H216" s="2">
        <v>2.59</v>
      </c>
      <c r="I216" s="2">
        <v>2.21</v>
      </c>
      <c r="J216" s="47">
        <f t="shared" si="15"/>
        <v>0.20465116279069767</v>
      </c>
      <c r="K216" s="47">
        <f t="shared" si="16"/>
        <v>-0.14671814671814667</v>
      </c>
      <c r="M216" s="8">
        <v>8.35</v>
      </c>
      <c r="N216" s="8">
        <v>9.7799999999999994</v>
      </c>
      <c r="O216" s="17">
        <f t="shared" si="17"/>
        <v>0.40801136363636359</v>
      </c>
      <c r="P216" s="17">
        <f t="shared" si="18"/>
        <v>-0.666584210526316</v>
      </c>
      <c r="T216" s="9">
        <v>4153.7797799999998</v>
      </c>
      <c r="U216" s="9">
        <v>4427</v>
      </c>
      <c r="V216" s="45">
        <f t="shared" si="19"/>
        <v>-6.171678789247801E-2</v>
      </c>
      <c r="X216" s="12">
        <v>1.72</v>
      </c>
    </row>
    <row r="217" spans="1:25" x14ac:dyDescent="0.45">
      <c r="A217" s="3" t="s">
        <v>4029</v>
      </c>
      <c r="B217" s="3" t="s">
        <v>4030</v>
      </c>
      <c r="C217" s="6" t="s">
        <v>519</v>
      </c>
      <c r="D217" s="6" t="s">
        <v>234</v>
      </c>
      <c r="E217" s="6" t="s">
        <v>169</v>
      </c>
      <c r="F217" s="6">
        <v>3131.18</v>
      </c>
      <c r="G217" s="2">
        <v>1.96</v>
      </c>
      <c r="H217" s="2">
        <v>2.81</v>
      </c>
      <c r="I217" s="2">
        <v>2.7</v>
      </c>
      <c r="J217" s="47">
        <f t="shared" si="15"/>
        <v>0.43367346938775514</v>
      </c>
      <c r="K217" s="47">
        <f t="shared" si="16"/>
        <v>-3.9145907473309566E-2</v>
      </c>
      <c r="L217" s="8">
        <v>13.76</v>
      </c>
      <c r="M217" s="8">
        <v>14.1</v>
      </c>
      <c r="N217" s="8">
        <v>14.65</v>
      </c>
      <c r="O217" s="17">
        <f t="shared" si="17"/>
        <v>0.32512941176470583</v>
      </c>
      <c r="P217" s="17">
        <f t="shared" si="18"/>
        <v>-3.7424090909090948</v>
      </c>
      <c r="R217" s="9">
        <v>8.81</v>
      </c>
      <c r="S217" s="9">
        <v>24.73</v>
      </c>
      <c r="T217" s="9">
        <v>665.21501999999998</v>
      </c>
      <c r="U217" s="9">
        <v>784.94</v>
      </c>
      <c r="V217" s="45">
        <f t="shared" si="19"/>
        <v>-0.15252755624633738</v>
      </c>
      <c r="W217" s="12">
        <v>7.89</v>
      </c>
      <c r="X217" s="12">
        <v>2.83</v>
      </c>
      <c r="Y217" s="12">
        <v>20210722</v>
      </c>
    </row>
    <row r="218" spans="1:25" x14ac:dyDescent="0.45">
      <c r="A218" s="3" t="s">
        <v>484</v>
      </c>
      <c r="B218" s="3" t="s">
        <v>485</v>
      </c>
      <c r="C218" s="6" t="s">
        <v>520</v>
      </c>
      <c r="D218" s="6" t="s">
        <v>90</v>
      </c>
      <c r="E218" s="6" t="s">
        <v>268</v>
      </c>
      <c r="F218" s="6">
        <v>11450.54</v>
      </c>
      <c r="G218" s="2">
        <v>2.2799999999999998</v>
      </c>
      <c r="H218" s="2">
        <v>2.21</v>
      </c>
      <c r="I218" s="2">
        <v>2.52</v>
      </c>
      <c r="J218" s="47">
        <f t="shared" si="15"/>
        <v>-3.0701754385964845E-2</v>
      </c>
      <c r="K218" s="47">
        <f t="shared" si="16"/>
        <v>0.14027149321266971</v>
      </c>
      <c r="M218" s="8">
        <v>10.92</v>
      </c>
      <c r="N218" s="8">
        <v>9.61</v>
      </c>
      <c r="O218" s="17">
        <f t="shared" si="17"/>
        <v>-3.556800000000008</v>
      </c>
      <c r="P218" s="17">
        <f t="shared" si="18"/>
        <v>0.68509999999999982</v>
      </c>
      <c r="T218" s="9">
        <v>2995.8898899999999</v>
      </c>
      <c r="U218" s="9">
        <v>2865</v>
      </c>
      <c r="V218" s="45">
        <f t="shared" si="19"/>
        <v>4.5685825479930164E-2</v>
      </c>
      <c r="X218" s="12">
        <v>7.36</v>
      </c>
    </row>
    <row r="219" spans="1:25" x14ac:dyDescent="0.45">
      <c r="A219" s="3" t="s">
        <v>4031</v>
      </c>
      <c r="B219" s="3" t="s">
        <v>4032</v>
      </c>
      <c r="C219" s="6" t="s">
        <v>520</v>
      </c>
      <c r="D219" s="6" t="s">
        <v>189</v>
      </c>
      <c r="E219" s="6" t="s">
        <v>211</v>
      </c>
      <c r="F219" s="6">
        <v>8064.86</v>
      </c>
      <c r="G219" s="2">
        <v>0.02</v>
      </c>
      <c r="H219" s="2">
        <v>2.2400000000000002</v>
      </c>
      <c r="I219" s="2">
        <v>1.75</v>
      </c>
      <c r="J219" s="47">
        <f t="shared" si="15"/>
        <v>111.00000000000001</v>
      </c>
      <c r="K219" s="47">
        <f t="shared" si="16"/>
        <v>-0.21875000000000008</v>
      </c>
      <c r="M219" s="8">
        <v>3.79</v>
      </c>
      <c r="N219" s="8">
        <v>4.8499999999999996</v>
      </c>
      <c r="O219" s="17">
        <f t="shared" si="17"/>
        <v>3.414414414414414E-4</v>
      </c>
      <c r="P219" s="17">
        <f t="shared" si="18"/>
        <v>-0.22171428571428561</v>
      </c>
      <c r="T219" s="9">
        <v>13405.29003</v>
      </c>
      <c r="U219" s="9">
        <v>8987</v>
      </c>
      <c r="V219" s="45">
        <f t="shared" si="19"/>
        <v>0.49163124847001227</v>
      </c>
      <c r="X219" s="12">
        <v>0</v>
      </c>
      <c r="Y219" s="12">
        <v>20210610</v>
      </c>
    </row>
    <row r="220" spans="1:25" x14ac:dyDescent="0.45">
      <c r="A220" s="3" t="s">
        <v>609</v>
      </c>
      <c r="B220" s="3" t="s">
        <v>610</v>
      </c>
      <c r="C220" s="6" t="s">
        <v>518</v>
      </c>
      <c r="D220" s="6" t="s">
        <v>90</v>
      </c>
      <c r="E220" s="6" t="s">
        <v>267</v>
      </c>
      <c r="F220" s="6">
        <v>4896.04</v>
      </c>
      <c r="G220" s="2">
        <v>0.3</v>
      </c>
      <c r="H220" s="2">
        <v>0.26</v>
      </c>
      <c r="I220" s="2">
        <v>0.31</v>
      </c>
      <c r="J220" s="47">
        <f t="shared" si="15"/>
        <v>-0.13333333333333328</v>
      </c>
      <c r="K220" s="47">
        <f t="shared" si="16"/>
        <v>0.19230769230769226</v>
      </c>
      <c r="L220" s="8">
        <v>14.49</v>
      </c>
      <c r="M220" s="8">
        <v>19.5</v>
      </c>
      <c r="N220" s="8">
        <v>16.46</v>
      </c>
      <c r="O220" s="17">
        <f t="shared" si="17"/>
        <v>-1.4625000000000008</v>
      </c>
      <c r="P220" s="17">
        <f t="shared" si="18"/>
        <v>0.85592000000000024</v>
      </c>
      <c r="Q220" s="5">
        <v>0.47</v>
      </c>
      <c r="R220" s="9">
        <v>6.93</v>
      </c>
      <c r="S220" s="9">
        <v>-4.29</v>
      </c>
      <c r="T220" s="9">
        <v>1857</v>
      </c>
      <c r="U220" s="9">
        <v>1561</v>
      </c>
      <c r="V220" s="45">
        <f t="shared" si="19"/>
        <v>0.18962203715566944</v>
      </c>
      <c r="W220" s="12">
        <v>0</v>
      </c>
      <c r="X220" s="12">
        <v>1.68</v>
      </c>
      <c r="Y220" s="12">
        <v>20210722</v>
      </c>
    </row>
    <row r="221" spans="1:25" x14ac:dyDescent="0.45">
      <c r="A221" s="3" t="s">
        <v>4033</v>
      </c>
      <c r="B221" s="3" t="s">
        <v>4034</v>
      </c>
      <c r="C221" s="6" t="s">
        <v>518</v>
      </c>
      <c r="D221" s="6" t="s">
        <v>327</v>
      </c>
      <c r="E221" s="6" t="s">
        <v>321</v>
      </c>
      <c r="F221" s="6">
        <v>3108.75</v>
      </c>
      <c r="G221" s="2">
        <v>1.84</v>
      </c>
      <c r="H221" s="2">
        <v>2.12</v>
      </c>
      <c r="I221" s="2">
        <v>2.31</v>
      </c>
      <c r="J221" s="47">
        <f t="shared" si="15"/>
        <v>0.15217391304347827</v>
      </c>
      <c r="K221" s="47">
        <f t="shared" si="16"/>
        <v>8.9622641509433928E-2</v>
      </c>
      <c r="L221" s="8">
        <v>20.67</v>
      </c>
      <c r="M221" s="8">
        <v>21.16</v>
      </c>
      <c r="N221" s="8">
        <v>19.440000000000001</v>
      </c>
      <c r="O221" s="17">
        <f t="shared" si="17"/>
        <v>1.3905142857142856</v>
      </c>
      <c r="P221" s="17">
        <f t="shared" si="18"/>
        <v>2.1690947368421063</v>
      </c>
      <c r="Q221" s="5">
        <v>3.89</v>
      </c>
      <c r="R221" s="9">
        <v>7.4</v>
      </c>
      <c r="S221" s="9">
        <v>-2.37</v>
      </c>
      <c r="T221" s="9">
        <v>1349.6999499999999</v>
      </c>
      <c r="U221" s="9">
        <v>1321.89</v>
      </c>
      <c r="V221" s="45">
        <f t="shared" si="19"/>
        <v>2.1038021317961283E-2</v>
      </c>
      <c r="W221" s="12">
        <v>15.29</v>
      </c>
      <c r="X221" s="12">
        <v>3.77</v>
      </c>
      <c r="Y221" s="12">
        <v>20210804</v>
      </c>
    </row>
    <row r="222" spans="1:25" x14ac:dyDescent="0.45">
      <c r="A222" s="3" t="s">
        <v>545</v>
      </c>
      <c r="B222" s="3" t="s">
        <v>546</v>
      </c>
      <c r="C222" s="6" t="s">
        <v>518</v>
      </c>
      <c r="D222" s="6" t="s">
        <v>234</v>
      </c>
      <c r="E222" s="6" t="s">
        <v>220</v>
      </c>
      <c r="F222" s="6">
        <v>6561.75</v>
      </c>
      <c r="G222" s="2">
        <v>0.47</v>
      </c>
      <c r="H222" s="2">
        <v>0.61</v>
      </c>
      <c r="I222" s="2">
        <v>0.8</v>
      </c>
      <c r="J222" s="47">
        <f t="shared" si="15"/>
        <v>0.29787234042553196</v>
      </c>
      <c r="K222" s="47">
        <f t="shared" si="16"/>
        <v>0.3114754098360657</v>
      </c>
      <c r="L222" s="8">
        <v>9.1999999999999993</v>
      </c>
      <c r="M222" s="8">
        <v>9.74</v>
      </c>
      <c r="N222" s="8">
        <v>7.41</v>
      </c>
      <c r="O222" s="17">
        <f t="shared" si="17"/>
        <v>0.32698571428571427</v>
      </c>
      <c r="P222" s="17">
        <f t="shared" si="18"/>
        <v>0.23789999999999992</v>
      </c>
      <c r="R222" s="9">
        <v>6.68</v>
      </c>
      <c r="S222" s="9">
        <v>-1.1599999999999999</v>
      </c>
      <c r="T222" s="9">
        <v>6341.58007</v>
      </c>
      <c r="U222" s="9">
        <v>5968.98</v>
      </c>
      <c r="V222" s="45">
        <f t="shared" si="19"/>
        <v>6.2422737218084237E-2</v>
      </c>
      <c r="W222" s="12">
        <v>45.45</v>
      </c>
      <c r="X222" s="12">
        <v>4.53</v>
      </c>
      <c r="Y222" s="12">
        <v>20210826</v>
      </c>
    </row>
    <row r="223" spans="1:25" x14ac:dyDescent="0.45">
      <c r="A223" s="3" t="s">
        <v>136</v>
      </c>
      <c r="B223" s="3" t="s">
        <v>137</v>
      </c>
      <c r="C223" s="6" t="s">
        <v>518</v>
      </c>
      <c r="D223" s="6" t="s">
        <v>234</v>
      </c>
      <c r="E223" s="6" t="s">
        <v>287</v>
      </c>
      <c r="F223" s="6">
        <v>29423.07</v>
      </c>
      <c r="G223" s="2">
        <v>8.76</v>
      </c>
      <c r="H223" s="2">
        <v>7.83</v>
      </c>
      <c r="I223" s="2">
        <v>8.42</v>
      </c>
      <c r="J223" s="47">
        <f t="shared" si="15"/>
        <v>-0.1061643835616438</v>
      </c>
      <c r="K223" s="47">
        <f t="shared" si="16"/>
        <v>7.5351213282247739E-2</v>
      </c>
      <c r="L223" s="8">
        <v>25.52</v>
      </c>
      <c r="M223" s="8">
        <v>26.9</v>
      </c>
      <c r="N223" s="8">
        <v>25.02</v>
      </c>
      <c r="O223" s="17">
        <f t="shared" si="17"/>
        <v>-2.5338064516129037</v>
      </c>
      <c r="P223" s="17">
        <f t="shared" si="18"/>
        <v>3.3204508474576282</v>
      </c>
      <c r="Q223" s="5">
        <v>9.36</v>
      </c>
      <c r="R223" s="9">
        <v>7.47</v>
      </c>
      <c r="S223" s="9">
        <v>3.95</v>
      </c>
      <c r="T223" s="9">
        <v>2221.0129299999999</v>
      </c>
      <c r="U223" s="9">
        <v>2301.2600000000002</v>
      </c>
      <c r="V223" s="45">
        <f t="shared" si="19"/>
        <v>-3.4870927231169163E-2</v>
      </c>
      <c r="W223" s="12">
        <v>0.52</v>
      </c>
      <c r="X223" s="12">
        <v>3.02</v>
      </c>
      <c r="Y223" s="12">
        <v>20210804</v>
      </c>
    </row>
    <row r="224" spans="1:25" x14ac:dyDescent="0.45">
      <c r="A224" s="3" t="s">
        <v>448</v>
      </c>
      <c r="B224" s="3" t="s">
        <v>449</v>
      </c>
      <c r="C224" s="6" t="s">
        <v>519</v>
      </c>
      <c r="D224" s="6" t="s">
        <v>189</v>
      </c>
      <c r="E224" s="6" t="s">
        <v>213</v>
      </c>
      <c r="F224" s="6">
        <v>189423.7</v>
      </c>
      <c r="G224" s="2">
        <v>22.06</v>
      </c>
      <c r="H224" s="2">
        <v>27.47</v>
      </c>
      <c r="I224" s="2">
        <v>30.09</v>
      </c>
      <c r="J224" s="47">
        <f t="shared" si="15"/>
        <v>0.24524025385312787</v>
      </c>
      <c r="K224" s="47">
        <f t="shared" si="16"/>
        <v>9.5376774663269062E-2</v>
      </c>
      <c r="L224" s="8">
        <v>18.57</v>
      </c>
      <c r="M224" s="8">
        <v>16.89</v>
      </c>
      <c r="N224" s="8">
        <v>15.42</v>
      </c>
      <c r="O224" s="17">
        <f t="shared" si="17"/>
        <v>0.68871238447319771</v>
      </c>
      <c r="P224" s="17">
        <f t="shared" si="18"/>
        <v>1.6167458015267169</v>
      </c>
      <c r="Q224" s="5">
        <v>1.1299999999999999</v>
      </c>
      <c r="R224" s="9">
        <v>41.39</v>
      </c>
      <c r="S224" s="9">
        <v>14.64</v>
      </c>
      <c r="T224" s="9">
        <v>27242.400389999999</v>
      </c>
      <c r="U224" s="9">
        <v>23888</v>
      </c>
      <c r="V224" s="45">
        <f t="shared" si="19"/>
        <v>0.14042198551574006</v>
      </c>
      <c r="W224" s="12">
        <v>2.8</v>
      </c>
      <c r="X224" s="12">
        <v>3.1</v>
      </c>
      <c r="Y224" s="12">
        <v>20210902</v>
      </c>
    </row>
    <row r="225" spans="1:25" x14ac:dyDescent="0.45">
      <c r="A225" s="3" t="s">
        <v>4492</v>
      </c>
      <c r="B225" s="3" t="s">
        <v>4493</v>
      </c>
      <c r="C225" s="6" t="s">
        <v>520</v>
      </c>
      <c r="D225" s="6" t="s">
        <v>189</v>
      </c>
      <c r="E225" s="6" t="s">
        <v>378</v>
      </c>
      <c r="F225" s="6">
        <v>16054.2</v>
      </c>
      <c r="J225" s="47" t="e">
        <f t="shared" si="15"/>
        <v>#DIV/0!</v>
      </c>
      <c r="K225" s="47" t="e">
        <f t="shared" si="16"/>
        <v>#DIV/0!</v>
      </c>
      <c r="L225" s="8">
        <v>18.62</v>
      </c>
      <c r="O225" s="17" t="e">
        <f t="shared" si="17"/>
        <v>#DIV/0!</v>
      </c>
      <c r="P225" s="17" t="e">
        <f t="shared" si="18"/>
        <v>#DIV/0!</v>
      </c>
      <c r="R225" s="9">
        <v>39.81</v>
      </c>
      <c r="U225" s="9">
        <v>5824.78</v>
      </c>
      <c r="V225" s="45">
        <f t="shared" si="19"/>
        <v>-1</v>
      </c>
      <c r="X225" s="12">
        <v>3.44</v>
      </c>
      <c r="Y225" s="12">
        <v>20210610</v>
      </c>
    </row>
    <row r="226" spans="1:25" x14ac:dyDescent="0.45">
      <c r="A226" s="3" t="s">
        <v>575</v>
      </c>
      <c r="B226" s="3" t="s">
        <v>576</v>
      </c>
      <c r="C226" s="6" t="s">
        <v>518</v>
      </c>
      <c r="D226" s="6" t="s">
        <v>189</v>
      </c>
      <c r="E226" s="6" t="s">
        <v>248</v>
      </c>
      <c r="F226" s="6">
        <v>11203.54</v>
      </c>
      <c r="G226" s="2">
        <v>-0.04</v>
      </c>
      <c r="H226" s="2">
        <v>-0.25</v>
      </c>
      <c r="I226" s="2">
        <v>0.01</v>
      </c>
      <c r="J226" s="47">
        <f t="shared" si="15"/>
        <v>-5.25</v>
      </c>
      <c r="K226" s="47">
        <f t="shared" si="16"/>
        <v>1.04</v>
      </c>
      <c r="L226" s="8">
        <v>1861.71</v>
      </c>
      <c r="N226" s="8">
        <v>17376</v>
      </c>
      <c r="O226" s="17">
        <f t="shared" si="17"/>
        <v>0</v>
      </c>
      <c r="P226" s="17">
        <f t="shared" si="18"/>
        <v>167.07692307692307</v>
      </c>
      <c r="R226" s="9">
        <v>-5.43</v>
      </c>
      <c r="T226" s="9">
        <v>651.99597000000006</v>
      </c>
      <c r="U226" s="9">
        <v>500.57</v>
      </c>
      <c r="V226" s="45">
        <f t="shared" si="19"/>
        <v>0.3025070819266038</v>
      </c>
      <c r="W226" s="12">
        <v>27.27</v>
      </c>
      <c r="X226" s="12">
        <v>0</v>
      </c>
      <c r="Y226" s="12">
        <v>20210803</v>
      </c>
    </row>
    <row r="227" spans="1:25" x14ac:dyDescent="0.45">
      <c r="A227" s="3" t="s">
        <v>3754</v>
      </c>
      <c r="B227" s="3" t="s">
        <v>782</v>
      </c>
      <c r="C227" s="6" t="s">
        <v>518</v>
      </c>
      <c r="D227" s="6" t="s">
        <v>90</v>
      </c>
      <c r="E227" s="6" t="s">
        <v>196</v>
      </c>
      <c r="F227" s="6">
        <v>4654.1400000000003</v>
      </c>
      <c r="G227" s="2">
        <v>1.7</v>
      </c>
      <c r="H227" s="2">
        <v>2.76</v>
      </c>
      <c r="I227" s="2">
        <v>3.15</v>
      </c>
      <c r="J227" s="47">
        <f t="shared" si="15"/>
        <v>0.62352941176470578</v>
      </c>
      <c r="K227" s="47">
        <f t="shared" si="16"/>
        <v>0.141304347826087</v>
      </c>
      <c r="L227" s="8">
        <v>23.71</v>
      </c>
      <c r="M227" s="8">
        <v>18.5</v>
      </c>
      <c r="N227" s="8">
        <v>16.18</v>
      </c>
      <c r="O227" s="17">
        <f t="shared" si="17"/>
        <v>0.29669811320754719</v>
      </c>
      <c r="P227" s="17">
        <f t="shared" si="18"/>
        <v>1.1450461538461534</v>
      </c>
      <c r="Q227" s="5">
        <v>1.85</v>
      </c>
      <c r="R227" s="9">
        <v>11.95</v>
      </c>
      <c r="S227" s="9">
        <v>-1.46</v>
      </c>
      <c r="T227" s="9">
        <v>4270.4399400000002</v>
      </c>
      <c r="U227" s="9">
        <v>3242.1</v>
      </c>
      <c r="V227" s="45">
        <f t="shared" si="19"/>
        <v>0.31718328860923484</v>
      </c>
      <c r="W227" s="12">
        <v>25.35</v>
      </c>
      <c r="X227" s="12">
        <v>1.67</v>
      </c>
      <c r="Y227" s="12">
        <v>20210728</v>
      </c>
    </row>
    <row r="228" spans="1:25" x14ac:dyDescent="0.45">
      <c r="A228" s="3" t="s">
        <v>783</v>
      </c>
      <c r="B228" s="3" t="s">
        <v>784</v>
      </c>
      <c r="C228" s="6" t="s">
        <v>519</v>
      </c>
      <c r="D228" s="6" t="s">
        <v>189</v>
      </c>
      <c r="E228" s="6" t="s">
        <v>212</v>
      </c>
      <c r="F228" s="6">
        <v>4365.1499999999996</v>
      </c>
      <c r="G228" s="2">
        <v>1.4</v>
      </c>
      <c r="H228" s="2">
        <v>2.33</v>
      </c>
      <c r="I228" s="2">
        <v>3.28</v>
      </c>
      <c r="J228" s="47">
        <f t="shared" si="15"/>
        <v>0.66428571428571448</v>
      </c>
      <c r="K228" s="47">
        <f t="shared" si="16"/>
        <v>0.40772532188841187</v>
      </c>
      <c r="L228" s="8">
        <v>25.51</v>
      </c>
      <c r="M228" s="8">
        <v>18.850000000000001</v>
      </c>
      <c r="N228" s="8">
        <v>13.36</v>
      </c>
      <c r="O228" s="17">
        <f t="shared" si="17"/>
        <v>0.28376344086021499</v>
      </c>
      <c r="P228" s="17">
        <f t="shared" si="18"/>
        <v>0.32767157894736848</v>
      </c>
      <c r="Q228" s="5">
        <v>0.83</v>
      </c>
      <c r="R228" s="9">
        <v>4.4800000000000004</v>
      </c>
      <c r="S228" s="9">
        <v>-3.94</v>
      </c>
      <c r="T228" s="9">
        <v>19224.083979999999</v>
      </c>
      <c r="U228" s="9">
        <v>17634.330000000002</v>
      </c>
      <c r="V228" s="45">
        <f t="shared" si="19"/>
        <v>9.015108484416462E-2</v>
      </c>
      <c r="W228" s="12">
        <v>32.14</v>
      </c>
      <c r="X228" s="12">
        <v>2.0099999999999998</v>
      </c>
      <c r="Y228" s="12">
        <v>20210805</v>
      </c>
    </row>
    <row r="229" spans="1:25" x14ac:dyDescent="0.45">
      <c r="A229" s="3" t="s">
        <v>577</v>
      </c>
      <c r="B229" s="3" t="s">
        <v>578</v>
      </c>
      <c r="C229" s="6" t="s">
        <v>518</v>
      </c>
      <c r="D229" s="6" t="s">
        <v>279</v>
      </c>
      <c r="E229" s="6" t="s">
        <v>266</v>
      </c>
      <c r="F229" s="6">
        <v>18552.75</v>
      </c>
      <c r="G229" s="2">
        <v>0.86</v>
      </c>
      <c r="H229" s="2">
        <v>1.25</v>
      </c>
      <c r="I229" s="2">
        <v>1.39</v>
      </c>
      <c r="J229" s="47">
        <f t="shared" si="15"/>
        <v>0.45348837209302328</v>
      </c>
      <c r="K229" s="47">
        <f t="shared" si="16"/>
        <v>0.11199999999999992</v>
      </c>
      <c r="L229" s="8">
        <v>29.78</v>
      </c>
      <c r="M229" s="8">
        <v>25.45</v>
      </c>
      <c r="N229" s="8">
        <v>22.89</v>
      </c>
      <c r="O229" s="17">
        <f t="shared" si="17"/>
        <v>0.56120512820512813</v>
      </c>
      <c r="P229" s="17">
        <f t="shared" si="18"/>
        <v>2.0437500000000015</v>
      </c>
      <c r="Q229" s="5">
        <v>1.36</v>
      </c>
      <c r="R229" s="9">
        <v>41.17</v>
      </c>
      <c r="T229" s="9">
        <v>7070.20507</v>
      </c>
      <c r="U229" s="9">
        <v>6393.6</v>
      </c>
      <c r="V229" s="45">
        <f t="shared" si="19"/>
        <v>0.10582536755505499</v>
      </c>
      <c r="W229" s="12">
        <v>25</v>
      </c>
      <c r="X229" s="12">
        <v>0</v>
      </c>
      <c r="Y229" s="12">
        <v>20210804</v>
      </c>
    </row>
    <row r="230" spans="1:25" x14ac:dyDescent="0.45">
      <c r="A230" s="3" t="s">
        <v>549</v>
      </c>
      <c r="B230" s="3" t="s">
        <v>550</v>
      </c>
      <c r="C230" s="6" t="s">
        <v>520</v>
      </c>
      <c r="D230" s="6" t="s">
        <v>234</v>
      </c>
      <c r="E230" s="6" t="s">
        <v>241</v>
      </c>
      <c r="F230" s="6">
        <v>23100.63</v>
      </c>
      <c r="G230" s="2">
        <v>1.29</v>
      </c>
      <c r="H230" s="2">
        <v>1.55</v>
      </c>
      <c r="I230" s="2">
        <v>1.43</v>
      </c>
      <c r="J230" s="47">
        <f t="shared" si="15"/>
        <v>0.20155038759689922</v>
      </c>
      <c r="K230" s="47">
        <f t="shared" si="16"/>
        <v>-7.741935483870975E-2</v>
      </c>
      <c r="M230" s="8">
        <v>7.59</v>
      </c>
      <c r="N230" s="8">
        <v>8.2200000000000006</v>
      </c>
      <c r="O230" s="17">
        <f t="shared" si="17"/>
        <v>0.37658076923076922</v>
      </c>
      <c r="P230" s="17">
        <f t="shared" si="18"/>
        <v>-1.0617499999999991</v>
      </c>
      <c r="T230" s="9">
        <v>59601.871090000001</v>
      </c>
      <c r="U230" s="9">
        <v>59801.35</v>
      </c>
      <c r="V230" s="45">
        <f t="shared" si="19"/>
        <v>-3.3356924216593436E-3</v>
      </c>
      <c r="X230" s="12">
        <v>6.36</v>
      </c>
    </row>
    <row r="231" spans="1:25" x14ac:dyDescent="0.45">
      <c r="A231" s="3" t="s">
        <v>138</v>
      </c>
      <c r="B231" s="3" t="s">
        <v>139</v>
      </c>
      <c r="C231" s="6" t="s">
        <v>518</v>
      </c>
      <c r="D231" s="6" t="s">
        <v>272</v>
      </c>
      <c r="E231" s="6" t="s">
        <v>399</v>
      </c>
      <c r="F231" s="6">
        <v>18105.64</v>
      </c>
      <c r="G231" s="2">
        <v>6.94</v>
      </c>
      <c r="H231" s="2">
        <v>8.74</v>
      </c>
      <c r="I231" s="2">
        <v>9.32</v>
      </c>
      <c r="J231" s="47">
        <f t="shared" si="15"/>
        <v>0.25936599423631118</v>
      </c>
      <c r="K231" s="47">
        <f t="shared" si="16"/>
        <v>6.6361556064073235E-2</v>
      </c>
      <c r="L231" s="8">
        <v>27.79</v>
      </c>
      <c r="M231" s="8">
        <v>24.96</v>
      </c>
      <c r="N231" s="8">
        <v>23.4</v>
      </c>
      <c r="O231" s="17">
        <f t="shared" si="17"/>
        <v>0.96234666666666691</v>
      </c>
      <c r="P231" s="17">
        <f t="shared" si="18"/>
        <v>3.5261379310344823</v>
      </c>
      <c r="Q231" s="5">
        <v>3.57</v>
      </c>
      <c r="R231" s="9">
        <v>46.93</v>
      </c>
      <c r="S231" s="9">
        <v>3.71</v>
      </c>
      <c r="T231" s="9">
        <v>7827.3129799999997</v>
      </c>
      <c r="U231" s="9">
        <v>6971.5</v>
      </c>
      <c r="V231" s="45">
        <f t="shared" si="19"/>
        <v>0.12275880083195864</v>
      </c>
      <c r="W231" s="12">
        <v>19.399999999999999</v>
      </c>
      <c r="X231" s="12">
        <v>1.25</v>
      </c>
      <c r="Y231" s="12">
        <v>20210726</v>
      </c>
    </row>
    <row r="232" spans="1:25" x14ac:dyDescent="0.45">
      <c r="A232" s="3" t="s">
        <v>4494</v>
      </c>
      <c r="B232" s="3" t="s">
        <v>4495</v>
      </c>
      <c r="C232" s="6" t="s">
        <v>520</v>
      </c>
      <c r="D232" s="6" t="s">
        <v>90</v>
      </c>
      <c r="E232" s="6" t="s">
        <v>268</v>
      </c>
      <c r="F232" s="6">
        <v>3779.22</v>
      </c>
      <c r="J232" s="47" t="e">
        <f t="shared" si="15"/>
        <v>#DIV/0!</v>
      </c>
      <c r="K232" s="47" t="e">
        <f t="shared" si="16"/>
        <v>#DIV/0!</v>
      </c>
      <c r="O232" s="17" t="e">
        <f t="shared" si="17"/>
        <v>#DIV/0!</v>
      </c>
      <c r="P232" s="17" t="e">
        <f t="shared" si="18"/>
        <v>#DIV/0!</v>
      </c>
      <c r="U232" s="9">
        <v>0.1</v>
      </c>
      <c r="V232" s="45">
        <f t="shared" si="19"/>
        <v>-1</v>
      </c>
      <c r="X232" s="12">
        <v>4.24</v>
      </c>
    </row>
    <row r="233" spans="1:25" x14ac:dyDescent="0.45">
      <c r="A233" s="3" t="s">
        <v>785</v>
      </c>
      <c r="B233" s="3" t="s">
        <v>786</v>
      </c>
      <c r="C233" s="6" t="s">
        <v>518</v>
      </c>
      <c r="D233" s="6" t="s">
        <v>210</v>
      </c>
      <c r="E233" s="6" t="s">
        <v>191</v>
      </c>
      <c r="F233" s="6">
        <v>5160.79</v>
      </c>
      <c r="G233" s="2">
        <v>3.62</v>
      </c>
      <c r="H233" s="2">
        <v>3.86</v>
      </c>
      <c r="I233" s="2">
        <v>4.4000000000000004</v>
      </c>
      <c r="J233" s="47">
        <f t="shared" si="15"/>
        <v>6.6298342541436392E-2</v>
      </c>
      <c r="K233" s="47">
        <f t="shared" si="16"/>
        <v>0.13989637305699495</v>
      </c>
      <c r="L233" s="8">
        <v>31.42</v>
      </c>
      <c r="M233" s="8">
        <v>27.9</v>
      </c>
      <c r="N233" s="8">
        <v>24.49</v>
      </c>
      <c r="O233" s="17">
        <f t="shared" si="17"/>
        <v>4.208250000000004</v>
      </c>
      <c r="P233" s="17">
        <f t="shared" si="18"/>
        <v>1.7505814814814795</v>
      </c>
      <c r="R233" s="9">
        <v>37.17</v>
      </c>
      <c r="S233" s="9">
        <v>-12.14</v>
      </c>
      <c r="T233" s="9">
        <v>1054</v>
      </c>
      <c r="U233" s="9">
        <v>936.9</v>
      </c>
      <c r="V233" s="45">
        <f t="shared" si="19"/>
        <v>0.12498665812786854</v>
      </c>
      <c r="W233" s="12">
        <v>-12.5</v>
      </c>
      <c r="X233" s="12">
        <v>0.78</v>
      </c>
      <c r="Y233" s="12">
        <v>20210727</v>
      </c>
    </row>
    <row r="234" spans="1:25" x14ac:dyDescent="0.45">
      <c r="A234" s="3" t="s">
        <v>450</v>
      </c>
      <c r="B234" s="3" t="s">
        <v>140</v>
      </c>
      <c r="C234" s="6" t="s">
        <v>518</v>
      </c>
      <c r="D234" s="6" t="s">
        <v>327</v>
      </c>
      <c r="E234" s="6" t="s">
        <v>363</v>
      </c>
      <c r="F234" s="6">
        <v>28599.54</v>
      </c>
      <c r="G234" s="2">
        <v>3.89</v>
      </c>
      <c r="H234" s="2">
        <v>4.24</v>
      </c>
      <c r="I234" s="2">
        <v>4.5599999999999996</v>
      </c>
      <c r="J234" s="47">
        <f t="shared" si="15"/>
        <v>8.9974293059125979E-2</v>
      </c>
      <c r="K234" s="47">
        <f t="shared" si="16"/>
        <v>7.5471698113207406E-2</v>
      </c>
      <c r="L234" s="8">
        <v>39.799999999999997</v>
      </c>
      <c r="M234" s="8">
        <v>37.15</v>
      </c>
      <c r="N234" s="8">
        <v>34.549999999999997</v>
      </c>
      <c r="O234" s="17">
        <f t="shared" si="17"/>
        <v>4.1289571428571419</v>
      </c>
      <c r="P234" s="17">
        <f t="shared" si="18"/>
        <v>4.5778750000000086</v>
      </c>
      <c r="Q234" s="5">
        <v>4.5999999999999996</v>
      </c>
      <c r="R234" s="9">
        <v>11.09</v>
      </c>
      <c r="S234" s="9">
        <v>3.43</v>
      </c>
      <c r="T234" s="9">
        <v>3941.97705</v>
      </c>
      <c r="U234" s="9">
        <v>3777</v>
      </c>
      <c r="V234" s="45">
        <f t="shared" si="19"/>
        <v>4.3679388403494827E-2</v>
      </c>
      <c r="W234" s="12">
        <v>0</v>
      </c>
      <c r="X234" s="12">
        <v>1.53</v>
      </c>
      <c r="Y234" s="12">
        <v>20210804</v>
      </c>
    </row>
    <row r="235" spans="1:25" x14ac:dyDescent="0.45">
      <c r="A235" s="3" t="s">
        <v>486</v>
      </c>
      <c r="B235" s="3" t="s">
        <v>487</v>
      </c>
      <c r="C235" s="6" t="s">
        <v>520</v>
      </c>
      <c r="D235" s="6" t="s">
        <v>234</v>
      </c>
      <c r="E235" s="6" t="s">
        <v>243</v>
      </c>
      <c r="F235" s="6">
        <v>66245.64</v>
      </c>
      <c r="G235" s="2">
        <v>2.21</v>
      </c>
      <c r="H235" s="2">
        <v>3.32</v>
      </c>
      <c r="I235" s="2">
        <v>3.56</v>
      </c>
      <c r="J235" s="47">
        <f t="shared" si="15"/>
        <v>0.50226244343891402</v>
      </c>
      <c r="K235" s="47">
        <f t="shared" si="16"/>
        <v>7.228915662650609E-2</v>
      </c>
      <c r="M235" s="8">
        <v>8.27</v>
      </c>
      <c r="N235" s="8">
        <v>7.71</v>
      </c>
      <c r="O235" s="17">
        <f t="shared" si="17"/>
        <v>0.16465495495495494</v>
      </c>
      <c r="P235" s="17">
        <f t="shared" si="18"/>
        <v>1.066549999999999</v>
      </c>
      <c r="Q235" s="5">
        <v>0.4</v>
      </c>
      <c r="U235" s="9">
        <v>110477.3</v>
      </c>
      <c r="V235" s="45">
        <f t="shared" si="19"/>
        <v>-1</v>
      </c>
      <c r="X235" s="12">
        <v>5.21</v>
      </c>
    </row>
    <row r="236" spans="1:25" x14ac:dyDescent="0.45">
      <c r="A236" s="3" t="s">
        <v>504</v>
      </c>
      <c r="B236" s="3" t="s">
        <v>3755</v>
      </c>
      <c r="C236" s="6" t="s">
        <v>519</v>
      </c>
      <c r="D236" s="6" t="s">
        <v>272</v>
      </c>
      <c r="E236" s="6" t="s">
        <v>297</v>
      </c>
      <c r="F236" s="6">
        <v>9576.52</v>
      </c>
      <c r="G236" s="2">
        <v>1.1399999999999999</v>
      </c>
      <c r="H236" s="2">
        <v>1.38</v>
      </c>
      <c r="I236" s="2">
        <v>1.84</v>
      </c>
      <c r="J236" s="47">
        <f t="shared" si="15"/>
        <v>0.2105263157894737</v>
      </c>
      <c r="K236" s="47">
        <f t="shared" si="16"/>
        <v>0.33333333333333348</v>
      </c>
      <c r="L236" s="8">
        <v>87.09</v>
      </c>
      <c r="M236" s="8">
        <v>107.41</v>
      </c>
      <c r="N236" s="8">
        <v>80.319999999999993</v>
      </c>
      <c r="O236" s="17">
        <f t="shared" si="17"/>
        <v>5.1019749999999995</v>
      </c>
      <c r="P236" s="17">
        <f t="shared" si="18"/>
        <v>2.4095999999999984</v>
      </c>
      <c r="Q236" s="5">
        <v>7.16</v>
      </c>
      <c r="R236" s="9">
        <v>-6.05</v>
      </c>
      <c r="S236" s="9">
        <v>26.32</v>
      </c>
      <c r="T236" s="9">
        <v>806.12798999999995</v>
      </c>
      <c r="U236" s="9">
        <v>681</v>
      </c>
      <c r="V236" s="45">
        <f t="shared" si="19"/>
        <v>0.18374154185022021</v>
      </c>
      <c r="W236" s="12">
        <v>47.62</v>
      </c>
      <c r="X236" s="12">
        <v>0</v>
      </c>
      <c r="Y236" s="12">
        <v>20210805</v>
      </c>
    </row>
    <row r="237" spans="1:25" x14ac:dyDescent="0.45">
      <c r="A237" s="3" t="s">
        <v>141</v>
      </c>
      <c r="B237" s="3" t="s">
        <v>142</v>
      </c>
      <c r="C237" s="6" t="s">
        <v>518</v>
      </c>
      <c r="D237" s="6" t="s">
        <v>234</v>
      </c>
      <c r="E237" s="6" t="s">
        <v>221</v>
      </c>
      <c r="F237" s="6">
        <v>131813.97</v>
      </c>
      <c r="G237" s="2">
        <v>3.28</v>
      </c>
      <c r="H237" s="2">
        <v>7.43</v>
      </c>
      <c r="I237" s="2">
        <v>9.1199999999999992</v>
      </c>
      <c r="J237" s="47">
        <f t="shared" si="15"/>
        <v>1.2652439024390245</v>
      </c>
      <c r="K237" s="47">
        <f t="shared" si="16"/>
        <v>0.22745625841184383</v>
      </c>
      <c r="L237" s="8">
        <v>32.24</v>
      </c>
      <c r="M237" s="8">
        <v>22.09</v>
      </c>
      <c r="N237" s="8">
        <v>17.989999999999998</v>
      </c>
      <c r="O237" s="17">
        <f t="shared" si="17"/>
        <v>0.17459084337349395</v>
      </c>
      <c r="P237" s="17">
        <f t="shared" si="18"/>
        <v>0.79092130177514797</v>
      </c>
      <c r="Q237" s="5">
        <v>1.64</v>
      </c>
      <c r="R237" s="9">
        <v>18.489999999999998</v>
      </c>
      <c r="S237" s="9">
        <v>5.35</v>
      </c>
      <c r="T237" s="9">
        <v>39082.5</v>
      </c>
      <c r="U237" s="9">
        <v>36087</v>
      </c>
      <c r="V237" s="45">
        <f t="shared" si="19"/>
        <v>8.3007731315986363E-2</v>
      </c>
      <c r="W237" s="12">
        <v>3.57</v>
      </c>
      <c r="X237" s="12">
        <v>1.05</v>
      </c>
      <c r="Y237" s="12">
        <v>20210723</v>
      </c>
    </row>
    <row r="238" spans="1:25" x14ac:dyDescent="0.45">
      <c r="A238" s="3" t="s">
        <v>143</v>
      </c>
      <c r="B238" s="3" t="s">
        <v>144</v>
      </c>
      <c r="C238" s="6" t="s">
        <v>518</v>
      </c>
      <c r="D238" s="6" t="s">
        <v>234</v>
      </c>
      <c r="E238" s="6" t="s">
        <v>244</v>
      </c>
      <c r="F238" s="6">
        <v>4413.46</v>
      </c>
      <c r="G238" s="2">
        <v>-2.2799999999999998</v>
      </c>
      <c r="H238" s="2">
        <v>4.2</v>
      </c>
      <c r="I238" s="2">
        <v>4.8</v>
      </c>
      <c r="J238" s="47">
        <f t="shared" si="15"/>
        <v>2.8421052631578951</v>
      </c>
      <c r="K238" s="47">
        <f t="shared" si="16"/>
        <v>0.14285714285714277</v>
      </c>
      <c r="L238" s="8">
        <v>61.99</v>
      </c>
      <c r="M238" s="8">
        <v>12.4</v>
      </c>
      <c r="N238" s="8">
        <v>10.85</v>
      </c>
      <c r="O238" s="17">
        <f t="shared" si="17"/>
        <v>4.3629629629629622E-2</v>
      </c>
      <c r="P238" s="17">
        <f t="shared" si="18"/>
        <v>0.75950000000000051</v>
      </c>
      <c r="Q238" s="5">
        <v>2.48</v>
      </c>
      <c r="R238" s="9">
        <v>2.0299999999999998</v>
      </c>
      <c r="S238" s="9">
        <v>5.35</v>
      </c>
      <c r="T238" s="9">
        <v>4961.1298800000004</v>
      </c>
      <c r="U238" s="9">
        <v>4841.95</v>
      </c>
      <c r="V238" s="45">
        <f t="shared" si="19"/>
        <v>2.461402534103008E-2</v>
      </c>
      <c r="W238" s="12">
        <v>49.23</v>
      </c>
      <c r="X238" s="12">
        <v>3.23</v>
      </c>
      <c r="Y238" s="12">
        <v>20210727</v>
      </c>
    </row>
    <row r="239" spans="1:25" x14ac:dyDescent="0.45">
      <c r="A239" s="3" t="s">
        <v>145</v>
      </c>
      <c r="B239" s="3" t="s">
        <v>146</v>
      </c>
      <c r="C239" s="6" t="s">
        <v>518</v>
      </c>
      <c r="D239" s="6" t="s">
        <v>90</v>
      </c>
      <c r="E239" s="6" t="s">
        <v>198</v>
      </c>
      <c r="F239" s="6">
        <v>7382.1</v>
      </c>
      <c r="G239" s="2">
        <v>1.19</v>
      </c>
      <c r="H239" s="2">
        <v>2.0499999999999998</v>
      </c>
      <c r="I239" s="2">
        <v>2.27</v>
      </c>
      <c r="J239" s="47">
        <f t="shared" si="15"/>
        <v>0.72268907563025198</v>
      </c>
      <c r="K239" s="47">
        <f t="shared" si="16"/>
        <v>0.10731707317073182</v>
      </c>
      <c r="L239" s="8">
        <v>20.85</v>
      </c>
      <c r="M239" s="8">
        <v>15.48</v>
      </c>
      <c r="N239" s="8">
        <v>13.94</v>
      </c>
      <c r="O239" s="17">
        <f t="shared" si="17"/>
        <v>0.21420000000000006</v>
      </c>
      <c r="P239" s="17">
        <f t="shared" si="18"/>
        <v>1.2989545454545441</v>
      </c>
      <c r="Q239" s="5">
        <v>0.69</v>
      </c>
      <c r="R239" s="9">
        <v>25.94</v>
      </c>
      <c r="S239" s="9">
        <v>-1.02</v>
      </c>
      <c r="T239" s="9">
        <v>4429.42382</v>
      </c>
      <c r="U239" s="9">
        <v>3737.6</v>
      </c>
      <c r="V239" s="45">
        <f t="shared" si="19"/>
        <v>0.18509841074486302</v>
      </c>
      <c r="W239" s="12">
        <v>19.05</v>
      </c>
      <c r="X239" s="12">
        <v>0</v>
      </c>
      <c r="Y239" s="12">
        <v>20210804</v>
      </c>
    </row>
    <row r="240" spans="1:25" x14ac:dyDescent="0.45">
      <c r="A240" s="3" t="s">
        <v>722</v>
      </c>
      <c r="B240" s="3" t="s">
        <v>723</v>
      </c>
      <c r="C240" s="6" t="s">
        <v>519</v>
      </c>
      <c r="D240" s="6" t="s">
        <v>327</v>
      </c>
      <c r="E240" s="6" t="s">
        <v>321</v>
      </c>
      <c r="F240" s="6">
        <v>3920.15</v>
      </c>
      <c r="G240" s="2">
        <v>0.9</v>
      </c>
      <c r="H240" s="2">
        <v>0.94</v>
      </c>
      <c r="I240" s="2">
        <v>1.34</v>
      </c>
      <c r="J240" s="47">
        <f t="shared" si="15"/>
        <v>4.4444444444444363E-2</v>
      </c>
      <c r="K240" s="47">
        <f t="shared" si="16"/>
        <v>0.42553191489361719</v>
      </c>
      <c r="L240" s="8">
        <v>108.09</v>
      </c>
      <c r="M240" s="8">
        <v>38.89</v>
      </c>
      <c r="N240" s="8">
        <v>27.37</v>
      </c>
      <c r="O240" s="17">
        <f t="shared" si="17"/>
        <v>8.7502500000000154</v>
      </c>
      <c r="P240" s="17">
        <f t="shared" si="18"/>
        <v>0.64319499999999974</v>
      </c>
      <c r="R240" s="9">
        <v>1.93</v>
      </c>
      <c r="S240" s="9">
        <v>0.88</v>
      </c>
      <c r="T240" s="9">
        <v>1150.04504</v>
      </c>
      <c r="U240" s="9">
        <v>1013.26</v>
      </c>
      <c r="V240" s="45">
        <f t="shared" si="19"/>
        <v>0.1349950062175552</v>
      </c>
      <c r="W240" s="12">
        <v>-30.77</v>
      </c>
      <c r="X240" s="12">
        <v>4.68</v>
      </c>
      <c r="Y240" s="12">
        <v>20210802</v>
      </c>
    </row>
    <row r="241" spans="1:25" x14ac:dyDescent="0.45">
      <c r="A241" s="3" t="s">
        <v>147</v>
      </c>
      <c r="B241" s="3" t="s">
        <v>148</v>
      </c>
      <c r="C241" s="6" t="s">
        <v>518</v>
      </c>
      <c r="D241" s="6" t="s">
        <v>210</v>
      </c>
      <c r="E241" s="6" t="s">
        <v>190</v>
      </c>
      <c r="F241" s="6">
        <v>6664.42</v>
      </c>
      <c r="G241" s="2">
        <v>7.87</v>
      </c>
      <c r="H241" s="2">
        <v>9.1</v>
      </c>
      <c r="I241" s="2">
        <v>9.89</v>
      </c>
      <c r="J241" s="47">
        <f t="shared" si="15"/>
        <v>0.15628970775095294</v>
      </c>
      <c r="K241" s="47">
        <f t="shared" si="16"/>
        <v>8.6813186813186921E-2</v>
      </c>
      <c r="L241" s="8">
        <v>22.11</v>
      </c>
      <c r="M241" s="8">
        <v>20.51</v>
      </c>
      <c r="N241" s="8">
        <v>18.88</v>
      </c>
      <c r="O241" s="17">
        <f t="shared" si="17"/>
        <v>1.3123065040650412</v>
      </c>
      <c r="P241" s="17">
        <f t="shared" si="18"/>
        <v>2.1747848101265799</v>
      </c>
      <c r="Q241" s="5">
        <v>2.0499999999999998</v>
      </c>
      <c r="R241" s="9">
        <v>14.9</v>
      </c>
      <c r="S241" s="9">
        <v>0.41</v>
      </c>
      <c r="T241" s="9">
        <v>3323.3500899999999</v>
      </c>
      <c r="U241" s="9">
        <v>3326.3</v>
      </c>
      <c r="V241" s="45">
        <f t="shared" si="19"/>
        <v>-8.8684424134932889E-4</v>
      </c>
      <c r="W241" s="12">
        <v>25.44</v>
      </c>
      <c r="X241" s="12">
        <v>0.28000000000000003</v>
      </c>
      <c r="Y241" s="12">
        <v>20210701</v>
      </c>
    </row>
    <row r="242" spans="1:25" x14ac:dyDescent="0.45">
      <c r="A242" s="3" t="s">
        <v>524</v>
      </c>
      <c r="B242" s="3" t="s">
        <v>525</v>
      </c>
      <c r="C242" s="6" t="s">
        <v>518</v>
      </c>
      <c r="D242" s="6" t="s">
        <v>189</v>
      </c>
      <c r="E242" s="6" t="s">
        <v>248</v>
      </c>
      <c r="F242" s="6">
        <v>5290.46</v>
      </c>
      <c r="G242" s="2">
        <v>0.64</v>
      </c>
      <c r="H242" s="2">
        <v>-0.01</v>
      </c>
      <c r="I242" s="2">
        <v>0.23</v>
      </c>
      <c r="J242" s="47">
        <f t="shared" si="15"/>
        <v>-1.015625</v>
      </c>
      <c r="K242" s="47">
        <f t="shared" si="16"/>
        <v>24</v>
      </c>
      <c r="L242" s="8">
        <v>82.96</v>
      </c>
      <c r="N242" s="8">
        <v>344.15</v>
      </c>
      <c r="O242" s="17">
        <f t="shared" si="17"/>
        <v>0</v>
      </c>
      <c r="P242" s="17">
        <f t="shared" si="18"/>
        <v>0.14339583333333333</v>
      </c>
      <c r="R242" s="9">
        <v>-2.2400000000000002</v>
      </c>
      <c r="S242" s="9">
        <v>59.42</v>
      </c>
      <c r="T242" s="9">
        <v>569.36198999999999</v>
      </c>
      <c r="U242" s="9">
        <v>495.31</v>
      </c>
      <c r="V242" s="45">
        <f t="shared" si="19"/>
        <v>0.14950634955886211</v>
      </c>
      <c r="W242" s="12">
        <v>65.22</v>
      </c>
      <c r="X242" s="12">
        <v>0</v>
      </c>
      <c r="Y242" s="12">
        <v>20210805</v>
      </c>
    </row>
    <row r="243" spans="1:25" x14ac:dyDescent="0.45">
      <c r="A243" s="3" t="s">
        <v>724</v>
      </c>
      <c r="B243" s="3" t="s">
        <v>725</v>
      </c>
      <c r="C243" s="6" t="s">
        <v>518</v>
      </c>
      <c r="D243" s="6" t="s">
        <v>210</v>
      </c>
      <c r="E243" s="6" t="s">
        <v>187</v>
      </c>
      <c r="F243" s="6">
        <v>6437.19</v>
      </c>
      <c r="G243" s="2">
        <v>0.64</v>
      </c>
      <c r="H243" s="2">
        <v>0.94</v>
      </c>
      <c r="I243" s="2">
        <v>1.1200000000000001</v>
      </c>
      <c r="J243" s="47">
        <f t="shared" si="15"/>
        <v>0.46874999999999989</v>
      </c>
      <c r="K243" s="47">
        <f t="shared" si="16"/>
        <v>0.19148936170212785</v>
      </c>
      <c r="L243" s="8">
        <v>50.73</v>
      </c>
      <c r="M243" s="8">
        <v>44.14</v>
      </c>
      <c r="N243" s="8">
        <v>37.020000000000003</v>
      </c>
      <c r="O243" s="17">
        <f t="shared" si="17"/>
        <v>0.94165333333333368</v>
      </c>
      <c r="P243" s="17">
        <f t="shared" si="18"/>
        <v>1.9332666666666649</v>
      </c>
      <c r="R243" s="9">
        <v>8.82</v>
      </c>
      <c r="T243" s="9">
        <v>1121.2550000000001</v>
      </c>
      <c r="U243" s="9">
        <v>899.26</v>
      </c>
      <c r="V243" s="45">
        <f t="shared" si="19"/>
        <v>0.24686408825033931</v>
      </c>
      <c r="W243" s="12">
        <v>8.6999999999999993</v>
      </c>
      <c r="X243" s="12">
        <v>0</v>
      </c>
    </row>
    <row r="244" spans="1:25" x14ac:dyDescent="0.45">
      <c r="A244" s="3" t="s">
        <v>421</v>
      </c>
      <c r="B244" s="3" t="s">
        <v>149</v>
      </c>
      <c r="C244" s="6" t="s">
        <v>519</v>
      </c>
      <c r="D244" s="6" t="s">
        <v>279</v>
      </c>
      <c r="E244" s="6" t="s">
        <v>250</v>
      </c>
      <c r="F244" s="6">
        <v>151176.53</v>
      </c>
      <c r="G244" s="2">
        <v>2.0099999999999998</v>
      </c>
      <c r="H244" s="2">
        <v>2.61</v>
      </c>
      <c r="I244" s="2">
        <v>3.25</v>
      </c>
      <c r="J244" s="47">
        <f t="shared" si="15"/>
        <v>0.29850746268656725</v>
      </c>
      <c r="K244" s="47">
        <f t="shared" si="16"/>
        <v>0.24521072796934873</v>
      </c>
      <c r="L244" s="8">
        <v>25.04</v>
      </c>
      <c r="M244" s="8">
        <v>22.09</v>
      </c>
      <c r="N244" s="8">
        <v>17.75</v>
      </c>
      <c r="O244" s="17">
        <f t="shared" si="17"/>
        <v>0.74001499999999976</v>
      </c>
      <c r="P244" s="17">
        <f t="shared" si="18"/>
        <v>0.72386718749999979</v>
      </c>
      <c r="Q244" s="5">
        <v>1.18</v>
      </c>
      <c r="R244" s="9">
        <v>41.94</v>
      </c>
      <c r="S244" s="9">
        <v>3.45</v>
      </c>
      <c r="T244" s="9">
        <v>31882.876950000002</v>
      </c>
      <c r="U244" s="9">
        <v>26617</v>
      </c>
      <c r="V244" s="45">
        <f t="shared" si="19"/>
        <v>0.19783886050268631</v>
      </c>
      <c r="W244" s="12">
        <v>14.08</v>
      </c>
      <c r="X244" s="12">
        <v>3.23</v>
      </c>
      <c r="Y244" s="12">
        <v>20210729</v>
      </c>
    </row>
    <row r="245" spans="1:25" x14ac:dyDescent="0.45">
      <c r="A245" s="3" t="s">
        <v>150</v>
      </c>
      <c r="B245" s="3" t="s">
        <v>151</v>
      </c>
      <c r="C245" s="6" t="s">
        <v>518</v>
      </c>
      <c r="D245" s="6" t="s">
        <v>303</v>
      </c>
      <c r="E245" s="6" t="s">
        <v>102</v>
      </c>
      <c r="F245" s="6">
        <v>30561.71</v>
      </c>
      <c r="G245" s="2">
        <v>65.459999999999994</v>
      </c>
      <c r="H245" s="2">
        <v>87.37</v>
      </c>
      <c r="I245" s="2">
        <v>91.02</v>
      </c>
      <c r="J245" s="47">
        <f t="shared" si="15"/>
        <v>0.33470821875954804</v>
      </c>
      <c r="K245" s="47">
        <f t="shared" si="16"/>
        <v>4.1776353439395571E-2</v>
      </c>
      <c r="L245" s="8">
        <v>15.25</v>
      </c>
      <c r="M245" s="8">
        <v>15.87</v>
      </c>
      <c r="N245" s="8">
        <v>15.24</v>
      </c>
      <c r="O245" s="17">
        <f t="shared" si="17"/>
        <v>0.47414431766316717</v>
      </c>
      <c r="P245" s="17">
        <f t="shared" si="18"/>
        <v>3.647996712328776</v>
      </c>
      <c r="Q245" s="5">
        <v>1.39</v>
      </c>
      <c r="R245" s="9">
        <v>-185.94</v>
      </c>
      <c r="S245" s="9">
        <v>5.29</v>
      </c>
      <c r="T245" s="9">
        <v>14089.64257</v>
      </c>
      <c r="U245" s="9">
        <v>12631.97</v>
      </c>
      <c r="V245" s="45">
        <f t="shared" si="19"/>
        <v>0.11539550600579329</v>
      </c>
      <c r="W245" s="12">
        <v>36.85</v>
      </c>
      <c r="X245" s="12">
        <v>0</v>
      </c>
      <c r="Y245" s="12">
        <v>20210928</v>
      </c>
    </row>
    <row r="246" spans="1:25" x14ac:dyDescent="0.45">
      <c r="A246" s="3" t="s">
        <v>426</v>
      </c>
      <c r="B246" s="3" t="s">
        <v>427</v>
      </c>
      <c r="C246" s="6" t="s">
        <v>519</v>
      </c>
      <c r="D246" s="6" t="s">
        <v>189</v>
      </c>
      <c r="E246" s="6" t="s">
        <v>202</v>
      </c>
      <c r="F246" s="6">
        <v>9400.34</v>
      </c>
      <c r="G246" s="2">
        <v>3.37</v>
      </c>
      <c r="H246" s="2">
        <v>5.13</v>
      </c>
      <c r="I246" s="2">
        <v>4.66</v>
      </c>
      <c r="J246" s="47">
        <f t="shared" si="15"/>
        <v>0.52225519287833821</v>
      </c>
      <c r="K246" s="47">
        <f t="shared" si="16"/>
        <v>-9.1617933723196834E-2</v>
      </c>
      <c r="L246" s="8">
        <v>41.13</v>
      </c>
      <c r="M246" s="8">
        <v>26.95</v>
      </c>
      <c r="N246" s="8">
        <v>29.69</v>
      </c>
      <c r="O246" s="17">
        <f t="shared" si="17"/>
        <v>0.51603125000000005</v>
      </c>
      <c r="P246" s="17">
        <f t="shared" si="18"/>
        <v>-3.2406319148936187</v>
      </c>
      <c r="Q246" s="5">
        <v>1.82</v>
      </c>
      <c r="R246" s="9">
        <v>55.65</v>
      </c>
      <c r="S246" s="9">
        <v>8.3000000000000007</v>
      </c>
      <c r="T246" s="9">
        <v>717.55902000000003</v>
      </c>
      <c r="U246" s="9">
        <v>590.17999999999995</v>
      </c>
      <c r="V246" s="45">
        <f t="shared" si="19"/>
        <v>0.21583079738384917</v>
      </c>
      <c r="W246" s="12">
        <v>-9.48</v>
      </c>
      <c r="X246" s="12">
        <v>0</v>
      </c>
      <c r="Y246" s="12">
        <v>20210811</v>
      </c>
    </row>
    <row r="247" spans="1:25" x14ac:dyDescent="0.45">
      <c r="A247" s="3" t="s">
        <v>152</v>
      </c>
      <c r="B247" s="3" t="s">
        <v>153</v>
      </c>
      <c r="C247" s="6" t="s">
        <v>518</v>
      </c>
      <c r="D247" s="6" t="s">
        <v>309</v>
      </c>
      <c r="E247" s="6" t="s">
        <v>307</v>
      </c>
      <c r="F247" s="6">
        <v>11904.36</v>
      </c>
      <c r="G247" s="2">
        <v>-7.51</v>
      </c>
      <c r="H247" s="2">
        <v>-4.8499999999999996</v>
      </c>
      <c r="I247" s="2">
        <v>-2.2999999999999998</v>
      </c>
      <c r="J247" s="47">
        <f t="shared" si="15"/>
        <v>0.35419440745672437</v>
      </c>
      <c r="K247" s="47">
        <f t="shared" si="16"/>
        <v>0.52577319587628868</v>
      </c>
      <c r="O247" s="17">
        <f t="shared" si="17"/>
        <v>0</v>
      </c>
      <c r="P247" s="17">
        <f t="shared" si="18"/>
        <v>0</v>
      </c>
      <c r="S247" s="9">
        <v>-19.760000000000002</v>
      </c>
      <c r="T247" s="9">
        <v>1639.5019500000001</v>
      </c>
      <c r="U247" s="9">
        <v>1124.69</v>
      </c>
      <c r="V247" s="45">
        <f t="shared" si="19"/>
        <v>0.45773675412780412</v>
      </c>
      <c r="W247" s="12">
        <v>-8.5399999999999991</v>
      </c>
      <c r="X247" s="12">
        <v>0</v>
      </c>
      <c r="Y247" s="12">
        <v>20210811</v>
      </c>
    </row>
    <row r="248" spans="1:25" x14ac:dyDescent="0.45">
      <c r="A248" s="3" t="s">
        <v>422</v>
      </c>
      <c r="B248" s="3" t="s">
        <v>155</v>
      </c>
      <c r="C248" s="6" t="s">
        <v>518</v>
      </c>
      <c r="D248" s="6" t="s">
        <v>10</v>
      </c>
      <c r="E248" s="6" t="s">
        <v>17</v>
      </c>
      <c r="F248" s="6">
        <v>145067.98000000001</v>
      </c>
      <c r="G248" s="2">
        <v>-9.7100000000000009</v>
      </c>
      <c r="H248" s="2">
        <v>-0.3</v>
      </c>
      <c r="I248" s="2">
        <v>4.91</v>
      </c>
      <c r="J248" s="47">
        <f t="shared" si="15"/>
        <v>0.96910401647785782</v>
      </c>
      <c r="K248" s="47">
        <f t="shared" si="16"/>
        <v>17.366666666666667</v>
      </c>
      <c r="N248" s="8">
        <v>50.48</v>
      </c>
      <c r="O248" s="17">
        <f t="shared" si="17"/>
        <v>0</v>
      </c>
      <c r="P248" s="17">
        <f t="shared" si="18"/>
        <v>2.9067178502879074E-2</v>
      </c>
      <c r="S248" s="9">
        <v>-9.84</v>
      </c>
      <c r="T248" s="9">
        <v>80752.890620000006</v>
      </c>
      <c r="U248" s="9">
        <v>58158</v>
      </c>
      <c r="V248" s="45">
        <f t="shared" si="19"/>
        <v>0.38850872829189459</v>
      </c>
      <c r="W248" s="12">
        <v>-30.77</v>
      </c>
      <c r="X248" s="12">
        <v>0</v>
      </c>
      <c r="Y248" s="12">
        <v>20210804</v>
      </c>
    </row>
    <row r="249" spans="1:25" x14ac:dyDescent="0.45">
      <c r="A249" s="3" t="s">
        <v>156</v>
      </c>
      <c r="B249" s="3" t="s">
        <v>157</v>
      </c>
      <c r="C249" s="6" t="s">
        <v>518</v>
      </c>
      <c r="D249" s="6" t="s">
        <v>303</v>
      </c>
      <c r="E249" s="6" t="s">
        <v>245</v>
      </c>
      <c r="F249" s="6">
        <v>577166.43999999994</v>
      </c>
      <c r="G249" s="2">
        <v>10.11</v>
      </c>
      <c r="H249" s="2">
        <v>11.24</v>
      </c>
      <c r="I249" s="2">
        <v>14.35</v>
      </c>
      <c r="J249" s="47">
        <f t="shared" si="15"/>
        <v>0.11177052423343233</v>
      </c>
      <c r="K249" s="47">
        <f t="shared" si="16"/>
        <v>0.2766903914590747</v>
      </c>
      <c r="L249" s="8">
        <v>21.97</v>
      </c>
      <c r="M249" s="8">
        <v>18.98</v>
      </c>
      <c r="N249" s="8">
        <v>14.86</v>
      </c>
      <c r="O249" s="17">
        <f t="shared" si="17"/>
        <v>1.6981221238938042</v>
      </c>
      <c r="P249" s="17">
        <f t="shared" si="18"/>
        <v>0.53706237942122192</v>
      </c>
      <c r="Q249" s="5">
        <v>1.1100000000000001</v>
      </c>
      <c r="R249" s="9">
        <v>12.95</v>
      </c>
      <c r="S249" s="9">
        <v>45.59</v>
      </c>
      <c r="T249" s="9">
        <v>144560.73436999999</v>
      </c>
      <c r="U249" s="9">
        <v>109480</v>
      </c>
      <c r="V249" s="45">
        <f t="shared" si="19"/>
        <v>0.32043052950310552</v>
      </c>
      <c r="W249" s="12">
        <v>-15.05</v>
      </c>
      <c r="X249" s="12">
        <v>0</v>
      </c>
      <c r="Y249" s="12">
        <v>20210819</v>
      </c>
    </row>
    <row r="250" spans="1:25" x14ac:dyDescent="0.45">
      <c r="A250" s="3" t="s">
        <v>158</v>
      </c>
      <c r="B250" s="3" t="s">
        <v>159</v>
      </c>
      <c r="C250" s="6" t="s">
        <v>518</v>
      </c>
      <c r="D250" s="6" t="s">
        <v>234</v>
      </c>
      <c r="E250" s="6" t="s">
        <v>154</v>
      </c>
      <c r="F250" s="6">
        <v>362653.5</v>
      </c>
      <c r="G250" s="2">
        <v>1.84</v>
      </c>
      <c r="H250" s="2">
        <v>3.11</v>
      </c>
      <c r="I250" s="2">
        <v>3.13</v>
      </c>
      <c r="J250" s="47">
        <f t="shared" si="15"/>
        <v>0.69021739130434767</v>
      </c>
      <c r="K250" s="47">
        <f t="shared" si="16"/>
        <v>6.4308681672025783E-3</v>
      </c>
      <c r="L250" s="8">
        <v>18.16</v>
      </c>
      <c r="M250" s="8">
        <v>13.61</v>
      </c>
      <c r="N250" s="8">
        <v>13.5</v>
      </c>
      <c r="O250" s="17">
        <f t="shared" si="17"/>
        <v>0.19718425196850398</v>
      </c>
      <c r="P250" s="17">
        <f t="shared" si="18"/>
        <v>20.992499999999982</v>
      </c>
      <c r="Q250" s="5">
        <v>1.94</v>
      </c>
      <c r="R250" s="9">
        <v>8.9</v>
      </c>
      <c r="S250" s="9">
        <v>2.4</v>
      </c>
      <c r="T250" s="9">
        <v>88185.523430000001</v>
      </c>
      <c r="U250" s="9">
        <v>93753</v>
      </c>
      <c r="V250" s="45">
        <f t="shared" si="19"/>
        <v>-5.9384516442140503E-2</v>
      </c>
      <c r="W250" s="12">
        <v>32.31</v>
      </c>
      <c r="X250" s="12">
        <v>1.7</v>
      </c>
      <c r="Y250" s="12">
        <v>20210715</v>
      </c>
    </row>
    <row r="251" spans="1:25" x14ac:dyDescent="0.45">
      <c r="A251" s="3" t="s">
        <v>4496</v>
      </c>
      <c r="B251" s="3" t="s">
        <v>4497</v>
      </c>
      <c r="C251" s="6" t="s">
        <v>520</v>
      </c>
      <c r="D251" s="6" t="s">
        <v>234</v>
      </c>
      <c r="E251" s="6" t="s">
        <v>105</v>
      </c>
      <c r="F251" s="6">
        <v>107628.18</v>
      </c>
      <c r="J251" s="47" t="e">
        <f t="shared" si="15"/>
        <v>#DIV/0!</v>
      </c>
      <c r="K251" s="47" t="e">
        <f t="shared" si="16"/>
        <v>#DIV/0!</v>
      </c>
      <c r="L251" s="8">
        <v>4.66</v>
      </c>
      <c r="O251" s="17" t="e">
        <f t="shared" si="17"/>
        <v>#DIV/0!</v>
      </c>
      <c r="P251" s="17" t="e">
        <f t="shared" si="18"/>
        <v>#DIV/0!</v>
      </c>
      <c r="R251" s="9">
        <v>8.4</v>
      </c>
      <c r="U251" s="9">
        <v>87668.02</v>
      </c>
      <c r="V251" s="45">
        <f t="shared" si="19"/>
        <v>-1</v>
      </c>
      <c r="X251" s="12">
        <v>6.83</v>
      </c>
      <c r="Y251" s="12">
        <v>20210616</v>
      </c>
    </row>
    <row r="252" spans="1:25" x14ac:dyDescent="0.45">
      <c r="A252" s="3" t="s">
        <v>488</v>
      </c>
      <c r="B252" s="3" t="s">
        <v>489</v>
      </c>
      <c r="C252" s="6" t="s">
        <v>520</v>
      </c>
      <c r="D252" s="6" t="s">
        <v>10</v>
      </c>
      <c r="E252" s="6" t="s">
        <v>29</v>
      </c>
      <c r="F252" s="6">
        <v>24813.35</v>
      </c>
      <c r="G252" s="2">
        <v>2.3199999999999998</v>
      </c>
      <c r="H252" s="2">
        <v>2.62</v>
      </c>
      <c r="I252" s="2">
        <v>2.77</v>
      </c>
      <c r="J252" s="47">
        <f t="shared" si="15"/>
        <v>0.12931034482758633</v>
      </c>
      <c r="K252" s="47">
        <f t="shared" si="16"/>
        <v>5.7251908396946528E-2</v>
      </c>
      <c r="M252" s="8">
        <v>11.74</v>
      </c>
      <c r="N252" s="8">
        <v>11.1</v>
      </c>
      <c r="O252" s="17">
        <f t="shared" si="17"/>
        <v>0.90789333333333244</v>
      </c>
      <c r="P252" s="17">
        <f t="shared" si="18"/>
        <v>1.9388000000000012</v>
      </c>
      <c r="Q252" s="5">
        <v>2.35</v>
      </c>
      <c r="T252" s="9">
        <v>29696.759760000001</v>
      </c>
      <c r="U252" s="9">
        <v>22018.25</v>
      </c>
      <c r="V252" s="45">
        <f t="shared" si="19"/>
        <v>0.34873388030383889</v>
      </c>
      <c r="X252" s="12">
        <v>5.13</v>
      </c>
    </row>
    <row r="253" spans="1:25" x14ac:dyDescent="0.45">
      <c r="A253" s="3" t="s">
        <v>160</v>
      </c>
      <c r="B253" s="3" t="s">
        <v>161</v>
      </c>
      <c r="C253" s="6" t="s">
        <v>518</v>
      </c>
      <c r="D253" s="6" t="s">
        <v>175</v>
      </c>
      <c r="E253" s="6" t="s">
        <v>230</v>
      </c>
      <c r="F253" s="6">
        <v>11833.27</v>
      </c>
      <c r="G253" s="2">
        <v>3.81</v>
      </c>
      <c r="H253" s="2">
        <v>4.16</v>
      </c>
      <c r="I253" s="2">
        <v>4.57</v>
      </c>
      <c r="J253" s="47">
        <f t="shared" si="15"/>
        <v>9.1863517060367481E-2</v>
      </c>
      <c r="K253" s="47">
        <f t="shared" si="16"/>
        <v>9.8557692307692332E-2</v>
      </c>
      <c r="L253" s="8">
        <v>22.47</v>
      </c>
      <c r="M253" s="8">
        <v>21.01</v>
      </c>
      <c r="N253" s="8">
        <v>19.12</v>
      </c>
      <c r="O253" s="17">
        <f t="shared" si="17"/>
        <v>2.2870885714285709</v>
      </c>
      <c r="P253" s="17">
        <f t="shared" si="18"/>
        <v>1.9399804878048776</v>
      </c>
      <c r="Q253" s="5">
        <v>1.99</v>
      </c>
      <c r="R253" s="9">
        <v>54.17</v>
      </c>
      <c r="S253" s="9">
        <v>8.52</v>
      </c>
      <c r="T253" s="9">
        <v>8486.1464799999994</v>
      </c>
      <c r="U253" s="9">
        <v>7858.94</v>
      </c>
      <c r="V253" s="45">
        <f t="shared" si="19"/>
        <v>7.9808025000827065E-2</v>
      </c>
      <c r="W253" s="12">
        <v>8.5399999999999991</v>
      </c>
      <c r="X253" s="12">
        <v>1.69</v>
      </c>
      <c r="Y253" s="12">
        <v>20210730</v>
      </c>
    </row>
    <row r="254" spans="1:25" x14ac:dyDescent="0.45">
      <c r="A254" s="3" t="s">
        <v>726</v>
      </c>
      <c r="B254" s="3" t="s">
        <v>727</v>
      </c>
      <c r="C254" s="6" t="s">
        <v>518</v>
      </c>
      <c r="D254" s="6" t="s">
        <v>289</v>
      </c>
      <c r="E254" s="6" t="s">
        <v>275</v>
      </c>
      <c r="F254" s="6">
        <v>9008.59</v>
      </c>
      <c r="G254" s="2">
        <v>-1.94</v>
      </c>
      <c r="H254" s="2">
        <v>4.28</v>
      </c>
      <c r="I254" s="2">
        <v>2.85</v>
      </c>
      <c r="J254" s="47">
        <f t="shared" si="15"/>
        <v>3.2061855670103099</v>
      </c>
      <c r="K254" s="47">
        <f t="shared" si="16"/>
        <v>-0.33411214953271029</v>
      </c>
      <c r="M254" s="8">
        <v>5.29</v>
      </c>
      <c r="N254" s="8">
        <v>7.93</v>
      </c>
      <c r="O254" s="17">
        <f t="shared" si="17"/>
        <v>1.6499356913183279E-2</v>
      </c>
      <c r="P254" s="17">
        <f t="shared" si="18"/>
        <v>-0.23734545454545453</v>
      </c>
      <c r="S254" s="9">
        <v>-4.5199999999999996</v>
      </c>
      <c r="T254" s="9">
        <v>18379.45507</v>
      </c>
      <c r="U254" s="9">
        <v>11365.46</v>
      </c>
      <c r="V254" s="45">
        <f t="shared" si="19"/>
        <v>0.61713252873178925</v>
      </c>
      <c r="W254" s="12">
        <v>26.37</v>
      </c>
      <c r="X254" s="12">
        <v>0</v>
      </c>
      <c r="Y254" s="12">
        <v>20210805</v>
      </c>
    </row>
    <row r="255" spans="1:25" x14ac:dyDescent="0.45">
      <c r="A255" s="3" t="s">
        <v>4498</v>
      </c>
      <c r="B255" s="3" t="s">
        <v>4499</v>
      </c>
      <c r="C255" s="6" t="s">
        <v>518</v>
      </c>
      <c r="D255" s="6" t="s">
        <v>234</v>
      </c>
      <c r="E255" s="6" t="s">
        <v>284</v>
      </c>
      <c r="F255" s="6">
        <v>78166.02</v>
      </c>
      <c r="G255" s="2">
        <v>1.87</v>
      </c>
      <c r="J255" s="47">
        <f t="shared" si="15"/>
        <v>-1</v>
      </c>
      <c r="K255" s="47" t="e">
        <f t="shared" si="16"/>
        <v>#DIV/0!</v>
      </c>
      <c r="L255" s="8">
        <v>10.96</v>
      </c>
      <c r="O255" s="17">
        <f t="shared" si="17"/>
        <v>0</v>
      </c>
      <c r="P255" s="17" t="e">
        <f t="shared" si="18"/>
        <v>#DIV/0!</v>
      </c>
      <c r="R255" s="9">
        <v>1.22</v>
      </c>
      <c r="S255" s="9">
        <v>29.05</v>
      </c>
      <c r="U255" s="9">
        <v>62752</v>
      </c>
      <c r="V255" s="45">
        <f t="shared" si="19"/>
        <v>-1</v>
      </c>
      <c r="W255" s="12">
        <v>309.08999999999997</v>
      </c>
      <c r="X255" s="12">
        <v>0.48</v>
      </c>
      <c r="Y255" s="12">
        <v>20210812</v>
      </c>
    </row>
    <row r="256" spans="1:25" x14ac:dyDescent="0.45">
      <c r="A256" s="3" t="s">
        <v>162</v>
      </c>
      <c r="B256" s="3" t="s">
        <v>163</v>
      </c>
      <c r="C256" s="6" t="s">
        <v>520</v>
      </c>
      <c r="D256" s="6" t="s">
        <v>46</v>
      </c>
      <c r="E256" s="6" t="s">
        <v>66</v>
      </c>
      <c r="F256" s="6">
        <v>69046.33</v>
      </c>
      <c r="G256" s="2">
        <v>7.64</v>
      </c>
      <c r="H256" s="2">
        <v>15.84</v>
      </c>
      <c r="I256" s="2">
        <v>16.41</v>
      </c>
      <c r="J256" s="47">
        <f t="shared" si="15"/>
        <v>1.0732984293193717</v>
      </c>
      <c r="K256" s="47">
        <f t="shared" si="16"/>
        <v>3.5984848484848501E-2</v>
      </c>
      <c r="L256" s="8">
        <v>10.49</v>
      </c>
      <c r="M256" s="8">
        <v>7.24</v>
      </c>
      <c r="N256" s="8">
        <v>6.99</v>
      </c>
      <c r="O256" s="17">
        <f t="shared" si="17"/>
        <v>6.7455609756097573E-2</v>
      </c>
      <c r="P256" s="17">
        <f t="shared" si="18"/>
        <v>1.9424842105263151</v>
      </c>
      <c r="R256" s="9">
        <v>10.24</v>
      </c>
      <c r="S256" s="9">
        <v>2.19</v>
      </c>
      <c r="T256" s="9">
        <v>134859.04686999999</v>
      </c>
      <c r="U256" s="9">
        <v>113066.7</v>
      </c>
      <c r="V256" s="45">
        <f t="shared" si="19"/>
        <v>0.19273886007109073</v>
      </c>
      <c r="X256" s="12">
        <v>0</v>
      </c>
      <c r="Y256" s="12">
        <v>20210804</v>
      </c>
    </row>
    <row r="257" spans="1:25" x14ac:dyDescent="0.45">
      <c r="A257" s="3" t="s">
        <v>164</v>
      </c>
      <c r="B257" s="3" t="s">
        <v>165</v>
      </c>
      <c r="C257" s="6" t="s">
        <v>518</v>
      </c>
      <c r="D257" s="6" t="s">
        <v>234</v>
      </c>
      <c r="E257" s="6" t="s">
        <v>105</v>
      </c>
      <c r="F257" s="6">
        <v>10001.11</v>
      </c>
      <c r="G257" s="2">
        <v>0.81</v>
      </c>
      <c r="H257" s="2">
        <v>10.76</v>
      </c>
      <c r="I257" s="2">
        <v>14.65</v>
      </c>
      <c r="J257" s="47">
        <f t="shared" si="15"/>
        <v>12.283950617283949</v>
      </c>
      <c r="K257" s="47">
        <f t="shared" si="16"/>
        <v>0.36152416356877332</v>
      </c>
      <c r="L257" s="8">
        <v>47.32</v>
      </c>
      <c r="M257" s="8">
        <v>11.65</v>
      </c>
      <c r="N257" s="8">
        <v>8.56</v>
      </c>
      <c r="O257" s="17">
        <f t="shared" si="17"/>
        <v>9.4839195979899513E-3</v>
      </c>
      <c r="P257" s="17">
        <f t="shared" si="18"/>
        <v>0.23677532133676088</v>
      </c>
      <c r="R257" s="9">
        <v>3.05</v>
      </c>
      <c r="S257" s="9">
        <v>1.89</v>
      </c>
      <c r="T257" s="9">
        <v>3660.19506</v>
      </c>
      <c r="U257" s="9">
        <v>4565.5600000000004</v>
      </c>
      <c r="V257" s="45">
        <f t="shared" si="19"/>
        <v>-0.19830315229676104</v>
      </c>
      <c r="W257" s="12">
        <v>-4.24</v>
      </c>
      <c r="X257" s="12">
        <v>6.9</v>
      </c>
      <c r="Y257" s="12">
        <v>20210805</v>
      </c>
    </row>
    <row r="258" spans="1:25" x14ac:dyDescent="0.45">
      <c r="A258" s="3" t="s">
        <v>507</v>
      </c>
      <c r="B258" s="3" t="s">
        <v>508</v>
      </c>
      <c r="C258" s="6" t="s">
        <v>520</v>
      </c>
      <c r="D258" s="6" t="s">
        <v>90</v>
      </c>
      <c r="E258" s="6" t="s">
        <v>196</v>
      </c>
      <c r="F258" s="6">
        <v>75315.25</v>
      </c>
      <c r="G258" s="2">
        <v>0.85</v>
      </c>
      <c r="H258" s="2">
        <v>1.34</v>
      </c>
      <c r="I258" s="2">
        <v>1.38</v>
      </c>
      <c r="J258" s="47">
        <f t="shared" si="15"/>
        <v>0.57647058823529429</v>
      </c>
      <c r="K258" s="47">
        <f t="shared" si="16"/>
        <v>2.9850746268656577E-2</v>
      </c>
      <c r="L258" s="8">
        <v>17.37</v>
      </c>
      <c r="M258" s="8">
        <v>15.34</v>
      </c>
      <c r="N258" s="8">
        <v>14.85</v>
      </c>
      <c r="O258" s="17">
        <f t="shared" si="17"/>
        <v>0.26610204081632644</v>
      </c>
      <c r="P258" s="17">
        <f t="shared" si="18"/>
        <v>4.9747500000000233</v>
      </c>
      <c r="Q258" s="5">
        <v>1.19</v>
      </c>
      <c r="R258" s="9">
        <v>10.23</v>
      </c>
      <c r="S258" s="9">
        <v>0.81</v>
      </c>
      <c r="T258" s="9">
        <v>74603.3125</v>
      </c>
      <c r="U258" s="9">
        <v>67560.160000000003</v>
      </c>
      <c r="V258" s="45">
        <f t="shared" si="19"/>
        <v>0.10425008614544425</v>
      </c>
      <c r="W258" s="12">
        <v>30.43</v>
      </c>
      <c r="X258" s="12">
        <v>3.46</v>
      </c>
      <c r="Y258" s="12">
        <v>20210804</v>
      </c>
    </row>
    <row r="259" spans="1:25" x14ac:dyDescent="0.45">
      <c r="A259" s="3" t="s">
        <v>166</v>
      </c>
      <c r="B259" s="3" t="s">
        <v>167</v>
      </c>
      <c r="C259" s="6" t="s">
        <v>518</v>
      </c>
      <c r="D259" s="6" t="s">
        <v>279</v>
      </c>
      <c r="E259" s="6" t="s">
        <v>264</v>
      </c>
      <c r="F259" s="6">
        <v>41409.86</v>
      </c>
      <c r="G259" s="2">
        <v>3.05</v>
      </c>
      <c r="H259" s="2">
        <v>3.52</v>
      </c>
      <c r="I259" s="2">
        <v>4.04</v>
      </c>
      <c r="J259" s="47">
        <f t="shared" ref="J259:J322" si="20">(H259-G259)/ABS(G259)</f>
        <v>0.15409836065573779</v>
      </c>
      <c r="K259" s="47">
        <f t="shared" ref="K259:K322" si="21">(I259-H259)/ABS(H259)</f>
        <v>0.14772727272727273</v>
      </c>
      <c r="L259" s="8">
        <v>27.18</v>
      </c>
      <c r="M259" s="8">
        <v>23.4</v>
      </c>
      <c r="N259" s="8">
        <v>20.38</v>
      </c>
      <c r="O259" s="17">
        <f t="shared" ref="O259:O322" si="22">M259/(J259*100)</f>
        <v>1.5185106382978715</v>
      </c>
      <c r="P259" s="17">
        <f t="shared" ref="P259:P322" si="23">N259/(K259*100)</f>
        <v>1.3795692307692307</v>
      </c>
      <c r="Q259" s="5">
        <v>2.5299999999999998</v>
      </c>
      <c r="R259" s="9">
        <v>18.34</v>
      </c>
      <c r="S259" s="9">
        <v>3.48</v>
      </c>
      <c r="T259" s="9">
        <v>12669.992179999999</v>
      </c>
      <c r="U259" s="9">
        <v>11673</v>
      </c>
      <c r="V259" s="45">
        <f t="shared" ref="V259:V322" si="24">(T259-U259)/U259</f>
        <v>8.5410107084725378E-2</v>
      </c>
      <c r="W259" s="12">
        <v>18.75</v>
      </c>
      <c r="X259" s="12">
        <v>1.36</v>
      </c>
      <c r="Y259" s="12">
        <v>20210729</v>
      </c>
    </row>
    <row r="260" spans="1:25" x14ac:dyDescent="0.45">
      <c r="A260" s="3" t="s">
        <v>787</v>
      </c>
      <c r="B260" s="3" t="s">
        <v>788</v>
      </c>
      <c r="C260" s="6" t="s">
        <v>518</v>
      </c>
      <c r="D260" s="6" t="s">
        <v>189</v>
      </c>
      <c r="E260" s="6" t="s">
        <v>204</v>
      </c>
      <c r="F260" s="6">
        <v>8583.8799999999992</v>
      </c>
      <c r="G260" s="2">
        <v>0.18</v>
      </c>
      <c r="H260" s="2">
        <v>-0.09</v>
      </c>
      <c r="I260" s="2">
        <v>-7.0000000000000007E-2</v>
      </c>
      <c r="J260" s="47">
        <f t="shared" si="20"/>
        <v>-1.5000000000000002</v>
      </c>
      <c r="K260" s="47">
        <f t="shared" si="21"/>
        <v>0.22222222222222213</v>
      </c>
      <c r="L260" s="8">
        <v>84.22</v>
      </c>
      <c r="O260" s="17">
        <f t="shared" si="22"/>
        <v>0</v>
      </c>
      <c r="P260" s="17">
        <f t="shared" si="23"/>
        <v>0</v>
      </c>
      <c r="R260" s="9">
        <v>2.75</v>
      </c>
      <c r="S260" s="9">
        <v>-10.15</v>
      </c>
      <c r="T260" s="9">
        <v>807</v>
      </c>
      <c r="U260" s="9">
        <v>893</v>
      </c>
      <c r="V260" s="45">
        <f t="shared" si="24"/>
        <v>-9.6304591265397532E-2</v>
      </c>
      <c r="W260" s="12">
        <v>0</v>
      </c>
      <c r="X260" s="12">
        <v>0</v>
      </c>
      <c r="Y260" s="12">
        <v>20210623</v>
      </c>
    </row>
    <row r="261" spans="1:25" x14ac:dyDescent="0.45">
      <c r="A261" s="3" t="s">
        <v>4500</v>
      </c>
      <c r="B261" s="3" t="s">
        <v>4501</v>
      </c>
      <c r="C261" s="6" t="s">
        <v>520</v>
      </c>
      <c r="D261" s="6" t="s">
        <v>309</v>
      </c>
      <c r="E261" s="6" t="s">
        <v>307</v>
      </c>
      <c r="F261" s="6">
        <v>4563.01</v>
      </c>
      <c r="J261" s="47" t="e">
        <f t="shared" si="20"/>
        <v>#DIV/0!</v>
      </c>
      <c r="K261" s="47" t="e">
        <f t="shared" si="21"/>
        <v>#DIV/0!</v>
      </c>
      <c r="O261" s="17" t="e">
        <f t="shared" si="22"/>
        <v>#DIV/0!</v>
      </c>
      <c r="P261" s="17" t="e">
        <f t="shared" si="23"/>
        <v>#DIV/0!</v>
      </c>
      <c r="U261" s="9">
        <v>1413.9</v>
      </c>
      <c r="V261" s="45">
        <f t="shared" si="24"/>
        <v>-1</v>
      </c>
      <c r="X261" s="12">
        <v>0</v>
      </c>
      <c r="Y261" s="12">
        <v>20210614</v>
      </c>
    </row>
    <row r="262" spans="1:25" x14ac:dyDescent="0.45">
      <c r="A262" s="3" t="s">
        <v>848</v>
      </c>
      <c r="B262" s="3" t="s">
        <v>849</v>
      </c>
      <c r="C262" s="6" t="s">
        <v>519</v>
      </c>
      <c r="D262" s="6" t="s">
        <v>303</v>
      </c>
      <c r="E262" s="6" t="s">
        <v>292</v>
      </c>
      <c r="F262" s="6">
        <v>3656.43</v>
      </c>
      <c r="G262" s="2">
        <v>-1.1200000000000001</v>
      </c>
      <c r="H262" s="2">
        <v>1.5</v>
      </c>
      <c r="I262" s="2">
        <v>2.2999999999999998</v>
      </c>
      <c r="J262" s="47">
        <f t="shared" si="20"/>
        <v>2.339285714285714</v>
      </c>
      <c r="K262" s="47">
        <f t="shared" si="21"/>
        <v>0.53333333333333321</v>
      </c>
      <c r="M262" s="8">
        <v>22.84</v>
      </c>
      <c r="N262" s="8">
        <v>14.89</v>
      </c>
      <c r="O262" s="17">
        <f t="shared" si="22"/>
        <v>9.7636641221374068E-2</v>
      </c>
      <c r="P262" s="17">
        <f t="shared" si="23"/>
        <v>0.27918750000000009</v>
      </c>
      <c r="R262" s="9">
        <v>-8.44</v>
      </c>
      <c r="S262" s="9">
        <v>-4.95</v>
      </c>
      <c r="T262" s="9">
        <v>8136.7167900000004</v>
      </c>
      <c r="U262" s="9">
        <v>9233.0300000000007</v>
      </c>
      <c r="V262" s="45">
        <f t="shared" si="24"/>
        <v>-0.11873818345656845</v>
      </c>
      <c r="W262" s="12">
        <v>48.15</v>
      </c>
      <c r="X262" s="12">
        <v>0</v>
      </c>
      <c r="Y262" s="12">
        <v>20210714</v>
      </c>
    </row>
    <row r="263" spans="1:25" x14ac:dyDescent="0.45">
      <c r="A263" s="3" t="s">
        <v>455</v>
      </c>
      <c r="B263" s="3" t="s">
        <v>456</v>
      </c>
      <c r="C263" s="6" t="s">
        <v>518</v>
      </c>
      <c r="D263" s="6" t="s">
        <v>234</v>
      </c>
      <c r="E263" s="6" t="s">
        <v>105</v>
      </c>
      <c r="F263" s="6">
        <v>53260.56</v>
      </c>
      <c r="G263" s="2">
        <v>0.33</v>
      </c>
      <c r="H263" s="2">
        <v>0.49</v>
      </c>
      <c r="I263" s="2">
        <v>0.55000000000000004</v>
      </c>
      <c r="J263" s="47">
        <f t="shared" si="20"/>
        <v>0.48484848484848475</v>
      </c>
      <c r="K263" s="47">
        <f t="shared" si="21"/>
        <v>0.12244897959183684</v>
      </c>
      <c r="L263" s="8">
        <v>12.18</v>
      </c>
      <c r="M263" s="8">
        <v>11.26</v>
      </c>
      <c r="N263" s="8">
        <v>9.9</v>
      </c>
      <c r="O263" s="17">
        <f t="shared" si="22"/>
        <v>0.23223750000000004</v>
      </c>
      <c r="P263" s="17">
        <f t="shared" si="23"/>
        <v>0.80849999999999933</v>
      </c>
      <c r="R263" s="9">
        <v>15.57</v>
      </c>
      <c r="S263" s="9">
        <v>-16.059999999999999</v>
      </c>
      <c r="T263" s="9">
        <v>19898.960930000001</v>
      </c>
      <c r="U263" s="9">
        <v>19377.759999999998</v>
      </c>
      <c r="V263" s="45">
        <f t="shared" si="24"/>
        <v>2.6896861659964966E-2</v>
      </c>
      <c r="W263" s="12">
        <v>9.09</v>
      </c>
      <c r="X263" s="12">
        <v>0.68</v>
      </c>
      <c r="Y263" s="12">
        <v>20210729</v>
      </c>
    </row>
    <row r="264" spans="1:25" x14ac:dyDescent="0.45">
      <c r="A264" s="3" t="s">
        <v>455</v>
      </c>
      <c r="B264" s="3" t="s">
        <v>4502</v>
      </c>
      <c r="C264" s="6" t="s">
        <v>518</v>
      </c>
      <c r="D264" s="6" t="s">
        <v>234</v>
      </c>
      <c r="E264" s="6" t="s">
        <v>105</v>
      </c>
      <c r="F264" s="6">
        <v>45485.29</v>
      </c>
      <c r="J264" s="47" t="e">
        <f t="shared" si="20"/>
        <v>#DIV/0!</v>
      </c>
      <c r="K264" s="47" t="e">
        <f t="shared" si="21"/>
        <v>#DIV/0!</v>
      </c>
      <c r="L264" s="8">
        <v>10.4</v>
      </c>
      <c r="O264" s="17" t="e">
        <f t="shared" si="22"/>
        <v>#DIV/0!</v>
      </c>
      <c r="P264" s="17" t="e">
        <f t="shared" si="23"/>
        <v>#DIV/0!</v>
      </c>
      <c r="R264" s="9">
        <v>15.57</v>
      </c>
      <c r="S264" s="9">
        <v>-16.059999999999999</v>
      </c>
      <c r="U264" s="9">
        <v>19377.759999999998</v>
      </c>
      <c r="V264" s="45">
        <f t="shared" si="24"/>
        <v>-1</v>
      </c>
      <c r="X264" s="12">
        <v>0.72</v>
      </c>
      <c r="Y264" s="12">
        <v>20210729</v>
      </c>
    </row>
    <row r="265" spans="1:25" x14ac:dyDescent="0.45">
      <c r="A265" s="3" t="s">
        <v>579</v>
      </c>
      <c r="B265" s="3" t="s">
        <v>580</v>
      </c>
      <c r="C265" s="6" t="s">
        <v>519</v>
      </c>
      <c r="D265" s="6" t="s">
        <v>279</v>
      </c>
      <c r="E265" s="6" t="s">
        <v>259</v>
      </c>
      <c r="F265" s="6">
        <v>9158.58</v>
      </c>
      <c r="G265" s="2">
        <v>-3.66</v>
      </c>
      <c r="H265" s="2">
        <v>-3.96</v>
      </c>
      <c r="I265" s="2">
        <v>-4.38</v>
      </c>
      <c r="J265" s="47">
        <f t="shared" si="20"/>
        <v>-8.1967213114754051E-2</v>
      </c>
      <c r="K265" s="47">
        <f t="shared" si="21"/>
        <v>-0.10606060606060605</v>
      </c>
      <c r="O265" s="17">
        <f t="shared" si="22"/>
        <v>0</v>
      </c>
      <c r="P265" s="17">
        <f t="shared" si="23"/>
        <v>0</v>
      </c>
      <c r="R265" s="9">
        <v>-805.16</v>
      </c>
      <c r="T265" s="9">
        <v>114.44499</v>
      </c>
      <c r="U265" s="9">
        <v>8.25</v>
      </c>
      <c r="V265" s="45">
        <f t="shared" si="24"/>
        <v>12.872120000000001</v>
      </c>
      <c r="W265" s="12">
        <v>-35.630000000000003</v>
      </c>
      <c r="X265" s="12">
        <v>0</v>
      </c>
      <c r="Y265" s="12">
        <v>20210810</v>
      </c>
    </row>
    <row r="266" spans="1:25" x14ac:dyDescent="0.45">
      <c r="A266" s="3" t="s">
        <v>850</v>
      </c>
      <c r="B266" s="3" t="s">
        <v>851</v>
      </c>
      <c r="C266" s="6" t="s">
        <v>518</v>
      </c>
      <c r="D266" s="6" t="s">
        <v>175</v>
      </c>
      <c r="E266" s="6" t="s">
        <v>194</v>
      </c>
      <c r="F266" s="6">
        <v>3422.88</v>
      </c>
      <c r="G266" s="2">
        <v>5.49</v>
      </c>
      <c r="H266" s="2">
        <v>8.9600000000000009</v>
      </c>
      <c r="I266" s="2">
        <v>7.95</v>
      </c>
      <c r="J266" s="47">
        <f t="shared" si="20"/>
        <v>0.63205828779599282</v>
      </c>
      <c r="K266" s="47">
        <f t="shared" si="21"/>
        <v>-0.11272321428571436</v>
      </c>
      <c r="L266" s="8">
        <v>5.32</v>
      </c>
      <c r="M266" s="8">
        <v>4.8600000000000003</v>
      </c>
      <c r="N266" s="8">
        <v>5.48</v>
      </c>
      <c r="O266" s="17">
        <f t="shared" si="22"/>
        <v>7.6891642651296818E-2</v>
      </c>
      <c r="P266" s="17">
        <f t="shared" si="23"/>
        <v>-0.48614653465346508</v>
      </c>
      <c r="R266" s="9">
        <v>18.27</v>
      </c>
      <c r="S266" s="9">
        <v>42.31</v>
      </c>
      <c r="U266" s="9">
        <v>37635</v>
      </c>
      <c r="V266" s="45">
        <f t="shared" si="24"/>
        <v>-1</v>
      </c>
      <c r="W266" s="12">
        <v>118.45</v>
      </c>
      <c r="X266" s="12">
        <v>0.28999999999999998</v>
      </c>
      <c r="Y266" s="12">
        <v>20210805</v>
      </c>
    </row>
    <row r="267" spans="1:25" x14ac:dyDescent="0.45">
      <c r="A267" s="3" t="s">
        <v>611</v>
      </c>
      <c r="B267" s="3" t="s">
        <v>612</v>
      </c>
      <c r="C267" s="6" t="s">
        <v>518</v>
      </c>
      <c r="D267" s="6" t="s">
        <v>234</v>
      </c>
      <c r="E267" s="6" t="s">
        <v>105</v>
      </c>
      <c r="F267" s="6">
        <v>42474.44</v>
      </c>
      <c r="G267" s="2">
        <v>0.22</v>
      </c>
      <c r="H267" s="2">
        <v>0.54</v>
      </c>
      <c r="I267" s="2">
        <v>0.66</v>
      </c>
      <c r="J267" s="47">
        <f t="shared" si="20"/>
        <v>1.4545454545454548</v>
      </c>
      <c r="K267" s="47">
        <f t="shared" si="21"/>
        <v>0.22222222222222221</v>
      </c>
      <c r="L267" s="8">
        <v>10.27</v>
      </c>
      <c r="M267" s="8">
        <v>11.87</v>
      </c>
      <c r="N267" s="8">
        <v>9.65</v>
      </c>
      <c r="O267" s="17">
        <f t="shared" si="22"/>
        <v>8.1606249999999991E-2</v>
      </c>
      <c r="P267" s="17">
        <f t="shared" si="23"/>
        <v>0.43425000000000002</v>
      </c>
      <c r="R267" s="9">
        <v>7.82</v>
      </c>
      <c r="S267" s="9">
        <v>-1.67</v>
      </c>
      <c r="T267" s="9">
        <v>23811.404289999999</v>
      </c>
      <c r="U267" s="9">
        <v>26240.97</v>
      </c>
      <c r="V267" s="45">
        <f t="shared" si="24"/>
        <v>-9.258673402698156E-2</v>
      </c>
      <c r="X267" s="12">
        <v>0</v>
      </c>
      <c r="Y267" s="12">
        <v>20210729</v>
      </c>
    </row>
    <row r="268" spans="1:25" x14ac:dyDescent="0.45">
      <c r="A268" s="3" t="s">
        <v>170</v>
      </c>
      <c r="B268" s="3" t="s">
        <v>171</v>
      </c>
      <c r="C268" s="6" t="s">
        <v>518</v>
      </c>
      <c r="D268" s="6" t="s">
        <v>303</v>
      </c>
      <c r="E268" s="6" t="s">
        <v>291</v>
      </c>
      <c r="F268" s="6">
        <v>28801.89</v>
      </c>
      <c r="G268" s="2">
        <v>7.9</v>
      </c>
      <c r="H268" s="2">
        <v>8.52</v>
      </c>
      <c r="I268" s="2">
        <v>8.8800000000000008</v>
      </c>
      <c r="J268" s="47">
        <f t="shared" si="20"/>
        <v>7.8481012658227739E-2</v>
      </c>
      <c r="K268" s="47">
        <f t="shared" si="21"/>
        <v>4.2253521126760708E-2</v>
      </c>
      <c r="L268" s="8">
        <v>12.13</v>
      </c>
      <c r="M268" s="8">
        <v>13.49</v>
      </c>
      <c r="N268" s="8">
        <v>12.94</v>
      </c>
      <c r="O268" s="17">
        <f t="shared" si="22"/>
        <v>1.7188870967741958</v>
      </c>
      <c r="P268" s="17">
        <f t="shared" si="23"/>
        <v>3.0624666666666558</v>
      </c>
      <c r="Q268" s="5">
        <v>1.63</v>
      </c>
      <c r="R268" s="9">
        <v>59.67</v>
      </c>
      <c r="S268" s="9">
        <v>3.93</v>
      </c>
      <c r="T268" s="9">
        <v>49557.519529999998</v>
      </c>
      <c r="U268" s="9">
        <v>47262</v>
      </c>
      <c r="V268" s="45">
        <f t="shared" si="24"/>
        <v>4.857008865473314E-2</v>
      </c>
      <c r="W268" s="12">
        <v>53.79</v>
      </c>
      <c r="X268" s="12">
        <v>2.4300000000000002</v>
      </c>
      <c r="Y268" s="12">
        <v>20210824</v>
      </c>
    </row>
    <row r="269" spans="1:25" x14ac:dyDescent="0.45">
      <c r="A269" s="3" t="s">
        <v>638</v>
      </c>
      <c r="B269" s="3" t="s">
        <v>639</v>
      </c>
      <c r="C269" s="6" t="s">
        <v>518</v>
      </c>
      <c r="D269" s="6" t="s">
        <v>216</v>
      </c>
      <c r="E269" s="6" t="s">
        <v>251</v>
      </c>
      <c r="F269" s="6">
        <v>7441.57</v>
      </c>
      <c r="G269" s="2">
        <v>4.7699999999999996</v>
      </c>
      <c r="H269" s="2">
        <v>7.6</v>
      </c>
      <c r="I269" s="2">
        <v>8.49</v>
      </c>
      <c r="J269" s="47">
        <f t="shared" si="20"/>
        <v>0.59329140461215935</v>
      </c>
      <c r="K269" s="47">
        <f t="shared" si="21"/>
        <v>0.11710526315789482</v>
      </c>
      <c r="L269" s="8">
        <v>15.04</v>
      </c>
      <c r="M269" s="8">
        <v>12.58</v>
      </c>
      <c r="N269" s="8">
        <v>11.26</v>
      </c>
      <c r="O269" s="17">
        <f t="shared" si="22"/>
        <v>0.21203745583038869</v>
      </c>
      <c r="P269" s="17">
        <f t="shared" si="23"/>
        <v>0.9615280898876396</v>
      </c>
      <c r="R269" s="9">
        <v>33.75</v>
      </c>
      <c r="S269" s="9">
        <v>-1.0900000000000001</v>
      </c>
      <c r="T269" s="9">
        <v>5483.2451099999998</v>
      </c>
      <c r="U269" s="9">
        <v>4347.5</v>
      </c>
      <c r="V269" s="45">
        <f t="shared" si="24"/>
        <v>0.26124096837262789</v>
      </c>
      <c r="W269" s="12">
        <v>54.48</v>
      </c>
      <c r="X269" s="12">
        <v>1.4</v>
      </c>
      <c r="Y269" s="12">
        <v>20210729</v>
      </c>
    </row>
    <row r="270" spans="1:25" x14ac:dyDescent="0.45">
      <c r="A270" s="3" t="s">
        <v>490</v>
      </c>
      <c r="B270" s="3" t="s">
        <v>491</v>
      </c>
      <c r="C270" s="6" t="s">
        <v>520</v>
      </c>
      <c r="D270" s="6" t="s">
        <v>46</v>
      </c>
      <c r="E270" s="6" t="s">
        <v>80</v>
      </c>
      <c r="F270" s="6">
        <v>4139.6400000000003</v>
      </c>
      <c r="G270" s="2">
        <v>2.72</v>
      </c>
      <c r="H270" s="2">
        <v>2.4700000000000002</v>
      </c>
      <c r="I270" s="2">
        <v>2.33</v>
      </c>
      <c r="J270" s="47">
        <f t="shared" si="20"/>
        <v>-9.1911764705882346E-2</v>
      </c>
      <c r="K270" s="47">
        <f t="shared" si="21"/>
        <v>-5.6680161943319887E-2</v>
      </c>
      <c r="M270" s="8">
        <v>3.32</v>
      </c>
      <c r="N270" s="8">
        <v>3.53</v>
      </c>
      <c r="O270" s="17">
        <f t="shared" si="22"/>
        <v>-0.36121600000000004</v>
      </c>
      <c r="P270" s="17">
        <f t="shared" si="23"/>
        <v>-0.62279285714285659</v>
      </c>
      <c r="T270" s="9">
        <v>618.10497999999995</v>
      </c>
      <c r="U270" s="9">
        <v>548.32000000000005</v>
      </c>
      <c r="V270" s="45">
        <f t="shared" si="24"/>
        <v>0.12727053545374944</v>
      </c>
      <c r="X270" s="12">
        <v>5.84</v>
      </c>
    </row>
    <row r="271" spans="1:25" x14ac:dyDescent="0.45">
      <c r="A271" s="3" t="s">
        <v>451</v>
      </c>
      <c r="B271" s="3" t="s">
        <v>452</v>
      </c>
      <c r="C271" s="6" t="s">
        <v>518</v>
      </c>
      <c r="D271" s="6" t="s">
        <v>327</v>
      </c>
      <c r="E271" s="6" t="s">
        <v>209</v>
      </c>
      <c r="F271" s="6">
        <v>45756.3</v>
      </c>
      <c r="G271" s="2">
        <v>2.31</v>
      </c>
      <c r="H271" s="2">
        <v>2.59</v>
      </c>
      <c r="I271" s="2">
        <v>2.81</v>
      </c>
      <c r="J271" s="47">
        <f t="shared" si="20"/>
        <v>0.12121212121212112</v>
      </c>
      <c r="K271" s="47">
        <f t="shared" si="21"/>
        <v>8.4942084942085022E-2</v>
      </c>
      <c r="L271" s="8">
        <v>22.09</v>
      </c>
      <c r="M271" s="8">
        <v>19.559999999999999</v>
      </c>
      <c r="N271" s="8">
        <v>18.010000000000002</v>
      </c>
      <c r="O271" s="17">
        <f t="shared" si="22"/>
        <v>1.613700000000001</v>
      </c>
      <c r="P271" s="17">
        <f t="shared" si="23"/>
        <v>2.1202681818181799</v>
      </c>
      <c r="Q271" s="5">
        <v>4.18</v>
      </c>
      <c r="R271" s="9">
        <v>16.21</v>
      </c>
      <c r="S271" s="9">
        <v>1.63</v>
      </c>
      <c r="T271" s="9">
        <v>19218.39257</v>
      </c>
      <c r="U271" s="9">
        <v>17082.62</v>
      </c>
      <c r="V271" s="45">
        <f t="shared" si="24"/>
        <v>0.12502605396596078</v>
      </c>
      <c r="W271" s="12">
        <v>6.9</v>
      </c>
      <c r="X271" s="12">
        <v>5.43</v>
      </c>
      <c r="Y271" s="12">
        <v>20210805</v>
      </c>
    </row>
    <row r="272" spans="1:25" x14ac:dyDescent="0.45">
      <c r="A272" s="3" t="s">
        <v>3756</v>
      </c>
      <c r="B272" s="3" t="s">
        <v>3757</v>
      </c>
      <c r="C272" s="6" t="s">
        <v>518</v>
      </c>
      <c r="D272" s="6" t="s">
        <v>234</v>
      </c>
      <c r="E272" s="6" t="s">
        <v>105</v>
      </c>
      <c r="F272" s="6">
        <v>10187.57</v>
      </c>
      <c r="G272" s="2">
        <v>1.18</v>
      </c>
      <c r="H272" s="2">
        <v>1.64</v>
      </c>
      <c r="I272" s="2">
        <v>1.92</v>
      </c>
      <c r="J272" s="47">
        <f t="shared" si="20"/>
        <v>0.38983050847457629</v>
      </c>
      <c r="K272" s="47">
        <f t="shared" si="21"/>
        <v>0.17073170731707318</v>
      </c>
      <c r="L272" s="8">
        <v>15.64</v>
      </c>
      <c r="M272" s="8">
        <v>12.32</v>
      </c>
      <c r="N272" s="8">
        <v>10.52</v>
      </c>
      <c r="O272" s="17">
        <f t="shared" si="22"/>
        <v>0.31603478260869566</v>
      </c>
      <c r="P272" s="17">
        <f t="shared" si="23"/>
        <v>0.61617142857142848</v>
      </c>
      <c r="Q272" s="5">
        <v>2.2000000000000002</v>
      </c>
      <c r="R272" s="9">
        <v>13.06</v>
      </c>
      <c r="S272" s="9">
        <v>-0.98</v>
      </c>
      <c r="T272" s="9">
        <v>2893.8149400000002</v>
      </c>
      <c r="U272" s="9">
        <v>3420.6</v>
      </c>
      <c r="V272" s="45">
        <f t="shared" si="24"/>
        <v>-0.1540037011050692</v>
      </c>
      <c r="W272" s="12">
        <v>10</v>
      </c>
      <c r="X272" s="12">
        <v>1.85</v>
      </c>
      <c r="Y272" s="12">
        <v>20210729</v>
      </c>
    </row>
    <row r="273" spans="1:25" x14ac:dyDescent="0.45">
      <c r="A273" s="3" t="s">
        <v>4035</v>
      </c>
      <c r="B273" s="3" t="s">
        <v>4036</v>
      </c>
      <c r="C273" s="6" t="s">
        <v>520</v>
      </c>
      <c r="D273" s="6" t="s">
        <v>234</v>
      </c>
      <c r="E273" s="6" t="s">
        <v>105</v>
      </c>
      <c r="F273" s="6">
        <v>49845.16</v>
      </c>
      <c r="H273" s="2">
        <v>4.42</v>
      </c>
      <c r="I273" s="2">
        <v>4.7699999999999996</v>
      </c>
      <c r="J273" s="47" t="e">
        <f t="shared" si="20"/>
        <v>#DIV/0!</v>
      </c>
      <c r="K273" s="47">
        <f t="shared" si="21"/>
        <v>7.9185520361990877E-2</v>
      </c>
      <c r="L273" s="8">
        <v>4.34</v>
      </c>
      <c r="M273" s="8">
        <v>3.8</v>
      </c>
      <c r="N273" s="8">
        <v>3.52</v>
      </c>
      <c r="O273" s="17" t="e">
        <f t="shared" si="22"/>
        <v>#DIV/0!</v>
      </c>
      <c r="P273" s="17">
        <f t="shared" si="23"/>
        <v>0.44452571428571475</v>
      </c>
      <c r="R273" s="9">
        <v>9.2899999999999991</v>
      </c>
      <c r="S273" s="9">
        <v>3.95</v>
      </c>
      <c r="T273" s="9">
        <v>38507.691400000003</v>
      </c>
      <c r="U273" s="9">
        <v>60636.89</v>
      </c>
      <c r="V273" s="45">
        <f t="shared" si="24"/>
        <v>-0.3649461342756859</v>
      </c>
      <c r="X273" s="12">
        <v>5.7</v>
      </c>
      <c r="Y273" s="12">
        <v>20210827</v>
      </c>
    </row>
    <row r="274" spans="1:25" x14ac:dyDescent="0.45">
      <c r="A274" s="3" t="s">
        <v>789</v>
      </c>
      <c r="B274" s="3" t="s">
        <v>790</v>
      </c>
      <c r="C274" s="6" t="s">
        <v>518</v>
      </c>
      <c r="D274" s="6" t="s">
        <v>175</v>
      </c>
      <c r="E274" s="6" t="s">
        <v>281</v>
      </c>
      <c r="F274" s="6">
        <v>3755.45</v>
      </c>
      <c r="G274" s="2">
        <v>3.03</v>
      </c>
      <c r="H274" s="2">
        <v>4.9400000000000004</v>
      </c>
      <c r="I274" s="2">
        <v>5.46</v>
      </c>
      <c r="J274" s="47">
        <f t="shared" si="20"/>
        <v>0.63036303630363055</v>
      </c>
      <c r="K274" s="47">
        <f t="shared" si="21"/>
        <v>0.10526315789473675</v>
      </c>
      <c r="L274" s="8">
        <v>18.920000000000002</v>
      </c>
      <c r="M274" s="8">
        <v>15.28</v>
      </c>
      <c r="N274" s="8">
        <v>13.82</v>
      </c>
      <c r="O274" s="17">
        <f t="shared" si="22"/>
        <v>0.24239999999999989</v>
      </c>
      <c r="P274" s="17">
        <f t="shared" si="23"/>
        <v>1.3129000000000011</v>
      </c>
      <c r="R274" s="9">
        <v>102.22</v>
      </c>
      <c r="S274" s="9">
        <v>5.0199999999999996</v>
      </c>
      <c r="T274" s="9">
        <v>4351.8999000000003</v>
      </c>
      <c r="U274" s="9">
        <v>3691</v>
      </c>
      <c r="V274" s="45">
        <f t="shared" si="24"/>
        <v>0.17905713898672457</v>
      </c>
      <c r="W274" s="12">
        <v>15.49</v>
      </c>
      <c r="X274" s="12">
        <v>1.06</v>
      </c>
      <c r="Y274" s="12">
        <v>20210804</v>
      </c>
    </row>
    <row r="275" spans="1:25" x14ac:dyDescent="0.45">
      <c r="A275" s="3" t="s">
        <v>886</v>
      </c>
      <c r="B275" s="3" t="s">
        <v>887</v>
      </c>
      <c r="C275" s="6" t="s">
        <v>519</v>
      </c>
      <c r="D275" s="6" t="s">
        <v>90</v>
      </c>
      <c r="E275" s="6" t="s">
        <v>198</v>
      </c>
      <c r="F275" s="6">
        <v>4325.95</v>
      </c>
      <c r="G275" s="2">
        <v>2.59</v>
      </c>
      <c r="H275" s="2">
        <v>3.39</v>
      </c>
      <c r="I275" s="2">
        <v>3.73</v>
      </c>
      <c r="J275" s="47">
        <f t="shared" si="20"/>
        <v>0.30888030888030898</v>
      </c>
      <c r="K275" s="47">
        <f t="shared" si="21"/>
        <v>0.10029498525073742</v>
      </c>
      <c r="L275" s="8">
        <v>39.46</v>
      </c>
      <c r="M275" s="8">
        <v>39.340000000000003</v>
      </c>
      <c r="N275" s="8">
        <v>35.76</v>
      </c>
      <c r="O275" s="17">
        <f t="shared" si="22"/>
        <v>1.2736324999999997</v>
      </c>
      <c r="P275" s="17">
        <f t="shared" si="23"/>
        <v>3.5654823529411779</v>
      </c>
      <c r="R275" s="9">
        <v>13.35</v>
      </c>
      <c r="S275" s="9">
        <v>5.77</v>
      </c>
      <c r="T275" s="9">
        <v>776.70001000000002</v>
      </c>
      <c r="U275" s="9">
        <v>703.64</v>
      </c>
      <c r="V275" s="45">
        <f t="shared" si="24"/>
        <v>0.1038315189585584</v>
      </c>
      <c r="W275" s="12">
        <v>23.88</v>
      </c>
      <c r="X275" s="12">
        <v>0.43</v>
      </c>
      <c r="Y275" s="12">
        <v>20210730</v>
      </c>
    </row>
    <row r="276" spans="1:25" x14ac:dyDescent="0.45">
      <c r="A276" s="3" t="s">
        <v>4037</v>
      </c>
      <c r="B276" s="3" t="s">
        <v>4038</v>
      </c>
      <c r="C276" s="6" t="s">
        <v>519</v>
      </c>
      <c r="D276" s="6" t="s">
        <v>279</v>
      </c>
      <c r="E276" s="6" t="s">
        <v>258</v>
      </c>
      <c r="F276" s="6">
        <v>3019.06</v>
      </c>
      <c r="G276" s="2">
        <v>-0.99</v>
      </c>
      <c r="H276" s="2">
        <v>-1.1000000000000001</v>
      </c>
      <c r="I276" s="2">
        <v>-0.74</v>
      </c>
      <c r="J276" s="47">
        <f t="shared" si="20"/>
        <v>-0.11111111111111122</v>
      </c>
      <c r="K276" s="47">
        <f t="shared" si="21"/>
        <v>0.32727272727272733</v>
      </c>
      <c r="O276" s="17">
        <f t="shared" si="22"/>
        <v>0</v>
      </c>
      <c r="P276" s="17">
        <f t="shared" si="23"/>
        <v>0</v>
      </c>
      <c r="R276" s="9">
        <v>-5272.4</v>
      </c>
      <c r="S276" s="9">
        <v>5.73</v>
      </c>
      <c r="T276" s="9">
        <v>97.012</v>
      </c>
      <c r="U276" s="9">
        <v>17.809999999999999</v>
      </c>
      <c r="V276" s="45">
        <f t="shared" si="24"/>
        <v>4.4470522178551377</v>
      </c>
      <c r="W276" s="12">
        <v>-38.46</v>
      </c>
      <c r="X276" s="12">
        <v>0</v>
      </c>
      <c r="Y276" s="12">
        <v>20210805</v>
      </c>
    </row>
    <row r="277" spans="1:25" x14ac:dyDescent="0.45">
      <c r="A277" s="3" t="s">
        <v>173</v>
      </c>
      <c r="B277" s="3" t="s">
        <v>174</v>
      </c>
      <c r="C277" s="6" t="s">
        <v>518</v>
      </c>
      <c r="D277" s="6" t="s">
        <v>234</v>
      </c>
      <c r="E277" s="6" t="s">
        <v>105</v>
      </c>
      <c r="F277" s="6">
        <v>44708.33</v>
      </c>
      <c r="G277" s="2">
        <v>0.48</v>
      </c>
      <c r="H277" s="2">
        <v>1.35</v>
      </c>
      <c r="I277" s="2">
        <v>1.43</v>
      </c>
      <c r="J277" s="47">
        <f t="shared" si="20"/>
        <v>1.8125000000000002</v>
      </c>
      <c r="K277" s="47">
        <f t="shared" si="21"/>
        <v>5.9259259259259144E-2</v>
      </c>
      <c r="L277" s="8">
        <v>11.84</v>
      </c>
      <c r="M277" s="8">
        <v>7.65</v>
      </c>
      <c r="N277" s="8">
        <v>7.19</v>
      </c>
      <c r="O277" s="17">
        <f t="shared" si="22"/>
        <v>4.2206896551724132E-2</v>
      </c>
      <c r="P277" s="17">
        <f t="shared" si="23"/>
        <v>1.2133125000000025</v>
      </c>
      <c r="Q277" s="5">
        <v>0.19</v>
      </c>
      <c r="R277" s="9">
        <v>4.18</v>
      </c>
      <c r="S277" s="9">
        <v>-1.6</v>
      </c>
      <c r="T277" s="9">
        <v>30515.460930000001</v>
      </c>
      <c r="U277" s="9">
        <v>27950.7</v>
      </c>
      <c r="V277" s="45">
        <f t="shared" si="24"/>
        <v>9.1760168081658072E-2</v>
      </c>
      <c r="W277" s="12">
        <v>36.590000000000003</v>
      </c>
      <c r="X277" s="12">
        <v>0.53</v>
      </c>
      <c r="Y277" s="12">
        <v>20210804</v>
      </c>
    </row>
    <row r="278" spans="1:25" x14ac:dyDescent="0.45">
      <c r="A278" s="3" t="s">
        <v>4503</v>
      </c>
      <c r="B278" s="3" t="s">
        <v>4504</v>
      </c>
      <c r="C278" s="6" t="s">
        <v>520</v>
      </c>
      <c r="D278" s="6" t="s">
        <v>234</v>
      </c>
      <c r="E278" s="6" t="s">
        <v>105</v>
      </c>
      <c r="F278" s="6">
        <v>20086.59</v>
      </c>
      <c r="J278" s="47" t="e">
        <f t="shared" si="20"/>
        <v>#DIV/0!</v>
      </c>
      <c r="K278" s="47" t="e">
        <f t="shared" si="21"/>
        <v>#DIV/0!</v>
      </c>
      <c r="L278" s="8">
        <v>8.15</v>
      </c>
      <c r="O278" s="17" t="e">
        <f t="shared" si="22"/>
        <v>#DIV/0!</v>
      </c>
      <c r="P278" s="17" t="e">
        <f t="shared" si="23"/>
        <v>#DIV/0!</v>
      </c>
      <c r="R278" s="9">
        <v>10.57</v>
      </c>
      <c r="S278" s="9">
        <v>-12.48</v>
      </c>
      <c r="U278" s="9">
        <v>8661.16</v>
      </c>
      <c r="V278" s="45">
        <f t="shared" si="24"/>
        <v>-1</v>
      </c>
      <c r="X278" s="12">
        <v>0.71</v>
      </c>
      <c r="Y278" s="12">
        <v>20210610</v>
      </c>
    </row>
    <row r="279" spans="1:25" x14ac:dyDescent="0.45">
      <c r="A279" s="3" t="s">
        <v>176</v>
      </c>
      <c r="B279" s="3" t="s">
        <v>177</v>
      </c>
      <c r="C279" s="6" t="s">
        <v>518</v>
      </c>
      <c r="D279" s="6" t="s">
        <v>279</v>
      </c>
      <c r="E279" s="6" t="s">
        <v>257</v>
      </c>
      <c r="F279" s="6">
        <v>70770.679999999993</v>
      </c>
      <c r="G279" s="2">
        <v>9.9</v>
      </c>
      <c r="H279" s="2">
        <v>12.81</v>
      </c>
      <c r="I279" s="2">
        <v>13.07</v>
      </c>
      <c r="J279" s="47">
        <f t="shared" si="20"/>
        <v>0.29393939393939394</v>
      </c>
      <c r="K279" s="47">
        <f t="shared" si="21"/>
        <v>2.02966432474629E-2</v>
      </c>
      <c r="L279" s="8">
        <v>19.12</v>
      </c>
      <c r="M279" s="8">
        <v>18.989999999999998</v>
      </c>
      <c r="N279" s="8">
        <v>18.61</v>
      </c>
      <c r="O279" s="17">
        <f t="shared" si="22"/>
        <v>0.64605154639175255</v>
      </c>
      <c r="P279" s="17">
        <f t="shared" si="23"/>
        <v>9.1690038461538546</v>
      </c>
      <c r="Q279" s="5">
        <v>2.14</v>
      </c>
      <c r="R279" s="9">
        <v>15.53</v>
      </c>
      <c r="S279" s="9">
        <v>11.02</v>
      </c>
      <c r="T279" s="9">
        <v>19450.79492</v>
      </c>
      <c r="U279" s="9">
        <v>17117</v>
      </c>
      <c r="V279" s="45">
        <f t="shared" si="24"/>
        <v>0.13634368873050184</v>
      </c>
      <c r="W279" s="12">
        <v>4.93</v>
      </c>
      <c r="X279" s="12">
        <v>1.36</v>
      </c>
      <c r="Y279" s="12">
        <v>20210805</v>
      </c>
    </row>
    <row r="280" spans="1:25" x14ac:dyDescent="0.45">
      <c r="A280" s="3" t="s">
        <v>791</v>
      </c>
      <c r="B280" s="3" t="s">
        <v>792</v>
      </c>
      <c r="C280" s="6" t="s">
        <v>518</v>
      </c>
      <c r="D280" s="6" t="s">
        <v>289</v>
      </c>
      <c r="E280" s="6" t="s">
        <v>430</v>
      </c>
      <c r="F280" s="6">
        <v>4371.8100000000004</v>
      </c>
      <c r="G280" s="2">
        <v>-0.55000000000000004</v>
      </c>
      <c r="H280" s="2">
        <v>-0.1</v>
      </c>
      <c r="I280" s="2">
        <v>0.21</v>
      </c>
      <c r="J280" s="47">
        <f t="shared" si="20"/>
        <v>0.81818181818181823</v>
      </c>
      <c r="K280" s="47">
        <f t="shared" si="21"/>
        <v>3.0999999999999996</v>
      </c>
      <c r="N280" s="8">
        <v>121.59</v>
      </c>
      <c r="O280" s="17">
        <f t="shared" si="22"/>
        <v>0</v>
      </c>
      <c r="P280" s="17">
        <f t="shared" si="23"/>
        <v>0.39222580645161298</v>
      </c>
      <c r="S280" s="9">
        <v>21.47</v>
      </c>
      <c r="T280" s="9">
        <v>974.19897000000003</v>
      </c>
      <c r="U280" s="9">
        <v>794.25</v>
      </c>
      <c r="V280" s="45">
        <f t="shared" si="24"/>
        <v>0.22656464589235131</v>
      </c>
      <c r="W280" s="12">
        <v>12.5</v>
      </c>
      <c r="X280" s="12">
        <v>0</v>
      </c>
      <c r="Y280" s="12">
        <v>20210727</v>
      </c>
    </row>
    <row r="281" spans="1:25" x14ac:dyDescent="0.45">
      <c r="A281" s="3" t="s">
        <v>852</v>
      </c>
      <c r="B281" s="3" t="s">
        <v>853</v>
      </c>
      <c r="C281" s="6" t="s">
        <v>519</v>
      </c>
      <c r="D281" s="6" t="s">
        <v>279</v>
      </c>
      <c r="E281" s="6" t="s">
        <v>256</v>
      </c>
      <c r="F281" s="6">
        <v>5369.2</v>
      </c>
      <c r="G281" s="2">
        <v>-3.02</v>
      </c>
      <c r="H281" s="2">
        <v>-5.56</v>
      </c>
      <c r="I281" s="2">
        <v>-3.2</v>
      </c>
      <c r="J281" s="47">
        <f t="shared" si="20"/>
        <v>-0.84105960264900648</v>
      </c>
      <c r="K281" s="47">
        <f t="shared" si="21"/>
        <v>0.42446043165467617</v>
      </c>
      <c r="O281" s="17">
        <f t="shared" si="22"/>
        <v>0</v>
      </c>
      <c r="P281" s="17">
        <f t="shared" si="23"/>
        <v>0</v>
      </c>
      <c r="R281" s="9">
        <v>-113.2</v>
      </c>
      <c r="T281" s="9">
        <v>19.504989999999999</v>
      </c>
      <c r="U281" s="9">
        <v>0.02</v>
      </c>
      <c r="V281" s="45">
        <f t="shared" si="24"/>
        <v>974.24950000000001</v>
      </c>
      <c r="W281" s="12">
        <v>-365.28</v>
      </c>
      <c r="X281" s="12">
        <v>0</v>
      </c>
      <c r="Y281" s="12">
        <v>20210811</v>
      </c>
    </row>
    <row r="282" spans="1:25" x14ac:dyDescent="0.45">
      <c r="A282" s="3" t="s">
        <v>3758</v>
      </c>
      <c r="B282" s="3" t="s">
        <v>3759</v>
      </c>
      <c r="C282" s="6" t="s">
        <v>519</v>
      </c>
      <c r="D282" s="6" t="s">
        <v>303</v>
      </c>
      <c r="E282" s="6" t="s">
        <v>928</v>
      </c>
      <c r="F282" s="6">
        <v>3887.91</v>
      </c>
      <c r="G282" s="2">
        <v>2.09</v>
      </c>
      <c r="H282" s="2">
        <v>3.75</v>
      </c>
      <c r="I282" s="2">
        <v>4.1399999999999997</v>
      </c>
      <c r="J282" s="47">
        <f t="shared" si="20"/>
        <v>0.79425837320574177</v>
      </c>
      <c r="K282" s="47">
        <f t="shared" si="21"/>
        <v>0.10399999999999991</v>
      </c>
      <c r="L282" s="8">
        <v>16.46</v>
      </c>
      <c r="M282" s="8">
        <v>14.85</v>
      </c>
      <c r="N282" s="8">
        <v>13.44</v>
      </c>
      <c r="O282" s="17">
        <f t="shared" si="22"/>
        <v>0.18696686746987948</v>
      </c>
      <c r="P282" s="17">
        <f t="shared" si="23"/>
        <v>1.2923076923076933</v>
      </c>
      <c r="R282" s="9">
        <v>16.329999999999998</v>
      </c>
      <c r="S282" s="9">
        <v>16.010000000000002</v>
      </c>
      <c r="T282" s="9">
        <v>6595.6230400000004</v>
      </c>
      <c r="U282" s="9">
        <v>6943.9</v>
      </c>
      <c r="V282" s="45">
        <f t="shared" si="24"/>
        <v>-5.015581445585323E-2</v>
      </c>
      <c r="W282" s="12">
        <v>2200</v>
      </c>
      <c r="X282" s="12">
        <v>0</v>
      </c>
      <c r="Y282" s="12">
        <v>20210805</v>
      </c>
    </row>
    <row r="283" spans="1:25" x14ac:dyDescent="0.45">
      <c r="A283" s="3" t="s">
        <v>4505</v>
      </c>
      <c r="B283" s="3" t="s">
        <v>4506</v>
      </c>
      <c r="C283" s="6" t="s">
        <v>520</v>
      </c>
      <c r="D283" s="6" t="s">
        <v>272</v>
      </c>
      <c r="E283" s="6" t="s">
        <v>913</v>
      </c>
      <c r="F283" s="6">
        <v>15712.45</v>
      </c>
      <c r="J283" s="47" t="e">
        <f t="shared" si="20"/>
        <v>#DIV/0!</v>
      </c>
      <c r="K283" s="47" t="e">
        <f t="shared" si="21"/>
        <v>#DIV/0!</v>
      </c>
      <c r="O283" s="17" t="e">
        <f t="shared" si="22"/>
        <v>#DIV/0!</v>
      </c>
      <c r="P283" s="17" t="e">
        <f t="shared" si="23"/>
        <v>#DIV/0!</v>
      </c>
      <c r="V283" s="45" t="e">
        <f t="shared" si="24"/>
        <v>#DIV/0!</v>
      </c>
      <c r="X283" s="12">
        <v>0</v>
      </c>
    </row>
    <row r="284" spans="1:25" x14ac:dyDescent="0.45">
      <c r="A284" s="3" t="s">
        <v>854</v>
      </c>
      <c r="B284" s="3" t="s">
        <v>855</v>
      </c>
      <c r="C284" s="6" t="s">
        <v>518</v>
      </c>
      <c r="D284" s="6" t="s">
        <v>234</v>
      </c>
      <c r="E284" s="6" t="s">
        <v>284</v>
      </c>
      <c r="F284" s="6">
        <v>42720.57</v>
      </c>
      <c r="G284" s="2">
        <v>0.66</v>
      </c>
      <c r="H284" s="2">
        <v>0.94</v>
      </c>
      <c r="I284" s="2">
        <v>1.32</v>
      </c>
      <c r="J284" s="47">
        <f t="shared" si="20"/>
        <v>0.42424242424242409</v>
      </c>
      <c r="K284" s="47">
        <f t="shared" si="21"/>
        <v>0.40425531914893631</v>
      </c>
      <c r="M284" s="8">
        <v>50.73</v>
      </c>
      <c r="N284" s="8">
        <v>36.130000000000003</v>
      </c>
      <c r="O284" s="17">
        <f t="shared" si="22"/>
        <v>1.1957785714285718</v>
      </c>
      <c r="P284" s="17">
        <f t="shared" si="23"/>
        <v>0.89374210526315767</v>
      </c>
      <c r="Q284" s="5">
        <v>3.56</v>
      </c>
      <c r="T284" s="9">
        <v>13895.99511</v>
      </c>
      <c r="U284" s="9">
        <v>10801.68</v>
      </c>
      <c r="V284" s="45">
        <f t="shared" si="24"/>
        <v>0.28646609694047587</v>
      </c>
      <c r="W284" s="12">
        <v>46.15</v>
      </c>
      <c r="X284" s="12">
        <v>0</v>
      </c>
    </row>
    <row r="285" spans="1:25" x14ac:dyDescent="0.45">
      <c r="A285" s="3" t="s">
        <v>793</v>
      </c>
      <c r="B285" s="3" t="s">
        <v>794</v>
      </c>
      <c r="C285" s="6" t="s">
        <v>518</v>
      </c>
      <c r="D285" s="6" t="s">
        <v>234</v>
      </c>
      <c r="E285" s="6" t="s">
        <v>220</v>
      </c>
      <c r="F285" s="6">
        <v>17545.39</v>
      </c>
      <c r="G285" s="2">
        <v>2.73</v>
      </c>
      <c r="H285" s="2">
        <v>3.17</v>
      </c>
      <c r="I285" s="2">
        <v>3.36</v>
      </c>
      <c r="J285" s="47">
        <f t="shared" si="20"/>
        <v>0.16117216117216115</v>
      </c>
      <c r="K285" s="47">
        <f t="shared" si="21"/>
        <v>5.9936908517350139E-2</v>
      </c>
      <c r="L285" s="8">
        <v>12.51</v>
      </c>
      <c r="M285" s="8">
        <v>10.99</v>
      </c>
      <c r="N285" s="8">
        <v>10.34</v>
      </c>
      <c r="O285" s="17">
        <f t="shared" si="22"/>
        <v>0.68187954545454543</v>
      </c>
      <c r="P285" s="17">
        <f t="shared" si="23"/>
        <v>1.7251473684210532</v>
      </c>
      <c r="Q285" s="5">
        <v>0.75</v>
      </c>
      <c r="R285" s="9">
        <v>12.57</v>
      </c>
      <c r="S285" s="9">
        <v>-2.59</v>
      </c>
      <c r="T285" s="9">
        <v>8106.5400300000001</v>
      </c>
      <c r="U285" s="9">
        <v>5566.5</v>
      </c>
      <c r="V285" s="45">
        <f t="shared" si="24"/>
        <v>0.45630827809215846</v>
      </c>
      <c r="W285" s="12">
        <v>6.76</v>
      </c>
      <c r="X285" s="12">
        <v>3.22</v>
      </c>
      <c r="Y285" s="12">
        <v>20210727</v>
      </c>
    </row>
    <row r="286" spans="1:25" x14ac:dyDescent="0.45">
      <c r="A286" s="3" t="s">
        <v>4039</v>
      </c>
      <c r="B286" s="3" t="s">
        <v>4040</v>
      </c>
      <c r="C286" s="6" t="s">
        <v>518</v>
      </c>
      <c r="D286" s="6" t="s">
        <v>327</v>
      </c>
      <c r="E286" s="6" t="s">
        <v>321</v>
      </c>
      <c r="F286" s="6">
        <v>10783.9</v>
      </c>
      <c r="H286" s="2">
        <v>-0.27</v>
      </c>
      <c r="I286" s="2">
        <v>-0.14000000000000001</v>
      </c>
      <c r="J286" s="47" t="e">
        <f t="shared" si="20"/>
        <v>#DIV/0!</v>
      </c>
      <c r="K286" s="47">
        <f t="shared" si="21"/>
        <v>0.48148148148148145</v>
      </c>
      <c r="O286" s="17" t="e">
        <f t="shared" si="22"/>
        <v>#DIV/0!</v>
      </c>
      <c r="P286" s="17">
        <f t="shared" si="23"/>
        <v>0</v>
      </c>
      <c r="R286" s="9">
        <v>-1.53</v>
      </c>
      <c r="S286" s="9">
        <v>8.2799999999999994</v>
      </c>
      <c r="T286" s="9">
        <v>4099.7202100000004</v>
      </c>
      <c r="U286" s="9">
        <v>3810</v>
      </c>
      <c r="V286" s="45">
        <f t="shared" si="24"/>
        <v>7.6042049868766518E-2</v>
      </c>
      <c r="W286" s="12">
        <v>-380</v>
      </c>
      <c r="X286" s="12">
        <v>1.48</v>
      </c>
      <c r="Y286" s="12">
        <v>20210806</v>
      </c>
    </row>
    <row r="287" spans="1:25" x14ac:dyDescent="0.45">
      <c r="A287" s="3" t="s">
        <v>4041</v>
      </c>
      <c r="B287" s="3" t="s">
        <v>4042</v>
      </c>
      <c r="C287" s="6" t="s">
        <v>518</v>
      </c>
      <c r="D287" s="6" t="s">
        <v>289</v>
      </c>
      <c r="E287" s="6" t="s">
        <v>430</v>
      </c>
      <c r="F287" s="6">
        <v>7241.43</v>
      </c>
      <c r="H287" s="2">
        <v>-0.27</v>
      </c>
      <c r="I287" s="2">
        <v>-0.14000000000000001</v>
      </c>
      <c r="J287" s="47" t="e">
        <f t="shared" si="20"/>
        <v>#DIV/0!</v>
      </c>
      <c r="K287" s="47">
        <f t="shared" si="21"/>
        <v>0.48148148148148145</v>
      </c>
      <c r="O287" s="17" t="e">
        <f t="shared" si="22"/>
        <v>#DIV/0!</v>
      </c>
      <c r="P287" s="17">
        <f t="shared" si="23"/>
        <v>0</v>
      </c>
      <c r="T287" s="9">
        <v>4099.7202100000004</v>
      </c>
      <c r="V287" s="45" t="e">
        <f t="shared" si="24"/>
        <v>#DIV/0!</v>
      </c>
      <c r="X287" s="12">
        <v>2.89</v>
      </c>
    </row>
    <row r="288" spans="1:25" x14ac:dyDescent="0.45">
      <c r="A288" s="3" t="s">
        <v>432</v>
      </c>
      <c r="B288" s="3" t="s">
        <v>178</v>
      </c>
      <c r="C288" s="6" t="s">
        <v>518</v>
      </c>
      <c r="D288" s="6" t="s">
        <v>272</v>
      </c>
      <c r="E288" s="6" t="s">
        <v>207</v>
      </c>
      <c r="F288" s="6">
        <v>8894.92</v>
      </c>
      <c r="G288" s="2">
        <v>4.51</v>
      </c>
      <c r="H288" s="2">
        <v>5.75</v>
      </c>
      <c r="I288" s="2">
        <v>6.25</v>
      </c>
      <c r="J288" s="47">
        <f t="shared" si="20"/>
        <v>0.27494456762749453</v>
      </c>
      <c r="K288" s="47">
        <f t="shared" si="21"/>
        <v>8.6956521739130432E-2</v>
      </c>
      <c r="L288" s="8">
        <v>11.4</v>
      </c>
      <c r="M288" s="8">
        <v>11.54</v>
      </c>
      <c r="N288" s="8">
        <v>10.63</v>
      </c>
      <c r="O288" s="17">
        <f t="shared" si="22"/>
        <v>0.41972096774193535</v>
      </c>
      <c r="P288" s="17">
        <f t="shared" si="23"/>
        <v>1.2224500000000003</v>
      </c>
      <c r="Q288" s="5">
        <v>1.1499999999999999</v>
      </c>
      <c r="R288" s="9">
        <v>34.880000000000003</v>
      </c>
      <c r="S288" s="9">
        <v>16.32</v>
      </c>
      <c r="T288" s="9">
        <v>12953.842769999999</v>
      </c>
      <c r="U288" s="9">
        <v>11709</v>
      </c>
      <c r="V288" s="45">
        <f t="shared" si="24"/>
        <v>0.10631503715090949</v>
      </c>
      <c r="W288" s="12">
        <v>21.37</v>
      </c>
      <c r="X288" s="12">
        <v>0</v>
      </c>
      <c r="Y288" s="12">
        <v>20210730</v>
      </c>
    </row>
    <row r="289" spans="1:25" x14ac:dyDescent="0.45">
      <c r="A289" s="3" t="s">
        <v>4507</v>
      </c>
      <c r="B289" s="3" t="s">
        <v>4508</v>
      </c>
      <c r="C289" s="6" t="s">
        <v>520</v>
      </c>
      <c r="D289" s="6" t="s">
        <v>189</v>
      </c>
      <c r="E289" s="6" t="s">
        <v>914</v>
      </c>
      <c r="F289" s="6">
        <v>7054.17</v>
      </c>
      <c r="J289" s="47" t="e">
        <f t="shared" si="20"/>
        <v>#DIV/0!</v>
      </c>
      <c r="K289" s="47" t="e">
        <f t="shared" si="21"/>
        <v>#DIV/0!</v>
      </c>
      <c r="L289" s="8">
        <v>38.64</v>
      </c>
      <c r="O289" s="17" t="e">
        <f t="shared" si="22"/>
        <v>#DIV/0!</v>
      </c>
      <c r="P289" s="17" t="e">
        <f t="shared" si="23"/>
        <v>#DIV/0!</v>
      </c>
      <c r="R289" s="9">
        <v>49.17</v>
      </c>
      <c r="S289" s="9">
        <v>-0.49</v>
      </c>
      <c r="U289" s="9">
        <v>495.29</v>
      </c>
      <c r="V289" s="45">
        <f t="shared" si="24"/>
        <v>-1</v>
      </c>
      <c r="X289" s="12">
        <v>1.98</v>
      </c>
      <c r="Y289" s="12">
        <v>20210727</v>
      </c>
    </row>
    <row r="290" spans="1:25" x14ac:dyDescent="0.45">
      <c r="A290" s="3" t="s">
        <v>4509</v>
      </c>
      <c r="B290" s="3" t="s">
        <v>4510</v>
      </c>
      <c r="C290" s="6" t="s">
        <v>518</v>
      </c>
      <c r="D290" s="6" t="s">
        <v>225</v>
      </c>
      <c r="E290" s="6" t="s">
        <v>186</v>
      </c>
      <c r="F290" s="6">
        <v>33657.07</v>
      </c>
      <c r="J290" s="47" t="e">
        <f t="shared" si="20"/>
        <v>#DIV/0!</v>
      </c>
      <c r="K290" s="47" t="e">
        <f t="shared" si="21"/>
        <v>#DIV/0!</v>
      </c>
      <c r="L290" s="8">
        <v>43.94</v>
      </c>
      <c r="O290" s="17" t="e">
        <f t="shared" si="22"/>
        <v>#DIV/0!</v>
      </c>
      <c r="P290" s="17" t="e">
        <f t="shared" si="23"/>
        <v>#DIV/0!</v>
      </c>
      <c r="R290" s="9">
        <v>31.96</v>
      </c>
      <c r="S290" s="9">
        <v>-4.8099999999999996</v>
      </c>
      <c r="U290" s="9">
        <v>3461</v>
      </c>
      <c r="V290" s="45">
        <f t="shared" si="24"/>
        <v>-1</v>
      </c>
      <c r="X290" s="12">
        <v>1.02</v>
      </c>
      <c r="Y290" s="12">
        <v>20210901</v>
      </c>
    </row>
    <row r="291" spans="1:25" x14ac:dyDescent="0.45">
      <c r="A291" s="3" t="s">
        <v>856</v>
      </c>
      <c r="B291" s="3" t="s">
        <v>857</v>
      </c>
      <c r="C291" s="6" t="s">
        <v>518</v>
      </c>
      <c r="D291" s="6" t="s">
        <v>225</v>
      </c>
      <c r="E291" s="6" t="s">
        <v>186</v>
      </c>
      <c r="F291" s="6">
        <v>35993.11</v>
      </c>
      <c r="G291" s="2">
        <v>1.73</v>
      </c>
      <c r="H291" s="2">
        <v>1.91</v>
      </c>
      <c r="I291" s="2">
        <v>2.13</v>
      </c>
      <c r="J291" s="47">
        <f t="shared" si="20"/>
        <v>0.10404624277456644</v>
      </c>
      <c r="K291" s="47">
        <f t="shared" si="21"/>
        <v>0.11518324607329843</v>
      </c>
      <c r="L291" s="8">
        <v>46.99</v>
      </c>
      <c r="M291" s="8">
        <v>39.369999999999997</v>
      </c>
      <c r="N291" s="8">
        <v>35.24</v>
      </c>
      <c r="O291" s="17">
        <f t="shared" si="22"/>
        <v>3.7838944444444453</v>
      </c>
      <c r="P291" s="17">
        <f t="shared" si="23"/>
        <v>3.0594727272727273</v>
      </c>
      <c r="R291" s="9">
        <v>31.96</v>
      </c>
      <c r="S291" s="9">
        <v>-4.8099999999999996</v>
      </c>
      <c r="T291" s="9">
        <v>3717.2700100000002</v>
      </c>
      <c r="U291" s="9">
        <v>3461</v>
      </c>
      <c r="V291" s="45">
        <f t="shared" si="24"/>
        <v>7.4045076567466103E-2</v>
      </c>
      <c r="W291" s="12">
        <v>-16.670000000000002</v>
      </c>
      <c r="X291" s="12">
        <v>0.95</v>
      </c>
      <c r="Y291" s="12">
        <v>20210901</v>
      </c>
    </row>
    <row r="292" spans="1:25" x14ac:dyDescent="0.45">
      <c r="A292" s="3" t="s">
        <v>492</v>
      </c>
      <c r="B292" s="3" t="s">
        <v>493</v>
      </c>
      <c r="C292" s="6" t="s">
        <v>518</v>
      </c>
      <c r="D292" s="6" t="s">
        <v>216</v>
      </c>
      <c r="E292" s="6" t="s">
        <v>296</v>
      </c>
      <c r="F292" s="6">
        <v>8973.19</v>
      </c>
      <c r="G292" s="2">
        <v>0.95</v>
      </c>
      <c r="H292" s="2">
        <v>2.2599999999999998</v>
      </c>
      <c r="I292" s="2">
        <v>4.18</v>
      </c>
      <c r="J292" s="47">
        <f t="shared" si="20"/>
        <v>1.3789473684210525</v>
      </c>
      <c r="K292" s="47">
        <f t="shared" si="21"/>
        <v>0.8495575221238939</v>
      </c>
      <c r="L292" s="8">
        <v>140.03</v>
      </c>
      <c r="M292" s="8">
        <v>65.06</v>
      </c>
      <c r="N292" s="8">
        <v>35.22</v>
      </c>
      <c r="O292" s="17">
        <f t="shared" si="22"/>
        <v>0.47180916030534353</v>
      </c>
      <c r="P292" s="17">
        <f t="shared" si="23"/>
        <v>0.41456874999999999</v>
      </c>
      <c r="R292" s="9">
        <v>3.69</v>
      </c>
      <c r="S292" s="9">
        <v>2</v>
      </c>
      <c r="T292" s="9">
        <v>1847.9169899999999</v>
      </c>
      <c r="U292" s="9">
        <v>1515.09</v>
      </c>
      <c r="V292" s="45">
        <f t="shared" si="24"/>
        <v>0.21967473219412711</v>
      </c>
      <c r="W292" s="12">
        <v>130</v>
      </c>
      <c r="X292" s="12">
        <v>0</v>
      </c>
      <c r="Y292" s="12">
        <v>20210804</v>
      </c>
    </row>
    <row r="293" spans="1:25" x14ac:dyDescent="0.45">
      <c r="A293" s="3" t="s">
        <v>440</v>
      </c>
      <c r="B293" s="3" t="s">
        <v>441</v>
      </c>
      <c r="C293" s="6" t="s">
        <v>518</v>
      </c>
      <c r="D293" s="6" t="s">
        <v>90</v>
      </c>
      <c r="E293" s="6" t="s">
        <v>442</v>
      </c>
      <c r="F293" s="6">
        <v>12557.96</v>
      </c>
      <c r="G293" s="2">
        <v>6.73</v>
      </c>
      <c r="H293" s="2">
        <v>7.67</v>
      </c>
      <c r="I293" s="2">
        <v>6.66</v>
      </c>
      <c r="J293" s="47">
        <f t="shared" si="20"/>
        <v>0.13967310549777109</v>
      </c>
      <c r="K293" s="47">
        <f t="shared" si="21"/>
        <v>-0.13168187744458928</v>
      </c>
      <c r="L293" s="8">
        <v>7.09</v>
      </c>
      <c r="M293" s="8">
        <v>11.58</v>
      </c>
      <c r="N293" s="8">
        <v>13.34</v>
      </c>
      <c r="O293" s="17">
        <f t="shared" si="22"/>
        <v>0.82907872340425581</v>
      </c>
      <c r="P293" s="17">
        <f t="shared" si="23"/>
        <v>-1.0130475247524755</v>
      </c>
      <c r="R293" s="9">
        <v>35.47</v>
      </c>
      <c r="S293" s="9">
        <v>-1.47</v>
      </c>
      <c r="T293" s="9">
        <v>47734.855459999999</v>
      </c>
      <c r="U293" s="9">
        <v>41404</v>
      </c>
      <c r="V293" s="45">
        <f t="shared" si="24"/>
        <v>0.15290444063375516</v>
      </c>
      <c r="W293" s="12">
        <v>101.94</v>
      </c>
      <c r="X293" s="12">
        <v>2.25</v>
      </c>
      <c r="Y293" s="12">
        <v>20210804</v>
      </c>
    </row>
    <row r="294" spans="1:25" x14ac:dyDescent="0.45">
      <c r="A294" s="3" t="s">
        <v>179</v>
      </c>
      <c r="B294" s="3" t="s">
        <v>180</v>
      </c>
      <c r="C294" s="6" t="s">
        <v>519</v>
      </c>
      <c r="D294" s="6" t="s">
        <v>279</v>
      </c>
      <c r="E294" s="6" t="s">
        <v>256</v>
      </c>
      <c r="F294" s="6">
        <v>31935.94</v>
      </c>
      <c r="G294" s="2">
        <v>-17.91</v>
      </c>
      <c r="H294" s="2">
        <v>-12.08</v>
      </c>
      <c r="I294" s="2">
        <v>-12.14</v>
      </c>
      <c r="J294" s="47">
        <f t="shared" si="20"/>
        <v>0.32551647124511446</v>
      </c>
      <c r="K294" s="47">
        <f t="shared" si="21"/>
        <v>-4.966887417218584E-3</v>
      </c>
      <c r="O294" s="17">
        <f t="shared" si="22"/>
        <v>0</v>
      </c>
      <c r="P294" s="17">
        <f t="shared" si="23"/>
        <v>0</v>
      </c>
      <c r="R294" s="9">
        <v>-31.71</v>
      </c>
      <c r="S294" s="9">
        <v>29.07</v>
      </c>
      <c r="T294" s="9">
        <v>1029.64697</v>
      </c>
      <c r="U294" s="9">
        <v>308.87</v>
      </c>
      <c r="V294" s="45">
        <f t="shared" si="24"/>
        <v>2.3335933240521904</v>
      </c>
      <c r="W294" s="12">
        <v>120.6</v>
      </c>
      <c r="X294" s="12">
        <v>0</v>
      </c>
      <c r="Y294" s="12">
        <v>20210805</v>
      </c>
    </row>
    <row r="295" spans="1:25" x14ac:dyDescent="0.45">
      <c r="A295" s="3" t="s">
        <v>437</v>
      </c>
      <c r="B295" s="3" t="s">
        <v>438</v>
      </c>
      <c r="C295" s="6" t="s">
        <v>518</v>
      </c>
      <c r="D295" s="6" t="s">
        <v>279</v>
      </c>
      <c r="E295" s="6" t="s">
        <v>259</v>
      </c>
      <c r="F295" s="6">
        <v>11199.86</v>
      </c>
      <c r="G295" s="2">
        <v>3.77</v>
      </c>
      <c r="H295" s="2">
        <v>4.25</v>
      </c>
      <c r="I295" s="2">
        <v>4.75</v>
      </c>
      <c r="J295" s="47">
        <f t="shared" si="20"/>
        <v>0.1273209549071618</v>
      </c>
      <c r="K295" s="47">
        <f t="shared" si="21"/>
        <v>0.11764705882352941</v>
      </c>
      <c r="L295" s="8">
        <v>7.53</v>
      </c>
      <c r="M295" s="8">
        <v>7.35</v>
      </c>
      <c r="N295" s="8">
        <v>6.58</v>
      </c>
      <c r="O295" s="17">
        <f t="shared" si="22"/>
        <v>0.57728124999999997</v>
      </c>
      <c r="P295" s="17">
        <f t="shared" si="23"/>
        <v>0.55930000000000002</v>
      </c>
      <c r="Q295" s="5">
        <v>0.57999999999999996</v>
      </c>
      <c r="R295" s="9">
        <v>352.44</v>
      </c>
      <c r="S295" s="9">
        <v>-4.37</v>
      </c>
      <c r="T295" s="9">
        <v>8619.8779200000008</v>
      </c>
      <c r="U295" s="9">
        <v>8027</v>
      </c>
      <c r="V295" s="45">
        <f t="shared" si="24"/>
        <v>7.3860460944313047E-2</v>
      </c>
      <c r="W295" s="12">
        <v>10.64</v>
      </c>
      <c r="X295" s="12">
        <v>0</v>
      </c>
      <c r="Y295" s="12">
        <v>20210805</v>
      </c>
    </row>
    <row r="296" spans="1:25" x14ac:dyDescent="0.45">
      <c r="A296" s="3" t="s">
        <v>795</v>
      </c>
      <c r="B296" s="3" t="s">
        <v>796</v>
      </c>
      <c r="C296" s="6" t="s">
        <v>519</v>
      </c>
      <c r="D296" s="6" t="s">
        <v>234</v>
      </c>
      <c r="E296" s="6" t="s">
        <v>241</v>
      </c>
      <c r="F296" s="6">
        <v>3969.69</v>
      </c>
      <c r="G296" s="2">
        <v>-2.33</v>
      </c>
      <c r="H296" s="2">
        <v>13.77</v>
      </c>
      <c r="I296" s="2">
        <v>13.38</v>
      </c>
      <c r="J296" s="47">
        <f t="shared" si="20"/>
        <v>6.9098712446351938</v>
      </c>
      <c r="K296" s="47">
        <f t="shared" si="21"/>
        <v>-2.8322440087145882E-2</v>
      </c>
      <c r="L296" s="8">
        <v>3.7</v>
      </c>
      <c r="M296" s="8">
        <v>3.36</v>
      </c>
      <c r="N296" s="8">
        <v>3.46</v>
      </c>
      <c r="O296" s="17">
        <f t="shared" si="22"/>
        <v>4.8626086956521731E-3</v>
      </c>
      <c r="P296" s="17">
        <f t="shared" si="23"/>
        <v>-1.2216461538461576</v>
      </c>
      <c r="R296" s="9">
        <v>6.39</v>
      </c>
      <c r="T296" s="9">
        <v>8717.3935500000007</v>
      </c>
      <c r="U296" s="9">
        <v>8503</v>
      </c>
      <c r="V296" s="45">
        <f t="shared" si="24"/>
        <v>2.5213871574738408E-2</v>
      </c>
      <c r="W296" s="12">
        <v>100.83</v>
      </c>
      <c r="X296" s="12">
        <v>0</v>
      </c>
      <c r="Y296" s="12">
        <v>20210805</v>
      </c>
    </row>
    <row r="297" spans="1:25" x14ac:dyDescent="0.45">
      <c r="A297" s="3" t="s">
        <v>4511</v>
      </c>
      <c r="B297" s="3" t="s">
        <v>4512</v>
      </c>
      <c r="C297" s="6" t="s">
        <v>520</v>
      </c>
      <c r="D297" s="6" t="s">
        <v>234</v>
      </c>
      <c r="E297" s="6" t="s">
        <v>105</v>
      </c>
      <c r="F297" s="6">
        <v>38833.82</v>
      </c>
      <c r="G297" s="2">
        <v>6.61</v>
      </c>
      <c r="J297" s="47">
        <f t="shared" si="20"/>
        <v>-1</v>
      </c>
      <c r="K297" s="47" t="e">
        <f t="shared" si="21"/>
        <v>#DIV/0!</v>
      </c>
      <c r="O297" s="17">
        <f t="shared" si="22"/>
        <v>0</v>
      </c>
      <c r="P297" s="17" t="e">
        <f t="shared" si="23"/>
        <v>#DIV/0!</v>
      </c>
      <c r="U297" s="9">
        <v>13242.43</v>
      </c>
      <c r="V297" s="45">
        <f t="shared" si="24"/>
        <v>-1</v>
      </c>
      <c r="X297" s="12">
        <v>5.52</v>
      </c>
    </row>
    <row r="298" spans="1:25" x14ac:dyDescent="0.45">
      <c r="A298" s="3" t="s">
        <v>3760</v>
      </c>
      <c r="B298" s="3" t="s">
        <v>535</v>
      </c>
      <c r="C298" s="6" t="s">
        <v>520</v>
      </c>
      <c r="D298" s="6" t="s">
        <v>303</v>
      </c>
      <c r="E298" s="6" t="s">
        <v>290</v>
      </c>
      <c r="F298" s="6">
        <v>5939.55</v>
      </c>
      <c r="G298" s="2">
        <v>2.5099999999999998</v>
      </c>
      <c r="H298" s="2">
        <v>3.07</v>
      </c>
      <c r="I298" s="2">
        <v>3.88</v>
      </c>
      <c r="J298" s="47">
        <f t="shared" si="20"/>
        <v>0.22310756972111559</v>
      </c>
      <c r="K298" s="47">
        <f t="shared" si="21"/>
        <v>0.26384364820846906</v>
      </c>
      <c r="M298" s="8">
        <v>30.62</v>
      </c>
      <c r="N298" s="8">
        <v>24.23</v>
      </c>
      <c r="O298" s="17">
        <f t="shared" si="22"/>
        <v>1.3724321428571427</v>
      </c>
      <c r="P298" s="17">
        <f t="shared" si="23"/>
        <v>0.918346913580247</v>
      </c>
      <c r="T298" s="9">
        <v>3091.2199700000001</v>
      </c>
      <c r="U298" s="9">
        <v>2261.67</v>
      </c>
      <c r="V298" s="45">
        <f t="shared" si="24"/>
        <v>0.3667864763648101</v>
      </c>
      <c r="X298" s="12">
        <v>0</v>
      </c>
      <c r="Y298" s="12">
        <v>20210804</v>
      </c>
    </row>
    <row r="299" spans="1:25" x14ac:dyDescent="0.45">
      <c r="A299" s="3" t="s">
        <v>668</v>
      </c>
      <c r="B299" s="3" t="s">
        <v>669</v>
      </c>
      <c r="C299" s="6" t="s">
        <v>518</v>
      </c>
      <c r="D299" s="6" t="s">
        <v>279</v>
      </c>
      <c r="E299" s="6" t="s">
        <v>256</v>
      </c>
      <c r="F299" s="6">
        <v>6355.12</v>
      </c>
      <c r="G299" s="2">
        <v>-12.32</v>
      </c>
      <c r="H299" s="2">
        <v>-13.47</v>
      </c>
      <c r="I299" s="2">
        <v>-9.11</v>
      </c>
      <c r="J299" s="47">
        <f t="shared" si="20"/>
        <v>-9.3344155844155868E-2</v>
      </c>
      <c r="K299" s="47">
        <f t="shared" si="21"/>
        <v>0.32368225686711216</v>
      </c>
      <c r="O299" s="17">
        <f t="shared" si="22"/>
        <v>0</v>
      </c>
      <c r="P299" s="17">
        <f t="shared" si="23"/>
        <v>0</v>
      </c>
      <c r="T299" s="9">
        <v>258.29199</v>
      </c>
      <c r="U299" s="9">
        <v>63.63</v>
      </c>
      <c r="V299" s="45">
        <f t="shared" si="24"/>
        <v>3.0592800565770863</v>
      </c>
      <c r="W299" s="12">
        <v>-44.18</v>
      </c>
      <c r="X299" s="12">
        <v>0</v>
      </c>
      <c r="Y299" s="12">
        <v>20210809</v>
      </c>
    </row>
    <row r="300" spans="1:25" x14ac:dyDescent="0.45">
      <c r="A300" s="3" t="s">
        <v>182</v>
      </c>
      <c r="B300" s="3" t="s">
        <v>183</v>
      </c>
      <c r="C300" s="6" t="s">
        <v>519</v>
      </c>
      <c r="D300" s="6" t="s">
        <v>189</v>
      </c>
      <c r="E300" s="6" t="s">
        <v>247</v>
      </c>
      <c r="F300" s="6">
        <v>62671.81</v>
      </c>
      <c r="G300" s="2">
        <v>9.75</v>
      </c>
      <c r="H300" s="2">
        <v>8.98</v>
      </c>
      <c r="I300" s="2">
        <v>11.33</v>
      </c>
      <c r="J300" s="47">
        <f t="shared" si="20"/>
        <v>-7.8974358974358935E-2</v>
      </c>
      <c r="K300" s="47">
        <f t="shared" si="21"/>
        <v>0.26169265033407568</v>
      </c>
      <c r="L300" s="8">
        <v>18.579999999999998</v>
      </c>
      <c r="M300" s="8">
        <v>20.79</v>
      </c>
      <c r="N300" s="8">
        <v>16.48</v>
      </c>
      <c r="O300" s="17">
        <f t="shared" si="22"/>
        <v>-2.6325000000000012</v>
      </c>
      <c r="P300" s="17">
        <f t="shared" si="23"/>
        <v>0.62974638297872354</v>
      </c>
      <c r="Q300" s="5">
        <v>4.43</v>
      </c>
      <c r="R300" s="9">
        <v>9.77</v>
      </c>
      <c r="S300" s="9">
        <v>10.38</v>
      </c>
      <c r="T300" s="9">
        <v>19968.021479999999</v>
      </c>
      <c r="U300" s="9">
        <v>16410</v>
      </c>
      <c r="V300" s="45">
        <f t="shared" si="24"/>
        <v>0.21682032175502738</v>
      </c>
      <c r="W300" s="12">
        <v>31.25</v>
      </c>
      <c r="X300" s="12">
        <v>0</v>
      </c>
      <c r="Y300" s="12">
        <v>20210812</v>
      </c>
    </row>
    <row r="301" spans="1:25" x14ac:dyDescent="0.45">
      <c r="A301" s="3" t="s">
        <v>858</v>
      </c>
      <c r="B301" s="3" t="s">
        <v>859</v>
      </c>
      <c r="C301" s="6" t="s">
        <v>519</v>
      </c>
      <c r="D301" s="6" t="s">
        <v>303</v>
      </c>
      <c r="E301" s="6" t="s">
        <v>245</v>
      </c>
      <c r="F301" s="6">
        <v>4164.33</v>
      </c>
      <c r="G301" s="2">
        <v>-0.77</v>
      </c>
      <c r="H301" s="2">
        <v>-0.45</v>
      </c>
      <c r="I301" s="2">
        <v>-0.32</v>
      </c>
      <c r="J301" s="47">
        <f t="shared" si="20"/>
        <v>0.41558441558441556</v>
      </c>
      <c r="K301" s="47">
        <f t="shared" si="21"/>
        <v>0.28888888888888892</v>
      </c>
      <c r="O301" s="17">
        <f t="shared" si="22"/>
        <v>0</v>
      </c>
      <c r="P301" s="17">
        <f t="shared" si="23"/>
        <v>0</v>
      </c>
      <c r="R301" s="9">
        <v>-52.31</v>
      </c>
      <c r="T301" s="9">
        <v>197.67599000000001</v>
      </c>
      <c r="U301" s="9">
        <v>152.37</v>
      </c>
      <c r="V301" s="45">
        <f t="shared" si="24"/>
        <v>0.29734193082627819</v>
      </c>
      <c r="W301" s="12">
        <v>66.67</v>
      </c>
      <c r="X301" s="12">
        <v>0</v>
      </c>
      <c r="Y301" s="12">
        <v>20210908</v>
      </c>
    </row>
    <row r="302" spans="1:25" x14ac:dyDescent="0.45">
      <c r="A302" s="3" t="s">
        <v>184</v>
      </c>
      <c r="B302" s="3" t="s">
        <v>185</v>
      </c>
      <c r="C302" s="6" t="s">
        <v>519</v>
      </c>
      <c r="D302" s="6" t="s">
        <v>279</v>
      </c>
      <c r="E302" s="6" t="s">
        <v>256</v>
      </c>
      <c r="F302" s="6">
        <v>61266.75</v>
      </c>
      <c r="G302" s="2">
        <v>33.83</v>
      </c>
      <c r="H302" s="2">
        <v>18.47</v>
      </c>
      <c r="I302" s="2">
        <v>20.41</v>
      </c>
      <c r="J302" s="47">
        <f t="shared" si="20"/>
        <v>-0.45403488028377181</v>
      </c>
      <c r="K302" s="47">
        <f t="shared" si="21"/>
        <v>0.10503519220357344</v>
      </c>
      <c r="L302" s="8">
        <v>14.02</v>
      </c>
      <c r="M302" s="8">
        <v>22.03</v>
      </c>
      <c r="N302" s="8">
        <v>19.940000000000001</v>
      </c>
      <c r="O302" s="17">
        <f t="shared" si="22"/>
        <v>-0.48520501302083335</v>
      </c>
      <c r="P302" s="17">
        <f t="shared" si="23"/>
        <v>1.8984113402061844</v>
      </c>
      <c r="Q302" s="5">
        <v>1.92</v>
      </c>
      <c r="R302" s="9">
        <v>42.04</v>
      </c>
      <c r="S302" s="9">
        <v>5.27</v>
      </c>
      <c r="T302" s="9">
        <v>10539.362300000001</v>
      </c>
      <c r="U302" s="9">
        <v>13444.6</v>
      </c>
      <c r="V302" s="45">
        <f t="shared" si="24"/>
        <v>-0.21608956012079197</v>
      </c>
      <c r="W302" s="12">
        <v>5.53</v>
      </c>
      <c r="X302" s="12">
        <v>0</v>
      </c>
      <c r="Y302" s="12">
        <v>20210728</v>
      </c>
    </row>
    <row r="303" spans="1:25" x14ac:dyDescent="0.45">
      <c r="A303" s="3" t="s">
        <v>457</v>
      </c>
      <c r="B303" s="3" t="s">
        <v>458</v>
      </c>
      <c r="C303" s="6" t="s">
        <v>519</v>
      </c>
      <c r="D303" s="6" t="s">
        <v>189</v>
      </c>
      <c r="E303" s="6" t="s">
        <v>247</v>
      </c>
      <c r="F303" s="6">
        <v>33391.08</v>
      </c>
      <c r="G303" s="2">
        <v>-1.1399999999999999</v>
      </c>
      <c r="H303" s="2">
        <v>-1.77</v>
      </c>
      <c r="I303" s="2">
        <v>-0.83</v>
      </c>
      <c r="J303" s="47">
        <f t="shared" si="20"/>
        <v>-0.55263157894736858</v>
      </c>
      <c r="K303" s="47">
        <f t="shared" si="21"/>
        <v>0.53107344632768361</v>
      </c>
      <c r="O303" s="17">
        <f t="shared" si="22"/>
        <v>0</v>
      </c>
      <c r="P303" s="17">
        <f t="shared" si="23"/>
        <v>0</v>
      </c>
      <c r="R303" s="9">
        <v>-26.89</v>
      </c>
      <c r="T303" s="9">
        <v>2990.4130799999998</v>
      </c>
      <c r="U303" s="9">
        <v>1800</v>
      </c>
      <c r="V303" s="45">
        <f t="shared" si="24"/>
        <v>0.66134059999999995</v>
      </c>
      <c r="W303" s="12">
        <v>19.440000000000001</v>
      </c>
      <c r="X303" s="12">
        <v>0</v>
      </c>
      <c r="Y303" s="12">
        <v>20210825</v>
      </c>
    </row>
    <row r="304" spans="1:25" x14ac:dyDescent="0.45">
      <c r="A304" s="3" t="s">
        <v>685</v>
      </c>
      <c r="B304" s="3" t="s">
        <v>686</v>
      </c>
      <c r="C304" s="6" t="s">
        <v>518</v>
      </c>
      <c r="D304" s="6" t="s">
        <v>189</v>
      </c>
      <c r="E304" s="6" t="s">
        <v>248</v>
      </c>
      <c r="F304" s="6">
        <v>14596.6</v>
      </c>
      <c r="G304" s="2">
        <v>-0.26</v>
      </c>
      <c r="H304" s="2">
        <v>-0.13</v>
      </c>
      <c r="I304" s="2">
        <v>-0.22</v>
      </c>
      <c r="J304" s="47">
        <f t="shared" si="20"/>
        <v>0.5</v>
      </c>
      <c r="K304" s="47">
        <f t="shared" si="21"/>
        <v>-0.69230769230769229</v>
      </c>
      <c r="O304" s="17">
        <f t="shared" si="22"/>
        <v>0</v>
      </c>
      <c r="P304" s="17">
        <f t="shared" si="23"/>
        <v>0</v>
      </c>
      <c r="R304" s="9">
        <v>-6.09</v>
      </c>
      <c r="T304" s="9">
        <v>221.34700000000001</v>
      </c>
      <c r="U304" s="9">
        <v>157.6</v>
      </c>
      <c r="V304" s="45">
        <f t="shared" si="24"/>
        <v>0.40448604060913718</v>
      </c>
      <c r="W304" s="12">
        <v>75</v>
      </c>
      <c r="X304" s="12">
        <v>0</v>
      </c>
      <c r="Y304" s="12">
        <v>20210826</v>
      </c>
    </row>
    <row r="305" spans="1:25" x14ac:dyDescent="0.45">
      <c r="A305" s="3" t="s">
        <v>695</v>
      </c>
      <c r="B305" s="3" t="s">
        <v>696</v>
      </c>
      <c r="C305" s="6" t="s">
        <v>518</v>
      </c>
      <c r="D305" s="6" t="s">
        <v>279</v>
      </c>
      <c r="E305" s="6" t="s">
        <v>264</v>
      </c>
      <c r="F305" s="6">
        <v>17297.419999999998</v>
      </c>
      <c r="G305" s="2">
        <v>9.61</v>
      </c>
      <c r="H305" s="2">
        <v>12.07</v>
      </c>
      <c r="I305" s="2">
        <v>11.75</v>
      </c>
      <c r="J305" s="47">
        <f t="shared" si="20"/>
        <v>0.2559833506763789</v>
      </c>
      <c r="K305" s="47">
        <f t="shared" si="21"/>
        <v>-2.6512013256006651E-2</v>
      </c>
      <c r="L305" s="8">
        <v>42.02</v>
      </c>
      <c r="M305" s="8">
        <v>48.15</v>
      </c>
      <c r="N305" s="8">
        <v>49.46</v>
      </c>
      <c r="O305" s="17">
        <f t="shared" si="22"/>
        <v>1.880981707317072</v>
      </c>
      <c r="P305" s="17">
        <f t="shared" si="23"/>
        <v>-18.655693749999983</v>
      </c>
      <c r="R305" s="9">
        <v>4.55</v>
      </c>
      <c r="S305" s="9">
        <v>4.59</v>
      </c>
      <c r="T305" s="9">
        <v>2709.1000899999999</v>
      </c>
      <c r="U305" s="9">
        <v>2545.63</v>
      </c>
      <c r="V305" s="45">
        <f t="shared" si="24"/>
        <v>6.4215966185187864E-2</v>
      </c>
      <c r="W305" s="12">
        <v>108.4</v>
      </c>
      <c r="X305" s="12">
        <v>0</v>
      </c>
      <c r="Y305" s="12">
        <v>20210729</v>
      </c>
    </row>
    <row r="306" spans="1:25" x14ac:dyDescent="0.45">
      <c r="A306" s="3" t="s">
        <v>695</v>
      </c>
      <c r="B306" s="3" t="s">
        <v>4513</v>
      </c>
      <c r="C306" s="6" t="s">
        <v>518</v>
      </c>
      <c r="D306" s="6" t="s">
        <v>279</v>
      </c>
      <c r="E306" s="6" t="s">
        <v>256</v>
      </c>
      <c r="F306" s="6">
        <v>17250.990000000002</v>
      </c>
      <c r="J306" s="47" t="e">
        <f t="shared" si="20"/>
        <v>#DIV/0!</v>
      </c>
      <c r="K306" s="47" t="e">
        <f t="shared" si="21"/>
        <v>#DIV/0!</v>
      </c>
      <c r="L306" s="8">
        <v>41.91</v>
      </c>
      <c r="O306" s="17" t="e">
        <f t="shared" si="22"/>
        <v>#DIV/0!</v>
      </c>
      <c r="P306" s="17" t="e">
        <f t="shared" si="23"/>
        <v>#DIV/0!</v>
      </c>
      <c r="R306" s="9">
        <v>4.55</v>
      </c>
      <c r="S306" s="9">
        <v>4.59</v>
      </c>
      <c r="U306" s="9">
        <v>2545.63</v>
      </c>
      <c r="V306" s="45">
        <f t="shared" si="24"/>
        <v>-1</v>
      </c>
      <c r="X306" s="12">
        <v>0</v>
      </c>
      <c r="Y306" s="12">
        <v>20210729</v>
      </c>
    </row>
    <row r="307" spans="1:25" x14ac:dyDescent="0.45">
      <c r="A307" s="3" t="s">
        <v>687</v>
      </c>
      <c r="B307" s="3" t="s">
        <v>688</v>
      </c>
      <c r="C307" s="6" t="s">
        <v>520</v>
      </c>
      <c r="D307" s="6" t="s">
        <v>279</v>
      </c>
      <c r="E307" s="6" t="s">
        <v>256</v>
      </c>
      <c r="F307" s="6">
        <v>5803.07</v>
      </c>
      <c r="G307" s="2">
        <v>0.91</v>
      </c>
      <c r="H307" s="2">
        <v>0.86</v>
      </c>
      <c r="I307" s="2">
        <v>1.1100000000000001</v>
      </c>
      <c r="J307" s="47">
        <f t="shared" si="20"/>
        <v>-5.4945054945054993E-2</v>
      </c>
      <c r="K307" s="47">
        <f t="shared" si="21"/>
        <v>0.29069767441860478</v>
      </c>
      <c r="L307" s="8">
        <v>21.03</v>
      </c>
      <c r="M307" s="8">
        <v>22.49</v>
      </c>
      <c r="N307" s="8">
        <v>17.43</v>
      </c>
      <c r="O307" s="17">
        <f t="shared" si="22"/>
        <v>-4.0931799999999967</v>
      </c>
      <c r="P307" s="17">
        <f t="shared" si="23"/>
        <v>0.59959199999999968</v>
      </c>
      <c r="R307" s="9">
        <v>12.5</v>
      </c>
      <c r="T307" s="9">
        <v>1597.6400100000001</v>
      </c>
      <c r="U307" s="9">
        <v>1663.51</v>
      </c>
      <c r="V307" s="45">
        <f t="shared" si="24"/>
        <v>-3.9596990700386483E-2</v>
      </c>
      <c r="W307" s="12">
        <v>-9.68</v>
      </c>
      <c r="X307" s="12">
        <v>0</v>
      </c>
      <c r="Y307" s="12">
        <v>20210715</v>
      </c>
    </row>
    <row r="308" spans="1:25" x14ac:dyDescent="0.45">
      <c r="A308" s="3" t="s">
        <v>888</v>
      </c>
      <c r="B308" s="3" t="s">
        <v>889</v>
      </c>
      <c r="C308" s="6" t="s">
        <v>518</v>
      </c>
      <c r="D308" s="6" t="s">
        <v>327</v>
      </c>
      <c r="E308" s="6" t="s">
        <v>321</v>
      </c>
      <c r="F308" s="6">
        <v>16329.23</v>
      </c>
      <c r="G308" s="2">
        <v>3.11</v>
      </c>
      <c r="H308" s="2">
        <v>3.45</v>
      </c>
      <c r="I308" s="2">
        <v>3.54</v>
      </c>
      <c r="J308" s="47">
        <f t="shared" si="20"/>
        <v>0.10932475884244383</v>
      </c>
      <c r="K308" s="47">
        <f t="shared" si="21"/>
        <v>2.6086956521739087E-2</v>
      </c>
      <c r="L308" s="8">
        <v>16.760000000000002</v>
      </c>
      <c r="M308" s="8">
        <v>16.03</v>
      </c>
      <c r="N308" s="8">
        <v>15.62</v>
      </c>
      <c r="O308" s="17">
        <f t="shared" si="22"/>
        <v>1.4662735294117635</v>
      </c>
      <c r="P308" s="17">
        <f t="shared" si="23"/>
        <v>5.9876666666666765</v>
      </c>
      <c r="R308" s="9">
        <v>2.37</v>
      </c>
      <c r="S308" s="9">
        <v>41.89</v>
      </c>
      <c r="U308" s="9">
        <v>8885</v>
      </c>
      <c r="V308" s="45">
        <f t="shared" si="24"/>
        <v>-1</v>
      </c>
      <c r="W308" s="12">
        <v>6.9</v>
      </c>
      <c r="X308" s="12">
        <v>1.75</v>
      </c>
      <c r="Y308" s="12">
        <v>20210804</v>
      </c>
    </row>
    <row r="309" spans="1:25" x14ac:dyDescent="0.45">
      <c r="A309" s="3" t="s">
        <v>890</v>
      </c>
      <c r="B309" s="3" t="s">
        <v>891</v>
      </c>
      <c r="C309" s="6" t="s">
        <v>518</v>
      </c>
      <c r="D309" s="6" t="s">
        <v>234</v>
      </c>
      <c r="E309" s="6" t="s">
        <v>221</v>
      </c>
      <c r="F309" s="6">
        <v>3119.11</v>
      </c>
      <c r="H309" s="2">
        <v>0.79</v>
      </c>
      <c r="I309" s="2">
        <v>0.92</v>
      </c>
      <c r="J309" s="47" t="e">
        <f t="shared" si="20"/>
        <v>#DIV/0!</v>
      </c>
      <c r="K309" s="47">
        <f t="shared" si="21"/>
        <v>0.16455696202531644</v>
      </c>
      <c r="M309" s="8">
        <v>87.83</v>
      </c>
      <c r="N309" s="8">
        <v>75.42</v>
      </c>
      <c r="O309" s="17" t="e">
        <f t="shared" si="22"/>
        <v>#DIV/0!</v>
      </c>
      <c r="P309" s="17">
        <f t="shared" si="23"/>
        <v>4.5832153846153849</v>
      </c>
      <c r="U309" s="9">
        <v>1430</v>
      </c>
      <c r="V309" s="45">
        <f t="shared" si="24"/>
        <v>-1</v>
      </c>
      <c r="X309" s="12">
        <v>2.94</v>
      </c>
    </row>
    <row r="310" spans="1:25" x14ac:dyDescent="0.45">
      <c r="A310" s="3" t="s">
        <v>670</v>
      </c>
      <c r="B310" s="3" t="s">
        <v>592</v>
      </c>
      <c r="C310" s="6" t="s">
        <v>518</v>
      </c>
      <c r="D310" s="6" t="s">
        <v>216</v>
      </c>
      <c r="E310" s="6" t="s">
        <v>429</v>
      </c>
      <c r="F310" s="6">
        <v>6476.83</v>
      </c>
      <c r="G310" s="2">
        <v>3.03</v>
      </c>
      <c r="H310" s="2">
        <v>2.61</v>
      </c>
      <c r="I310" s="2">
        <v>2.89</v>
      </c>
      <c r="J310" s="47">
        <f t="shared" si="20"/>
        <v>-0.1386138613861386</v>
      </c>
      <c r="K310" s="47">
        <f t="shared" si="21"/>
        <v>0.10727969348659014</v>
      </c>
      <c r="L310" s="8">
        <v>15.19</v>
      </c>
      <c r="M310" s="8">
        <v>18.100000000000001</v>
      </c>
      <c r="N310" s="8">
        <v>16.34</v>
      </c>
      <c r="O310" s="17">
        <f t="shared" si="22"/>
        <v>-1.3057857142857145</v>
      </c>
      <c r="P310" s="17">
        <f t="shared" si="23"/>
        <v>1.523121428571427</v>
      </c>
      <c r="Q310" s="5">
        <v>2.39</v>
      </c>
      <c r="R310" s="9">
        <v>161.94</v>
      </c>
      <c r="T310" s="9">
        <v>15099.210929999999</v>
      </c>
      <c r="U310" s="9">
        <v>15430.02</v>
      </c>
      <c r="V310" s="45">
        <f t="shared" si="24"/>
        <v>-2.1439315697581802E-2</v>
      </c>
      <c r="W310" s="12">
        <v>26.32</v>
      </c>
      <c r="X310" s="12">
        <v>0</v>
      </c>
      <c r="Y310" s="12">
        <v>20210819</v>
      </c>
    </row>
    <row r="311" spans="1:25" x14ac:dyDescent="0.45">
      <c r="A311" s="3" t="s">
        <v>860</v>
      </c>
      <c r="B311" s="3" t="s">
        <v>861</v>
      </c>
      <c r="C311" s="6" t="s">
        <v>518</v>
      </c>
      <c r="D311" s="6" t="s">
        <v>234</v>
      </c>
      <c r="E311" s="6" t="s">
        <v>154</v>
      </c>
      <c r="F311" s="6">
        <v>44316.84</v>
      </c>
      <c r="G311" s="2">
        <v>3.96</v>
      </c>
      <c r="H311" s="2">
        <v>4.0599999999999996</v>
      </c>
      <c r="I311" s="2">
        <v>4.59</v>
      </c>
      <c r="J311" s="47">
        <f t="shared" si="20"/>
        <v>2.5252525252525162E-2</v>
      </c>
      <c r="K311" s="47">
        <f t="shared" si="21"/>
        <v>0.13054187192118233</v>
      </c>
      <c r="L311" s="8">
        <v>12.91</v>
      </c>
      <c r="M311" s="8">
        <v>12.47</v>
      </c>
      <c r="N311" s="8">
        <v>11.02</v>
      </c>
      <c r="O311" s="17">
        <f t="shared" si="22"/>
        <v>4.9381200000000183</v>
      </c>
      <c r="P311" s="17">
        <f t="shared" si="23"/>
        <v>0.84417358490565997</v>
      </c>
      <c r="Q311" s="5">
        <v>1.56</v>
      </c>
      <c r="R311" s="9">
        <v>9.19</v>
      </c>
      <c r="S311" s="9">
        <v>4.62</v>
      </c>
      <c r="T311" s="9">
        <v>15547.70996</v>
      </c>
      <c r="U311" s="9">
        <v>16940</v>
      </c>
      <c r="V311" s="45">
        <f t="shared" si="24"/>
        <v>-8.2189494687131048E-2</v>
      </c>
      <c r="W311" s="12">
        <v>11.49</v>
      </c>
      <c r="X311" s="12">
        <v>2.4500000000000002</v>
      </c>
      <c r="Y311" s="12">
        <v>20210721</v>
      </c>
    </row>
    <row r="312" spans="1:25" x14ac:dyDescent="0.45">
      <c r="A312" s="3" t="s">
        <v>697</v>
      </c>
      <c r="B312" s="3" t="s">
        <v>698</v>
      </c>
      <c r="C312" s="6" t="s">
        <v>520</v>
      </c>
      <c r="D312" s="6" t="s">
        <v>234</v>
      </c>
      <c r="E312" s="6" t="s">
        <v>105</v>
      </c>
      <c r="F312" s="6">
        <v>5862.34</v>
      </c>
      <c r="G312" s="2">
        <v>7.0000000000000007E-2</v>
      </c>
      <c r="H312" s="2">
        <v>0.19</v>
      </c>
      <c r="I312" s="2">
        <v>0.22</v>
      </c>
      <c r="J312" s="47">
        <f t="shared" si="20"/>
        <v>1.714285714285714</v>
      </c>
      <c r="K312" s="47">
        <f t="shared" si="21"/>
        <v>0.15789473684210525</v>
      </c>
      <c r="M312" s="8">
        <v>10.31</v>
      </c>
      <c r="N312" s="8">
        <v>9.14</v>
      </c>
      <c r="O312" s="17">
        <f t="shared" si="22"/>
        <v>6.0141666666666684E-2</v>
      </c>
      <c r="P312" s="17">
        <f t="shared" si="23"/>
        <v>0.57886666666666675</v>
      </c>
      <c r="Q312" s="5">
        <v>0.48</v>
      </c>
      <c r="T312" s="9">
        <v>2193.5500400000001</v>
      </c>
      <c r="U312" s="9">
        <v>3463.94</v>
      </c>
      <c r="V312" s="45">
        <f t="shared" si="24"/>
        <v>-0.36674710300986735</v>
      </c>
      <c r="X312" s="12">
        <v>2.7</v>
      </c>
    </row>
    <row r="313" spans="1:25" x14ac:dyDescent="0.45">
      <c r="A313" s="3" t="s">
        <v>671</v>
      </c>
      <c r="B313" s="3" t="s">
        <v>672</v>
      </c>
      <c r="C313" s="6" t="s">
        <v>520</v>
      </c>
      <c r="D313" s="6" t="s">
        <v>234</v>
      </c>
      <c r="E313" s="6" t="s">
        <v>523</v>
      </c>
      <c r="F313" s="6">
        <v>8424.67</v>
      </c>
      <c r="G313" s="2">
        <v>4.45</v>
      </c>
      <c r="H313" s="2">
        <v>4.66</v>
      </c>
      <c r="I313" s="2">
        <v>5.29</v>
      </c>
      <c r="J313" s="47">
        <f t="shared" si="20"/>
        <v>4.7191011235955045E-2</v>
      </c>
      <c r="K313" s="47">
        <f t="shared" si="21"/>
        <v>0.13519313304721028</v>
      </c>
      <c r="M313" s="8">
        <v>14.88</v>
      </c>
      <c r="N313" s="8">
        <v>13.1</v>
      </c>
      <c r="O313" s="17">
        <f t="shared" si="22"/>
        <v>3.1531428571428579</v>
      </c>
      <c r="P313" s="17">
        <f t="shared" si="23"/>
        <v>0.96898412698412706</v>
      </c>
      <c r="T313" s="9">
        <v>2841.9199199999998</v>
      </c>
      <c r="U313" s="9">
        <v>2432.38</v>
      </c>
      <c r="V313" s="45">
        <f t="shared" si="24"/>
        <v>0.1683700408653252</v>
      </c>
      <c r="X313" s="12">
        <v>0.32</v>
      </c>
      <c r="Y313" s="12">
        <v>20210616</v>
      </c>
    </row>
    <row r="314" spans="1:25" x14ac:dyDescent="0.45">
      <c r="A314" s="3" t="s">
        <v>4043</v>
      </c>
      <c r="B314" s="3" t="s">
        <v>4044</v>
      </c>
      <c r="C314" s="6" t="s">
        <v>518</v>
      </c>
      <c r="D314" s="6" t="s">
        <v>327</v>
      </c>
      <c r="E314" s="6" t="s">
        <v>321</v>
      </c>
      <c r="F314" s="6">
        <v>4341.29</v>
      </c>
      <c r="G314" s="2">
        <v>3.65</v>
      </c>
      <c r="H314" s="2">
        <v>3.88</v>
      </c>
      <c r="I314" s="2">
        <v>4.07</v>
      </c>
      <c r="J314" s="47">
        <f t="shared" si="20"/>
        <v>6.3013698630136977E-2</v>
      </c>
      <c r="K314" s="47">
        <f t="shared" si="21"/>
        <v>4.8969072164948557E-2</v>
      </c>
      <c r="L314" s="8">
        <v>18.760000000000002</v>
      </c>
      <c r="M314" s="8">
        <v>17.82</v>
      </c>
      <c r="N314" s="8">
        <v>16.97</v>
      </c>
      <c r="O314" s="17">
        <f t="shared" si="22"/>
        <v>2.8279565217391309</v>
      </c>
      <c r="P314" s="17">
        <f t="shared" si="23"/>
        <v>3.4654526315789398</v>
      </c>
      <c r="Q314" s="5">
        <v>3.49</v>
      </c>
      <c r="R314" s="9">
        <v>8.69</v>
      </c>
      <c r="S314" s="9">
        <v>2.9</v>
      </c>
      <c r="U314" s="9">
        <v>1696.9</v>
      </c>
      <c r="V314" s="45">
        <f t="shared" si="24"/>
        <v>-1</v>
      </c>
      <c r="W314" s="12">
        <v>-3.75</v>
      </c>
      <c r="X314" s="12">
        <v>3.27</v>
      </c>
      <c r="Y314" s="12">
        <v>20210802</v>
      </c>
    </row>
    <row r="315" spans="1:25" x14ac:dyDescent="0.45">
      <c r="A315" s="3" t="s">
        <v>4045</v>
      </c>
      <c r="B315" s="3" t="s">
        <v>4046</v>
      </c>
      <c r="C315" s="6" t="s">
        <v>520</v>
      </c>
      <c r="D315" s="6" t="s">
        <v>234</v>
      </c>
      <c r="E315" s="6" t="s">
        <v>105</v>
      </c>
      <c r="F315" s="6">
        <v>11226.21</v>
      </c>
      <c r="G315" s="2">
        <v>1.07</v>
      </c>
      <c r="H315" s="2">
        <v>3.6</v>
      </c>
      <c r="I315" s="2">
        <v>4.12</v>
      </c>
      <c r="J315" s="47">
        <f t="shared" si="20"/>
        <v>2.3644859813084111</v>
      </c>
      <c r="K315" s="47">
        <f t="shared" si="21"/>
        <v>0.14444444444444446</v>
      </c>
      <c r="M315" s="8">
        <v>11.67</v>
      </c>
      <c r="N315" s="8">
        <v>10.19</v>
      </c>
      <c r="O315" s="17">
        <f t="shared" si="22"/>
        <v>4.9355335968379446E-2</v>
      </c>
      <c r="P315" s="17">
        <f t="shared" si="23"/>
        <v>0.70546153846153836</v>
      </c>
      <c r="R315" s="9">
        <v>8.24</v>
      </c>
      <c r="S315" s="9">
        <v>-0.61</v>
      </c>
      <c r="T315" s="9">
        <v>3922.26</v>
      </c>
      <c r="U315" s="9">
        <v>4261.41</v>
      </c>
      <c r="V315" s="45">
        <f t="shared" si="24"/>
        <v>-7.95863341006849E-2</v>
      </c>
      <c r="W315" s="12">
        <v>368.42</v>
      </c>
      <c r="X315" s="12">
        <v>0</v>
      </c>
      <c r="Y315" s="12">
        <v>20210812</v>
      </c>
    </row>
    <row r="316" spans="1:25" x14ac:dyDescent="0.45">
      <c r="A316" s="3" t="s">
        <v>699</v>
      </c>
      <c r="B316" s="3" t="s">
        <v>700</v>
      </c>
      <c r="C316" s="6" t="s">
        <v>518</v>
      </c>
      <c r="D316" s="6" t="s">
        <v>175</v>
      </c>
      <c r="E316" s="6" t="s">
        <v>193</v>
      </c>
      <c r="F316" s="6">
        <v>11473.53</v>
      </c>
      <c r="G316" s="2">
        <v>2.0699999999999998</v>
      </c>
      <c r="H316" s="2">
        <v>2.2200000000000002</v>
      </c>
      <c r="I316" s="2">
        <v>2.56</v>
      </c>
      <c r="J316" s="47">
        <f t="shared" si="20"/>
        <v>7.2463768115942212E-2</v>
      </c>
      <c r="K316" s="47">
        <f t="shared" si="21"/>
        <v>0.15315315315315309</v>
      </c>
      <c r="L316" s="8">
        <v>33.299999999999997</v>
      </c>
      <c r="M316" s="8">
        <v>33.07</v>
      </c>
      <c r="N316" s="8">
        <v>28.66</v>
      </c>
      <c r="O316" s="17">
        <f t="shared" si="22"/>
        <v>4.5636599999999889</v>
      </c>
      <c r="P316" s="17">
        <f t="shared" si="23"/>
        <v>1.8713294117647068</v>
      </c>
      <c r="Q316" s="5">
        <v>3.83</v>
      </c>
      <c r="R316" s="9">
        <v>12.01</v>
      </c>
      <c r="S316" s="9">
        <v>5.1100000000000003</v>
      </c>
      <c r="T316" s="9">
        <v>1423.6059499999999</v>
      </c>
      <c r="U316" s="9">
        <v>1238.5</v>
      </c>
      <c r="V316" s="45">
        <f t="shared" si="24"/>
        <v>0.14945979006863133</v>
      </c>
      <c r="W316" s="12">
        <v>9.8000000000000007</v>
      </c>
      <c r="X316" s="12">
        <v>0</v>
      </c>
      <c r="Y316" s="12">
        <v>20210809</v>
      </c>
    </row>
    <row r="317" spans="1:25" x14ac:dyDescent="0.45">
      <c r="A317" s="3" t="s">
        <v>413</v>
      </c>
      <c r="B317" s="3" t="s">
        <v>423</v>
      </c>
      <c r="C317" s="6" t="s">
        <v>519</v>
      </c>
      <c r="D317" s="6" t="s">
        <v>303</v>
      </c>
      <c r="E317" s="6" t="s">
        <v>245</v>
      </c>
      <c r="F317" s="6">
        <v>94998.67</v>
      </c>
      <c r="G317" s="2">
        <v>1.88</v>
      </c>
      <c r="H317" s="2">
        <v>33.92</v>
      </c>
      <c r="I317" s="2">
        <v>88.68</v>
      </c>
      <c r="J317" s="47">
        <f t="shared" si="20"/>
        <v>17.042553191489361</v>
      </c>
      <c r="K317" s="47">
        <f t="shared" si="21"/>
        <v>1.6143867924528303</v>
      </c>
      <c r="M317" s="8">
        <v>68.22</v>
      </c>
      <c r="N317" s="8">
        <v>26.09</v>
      </c>
      <c r="O317" s="17">
        <f t="shared" si="22"/>
        <v>4.0029213483146073E-2</v>
      </c>
      <c r="P317" s="17">
        <f t="shared" si="23"/>
        <v>0.16160934989043096</v>
      </c>
      <c r="Q317" s="5">
        <v>4.13</v>
      </c>
      <c r="R317" s="9">
        <v>-3.81</v>
      </c>
      <c r="S317" s="9">
        <v>-4.08</v>
      </c>
      <c r="T317" s="9">
        <v>9197.4150300000001</v>
      </c>
      <c r="U317" s="9">
        <v>6796</v>
      </c>
      <c r="V317" s="45">
        <f t="shared" si="24"/>
        <v>0.35335712625073573</v>
      </c>
      <c r="W317" s="12">
        <v>27.55</v>
      </c>
      <c r="X317" s="12">
        <v>0</v>
      </c>
      <c r="Y317" s="12">
        <v>20210805</v>
      </c>
    </row>
    <row r="318" spans="1:25" x14ac:dyDescent="0.45">
      <c r="A318" s="3" t="s">
        <v>536</v>
      </c>
      <c r="B318" s="3" t="s">
        <v>537</v>
      </c>
      <c r="C318" s="6" t="s">
        <v>520</v>
      </c>
      <c r="D318" s="6" t="s">
        <v>234</v>
      </c>
      <c r="E318" s="6" t="s">
        <v>105</v>
      </c>
      <c r="F318" s="6">
        <v>4790.96</v>
      </c>
      <c r="G318" s="2">
        <v>0.4</v>
      </c>
      <c r="H318" s="2">
        <v>0.44</v>
      </c>
      <c r="I318" s="2">
        <v>0.5</v>
      </c>
      <c r="J318" s="47">
        <f t="shared" si="20"/>
        <v>9.999999999999995E-2</v>
      </c>
      <c r="K318" s="47">
        <f t="shared" si="21"/>
        <v>0.13636363636363635</v>
      </c>
      <c r="M318" s="8">
        <v>12.11</v>
      </c>
      <c r="N318" s="8">
        <v>10.77</v>
      </c>
      <c r="O318" s="17">
        <f t="shared" si="22"/>
        <v>1.2110000000000005</v>
      </c>
      <c r="P318" s="17">
        <f t="shared" si="23"/>
        <v>0.78980000000000006</v>
      </c>
      <c r="R318" s="9">
        <v>-4.83</v>
      </c>
      <c r="T318" s="9">
        <v>2113.9050200000001</v>
      </c>
      <c r="U318" s="9">
        <v>2156.6799999999998</v>
      </c>
      <c r="V318" s="45">
        <f t="shared" si="24"/>
        <v>-1.9833716638536867E-2</v>
      </c>
      <c r="X318" s="12">
        <v>0.9</v>
      </c>
      <c r="Y318" s="12">
        <v>20210610</v>
      </c>
    </row>
    <row r="319" spans="1:25" x14ac:dyDescent="0.45">
      <c r="A319" s="3" t="s">
        <v>915</v>
      </c>
      <c r="B319" s="3" t="s">
        <v>916</v>
      </c>
      <c r="C319" s="6" t="s">
        <v>518</v>
      </c>
      <c r="D319" s="6" t="s">
        <v>289</v>
      </c>
      <c r="E319" s="6" t="s">
        <v>917</v>
      </c>
      <c r="F319" s="6">
        <v>26883.45</v>
      </c>
      <c r="G319" s="2">
        <v>0.27</v>
      </c>
      <c r="H319" s="2">
        <v>0.72</v>
      </c>
      <c r="I319" s="2">
        <v>1.1499999999999999</v>
      </c>
      <c r="J319" s="47">
        <f t="shared" si="20"/>
        <v>1.6666666666666663</v>
      </c>
      <c r="K319" s="47">
        <f t="shared" si="21"/>
        <v>0.59722222222222221</v>
      </c>
      <c r="L319" s="8">
        <v>645.25</v>
      </c>
      <c r="M319" s="8">
        <v>35.71</v>
      </c>
      <c r="N319" s="8">
        <v>22.37</v>
      </c>
      <c r="O319" s="17">
        <f t="shared" si="22"/>
        <v>0.21426000000000006</v>
      </c>
      <c r="P319" s="17">
        <f t="shared" si="23"/>
        <v>0.37456744186046514</v>
      </c>
      <c r="R319" s="9">
        <v>0.21</v>
      </c>
      <c r="S319" s="9">
        <v>21.02</v>
      </c>
      <c r="T319" s="9">
        <v>20550.056639999999</v>
      </c>
      <c r="U319" s="9">
        <v>20705</v>
      </c>
      <c r="V319" s="45">
        <f t="shared" si="24"/>
        <v>-7.4833788939870135E-3</v>
      </c>
      <c r="W319" s="12">
        <v>9.09</v>
      </c>
      <c r="X319" s="12">
        <v>2.79</v>
      </c>
      <c r="Y319" s="12">
        <v>20210728</v>
      </c>
    </row>
    <row r="320" spans="1:25" x14ac:dyDescent="0.45">
      <c r="A320" s="3" t="s">
        <v>918</v>
      </c>
      <c r="B320" s="3" t="s">
        <v>919</v>
      </c>
      <c r="C320" s="6" t="s">
        <v>518</v>
      </c>
      <c r="D320" s="6" t="s">
        <v>234</v>
      </c>
      <c r="E320" s="6" t="s">
        <v>154</v>
      </c>
      <c r="F320" s="6">
        <v>4430.8999999999996</v>
      </c>
      <c r="G320" s="2">
        <v>1.86</v>
      </c>
      <c r="H320" s="2">
        <v>3.58</v>
      </c>
      <c r="I320" s="2">
        <v>3.55</v>
      </c>
      <c r="J320" s="47">
        <f t="shared" si="20"/>
        <v>0.92473118279569888</v>
      </c>
      <c r="K320" s="47">
        <f t="shared" si="21"/>
        <v>-8.3798882681564938E-3</v>
      </c>
      <c r="L320" s="8">
        <v>13.77</v>
      </c>
      <c r="M320" s="8">
        <v>13.27</v>
      </c>
      <c r="N320" s="8">
        <v>13.39</v>
      </c>
      <c r="O320" s="17">
        <f t="shared" si="22"/>
        <v>0.14350116279069769</v>
      </c>
      <c r="P320" s="17">
        <f t="shared" si="23"/>
        <v>-15.978733333333203</v>
      </c>
      <c r="Q320" s="5">
        <v>4.92</v>
      </c>
      <c r="R320" s="9">
        <v>11.23</v>
      </c>
      <c r="S320" s="9">
        <v>2.5499999999999998</v>
      </c>
      <c r="T320" s="9">
        <v>944.53801999999996</v>
      </c>
      <c r="U320" s="9">
        <v>1200.83</v>
      </c>
      <c r="V320" s="45">
        <f t="shared" si="24"/>
        <v>-0.21342902825545662</v>
      </c>
      <c r="W320" s="12">
        <v>43.24</v>
      </c>
      <c r="X320" s="12">
        <v>1.94</v>
      </c>
      <c r="Y320" s="12">
        <v>20210804</v>
      </c>
    </row>
    <row r="321" spans="1:25" x14ac:dyDescent="0.45">
      <c r="A321" s="3" t="s">
        <v>920</v>
      </c>
      <c r="B321" s="3" t="s">
        <v>921</v>
      </c>
      <c r="C321" s="6" t="s">
        <v>519</v>
      </c>
      <c r="D321" s="6" t="s">
        <v>189</v>
      </c>
      <c r="E321" s="6" t="s">
        <v>248</v>
      </c>
      <c r="F321" s="6">
        <v>5971.23</v>
      </c>
      <c r="G321" s="2">
        <v>0.61</v>
      </c>
      <c r="H321" s="2">
        <v>0.44</v>
      </c>
      <c r="I321" s="2">
        <v>0.7</v>
      </c>
      <c r="J321" s="47">
        <f t="shared" si="20"/>
        <v>-0.27868852459016391</v>
      </c>
      <c r="K321" s="47">
        <f t="shared" si="21"/>
        <v>0.59090909090909083</v>
      </c>
      <c r="L321" s="8">
        <v>133.6</v>
      </c>
      <c r="M321" s="8">
        <v>236.48</v>
      </c>
      <c r="N321" s="8">
        <v>146.69999999999999</v>
      </c>
      <c r="O321" s="17">
        <f t="shared" si="22"/>
        <v>-8.4854588235294113</v>
      </c>
      <c r="P321" s="17">
        <f t="shared" si="23"/>
        <v>2.4826153846153849</v>
      </c>
      <c r="Q321" s="5">
        <v>13.54</v>
      </c>
      <c r="R321" s="9">
        <v>-1.3</v>
      </c>
      <c r="S321" s="9">
        <v>28.67</v>
      </c>
      <c r="T321" s="9">
        <v>416.19799</v>
      </c>
      <c r="U321" s="9">
        <v>351.74</v>
      </c>
      <c r="V321" s="45">
        <f t="shared" si="24"/>
        <v>0.18325464831978164</v>
      </c>
      <c r="W321" s="12">
        <v>120</v>
      </c>
      <c r="X321" s="12">
        <v>0</v>
      </c>
      <c r="Y321" s="12">
        <v>20210805</v>
      </c>
    </row>
    <row r="322" spans="1:25" x14ac:dyDescent="0.45">
      <c r="A322" s="3" t="s">
        <v>922</v>
      </c>
      <c r="B322" s="3" t="s">
        <v>923</v>
      </c>
      <c r="C322" s="6" t="s">
        <v>518</v>
      </c>
      <c r="D322" s="6" t="s">
        <v>210</v>
      </c>
      <c r="E322" s="6" t="s">
        <v>191</v>
      </c>
      <c r="F322" s="6">
        <v>6441.02</v>
      </c>
      <c r="G322" s="2">
        <v>7.04</v>
      </c>
      <c r="H322" s="2">
        <v>10.220000000000001</v>
      </c>
      <c r="I322" s="2">
        <v>12.24</v>
      </c>
      <c r="J322" s="47">
        <f t="shared" si="20"/>
        <v>0.45170454545454553</v>
      </c>
      <c r="K322" s="47">
        <f t="shared" si="21"/>
        <v>0.197651663405088</v>
      </c>
      <c r="L322" s="8">
        <v>24.51</v>
      </c>
      <c r="M322" s="8">
        <v>19.07</v>
      </c>
      <c r="N322" s="8">
        <v>15.92</v>
      </c>
      <c r="O322" s="17">
        <f t="shared" si="22"/>
        <v>0.42217861635220116</v>
      </c>
      <c r="P322" s="17">
        <f t="shared" si="23"/>
        <v>0.80545742574257451</v>
      </c>
      <c r="R322" s="9">
        <v>20.11</v>
      </c>
      <c r="S322" s="9">
        <v>12.89</v>
      </c>
      <c r="T322" s="9">
        <v>3283.8549800000001</v>
      </c>
      <c r="U322" s="9">
        <v>2718.04</v>
      </c>
      <c r="V322" s="45">
        <f t="shared" si="24"/>
        <v>0.20817021824550047</v>
      </c>
      <c r="W322" s="12">
        <v>4.66</v>
      </c>
      <c r="X322" s="12">
        <v>0</v>
      </c>
      <c r="Y322" s="12">
        <v>20210803</v>
      </c>
    </row>
    <row r="323" spans="1:25" x14ac:dyDescent="0.45">
      <c r="A323" s="3" t="s">
        <v>924</v>
      </c>
      <c r="B323" s="3" t="s">
        <v>925</v>
      </c>
      <c r="C323" s="6" t="s">
        <v>519</v>
      </c>
      <c r="D323" s="6" t="s">
        <v>189</v>
      </c>
      <c r="E323" s="6" t="s">
        <v>211</v>
      </c>
      <c r="F323" s="6">
        <v>5388.84</v>
      </c>
      <c r="G323" s="2">
        <v>-0.19</v>
      </c>
      <c r="H323" s="2">
        <v>-0.21</v>
      </c>
      <c r="I323" s="2">
        <v>-0.15</v>
      </c>
      <c r="J323" s="47">
        <f t="shared" ref="J323:J386" si="25">(H323-G323)/ABS(G323)</f>
        <v>-0.10526315789473679</v>
      </c>
      <c r="K323" s="47">
        <f t="shared" ref="K323:K386" si="26">(I323-H323)/ABS(H323)</f>
        <v>0.2857142857142857</v>
      </c>
      <c r="O323" s="17">
        <f t="shared" ref="O323:O386" si="27">M323/(J323*100)</f>
        <v>0</v>
      </c>
      <c r="P323" s="17">
        <f t="shared" ref="P323:P386" si="28">N323/(K323*100)</f>
        <v>0</v>
      </c>
      <c r="R323" s="9">
        <v>-7.08</v>
      </c>
      <c r="S323" s="9">
        <v>5.17</v>
      </c>
      <c r="T323" s="9">
        <v>96.784999999999997</v>
      </c>
      <c r="U323" s="9">
        <v>103.88</v>
      </c>
      <c r="V323" s="45">
        <f t="shared" ref="V323:V386" si="29">(T323-U323)/U323</f>
        <v>-6.8299961494031572E-2</v>
      </c>
      <c r="W323" s="12">
        <v>-20</v>
      </c>
      <c r="X323" s="12">
        <v>0</v>
      </c>
      <c r="Y323" s="12">
        <v>20210804</v>
      </c>
    </row>
    <row r="324" spans="1:25" x14ac:dyDescent="0.45">
      <c r="A324" s="3" t="s">
        <v>926</v>
      </c>
      <c r="B324" s="3" t="s">
        <v>927</v>
      </c>
      <c r="C324" s="6" t="s">
        <v>519</v>
      </c>
      <c r="D324" s="6" t="s">
        <v>303</v>
      </c>
      <c r="E324" s="6" t="s">
        <v>928</v>
      </c>
      <c r="F324" s="6">
        <v>9064.16</v>
      </c>
      <c r="G324" s="2">
        <v>2.74</v>
      </c>
      <c r="H324" s="2">
        <v>3.99</v>
      </c>
      <c r="I324" s="2">
        <v>3.61</v>
      </c>
      <c r="J324" s="47">
        <f t="shared" si="25"/>
        <v>0.45620437956204374</v>
      </c>
      <c r="K324" s="47">
        <f t="shared" si="26"/>
        <v>-9.5238095238095316E-2</v>
      </c>
      <c r="L324" s="8">
        <v>11.37</v>
      </c>
      <c r="M324" s="8">
        <v>10.97</v>
      </c>
      <c r="N324" s="8">
        <v>12.14</v>
      </c>
      <c r="O324" s="17">
        <f t="shared" si="27"/>
        <v>0.24046240000000002</v>
      </c>
      <c r="P324" s="17">
        <f t="shared" si="28"/>
        <v>-1.2746999999999991</v>
      </c>
      <c r="R324" s="9">
        <v>27.49</v>
      </c>
      <c r="S324" s="9">
        <v>7.66</v>
      </c>
      <c r="T324" s="9">
        <v>16399.839840000001</v>
      </c>
      <c r="U324" s="9">
        <v>8558.8700000000008</v>
      </c>
      <c r="V324" s="45">
        <f t="shared" si="29"/>
        <v>0.91612208620997859</v>
      </c>
      <c r="W324" s="12">
        <v>35.799999999999997</v>
      </c>
      <c r="X324" s="12">
        <v>0</v>
      </c>
      <c r="Y324" s="12">
        <v>20210729</v>
      </c>
    </row>
    <row r="325" spans="1:25" x14ac:dyDescent="0.45">
      <c r="A325" s="3" t="s">
        <v>929</v>
      </c>
      <c r="B325" s="3" t="s">
        <v>930</v>
      </c>
      <c r="C325" s="6" t="s">
        <v>519</v>
      </c>
      <c r="D325" s="6" t="s">
        <v>279</v>
      </c>
      <c r="E325" s="6" t="s">
        <v>256</v>
      </c>
      <c r="F325" s="6">
        <v>3136.71</v>
      </c>
      <c r="G325" s="2">
        <v>-1.1100000000000001</v>
      </c>
      <c r="H325" s="2">
        <v>-0.89</v>
      </c>
      <c r="I325" s="2">
        <v>-0.82</v>
      </c>
      <c r="J325" s="47">
        <f t="shared" si="25"/>
        <v>0.19819819819819826</v>
      </c>
      <c r="K325" s="47">
        <f t="shared" si="26"/>
        <v>7.8651685393258494E-2</v>
      </c>
      <c r="O325" s="17">
        <f t="shared" si="27"/>
        <v>0</v>
      </c>
      <c r="P325" s="17">
        <f t="shared" si="28"/>
        <v>0</v>
      </c>
      <c r="R325" s="9">
        <v>-33.57</v>
      </c>
      <c r="T325" s="9">
        <v>94.611990000000006</v>
      </c>
      <c r="U325" s="9">
        <v>64.3</v>
      </c>
      <c r="V325" s="45">
        <f t="shared" si="29"/>
        <v>0.4714150855365476</v>
      </c>
      <c r="W325" s="12">
        <v>-4.3499999999999996</v>
      </c>
      <c r="X325" s="12">
        <v>0</v>
      </c>
      <c r="Y325" s="12">
        <v>20210824</v>
      </c>
    </row>
    <row r="326" spans="1:25" x14ac:dyDescent="0.45">
      <c r="A326" s="3" t="s">
        <v>931</v>
      </c>
      <c r="B326" s="3" t="s">
        <v>932</v>
      </c>
      <c r="C326" s="6" t="s">
        <v>518</v>
      </c>
      <c r="D326" s="6" t="s">
        <v>234</v>
      </c>
      <c r="E326" s="6" t="s">
        <v>220</v>
      </c>
      <c r="F326" s="6">
        <v>132841.34</v>
      </c>
      <c r="G326" s="2">
        <v>32.81</v>
      </c>
      <c r="H326" s="2">
        <v>36.74</v>
      </c>
      <c r="I326" s="2">
        <v>42.31</v>
      </c>
      <c r="J326" s="47">
        <f t="shared" si="25"/>
        <v>0.11978055470893019</v>
      </c>
      <c r="K326" s="47">
        <f t="shared" si="26"/>
        <v>0.15160587915078932</v>
      </c>
      <c r="L326" s="8">
        <v>24.87</v>
      </c>
      <c r="M326" s="8">
        <v>23.7</v>
      </c>
      <c r="N326" s="8">
        <v>20.59</v>
      </c>
      <c r="O326" s="17">
        <f t="shared" si="27"/>
        <v>1.9786183206106873</v>
      </c>
      <c r="P326" s="17">
        <f t="shared" si="28"/>
        <v>1.358126750448833</v>
      </c>
      <c r="Q326" s="5">
        <v>2.33</v>
      </c>
      <c r="R326" s="9">
        <v>15.72</v>
      </c>
      <c r="S326" s="9">
        <v>9</v>
      </c>
      <c r="T326" s="9">
        <v>18810.603510000001</v>
      </c>
      <c r="U326" s="9">
        <v>16205</v>
      </c>
      <c r="V326" s="45">
        <f t="shared" si="29"/>
        <v>0.16079009626658444</v>
      </c>
      <c r="W326" s="12">
        <v>1.7</v>
      </c>
      <c r="X326" s="12">
        <v>1.9</v>
      </c>
      <c r="Y326" s="12">
        <v>20210716</v>
      </c>
    </row>
    <row r="327" spans="1:25" x14ac:dyDescent="0.45">
      <c r="A327" s="3" t="s">
        <v>933</v>
      </c>
      <c r="B327" s="3" t="s">
        <v>934</v>
      </c>
      <c r="C327" s="6" t="s">
        <v>519</v>
      </c>
      <c r="D327" s="6" t="s">
        <v>189</v>
      </c>
      <c r="E327" s="6" t="s">
        <v>202</v>
      </c>
      <c r="F327" s="6">
        <v>3631.16</v>
      </c>
      <c r="G327" s="2">
        <v>2.81</v>
      </c>
      <c r="H327" s="2">
        <v>2.69</v>
      </c>
      <c r="I327" s="2">
        <v>2.99</v>
      </c>
      <c r="J327" s="47">
        <f t="shared" si="25"/>
        <v>-4.2704626334519609E-2</v>
      </c>
      <c r="K327" s="47">
        <f t="shared" si="26"/>
        <v>0.11152416356877333</v>
      </c>
      <c r="L327" s="8">
        <v>23.92</v>
      </c>
      <c r="M327" s="8">
        <v>27.68</v>
      </c>
      <c r="N327" s="8">
        <v>24.9</v>
      </c>
      <c r="O327" s="17">
        <f t="shared" si="27"/>
        <v>-6.4817333333333274</v>
      </c>
      <c r="P327" s="17">
        <f t="shared" si="28"/>
        <v>2.2326999999999977</v>
      </c>
      <c r="Q327" s="5">
        <v>1.26</v>
      </c>
      <c r="R327" s="9">
        <v>15.89</v>
      </c>
      <c r="S327" s="9">
        <v>6.31</v>
      </c>
      <c r="T327" s="9">
        <v>905.63</v>
      </c>
      <c r="U327" s="9">
        <v>913.22</v>
      </c>
      <c r="V327" s="45">
        <f t="shared" si="29"/>
        <v>-8.3112503011322919E-3</v>
      </c>
      <c r="W327" s="12">
        <v>7.94</v>
      </c>
      <c r="X327" s="12">
        <v>0</v>
      </c>
      <c r="Y327" s="12">
        <v>20210804</v>
      </c>
    </row>
    <row r="328" spans="1:25" x14ac:dyDescent="0.45">
      <c r="A328" s="3" t="s">
        <v>935</v>
      </c>
      <c r="B328" s="3" t="s">
        <v>936</v>
      </c>
      <c r="C328" s="6" t="s">
        <v>518</v>
      </c>
      <c r="D328" s="6" t="s">
        <v>272</v>
      </c>
      <c r="E328" s="6" t="s">
        <v>937</v>
      </c>
      <c r="F328" s="6">
        <v>26555.79</v>
      </c>
      <c r="G328" s="2">
        <v>2.93</v>
      </c>
      <c r="H328" s="2">
        <v>3.51</v>
      </c>
      <c r="I328" s="2">
        <v>4.05</v>
      </c>
      <c r="J328" s="47">
        <f t="shared" si="25"/>
        <v>0.19795221843003399</v>
      </c>
      <c r="K328" s="47">
        <f t="shared" si="26"/>
        <v>0.15384615384615385</v>
      </c>
      <c r="L328" s="8">
        <v>26.35</v>
      </c>
      <c r="M328" s="8">
        <v>23.07</v>
      </c>
      <c r="N328" s="8">
        <v>19.95</v>
      </c>
      <c r="O328" s="17">
        <f t="shared" si="27"/>
        <v>1.1654327586206905</v>
      </c>
      <c r="P328" s="17">
        <f t="shared" si="28"/>
        <v>1.2967499999999998</v>
      </c>
      <c r="Q328" s="5">
        <v>4.6100000000000003</v>
      </c>
      <c r="R328" s="9">
        <v>32.35</v>
      </c>
      <c r="S328" s="9">
        <v>6.65</v>
      </c>
      <c r="T328" s="9">
        <v>13264.23242</v>
      </c>
      <c r="U328" s="9">
        <v>11781</v>
      </c>
      <c r="V328" s="45">
        <f t="shared" si="29"/>
        <v>0.125900383668619</v>
      </c>
      <c r="W328" s="12">
        <v>7.46</v>
      </c>
      <c r="X328" s="12">
        <v>0.74</v>
      </c>
      <c r="Y328" s="12">
        <v>20210805</v>
      </c>
    </row>
    <row r="329" spans="1:25" x14ac:dyDescent="0.45">
      <c r="A329" s="3" t="s">
        <v>938</v>
      </c>
      <c r="B329" s="3" t="s">
        <v>939</v>
      </c>
      <c r="C329" s="6" t="s">
        <v>520</v>
      </c>
      <c r="D329" s="6" t="s">
        <v>210</v>
      </c>
      <c r="E329" s="6" t="s">
        <v>191</v>
      </c>
      <c r="F329" s="6">
        <v>6224.88</v>
      </c>
      <c r="G329" s="2">
        <v>2.5299999999999998</v>
      </c>
      <c r="H329" s="2">
        <v>4.3</v>
      </c>
      <c r="I329" s="2">
        <v>4.96</v>
      </c>
      <c r="J329" s="47">
        <f t="shared" si="25"/>
        <v>0.69960474308300402</v>
      </c>
      <c r="K329" s="47">
        <f t="shared" si="26"/>
        <v>0.1534883720930233</v>
      </c>
      <c r="M329" s="8">
        <v>11.75</v>
      </c>
      <c r="N329" s="8">
        <v>10.17</v>
      </c>
      <c r="O329" s="17">
        <f t="shared" si="27"/>
        <v>0.16795197740112991</v>
      </c>
      <c r="P329" s="17">
        <f t="shared" si="28"/>
        <v>0.6625909090909089</v>
      </c>
      <c r="T329" s="9">
        <v>4115.1801699999996</v>
      </c>
      <c r="U329" s="9">
        <v>2841.69</v>
      </c>
      <c r="V329" s="45">
        <f t="shared" si="29"/>
        <v>0.44814535364518987</v>
      </c>
      <c r="X329" s="12">
        <v>1.72</v>
      </c>
    </row>
    <row r="330" spans="1:25" x14ac:dyDescent="0.45">
      <c r="A330" s="3" t="s">
        <v>940</v>
      </c>
      <c r="B330" s="3" t="s">
        <v>941</v>
      </c>
      <c r="C330" s="6" t="s">
        <v>518</v>
      </c>
      <c r="D330" s="6" t="s">
        <v>234</v>
      </c>
      <c r="E330" s="6" t="s">
        <v>105</v>
      </c>
      <c r="F330" s="6">
        <v>67908.63</v>
      </c>
      <c r="G330" s="2">
        <v>5.5</v>
      </c>
      <c r="H330" s="2">
        <v>9.67</v>
      </c>
      <c r="I330" s="2">
        <v>9.58</v>
      </c>
      <c r="J330" s="47">
        <f t="shared" si="25"/>
        <v>0.75818181818181818</v>
      </c>
      <c r="K330" s="47">
        <f t="shared" si="26"/>
        <v>-9.307135470527389E-3</v>
      </c>
      <c r="L330" s="8">
        <v>13.07</v>
      </c>
      <c r="M330" s="8">
        <v>10.85</v>
      </c>
      <c r="N330" s="8">
        <v>10.95</v>
      </c>
      <c r="O330" s="17">
        <f t="shared" si="27"/>
        <v>0.14310551558752999</v>
      </c>
      <c r="P330" s="17">
        <f t="shared" si="28"/>
        <v>-11.765166666666685</v>
      </c>
      <c r="Q330" s="5">
        <v>0.73</v>
      </c>
      <c r="R330" s="9">
        <v>14.17</v>
      </c>
      <c r="S330" s="9">
        <v>8.2200000000000006</v>
      </c>
      <c r="T330" s="9">
        <v>20838.810539999999</v>
      </c>
      <c r="U330" s="9">
        <v>25679.89</v>
      </c>
      <c r="V330" s="45">
        <f t="shared" si="29"/>
        <v>-0.18851636280373479</v>
      </c>
      <c r="W330" s="12">
        <v>14.22</v>
      </c>
      <c r="X330" s="12">
        <v>3.17</v>
      </c>
      <c r="Y330" s="12">
        <v>20210824</v>
      </c>
    </row>
    <row r="331" spans="1:25" x14ac:dyDescent="0.45">
      <c r="A331" s="3" t="s">
        <v>942</v>
      </c>
      <c r="B331" s="3" t="s">
        <v>943</v>
      </c>
      <c r="C331" s="6" t="s">
        <v>519</v>
      </c>
      <c r="D331" s="6" t="s">
        <v>279</v>
      </c>
      <c r="E331" s="6" t="s">
        <v>256</v>
      </c>
      <c r="F331" s="6">
        <v>14994.03</v>
      </c>
      <c r="G331" s="2">
        <v>1.6</v>
      </c>
      <c r="H331" s="2">
        <v>1.1499999999999999</v>
      </c>
      <c r="I331" s="2">
        <v>2.33</v>
      </c>
      <c r="J331" s="47">
        <f t="shared" si="25"/>
        <v>-0.28125000000000011</v>
      </c>
      <c r="K331" s="47">
        <f t="shared" si="26"/>
        <v>1.0260869565217394</v>
      </c>
      <c r="L331" s="8">
        <v>50.34</v>
      </c>
      <c r="M331" s="8">
        <v>71.349999999999994</v>
      </c>
      <c r="N331" s="8">
        <v>35.26</v>
      </c>
      <c r="O331" s="17">
        <f t="shared" si="27"/>
        <v>-2.5368888888888876</v>
      </c>
      <c r="P331" s="17">
        <f t="shared" si="28"/>
        <v>0.34363559322033888</v>
      </c>
      <c r="Q331" s="5">
        <v>2.25</v>
      </c>
      <c r="R331" s="9">
        <v>2.77</v>
      </c>
      <c r="S331" s="9">
        <v>14.39</v>
      </c>
      <c r="T331" s="9">
        <v>1831.31005</v>
      </c>
      <c r="U331" s="9">
        <v>1860.45</v>
      </c>
      <c r="V331" s="45">
        <f t="shared" si="29"/>
        <v>-1.5662850385659382E-2</v>
      </c>
      <c r="W331" s="12">
        <v>75</v>
      </c>
      <c r="X331" s="12">
        <v>0</v>
      </c>
      <c r="Y331" s="12">
        <v>20210803</v>
      </c>
    </row>
    <row r="332" spans="1:25" x14ac:dyDescent="0.45">
      <c r="A332" s="3" t="s">
        <v>944</v>
      </c>
      <c r="B332" s="3" t="s">
        <v>945</v>
      </c>
      <c r="C332" s="6" t="s">
        <v>520</v>
      </c>
      <c r="D332" s="6" t="s">
        <v>216</v>
      </c>
      <c r="E332" s="6" t="s">
        <v>946</v>
      </c>
      <c r="F332" s="6">
        <v>7548.03</v>
      </c>
      <c r="G332" s="2">
        <v>2.4300000000000002</v>
      </c>
      <c r="H332" s="2">
        <v>1.93</v>
      </c>
      <c r="I332" s="2">
        <v>1.99</v>
      </c>
      <c r="J332" s="47">
        <f t="shared" si="25"/>
        <v>-0.20576131687242807</v>
      </c>
      <c r="K332" s="47">
        <f t="shared" si="26"/>
        <v>3.1088082901554431E-2</v>
      </c>
      <c r="M332" s="8">
        <v>15.63</v>
      </c>
      <c r="N332" s="8">
        <v>15.16</v>
      </c>
      <c r="O332" s="17">
        <f t="shared" si="27"/>
        <v>-0.75961799999999968</v>
      </c>
      <c r="P332" s="17">
        <f t="shared" si="28"/>
        <v>4.876466666666663</v>
      </c>
      <c r="T332" s="9">
        <v>6634.4702100000004</v>
      </c>
      <c r="U332" s="9">
        <v>4848.34</v>
      </c>
      <c r="V332" s="45">
        <f t="shared" si="29"/>
        <v>0.36840036177330804</v>
      </c>
      <c r="X332" s="12">
        <v>1</v>
      </c>
      <c r="Y332" s="12">
        <v>20210610</v>
      </c>
    </row>
    <row r="333" spans="1:25" x14ac:dyDescent="0.45">
      <c r="A333" s="3" t="s">
        <v>947</v>
      </c>
      <c r="B333" s="3" t="s">
        <v>948</v>
      </c>
      <c r="C333" s="6" t="s">
        <v>520</v>
      </c>
      <c r="D333" s="6" t="s">
        <v>279</v>
      </c>
      <c r="E333" s="6" t="s">
        <v>266</v>
      </c>
      <c r="F333" s="6">
        <v>12848.11</v>
      </c>
      <c r="G333" s="2">
        <v>4.5999999999999996</v>
      </c>
      <c r="H333" s="2">
        <v>4.6399999999999997</v>
      </c>
      <c r="I333" s="2">
        <v>4.2699999999999996</v>
      </c>
      <c r="J333" s="47">
        <f t="shared" si="25"/>
        <v>8.6956521739130523E-3</v>
      </c>
      <c r="K333" s="47">
        <f t="shared" si="26"/>
        <v>-7.9741379310344862E-2</v>
      </c>
      <c r="M333" s="8">
        <v>23.39</v>
      </c>
      <c r="N333" s="8">
        <v>25.42</v>
      </c>
      <c r="O333" s="17">
        <f t="shared" si="27"/>
        <v>26.898499999999974</v>
      </c>
      <c r="P333" s="17">
        <f t="shared" si="28"/>
        <v>-3.1878054054054044</v>
      </c>
      <c r="T333" s="9">
        <v>3784.4399400000002</v>
      </c>
      <c r="U333" s="9">
        <v>3561.62</v>
      </c>
      <c r="V333" s="45">
        <f t="shared" si="29"/>
        <v>6.2561401833996985E-2</v>
      </c>
      <c r="X333" s="12">
        <v>0</v>
      </c>
      <c r="Y333" s="12">
        <v>20210616</v>
      </c>
    </row>
    <row r="334" spans="1:25" x14ac:dyDescent="0.45">
      <c r="A334" s="3" t="s">
        <v>949</v>
      </c>
      <c r="B334" s="3" t="s">
        <v>950</v>
      </c>
      <c r="C334" s="6" t="s">
        <v>518</v>
      </c>
      <c r="D334" s="6" t="s">
        <v>279</v>
      </c>
      <c r="E334" s="6" t="s">
        <v>256</v>
      </c>
      <c r="F334" s="6">
        <v>146027.98000000001</v>
      </c>
      <c r="G334" s="2">
        <v>6.36</v>
      </c>
      <c r="H334" s="2">
        <v>7.45</v>
      </c>
      <c r="I334" s="2">
        <v>8.0500000000000007</v>
      </c>
      <c r="J334" s="47">
        <f t="shared" si="25"/>
        <v>0.1713836477987421</v>
      </c>
      <c r="K334" s="47">
        <f t="shared" si="26"/>
        <v>8.0536912751677917E-2</v>
      </c>
      <c r="L334" s="8">
        <v>10.119999999999999</v>
      </c>
      <c r="M334" s="8">
        <v>8.7799999999999994</v>
      </c>
      <c r="N334" s="8">
        <v>8.1300000000000008</v>
      </c>
      <c r="O334" s="17">
        <f t="shared" si="27"/>
        <v>0.51230091743119277</v>
      </c>
      <c r="P334" s="17">
        <f t="shared" si="28"/>
        <v>1.0094749999999992</v>
      </c>
      <c r="Q334" s="5">
        <v>1.26</v>
      </c>
      <c r="R334" s="9">
        <v>33.76</v>
      </c>
      <c r="S334" s="9">
        <v>18.940000000000001</v>
      </c>
      <c r="T334" s="9">
        <v>45995.933590000001</v>
      </c>
      <c r="U334" s="9">
        <v>42518</v>
      </c>
      <c r="V334" s="45">
        <f t="shared" si="29"/>
        <v>8.1799087210122787E-2</v>
      </c>
      <c r="W334" s="12">
        <v>-3.33</v>
      </c>
      <c r="X334" s="12">
        <v>3</v>
      </c>
      <c r="Y334" s="12">
        <v>20210805</v>
      </c>
    </row>
    <row r="335" spans="1:25" x14ac:dyDescent="0.45">
      <c r="A335" s="3" t="s">
        <v>4047</v>
      </c>
      <c r="B335" s="3" t="s">
        <v>4048</v>
      </c>
      <c r="C335" s="6" t="s">
        <v>518</v>
      </c>
      <c r="D335" s="6" t="s">
        <v>234</v>
      </c>
      <c r="E335" s="6" t="s">
        <v>287</v>
      </c>
      <c r="F335" s="6">
        <v>3588.43</v>
      </c>
      <c r="G335" s="2">
        <v>1.54</v>
      </c>
      <c r="H335" s="2">
        <v>1.38</v>
      </c>
      <c r="I335" s="2">
        <v>1.46</v>
      </c>
      <c r="J335" s="47">
        <f t="shared" si="25"/>
        <v>-0.10389610389610399</v>
      </c>
      <c r="K335" s="47">
        <f t="shared" si="26"/>
        <v>5.7971014492753679E-2</v>
      </c>
      <c r="M335" s="8">
        <v>17.79</v>
      </c>
      <c r="N335" s="8">
        <v>16.86</v>
      </c>
      <c r="O335" s="17">
        <f t="shared" si="27"/>
        <v>-1.7122874999999984</v>
      </c>
      <c r="P335" s="17">
        <f t="shared" si="28"/>
        <v>2.9083499999999973</v>
      </c>
      <c r="R335" s="9">
        <v>2.52</v>
      </c>
      <c r="T335" s="9">
        <v>348.64001000000002</v>
      </c>
      <c r="U335" s="9">
        <v>321.64</v>
      </c>
      <c r="V335" s="45">
        <f t="shared" si="29"/>
        <v>8.3944814077851121E-2</v>
      </c>
      <c r="W335" s="12">
        <v>-8.82</v>
      </c>
      <c r="X335" s="12">
        <v>4.0599999999999996</v>
      </c>
      <c r="Y335" s="12">
        <v>20210803</v>
      </c>
    </row>
    <row r="336" spans="1:25" x14ac:dyDescent="0.45">
      <c r="A336" s="3" t="s">
        <v>951</v>
      </c>
      <c r="B336" s="3" t="s">
        <v>952</v>
      </c>
      <c r="C336" s="6" t="s">
        <v>520</v>
      </c>
      <c r="D336" s="6" t="s">
        <v>234</v>
      </c>
      <c r="E336" s="6" t="s">
        <v>105</v>
      </c>
      <c r="F336" s="6">
        <v>85562.5</v>
      </c>
      <c r="G336" s="2">
        <v>2.81</v>
      </c>
      <c r="H336" s="2">
        <v>3.54</v>
      </c>
      <c r="I336" s="2">
        <v>3.83</v>
      </c>
      <c r="J336" s="47">
        <f t="shared" si="25"/>
        <v>0.2597864768683274</v>
      </c>
      <c r="K336" s="47">
        <f t="shared" si="26"/>
        <v>8.1920903954802268E-2</v>
      </c>
      <c r="L336" s="8">
        <v>10.19</v>
      </c>
      <c r="M336" s="8">
        <v>9.68</v>
      </c>
      <c r="N336" s="8">
        <v>8.93</v>
      </c>
      <c r="O336" s="17">
        <f t="shared" si="27"/>
        <v>0.37261369863013699</v>
      </c>
      <c r="P336" s="17">
        <f t="shared" si="28"/>
        <v>1.0900758620689655</v>
      </c>
      <c r="Q336" s="5">
        <v>0.76</v>
      </c>
      <c r="R336" s="9">
        <v>6.49</v>
      </c>
      <c r="S336" s="9">
        <v>1.19</v>
      </c>
      <c r="T336" s="9">
        <v>54741.304680000001</v>
      </c>
      <c r="U336" s="9">
        <v>50571.040000000001</v>
      </c>
      <c r="V336" s="45">
        <f t="shared" si="29"/>
        <v>8.2463494521765823E-2</v>
      </c>
      <c r="W336" s="12">
        <v>51.92</v>
      </c>
      <c r="X336" s="12">
        <v>1.62</v>
      </c>
      <c r="Y336" s="12">
        <v>20210730</v>
      </c>
    </row>
    <row r="337" spans="1:25" x14ac:dyDescent="0.45">
      <c r="A337" s="3" t="s">
        <v>953</v>
      </c>
      <c r="B337" s="3" t="s">
        <v>954</v>
      </c>
      <c r="C337" s="6" t="s">
        <v>519</v>
      </c>
      <c r="D337" s="6" t="s">
        <v>175</v>
      </c>
      <c r="E337" s="6" t="s">
        <v>305</v>
      </c>
      <c r="F337" s="6">
        <v>3011</v>
      </c>
      <c r="G337" s="2">
        <v>-0.62</v>
      </c>
      <c r="H337" s="2">
        <v>-0.59</v>
      </c>
      <c r="I337" s="2">
        <v>-0.49</v>
      </c>
      <c r="J337" s="47">
        <f t="shared" si="25"/>
        <v>4.8387096774193589E-2</v>
      </c>
      <c r="K337" s="47">
        <f t="shared" si="26"/>
        <v>0.16949152542372878</v>
      </c>
      <c r="O337" s="17">
        <f t="shared" si="27"/>
        <v>0</v>
      </c>
      <c r="P337" s="17">
        <f t="shared" si="28"/>
        <v>0</v>
      </c>
      <c r="R337" s="9">
        <v>-21.52</v>
      </c>
      <c r="T337" s="9">
        <v>91.69</v>
      </c>
      <c r="U337" s="9">
        <v>65.89</v>
      </c>
      <c r="V337" s="45">
        <f t="shared" si="29"/>
        <v>0.39156169373197747</v>
      </c>
      <c r="W337" s="12">
        <v>-78.569999999999993</v>
      </c>
      <c r="X337" s="12">
        <v>0</v>
      </c>
      <c r="Y337" s="12">
        <v>20210810</v>
      </c>
    </row>
    <row r="338" spans="1:25" x14ac:dyDescent="0.45">
      <c r="A338" s="3" t="s">
        <v>955</v>
      </c>
      <c r="B338" s="3" t="s">
        <v>956</v>
      </c>
      <c r="C338" s="6" t="s">
        <v>518</v>
      </c>
      <c r="D338" s="6" t="s">
        <v>234</v>
      </c>
      <c r="E338" s="6" t="s">
        <v>105</v>
      </c>
      <c r="F338" s="6">
        <v>81092.08</v>
      </c>
      <c r="G338" s="2">
        <v>3.97</v>
      </c>
      <c r="H338" s="2">
        <v>5.98</v>
      </c>
      <c r="I338" s="2">
        <v>6.18</v>
      </c>
      <c r="J338" s="47">
        <f t="shared" si="25"/>
        <v>0.50629722921914366</v>
      </c>
      <c r="K338" s="47">
        <f t="shared" si="26"/>
        <v>3.3444816053511586E-2</v>
      </c>
      <c r="L338" s="8">
        <v>13.89</v>
      </c>
      <c r="M338" s="8">
        <v>11.17</v>
      </c>
      <c r="N338" s="8">
        <v>10.81</v>
      </c>
      <c r="O338" s="17">
        <f t="shared" si="27"/>
        <v>0.22062139303482584</v>
      </c>
      <c r="P338" s="17">
        <f t="shared" si="28"/>
        <v>3.2321900000000117</v>
      </c>
      <c r="Q338" s="5">
        <v>0.79</v>
      </c>
      <c r="R338" s="9">
        <v>12.15</v>
      </c>
      <c r="S338" s="9">
        <v>6.39</v>
      </c>
      <c r="T338" s="9">
        <v>25722.91992</v>
      </c>
      <c r="U338" s="9">
        <v>32520.43</v>
      </c>
      <c r="V338" s="45">
        <f t="shared" si="29"/>
        <v>-0.20902276138415143</v>
      </c>
      <c r="W338" s="12">
        <v>7.91</v>
      </c>
      <c r="X338" s="12">
        <v>3.06</v>
      </c>
      <c r="Y338" s="12">
        <v>20210824</v>
      </c>
    </row>
    <row r="339" spans="1:25" x14ac:dyDescent="0.45">
      <c r="A339" s="3" t="s">
        <v>957</v>
      </c>
      <c r="B339" s="3" t="s">
        <v>958</v>
      </c>
      <c r="C339" s="6" t="s">
        <v>520</v>
      </c>
      <c r="D339" s="6" t="s">
        <v>90</v>
      </c>
      <c r="E339" s="6" t="s">
        <v>196</v>
      </c>
      <c r="F339" s="6">
        <v>14472.79</v>
      </c>
      <c r="G339" s="2">
        <v>0.71</v>
      </c>
      <c r="H339" s="2">
        <v>0.79</v>
      </c>
      <c r="I339" s="2">
        <v>0.92</v>
      </c>
      <c r="J339" s="47">
        <f t="shared" si="25"/>
        <v>0.11267605633802827</v>
      </c>
      <c r="K339" s="47">
        <f t="shared" si="26"/>
        <v>0.16455696202531644</v>
      </c>
      <c r="L339" s="8">
        <v>27.15</v>
      </c>
      <c r="M339" s="8">
        <v>23.87</v>
      </c>
      <c r="N339" s="8">
        <v>20.48</v>
      </c>
      <c r="O339" s="17">
        <f t="shared" si="27"/>
        <v>2.1184624999999984</v>
      </c>
      <c r="P339" s="17">
        <f t="shared" si="28"/>
        <v>1.2445538461538463</v>
      </c>
      <c r="R339" s="9">
        <v>13.14</v>
      </c>
      <c r="S339" s="9">
        <v>4.07</v>
      </c>
      <c r="T339" s="9">
        <v>14996.384760000001</v>
      </c>
      <c r="U339" s="9">
        <v>13450.35</v>
      </c>
      <c r="V339" s="45">
        <f t="shared" si="29"/>
        <v>0.11494383120141859</v>
      </c>
      <c r="W339" s="12">
        <v>-5.26</v>
      </c>
      <c r="X339" s="12">
        <v>0.97</v>
      </c>
      <c r="Y339" s="12">
        <v>20210610</v>
      </c>
    </row>
    <row r="340" spans="1:25" x14ac:dyDescent="0.45">
      <c r="A340" s="3" t="s">
        <v>959</v>
      </c>
      <c r="B340" s="3" t="s">
        <v>960</v>
      </c>
      <c r="C340" s="6" t="s">
        <v>519</v>
      </c>
      <c r="D340" s="6" t="s">
        <v>279</v>
      </c>
      <c r="E340" s="6" t="s">
        <v>256</v>
      </c>
      <c r="F340" s="6">
        <v>58324.93</v>
      </c>
      <c r="G340" s="2">
        <v>-2.2999999999999998</v>
      </c>
      <c r="H340" s="2">
        <v>30.71</v>
      </c>
      <c r="I340" s="2">
        <v>25.05</v>
      </c>
      <c r="J340" s="47">
        <f t="shared" si="25"/>
        <v>14.352173913043478</v>
      </c>
      <c r="K340" s="47">
        <f t="shared" si="26"/>
        <v>-0.18430478671442527</v>
      </c>
      <c r="L340" s="8">
        <v>42.29</v>
      </c>
      <c r="M340" s="8">
        <v>7.86</v>
      </c>
      <c r="N340" s="8">
        <v>9.64</v>
      </c>
      <c r="O340" s="17">
        <f t="shared" si="27"/>
        <v>5.4765222659800064E-3</v>
      </c>
      <c r="P340" s="17">
        <f t="shared" si="28"/>
        <v>-0.52304664310954074</v>
      </c>
      <c r="R340" s="9">
        <v>91.61</v>
      </c>
      <c r="T340" s="9">
        <v>15196.19335</v>
      </c>
      <c r="U340" s="9">
        <v>550.91</v>
      </c>
      <c r="V340" s="45">
        <f t="shared" si="29"/>
        <v>26.583803797353472</v>
      </c>
      <c r="W340" s="12">
        <v>22.74</v>
      </c>
      <c r="X340" s="12">
        <v>0</v>
      </c>
      <c r="Y340" s="12">
        <v>20210810</v>
      </c>
    </row>
    <row r="341" spans="1:25" x14ac:dyDescent="0.45">
      <c r="A341" s="3" t="s">
        <v>961</v>
      </c>
      <c r="B341" s="3" t="s">
        <v>962</v>
      </c>
      <c r="C341" s="6" t="s">
        <v>518</v>
      </c>
      <c r="D341" s="6" t="s">
        <v>234</v>
      </c>
      <c r="E341" s="6" t="s">
        <v>181</v>
      </c>
      <c r="F341" s="6">
        <v>3589.04</v>
      </c>
      <c r="G341" s="2">
        <v>3.9</v>
      </c>
      <c r="H341" s="2">
        <v>5.5</v>
      </c>
      <c r="I341" s="2">
        <v>5.18</v>
      </c>
      <c r="J341" s="47">
        <f t="shared" si="25"/>
        <v>0.4102564102564103</v>
      </c>
      <c r="K341" s="47">
        <f t="shared" si="26"/>
        <v>-5.818181818181823E-2</v>
      </c>
      <c r="L341" s="8">
        <v>19.79</v>
      </c>
      <c r="M341" s="8">
        <v>16.16</v>
      </c>
      <c r="N341" s="8">
        <v>17.149999999999999</v>
      </c>
      <c r="O341" s="17">
        <f t="shared" si="27"/>
        <v>0.39389999999999997</v>
      </c>
      <c r="P341" s="17">
        <f t="shared" si="28"/>
        <v>-2.9476562499999974</v>
      </c>
      <c r="Q341" s="5">
        <v>2.02</v>
      </c>
      <c r="R341" s="9">
        <v>13.14</v>
      </c>
      <c r="S341" s="9">
        <v>3.72</v>
      </c>
      <c r="T341" s="9">
        <v>668.5</v>
      </c>
      <c r="U341" s="9">
        <v>730.83</v>
      </c>
      <c r="V341" s="45">
        <f t="shared" si="29"/>
        <v>-8.528659195708993E-2</v>
      </c>
      <c r="W341" s="12">
        <v>27.12</v>
      </c>
      <c r="X341" s="12">
        <v>3.02</v>
      </c>
      <c r="Y341" s="12">
        <v>20210726</v>
      </c>
    </row>
    <row r="342" spans="1:25" x14ac:dyDescent="0.45">
      <c r="A342" s="3" t="s">
        <v>4514</v>
      </c>
      <c r="B342" s="3" t="s">
        <v>4515</v>
      </c>
      <c r="C342" s="6" t="s">
        <v>520</v>
      </c>
      <c r="D342" s="6" t="s">
        <v>309</v>
      </c>
      <c r="E342" s="6" t="s">
        <v>311</v>
      </c>
      <c r="F342" s="6">
        <v>15882.28</v>
      </c>
      <c r="J342" s="47" t="e">
        <f t="shared" si="25"/>
        <v>#DIV/0!</v>
      </c>
      <c r="K342" s="47" t="e">
        <f t="shared" si="26"/>
        <v>#DIV/0!</v>
      </c>
      <c r="O342" s="17" t="e">
        <f t="shared" si="27"/>
        <v>#DIV/0!</v>
      </c>
      <c r="P342" s="17" t="e">
        <f t="shared" si="28"/>
        <v>#DIV/0!</v>
      </c>
      <c r="V342" s="45" t="e">
        <f t="shared" si="29"/>
        <v>#DIV/0!</v>
      </c>
      <c r="X342" s="12">
        <v>0</v>
      </c>
    </row>
    <row r="343" spans="1:25" x14ac:dyDescent="0.45">
      <c r="A343" s="3" t="s">
        <v>963</v>
      </c>
      <c r="B343" s="3" t="s">
        <v>964</v>
      </c>
      <c r="C343" s="6" t="s">
        <v>519</v>
      </c>
      <c r="D343" s="6" t="s">
        <v>234</v>
      </c>
      <c r="E343" s="6" t="s">
        <v>965</v>
      </c>
      <c r="F343" s="6">
        <v>6278.29</v>
      </c>
      <c r="G343" s="2">
        <v>6</v>
      </c>
      <c r="H343" s="2">
        <v>7.21</v>
      </c>
      <c r="I343" s="2">
        <v>6.26</v>
      </c>
      <c r="J343" s="47">
        <f t="shared" si="25"/>
        <v>0.20166666666666666</v>
      </c>
      <c r="K343" s="47">
        <f t="shared" si="26"/>
        <v>-0.13176144244105412</v>
      </c>
      <c r="L343" s="8">
        <v>12.16</v>
      </c>
      <c r="M343" s="8">
        <v>12.52</v>
      </c>
      <c r="N343" s="8">
        <v>14.42</v>
      </c>
      <c r="O343" s="17">
        <f t="shared" si="27"/>
        <v>0.62082644628099182</v>
      </c>
      <c r="P343" s="17">
        <f t="shared" si="28"/>
        <v>-1.0944021052631576</v>
      </c>
      <c r="R343" s="9">
        <v>9.94</v>
      </c>
      <c r="S343" s="9">
        <v>9.92</v>
      </c>
      <c r="T343" s="9">
        <v>1798.5550499999999</v>
      </c>
      <c r="U343" s="9">
        <v>2112.9499999999998</v>
      </c>
      <c r="V343" s="45">
        <f t="shared" si="29"/>
        <v>-0.14879431600369147</v>
      </c>
      <c r="W343" s="12">
        <v>9.3699999999999992</v>
      </c>
      <c r="X343" s="12">
        <v>2.2999999999999998</v>
      </c>
      <c r="Y343" s="12">
        <v>20210728</v>
      </c>
    </row>
    <row r="344" spans="1:25" x14ac:dyDescent="0.45">
      <c r="A344" s="3" t="s">
        <v>4049</v>
      </c>
      <c r="B344" s="3" t="s">
        <v>4050</v>
      </c>
      <c r="C344" s="6" t="s">
        <v>520</v>
      </c>
      <c r="D344" s="6" t="s">
        <v>216</v>
      </c>
      <c r="E344" s="6" t="s">
        <v>1256</v>
      </c>
      <c r="F344" s="6">
        <v>4100.8</v>
      </c>
      <c r="G344" s="2">
        <v>-0.71</v>
      </c>
      <c r="H344" s="2">
        <v>0.25</v>
      </c>
      <c r="I344" s="2">
        <v>0.5</v>
      </c>
      <c r="J344" s="47">
        <f t="shared" si="25"/>
        <v>1.352112676056338</v>
      </c>
      <c r="K344" s="47">
        <f t="shared" si="26"/>
        <v>1</v>
      </c>
      <c r="M344" s="8">
        <v>45.69</v>
      </c>
      <c r="N344" s="8">
        <v>23.3</v>
      </c>
      <c r="O344" s="17">
        <f t="shared" si="27"/>
        <v>0.337915625</v>
      </c>
      <c r="P344" s="17">
        <f t="shared" si="28"/>
        <v>0.23300000000000001</v>
      </c>
      <c r="R344" s="9">
        <v>-41.86</v>
      </c>
      <c r="S344" s="9">
        <v>0.75</v>
      </c>
      <c r="T344" s="9">
        <v>2819.5148899999999</v>
      </c>
      <c r="U344" s="9">
        <v>2222.5500000000002</v>
      </c>
      <c r="V344" s="45">
        <f t="shared" si="29"/>
        <v>0.26859458279903703</v>
      </c>
      <c r="X344" s="12">
        <v>0.06</v>
      </c>
      <c r="Y344" s="12">
        <v>20210803</v>
      </c>
    </row>
    <row r="345" spans="1:25" x14ac:dyDescent="0.45">
      <c r="A345" s="3" t="s">
        <v>4051</v>
      </c>
      <c r="B345" s="3" t="s">
        <v>4052</v>
      </c>
      <c r="C345" s="6" t="s">
        <v>520</v>
      </c>
      <c r="D345" s="6" t="s">
        <v>272</v>
      </c>
      <c r="E345" s="6" t="s">
        <v>233</v>
      </c>
      <c r="F345" s="6">
        <v>79234.98</v>
      </c>
      <c r="G345" s="2">
        <v>1.64</v>
      </c>
      <c r="H345" s="2">
        <v>3.18</v>
      </c>
      <c r="I345" s="2">
        <v>3.53</v>
      </c>
      <c r="J345" s="47">
        <f t="shared" si="25"/>
        <v>0.93902439024390261</v>
      </c>
      <c r="K345" s="47">
        <f t="shared" si="26"/>
        <v>0.11006289308176088</v>
      </c>
      <c r="L345" s="8">
        <v>14.53</v>
      </c>
      <c r="M345" s="8">
        <v>13.12</v>
      </c>
      <c r="N345" s="8">
        <v>11.82</v>
      </c>
      <c r="O345" s="17">
        <f t="shared" si="27"/>
        <v>0.13971948051948049</v>
      </c>
      <c r="P345" s="17">
        <f t="shared" si="28"/>
        <v>1.0739314285714299</v>
      </c>
      <c r="R345" s="9">
        <v>8.11</v>
      </c>
      <c r="S345" s="9">
        <v>3.91</v>
      </c>
      <c r="T345" s="9">
        <v>43856.261709999999</v>
      </c>
      <c r="U345" s="9">
        <v>39627.589999999997</v>
      </c>
      <c r="V345" s="45">
        <f t="shared" si="29"/>
        <v>0.10671029224840579</v>
      </c>
      <c r="X345" s="12">
        <v>0</v>
      </c>
      <c r="Y345" s="12">
        <v>20210726</v>
      </c>
    </row>
    <row r="346" spans="1:25" x14ac:dyDescent="0.45">
      <c r="A346" s="3" t="s">
        <v>4053</v>
      </c>
      <c r="B346" s="3" t="s">
        <v>4054</v>
      </c>
      <c r="C346" s="6" t="s">
        <v>518</v>
      </c>
      <c r="D346" s="6" t="s">
        <v>189</v>
      </c>
      <c r="E346" s="6" t="s">
        <v>248</v>
      </c>
      <c r="F346" s="6">
        <v>3937.35</v>
      </c>
      <c r="G346" s="2">
        <v>0.65</v>
      </c>
      <c r="H346" s="2">
        <v>0.76</v>
      </c>
      <c r="I346" s="2">
        <v>1</v>
      </c>
      <c r="J346" s="47">
        <f t="shared" si="25"/>
        <v>0.16923076923076921</v>
      </c>
      <c r="K346" s="47">
        <f t="shared" si="26"/>
        <v>0.31578947368421051</v>
      </c>
      <c r="L346" s="8">
        <v>31.58</v>
      </c>
      <c r="M346" s="8">
        <v>32.58</v>
      </c>
      <c r="N346" s="8">
        <v>24.53</v>
      </c>
      <c r="O346" s="17">
        <f t="shared" si="27"/>
        <v>1.9251818181818185</v>
      </c>
      <c r="P346" s="17">
        <f t="shared" si="28"/>
        <v>0.77678333333333338</v>
      </c>
      <c r="R346" s="9">
        <v>-26.18</v>
      </c>
      <c r="S346" s="9">
        <v>18.5</v>
      </c>
      <c r="T346" s="9">
        <v>849.81596999999999</v>
      </c>
      <c r="U346" s="9">
        <v>770.77</v>
      </c>
      <c r="V346" s="45">
        <f t="shared" si="29"/>
        <v>0.10255454934675716</v>
      </c>
      <c r="W346" s="12">
        <v>5.88</v>
      </c>
      <c r="X346" s="12">
        <v>0</v>
      </c>
      <c r="Y346" s="12">
        <v>20210825</v>
      </c>
    </row>
    <row r="347" spans="1:25" x14ac:dyDescent="0.45">
      <c r="A347" s="3" t="s">
        <v>966</v>
      </c>
      <c r="B347" s="3" t="s">
        <v>967</v>
      </c>
      <c r="C347" s="6" t="s">
        <v>518</v>
      </c>
      <c r="D347" s="6" t="s">
        <v>289</v>
      </c>
      <c r="E347" s="6" t="s">
        <v>275</v>
      </c>
      <c r="F347" s="6">
        <v>93591.1</v>
      </c>
      <c r="G347" s="2">
        <v>-1.62</v>
      </c>
      <c r="H347" s="2">
        <v>2.44</v>
      </c>
      <c r="I347" s="2">
        <v>2.72</v>
      </c>
      <c r="J347" s="47">
        <f t="shared" si="25"/>
        <v>2.5061728395061729</v>
      </c>
      <c r="K347" s="47">
        <f t="shared" si="26"/>
        <v>0.11475409836065584</v>
      </c>
      <c r="M347" s="8">
        <v>11.28</v>
      </c>
      <c r="N347" s="8">
        <v>10.130000000000001</v>
      </c>
      <c r="O347" s="17">
        <f t="shared" si="27"/>
        <v>4.5008866995073886E-2</v>
      </c>
      <c r="P347" s="17">
        <f t="shared" si="28"/>
        <v>0.88275714285714213</v>
      </c>
      <c r="Q347" s="5">
        <v>0.57999999999999996</v>
      </c>
      <c r="R347" s="9">
        <v>-4.5199999999999996</v>
      </c>
      <c r="S347" s="9">
        <v>2.23</v>
      </c>
      <c r="T347" s="9">
        <v>199345.70311999999</v>
      </c>
      <c r="U347" s="9">
        <v>183500</v>
      </c>
      <c r="V347" s="45">
        <f t="shared" si="29"/>
        <v>8.6352605558583054E-2</v>
      </c>
      <c r="W347" s="12">
        <v>79.069999999999993</v>
      </c>
      <c r="X347" s="12">
        <v>4.49</v>
      </c>
      <c r="Y347" s="12">
        <v>20210803</v>
      </c>
    </row>
    <row r="348" spans="1:25" x14ac:dyDescent="0.45">
      <c r="A348" s="3" t="s">
        <v>968</v>
      </c>
      <c r="B348" s="3" t="s">
        <v>969</v>
      </c>
      <c r="C348" s="6" t="s">
        <v>519</v>
      </c>
      <c r="D348" s="6" t="s">
        <v>279</v>
      </c>
      <c r="E348" s="6" t="s">
        <v>256</v>
      </c>
      <c r="F348" s="6">
        <v>4840.6000000000004</v>
      </c>
      <c r="G348" s="2">
        <v>5.47</v>
      </c>
      <c r="H348" s="2">
        <v>-6.66</v>
      </c>
      <c r="I348" s="2">
        <v>-5.7</v>
      </c>
      <c r="J348" s="47">
        <f t="shared" si="25"/>
        <v>-2.2175502742230346</v>
      </c>
      <c r="K348" s="47">
        <f t="shared" si="26"/>
        <v>0.14414414414414414</v>
      </c>
      <c r="L348" s="8">
        <v>14.74</v>
      </c>
      <c r="O348" s="17">
        <f t="shared" si="27"/>
        <v>0</v>
      </c>
      <c r="P348" s="17">
        <f t="shared" si="28"/>
        <v>0</v>
      </c>
      <c r="R348" s="9">
        <v>27.25</v>
      </c>
      <c r="S348" s="9">
        <v>85.07</v>
      </c>
      <c r="T348" s="9">
        <v>145.72200000000001</v>
      </c>
      <c r="U348" s="9">
        <v>793.73</v>
      </c>
      <c r="V348" s="45">
        <f t="shared" si="29"/>
        <v>-0.81640860242147839</v>
      </c>
      <c r="W348" s="12">
        <v>4.4400000000000004</v>
      </c>
      <c r="X348" s="12">
        <v>0</v>
      </c>
      <c r="Y348" s="12">
        <v>20210729</v>
      </c>
    </row>
    <row r="349" spans="1:25" x14ac:dyDescent="0.45">
      <c r="A349" s="3" t="s">
        <v>970</v>
      </c>
      <c r="B349" s="3" t="s">
        <v>971</v>
      </c>
      <c r="C349" s="6" t="s">
        <v>519</v>
      </c>
      <c r="D349" s="6" t="s">
        <v>234</v>
      </c>
      <c r="E349" s="6" t="s">
        <v>172</v>
      </c>
      <c r="F349" s="6">
        <v>6470.08</v>
      </c>
      <c r="G349" s="2">
        <v>5.59</v>
      </c>
      <c r="H349" s="2">
        <v>9.26</v>
      </c>
      <c r="I349" s="2">
        <v>7.51</v>
      </c>
      <c r="J349" s="47">
        <f t="shared" si="25"/>
        <v>0.65652951699463324</v>
      </c>
      <c r="K349" s="47">
        <f t="shared" si="26"/>
        <v>-0.18898488120950324</v>
      </c>
      <c r="L349" s="8">
        <v>9.2200000000000006</v>
      </c>
      <c r="M349" s="8">
        <v>8.67</v>
      </c>
      <c r="N349" s="8">
        <v>10.69</v>
      </c>
      <c r="O349" s="17">
        <f t="shared" si="27"/>
        <v>0.13205803814713896</v>
      </c>
      <c r="P349" s="17">
        <f t="shared" si="28"/>
        <v>-0.5656537142857142</v>
      </c>
      <c r="R349" s="9">
        <v>12.47</v>
      </c>
      <c r="S349" s="9">
        <v>8.75</v>
      </c>
      <c r="T349" s="9">
        <v>2488.8400799999999</v>
      </c>
      <c r="U349" s="9">
        <v>2603.86</v>
      </c>
      <c r="V349" s="45">
        <f t="shared" si="29"/>
        <v>-4.4172851074942655E-2</v>
      </c>
      <c r="W349" s="12">
        <v>63.35</v>
      </c>
      <c r="X349" s="12">
        <v>2.2400000000000002</v>
      </c>
      <c r="Y349" s="12">
        <v>20210722</v>
      </c>
    </row>
    <row r="350" spans="1:25" x14ac:dyDescent="0.45">
      <c r="A350" s="3" t="s">
        <v>4516</v>
      </c>
      <c r="B350" s="3" t="s">
        <v>4517</v>
      </c>
      <c r="C350" s="6" t="s">
        <v>519</v>
      </c>
      <c r="D350" s="6" t="s">
        <v>234</v>
      </c>
      <c r="E350" s="6" t="s">
        <v>523</v>
      </c>
      <c r="F350" s="6">
        <v>8051.89</v>
      </c>
      <c r="J350" s="47" t="e">
        <f t="shared" si="25"/>
        <v>#DIV/0!</v>
      </c>
      <c r="K350" s="47" t="e">
        <f t="shared" si="26"/>
        <v>#DIV/0!</v>
      </c>
      <c r="L350" s="8">
        <v>19.36</v>
      </c>
      <c r="O350" s="17" t="e">
        <f t="shared" si="27"/>
        <v>#DIV/0!</v>
      </c>
      <c r="P350" s="17" t="e">
        <f t="shared" si="28"/>
        <v>#DIV/0!</v>
      </c>
      <c r="R350" s="9">
        <v>-2.02</v>
      </c>
      <c r="S350" s="9">
        <v>4.5599999999999996</v>
      </c>
      <c r="U350" s="9">
        <v>6099</v>
      </c>
      <c r="V350" s="45">
        <f t="shared" si="29"/>
        <v>-1</v>
      </c>
      <c r="X350" s="12">
        <v>3.58</v>
      </c>
      <c r="Y350" s="12">
        <v>20210805</v>
      </c>
    </row>
    <row r="351" spans="1:25" x14ac:dyDescent="0.45">
      <c r="A351" s="3" t="s">
        <v>972</v>
      </c>
      <c r="B351" s="3" t="s">
        <v>973</v>
      </c>
      <c r="C351" s="6" t="s">
        <v>518</v>
      </c>
      <c r="D351" s="6" t="s">
        <v>175</v>
      </c>
      <c r="E351" s="6" t="s">
        <v>281</v>
      </c>
      <c r="F351" s="6">
        <v>18472.11</v>
      </c>
      <c r="G351" s="2">
        <v>4.99</v>
      </c>
      <c r="H351" s="2">
        <v>5.64</v>
      </c>
      <c r="I351" s="2">
        <v>6.21</v>
      </c>
      <c r="J351" s="47">
        <f t="shared" si="25"/>
        <v>0.13026052104208405</v>
      </c>
      <c r="K351" s="47">
        <f t="shared" si="26"/>
        <v>0.10106382978723411</v>
      </c>
      <c r="L351" s="8">
        <v>28.3</v>
      </c>
      <c r="M351" s="8">
        <v>28.2</v>
      </c>
      <c r="N351" s="8">
        <v>25.62</v>
      </c>
      <c r="O351" s="17">
        <f t="shared" si="27"/>
        <v>2.1648923076923094</v>
      </c>
      <c r="P351" s="17">
        <f t="shared" si="28"/>
        <v>2.535031578947367</v>
      </c>
      <c r="R351" s="9">
        <v>45.63</v>
      </c>
      <c r="S351" s="9">
        <v>7.49</v>
      </c>
      <c r="T351" s="9">
        <v>4935.0078100000001</v>
      </c>
      <c r="U351" s="9">
        <v>4529</v>
      </c>
      <c r="V351" s="45">
        <f t="shared" si="29"/>
        <v>8.9646237580039756E-2</v>
      </c>
      <c r="W351" s="12">
        <v>5.39</v>
      </c>
      <c r="X351" s="12">
        <v>1.45</v>
      </c>
      <c r="Y351" s="12">
        <v>20210810</v>
      </c>
    </row>
    <row r="352" spans="1:25" x14ac:dyDescent="0.45">
      <c r="A352" s="3" t="s">
        <v>4055</v>
      </c>
      <c r="B352" s="3" t="s">
        <v>4056</v>
      </c>
      <c r="C352" s="6" t="s">
        <v>518</v>
      </c>
      <c r="D352" s="6" t="s">
        <v>272</v>
      </c>
      <c r="E352" s="6" t="s">
        <v>297</v>
      </c>
      <c r="F352" s="6">
        <v>3151.38</v>
      </c>
      <c r="G352" s="2">
        <v>2.2799999999999998</v>
      </c>
      <c r="H352" s="2">
        <v>2.65</v>
      </c>
      <c r="I352" s="2">
        <v>2.9</v>
      </c>
      <c r="J352" s="47">
        <f t="shared" si="25"/>
        <v>0.16228070175438603</v>
      </c>
      <c r="K352" s="47">
        <f t="shared" si="26"/>
        <v>9.4339622641509441E-2</v>
      </c>
      <c r="L352" s="8">
        <v>24.51</v>
      </c>
      <c r="M352" s="8">
        <v>22.84</v>
      </c>
      <c r="N352" s="8">
        <v>20.87</v>
      </c>
      <c r="O352" s="17">
        <f t="shared" si="27"/>
        <v>1.4074378378378372</v>
      </c>
      <c r="P352" s="17">
        <f t="shared" si="28"/>
        <v>2.2122199999999999</v>
      </c>
      <c r="Q352" s="5">
        <v>3.26</v>
      </c>
      <c r="R352" s="9">
        <v>14.31</v>
      </c>
      <c r="S352" s="9">
        <v>-0.6</v>
      </c>
      <c r="T352" s="9">
        <v>1139.09997</v>
      </c>
      <c r="U352" s="9">
        <v>1081.3</v>
      </c>
      <c r="V352" s="45">
        <f t="shared" si="29"/>
        <v>5.3454147785073555E-2</v>
      </c>
      <c r="W352" s="12">
        <v>2.9</v>
      </c>
      <c r="X352" s="12">
        <v>1.45</v>
      </c>
      <c r="Y352" s="12">
        <v>20210915</v>
      </c>
    </row>
    <row r="353" spans="1:25" x14ac:dyDescent="0.45">
      <c r="A353" s="3" t="s">
        <v>974</v>
      </c>
      <c r="B353" s="3" t="s">
        <v>975</v>
      </c>
      <c r="C353" s="6" t="s">
        <v>520</v>
      </c>
      <c r="D353" s="6" t="s">
        <v>46</v>
      </c>
      <c r="E353" s="6" t="s">
        <v>976</v>
      </c>
      <c r="F353" s="6">
        <v>32052.27</v>
      </c>
      <c r="G353" s="2">
        <v>-0.19</v>
      </c>
      <c r="H353" s="2">
        <v>2.39</v>
      </c>
      <c r="I353" s="2">
        <v>1.78</v>
      </c>
      <c r="J353" s="47">
        <f t="shared" si="25"/>
        <v>13.578947368421053</v>
      </c>
      <c r="K353" s="47">
        <f t="shared" si="26"/>
        <v>-0.25523012552301261</v>
      </c>
      <c r="L353" s="8">
        <v>172.73</v>
      </c>
      <c r="M353" s="8">
        <v>9.3800000000000008</v>
      </c>
      <c r="N353" s="8">
        <v>12.61</v>
      </c>
      <c r="O353" s="17">
        <f t="shared" si="27"/>
        <v>6.9077519379844967E-3</v>
      </c>
      <c r="P353" s="17">
        <f t="shared" si="28"/>
        <v>-0.49406393442622937</v>
      </c>
      <c r="R353" s="9">
        <v>0.83</v>
      </c>
      <c r="S353" s="9">
        <v>-1.53</v>
      </c>
      <c r="T353" s="9">
        <v>29393.105459999999</v>
      </c>
      <c r="U353" s="9">
        <v>28067.67</v>
      </c>
      <c r="V353" s="45">
        <f t="shared" si="29"/>
        <v>4.7222853197290714E-2</v>
      </c>
      <c r="X353" s="12">
        <v>0</v>
      </c>
      <c r="Y353" s="12">
        <v>20210806</v>
      </c>
    </row>
    <row r="354" spans="1:25" x14ac:dyDescent="0.45">
      <c r="A354" s="3" t="s">
        <v>977</v>
      </c>
      <c r="B354" s="3" t="s">
        <v>978</v>
      </c>
      <c r="C354" s="6" t="s">
        <v>518</v>
      </c>
      <c r="D354" s="6" t="s">
        <v>225</v>
      </c>
      <c r="E354" s="6" t="s">
        <v>226</v>
      </c>
      <c r="F354" s="6">
        <v>4395.4799999999996</v>
      </c>
      <c r="G354" s="2">
        <v>0.26</v>
      </c>
      <c r="H354" s="2">
        <v>0.36</v>
      </c>
      <c r="I354" s="2">
        <v>0.31</v>
      </c>
      <c r="J354" s="47">
        <f t="shared" si="25"/>
        <v>0.38461538461538453</v>
      </c>
      <c r="K354" s="47">
        <f t="shared" si="26"/>
        <v>-0.13888888888888887</v>
      </c>
      <c r="L354" s="8">
        <v>15.91</v>
      </c>
      <c r="M354" s="8">
        <v>15.03</v>
      </c>
      <c r="N354" s="8">
        <v>17.739999999999998</v>
      </c>
      <c r="O354" s="17">
        <f t="shared" si="27"/>
        <v>0.39078000000000007</v>
      </c>
      <c r="P354" s="17">
        <f t="shared" si="28"/>
        <v>-1.27728</v>
      </c>
      <c r="R354" s="9">
        <v>18.23</v>
      </c>
      <c r="S354" s="9">
        <v>-6.82</v>
      </c>
      <c r="U354" s="9">
        <v>7662.53</v>
      </c>
      <c r="V354" s="45">
        <f t="shared" si="29"/>
        <v>-1</v>
      </c>
      <c r="W354" s="12">
        <v>-66.67</v>
      </c>
      <c r="X354" s="12">
        <v>0</v>
      </c>
      <c r="Y354" s="12">
        <v>20210813</v>
      </c>
    </row>
    <row r="355" spans="1:25" x14ac:dyDescent="0.45">
      <c r="A355" s="3" t="s">
        <v>979</v>
      </c>
      <c r="B355" s="3" t="s">
        <v>4518</v>
      </c>
      <c r="C355" s="6" t="s">
        <v>518</v>
      </c>
      <c r="D355" s="6" t="s">
        <v>234</v>
      </c>
      <c r="E355" s="6" t="s">
        <v>244</v>
      </c>
      <c r="F355" s="6">
        <v>659376.93999999994</v>
      </c>
      <c r="J355" s="47" t="e">
        <f t="shared" si="25"/>
        <v>#DIV/0!</v>
      </c>
      <c r="K355" s="47" t="e">
        <f t="shared" si="26"/>
        <v>#DIV/0!</v>
      </c>
      <c r="L355" s="8">
        <v>29.51</v>
      </c>
      <c r="O355" s="17" t="e">
        <f t="shared" si="27"/>
        <v>#DIV/0!</v>
      </c>
      <c r="P355" s="17" t="e">
        <f t="shared" si="28"/>
        <v>#DIV/0!</v>
      </c>
      <c r="R355" s="9">
        <v>5.34</v>
      </c>
      <c r="S355" s="9">
        <v>2.6</v>
      </c>
      <c r="U355" s="9">
        <v>245510</v>
      </c>
      <c r="V355" s="45">
        <f t="shared" si="29"/>
        <v>-1</v>
      </c>
      <c r="X355" s="12">
        <v>0</v>
      </c>
      <c r="Y355" s="12">
        <v>20210813</v>
      </c>
    </row>
    <row r="356" spans="1:25" x14ac:dyDescent="0.45">
      <c r="A356" s="3" t="s">
        <v>979</v>
      </c>
      <c r="B356" s="3" t="s">
        <v>980</v>
      </c>
      <c r="C356" s="6" t="s">
        <v>518</v>
      </c>
      <c r="D356" s="6" t="s">
        <v>234</v>
      </c>
      <c r="E356" s="6" t="s">
        <v>244</v>
      </c>
      <c r="F356" s="6">
        <v>658988.88</v>
      </c>
      <c r="G356" s="2">
        <v>9.4</v>
      </c>
      <c r="H356" s="2">
        <v>11.06</v>
      </c>
      <c r="I356" s="2">
        <v>11.85</v>
      </c>
      <c r="J356" s="47">
        <f t="shared" si="25"/>
        <v>0.17659574468085107</v>
      </c>
      <c r="K356" s="47">
        <f t="shared" si="26"/>
        <v>7.1428571428571341E-2</v>
      </c>
      <c r="L356" s="8">
        <v>29.51</v>
      </c>
      <c r="M356" s="8">
        <v>26.1</v>
      </c>
      <c r="N356" s="8">
        <v>24.34</v>
      </c>
      <c r="O356" s="17">
        <f t="shared" si="27"/>
        <v>1.4779518072289157</v>
      </c>
      <c r="P356" s="17">
        <f t="shared" si="28"/>
        <v>3.407600000000004</v>
      </c>
      <c r="Q356" s="5">
        <v>3.73</v>
      </c>
      <c r="R356" s="9">
        <v>5.34</v>
      </c>
      <c r="S356" s="9">
        <v>2.6</v>
      </c>
      <c r="T356" s="9">
        <v>284119.3125</v>
      </c>
      <c r="U356" s="9">
        <v>245510</v>
      </c>
      <c r="V356" s="45">
        <f t="shared" si="29"/>
        <v>0.15726166958576027</v>
      </c>
      <c r="W356" s="12">
        <v>18.22</v>
      </c>
      <c r="X356" s="12">
        <v>0</v>
      </c>
      <c r="Y356" s="12">
        <v>20210813</v>
      </c>
    </row>
    <row r="357" spans="1:25" x14ac:dyDescent="0.45">
      <c r="A357" s="3" t="s">
        <v>981</v>
      </c>
      <c r="B357" s="3" t="s">
        <v>982</v>
      </c>
      <c r="C357" s="6" t="s">
        <v>519</v>
      </c>
      <c r="D357" s="6" t="s">
        <v>189</v>
      </c>
      <c r="E357" s="6" t="s">
        <v>237</v>
      </c>
      <c r="F357" s="6">
        <v>10980.74</v>
      </c>
      <c r="G357" s="2">
        <v>1.34</v>
      </c>
      <c r="H357" s="2">
        <v>1.87</v>
      </c>
      <c r="I357" s="2">
        <v>2.13</v>
      </c>
      <c r="J357" s="47">
        <f t="shared" si="25"/>
        <v>0.39552238805970147</v>
      </c>
      <c r="K357" s="47">
        <f t="shared" si="26"/>
        <v>0.1390374331550801</v>
      </c>
      <c r="L357" s="8">
        <v>43.92</v>
      </c>
      <c r="M357" s="8">
        <v>38.86</v>
      </c>
      <c r="N357" s="8">
        <v>33.97</v>
      </c>
      <c r="O357" s="17">
        <f t="shared" si="27"/>
        <v>0.98249811320754721</v>
      </c>
      <c r="P357" s="17">
        <f t="shared" si="28"/>
        <v>2.4432269230769252</v>
      </c>
      <c r="Q357" s="5">
        <v>2.0299999999999998</v>
      </c>
      <c r="R357" s="9">
        <v>26.44</v>
      </c>
      <c r="S357" s="9">
        <v>6.05</v>
      </c>
      <c r="T357" s="9">
        <v>2309.12988</v>
      </c>
      <c r="U357" s="9">
        <v>1987.5</v>
      </c>
      <c r="V357" s="45">
        <f t="shared" si="29"/>
        <v>0.16182635471698112</v>
      </c>
      <c r="W357" s="12">
        <v>37.5</v>
      </c>
      <c r="X357" s="12">
        <v>0.22</v>
      </c>
      <c r="Y357" s="12">
        <v>20210802</v>
      </c>
    </row>
    <row r="358" spans="1:25" x14ac:dyDescent="0.45">
      <c r="A358" s="3" t="s">
        <v>983</v>
      </c>
      <c r="B358" s="3" t="s">
        <v>984</v>
      </c>
      <c r="C358" s="6" t="s">
        <v>519</v>
      </c>
      <c r="D358" s="6" t="s">
        <v>189</v>
      </c>
      <c r="E358" s="6" t="s">
        <v>914</v>
      </c>
      <c r="F358" s="6">
        <v>7151.06</v>
      </c>
      <c r="G358" s="2">
        <v>1.1399999999999999</v>
      </c>
      <c r="H358" s="2">
        <v>2.48</v>
      </c>
      <c r="I358" s="2">
        <v>2.72</v>
      </c>
      <c r="J358" s="47">
        <f t="shared" si="25"/>
        <v>1.1754385964912282</v>
      </c>
      <c r="K358" s="47">
        <f t="shared" si="26"/>
        <v>9.6774193548387177E-2</v>
      </c>
      <c r="L358" s="8">
        <v>45.62</v>
      </c>
      <c r="M358" s="8">
        <v>38.81</v>
      </c>
      <c r="N358" s="8">
        <v>35.42</v>
      </c>
      <c r="O358" s="17">
        <f t="shared" si="27"/>
        <v>0.33017462686567162</v>
      </c>
      <c r="P358" s="17">
        <f t="shared" si="28"/>
        <v>3.6600666666666641</v>
      </c>
      <c r="R358" s="9">
        <v>11.28</v>
      </c>
      <c r="S358" s="9">
        <v>10.83</v>
      </c>
      <c r="T358" s="9">
        <v>1159.93298</v>
      </c>
      <c r="U358" s="9">
        <v>897.27</v>
      </c>
      <c r="V358" s="45">
        <f t="shared" si="29"/>
        <v>0.29273572057463204</v>
      </c>
      <c r="W358" s="12">
        <v>35.29</v>
      </c>
      <c r="X358" s="12">
        <v>0.42</v>
      </c>
      <c r="Y358" s="12">
        <v>20210729</v>
      </c>
    </row>
    <row r="359" spans="1:25" x14ac:dyDescent="0.45">
      <c r="A359" s="3" t="s">
        <v>985</v>
      </c>
      <c r="B359" s="3" t="s">
        <v>986</v>
      </c>
      <c r="C359" s="6" t="s">
        <v>518</v>
      </c>
      <c r="D359" s="6" t="s">
        <v>234</v>
      </c>
      <c r="E359" s="6" t="s">
        <v>240</v>
      </c>
      <c r="F359" s="6">
        <v>14577.19</v>
      </c>
      <c r="G359" s="2">
        <v>1.64</v>
      </c>
      <c r="H359" s="2">
        <v>1.97</v>
      </c>
      <c r="I359" s="2">
        <v>2.12</v>
      </c>
      <c r="J359" s="47">
        <f t="shared" si="25"/>
        <v>0.20121951219512202</v>
      </c>
      <c r="K359" s="47">
        <f t="shared" si="26"/>
        <v>7.6142131979695507E-2</v>
      </c>
      <c r="L359" s="8">
        <v>27.51</v>
      </c>
      <c r="M359" s="8">
        <v>26.31</v>
      </c>
      <c r="N359" s="8">
        <v>24.35</v>
      </c>
      <c r="O359" s="17">
        <f t="shared" si="27"/>
        <v>1.3075272727272722</v>
      </c>
      <c r="P359" s="17">
        <f t="shared" si="28"/>
        <v>3.1979666666666637</v>
      </c>
      <c r="R359" s="9">
        <v>14.42</v>
      </c>
      <c r="S359" s="9">
        <v>10.7</v>
      </c>
      <c r="T359" s="9">
        <v>2936.58007</v>
      </c>
      <c r="U359" s="9">
        <v>2613.4</v>
      </c>
      <c r="V359" s="45">
        <f t="shared" si="29"/>
        <v>0.12366268845182517</v>
      </c>
      <c r="W359" s="12">
        <v>25</v>
      </c>
      <c r="X359" s="12">
        <v>0.72</v>
      </c>
      <c r="Y359" s="12">
        <v>20210726</v>
      </c>
    </row>
    <row r="360" spans="1:25" x14ac:dyDescent="0.45">
      <c r="A360" s="3" t="s">
        <v>987</v>
      </c>
      <c r="B360" s="3" t="s">
        <v>988</v>
      </c>
      <c r="C360" s="6" t="s">
        <v>520</v>
      </c>
      <c r="D360" s="6" t="s">
        <v>189</v>
      </c>
      <c r="E360" s="6" t="s">
        <v>908</v>
      </c>
      <c r="F360" s="6">
        <v>5342.74</v>
      </c>
      <c r="G360" s="2">
        <v>3.75</v>
      </c>
      <c r="H360" s="2">
        <v>3.48</v>
      </c>
      <c r="I360" s="2">
        <v>3.78</v>
      </c>
      <c r="J360" s="47">
        <f t="shared" si="25"/>
        <v>-7.2000000000000008E-2</v>
      </c>
      <c r="K360" s="47">
        <f t="shared" si="26"/>
        <v>8.6206896551724088E-2</v>
      </c>
      <c r="L360" s="8">
        <v>24.26</v>
      </c>
      <c r="M360" s="8">
        <v>11.71</v>
      </c>
      <c r="N360" s="8">
        <v>10.78</v>
      </c>
      <c r="O360" s="17">
        <f t="shared" si="27"/>
        <v>-1.6263888888888887</v>
      </c>
      <c r="P360" s="17">
        <f t="shared" si="28"/>
        <v>1.2504800000000005</v>
      </c>
      <c r="R360" s="9">
        <v>4.8499999999999996</v>
      </c>
      <c r="S360" s="9">
        <v>0.24</v>
      </c>
      <c r="T360" s="9">
        <v>6119.0497999999998</v>
      </c>
      <c r="U360" s="9">
        <v>5743.75</v>
      </c>
      <c r="V360" s="45">
        <f t="shared" si="29"/>
        <v>6.5340552774755131E-2</v>
      </c>
      <c r="W360" s="12">
        <v>140</v>
      </c>
      <c r="X360" s="12">
        <v>2.2599999999999998</v>
      </c>
      <c r="Y360" s="12">
        <v>20210803</v>
      </c>
    </row>
    <row r="361" spans="1:25" x14ac:dyDescent="0.45">
      <c r="A361" s="3" t="s">
        <v>989</v>
      </c>
      <c r="B361" s="3" t="s">
        <v>990</v>
      </c>
      <c r="C361" s="6" t="s">
        <v>518</v>
      </c>
      <c r="D361" s="6" t="s">
        <v>234</v>
      </c>
      <c r="E361" s="6" t="s">
        <v>288</v>
      </c>
      <c r="F361" s="6">
        <v>7212.52</v>
      </c>
      <c r="G361" s="2">
        <v>1.48</v>
      </c>
      <c r="H361" s="2">
        <v>1.68</v>
      </c>
      <c r="I361" s="2">
        <v>1.79</v>
      </c>
      <c r="J361" s="47">
        <f t="shared" si="25"/>
        <v>0.13513513513513511</v>
      </c>
      <c r="K361" s="47">
        <f t="shared" si="26"/>
        <v>6.5476190476190535E-2</v>
      </c>
      <c r="L361" s="8">
        <v>16.52</v>
      </c>
      <c r="M361" s="8">
        <v>14.41</v>
      </c>
      <c r="N361" s="8">
        <v>13.54</v>
      </c>
      <c r="O361" s="17">
        <f t="shared" si="27"/>
        <v>1.0663400000000001</v>
      </c>
      <c r="P361" s="17">
        <f t="shared" si="28"/>
        <v>2.0679272727272706</v>
      </c>
      <c r="Q361" s="5">
        <v>1.68</v>
      </c>
      <c r="R361" s="9">
        <v>4.42</v>
      </c>
      <c r="S361" s="9">
        <v>-4.24</v>
      </c>
      <c r="T361" s="9">
        <v>1106.04296</v>
      </c>
      <c r="U361" s="9">
        <v>1053.27</v>
      </c>
      <c r="V361" s="45">
        <f t="shared" si="29"/>
        <v>5.0103923970112138E-2</v>
      </c>
      <c r="W361" s="12">
        <v>10</v>
      </c>
      <c r="X361" s="12">
        <v>3.54</v>
      </c>
      <c r="Y361" s="12">
        <v>20210802</v>
      </c>
    </row>
    <row r="362" spans="1:25" x14ac:dyDescent="0.45">
      <c r="A362" s="3" t="s">
        <v>3761</v>
      </c>
      <c r="B362" s="3" t="s">
        <v>3762</v>
      </c>
      <c r="C362" s="6" t="s">
        <v>518</v>
      </c>
      <c r="D362" s="6" t="s">
        <v>234</v>
      </c>
      <c r="E362" s="6" t="s">
        <v>105</v>
      </c>
      <c r="F362" s="6">
        <v>9921.69</v>
      </c>
      <c r="G362" s="2">
        <v>1.5</v>
      </c>
      <c r="H362" s="2">
        <v>1.93</v>
      </c>
      <c r="I362" s="2">
        <v>2.1</v>
      </c>
      <c r="J362" s="47">
        <f t="shared" si="25"/>
        <v>0.28666666666666663</v>
      </c>
      <c r="K362" s="47">
        <f t="shared" si="26"/>
        <v>8.8082901554404222E-2</v>
      </c>
      <c r="L362" s="8">
        <v>12.76</v>
      </c>
      <c r="M362" s="8">
        <v>10.93</v>
      </c>
      <c r="N362" s="8">
        <v>10.029999999999999</v>
      </c>
      <c r="O362" s="17">
        <f t="shared" si="27"/>
        <v>0.38127906976744186</v>
      </c>
      <c r="P362" s="17">
        <f t="shared" si="28"/>
        <v>1.1386999999999989</v>
      </c>
      <c r="Q362" s="5">
        <v>0.72</v>
      </c>
      <c r="R362" s="9">
        <v>16.12</v>
      </c>
      <c r="S362" s="9">
        <v>-2.56</v>
      </c>
      <c r="T362" s="9">
        <v>2989.8998999999999</v>
      </c>
      <c r="U362" s="9">
        <v>3766.46</v>
      </c>
      <c r="V362" s="45">
        <f t="shared" si="29"/>
        <v>-0.20617771063545084</v>
      </c>
      <c r="W362" s="12">
        <v>25.58</v>
      </c>
      <c r="X362" s="12">
        <v>3.26</v>
      </c>
      <c r="Y362" s="12">
        <v>20210729</v>
      </c>
    </row>
    <row r="363" spans="1:25" x14ac:dyDescent="0.45">
      <c r="A363" s="3" t="s">
        <v>991</v>
      </c>
      <c r="B363" s="3" t="s">
        <v>992</v>
      </c>
      <c r="C363" s="6" t="s">
        <v>518</v>
      </c>
      <c r="D363" s="6" t="s">
        <v>234</v>
      </c>
      <c r="E363" s="6" t="s">
        <v>105</v>
      </c>
      <c r="F363" s="6">
        <v>33480.980000000003</v>
      </c>
      <c r="G363" s="2">
        <v>0.69</v>
      </c>
      <c r="H363" s="2">
        <v>0.75</v>
      </c>
      <c r="I363" s="2">
        <v>0.8</v>
      </c>
      <c r="J363" s="47">
        <f t="shared" si="25"/>
        <v>8.6956521739130516E-2</v>
      </c>
      <c r="K363" s="47">
        <f t="shared" si="26"/>
        <v>6.6666666666666721E-2</v>
      </c>
      <c r="L363" s="8">
        <v>15.95</v>
      </c>
      <c r="M363" s="8">
        <v>11.91</v>
      </c>
      <c r="N363" s="8">
        <v>11.12</v>
      </c>
      <c r="O363" s="17">
        <f t="shared" si="27"/>
        <v>1.3696499999999987</v>
      </c>
      <c r="P363" s="17">
        <f t="shared" si="28"/>
        <v>1.6679999999999984</v>
      </c>
      <c r="Q363" s="5">
        <v>1.23</v>
      </c>
      <c r="R363" s="9">
        <v>12.91</v>
      </c>
      <c r="S363" s="9">
        <v>-7.83</v>
      </c>
      <c r="T363" s="9">
        <v>13206.400390000001</v>
      </c>
      <c r="U363" s="9">
        <v>21552.400000000001</v>
      </c>
      <c r="V363" s="45">
        <f t="shared" si="29"/>
        <v>-0.38724223798741675</v>
      </c>
      <c r="W363" s="12">
        <v>-43.75</v>
      </c>
      <c r="X363" s="12">
        <v>6.21</v>
      </c>
      <c r="Y363" s="12">
        <v>20210804</v>
      </c>
    </row>
    <row r="364" spans="1:25" x14ac:dyDescent="0.45">
      <c r="A364" s="3" t="s">
        <v>993</v>
      </c>
      <c r="B364" s="3" t="s">
        <v>994</v>
      </c>
      <c r="C364" s="6" t="s">
        <v>518</v>
      </c>
      <c r="D364" s="6" t="s">
        <v>234</v>
      </c>
      <c r="E364" s="6" t="s">
        <v>105</v>
      </c>
      <c r="F364" s="6">
        <v>8605.91</v>
      </c>
      <c r="G364" s="2">
        <v>0.62</v>
      </c>
      <c r="H364" s="2">
        <v>0.68</v>
      </c>
      <c r="I364" s="2">
        <v>0.73</v>
      </c>
      <c r="J364" s="47">
        <f t="shared" si="25"/>
        <v>9.6774193548387177E-2</v>
      </c>
      <c r="K364" s="47">
        <f t="shared" si="26"/>
        <v>7.3529411764705774E-2</v>
      </c>
      <c r="L364" s="8">
        <v>10.23</v>
      </c>
      <c r="M364" s="8">
        <v>9.3699999999999992</v>
      </c>
      <c r="N364" s="8">
        <v>8.65</v>
      </c>
      <c r="O364" s="17">
        <f t="shared" si="27"/>
        <v>0.9682333333333325</v>
      </c>
      <c r="P364" s="17">
        <f t="shared" si="28"/>
        <v>1.1764000000000019</v>
      </c>
      <c r="R364" s="9">
        <v>11.46</v>
      </c>
      <c r="S364" s="9">
        <v>8.2200000000000006</v>
      </c>
      <c r="T364" s="9">
        <v>4322.7749000000003</v>
      </c>
      <c r="U364" s="9">
        <v>6510.43</v>
      </c>
      <c r="V364" s="45">
        <f t="shared" si="29"/>
        <v>-0.33602313518461913</v>
      </c>
      <c r="W364" s="12">
        <v>-29.41</v>
      </c>
      <c r="X364" s="12">
        <v>0</v>
      </c>
      <c r="Y364" s="12">
        <v>20210804</v>
      </c>
    </row>
    <row r="365" spans="1:25" x14ac:dyDescent="0.45">
      <c r="A365" s="3" t="s">
        <v>995</v>
      </c>
      <c r="B365" s="3" t="s">
        <v>996</v>
      </c>
      <c r="C365" s="6" t="s">
        <v>518</v>
      </c>
      <c r="D365" s="6" t="s">
        <v>279</v>
      </c>
      <c r="E365" s="6" t="s">
        <v>264</v>
      </c>
      <c r="F365" s="6">
        <v>60147.16</v>
      </c>
      <c r="G365" s="2">
        <v>1.04</v>
      </c>
      <c r="H365" s="2">
        <v>1.58</v>
      </c>
      <c r="I365" s="2">
        <v>1.84</v>
      </c>
      <c r="J365" s="47">
        <f t="shared" si="25"/>
        <v>0.51923076923076927</v>
      </c>
      <c r="K365" s="47">
        <f t="shared" si="26"/>
        <v>0.16455696202531644</v>
      </c>
      <c r="L365" s="8">
        <v>40.31</v>
      </c>
      <c r="M365" s="8">
        <v>26.79</v>
      </c>
      <c r="N365" s="8">
        <v>22.95</v>
      </c>
      <c r="O365" s="17">
        <f t="shared" si="27"/>
        <v>0.5159555555555555</v>
      </c>
      <c r="P365" s="17">
        <f t="shared" si="28"/>
        <v>1.3946538461538462</v>
      </c>
      <c r="Q365" s="5">
        <v>2.87</v>
      </c>
      <c r="R365" s="9">
        <v>9.8000000000000007</v>
      </c>
      <c r="S365" s="9">
        <v>5.72</v>
      </c>
      <c r="T365" s="9">
        <v>11733.157219999999</v>
      </c>
      <c r="U365" s="9">
        <v>9913</v>
      </c>
      <c r="V365" s="45">
        <f t="shared" si="29"/>
        <v>0.18361315646121246</v>
      </c>
      <c r="W365" s="12">
        <v>23.33</v>
      </c>
      <c r="X365" s="12">
        <v>0</v>
      </c>
      <c r="Y365" s="12">
        <v>20210804</v>
      </c>
    </row>
    <row r="366" spans="1:25" x14ac:dyDescent="0.45">
      <c r="A366" s="3" t="s">
        <v>997</v>
      </c>
      <c r="B366" s="3" t="s">
        <v>998</v>
      </c>
      <c r="C366" s="6" t="s">
        <v>519</v>
      </c>
      <c r="D366" s="6" t="s">
        <v>189</v>
      </c>
      <c r="E366" s="6" t="s">
        <v>248</v>
      </c>
      <c r="F366" s="6">
        <v>16625.64</v>
      </c>
      <c r="G366" s="2">
        <v>0.63</v>
      </c>
      <c r="H366" s="2">
        <v>0.65</v>
      </c>
      <c r="I366" s="2">
        <v>0.69</v>
      </c>
      <c r="J366" s="47">
        <f t="shared" si="25"/>
        <v>3.1746031746031772E-2</v>
      </c>
      <c r="K366" s="47">
        <f t="shared" si="26"/>
        <v>6.1538461538461417E-2</v>
      </c>
      <c r="M366" s="8">
        <v>96.48</v>
      </c>
      <c r="N366" s="8">
        <v>90.23</v>
      </c>
      <c r="O366" s="17">
        <f t="shared" si="27"/>
        <v>30.391199999999976</v>
      </c>
      <c r="P366" s="17">
        <f t="shared" si="28"/>
        <v>14.662375000000029</v>
      </c>
      <c r="Q366" s="5">
        <v>15.17</v>
      </c>
      <c r="T366" s="9">
        <v>907.10198000000003</v>
      </c>
      <c r="U366" s="9">
        <v>801.54</v>
      </c>
      <c r="V366" s="45">
        <f t="shared" si="29"/>
        <v>0.13169895451256339</v>
      </c>
      <c r="W366" s="12">
        <v>17.649999999999999</v>
      </c>
      <c r="X366" s="12">
        <v>0.19</v>
      </c>
      <c r="Y366" s="12">
        <v>20210810</v>
      </c>
    </row>
    <row r="367" spans="1:25" x14ac:dyDescent="0.45">
      <c r="A367" s="3" t="s">
        <v>999</v>
      </c>
      <c r="B367" s="3" t="s">
        <v>1000</v>
      </c>
      <c r="C367" s="6" t="s">
        <v>520</v>
      </c>
      <c r="D367" s="6" t="s">
        <v>234</v>
      </c>
      <c r="E367" s="6" t="s">
        <v>523</v>
      </c>
      <c r="F367" s="6">
        <v>10712.63</v>
      </c>
      <c r="G367" s="2">
        <v>0.94</v>
      </c>
      <c r="H367" s="2">
        <v>1.69</v>
      </c>
      <c r="I367" s="2">
        <v>2.0499999999999998</v>
      </c>
      <c r="J367" s="47">
        <f t="shared" si="25"/>
        <v>0.79787234042553201</v>
      </c>
      <c r="K367" s="47">
        <f t="shared" si="26"/>
        <v>0.21301775147928986</v>
      </c>
      <c r="M367" s="8">
        <v>12.45</v>
      </c>
      <c r="N367" s="8">
        <v>10.26</v>
      </c>
      <c r="O367" s="17">
        <f t="shared" si="27"/>
        <v>0.15603999999999998</v>
      </c>
      <c r="P367" s="17">
        <f t="shared" si="28"/>
        <v>0.48165000000000019</v>
      </c>
      <c r="T367" s="9">
        <v>6502.83007</v>
      </c>
      <c r="U367" s="9">
        <v>4242.13</v>
      </c>
      <c r="V367" s="45">
        <f t="shared" si="29"/>
        <v>0.53291626376372248</v>
      </c>
      <c r="X367" s="12">
        <v>0.89</v>
      </c>
    </row>
    <row r="368" spans="1:25" x14ac:dyDescent="0.45">
      <c r="A368" s="3" t="s">
        <v>1001</v>
      </c>
      <c r="B368" s="3" t="s">
        <v>1002</v>
      </c>
      <c r="C368" s="6" t="s">
        <v>1003</v>
      </c>
      <c r="D368" s="6" t="s">
        <v>90</v>
      </c>
      <c r="E368" s="6" t="s">
        <v>267</v>
      </c>
      <c r="F368" s="6">
        <v>5132.28</v>
      </c>
      <c r="G368" s="2">
        <v>0.51</v>
      </c>
      <c r="H368" s="2">
        <v>0.44</v>
      </c>
      <c r="I368" s="2">
        <v>0.39</v>
      </c>
      <c r="J368" s="47">
        <f t="shared" si="25"/>
        <v>-0.13725490196078433</v>
      </c>
      <c r="K368" s="47">
        <f t="shared" si="26"/>
        <v>-0.1136363636363636</v>
      </c>
      <c r="L368" s="8">
        <v>9.9600000000000009</v>
      </c>
      <c r="M368" s="8">
        <v>11.2</v>
      </c>
      <c r="N368" s="8">
        <v>12.57</v>
      </c>
      <c r="O368" s="17">
        <f t="shared" si="27"/>
        <v>-0.81599999999999984</v>
      </c>
      <c r="P368" s="17">
        <f t="shared" si="28"/>
        <v>-1.1061600000000005</v>
      </c>
      <c r="Q368" s="5">
        <v>1.58</v>
      </c>
      <c r="R368" s="9">
        <v>20.57</v>
      </c>
      <c r="S368" s="9">
        <v>27.18</v>
      </c>
      <c r="T368" s="9">
        <v>1749.3900100000001</v>
      </c>
      <c r="U368" s="9">
        <v>1788.93</v>
      </c>
      <c r="V368" s="45">
        <f t="shared" si="29"/>
        <v>-2.2102592052232334E-2</v>
      </c>
      <c r="W368" s="12">
        <v>28.57</v>
      </c>
      <c r="X368" s="12">
        <v>2.0499999999999998</v>
      </c>
      <c r="Y368" s="12">
        <v>20210804</v>
      </c>
    </row>
    <row r="369" spans="1:25" x14ac:dyDescent="0.45">
      <c r="A369" s="3" t="s">
        <v>1004</v>
      </c>
      <c r="B369" s="3" t="s">
        <v>1005</v>
      </c>
      <c r="C369" s="6" t="s">
        <v>518</v>
      </c>
      <c r="D369" s="6" t="s">
        <v>225</v>
      </c>
      <c r="E369" s="6" t="s">
        <v>1006</v>
      </c>
      <c r="F369" s="6">
        <v>91439.71</v>
      </c>
      <c r="G369" s="2">
        <v>4.34</v>
      </c>
      <c r="H369" s="2">
        <v>4.54</v>
      </c>
      <c r="I369" s="2">
        <v>4.87</v>
      </c>
      <c r="J369" s="47">
        <f t="shared" si="25"/>
        <v>4.6082949308755804E-2</v>
      </c>
      <c r="K369" s="47">
        <f t="shared" si="26"/>
        <v>7.2687224669603534E-2</v>
      </c>
      <c r="M369" s="8">
        <v>8.7899999999999991</v>
      </c>
      <c r="N369" s="8">
        <v>8.19</v>
      </c>
      <c r="O369" s="17">
        <f t="shared" si="27"/>
        <v>1.9074299999999982</v>
      </c>
      <c r="P369" s="17">
        <f t="shared" si="28"/>
        <v>1.1267454545454543</v>
      </c>
      <c r="Q369" s="5">
        <v>2.04</v>
      </c>
      <c r="T369" s="9">
        <v>35145.355459999999</v>
      </c>
      <c r="U369" s="9">
        <v>33100.120000000003</v>
      </c>
      <c r="V369" s="45">
        <f t="shared" si="29"/>
        <v>6.1789366926766308E-2</v>
      </c>
      <c r="X369" s="12">
        <v>7.54</v>
      </c>
    </row>
    <row r="370" spans="1:25" x14ac:dyDescent="0.45">
      <c r="A370" s="3" t="s">
        <v>1007</v>
      </c>
      <c r="B370" s="3" t="s">
        <v>1008</v>
      </c>
      <c r="C370" s="6" t="s">
        <v>520</v>
      </c>
      <c r="D370" s="6" t="s">
        <v>234</v>
      </c>
      <c r="E370" s="6" t="s">
        <v>286</v>
      </c>
      <c r="F370" s="6">
        <v>6746.56</v>
      </c>
      <c r="G370" s="2">
        <v>0.28999999999999998</v>
      </c>
      <c r="H370" s="2">
        <v>0.34</v>
      </c>
      <c r="I370" s="2">
        <v>0.35</v>
      </c>
      <c r="J370" s="47">
        <f t="shared" si="25"/>
        <v>0.17241379310344845</v>
      </c>
      <c r="K370" s="47">
        <f t="shared" si="26"/>
        <v>2.9411764705882214E-2</v>
      </c>
      <c r="M370" s="8">
        <v>21.41</v>
      </c>
      <c r="N370" s="8">
        <v>20.8</v>
      </c>
      <c r="O370" s="17">
        <f t="shared" si="27"/>
        <v>1.2417799999999986</v>
      </c>
      <c r="P370" s="17">
        <f t="shared" si="28"/>
        <v>7.0720000000000338</v>
      </c>
      <c r="T370" s="9">
        <v>472.13299000000001</v>
      </c>
      <c r="U370" s="9">
        <v>612.27</v>
      </c>
      <c r="V370" s="45">
        <f t="shared" si="29"/>
        <v>-0.22888106554297938</v>
      </c>
      <c r="X370" s="12">
        <v>1.1399999999999999</v>
      </c>
    </row>
    <row r="371" spans="1:25" x14ac:dyDescent="0.45">
      <c r="A371" s="3" t="s">
        <v>3763</v>
      </c>
      <c r="B371" s="3" t="s">
        <v>3764</v>
      </c>
      <c r="C371" s="6" t="s">
        <v>520</v>
      </c>
      <c r="D371" s="6" t="s">
        <v>225</v>
      </c>
      <c r="E371" s="6" t="s">
        <v>1091</v>
      </c>
      <c r="F371" s="6">
        <v>3650.92</v>
      </c>
      <c r="G371" s="2">
        <v>1.08</v>
      </c>
      <c r="H371" s="2">
        <v>1.19</v>
      </c>
      <c r="I371" s="2">
        <v>1.62</v>
      </c>
      <c r="J371" s="47">
        <f t="shared" si="25"/>
        <v>0.10185185185185174</v>
      </c>
      <c r="K371" s="47">
        <f t="shared" si="26"/>
        <v>0.36134453781512621</v>
      </c>
      <c r="M371" s="8">
        <v>22.98</v>
      </c>
      <c r="N371" s="8">
        <v>16.88</v>
      </c>
      <c r="O371" s="17">
        <f t="shared" si="27"/>
        <v>2.2562181818181846</v>
      </c>
      <c r="P371" s="17">
        <f t="shared" si="28"/>
        <v>0.46714418604651142</v>
      </c>
      <c r="T371" s="9">
        <v>1870.8000400000001</v>
      </c>
      <c r="U371" s="9">
        <v>1802.08</v>
      </c>
      <c r="V371" s="45">
        <f t="shared" si="29"/>
        <v>3.8133734351416225E-2</v>
      </c>
      <c r="X371" s="12">
        <v>1.2</v>
      </c>
    </row>
    <row r="372" spans="1:25" x14ac:dyDescent="0.45">
      <c r="A372" s="3" t="s">
        <v>1009</v>
      </c>
      <c r="B372" s="3" t="s">
        <v>1010</v>
      </c>
      <c r="C372" s="6" t="s">
        <v>518</v>
      </c>
      <c r="D372" s="6" t="s">
        <v>225</v>
      </c>
      <c r="E372" s="6" t="s">
        <v>186</v>
      </c>
      <c r="F372" s="6">
        <v>158368.06</v>
      </c>
      <c r="G372" s="2">
        <v>2.33</v>
      </c>
      <c r="H372" s="2">
        <v>3.12</v>
      </c>
      <c r="I372" s="2">
        <v>3.63</v>
      </c>
      <c r="J372" s="47">
        <f t="shared" si="25"/>
        <v>0.33905579399141633</v>
      </c>
      <c r="K372" s="47">
        <f t="shared" si="26"/>
        <v>0.16346153846153838</v>
      </c>
      <c r="L372" s="8">
        <v>27.66</v>
      </c>
      <c r="M372" s="8">
        <v>25.21</v>
      </c>
      <c r="N372" s="8">
        <v>21.67</v>
      </c>
      <c r="O372" s="17">
        <f t="shared" si="27"/>
        <v>0.74353544303797459</v>
      </c>
      <c r="P372" s="17">
        <f t="shared" si="28"/>
        <v>1.3256941176470594</v>
      </c>
      <c r="Q372" s="5">
        <v>12.8</v>
      </c>
      <c r="R372" s="9">
        <v>15.44</v>
      </c>
      <c r="S372" s="9">
        <v>0.98</v>
      </c>
      <c r="T372" s="9">
        <v>53358.730459999999</v>
      </c>
      <c r="U372" s="9">
        <v>46881</v>
      </c>
      <c r="V372" s="45">
        <f t="shared" si="29"/>
        <v>0.13817389688786499</v>
      </c>
      <c r="W372" s="12">
        <v>6.25</v>
      </c>
      <c r="X372" s="12">
        <v>0.56000000000000005</v>
      </c>
      <c r="Y372" s="12">
        <v>20210729</v>
      </c>
    </row>
    <row r="373" spans="1:25" x14ac:dyDescent="0.45">
      <c r="A373" s="3" t="s">
        <v>1011</v>
      </c>
      <c r="B373" s="3" t="s">
        <v>1012</v>
      </c>
      <c r="C373" s="6" t="s">
        <v>520</v>
      </c>
      <c r="D373" s="6" t="s">
        <v>303</v>
      </c>
      <c r="E373" s="6" t="s">
        <v>290</v>
      </c>
      <c r="F373" s="6">
        <v>12777.62</v>
      </c>
      <c r="G373" s="2">
        <v>0.83</v>
      </c>
      <c r="H373" s="2">
        <v>1.1599999999999999</v>
      </c>
      <c r="I373" s="2">
        <v>1.35</v>
      </c>
      <c r="J373" s="47">
        <f t="shared" si="25"/>
        <v>0.39759036144578308</v>
      </c>
      <c r="K373" s="47">
        <f t="shared" si="26"/>
        <v>0.16379310344827602</v>
      </c>
      <c r="M373" s="8">
        <v>27.21</v>
      </c>
      <c r="N373" s="8">
        <v>23.38</v>
      </c>
      <c r="O373" s="17">
        <f t="shared" si="27"/>
        <v>0.68437272727272735</v>
      </c>
      <c r="P373" s="17">
        <f t="shared" si="28"/>
        <v>1.4274105263157881</v>
      </c>
      <c r="T373" s="9">
        <v>3757.7099600000001</v>
      </c>
      <c r="U373" s="9">
        <v>3066.45</v>
      </c>
      <c r="V373" s="45">
        <f t="shared" si="29"/>
        <v>0.22542678341404568</v>
      </c>
      <c r="X373" s="12">
        <v>0</v>
      </c>
    </row>
    <row r="374" spans="1:25" x14ac:dyDescent="0.45">
      <c r="A374" s="3" t="s">
        <v>1013</v>
      </c>
      <c r="B374" s="3" t="s">
        <v>1014</v>
      </c>
      <c r="C374" s="6" t="s">
        <v>518</v>
      </c>
      <c r="D374" s="6" t="s">
        <v>303</v>
      </c>
      <c r="E374" s="6" t="s">
        <v>1015</v>
      </c>
      <c r="F374" s="6">
        <v>20306.28</v>
      </c>
      <c r="G374" s="2">
        <v>-2.87</v>
      </c>
      <c r="H374" s="2">
        <v>8.5399999999999991</v>
      </c>
      <c r="I374" s="2">
        <v>10.1</v>
      </c>
      <c r="J374" s="47">
        <f t="shared" si="25"/>
        <v>3.975609756097561</v>
      </c>
      <c r="K374" s="47">
        <f t="shared" si="26"/>
        <v>0.18266978922716634</v>
      </c>
      <c r="L374" s="8">
        <v>64.069999999999993</v>
      </c>
      <c r="M374" s="8">
        <v>35.729999999999997</v>
      </c>
      <c r="N374" s="8">
        <v>30.21</v>
      </c>
      <c r="O374" s="17">
        <f t="shared" si="27"/>
        <v>8.9873006134969319E-2</v>
      </c>
      <c r="P374" s="17">
        <f t="shared" si="28"/>
        <v>1.6538038461538456</v>
      </c>
      <c r="R374" s="9">
        <v>82.78</v>
      </c>
      <c r="S374" s="9">
        <v>3.69</v>
      </c>
      <c r="T374" s="9">
        <v>8792.1074200000003</v>
      </c>
      <c r="U374" s="9">
        <v>5763.98</v>
      </c>
      <c r="V374" s="45">
        <f t="shared" si="29"/>
        <v>0.52535356125455002</v>
      </c>
      <c r="W374" s="12">
        <v>181.52</v>
      </c>
      <c r="X374" s="12">
        <v>0</v>
      </c>
      <c r="Y374" s="12">
        <v>20210826</v>
      </c>
    </row>
    <row r="375" spans="1:25" x14ac:dyDescent="0.45">
      <c r="A375" s="3" t="s">
        <v>1016</v>
      </c>
      <c r="B375" s="3" t="s">
        <v>1017</v>
      </c>
      <c r="C375" s="6" t="s">
        <v>520</v>
      </c>
      <c r="D375" s="6" t="s">
        <v>175</v>
      </c>
      <c r="E375" s="6" t="s">
        <v>205</v>
      </c>
      <c r="F375" s="6">
        <v>14062.75</v>
      </c>
      <c r="G375" s="2">
        <v>0.76</v>
      </c>
      <c r="H375" s="2">
        <v>1.1200000000000001</v>
      </c>
      <c r="I375" s="2">
        <v>1.24</v>
      </c>
      <c r="J375" s="47">
        <f t="shared" si="25"/>
        <v>0.47368421052631593</v>
      </c>
      <c r="K375" s="47">
        <f t="shared" si="26"/>
        <v>0.10714285714285703</v>
      </c>
      <c r="M375" s="8">
        <v>28.23</v>
      </c>
      <c r="N375" s="8">
        <v>25.49</v>
      </c>
      <c r="O375" s="17">
        <f t="shared" si="27"/>
        <v>0.59596666666666653</v>
      </c>
      <c r="P375" s="17">
        <f t="shared" si="28"/>
        <v>2.3790666666666689</v>
      </c>
      <c r="T375" s="9">
        <v>5867.0698199999997</v>
      </c>
      <c r="U375" s="9">
        <v>5255.28</v>
      </c>
      <c r="V375" s="45">
        <f t="shared" si="29"/>
        <v>0.11641431474631228</v>
      </c>
      <c r="X375" s="12">
        <v>0</v>
      </c>
      <c r="Y375" s="12">
        <v>20210610</v>
      </c>
    </row>
    <row r="376" spans="1:25" x14ac:dyDescent="0.45">
      <c r="A376" s="3" t="s">
        <v>1018</v>
      </c>
      <c r="B376" s="3" t="s">
        <v>1019</v>
      </c>
      <c r="C376" s="6" t="s">
        <v>518</v>
      </c>
      <c r="D376" s="6" t="s">
        <v>46</v>
      </c>
      <c r="E376" s="6" t="s">
        <v>80</v>
      </c>
      <c r="F376" s="6">
        <v>12740.71</v>
      </c>
      <c r="G376" s="2">
        <v>2.4300000000000002</v>
      </c>
      <c r="H376" s="2">
        <v>4.13</v>
      </c>
      <c r="I376" s="2">
        <v>4.88</v>
      </c>
      <c r="J376" s="47">
        <f t="shared" si="25"/>
        <v>0.69958847736625496</v>
      </c>
      <c r="K376" s="47">
        <f t="shared" si="26"/>
        <v>0.18159806295399517</v>
      </c>
      <c r="L376" s="8">
        <v>16.97</v>
      </c>
      <c r="M376" s="8">
        <v>12.85</v>
      </c>
      <c r="N376" s="8">
        <v>10.88</v>
      </c>
      <c r="O376" s="17">
        <f t="shared" si="27"/>
        <v>0.18367941176470592</v>
      </c>
      <c r="P376" s="17">
        <f t="shared" si="28"/>
        <v>0.5991253333333334</v>
      </c>
      <c r="Q376" s="5">
        <v>0.98</v>
      </c>
      <c r="R376" s="9">
        <v>12.53</v>
      </c>
      <c r="S376" s="9">
        <v>2.68</v>
      </c>
      <c r="T376" s="9">
        <v>15107.25878</v>
      </c>
      <c r="U376" s="9">
        <v>10165</v>
      </c>
      <c r="V376" s="45">
        <f t="shared" si="29"/>
        <v>0.48620351992129857</v>
      </c>
      <c r="W376" s="12">
        <v>31.52</v>
      </c>
      <c r="X376" s="12">
        <v>1.28</v>
      </c>
      <c r="Y376" s="12">
        <v>20210804</v>
      </c>
    </row>
    <row r="377" spans="1:25" x14ac:dyDescent="0.45">
      <c r="A377" s="3" t="s">
        <v>1020</v>
      </c>
      <c r="B377" s="3" t="s">
        <v>1021</v>
      </c>
      <c r="C377" s="6" t="s">
        <v>518</v>
      </c>
      <c r="D377" s="6" t="s">
        <v>189</v>
      </c>
      <c r="E377" s="6" t="s">
        <v>211</v>
      </c>
      <c r="F377" s="6">
        <v>6105.21</v>
      </c>
      <c r="G377" s="2">
        <v>3</v>
      </c>
      <c r="H377" s="2">
        <v>3.11</v>
      </c>
      <c r="I377" s="2">
        <v>3.44</v>
      </c>
      <c r="J377" s="47">
        <f t="shared" si="25"/>
        <v>3.6666666666666625E-2</v>
      </c>
      <c r="K377" s="47">
        <f t="shared" si="26"/>
        <v>0.10610932475884247</v>
      </c>
      <c r="L377" s="8">
        <v>21.61</v>
      </c>
      <c r="M377" s="8">
        <v>20.66</v>
      </c>
      <c r="N377" s="8">
        <v>18.670000000000002</v>
      </c>
      <c r="O377" s="17">
        <f t="shared" si="27"/>
        <v>5.634545454545461</v>
      </c>
      <c r="P377" s="17">
        <f t="shared" si="28"/>
        <v>1.7595060606060606</v>
      </c>
      <c r="Q377" s="5">
        <v>3.31</v>
      </c>
      <c r="R377" s="9">
        <v>49.26</v>
      </c>
      <c r="S377" s="9">
        <v>7.63</v>
      </c>
      <c r="T377" s="9">
        <v>2190.7748999999999</v>
      </c>
      <c r="U377" s="9">
        <v>2123.52</v>
      </c>
      <c r="V377" s="45">
        <f t="shared" si="29"/>
        <v>3.1671422920433956E-2</v>
      </c>
      <c r="W377" s="12">
        <v>2.82</v>
      </c>
      <c r="X377" s="12">
        <v>1.31</v>
      </c>
      <c r="Y377" s="12">
        <v>20210802</v>
      </c>
    </row>
    <row r="378" spans="1:25" x14ac:dyDescent="0.45">
      <c r="A378" s="3" t="s">
        <v>1022</v>
      </c>
      <c r="B378" s="3" t="s">
        <v>1023</v>
      </c>
      <c r="C378" s="6" t="s">
        <v>518</v>
      </c>
      <c r="D378" s="6" t="s">
        <v>234</v>
      </c>
      <c r="E378" s="6" t="s">
        <v>220</v>
      </c>
      <c r="F378" s="6">
        <v>64454.55</v>
      </c>
      <c r="G378" s="2">
        <v>2.4500000000000002</v>
      </c>
      <c r="H378" s="2">
        <v>3.55</v>
      </c>
      <c r="I378" s="2">
        <v>3.91</v>
      </c>
      <c r="J378" s="47">
        <f t="shared" si="25"/>
        <v>0.44897959183673453</v>
      </c>
      <c r="K378" s="47">
        <f t="shared" si="26"/>
        <v>0.10140845070422545</v>
      </c>
      <c r="L378" s="8">
        <v>29.91</v>
      </c>
      <c r="M378" s="8">
        <v>26.52</v>
      </c>
      <c r="N378" s="8">
        <v>24.06</v>
      </c>
      <c r="O378" s="17">
        <f t="shared" si="27"/>
        <v>0.59067272727272757</v>
      </c>
      <c r="P378" s="17">
        <f t="shared" si="28"/>
        <v>2.3725833333333308</v>
      </c>
      <c r="Q378" s="5">
        <v>1.29</v>
      </c>
      <c r="R378" s="9">
        <v>15.52</v>
      </c>
      <c r="S378" s="9">
        <v>20.39</v>
      </c>
      <c r="T378" s="9">
        <v>8342.15625</v>
      </c>
      <c r="U378" s="9">
        <v>6101.93</v>
      </c>
      <c r="V378" s="45">
        <f t="shared" si="29"/>
        <v>0.36713404611327882</v>
      </c>
      <c r="W378" s="12">
        <v>33.33</v>
      </c>
      <c r="X378" s="12">
        <v>3.48</v>
      </c>
      <c r="Y378" s="12">
        <v>20210722</v>
      </c>
    </row>
    <row r="379" spans="1:25" x14ac:dyDescent="0.45">
      <c r="A379" s="3" t="s">
        <v>1024</v>
      </c>
      <c r="B379" s="3" t="s">
        <v>1025</v>
      </c>
      <c r="C379" s="6" t="s">
        <v>520</v>
      </c>
      <c r="D379" s="6" t="s">
        <v>272</v>
      </c>
      <c r="E379" s="6" t="s">
        <v>207</v>
      </c>
      <c r="F379" s="6">
        <v>12556.94</v>
      </c>
      <c r="G379" s="2">
        <v>0.48</v>
      </c>
      <c r="H379" s="2">
        <v>0.74</v>
      </c>
      <c r="I379" s="2">
        <v>0.82</v>
      </c>
      <c r="J379" s="47">
        <f t="shared" si="25"/>
        <v>0.54166666666666674</v>
      </c>
      <c r="K379" s="47">
        <f t="shared" si="26"/>
        <v>0.10810810810810806</v>
      </c>
      <c r="M379" s="8">
        <v>23.36</v>
      </c>
      <c r="N379" s="8">
        <v>21.08</v>
      </c>
      <c r="O379" s="17">
        <f t="shared" si="27"/>
        <v>0.43126153846153842</v>
      </c>
      <c r="P379" s="17">
        <f t="shared" si="28"/>
        <v>1.9499000000000009</v>
      </c>
      <c r="T379" s="9">
        <v>5112</v>
      </c>
      <c r="U379" s="9">
        <v>4733.6000000000004</v>
      </c>
      <c r="V379" s="45">
        <f t="shared" si="29"/>
        <v>7.9939158357275567E-2</v>
      </c>
      <c r="X379" s="12">
        <v>2.08</v>
      </c>
    </row>
    <row r="380" spans="1:25" x14ac:dyDescent="0.45">
      <c r="A380" s="3" t="s">
        <v>1026</v>
      </c>
      <c r="B380" s="3" t="s">
        <v>1027</v>
      </c>
      <c r="C380" s="6" t="s">
        <v>518</v>
      </c>
      <c r="D380" s="6" t="s">
        <v>234</v>
      </c>
      <c r="E380" s="6" t="s">
        <v>285</v>
      </c>
      <c r="F380" s="6">
        <v>4924.07</v>
      </c>
      <c r="G380" s="2">
        <v>2.52</v>
      </c>
      <c r="H380" s="2">
        <v>2.46</v>
      </c>
      <c r="I380" s="2">
        <v>2.57</v>
      </c>
      <c r="J380" s="47">
        <f t="shared" si="25"/>
        <v>-2.3809523809523829E-2</v>
      </c>
      <c r="K380" s="47">
        <f t="shared" si="26"/>
        <v>4.4715447154471497E-2</v>
      </c>
      <c r="L380" s="8">
        <v>13.73</v>
      </c>
      <c r="M380" s="8">
        <v>13.61</v>
      </c>
      <c r="N380" s="8">
        <v>13.03</v>
      </c>
      <c r="O380" s="17">
        <f t="shared" si="27"/>
        <v>-5.7161999999999953</v>
      </c>
      <c r="P380" s="17">
        <f t="shared" si="28"/>
        <v>2.9139818181818216</v>
      </c>
      <c r="R380" s="9">
        <v>8.16</v>
      </c>
      <c r="S380" s="9">
        <v>17.48</v>
      </c>
      <c r="T380" s="9">
        <v>460.89497999999998</v>
      </c>
      <c r="U380" s="9">
        <v>432.18</v>
      </c>
      <c r="V380" s="45">
        <f t="shared" si="29"/>
        <v>6.6442176870748229E-2</v>
      </c>
      <c r="W380" s="12">
        <v>-3.28</v>
      </c>
      <c r="X380" s="12">
        <v>7.41</v>
      </c>
      <c r="Y380" s="12">
        <v>20210804</v>
      </c>
    </row>
    <row r="381" spans="1:25" x14ac:dyDescent="0.45">
      <c r="A381" s="3" t="s">
        <v>1028</v>
      </c>
      <c r="B381" s="3" t="s">
        <v>1029</v>
      </c>
      <c r="C381" s="6" t="s">
        <v>518</v>
      </c>
      <c r="D381" s="6" t="s">
        <v>234</v>
      </c>
      <c r="E381" s="6" t="s">
        <v>286</v>
      </c>
      <c r="F381" s="6">
        <v>19100.37</v>
      </c>
      <c r="G381" s="2">
        <v>6.52</v>
      </c>
      <c r="H381" s="2">
        <v>6.54</v>
      </c>
      <c r="I381" s="2">
        <v>7.05</v>
      </c>
      <c r="J381" s="47">
        <f t="shared" si="25"/>
        <v>3.0674846625767583E-3</v>
      </c>
      <c r="K381" s="47">
        <f t="shared" si="26"/>
        <v>7.7981651376146752E-2</v>
      </c>
      <c r="L381" s="8">
        <v>20.329999999999998</v>
      </c>
      <c r="M381" s="8">
        <v>18.71</v>
      </c>
      <c r="N381" s="8">
        <v>17.37</v>
      </c>
      <c r="O381" s="17">
        <f t="shared" si="27"/>
        <v>60.994599999998591</v>
      </c>
      <c r="P381" s="17">
        <f t="shared" si="28"/>
        <v>2.2274470588235307</v>
      </c>
      <c r="Q381" s="5">
        <v>3.28</v>
      </c>
      <c r="R381" s="9">
        <v>5.74</v>
      </c>
      <c r="S381" s="9">
        <v>3.27</v>
      </c>
      <c r="T381" s="9">
        <v>2699.2419399999999</v>
      </c>
      <c r="U381" s="9">
        <v>2765.69</v>
      </c>
      <c r="V381" s="45">
        <f t="shared" si="29"/>
        <v>-2.4025852499737922E-2</v>
      </c>
      <c r="W381" s="12">
        <v>0.65</v>
      </c>
      <c r="X381" s="12">
        <v>3.2</v>
      </c>
      <c r="Y381" s="12">
        <v>20210727</v>
      </c>
    </row>
    <row r="382" spans="1:25" x14ac:dyDescent="0.45">
      <c r="A382" s="3" t="s">
        <v>1030</v>
      </c>
      <c r="B382" s="3" t="s">
        <v>1031</v>
      </c>
      <c r="C382" s="6" t="s">
        <v>518</v>
      </c>
      <c r="D382" s="6" t="s">
        <v>234</v>
      </c>
      <c r="E382" s="6" t="s">
        <v>172</v>
      </c>
      <c r="F382" s="6">
        <v>3142.39</v>
      </c>
      <c r="G382" s="2">
        <v>2.11</v>
      </c>
      <c r="H382" s="2">
        <v>1.49</v>
      </c>
      <c r="I382" s="2">
        <v>2.57</v>
      </c>
      <c r="J382" s="47">
        <f t="shared" si="25"/>
        <v>-0.29383886255924169</v>
      </c>
      <c r="K382" s="47">
        <f t="shared" si="26"/>
        <v>0.72483221476510062</v>
      </c>
      <c r="L382" s="8">
        <v>11.35</v>
      </c>
      <c r="M382" s="8">
        <v>20.51</v>
      </c>
      <c r="N382" s="8">
        <v>11.91</v>
      </c>
      <c r="O382" s="17">
        <f t="shared" si="27"/>
        <v>-0.69800161290322593</v>
      </c>
      <c r="P382" s="17">
        <f t="shared" si="28"/>
        <v>0.1643138888888889</v>
      </c>
      <c r="R382" s="9">
        <v>10.87</v>
      </c>
      <c r="S382" s="9">
        <v>11.27</v>
      </c>
      <c r="T382" s="9">
        <v>1056.8000400000001</v>
      </c>
      <c r="U382" s="9">
        <v>1136</v>
      </c>
      <c r="V382" s="45">
        <f t="shared" si="29"/>
        <v>-6.9718274647887254E-2</v>
      </c>
      <c r="W382" s="12">
        <v>14.06</v>
      </c>
      <c r="X382" s="12">
        <v>2.48</v>
      </c>
      <c r="Y382" s="12">
        <v>20210719</v>
      </c>
    </row>
    <row r="383" spans="1:25" x14ac:dyDescent="0.45">
      <c r="A383" s="3" t="s">
        <v>1032</v>
      </c>
      <c r="B383" s="3" t="s">
        <v>1033</v>
      </c>
      <c r="C383" s="6" t="s">
        <v>518</v>
      </c>
      <c r="D383" s="6" t="s">
        <v>216</v>
      </c>
      <c r="E383" s="6" t="s">
        <v>228</v>
      </c>
      <c r="F383" s="6">
        <v>6993.85</v>
      </c>
      <c r="G383" s="2">
        <v>-0.31</v>
      </c>
      <c r="H383" s="2">
        <v>3.25</v>
      </c>
      <c r="I383" s="2">
        <v>3.5</v>
      </c>
      <c r="J383" s="47">
        <f t="shared" si="25"/>
        <v>11.483870967741936</v>
      </c>
      <c r="K383" s="47">
        <f t="shared" si="26"/>
        <v>7.6923076923076927E-2</v>
      </c>
      <c r="L383" s="8">
        <v>78.989999999999995</v>
      </c>
      <c r="M383" s="8">
        <v>19.190000000000001</v>
      </c>
      <c r="N383" s="8">
        <v>17.829999999999998</v>
      </c>
      <c r="O383" s="17">
        <f t="shared" si="27"/>
        <v>1.6710393258426964E-2</v>
      </c>
      <c r="P383" s="17">
        <f t="shared" si="28"/>
        <v>2.3178999999999998</v>
      </c>
      <c r="Q383" s="5">
        <v>0.97</v>
      </c>
      <c r="R383" s="9">
        <v>8.2200000000000006</v>
      </c>
      <c r="S383" s="9">
        <v>4.42</v>
      </c>
      <c r="T383" s="9">
        <v>3042.8930599999999</v>
      </c>
      <c r="U383" s="9">
        <v>2178.4899999999998</v>
      </c>
      <c r="V383" s="45">
        <f t="shared" si="29"/>
        <v>0.39679000592153291</v>
      </c>
      <c r="W383" s="12">
        <v>111.36</v>
      </c>
      <c r="X383" s="12">
        <v>0</v>
      </c>
      <c r="Y383" s="12">
        <v>20210727</v>
      </c>
    </row>
    <row r="384" spans="1:25" x14ac:dyDescent="0.45">
      <c r="A384" s="3" t="s">
        <v>1034</v>
      </c>
      <c r="B384" s="3" t="s">
        <v>1035</v>
      </c>
      <c r="C384" s="6" t="s">
        <v>520</v>
      </c>
      <c r="D384" s="6" t="s">
        <v>175</v>
      </c>
      <c r="E384" s="6" t="s">
        <v>1036</v>
      </c>
      <c r="F384" s="6">
        <v>70058.710000000006</v>
      </c>
      <c r="G384" s="2">
        <v>0.51</v>
      </c>
      <c r="H384" s="2">
        <v>0.45</v>
      </c>
      <c r="I384" s="2">
        <v>0.63</v>
      </c>
      <c r="J384" s="47">
        <f t="shared" si="25"/>
        <v>-0.11764705882352941</v>
      </c>
      <c r="K384" s="47">
        <f t="shared" si="26"/>
        <v>0.39999999999999997</v>
      </c>
      <c r="M384" s="8">
        <v>114.13</v>
      </c>
      <c r="N384" s="8">
        <v>81.52</v>
      </c>
      <c r="O384" s="17">
        <f t="shared" si="27"/>
        <v>-9.7010500000000004</v>
      </c>
      <c r="P384" s="17">
        <f t="shared" si="28"/>
        <v>2.0379999999999998</v>
      </c>
      <c r="T384" s="9">
        <v>28123.435539999999</v>
      </c>
      <c r="V384" s="45" t="e">
        <f t="shared" si="29"/>
        <v>#DIV/0!</v>
      </c>
      <c r="X384" s="12">
        <v>7.0000000000000007E-2</v>
      </c>
    </row>
    <row r="385" spans="1:25" x14ac:dyDescent="0.45">
      <c r="A385" s="3" t="s">
        <v>1037</v>
      </c>
      <c r="B385" s="3" t="s">
        <v>1038</v>
      </c>
      <c r="C385" s="6" t="s">
        <v>519</v>
      </c>
      <c r="D385" s="6" t="s">
        <v>225</v>
      </c>
      <c r="E385" s="6" t="s">
        <v>1039</v>
      </c>
      <c r="F385" s="6">
        <v>9468.98</v>
      </c>
      <c r="G385" s="2">
        <v>-0.44</v>
      </c>
      <c r="H385" s="2">
        <v>-1.08</v>
      </c>
      <c r="I385" s="2">
        <v>-0.28999999999999998</v>
      </c>
      <c r="J385" s="47">
        <f t="shared" si="25"/>
        <v>-1.4545454545454548</v>
      </c>
      <c r="K385" s="47">
        <f t="shared" si="26"/>
        <v>0.73148148148148151</v>
      </c>
      <c r="O385" s="17">
        <f t="shared" si="27"/>
        <v>0</v>
      </c>
      <c r="P385" s="17">
        <f t="shared" si="28"/>
        <v>0</v>
      </c>
      <c r="R385" s="9">
        <v>-18.940000000000001</v>
      </c>
      <c r="T385" s="9">
        <v>564.07000000000005</v>
      </c>
      <c r="U385" s="9">
        <v>406.79</v>
      </c>
      <c r="V385" s="45">
        <f t="shared" si="29"/>
        <v>0.38663683964699236</v>
      </c>
      <c r="W385" s="12">
        <v>-55.56</v>
      </c>
      <c r="X385" s="12">
        <v>0</v>
      </c>
      <c r="Y385" s="12">
        <v>20210803</v>
      </c>
    </row>
    <row r="386" spans="1:25" x14ac:dyDescent="0.45">
      <c r="A386" s="3" t="s">
        <v>1040</v>
      </c>
      <c r="B386" s="3" t="s">
        <v>1041</v>
      </c>
      <c r="C386" s="6" t="s">
        <v>520</v>
      </c>
      <c r="D386" s="6" t="s">
        <v>1042</v>
      </c>
      <c r="E386" s="6" t="s">
        <v>1043</v>
      </c>
      <c r="F386" s="6">
        <v>10834.77</v>
      </c>
      <c r="G386" s="2">
        <v>2.11</v>
      </c>
      <c r="H386" s="2">
        <v>1.98</v>
      </c>
      <c r="I386" s="2">
        <v>2.02</v>
      </c>
      <c r="J386" s="47">
        <f t="shared" si="25"/>
        <v>-6.1611374407582895E-2</v>
      </c>
      <c r="K386" s="47">
        <f t="shared" si="26"/>
        <v>2.0202020202020221E-2</v>
      </c>
      <c r="M386" s="8">
        <v>16.260000000000002</v>
      </c>
      <c r="N386" s="8">
        <v>15.94</v>
      </c>
      <c r="O386" s="17">
        <f t="shared" si="27"/>
        <v>-2.6391230769230791</v>
      </c>
      <c r="P386" s="17">
        <f t="shared" si="28"/>
        <v>7.8902999999999919</v>
      </c>
      <c r="T386" s="9">
        <v>13328.8164</v>
      </c>
      <c r="U386" s="9">
        <v>12984.12</v>
      </c>
      <c r="V386" s="45">
        <f t="shared" si="29"/>
        <v>2.6547536529237168E-2</v>
      </c>
      <c r="X386" s="12">
        <v>3.1</v>
      </c>
    </row>
    <row r="387" spans="1:25" x14ac:dyDescent="0.45">
      <c r="A387" s="3" t="s">
        <v>1044</v>
      </c>
      <c r="B387" s="3" t="s">
        <v>1045</v>
      </c>
      <c r="C387" s="6" t="s">
        <v>520</v>
      </c>
      <c r="D387" s="6" t="s">
        <v>210</v>
      </c>
      <c r="E387" s="6" t="s">
        <v>188</v>
      </c>
      <c r="F387" s="6">
        <v>5913.95</v>
      </c>
      <c r="G387" s="2">
        <v>2.83</v>
      </c>
      <c r="H387" s="2">
        <v>2.71</v>
      </c>
      <c r="I387" s="2">
        <v>2.85</v>
      </c>
      <c r="J387" s="47">
        <f t="shared" ref="J387:J450" si="30">(H387-G387)/ABS(G387)</f>
        <v>-4.2402826855123713E-2</v>
      </c>
      <c r="K387" s="47">
        <f t="shared" ref="K387:K450" si="31">(I387-H387)/ABS(H387)</f>
        <v>5.1660516605166101E-2</v>
      </c>
      <c r="M387" s="8">
        <v>10.59</v>
      </c>
      <c r="N387" s="8">
        <v>10.07</v>
      </c>
      <c r="O387" s="17">
        <f t="shared" ref="O387:O450" si="32">M387/(J387*100)</f>
        <v>-2.4974749999999979</v>
      </c>
      <c r="P387" s="17">
        <f t="shared" ref="P387:P450" si="33">N387/(K387*100)</f>
        <v>1.9492642857142841</v>
      </c>
      <c r="T387" s="9">
        <v>3908.1899400000002</v>
      </c>
      <c r="V387" s="45" t="e">
        <f t="shared" ref="V387:V450" si="34">(T387-U387)/U387</f>
        <v>#DIV/0!</v>
      </c>
      <c r="X387" s="12">
        <v>0</v>
      </c>
    </row>
    <row r="388" spans="1:25" x14ac:dyDescent="0.45">
      <c r="A388" s="3" t="s">
        <v>1046</v>
      </c>
      <c r="B388" s="3" t="s">
        <v>1047</v>
      </c>
      <c r="C388" s="6" t="s">
        <v>518</v>
      </c>
      <c r="D388" s="6" t="s">
        <v>234</v>
      </c>
      <c r="E388" s="6" t="s">
        <v>154</v>
      </c>
      <c r="F388" s="6">
        <v>161519.09</v>
      </c>
      <c r="G388" s="2">
        <v>4.34</v>
      </c>
      <c r="H388" s="2">
        <v>9.2200000000000006</v>
      </c>
      <c r="I388" s="2">
        <v>8.3000000000000007</v>
      </c>
      <c r="J388" s="47">
        <f t="shared" si="30"/>
        <v>1.1244239631336408</v>
      </c>
      <c r="K388" s="47">
        <f t="shared" si="31"/>
        <v>-9.9783080260303678E-2</v>
      </c>
      <c r="L388" s="8">
        <v>10.3</v>
      </c>
      <c r="M388" s="8">
        <v>8.4700000000000006</v>
      </c>
      <c r="N388" s="8">
        <v>9.41</v>
      </c>
      <c r="O388" s="17">
        <f t="shared" si="32"/>
        <v>7.5327459016393428E-2</v>
      </c>
      <c r="P388" s="17">
        <f t="shared" si="33"/>
        <v>-0.94304565217391323</v>
      </c>
      <c r="Q388" s="5">
        <v>0.38</v>
      </c>
      <c r="R388" s="9">
        <v>9.5500000000000007</v>
      </c>
      <c r="S388" s="9">
        <v>3.45</v>
      </c>
      <c r="T388" s="9">
        <v>71438.078120000006</v>
      </c>
      <c r="U388" s="9">
        <v>88839</v>
      </c>
      <c r="V388" s="45">
        <f t="shared" si="34"/>
        <v>-0.19587030335775948</v>
      </c>
      <c r="W388" s="12">
        <v>41.41</v>
      </c>
      <c r="X388" s="12">
        <v>2.61</v>
      </c>
      <c r="Y388" s="12">
        <v>20210713</v>
      </c>
    </row>
    <row r="389" spans="1:25" x14ac:dyDescent="0.45">
      <c r="A389" s="3" t="s">
        <v>1048</v>
      </c>
      <c r="B389" s="3" t="s">
        <v>1049</v>
      </c>
      <c r="C389" s="6" t="s">
        <v>520</v>
      </c>
      <c r="D389" s="6" t="s">
        <v>225</v>
      </c>
      <c r="E389" s="6" t="s">
        <v>186</v>
      </c>
      <c r="F389" s="6">
        <v>27179.47</v>
      </c>
      <c r="G389" s="2">
        <v>1.21</v>
      </c>
      <c r="H389" s="2">
        <v>1.47</v>
      </c>
      <c r="I389" s="2">
        <v>1.68</v>
      </c>
      <c r="J389" s="47">
        <f t="shared" si="30"/>
        <v>0.21487603305785125</v>
      </c>
      <c r="K389" s="47">
        <f t="shared" si="31"/>
        <v>0.14285714285714285</v>
      </c>
      <c r="M389" s="8">
        <v>25.07</v>
      </c>
      <c r="N389" s="8">
        <v>21.86</v>
      </c>
      <c r="O389" s="17">
        <f t="shared" si="32"/>
        <v>1.1667192307692307</v>
      </c>
      <c r="P389" s="17">
        <f t="shared" si="33"/>
        <v>1.5302</v>
      </c>
      <c r="T389" s="9">
        <v>10031.41992</v>
      </c>
      <c r="U389" s="9">
        <v>8968.66</v>
      </c>
      <c r="V389" s="45">
        <f t="shared" si="34"/>
        <v>0.11849706868138613</v>
      </c>
      <c r="X389" s="12">
        <v>1.3</v>
      </c>
    </row>
    <row r="390" spans="1:25" x14ac:dyDescent="0.45">
      <c r="A390" s="3" t="s">
        <v>1050</v>
      </c>
      <c r="B390" s="3" t="s">
        <v>1051</v>
      </c>
      <c r="C390" s="6" t="s">
        <v>518</v>
      </c>
      <c r="D390" s="6" t="s">
        <v>216</v>
      </c>
      <c r="E390" s="6" t="s">
        <v>1052</v>
      </c>
      <c r="F390" s="6">
        <v>10697.76</v>
      </c>
      <c r="G390" s="2">
        <v>45.84</v>
      </c>
      <c r="H390" s="2">
        <v>47.78</v>
      </c>
      <c r="I390" s="2">
        <v>55.85</v>
      </c>
      <c r="J390" s="47">
        <f t="shared" si="30"/>
        <v>4.2321116928446721E-2</v>
      </c>
      <c r="K390" s="47">
        <f t="shared" si="31"/>
        <v>0.16889912097111762</v>
      </c>
      <c r="L390" s="8">
        <v>41.63</v>
      </c>
      <c r="M390" s="8">
        <v>37.1</v>
      </c>
      <c r="N390" s="8">
        <v>31.74</v>
      </c>
      <c r="O390" s="17">
        <f t="shared" si="32"/>
        <v>8.7663092783505263</v>
      </c>
      <c r="P390" s="17">
        <f t="shared" si="33"/>
        <v>1.8792282527881041</v>
      </c>
      <c r="R390" s="9">
        <v>17.7</v>
      </c>
      <c r="S390" s="9">
        <v>12.09</v>
      </c>
      <c r="T390" s="9">
        <v>1560.51</v>
      </c>
      <c r="U390" s="9">
        <v>1325.23</v>
      </c>
      <c r="V390" s="45">
        <f t="shared" si="34"/>
        <v>0.1775389932313636</v>
      </c>
      <c r="W390" s="12">
        <v>9.49</v>
      </c>
      <c r="X390" s="12">
        <v>0.56000000000000005</v>
      </c>
      <c r="Y390" s="12">
        <v>20210805</v>
      </c>
    </row>
    <row r="391" spans="1:25" x14ac:dyDescent="0.45">
      <c r="A391" s="3" t="s">
        <v>1053</v>
      </c>
      <c r="B391" s="3" t="s">
        <v>1054</v>
      </c>
      <c r="C391" s="6" t="s">
        <v>519</v>
      </c>
      <c r="D391" s="6" t="s">
        <v>234</v>
      </c>
      <c r="E391" s="6" t="s">
        <v>218</v>
      </c>
      <c r="F391" s="6">
        <v>6983.12</v>
      </c>
      <c r="G391" s="2">
        <v>22.62</v>
      </c>
      <c r="H391" s="2">
        <v>39.4</v>
      </c>
      <c r="I391" s="2">
        <v>36.549999999999997</v>
      </c>
      <c r="J391" s="47">
        <f t="shared" si="30"/>
        <v>0.74182139699381067</v>
      </c>
      <c r="K391" s="47">
        <f t="shared" si="31"/>
        <v>-7.2335025380710696E-2</v>
      </c>
      <c r="L391" s="8">
        <v>10.39</v>
      </c>
      <c r="M391" s="8">
        <v>10.61</v>
      </c>
      <c r="N391" s="8">
        <v>11.43</v>
      </c>
      <c r="O391" s="17">
        <f t="shared" si="32"/>
        <v>0.14302634088200239</v>
      </c>
      <c r="P391" s="17">
        <f t="shared" si="33"/>
        <v>-1.5801473684210516</v>
      </c>
      <c r="R391" s="9">
        <v>29.86</v>
      </c>
      <c r="S391" s="9">
        <v>14.9</v>
      </c>
      <c r="T391" s="9">
        <v>1837.635</v>
      </c>
      <c r="U391" s="9">
        <v>1669.3</v>
      </c>
      <c r="V391" s="45">
        <f t="shared" si="34"/>
        <v>0.10084167016114541</v>
      </c>
      <c r="W391" s="12">
        <v>40.049999999999997</v>
      </c>
      <c r="X391" s="12">
        <v>0</v>
      </c>
      <c r="Y391" s="12">
        <v>20210729</v>
      </c>
    </row>
    <row r="392" spans="1:25" x14ac:dyDescent="0.45">
      <c r="A392" s="3" t="s">
        <v>1055</v>
      </c>
      <c r="B392" s="3" t="s">
        <v>1056</v>
      </c>
      <c r="C392" s="6" t="s">
        <v>518</v>
      </c>
      <c r="D392" s="6" t="s">
        <v>189</v>
      </c>
      <c r="E392" s="6" t="s">
        <v>1057</v>
      </c>
      <c r="F392" s="6">
        <v>6138.03</v>
      </c>
      <c r="G392" s="2">
        <v>12.31</v>
      </c>
      <c r="H392" s="2">
        <v>18.32</v>
      </c>
      <c r="I392" s="2">
        <v>16.75</v>
      </c>
      <c r="J392" s="47">
        <f t="shared" si="30"/>
        <v>0.48822095857026804</v>
      </c>
      <c r="K392" s="47">
        <f t="shared" si="31"/>
        <v>-8.5698689956331897E-2</v>
      </c>
      <c r="L392" s="8">
        <v>15.5</v>
      </c>
      <c r="M392" s="8">
        <v>14.23</v>
      </c>
      <c r="N392" s="8">
        <v>15.56</v>
      </c>
      <c r="O392" s="17">
        <f t="shared" si="32"/>
        <v>0.29146638935108155</v>
      </c>
      <c r="P392" s="17">
        <f t="shared" si="33"/>
        <v>-1.8156636942675155</v>
      </c>
      <c r="Q392" s="5">
        <v>1.0900000000000001</v>
      </c>
      <c r="R392" s="9">
        <v>15.75</v>
      </c>
      <c r="S392" s="9">
        <v>9.6199999999999992</v>
      </c>
      <c r="T392" s="9">
        <v>6057.0829999999996</v>
      </c>
      <c r="U392" s="9">
        <v>5720.04</v>
      </c>
      <c r="V392" s="45">
        <f t="shared" si="34"/>
        <v>5.8923189348326174E-2</v>
      </c>
      <c r="W392" s="12">
        <v>43.09</v>
      </c>
      <c r="X392" s="12">
        <v>0</v>
      </c>
      <c r="Y392" s="12">
        <v>20210811</v>
      </c>
    </row>
    <row r="393" spans="1:25" x14ac:dyDescent="0.45">
      <c r="A393" s="3" t="s">
        <v>1058</v>
      </c>
      <c r="B393" s="3" t="s">
        <v>1059</v>
      </c>
      <c r="C393" s="6" t="s">
        <v>518</v>
      </c>
      <c r="D393" s="6" t="s">
        <v>10</v>
      </c>
      <c r="E393" s="6" t="s">
        <v>29</v>
      </c>
      <c r="F393" s="6">
        <v>9269.9699999999993</v>
      </c>
      <c r="G393" s="2">
        <v>0.36</v>
      </c>
      <c r="H393" s="2">
        <v>0.8</v>
      </c>
      <c r="I393" s="2">
        <v>1.22</v>
      </c>
      <c r="J393" s="47">
        <f t="shared" si="30"/>
        <v>1.2222222222222223</v>
      </c>
      <c r="K393" s="47">
        <f t="shared" si="31"/>
        <v>0.52499999999999991</v>
      </c>
      <c r="L393" s="8">
        <v>87.75</v>
      </c>
      <c r="M393" s="8">
        <v>39.65</v>
      </c>
      <c r="N393" s="8">
        <v>25.89</v>
      </c>
      <c r="O393" s="17">
        <f t="shared" si="32"/>
        <v>0.32440909090909087</v>
      </c>
      <c r="P393" s="17">
        <f t="shared" si="33"/>
        <v>0.49314285714285722</v>
      </c>
      <c r="Q393" s="5">
        <v>4.96</v>
      </c>
      <c r="R393" s="9">
        <v>4.9400000000000004</v>
      </c>
      <c r="S393" s="9">
        <v>5.62</v>
      </c>
      <c r="T393" s="9">
        <v>2947.1599099999999</v>
      </c>
      <c r="U393" s="9">
        <v>2258.48</v>
      </c>
      <c r="V393" s="45">
        <f t="shared" si="34"/>
        <v>0.30493071003506778</v>
      </c>
      <c r="W393" s="12">
        <v>0</v>
      </c>
      <c r="X393" s="12">
        <v>0</v>
      </c>
      <c r="Y393" s="12">
        <v>20210811</v>
      </c>
    </row>
    <row r="394" spans="1:25" x14ac:dyDescent="0.45">
      <c r="A394" s="3" t="s">
        <v>3765</v>
      </c>
      <c r="B394" s="3" t="s">
        <v>1060</v>
      </c>
      <c r="C394" s="6" t="s">
        <v>518</v>
      </c>
      <c r="D394" s="6" t="s">
        <v>225</v>
      </c>
      <c r="E394" s="6" t="s">
        <v>226</v>
      </c>
      <c r="F394" s="6">
        <v>17906.82</v>
      </c>
      <c r="G394" s="2">
        <v>2.63</v>
      </c>
      <c r="H394" s="2">
        <v>2.63</v>
      </c>
      <c r="I394" s="2">
        <v>2.74</v>
      </c>
      <c r="J394" s="47">
        <f t="shared" si="30"/>
        <v>0</v>
      </c>
      <c r="K394" s="47">
        <f t="shared" si="31"/>
        <v>4.1825095057034342E-2</v>
      </c>
      <c r="L394" s="8">
        <v>13.09</v>
      </c>
      <c r="M394" s="8">
        <v>14.21</v>
      </c>
      <c r="N394" s="8">
        <v>13.59</v>
      </c>
      <c r="O394" s="17" t="e">
        <f t="shared" si="32"/>
        <v>#DIV/0!</v>
      </c>
      <c r="P394" s="17">
        <f t="shared" si="33"/>
        <v>3.249245454545445</v>
      </c>
      <c r="Q394" s="5">
        <v>2.0299999999999998</v>
      </c>
      <c r="R394" s="9">
        <v>16.95</v>
      </c>
      <c r="S394" s="9">
        <v>3.42</v>
      </c>
      <c r="T394" s="9">
        <v>10946.514639999999</v>
      </c>
      <c r="U394" s="9">
        <v>11054.4</v>
      </c>
      <c r="V394" s="45">
        <f t="shared" si="34"/>
        <v>-9.7594948617745168E-3</v>
      </c>
      <c r="W394" s="12">
        <v>1.72</v>
      </c>
      <c r="X394" s="12">
        <v>2.95</v>
      </c>
      <c r="Y394" s="12">
        <v>20210713</v>
      </c>
    </row>
    <row r="395" spans="1:25" x14ac:dyDescent="0.45">
      <c r="A395" s="3" t="s">
        <v>1061</v>
      </c>
      <c r="B395" s="3" t="s">
        <v>1062</v>
      </c>
      <c r="C395" s="6" t="s">
        <v>518</v>
      </c>
      <c r="D395" s="6" t="s">
        <v>279</v>
      </c>
      <c r="E395" s="6" t="s">
        <v>257</v>
      </c>
      <c r="F395" s="6">
        <v>16991.060000000001</v>
      </c>
      <c r="G395" s="2">
        <v>5.34</v>
      </c>
      <c r="H395" s="2">
        <v>5.98</v>
      </c>
      <c r="I395" s="2">
        <v>6.22</v>
      </c>
      <c r="J395" s="47">
        <f t="shared" si="30"/>
        <v>0.11985018726591772</v>
      </c>
      <c r="K395" s="47">
        <f t="shared" si="31"/>
        <v>4.013377926421393E-2</v>
      </c>
      <c r="L395" s="8">
        <v>10.06</v>
      </c>
      <c r="M395" s="8">
        <v>9.7899999999999991</v>
      </c>
      <c r="N395" s="8">
        <v>9.42</v>
      </c>
      <c r="O395" s="17">
        <f t="shared" si="32"/>
        <v>0.81685312499999918</v>
      </c>
      <c r="P395" s="17">
        <f t="shared" si="33"/>
        <v>2.3471500000000067</v>
      </c>
      <c r="Q395" s="5">
        <v>1.31</v>
      </c>
      <c r="R395" s="9">
        <v>98.2</v>
      </c>
      <c r="S395" s="9">
        <v>5.6</v>
      </c>
      <c r="T395" s="9">
        <v>160418.51561999999</v>
      </c>
      <c r="U395" s="9">
        <v>152922</v>
      </c>
      <c r="V395" s="45">
        <f t="shared" si="34"/>
        <v>4.9021825636598994E-2</v>
      </c>
      <c r="W395" s="12">
        <v>-3.16</v>
      </c>
      <c r="X395" s="12">
        <v>3.32</v>
      </c>
      <c r="Y395" s="12">
        <v>20210805</v>
      </c>
    </row>
    <row r="396" spans="1:25" x14ac:dyDescent="0.45">
      <c r="A396" s="3" t="s">
        <v>1063</v>
      </c>
      <c r="B396" s="3" t="s">
        <v>1064</v>
      </c>
      <c r="C396" s="6" t="s">
        <v>518</v>
      </c>
      <c r="D396" s="6" t="s">
        <v>189</v>
      </c>
      <c r="E396" s="6" t="s">
        <v>1065</v>
      </c>
      <c r="F396" s="6">
        <v>25319.15</v>
      </c>
      <c r="G396" s="2">
        <v>0.74</v>
      </c>
      <c r="H396" s="2">
        <v>1.37</v>
      </c>
      <c r="I396" s="2">
        <v>1.37</v>
      </c>
      <c r="J396" s="47">
        <f t="shared" si="30"/>
        <v>0.85135135135135154</v>
      </c>
      <c r="K396" s="47">
        <f t="shared" si="31"/>
        <v>0</v>
      </c>
      <c r="L396" s="8">
        <v>24.79</v>
      </c>
      <c r="M396" s="8">
        <v>17.37</v>
      </c>
      <c r="N396" s="8">
        <v>17.329999999999998</v>
      </c>
      <c r="O396" s="17">
        <f t="shared" si="32"/>
        <v>0.20402857142857139</v>
      </c>
      <c r="P396" s="17" t="e">
        <f t="shared" si="33"/>
        <v>#DIV/0!</v>
      </c>
      <c r="Q396" s="5">
        <v>17.37</v>
      </c>
      <c r="R396" s="9">
        <v>3.9</v>
      </c>
      <c r="S396" s="9">
        <v>-1.97</v>
      </c>
      <c r="T396" s="9">
        <v>31355</v>
      </c>
      <c r="U396" s="9">
        <v>30386.95</v>
      </c>
      <c r="V396" s="45">
        <f t="shared" si="34"/>
        <v>3.1857425638308526E-2</v>
      </c>
      <c r="W396" s="12">
        <v>48.15</v>
      </c>
      <c r="X396" s="12">
        <v>2.41</v>
      </c>
      <c r="Y396" s="12">
        <v>20210727</v>
      </c>
    </row>
    <row r="397" spans="1:25" x14ac:dyDescent="0.45">
      <c r="A397" s="3" t="s">
        <v>3766</v>
      </c>
      <c r="B397" s="3" t="s">
        <v>3767</v>
      </c>
      <c r="C397" s="6" t="s">
        <v>519</v>
      </c>
      <c r="D397" s="6" t="s">
        <v>175</v>
      </c>
      <c r="E397" s="6" t="s">
        <v>194</v>
      </c>
      <c r="F397" s="6">
        <v>6183.9</v>
      </c>
      <c r="G397" s="2">
        <v>-6.26</v>
      </c>
      <c r="H397" s="2">
        <v>3.88</v>
      </c>
      <c r="I397" s="2">
        <v>5.13</v>
      </c>
      <c r="J397" s="47">
        <f t="shared" si="30"/>
        <v>1.6198083067092652</v>
      </c>
      <c r="K397" s="47">
        <f t="shared" si="31"/>
        <v>0.32216494845360827</v>
      </c>
      <c r="M397" s="8">
        <v>22.8</v>
      </c>
      <c r="N397" s="8">
        <v>17.27</v>
      </c>
      <c r="O397" s="17">
        <f t="shared" si="32"/>
        <v>0.14075739644970414</v>
      </c>
      <c r="P397" s="17">
        <f t="shared" si="33"/>
        <v>0.53606079999999989</v>
      </c>
      <c r="R397" s="9">
        <v>-199.17</v>
      </c>
      <c r="S397" s="9">
        <v>-6.97</v>
      </c>
      <c r="T397" s="9">
        <v>7323.93505</v>
      </c>
      <c r="U397" s="9">
        <v>5402</v>
      </c>
      <c r="V397" s="45">
        <f t="shared" si="34"/>
        <v>0.35578212699000372</v>
      </c>
      <c r="W397" s="12">
        <v>80.67</v>
      </c>
      <c r="X397" s="12">
        <v>0</v>
      </c>
      <c r="Y397" s="12">
        <v>20210727</v>
      </c>
    </row>
    <row r="398" spans="1:25" x14ac:dyDescent="0.45">
      <c r="A398" s="3" t="s">
        <v>4057</v>
      </c>
      <c r="B398" s="3" t="s">
        <v>4058</v>
      </c>
      <c r="C398" s="6" t="s">
        <v>520</v>
      </c>
      <c r="D398" s="6" t="s">
        <v>210</v>
      </c>
      <c r="E398" s="6" t="s">
        <v>188</v>
      </c>
      <c r="F398" s="6">
        <v>7495.02</v>
      </c>
      <c r="H398" s="2">
        <v>4.53</v>
      </c>
      <c r="I398" s="2">
        <v>4.76</v>
      </c>
      <c r="J398" s="47" t="e">
        <f t="shared" si="30"/>
        <v>#DIV/0!</v>
      </c>
      <c r="K398" s="47">
        <f t="shared" si="31"/>
        <v>5.0772626931567227E-2</v>
      </c>
      <c r="M398" s="8">
        <v>7.11</v>
      </c>
      <c r="N398" s="8">
        <v>6.76</v>
      </c>
      <c r="O398" s="17" t="e">
        <f t="shared" si="32"/>
        <v>#DIV/0!</v>
      </c>
      <c r="P398" s="17">
        <f t="shared" si="33"/>
        <v>1.3314260869565244</v>
      </c>
      <c r="T398" s="9">
        <v>5291.8701099999998</v>
      </c>
      <c r="U398" s="9">
        <v>4970.7299999999996</v>
      </c>
      <c r="V398" s="45">
        <f t="shared" si="34"/>
        <v>6.4606226851991619E-2</v>
      </c>
      <c r="X398" s="12">
        <v>7.86</v>
      </c>
    </row>
    <row r="399" spans="1:25" x14ac:dyDescent="0.45">
      <c r="A399" s="3" t="s">
        <v>1067</v>
      </c>
      <c r="B399" s="3" t="s">
        <v>1068</v>
      </c>
      <c r="C399" s="6" t="s">
        <v>518</v>
      </c>
      <c r="D399" s="6" t="s">
        <v>189</v>
      </c>
      <c r="E399" s="6" t="s">
        <v>908</v>
      </c>
      <c r="F399" s="6">
        <v>40139.040000000001</v>
      </c>
      <c r="G399" s="2">
        <v>1.71</v>
      </c>
      <c r="H399" s="2">
        <v>2.0499999999999998</v>
      </c>
      <c r="I399" s="2">
        <v>2.2799999999999998</v>
      </c>
      <c r="J399" s="47">
        <f t="shared" si="30"/>
        <v>0.19883040935672508</v>
      </c>
      <c r="K399" s="47">
        <f t="shared" si="31"/>
        <v>0.11219512195121951</v>
      </c>
      <c r="L399" s="8">
        <v>25.8</v>
      </c>
      <c r="M399" s="8">
        <v>22.53</v>
      </c>
      <c r="N399" s="8">
        <v>20.25</v>
      </c>
      <c r="O399" s="17">
        <f t="shared" si="32"/>
        <v>1.1331264705882358</v>
      </c>
      <c r="P399" s="17">
        <f t="shared" si="33"/>
        <v>1.8048913043478259</v>
      </c>
      <c r="Q399" s="5">
        <v>1.68</v>
      </c>
      <c r="R399" s="9">
        <v>27.29</v>
      </c>
      <c r="T399" s="9">
        <v>19313.726559999999</v>
      </c>
      <c r="U399" s="9">
        <v>17456</v>
      </c>
      <c r="V399" s="45">
        <f t="shared" si="34"/>
        <v>0.10642338221814844</v>
      </c>
      <c r="W399" s="12">
        <v>26.32</v>
      </c>
      <c r="X399" s="12">
        <v>1.04</v>
      </c>
      <c r="Y399" s="12">
        <v>20210729</v>
      </c>
    </row>
    <row r="400" spans="1:25" x14ac:dyDescent="0.45">
      <c r="A400" s="3" t="s">
        <v>1069</v>
      </c>
      <c r="B400" s="3" t="s">
        <v>1070</v>
      </c>
      <c r="C400" s="6" t="s">
        <v>519</v>
      </c>
      <c r="D400" s="6" t="s">
        <v>303</v>
      </c>
      <c r="E400" s="6" t="s">
        <v>1071</v>
      </c>
      <c r="F400" s="6">
        <v>7570.48</v>
      </c>
      <c r="G400" s="2">
        <v>8.02</v>
      </c>
      <c r="H400" s="2">
        <v>7.97</v>
      </c>
      <c r="I400" s="2">
        <v>9.0299999999999994</v>
      </c>
      <c r="J400" s="47">
        <f t="shared" si="30"/>
        <v>-6.2344139650872604E-3</v>
      </c>
      <c r="K400" s="47">
        <f t="shared" si="31"/>
        <v>0.13299874529485567</v>
      </c>
      <c r="L400" s="8">
        <v>24.39</v>
      </c>
      <c r="M400" s="8">
        <v>25.69</v>
      </c>
      <c r="N400" s="8">
        <v>22.7</v>
      </c>
      <c r="O400" s="17">
        <f t="shared" si="32"/>
        <v>-41.206760000000145</v>
      </c>
      <c r="P400" s="17">
        <f t="shared" si="33"/>
        <v>1.7067830188679249</v>
      </c>
      <c r="R400" s="9">
        <v>16.829999999999998</v>
      </c>
      <c r="S400" s="9">
        <v>5.69</v>
      </c>
      <c r="T400" s="9">
        <v>10936.50488</v>
      </c>
      <c r="U400" s="9">
        <v>8707.19</v>
      </c>
      <c r="V400" s="45">
        <f t="shared" si="34"/>
        <v>0.25603149580978474</v>
      </c>
      <c r="W400" s="12">
        <v>67.16</v>
      </c>
      <c r="X400" s="12">
        <v>0.66</v>
      </c>
      <c r="Y400" s="12">
        <v>20210914</v>
      </c>
    </row>
    <row r="401" spans="1:25" x14ac:dyDescent="0.45">
      <c r="A401" s="3" t="s">
        <v>1072</v>
      </c>
      <c r="B401" s="3" t="s">
        <v>1073</v>
      </c>
      <c r="C401" s="6" t="s">
        <v>518</v>
      </c>
      <c r="D401" s="6" t="s">
        <v>272</v>
      </c>
      <c r="E401" s="6" t="s">
        <v>1074</v>
      </c>
      <c r="F401" s="6">
        <v>128538.24000000001</v>
      </c>
      <c r="G401" s="2">
        <v>5.44</v>
      </c>
      <c r="H401" s="2">
        <v>9.7200000000000006</v>
      </c>
      <c r="I401" s="2">
        <v>11.9</v>
      </c>
      <c r="J401" s="47">
        <f t="shared" si="30"/>
        <v>0.78676470588235292</v>
      </c>
      <c r="K401" s="47">
        <f t="shared" si="31"/>
        <v>0.22427983539094645</v>
      </c>
      <c r="L401" s="8">
        <v>31.88</v>
      </c>
      <c r="M401" s="8">
        <v>24.14</v>
      </c>
      <c r="N401" s="8">
        <v>19.71</v>
      </c>
      <c r="O401" s="17">
        <f t="shared" si="32"/>
        <v>0.30682616822429909</v>
      </c>
      <c r="P401" s="17">
        <f t="shared" si="33"/>
        <v>0.87881284403669757</v>
      </c>
      <c r="Q401" s="5">
        <v>2.0099999999999998</v>
      </c>
      <c r="R401" s="9">
        <v>26.63</v>
      </c>
      <c r="S401" s="9">
        <v>3.88</v>
      </c>
      <c r="T401" s="9">
        <v>49069.691400000003</v>
      </c>
      <c r="U401" s="9">
        <v>41748</v>
      </c>
      <c r="V401" s="45">
        <f t="shared" si="34"/>
        <v>0.17537825524576037</v>
      </c>
      <c r="W401" s="12">
        <v>48.7</v>
      </c>
      <c r="X401" s="12">
        <v>1.76</v>
      </c>
      <c r="Y401" s="12">
        <v>20210730</v>
      </c>
    </row>
    <row r="402" spans="1:25" x14ac:dyDescent="0.45">
      <c r="A402" s="3" t="s">
        <v>3768</v>
      </c>
      <c r="B402" s="3" t="s">
        <v>3769</v>
      </c>
      <c r="C402" s="6" t="s">
        <v>519</v>
      </c>
      <c r="D402" s="6" t="s">
        <v>234</v>
      </c>
      <c r="E402" s="6" t="s">
        <v>181</v>
      </c>
      <c r="F402" s="6">
        <v>3334.97</v>
      </c>
      <c r="G402" s="2">
        <v>2.76</v>
      </c>
      <c r="H402" s="2">
        <v>3.46</v>
      </c>
      <c r="I402" s="2">
        <v>3.47</v>
      </c>
      <c r="J402" s="47">
        <f t="shared" si="30"/>
        <v>0.25362318840579717</v>
      </c>
      <c r="K402" s="47">
        <f t="shared" si="31"/>
        <v>2.8901734104046909E-3</v>
      </c>
      <c r="L402" s="8">
        <v>13.08</v>
      </c>
      <c r="M402" s="8">
        <v>12.11</v>
      </c>
      <c r="N402" s="8">
        <v>12.06</v>
      </c>
      <c r="O402" s="17">
        <f t="shared" si="32"/>
        <v>0.47747999999999985</v>
      </c>
      <c r="P402" s="17">
        <f t="shared" si="33"/>
        <v>41.727599999999036</v>
      </c>
      <c r="R402" s="9">
        <v>10.64</v>
      </c>
      <c r="S402" s="9">
        <v>10.54</v>
      </c>
      <c r="T402" s="9">
        <v>623.23297000000002</v>
      </c>
      <c r="U402" s="9">
        <v>743.39</v>
      </c>
      <c r="V402" s="45">
        <f t="shared" si="34"/>
        <v>-0.16163390683221454</v>
      </c>
      <c r="W402" s="12">
        <v>17.95</v>
      </c>
      <c r="X402" s="12">
        <v>2.96</v>
      </c>
      <c r="Y402" s="12">
        <v>20210726</v>
      </c>
    </row>
    <row r="403" spans="1:25" x14ac:dyDescent="0.45">
      <c r="A403" s="3" t="s">
        <v>1075</v>
      </c>
      <c r="B403" s="3" t="s">
        <v>1076</v>
      </c>
      <c r="C403" s="6" t="s">
        <v>518</v>
      </c>
      <c r="D403" s="6" t="s">
        <v>234</v>
      </c>
      <c r="E403" s="6" t="s">
        <v>244</v>
      </c>
      <c r="F403" s="6">
        <v>75233.23</v>
      </c>
      <c r="G403" s="2">
        <v>7.02</v>
      </c>
      <c r="H403" s="2">
        <v>11.41</v>
      </c>
      <c r="I403" s="2">
        <v>12.6</v>
      </c>
      <c r="J403" s="47">
        <f t="shared" si="30"/>
        <v>0.6253561253561255</v>
      </c>
      <c r="K403" s="47">
        <f t="shared" si="31"/>
        <v>0.10429447852760731</v>
      </c>
      <c r="L403" s="8">
        <v>23.43</v>
      </c>
      <c r="M403" s="8">
        <v>14.66</v>
      </c>
      <c r="N403" s="8">
        <v>13.28</v>
      </c>
      <c r="O403" s="17">
        <f t="shared" si="32"/>
        <v>0.23442642369020497</v>
      </c>
      <c r="P403" s="17">
        <f t="shared" si="33"/>
        <v>1.2733176470588241</v>
      </c>
      <c r="Q403" s="5">
        <v>1.47</v>
      </c>
      <c r="R403" s="9">
        <v>5.63</v>
      </c>
      <c r="S403" s="9">
        <v>5.77</v>
      </c>
      <c r="T403" s="9">
        <v>37010</v>
      </c>
      <c r="U403" s="9">
        <v>37486</v>
      </c>
      <c r="V403" s="45">
        <f t="shared" si="34"/>
        <v>-1.2698073947607106E-2</v>
      </c>
      <c r="W403" s="12">
        <v>2.86</v>
      </c>
      <c r="X403" s="12">
        <v>1.86</v>
      </c>
      <c r="Y403" s="12">
        <v>20210727</v>
      </c>
    </row>
    <row r="404" spans="1:25" x14ac:dyDescent="0.45">
      <c r="A404" s="3" t="s">
        <v>1077</v>
      </c>
      <c r="B404" s="3" t="s">
        <v>1078</v>
      </c>
      <c r="C404" s="6" t="s">
        <v>1003</v>
      </c>
      <c r="D404" s="6" t="s">
        <v>234</v>
      </c>
      <c r="E404" s="6" t="s">
        <v>1079</v>
      </c>
      <c r="F404" s="6">
        <v>12173.92</v>
      </c>
      <c r="G404" s="2">
        <v>5.27</v>
      </c>
      <c r="H404" s="2">
        <v>5.32</v>
      </c>
      <c r="I404" s="2">
        <v>5.51</v>
      </c>
      <c r="J404" s="47">
        <f t="shared" si="30"/>
        <v>9.4876660341557326E-3</v>
      </c>
      <c r="K404" s="47">
        <f t="shared" si="31"/>
        <v>3.5714285714285622E-2</v>
      </c>
      <c r="L404" s="8">
        <v>22.11</v>
      </c>
      <c r="M404" s="8">
        <v>21.45</v>
      </c>
      <c r="N404" s="8">
        <v>20.72</v>
      </c>
      <c r="O404" s="17">
        <f t="shared" si="32"/>
        <v>22.608299999999677</v>
      </c>
      <c r="P404" s="17">
        <f t="shared" si="33"/>
        <v>5.8016000000000147</v>
      </c>
      <c r="Q404" s="5">
        <v>17.440000000000001</v>
      </c>
      <c r="R404" s="9">
        <v>16.72</v>
      </c>
      <c r="S404" s="9">
        <v>40.6</v>
      </c>
      <c r="T404" s="9">
        <v>1356.67797</v>
      </c>
      <c r="U404" s="9">
        <v>3427.1</v>
      </c>
      <c r="V404" s="45">
        <f t="shared" si="34"/>
        <v>-0.60413236555688477</v>
      </c>
      <c r="W404" s="12">
        <v>10.07</v>
      </c>
      <c r="X404" s="12">
        <v>1.47</v>
      </c>
      <c r="Y404" s="12">
        <v>20210730</v>
      </c>
    </row>
    <row r="405" spans="1:25" x14ac:dyDescent="0.45">
      <c r="A405" s="3" t="s">
        <v>1080</v>
      </c>
      <c r="B405" s="3" t="s">
        <v>1081</v>
      </c>
      <c r="C405" s="6" t="s">
        <v>518</v>
      </c>
      <c r="D405" s="6" t="s">
        <v>234</v>
      </c>
      <c r="E405" s="6" t="s">
        <v>284</v>
      </c>
      <c r="F405" s="6">
        <v>29886.93</v>
      </c>
      <c r="G405" s="2">
        <v>2.79</v>
      </c>
      <c r="H405" s="2">
        <v>3.83</v>
      </c>
      <c r="I405" s="2">
        <v>4.32</v>
      </c>
      <c r="J405" s="47">
        <f t="shared" si="30"/>
        <v>0.37275985663082439</v>
      </c>
      <c r="K405" s="47">
        <f t="shared" si="31"/>
        <v>0.12793733681462147</v>
      </c>
      <c r="L405" s="8">
        <v>26.26</v>
      </c>
      <c r="M405" s="8">
        <v>23.25</v>
      </c>
      <c r="N405" s="8">
        <v>20.59</v>
      </c>
      <c r="O405" s="17">
        <f t="shared" si="32"/>
        <v>0.62372596153846149</v>
      </c>
      <c r="P405" s="17">
        <f t="shared" si="33"/>
        <v>1.6093816326530606</v>
      </c>
      <c r="Q405" s="5">
        <v>2.11</v>
      </c>
      <c r="R405" s="9">
        <v>16.809999999999999</v>
      </c>
      <c r="S405" s="9">
        <v>18.829999999999998</v>
      </c>
      <c r="T405" s="9">
        <v>25789.28515</v>
      </c>
      <c r="U405" s="9">
        <v>23826.2</v>
      </c>
      <c r="V405" s="45">
        <f t="shared" si="34"/>
        <v>8.2391869034927886E-2</v>
      </c>
      <c r="W405" s="12">
        <v>22.86</v>
      </c>
      <c r="X405" s="12">
        <v>0</v>
      </c>
      <c r="Y405" s="12">
        <v>20210730</v>
      </c>
    </row>
    <row r="406" spans="1:25" x14ac:dyDescent="0.45">
      <c r="A406" s="3" t="s">
        <v>1082</v>
      </c>
      <c r="B406" s="3" t="s">
        <v>1083</v>
      </c>
      <c r="C406" s="6" t="s">
        <v>519</v>
      </c>
      <c r="D406" s="6" t="s">
        <v>303</v>
      </c>
      <c r="E406" s="6" t="s">
        <v>294</v>
      </c>
      <c r="F406" s="6">
        <v>3737.14</v>
      </c>
      <c r="G406" s="2">
        <v>2.5</v>
      </c>
      <c r="H406" s="2">
        <v>5.35</v>
      </c>
      <c r="I406" s="2">
        <v>9.43</v>
      </c>
      <c r="J406" s="47">
        <f t="shared" si="30"/>
        <v>1.1399999999999999</v>
      </c>
      <c r="K406" s="47">
        <f t="shared" si="31"/>
        <v>0.76261682242990658</v>
      </c>
      <c r="L406" s="8">
        <v>76.83</v>
      </c>
      <c r="M406" s="8">
        <v>29.42</v>
      </c>
      <c r="N406" s="8">
        <v>16.71</v>
      </c>
      <c r="O406" s="17">
        <f t="shared" si="32"/>
        <v>0.25807017543859656</v>
      </c>
      <c r="P406" s="17">
        <f t="shared" si="33"/>
        <v>0.21911397058823529</v>
      </c>
      <c r="R406" s="9">
        <v>8.61</v>
      </c>
      <c r="S406" s="9">
        <v>-3.29</v>
      </c>
      <c r="T406" s="9">
        <v>2828.1469699999998</v>
      </c>
      <c r="U406" s="9">
        <v>2522.79</v>
      </c>
      <c r="V406" s="45">
        <f t="shared" si="34"/>
        <v>0.12103939289437481</v>
      </c>
      <c r="W406" s="12">
        <v>1410</v>
      </c>
      <c r="X406" s="12">
        <v>0</v>
      </c>
      <c r="Y406" s="12">
        <v>20210921</v>
      </c>
    </row>
    <row r="407" spans="1:25" x14ac:dyDescent="0.45">
      <c r="A407" s="3" t="s">
        <v>1084</v>
      </c>
      <c r="B407" s="3" t="s">
        <v>1085</v>
      </c>
      <c r="C407" s="6" t="s">
        <v>519</v>
      </c>
      <c r="D407" s="6" t="s">
        <v>234</v>
      </c>
      <c r="E407" s="6" t="s">
        <v>168</v>
      </c>
      <c r="F407" s="6">
        <v>8918.0400000000009</v>
      </c>
      <c r="G407" s="2">
        <v>2.78</v>
      </c>
      <c r="H407" s="2">
        <v>3.98</v>
      </c>
      <c r="I407" s="2">
        <v>3.57</v>
      </c>
      <c r="J407" s="47">
        <f t="shared" si="30"/>
        <v>0.4316546762589929</v>
      </c>
      <c r="K407" s="47">
        <f t="shared" si="31"/>
        <v>-0.10301507537688445</v>
      </c>
      <c r="L407" s="8">
        <v>20.76</v>
      </c>
      <c r="M407" s="8">
        <v>19.13</v>
      </c>
      <c r="N407" s="8">
        <v>21.33</v>
      </c>
      <c r="O407" s="17">
        <f t="shared" si="32"/>
        <v>0.44317833333333323</v>
      </c>
      <c r="P407" s="17">
        <f t="shared" si="33"/>
        <v>-2.0705707317073161</v>
      </c>
      <c r="Q407" s="5">
        <v>1.65</v>
      </c>
      <c r="R407" s="9">
        <v>13.09</v>
      </c>
      <c r="S407" s="9">
        <v>4.88</v>
      </c>
      <c r="T407" s="9">
        <v>1358.61303</v>
      </c>
      <c r="U407" s="9">
        <v>1378.52</v>
      </c>
      <c r="V407" s="45">
        <f t="shared" si="34"/>
        <v>-1.4440827844354817E-2</v>
      </c>
      <c r="W407" s="12">
        <v>15.63</v>
      </c>
      <c r="X407" s="12">
        <v>1.38</v>
      </c>
      <c r="Y407" s="12">
        <v>20210720</v>
      </c>
    </row>
    <row r="408" spans="1:25" x14ac:dyDescent="0.45">
      <c r="A408" s="3" t="s">
        <v>4059</v>
      </c>
      <c r="B408" s="3" t="s">
        <v>4060</v>
      </c>
      <c r="C408" s="6" t="s">
        <v>518</v>
      </c>
      <c r="D408" s="6" t="s">
        <v>90</v>
      </c>
      <c r="E408" s="6" t="s">
        <v>196</v>
      </c>
      <c r="F408" s="6">
        <v>3557.76</v>
      </c>
      <c r="G408" s="2">
        <v>1.95</v>
      </c>
      <c r="H408" s="2">
        <v>4.7</v>
      </c>
      <c r="I408" s="2">
        <v>4.95</v>
      </c>
      <c r="J408" s="47">
        <f t="shared" si="30"/>
        <v>1.4102564102564104</v>
      </c>
      <c r="K408" s="47">
        <f t="shared" si="31"/>
        <v>5.3191489361702128E-2</v>
      </c>
      <c r="L408" s="8">
        <v>19.82</v>
      </c>
      <c r="M408" s="8">
        <v>13.37</v>
      </c>
      <c r="N408" s="8">
        <v>12.69</v>
      </c>
      <c r="O408" s="17">
        <f t="shared" si="32"/>
        <v>9.480545454545454E-2</v>
      </c>
      <c r="P408" s="17">
        <f t="shared" si="33"/>
        <v>2.3857200000000001</v>
      </c>
      <c r="R408" s="9">
        <v>19.21</v>
      </c>
      <c r="S408" s="9">
        <v>3.57</v>
      </c>
      <c r="T408" s="9">
        <v>3041.0900799999999</v>
      </c>
      <c r="U408" s="9">
        <v>2614</v>
      </c>
      <c r="V408" s="45">
        <f t="shared" si="34"/>
        <v>0.16338564651874521</v>
      </c>
      <c r="W408" s="12">
        <v>42.27</v>
      </c>
      <c r="X408" s="12">
        <v>2.23</v>
      </c>
      <c r="Y408" s="12">
        <v>20210805</v>
      </c>
    </row>
    <row r="409" spans="1:25" x14ac:dyDescent="0.45">
      <c r="A409" s="3" t="s">
        <v>1086</v>
      </c>
      <c r="B409" s="3" t="s">
        <v>1087</v>
      </c>
      <c r="C409" s="6" t="s">
        <v>518</v>
      </c>
      <c r="D409" s="6" t="s">
        <v>234</v>
      </c>
      <c r="E409" s="6" t="s">
        <v>169</v>
      </c>
      <c r="F409" s="6">
        <v>4311.2</v>
      </c>
      <c r="G409" s="2">
        <v>3.12</v>
      </c>
      <c r="H409" s="2">
        <v>3.31</v>
      </c>
      <c r="I409" s="2">
        <v>3.08</v>
      </c>
      <c r="J409" s="47">
        <f t="shared" si="30"/>
        <v>6.0897435897435875E-2</v>
      </c>
      <c r="K409" s="47">
        <f t="shared" si="31"/>
        <v>-6.9486404833836848E-2</v>
      </c>
      <c r="L409" s="8">
        <v>23.33</v>
      </c>
      <c r="M409" s="8">
        <v>24.16</v>
      </c>
      <c r="N409" s="8">
        <v>25.99</v>
      </c>
      <c r="O409" s="17">
        <f t="shared" si="32"/>
        <v>3.9673263157894749</v>
      </c>
      <c r="P409" s="17">
        <f t="shared" si="33"/>
        <v>-3.7403</v>
      </c>
      <c r="R409" s="9">
        <v>8.98</v>
      </c>
      <c r="S409" s="9">
        <v>9.1999999999999993</v>
      </c>
      <c r="T409" s="9">
        <v>607.38598000000002</v>
      </c>
      <c r="U409" s="9">
        <v>617.70000000000005</v>
      </c>
      <c r="V409" s="45">
        <f t="shared" si="34"/>
        <v>-1.6697458313097015E-2</v>
      </c>
      <c r="W409" s="12">
        <v>19.75</v>
      </c>
      <c r="X409" s="12">
        <v>2.1</v>
      </c>
      <c r="Y409" s="12">
        <v>20210726</v>
      </c>
    </row>
    <row r="410" spans="1:25" x14ac:dyDescent="0.45">
      <c r="A410" s="3" t="s">
        <v>1088</v>
      </c>
      <c r="B410" s="3" t="s">
        <v>1089</v>
      </c>
      <c r="C410" s="6" t="s">
        <v>518</v>
      </c>
      <c r="D410" s="6" t="s">
        <v>90</v>
      </c>
      <c r="E410" s="6" t="s">
        <v>196</v>
      </c>
      <c r="F410" s="6">
        <v>6270.14</v>
      </c>
      <c r="G410" s="2">
        <v>1.72</v>
      </c>
      <c r="H410" s="2">
        <v>3</v>
      </c>
      <c r="I410" s="2">
        <v>3.51</v>
      </c>
      <c r="J410" s="47">
        <f t="shared" si="30"/>
        <v>0.7441860465116279</v>
      </c>
      <c r="K410" s="47">
        <f t="shared" si="31"/>
        <v>0.16999999999999993</v>
      </c>
      <c r="L410" s="8">
        <v>19.23</v>
      </c>
      <c r="M410" s="8">
        <v>12.63</v>
      </c>
      <c r="N410" s="8">
        <v>10.8</v>
      </c>
      <c r="O410" s="17">
        <f t="shared" si="32"/>
        <v>0.16971562500000001</v>
      </c>
      <c r="P410" s="17">
        <f t="shared" si="33"/>
        <v>0.63529411764705912</v>
      </c>
      <c r="Q410" s="5">
        <v>0.48</v>
      </c>
      <c r="R410" s="9">
        <v>43.27</v>
      </c>
      <c r="S410" s="9">
        <v>-2.39</v>
      </c>
      <c r="T410" s="9">
        <v>5649.3500899999999</v>
      </c>
      <c r="U410" s="9">
        <v>4969</v>
      </c>
      <c r="V410" s="45">
        <f t="shared" si="34"/>
        <v>0.13691891527470315</v>
      </c>
      <c r="W410" s="12">
        <v>4.41</v>
      </c>
      <c r="X410" s="12">
        <v>2.64</v>
      </c>
      <c r="Y410" s="12">
        <v>20210729</v>
      </c>
    </row>
    <row r="411" spans="1:25" x14ac:dyDescent="0.45">
      <c r="A411" s="3" t="s">
        <v>4061</v>
      </c>
      <c r="B411" s="3" t="s">
        <v>1090</v>
      </c>
      <c r="C411" s="6" t="s">
        <v>518</v>
      </c>
      <c r="D411" s="6" t="s">
        <v>225</v>
      </c>
      <c r="E411" s="6" t="s">
        <v>1091</v>
      </c>
      <c r="F411" s="6">
        <v>29910.46</v>
      </c>
      <c r="G411" s="2">
        <v>2.13</v>
      </c>
      <c r="H411" s="2">
        <v>3.02</v>
      </c>
      <c r="I411" s="2">
        <v>3.67</v>
      </c>
      <c r="J411" s="47">
        <f t="shared" si="30"/>
        <v>0.41784037558685455</v>
      </c>
      <c r="K411" s="47">
        <f t="shared" si="31"/>
        <v>0.21523178807947016</v>
      </c>
      <c r="M411" s="8">
        <v>20.48</v>
      </c>
      <c r="N411" s="8">
        <v>16.809999999999999</v>
      </c>
      <c r="O411" s="17">
        <f t="shared" si="32"/>
        <v>0.49013932584269654</v>
      </c>
      <c r="P411" s="17">
        <f t="shared" si="33"/>
        <v>0.78101846153846166</v>
      </c>
      <c r="Q411" s="5">
        <v>1.04</v>
      </c>
      <c r="T411" s="9">
        <v>16390.396479999999</v>
      </c>
      <c r="U411" s="9">
        <v>12114.21</v>
      </c>
      <c r="V411" s="45">
        <f t="shared" si="34"/>
        <v>0.35298929769254461</v>
      </c>
      <c r="X411" s="12">
        <v>0</v>
      </c>
      <c r="Y411" s="12">
        <v>20210610</v>
      </c>
    </row>
    <row r="412" spans="1:25" x14ac:dyDescent="0.45">
      <c r="A412" s="3" t="s">
        <v>1092</v>
      </c>
      <c r="B412" s="3" t="s">
        <v>1093</v>
      </c>
      <c r="C412" s="6" t="s">
        <v>520</v>
      </c>
      <c r="D412" s="6" t="s">
        <v>225</v>
      </c>
      <c r="E412" s="6" t="s">
        <v>1091</v>
      </c>
      <c r="F412" s="6">
        <v>13560.83</v>
      </c>
      <c r="G412" s="2">
        <v>1.39</v>
      </c>
      <c r="H412" s="2">
        <v>1.68</v>
      </c>
      <c r="I412" s="2">
        <v>1.85</v>
      </c>
      <c r="J412" s="47">
        <f t="shared" si="30"/>
        <v>0.20863309352517989</v>
      </c>
      <c r="K412" s="47">
        <f t="shared" si="31"/>
        <v>0.10119047619047629</v>
      </c>
      <c r="M412" s="8">
        <v>22.07</v>
      </c>
      <c r="N412" s="8">
        <v>20.100000000000001</v>
      </c>
      <c r="O412" s="17">
        <f t="shared" si="32"/>
        <v>1.0578379310344828</v>
      </c>
      <c r="P412" s="17">
        <f t="shared" si="33"/>
        <v>1.9863529411764687</v>
      </c>
      <c r="T412" s="9">
        <v>8116.7451099999998</v>
      </c>
      <c r="U412" s="9">
        <v>7003.76</v>
      </c>
      <c r="V412" s="45">
        <f t="shared" si="34"/>
        <v>0.15891251413526442</v>
      </c>
      <c r="X412" s="12">
        <v>0</v>
      </c>
    </row>
    <row r="413" spans="1:25" x14ac:dyDescent="0.45">
      <c r="A413" s="3" t="s">
        <v>1094</v>
      </c>
      <c r="B413" s="3" t="s">
        <v>1095</v>
      </c>
      <c r="C413" s="6" t="s">
        <v>518</v>
      </c>
      <c r="D413" s="6" t="s">
        <v>234</v>
      </c>
      <c r="E413" s="6" t="s">
        <v>286</v>
      </c>
      <c r="F413" s="6">
        <v>85180.25</v>
      </c>
      <c r="G413" s="2">
        <v>6.08</v>
      </c>
      <c r="H413" s="2">
        <v>6.8</v>
      </c>
      <c r="I413" s="2">
        <v>7.3</v>
      </c>
      <c r="J413" s="47">
        <f t="shared" si="30"/>
        <v>0.1184210526315789</v>
      </c>
      <c r="K413" s="47">
        <f t="shared" si="31"/>
        <v>7.3529411764705885E-2</v>
      </c>
      <c r="L413" s="8">
        <v>27.96</v>
      </c>
      <c r="M413" s="8">
        <v>29</v>
      </c>
      <c r="N413" s="8">
        <v>27</v>
      </c>
      <c r="O413" s="17">
        <f t="shared" si="32"/>
        <v>2.4488888888888898</v>
      </c>
      <c r="P413" s="17">
        <f t="shared" si="33"/>
        <v>3.6719999999999997</v>
      </c>
      <c r="Q413" s="5">
        <v>1.38</v>
      </c>
      <c r="R413" s="9">
        <v>10.52</v>
      </c>
      <c r="S413" s="9">
        <v>11.73</v>
      </c>
      <c r="T413" s="9">
        <v>6278.3320299999996</v>
      </c>
      <c r="U413" s="9">
        <v>5840</v>
      </c>
      <c r="V413" s="45">
        <f t="shared" si="34"/>
        <v>7.5056854452054719E-2</v>
      </c>
      <c r="W413" s="12">
        <v>6.21</v>
      </c>
      <c r="X413" s="12">
        <v>2.7</v>
      </c>
      <c r="Y413" s="12">
        <v>20210804</v>
      </c>
    </row>
    <row r="414" spans="1:25" x14ac:dyDescent="0.45">
      <c r="A414" s="3" t="s">
        <v>4519</v>
      </c>
      <c r="B414" s="3" t="s">
        <v>4520</v>
      </c>
      <c r="C414" s="6" t="s">
        <v>518</v>
      </c>
      <c r="D414" s="6" t="s">
        <v>46</v>
      </c>
      <c r="E414" s="6" t="s">
        <v>63</v>
      </c>
      <c r="F414" s="6">
        <v>6854.29</v>
      </c>
      <c r="J414" s="47" t="e">
        <f t="shared" si="30"/>
        <v>#DIV/0!</v>
      </c>
      <c r="K414" s="47" t="e">
        <f t="shared" si="31"/>
        <v>#DIV/0!</v>
      </c>
      <c r="O414" s="17" t="e">
        <f t="shared" si="32"/>
        <v>#DIV/0!</v>
      </c>
      <c r="P414" s="17" t="e">
        <f t="shared" si="33"/>
        <v>#DIV/0!</v>
      </c>
      <c r="V414" s="45" t="e">
        <f t="shared" si="34"/>
        <v>#DIV/0!</v>
      </c>
      <c r="X414" s="12">
        <v>0</v>
      </c>
    </row>
    <row r="415" spans="1:25" x14ac:dyDescent="0.45">
      <c r="A415" s="3" t="s">
        <v>1096</v>
      </c>
      <c r="B415" s="3" t="s">
        <v>1097</v>
      </c>
      <c r="C415" s="6" t="s">
        <v>518</v>
      </c>
      <c r="D415" s="6" t="s">
        <v>90</v>
      </c>
      <c r="E415" s="6" t="s">
        <v>268</v>
      </c>
      <c r="F415" s="6">
        <v>8489.69</v>
      </c>
      <c r="G415" s="2">
        <v>-0.21</v>
      </c>
      <c r="H415" s="2">
        <v>0.05</v>
      </c>
      <c r="I415" s="2">
        <v>0.38</v>
      </c>
      <c r="J415" s="47">
        <f t="shared" si="30"/>
        <v>1.2380952380952381</v>
      </c>
      <c r="K415" s="47">
        <f t="shared" si="31"/>
        <v>6.6</v>
      </c>
      <c r="M415" s="8">
        <v>388.18</v>
      </c>
      <c r="N415" s="8">
        <v>56.93</v>
      </c>
      <c r="O415" s="17">
        <f t="shared" si="32"/>
        <v>3.1353</v>
      </c>
      <c r="P415" s="17">
        <f t="shared" si="33"/>
        <v>8.6257575757575755E-2</v>
      </c>
      <c r="R415" s="9">
        <v>-2.4700000000000002</v>
      </c>
      <c r="S415" s="9">
        <v>-6.97</v>
      </c>
      <c r="T415" s="9">
        <v>1250.6400100000001</v>
      </c>
      <c r="U415" s="9">
        <v>1343.74</v>
      </c>
      <c r="V415" s="45">
        <f t="shared" si="34"/>
        <v>-6.9284229091937377E-2</v>
      </c>
      <c r="W415" s="12">
        <v>14.29</v>
      </c>
      <c r="X415" s="12">
        <v>0.28000000000000003</v>
      </c>
      <c r="Y415" s="12">
        <v>20210804</v>
      </c>
    </row>
    <row r="416" spans="1:25" x14ac:dyDescent="0.45">
      <c r="A416" s="3" t="s">
        <v>1098</v>
      </c>
      <c r="B416" s="3" t="s">
        <v>1099</v>
      </c>
      <c r="C416" s="6" t="s">
        <v>518</v>
      </c>
      <c r="D416" s="6" t="s">
        <v>272</v>
      </c>
      <c r="E416" s="6" t="s">
        <v>937</v>
      </c>
      <c r="F416" s="6">
        <v>13448.08</v>
      </c>
      <c r="G416" s="2">
        <v>5.71</v>
      </c>
      <c r="H416" s="2">
        <v>6.85</v>
      </c>
      <c r="I416" s="2">
        <v>7.47</v>
      </c>
      <c r="J416" s="47">
        <f t="shared" si="30"/>
        <v>0.19964973730297716</v>
      </c>
      <c r="K416" s="47">
        <f t="shared" si="31"/>
        <v>9.0510948905109509E-2</v>
      </c>
      <c r="L416" s="8">
        <v>15.06</v>
      </c>
      <c r="M416" s="8">
        <v>14.56</v>
      </c>
      <c r="N416" s="8">
        <v>13.35</v>
      </c>
      <c r="O416" s="17">
        <f t="shared" si="32"/>
        <v>0.72927719298245641</v>
      </c>
      <c r="P416" s="17">
        <f t="shared" si="33"/>
        <v>1.4749596774193545</v>
      </c>
      <c r="Q416" s="5">
        <v>2.91</v>
      </c>
      <c r="R416" s="9">
        <v>35.78</v>
      </c>
      <c r="S416" s="9">
        <v>9.83</v>
      </c>
      <c r="T416" s="9">
        <v>11948.18554</v>
      </c>
      <c r="U416" s="9">
        <v>11575</v>
      </c>
      <c r="V416" s="45">
        <f t="shared" si="34"/>
        <v>3.2240651403887724E-2</v>
      </c>
      <c r="W416" s="12">
        <v>31.65</v>
      </c>
      <c r="X416" s="12">
        <v>0.8</v>
      </c>
      <c r="Y416" s="12">
        <v>20210719</v>
      </c>
    </row>
    <row r="417" spans="1:25" x14ac:dyDescent="0.45">
      <c r="A417" s="3" t="s">
        <v>1100</v>
      </c>
      <c r="B417" s="3" t="s">
        <v>1101</v>
      </c>
      <c r="C417" s="6" t="s">
        <v>518</v>
      </c>
      <c r="D417" s="6" t="s">
        <v>216</v>
      </c>
      <c r="E417" s="6" t="s">
        <v>1102</v>
      </c>
      <c r="F417" s="6">
        <v>29644.31</v>
      </c>
      <c r="G417" s="2">
        <v>-7.36</v>
      </c>
      <c r="H417" s="2">
        <v>-5.48</v>
      </c>
      <c r="I417" s="2">
        <v>0.27</v>
      </c>
      <c r="J417" s="47">
        <f t="shared" si="30"/>
        <v>0.25543478260869562</v>
      </c>
      <c r="K417" s="47">
        <f t="shared" si="31"/>
        <v>1.0492700729927007</v>
      </c>
      <c r="N417" s="8">
        <v>111.6</v>
      </c>
      <c r="O417" s="17">
        <f t="shared" si="32"/>
        <v>0</v>
      </c>
      <c r="P417" s="17">
        <f t="shared" si="33"/>
        <v>1.0635965217391303</v>
      </c>
      <c r="R417" s="9">
        <v>-39.14</v>
      </c>
      <c r="S417" s="9">
        <v>-20.170000000000002</v>
      </c>
      <c r="T417" s="9">
        <v>3374.4689899999998</v>
      </c>
      <c r="U417" s="9">
        <v>5595</v>
      </c>
      <c r="V417" s="45">
        <f t="shared" si="34"/>
        <v>-0.39687774977658624</v>
      </c>
      <c r="W417" s="12">
        <v>-7.83</v>
      </c>
      <c r="X417" s="12">
        <v>0</v>
      </c>
      <c r="Y417" s="12">
        <v>20210709</v>
      </c>
    </row>
    <row r="418" spans="1:25" x14ac:dyDescent="0.45">
      <c r="A418" s="3" t="s">
        <v>1103</v>
      </c>
      <c r="B418" s="3" t="s">
        <v>1104</v>
      </c>
      <c r="C418" s="6" t="s">
        <v>519</v>
      </c>
      <c r="D418" s="6" t="s">
        <v>189</v>
      </c>
      <c r="E418" s="6" t="s">
        <v>908</v>
      </c>
      <c r="F418" s="6">
        <v>4486.95</v>
      </c>
      <c r="G418" s="2">
        <v>7.21</v>
      </c>
      <c r="H418" s="2">
        <v>7.82</v>
      </c>
      <c r="I418" s="2">
        <v>8.1199999999999992</v>
      </c>
      <c r="J418" s="47">
        <f t="shared" si="30"/>
        <v>8.4604715672676883E-2</v>
      </c>
      <c r="K418" s="47">
        <f t="shared" si="31"/>
        <v>3.8363171355498583E-2</v>
      </c>
      <c r="L418" s="8">
        <v>20.75</v>
      </c>
      <c r="M418" s="8">
        <v>19.61</v>
      </c>
      <c r="N418" s="8">
        <v>18.899999999999999</v>
      </c>
      <c r="O418" s="17">
        <f t="shared" si="32"/>
        <v>2.3178377049180314</v>
      </c>
      <c r="P418" s="17">
        <f t="shared" si="33"/>
        <v>4.9266000000000174</v>
      </c>
      <c r="R418" s="9">
        <v>20.99</v>
      </c>
      <c r="S418" s="9">
        <v>29.03</v>
      </c>
      <c r="T418" s="9">
        <v>1200.1669899999999</v>
      </c>
      <c r="U418" s="9">
        <v>1116.27</v>
      </c>
      <c r="V418" s="45">
        <f t="shared" si="34"/>
        <v>7.5158330869771611E-2</v>
      </c>
      <c r="W418" s="12">
        <v>-11.86</v>
      </c>
      <c r="X418" s="12">
        <v>1.2</v>
      </c>
      <c r="Y418" s="12">
        <v>20210804</v>
      </c>
    </row>
    <row r="419" spans="1:25" x14ac:dyDescent="0.45">
      <c r="A419" s="3" t="s">
        <v>1105</v>
      </c>
      <c r="B419" s="3" t="s">
        <v>1106</v>
      </c>
      <c r="C419" s="6" t="s">
        <v>520</v>
      </c>
      <c r="D419" s="6" t="s">
        <v>216</v>
      </c>
      <c r="E419" s="6" t="s">
        <v>228</v>
      </c>
      <c r="F419" s="6">
        <v>6592.88</v>
      </c>
      <c r="G419" s="2">
        <v>0.5</v>
      </c>
      <c r="H419" s="2">
        <v>0.63</v>
      </c>
      <c r="I419" s="2">
        <v>0.71</v>
      </c>
      <c r="J419" s="47">
        <f t="shared" si="30"/>
        <v>0.26</v>
      </c>
      <c r="K419" s="47">
        <f t="shared" si="31"/>
        <v>0.12698412698412692</v>
      </c>
      <c r="L419" s="8">
        <v>34.700000000000003</v>
      </c>
      <c r="M419" s="8">
        <v>24.61</v>
      </c>
      <c r="N419" s="8">
        <v>21.67</v>
      </c>
      <c r="O419" s="17">
        <f t="shared" si="32"/>
        <v>0.94653846153846155</v>
      </c>
      <c r="P419" s="17">
        <f t="shared" si="33"/>
        <v>1.706512500000001</v>
      </c>
      <c r="R419" s="9">
        <v>19.18</v>
      </c>
      <c r="S419" s="9">
        <v>2.83</v>
      </c>
      <c r="T419" s="9">
        <v>1029.9799800000001</v>
      </c>
      <c r="U419" s="9">
        <v>750.64</v>
      </c>
      <c r="V419" s="45">
        <f t="shared" si="34"/>
        <v>0.37213575082596195</v>
      </c>
      <c r="X419" s="12">
        <v>0.28999999999999998</v>
      </c>
      <c r="Y419" s="12">
        <v>20210611</v>
      </c>
    </row>
    <row r="420" spans="1:25" x14ac:dyDescent="0.45">
      <c r="A420" s="3" t="s">
        <v>4062</v>
      </c>
      <c r="B420" s="3" t="s">
        <v>4063</v>
      </c>
      <c r="C420" s="6" t="s">
        <v>519</v>
      </c>
      <c r="D420" s="6" t="s">
        <v>189</v>
      </c>
      <c r="E420" s="6" t="s">
        <v>377</v>
      </c>
      <c r="F420" s="6">
        <v>3610.8</v>
      </c>
      <c r="G420" s="2">
        <v>0.45</v>
      </c>
      <c r="H420" s="2">
        <v>1.1599999999999999</v>
      </c>
      <c r="I420" s="2">
        <v>1.27</v>
      </c>
      <c r="J420" s="47">
        <f t="shared" si="30"/>
        <v>1.5777777777777777</v>
      </c>
      <c r="K420" s="47">
        <f t="shared" si="31"/>
        <v>9.4827586206896644E-2</v>
      </c>
      <c r="L420" s="8">
        <v>75.209999999999994</v>
      </c>
      <c r="M420" s="8">
        <v>65.48</v>
      </c>
      <c r="N420" s="8">
        <v>59.9</v>
      </c>
      <c r="O420" s="17">
        <f t="shared" si="32"/>
        <v>0.4150140845070423</v>
      </c>
      <c r="P420" s="17">
        <f t="shared" si="33"/>
        <v>6.3167272727272668</v>
      </c>
      <c r="R420" s="9">
        <v>-17.03</v>
      </c>
      <c r="S420" s="9">
        <v>6.41</v>
      </c>
      <c r="T420" s="9">
        <v>593.11999000000003</v>
      </c>
      <c r="U420" s="9">
        <v>568.1</v>
      </c>
      <c r="V420" s="45">
        <f t="shared" si="34"/>
        <v>4.4041524379510658E-2</v>
      </c>
      <c r="W420" s="12">
        <v>127.78</v>
      </c>
      <c r="X420" s="12">
        <v>4.1100000000000003</v>
      </c>
      <c r="Y420" s="12">
        <v>20210805</v>
      </c>
    </row>
    <row r="421" spans="1:25" x14ac:dyDescent="0.45">
      <c r="A421" s="3" t="s">
        <v>4521</v>
      </c>
      <c r="B421" s="3" t="s">
        <v>4522</v>
      </c>
      <c r="C421" s="6" t="s">
        <v>520</v>
      </c>
      <c r="D421" s="6" t="s">
        <v>289</v>
      </c>
      <c r="E421" s="6" t="s">
        <v>4064</v>
      </c>
      <c r="F421" s="6">
        <v>7318.78</v>
      </c>
      <c r="J421" s="47" t="e">
        <f t="shared" si="30"/>
        <v>#DIV/0!</v>
      </c>
      <c r="K421" s="47" t="e">
        <f t="shared" si="31"/>
        <v>#DIV/0!</v>
      </c>
      <c r="O421" s="17" t="e">
        <f t="shared" si="32"/>
        <v>#DIV/0!</v>
      </c>
      <c r="P421" s="17" t="e">
        <f t="shared" si="33"/>
        <v>#DIV/0!</v>
      </c>
      <c r="U421" s="9">
        <v>20428.96</v>
      </c>
      <c r="V421" s="45">
        <f t="shared" si="34"/>
        <v>-1</v>
      </c>
      <c r="X421" s="12">
        <v>2.92</v>
      </c>
    </row>
    <row r="422" spans="1:25" x14ac:dyDescent="0.45">
      <c r="A422" s="3" t="s">
        <v>1107</v>
      </c>
      <c r="B422" s="3" t="s">
        <v>1108</v>
      </c>
      <c r="C422" s="6" t="s">
        <v>518</v>
      </c>
      <c r="D422" s="6" t="s">
        <v>225</v>
      </c>
      <c r="E422" s="6" t="s">
        <v>186</v>
      </c>
      <c r="F422" s="6">
        <v>3373.56</v>
      </c>
      <c r="G422" s="2">
        <v>0.55000000000000004</v>
      </c>
      <c r="H422" s="2">
        <v>0.97</v>
      </c>
      <c r="I422" s="2">
        <v>0.93</v>
      </c>
      <c r="J422" s="47">
        <f t="shared" si="30"/>
        <v>0.76363636363636345</v>
      </c>
      <c r="K422" s="47">
        <f t="shared" si="31"/>
        <v>-4.1237113402061779E-2</v>
      </c>
      <c r="L422" s="8">
        <v>19.22</v>
      </c>
      <c r="M422" s="8">
        <v>18.829999999999998</v>
      </c>
      <c r="N422" s="8">
        <v>19.63</v>
      </c>
      <c r="O422" s="17">
        <f t="shared" si="32"/>
        <v>0.24658333333333338</v>
      </c>
      <c r="P422" s="17">
        <f t="shared" si="33"/>
        <v>-4.760275000000008</v>
      </c>
      <c r="Q422" s="5">
        <v>1.72</v>
      </c>
      <c r="R422" s="9">
        <v>9.41</v>
      </c>
      <c r="S422" s="9">
        <v>1.27</v>
      </c>
      <c r="T422" s="9">
        <v>2544.1599099999999</v>
      </c>
      <c r="U422" s="9">
        <v>2414.87</v>
      </c>
      <c r="V422" s="45">
        <f t="shared" si="34"/>
        <v>5.3539076637665786E-2</v>
      </c>
      <c r="W422" s="12">
        <v>53.13</v>
      </c>
      <c r="X422" s="12">
        <v>2.71</v>
      </c>
      <c r="Y422" s="12">
        <v>20210804</v>
      </c>
    </row>
    <row r="423" spans="1:25" x14ac:dyDescent="0.45">
      <c r="A423" s="3" t="s">
        <v>1109</v>
      </c>
      <c r="B423" s="3" t="s">
        <v>1110</v>
      </c>
      <c r="C423" s="6" t="s">
        <v>519</v>
      </c>
      <c r="D423" s="6" t="s">
        <v>175</v>
      </c>
      <c r="E423" s="6" t="s">
        <v>305</v>
      </c>
      <c r="F423" s="6">
        <v>5701.23</v>
      </c>
      <c r="G423" s="2">
        <v>-0.13</v>
      </c>
      <c r="H423" s="2">
        <v>0.03</v>
      </c>
      <c r="I423" s="2">
        <v>0.1</v>
      </c>
      <c r="J423" s="47">
        <f t="shared" si="30"/>
        <v>1.2307692307692308</v>
      </c>
      <c r="K423" s="47">
        <f t="shared" si="31"/>
        <v>2.3333333333333335</v>
      </c>
      <c r="M423" s="8">
        <v>624.4</v>
      </c>
      <c r="N423" s="8">
        <v>156.1</v>
      </c>
      <c r="O423" s="17">
        <f t="shared" si="32"/>
        <v>5.0732499999999998</v>
      </c>
      <c r="P423" s="17">
        <f t="shared" si="33"/>
        <v>0.66899999999999993</v>
      </c>
      <c r="T423" s="9">
        <v>439.42498000000001</v>
      </c>
      <c r="U423" s="9">
        <v>280.63</v>
      </c>
      <c r="V423" s="45">
        <f t="shared" si="34"/>
        <v>0.56585176210668853</v>
      </c>
      <c r="W423" s="12">
        <v>100</v>
      </c>
      <c r="X423" s="12">
        <v>0</v>
      </c>
    </row>
    <row r="424" spans="1:25" x14ac:dyDescent="0.45">
      <c r="A424" s="3" t="s">
        <v>1111</v>
      </c>
      <c r="B424" s="3" t="s">
        <v>1112</v>
      </c>
      <c r="C424" s="6" t="s">
        <v>518</v>
      </c>
      <c r="D424" s="6" t="s">
        <v>189</v>
      </c>
      <c r="E424" s="6" t="s">
        <v>248</v>
      </c>
      <c r="F424" s="6">
        <v>12865.79</v>
      </c>
      <c r="G424" s="2">
        <v>0.47</v>
      </c>
      <c r="H424" s="2">
        <v>0.33</v>
      </c>
      <c r="I424" s="2">
        <v>0.53</v>
      </c>
      <c r="J424" s="47">
        <f t="shared" si="30"/>
        <v>-0.29787234042553185</v>
      </c>
      <c r="K424" s="47">
        <f t="shared" si="31"/>
        <v>0.60606060606060608</v>
      </c>
      <c r="L424" s="8">
        <v>200.49</v>
      </c>
      <c r="M424" s="8">
        <v>261.24</v>
      </c>
      <c r="N424" s="8">
        <v>163.43</v>
      </c>
      <c r="O424" s="17">
        <f t="shared" si="32"/>
        <v>-8.7702000000000027</v>
      </c>
      <c r="P424" s="17">
        <f t="shared" si="33"/>
        <v>2.6965949999999999</v>
      </c>
      <c r="R424" s="9">
        <v>0.02</v>
      </c>
      <c r="S424" s="9">
        <v>7.44</v>
      </c>
      <c r="T424" s="9">
        <v>985.94</v>
      </c>
      <c r="U424" s="9">
        <v>842.5</v>
      </c>
      <c r="V424" s="45">
        <f t="shared" si="34"/>
        <v>0.17025519287833835</v>
      </c>
      <c r="W424" s="12">
        <v>0</v>
      </c>
      <c r="X424" s="12">
        <v>0</v>
      </c>
      <c r="Y424" s="12">
        <v>20210804</v>
      </c>
    </row>
    <row r="425" spans="1:25" x14ac:dyDescent="0.45">
      <c r="A425" s="3" t="s">
        <v>1113</v>
      </c>
      <c r="B425" s="3" t="s">
        <v>1114</v>
      </c>
      <c r="C425" s="6" t="s">
        <v>520</v>
      </c>
      <c r="D425" s="6" t="s">
        <v>234</v>
      </c>
      <c r="E425" s="6" t="s">
        <v>284</v>
      </c>
      <c r="F425" s="6">
        <v>5205.6099999999997</v>
      </c>
      <c r="G425" s="2">
        <v>0.06</v>
      </c>
      <c r="H425" s="2">
        <v>0.26</v>
      </c>
      <c r="I425" s="2">
        <v>0.43</v>
      </c>
      <c r="J425" s="47">
        <f t="shared" si="30"/>
        <v>3.3333333333333335</v>
      </c>
      <c r="K425" s="47">
        <f t="shared" si="31"/>
        <v>0.65384615384615374</v>
      </c>
      <c r="M425" s="8">
        <v>22.08</v>
      </c>
      <c r="N425" s="8">
        <v>13.35</v>
      </c>
      <c r="O425" s="17">
        <f t="shared" si="32"/>
        <v>6.6239999999999993E-2</v>
      </c>
      <c r="P425" s="17">
        <f t="shared" si="33"/>
        <v>0.20417647058823532</v>
      </c>
      <c r="T425" s="9">
        <v>2536.8049299999998</v>
      </c>
      <c r="U425" s="9">
        <v>1529.58</v>
      </c>
      <c r="V425" s="45">
        <f t="shared" si="34"/>
        <v>0.65849771179016459</v>
      </c>
      <c r="X425" s="12">
        <v>0.86</v>
      </c>
    </row>
    <row r="426" spans="1:25" x14ac:dyDescent="0.45">
      <c r="A426" s="3" t="s">
        <v>1115</v>
      </c>
      <c r="B426" s="3" t="s">
        <v>1116</v>
      </c>
      <c r="C426" s="6" t="s">
        <v>519</v>
      </c>
      <c r="D426" s="6" t="s">
        <v>189</v>
      </c>
      <c r="E426" s="6" t="s">
        <v>204</v>
      </c>
      <c r="F426" s="6">
        <v>6491.76</v>
      </c>
      <c r="G426" s="2">
        <v>2.99</v>
      </c>
      <c r="H426" s="2">
        <v>2.58</v>
      </c>
      <c r="I426" s="2">
        <v>3.02</v>
      </c>
      <c r="J426" s="47">
        <f t="shared" si="30"/>
        <v>-0.13712374581939804</v>
      </c>
      <c r="K426" s="47">
        <f t="shared" si="31"/>
        <v>0.1705426356589147</v>
      </c>
      <c r="L426" s="8">
        <v>19.25</v>
      </c>
      <c r="M426" s="8">
        <v>20.7</v>
      </c>
      <c r="N426" s="8">
        <v>17.64</v>
      </c>
      <c r="O426" s="17">
        <f t="shared" si="32"/>
        <v>-1.509585365853658</v>
      </c>
      <c r="P426" s="17">
        <f t="shared" si="33"/>
        <v>1.0343454545454547</v>
      </c>
      <c r="R426" s="9">
        <v>-116.27</v>
      </c>
      <c r="S426" s="9">
        <v>-3.18</v>
      </c>
      <c r="T426" s="9">
        <v>1678.58996</v>
      </c>
      <c r="U426" s="9">
        <v>1960.1</v>
      </c>
      <c r="V426" s="45">
        <f t="shared" si="34"/>
        <v>-0.14362024386510888</v>
      </c>
      <c r="W426" s="12">
        <v>1.47</v>
      </c>
      <c r="X426" s="12">
        <v>1.1299999999999999</v>
      </c>
      <c r="Y426" s="12">
        <v>20210803</v>
      </c>
    </row>
    <row r="427" spans="1:25" x14ac:dyDescent="0.45">
      <c r="A427" s="3" t="s">
        <v>1117</v>
      </c>
      <c r="B427" s="3" t="s">
        <v>1118</v>
      </c>
      <c r="C427" s="6" t="s">
        <v>519</v>
      </c>
      <c r="D427" s="6" t="s">
        <v>175</v>
      </c>
      <c r="E427" s="6" t="s">
        <v>305</v>
      </c>
      <c r="F427" s="6">
        <v>3621.63</v>
      </c>
      <c r="G427" s="2">
        <v>-0.82</v>
      </c>
      <c r="H427" s="2">
        <v>-0.95</v>
      </c>
      <c r="I427" s="2">
        <v>-0.26</v>
      </c>
      <c r="J427" s="47">
        <f t="shared" si="30"/>
        <v>-0.15853658536585366</v>
      </c>
      <c r="K427" s="47">
        <f t="shared" si="31"/>
        <v>0.72631578947368414</v>
      </c>
      <c r="O427" s="17">
        <f t="shared" si="32"/>
        <v>0</v>
      </c>
      <c r="P427" s="17">
        <f t="shared" si="33"/>
        <v>0</v>
      </c>
      <c r="R427" s="9">
        <v>-20.85</v>
      </c>
      <c r="S427" s="9">
        <v>15.9</v>
      </c>
      <c r="T427" s="9">
        <v>280.22698000000003</v>
      </c>
      <c r="U427" s="9">
        <v>186.89</v>
      </c>
      <c r="V427" s="45">
        <f t="shared" si="34"/>
        <v>0.49942201294879368</v>
      </c>
      <c r="W427" s="12">
        <v>-21.43</v>
      </c>
      <c r="X427" s="12">
        <v>0</v>
      </c>
      <c r="Y427" s="12">
        <v>20210803</v>
      </c>
    </row>
    <row r="428" spans="1:25" x14ac:dyDescent="0.45">
      <c r="A428" s="3" t="s">
        <v>1119</v>
      </c>
      <c r="B428" s="3" t="s">
        <v>1120</v>
      </c>
      <c r="C428" s="6" t="s">
        <v>519</v>
      </c>
      <c r="D428" s="6" t="s">
        <v>279</v>
      </c>
      <c r="E428" s="6" t="s">
        <v>266</v>
      </c>
      <c r="F428" s="6">
        <v>4685.38</v>
      </c>
      <c r="G428" s="2">
        <v>0.14000000000000001</v>
      </c>
      <c r="H428" s="2">
        <v>0.27</v>
      </c>
      <c r="I428" s="2">
        <v>0.71</v>
      </c>
      <c r="J428" s="47">
        <f t="shared" si="30"/>
        <v>0.92857142857142849</v>
      </c>
      <c r="K428" s="47">
        <f t="shared" si="31"/>
        <v>1.6296296296296293</v>
      </c>
      <c r="L428" s="8">
        <v>250.03</v>
      </c>
      <c r="M428" s="8">
        <v>333.37</v>
      </c>
      <c r="N428" s="8">
        <v>126.18</v>
      </c>
      <c r="O428" s="17">
        <f t="shared" si="32"/>
        <v>3.5901384615384622</v>
      </c>
      <c r="P428" s="17">
        <f t="shared" si="33"/>
        <v>0.77428636363636383</v>
      </c>
      <c r="R428" s="9">
        <v>-4.25</v>
      </c>
      <c r="S428" s="9">
        <v>49.85</v>
      </c>
      <c r="T428" s="9">
        <v>278.44400000000002</v>
      </c>
      <c r="U428" s="9">
        <v>192.19</v>
      </c>
      <c r="V428" s="45">
        <f t="shared" si="34"/>
        <v>0.44879546282324795</v>
      </c>
      <c r="W428" s="12">
        <v>1500</v>
      </c>
      <c r="X428" s="12">
        <v>0</v>
      </c>
      <c r="Y428" s="12">
        <v>20210803</v>
      </c>
    </row>
    <row r="429" spans="1:25" x14ac:dyDescent="0.45">
      <c r="A429" s="3" t="s">
        <v>1121</v>
      </c>
      <c r="B429" s="3" t="s">
        <v>1122</v>
      </c>
      <c r="C429" s="6" t="s">
        <v>519</v>
      </c>
      <c r="D429" s="6" t="s">
        <v>189</v>
      </c>
      <c r="E429" s="6" t="s">
        <v>202</v>
      </c>
      <c r="F429" s="6">
        <v>34835.99</v>
      </c>
      <c r="G429" s="2">
        <v>2.7</v>
      </c>
      <c r="H429" s="2">
        <v>3.04</v>
      </c>
      <c r="I429" s="2">
        <v>3.36</v>
      </c>
      <c r="J429" s="47">
        <f t="shared" si="30"/>
        <v>0.12592592592592586</v>
      </c>
      <c r="K429" s="47">
        <f t="shared" si="31"/>
        <v>0.10526315789473679</v>
      </c>
      <c r="L429" s="8">
        <v>41.45</v>
      </c>
      <c r="M429" s="8">
        <v>41.18</v>
      </c>
      <c r="N429" s="8">
        <v>37.299999999999997</v>
      </c>
      <c r="O429" s="17">
        <f t="shared" si="32"/>
        <v>3.270176470588237</v>
      </c>
      <c r="P429" s="17">
        <f t="shared" si="33"/>
        <v>3.5435000000000012</v>
      </c>
      <c r="Q429" s="5">
        <v>2.86</v>
      </c>
      <c r="R429" s="9">
        <v>27</v>
      </c>
      <c r="S429" s="9">
        <v>9.66</v>
      </c>
      <c r="T429" s="9">
        <v>2908.72192</v>
      </c>
      <c r="U429" s="9">
        <v>2682.89</v>
      </c>
      <c r="V429" s="45">
        <f t="shared" si="34"/>
        <v>8.4174871127776427E-2</v>
      </c>
      <c r="W429" s="12">
        <v>12.16</v>
      </c>
      <c r="X429" s="12">
        <v>0</v>
      </c>
      <c r="Y429" s="12">
        <v>20210719</v>
      </c>
    </row>
    <row r="430" spans="1:25" x14ac:dyDescent="0.45">
      <c r="A430" s="3" t="s">
        <v>1123</v>
      </c>
      <c r="B430" s="3" t="s">
        <v>1124</v>
      </c>
      <c r="C430" s="6" t="s">
        <v>519</v>
      </c>
      <c r="D430" s="6" t="s">
        <v>189</v>
      </c>
      <c r="E430" s="6" t="s">
        <v>204</v>
      </c>
      <c r="F430" s="6">
        <v>23247.15</v>
      </c>
      <c r="G430" s="2">
        <v>6.3</v>
      </c>
      <c r="H430" s="2">
        <v>7.37</v>
      </c>
      <c r="I430" s="2">
        <v>8.0399999999999991</v>
      </c>
      <c r="J430" s="47">
        <f t="shared" si="30"/>
        <v>0.1698412698412699</v>
      </c>
      <c r="K430" s="47">
        <f t="shared" si="31"/>
        <v>9.0909090909090773E-2</v>
      </c>
      <c r="L430" s="8">
        <v>23.86</v>
      </c>
      <c r="M430" s="8">
        <v>22.5</v>
      </c>
      <c r="N430" s="8">
        <v>20.62</v>
      </c>
      <c r="O430" s="17">
        <f t="shared" si="32"/>
        <v>1.3247663551401863</v>
      </c>
      <c r="P430" s="17">
        <f t="shared" si="33"/>
        <v>2.2682000000000033</v>
      </c>
      <c r="Q430" s="5">
        <v>1.72</v>
      </c>
      <c r="R430" s="9">
        <v>83.86</v>
      </c>
      <c r="S430" s="9">
        <v>7.52</v>
      </c>
      <c r="T430" s="9">
        <v>20062.57617</v>
      </c>
      <c r="U430" s="9">
        <v>18467.5</v>
      </c>
      <c r="V430" s="45">
        <f t="shared" si="34"/>
        <v>8.6372068227968071E-2</v>
      </c>
      <c r="W430" s="12">
        <v>12.99</v>
      </c>
      <c r="X430" s="12">
        <v>0.96</v>
      </c>
      <c r="Y430" s="12">
        <v>20210804</v>
      </c>
    </row>
    <row r="431" spans="1:25" x14ac:dyDescent="0.45">
      <c r="A431" s="3" t="s">
        <v>1125</v>
      </c>
      <c r="B431" s="3" t="s">
        <v>1126</v>
      </c>
      <c r="C431" s="6" t="s">
        <v>518</v>
      </c>
      <c r="D431" s="6" t="s">
        <v>90</v>
      </c>
      <c r="E431" s="6" t="s">
        <v>198</v>
      </c>
      <c r="F431" s="6">
        <v>18278.009999999998</v>
      </c>
      <c r="G431" s="2">
        <v>7.26</v>
      </c>
      <c r="H431" s="2">
        <v>13.06</v>
      </c>
      <c r="I431" s="2">
        <v>12.7</v>
      </c>
      <c r="J431" s="47">
        <f t="shared" si="30"/>
        <v>0.79889807162534443</v>
      </c>
      <c r="K431" s="47">
        <f t="shared" si="31"/>
        <v>-2.7565084226646341E-2</v>
      </c>
      <c r="L431" s="8">
        <v>18.440000000000001</v>
      </c>
      <c r="M431" s="8">
        <v>12.43</v>
      </c>
      <c r="N431" s="8">
        <v>12.78</v>
      </c>
      <c r="O431" s="17">
        <f t="shared" si="32"/>
        <v>0.15558931034482756</v>
      </c>
      <c r="P431" s="17">
        <f t="shared" si="33"/>
        <v>-4.6362999999999843</v>
      </c>
      <c r="Q431" s="5">
        <v>0.61</v>
      </c>
      <c r="R431" s="9">
        <v>30.19</v>
      </c>
      <c r="S431" s="9">
        <v>1.63</v>
      </c>
      <c r="T431" s="9">
        <v>6949.4492099999998</v>
      </c>
      <c r="U431" s="9">
        <v>5655</v>
      </c>
      <c r="V431" s="45">
        <f t="shared" si="34"/>
        <v>0.22890348541114056</v>
      </c>
      <c r="W431" s="12">
        <v>14.95</v>
      </c>
      <c r="X431" s="12">
        <v>1.68</v>
      </c>
      <c r="Y431" s="12">
        <v>20210727</v>
      </c>
    </row>
    <row r="432" spans="1:25" x14ac:dyDescent="0.45">
      <c r="A432" s="3" t="s">
        <v>1127</v>
      </c>
      <c r="B432" s="3" t="s">
        <v>1128</v>
      </c>
      <c r="C432" s="6" t="s">
        <v>518</v>
      </c>
      <c r="D432" s="6" t="s">
        <v>309</v>
      </c>
      <c r="E432" s="6" t="s">
        <v>307</v>
      </c>
      <c r="F432" s="6">
        <v>7321.64</v>
      </c>
      <c r="G432" s="2">
        <v>-4.9000000000000004</v>
      </c>
      <c r="H432" s="2">
        <v>-0.66</v>
      </c>
      <c r="I432" s="2">
        <v>0.66</v>
      </c>
      <c r="J432" s="47">
        <f t="shared" si="30"/>
        <v>0.86530612244897953</v>
      </c>
      <c r="K432" s="47">
        <f t="shared" si="31"/>
        <v>2</v>
      </c>
      <c r="N432" s="8">
        <v>33.86</v>
      </c>
      <c r="O432" s="17">
        <f t="shared" si="32"/>
        <v>0</v>
      </c>
      <c r="P432" s="17">
        <f t="shared" si="33"/>
        <v>0.16930000000000001</v>
      </c>
      <c r="R432" s="9">
        <v>-20.81</v>
      </c>
      <c r="S432" s="9">
        <v>-8.5</v>
      </c>
      <c r="T432" s="9">
        <v>14886.634760000001</v>
      </c>
      <c r="U432" s="9">
        <v>8511.07</v>
      </c>
      <c r="V432" s="45">
        <f t="shared" si="34"/>
        <v>0.74909086166604211</v>
      </c>
      <c r="X432" s="12">
        <v>1.43</v>
      </c>
      <c r="Y432" s="12">
        <v>20210830</v>
      </c>
    </row>
    <row r="433" spans="1:25" x14ac:dyDescent="0.45">
      <c r="A433" s="3" t="s">
        <v>1129</v>
      </c>
      <c r="B433" s="3" t="s">
        <v>1130</v>
      </c>
      <c r="C433" s="6" t="s">
        <v>519</v>
      </c>
      <c r="D433" s="6" t="s">
        <v>225</v>
      </c>
      <c r="E433" s="6" t="s">
        <v>226</v>
      </c>
      <c r="F433" s="6">
        <v>5248.43</v>
      </c>
      <c r="G433" s="2">
        <v>0.12</v>
      </c>
      <c r="H433" s="2">
        <v>0.13</v>
      </c>
      <c r="I433" s="2">
        <v>0.31</v>
      </c>
      <c r="J433" s="47">
        <f t="shared" si="30"/>
        <v>8.3333333333333412E-2</v>
      </c>
      <c r="K433" s="47">
        <f t="shared" si="31"/>
        <v>1.3846153846153846</v>
      </c>
      <c r="L433" s="8">
        <v>661.18</v>
      </c>
      <c r="M433" s="8">
        <v>559.46</v>
      </c>
      <c r="N433" s="8">
        <v>230.89</v>
      </c>
      <c r="O433" s="17">
        <f t="shared" si="32"/>
        <v>67.135199999999941</v>
      </c>
      <c r="P433" s="17">
        <f t="shared" si="33"/>
        <v>1.6675388888888889</v>
      </c>
      <c r="R433" s="9">
        <v>8.89</v>
      </c>
      <c r="S433" s="9">
        <v>53.26</v>
      </c>
      <c r="T433" s="9">
        <v>220.11</v>
      </c>
      <c r="U433" s="9">
        <v>130.72999999999999</v>
      </c>
      <c r="V433" s="45">
        <f t="shared" si="34"/>
        <v>0.68369922741528366</v>
      </c>
      <c r="W433" s="12">
        <v>0</v>
      </c>
      <c r="X433" s="12">
        <v>0</v>
      </c>
      <c r="Y433" s="12">
        <v>20210805</v>
      </c>
    </row>
    <row r="434" spans="1:25" x14ac:dyDescent="0.45">
      <c r="A434" s="3" t="s">
        <v>4065</v>
      </c>
      <c r="B434" s="3" t="s">
        <v>4066</v>
      </c>
      <c r="C434" s="6" t="s">
        <v>519</v>
      </c>
      <c r="D434" s="6" t="s">
        <v>216</v>
      </c>
      <c r="E434" s="6" t="s">
        <v>946</v>
      </c>
      <c r="F434" s="6">
        <v>3114.48</v>
      </c>
      <c r="G434" s="2">
        <v>1.97</v>
      </c>
      <c r="H434" s="2">
        <v>2.6</v>
      </c>
      <c r="I434" s="2">
        <v>2.93</v>
      </c>
      <c r="J434" s="47">
        <f t="shared" si="30"/>
        <v>0.31979695431472088</v>
      </c>
      <c r="K434" s="47">
        <f t="shared" si="31"/>
        <v>0.12692307692307694</v>
      </c>
      <c r="L434" s="8">
        <v>17.66</v>
      </c>
      <c r="M434" s="8">
        <v>21.5</v>
      </c>
      <c r="N434" s="8">
        <v>19.13</v>
      </c>
      <c r="O434" s="17">
        <f t="shared" si="32"/>
        <v>0.67230158730158718</v>
      </c>
      <c r="P434" s="17">
        <f t="shared" si="33"/>
        <v>1.5072121212121208</v>
      </c>
      <c r="R434" s="9">
        <v>15.85</v>
      </c>
      <c r="S434" s="9">
        <v>9.9600000000000009</v>
      </c>
      <c r="T434" s="9">
        <v>3147.0830000000001</v>
      </c>
      <c r="U434" s="9">
        <v>2695.51</v>
      </c>
      <c r="V434" s="45">
        <f t="shared" si="34"/>
        <v>0.16752785187218738</v>
      </c>
      <c r="W434" s="12">
        <v>22.22</v>
      </c>
      <c r="X434" s="12">
        <v>0</v>
      </c>
      <c r="Y434" s="12">
        <v>20210804</v>
      </c>
    </row>
    <row r="435" spans="1:25" x14ac:dyDescent="0.45">
      <c r="A435" s="3" t="s">
        <v>1132</v>
      </c>
      <c r="B435" s="3" t="s">
        <v>1133</v>
      </c>
      <c r="C435" s="6" t="s">
        <v>519</v>
      </c>
      <c r="D435" s="6" t="s">
        <v>279</v>
      </c>
      <c r="E435" s="6" t="s">
        <v>265</v>
      </c>
      <c r="F435" s="6">
        <v>24114.400000000001</v>
      </c>
      <c r="G435" s="2">
        <v>2.84</v>
      </c>
      <c r="H435" s="2">
        <v>3.2</v>
      </c>
      <c r="I435" s="2">
        <v>3.63</v>
      </c>
      <c r="J435" s="47">
        <f t="shared" si="30"/>
        <v>0.1267605633802818</v>
      </c>
      <c r="K435" s="47">
        <f t="shared" si="31"/>
        <v>0.13437499999999991</v>
      </c>
      <c r="L435" s="8">
        <v>27.69</v>
      </c>
      <c r="M435" s="8">
        <v>24.98</v>
      </c>
      <c r="N435" s="8">
        <v>22.08</v>
      </c>
      <c r="O435" s="17">
        <f t="shared" si="32"/>
        <v>1.9706444444444426</v>
      </c>
      <c r="P435" s="17">
        <f t="shared" si="33"/>
        <v>1.6431627906976753</v>
      </c>
      <c r="Q435" s="5">
        <v>2.0299999999999998</v>
      </c>
      <c r="R435" s="9">
        <v>17.45</v>
      </c>
      <c r="S435" s="9">
        <v>4.0599999999999996</v>
      </c>
      <c r="T435" s="9">
        <v>5800.3989199999996</v>
      </c>
      <c r="U435" s="9">
        <v>5505.79</v>
      </c>
      <c r="V435" s="45">
        <f t="shared" si="34"/>
        <v>5.350892787411065E-2</v>
      </c>
      <c r="W435" s="12">
        <v>2.7</v>
      </c>
      <c r="X435" s="12">
        <v>1.1000000000000001</v>
      </c>
      <c r="Y435" s="12">
        <v>20210804</v>
      </c>
    </row>
    <row r="436" spans="1:25" x14ac:dyDescent="0.45">
      <c r="A436" s="3" t="s">
        <v>1134</v>
      </c>
      <c r="B436" s="3" t="s">
        <v>1135</v>
      </c>
      <c r="C436" s="6" t="s">
        <v>519</v>
      </c>
      <c r="D436" s="6" t="s">
        <v>279</v>
      </c>
      <c r="E436" s="6" t="s">
        <v>256</v>
      </c>
      <c r="F436" s="6">
        <v>4026.42</v>
      </c>
      <c r="G436" s="2">
        <v>0.11</v>
      </c>
      <c r="H436" s="2">
        <v>0.23</v>
      </c>
      <c r="I436" s="2">
        <v>0.42</v>
      </c>
      <c r="J436" s="47">
        <f t="shared" si="30"/>
        <v>1.0909090909090911</v>
      </c>
      <c r="K436" s="47">
        <f t="shared" si="31"/>
        <v>0.82608695652173902</v>
      </c>
      <c r="M436" s="8">
        <v>116.12</v>
      </c>
      <c r="N436" s="8">
        <v>62.67</v>
      </c>
      <c r="O436" s="17">
        <f t="shared" si="32"/>
        <v>1.0644333333333331</v>
      </c>
      <c r="P436" s="17">
        <f t="shared" si="33"/>
        <v>0.75863684210526328</v>
      </c>
      <c r="T436" s="9">
        <v>282.733</v>
      </c>
      <c r="U436" s="9">
        <v>243.53</v>
      </c>
      <c r="V436" s="45">
        <f t="shared" si="34"/>
        <v>0.16097811357943581</v>
      </c>
      <c r="W436" s="12">
        <v>50</v>
      </c>
      <c r="X436" s="12">
        <v>0</v>
      </c>
      <c r="Y436" s="12">
        <v>20210805</v>
      </c>
    </row>
    <row r="437" spans="1:25" x14ac:dyDescent="0.45">
      <c r="A437" s="3" t="s">
        <v>1136</v>
      </c>
      <c r="B437" s="3" t="s">
        <v>1137</v>
      </c>
      <c r="C437" s="6" t="s">
        <v>518</v>
      </c>
      <c r="D437" s="6" t="s">
        <v>90</v>
      </c>
      <c r="E437" s="6" t="s">
        <v>443</v>
      </c>
      <c r="F437" s="6">
        <v>11905.58</v>
      </c>
      <c r="G437" s="2">
        <v>1.17</v>
      </c>
      <c r="H437" s="2">
        <v>3.39</v>
      </c>
      <c r="I437" s="2">
        <v>2.85</v>
      </c>
      <c r="J437" s="47">
        <f t="shared" si="30"/>
        <v>1.8974358974358978</v>
      </c>
      <c r="K437" s="47">
        <f t="shared" si="31"/>
        <v>-0.15929203539823009</v>
      </c>
      <c r="L437" s="8">
        <v>29.84</v>
      </c>
      <c r="M437" s="8">
        <v>16.37</v>
      </c>
      <c r="N437" s="8">
        <v>19.45</v>
      </c>
      <c r="O437" s="17">
        <f t="shared" si="32"/>
        <v>8.6274324324324317E-2</v>
      </c>
      <c r="P437" s="17">
        <f t="shared" si="33"/>
        <v>-1.2210277777777778</v>
      </c>
      <c r="Q437" s="5">
        <v>2.73</v>
      </c>
      <c r="R437" s="9">
        <v>7.17</v>
      </c>
      <c r="S437" s="9">
        <v>2.95</v>
      </c>
      <c r="T437" s="9">
        <v>5055.7831999999999</v>
      </c>
      <c r="U437" s="9">
        <v>4124</v>
      </c>
      <c r="V437" s="45">
        <f t="shared" si="34"/>
        <v>0.22594161008729385</v>
      </c>
      <c r="W437" s="12">
        <v>22.81</v>
      </c>
      <c r="X437" s="12">
        <v>2.16</v>
      </c>
      <c r="Y437" s="12">
        <v>20210809</v>
      </c>
    </row>
    <row r="438" spans="1:25" x14ac:dyDescent="0.45">
      <c r="A438" s="3" t="s">
        <v>1138</v>
      </c>
      <c r="B438" s="3" t="s">
        <v>1139</v>
      </c>
      <c r="C438" s="6" t="s">
        <v>518</v>
      </c>
      <c r="D438" s="6" t="s">
        <v>234</v>
      </c>
      <c r="E438" s="6" t="s">
        <v>1140</v>
      </c>
      <c r="F438" s="6">
        <v>20632.05</v>
      </c>
      <c r="G438" s="2">
        <v>2.17</v>
      </c>
      <c r="H438" s="2">
        <v>4.71</v>
      </c>
      <c r="I438" s="2">
        <v>4.1500000000000004</v>
      </c>
      <c r="J438" s="47">
        <f t="shared" si="30"/>
        <v>1.1705069124423964</v>
      </c>
      <c r="K438" s="47">
        <f t="shared" si="31"/>
        <v>-0.11889596602972391</v>
      </c>
      <c r="L438" s="8">
        <v>13.23</v>
      </c>
      <c r="M438" s="8">
        <v>10.29</v>
      </c>
      <c r="N438" s="8">
        <v>11.67</v>
      </c>
      <c r="O438" s="17">
        <f t="shared" si="32"/>
        <v>8.7910629921259836E-2</v>
      </c>
      <c r="P438" s="17">
        <f t="shared" si="33"/>
        <v>-0.98153035714285775</v>
      </c>
      <c r="Q438" s="5">
        <v>0.3</v>
      </c>
      <c r="R438" s="9">
        <v>8.16</v>
      </c>
      <c r="S438" s="9">
        <v>8.73</v>
      </c>
      <c r="T438" s="9">
        <v>6648.6127900000001</v>
      </c>
      <c r="U438" s="9">
        <v>7676</v>
      </c>
      <c r="V438" s="45">
        <f t="shared" si="34"/>
        <v>-0.13384408676393952</v>
      </c>
      <c r="W438" s="12">
        <v>45.36</v>
      </c>
      <c r="X438" s="12">
        <v>3.22</v>
      </c>
      <c r="Y438" s="12">
        <v>20210720</v>
      </c>
    </row>
    <row r="439" spans="1:25" x14ac:dyDescent="0.45">
      <c r="A439" s="3" t="s">
        <v>1141</v>
      </c>
      <c r="B439" s="3" t="s">
        <v>1142</v>
      </c>
      <c r="C439" s="6" t="s">
        <v>518</v>
      </c>
      <c r="D439" s="6" t="s">
        <v>234</v>
      </c>
      <c r="E439" s="6" t="s">
        <v>965</v>
      </c>
      <c r="F439" s="6">
        <v>7542.19</v>
      </c>
      <c r="G439" s="2">
        <v>5.04</v>
      </c>
      <c r="H439" s="2">
        <v>6.37</v>
      </c>
      <c r="I439" s="2">
        <v>5.47</v>
      </c>
      <c r="J439" s="47">
        <f t="shared" si="30"/>
        <v>0.2638888888888889</v>
      </c>
      <c r="K439" s="47">
        <f t="shared" si="31"/>
        <v>-0.14128728414442707</v>
      </c>
      <c r="L439" s="8">
        <v>19.39</v>
      </c>
      <c r="M439" s="8">
        <v>18.63</v>
      </c>
      <c r="N439" s="8">
        <v>21.72</v>
      </c>
      <c r="O439" s="17">
        <f t="shared" si="32"/>
        <v>0.70597894736842104</v>
      </c>
      <c r="P439" s="17">
        <f t="shared" si="33"/>
        <v>-1.5372933333333325</v>
      </c>
      <c r="Q439" s="5">
        <v>1.96</v>
      </c>
      <c r="R439" s="9">
        <v>9.59</v>
      </c>
      <c r="S439" s="9">
        <v>7.76</v>
      </c>
      <c r="T439" s="9">
        <v>1429.0400299999999</v>
      </c>
      <c r="U439" s="9">
        <v>1486.49</v>
      </c>
      <c r="V439" s="45">
        <f t="shared" si="34"/>
        <v>-3.8648070286379406E-2</v>
      </c>
      <c r="W439" s="12">
        <v>24.65</v>
      </c>
      <c r="X439" s="12">
        <v>2.4300000000000002</v>
      </c>
      <c r="Y439" s="12">
        <v>20210729</v>
      </c>
    </row>
    <row r="440" spans="1:25" x14ac:dyDescent="0.45">
      <c r="A440" s="3" t="s">
        <v>1143</v>
      </c>
      <c r="B440" s="3" t="s">
        <v>640</v>
      </c>
      <c r="C440" s="6" t="s">
        <v>518</v>
      </c>
      <c r="D440" s="6" t="s">
        <v>272</v>
      </c>
      <c r="E440" s="6" t="s">
        <v>254</v>
      </c>
      <c r="F440" s="6">
        <v>6142.56</v>
      </c>
      <c r="G440" s="2">
        <v>1.38</v>
      </c>
      <c r="H440" s="2">
        <v>2.13</v>
      </c>
      <c r="I440" s="2">
        <v>2.48</v>
      </c>
      <c r="J440" s="47">
        <f t="shared" si="30"/>
        <v>0.5434782608695653</v>
      </c>
      <c r="K440" s="47">
        <f t="shared" si="31"/>
        <v>0.16431924882629112</v>
      </c>
      <c r="L440" s="8">
        <v>31.24</v>
      </c>
      <c r="M440" s="8">
        <v>21.22</v>
      </c>
      <c r="N440" s="8">
        <v>18.3</v>
      </c>
      <c r="O440" s="17">
        <f t="shared" si="32"/>
        <v>0.39044799999999991</v>
      </c>
      <c r="P440" s="17">
        <f t="shared" si="33"/>
        <v>1.1136857142857142</v>
      </c>
      <c r="Q440" s="5">
        <v>1</v>
      </c>
      <c r="R440" s="9">
        <v>5.49</v>
      </c>
      <c r="S440" s="9">
        <v>-3.22</v>
      </c>
      <c r="T440" s="9">
        <v>3624.3740200000002</v>
      </c>
      <c r="U440" s="9">
        <v>3070.77</v>
      </c>
      <c r="V440" s="45">
        <f t="shared" si="34"/>
        <v>0.1802818250797032</v>
      </c>
      <c r="W440" s="12">
        <v>12.82</v>
      </c>
      <c r="X440" s="12">
        <v>0</v>
      </c>
      <c r="Y440" s="12">
        <v>20210805</v>
      </c>
    </row>
    <row r="441" spans="1:25" x14ac:dyDescent="0.45">
      <c r="A441" s="3" t="s">
        <v>3770</v>
      </c>
      <c r="B441" s="3" t="s">
        <v>1144</v>
      </c>
      <c r="C441" s="6" t="s">
        <v>519</v>
      </c>
      <c r="D441" s="6" t="s">
        <v>234</v>
      </c>
      <c r="E441" s="6" t="s">
        <v>904</v>
      </c>
      <c r="F441" s="6">
        <v>15509.01</v>
      </c>
      <c r="G441" s="2">
        <v>1.86</v>
      </c>
      <c r="H441" s="2">
        <v>2.48</v>
      </c>
      <c r="I441" s="2">
        <v>2.97</v>
      </c>
      <c r="J441" s="47">
        <f t="shared" si="30"/>
        <v>0.33333333333333326</v>
      </c>
      <c r="K441" s="47">
        <f t="shared" si="31"/>
        <v>0.1975806451612904</v>
      </c>
      <c r="L441" s="8">
        <v>20.34</v>
      </c>
      <c r="M441" s="8">
        <v>17.64</v>
      </c>
      <c r="N441" s="8">
        <v>14.75</v>
      </c>
      <c r="O441" s="17">
        <f t="shared" si="32"/>
        <v>0.52920000000000011</v>
      </c>
      <c r="P441" s="17">
        <f t="shared" si="33"/>
        <v>0.7465306122448977</v>
      </c>
      <c r="Q441" s="5">
        <v>0.93</v>
      </c>
      <c r="R441" s="9">
        <v>28.22</v>
      </c>
      <c r="S441" s="9">
        <v>3.5</v>
      </c>
      <c r="T441" s="9">
        <v>2707.1100999999999</v>
      </c>
      <c r="U441" s="9">
        <v>2289.5</v>
      </c>
      <c r="V441" s="45">
        <f t="shared" si="34"/>
        <v>0.18240231491592046</v>
      </c>
      <c r="W441" s="12">
        <v>7.41</v>
      </c>
      <c r="X441" s="12">
        <v>2.29</v>
      </c>
      <c r="Y441" s="12">
        <v>20210729</v>
      </c>
    </row>
    <row r="442" spans="1:25" x14ac:dyDescent="0.45">
      <c r="A442" s="3" t="s">
        <v>1145</v>
      </c>
      <c r="B442" s="3" t="s">
        <v>1146</v>
      </c>
      <c r="C442" s="6" t="s">
        <v>519</v>
      </c>
      <c r="D442" s="6" t="s">
        <v>279</v>
      </c>
      <c r="E442" s="6" t="s">
        <v>264</v>
      </c>
      <c r="F442" s="6">
        <v>9856.59</v>
      </c>
      <c r="G442" s="2">
        <v>-2.4500000000000002</v>
      </c>
      <c r="H442" s="2">
        <v>-0.57999999999999996</v>
      </c>
      <c r="I442" s="2">
        <v>-0.16</v>
      </c>
      <c r="J442" s="47">
        <f t="shared" si="30"/>
        <v>0.76326530612244892</v>
      </c>
      <c r="K442" s="47">
        <f t="shared" si="31"/>
        <v>0.72413793103448265</v>
      </c>
      <c r="O442" s="17">
        <f t="shared" si="32"/>
        <v>0</v>
      </c>
      <c r="P442" s="17">
        <f t="shared" si="33"/>
        <v>0</v>
      </c>
      <c r="R442" s="9">
        <v>-18.670000000000002</v>
      </c>
      <c r="S442" s="9">
        <v>101.82</v>
      </c>
      <c r="T442" s="9">
        <v>622.53899999999999</v>
      </c>
      <c r="U442" s="9">
        <v>414.03</v>
      </c>
      <c r="V442" s="45">
        <f t="shared" si="34"/>
        <v>0.50360843417143697</v>
      </c>
      <c r="W442" s="12">
        <v>-266.67</v>
      </c>
      <c r="X442" s="12">
        <v>0</v>
      </c>
      <c r="Y442" s="12">
        <v>20210809</v>
      </c>
    </row>
    <row r="443" spans="1:25" x14ac:dyDescent="0.45">
      <c r="A443" s="3" t="s">
        <v>4523</v>
      </c>
      <c r="B443" s="3" t="s">
        <v>4524</v>
      </c>
      <c r="C443" s="6" t="s">
        <v>520</v>
      </c>
      <c r="D443" s="6" t="s">
        <v>175</v>
      </c>
      <c r="E443" s="6" t="s">
        <v>281</v>
      </c>
      <c r="F443" s="6">
        <v>30862.3</v>
      </c>
      <c r="J443" s="47" t="e">
        <f t="shared" si="30"/>
        <v>#DIV/0!</v>
      </c>
      <c r="K443" s="47" t="e">
        <f t="shared" si="31"/>
        <v>#DIV/0!</v>
      </c>
      <c r="O443" s="17" t="e">
        <f t="shared" si="32"/>
        <v>#DIV/0!</v>
      </c>
      <c r="P443" s="17" t="e">
        <f t="shared" si="33"/>
        <v>#DIV/0!</v>
      </c>
      <c r="U443" s="9">
        <v>18101.63</v>
      </c>
      <c r="V443" s="45">
        <f t="shared" si="34"/>
        <v>-1</v>
      </c>
      <c r="X443" s="12">
        <v>0.94</v>
      </c>
    </row>
    <row r="444" spans="1:25" x14ac:dyDescent="0.45">
      <c r="A444" s="3" t="s">
        <v>1147</v>
      </c>
      <c r="B444" s="3" t="s">
        <v>1148</v>
      </c>
      <c r="C444" s="6" t="s">
        <v>519</v>
      </c>
      <c r="D444" s="6" t="s">
        <v>189</v>
      </c>
      <c r="E444" s="6" t="s">
        <v>214</v>
      </c>
      <c r="F444" s="6">
        <v>13943.18</v>
      </c>
      <c r="G444" s="2">
        <v>0.89</v>
      </c>
      <c r="H444" s="2">
        <v>1.51</v>
      </c>
      <c r="I444" s="2">
        <v>1.68</v>
      </c>
      <c r="J444" s="47">
        <f t="shared" si="30"/>
        <v>0.6966292134831461</v>
      </c>
      <c r="K444" s="47">
        <f t="shared" si="31"/>
        <v>0.11258278145695359</v>
      </c>
      <c r="L444" s="8">
        <v>62.66</v>
      </c>
      <c r="M444" s="8">
        <v>52.17</v>
      </c>
      <c r="N444" s="8">
        <v>47.05</v>
      </c>
      <c r="O444" s="17">
        <f t="shared" si="32"/>
        <v>0.7488919354838709</v>
      </c>
      <c r="P444" s="17">
        <f t="shared" si="33"/>
        <v>4.1791470588235313</v>
      </c>
      <c r="R444" s="9">
        <v>16.399999999999999</v>
      </c>
      <c r="S444" s="9">
        <v>10.27</v>
      </c>
      <c r="T444" s="9">
        <v>983.91899999999998</v>
      </c>
      <c r="U444" s="9">
        <v>811.02</v>
      </c>
      <c r="V444" s="45">
        <f t="shared" si="34"/>
        <v>0.21318709772878597</v>
      </c>
      <c r="W444" s="12">
        <v>11.43</v>
      </c>
      <c r="X444" s="12">
        <v>0.3</v>
      </c>
      <c r="Y444" s="12">
        <v>20210804</v>
      </c>
    </row>
    <row r="445" spans="1:25" x14ac:dyDescent="0.45">
      <c r="A445" s="3" t="s">
        <v>4525</v>
      </c>
      <c r="B445" s="3" t="s">
        <v>4526</v>
      </c>
      <c r="C445" s="6" t="s">
        <v>520</v>
      </c>
      <c r="D445" s="6" t="s">
        <v>234</v>
      </c>
      <c r="E445" s="6" t="s">
        <v>105</v>
      </c>
      <c r="F445" s="6">
        <v>5216.07</v>
      </c>
      <c r="J445" s="47" t="e">
        <f t="shared" si="30"/>
        <v>#DIV/0!</v>
      </c>
      <c r="K445" s="47" t="e">
        <f t="shared" si="31"/>
        <v>#DIV/0!</v>
      </c>
      <c r="L445" s="8">
        <v>9.84</v>
      </c>
      <c r="O445" s="17" t="e">
        <f t="shared" si="32"/>
        <v>#DIV/0!</v>
      </c>
      <c r="P445" s="17" t="e">
        <f t="shared" si="33"/>
        <v>#DIV/0!</v>
      </c>
      <c r="R445" s="9">
        <v>5.29</v>
      </c>
      <c r="S445" s="9">
        <v>2.38</v>
      </c>
      <c r="U445" s="9">
        <v>2232.6999999999998</v>
      </c>
      <c r="V445" s="45">
        <f t="shared" si="34"/>
        <v>-1</v>
      </c>
      <c r="X445" s="12">
        <v>0.98</v>
      </c>
      <c r="Y445" s="12">
        <v>20210614</v>
      </c>
    </row>
    <row r="446" spans="1:25" x14ac:dyDescent="0.45">
      <c r="A446" s="3" t="s">
        <v>4527</v>
      </c>
      <c r="B446" s="3" t="s">
        <v>4528</v>
      </c>
      <c r="C446" s="6" t="s">
        <v>520</v>
      </c>
      <c r="D446" s="6" t="s">
        <v>234</v>
      </c>
      <c r="E446" s="6" t="s">
        <v>105</v>
      </c>
      <c r="F446" s="6">
        <v>26509</v>
      </c>
      <c r="J446" s="47" t="e">
        <f t="shared" si="30"/>
        <v>#DIV/0!</v>
      </c>
      <c r="K446" s="47" t="e">
        <f t="shared" si="31"/>
        <v>#DIV/0!</v>
      </c>
      <c r="O446" s="17" t="e">
        <f t="shared" si="32"/>
        <v>#DIV/0!</v>
      </c>
      <c r="P446" s="17" t="e">
        <f t="shared" si="33"/>
        <v>#DIV/0!</v>
      </c>
      <c r="U446" s="9">
        <v>47622.22</v>
      </c>
      <c r="V446" s="45">
        <f t="shared" si="34"/>
        <v>-1</v>
      </c>
      <c r="X446" s="12">
        <v>5.14</v>
      </c>
      <c r="Y446" s="12">
        <v>20210610</v>
      </c>
    </row>
    <row r="447" spans="1:25" x14ac:dyDescent="0.45">
      <c r="A447" s="3" t="s">
        <v>1150</v>
      </c>
      <c r="B447" s="3" t="s">
        <v>1151</v>
      </c>
      <c r="C447" s="6" t="s">
        <v>518</v>
      </c>
      <c r="D447" s="6" t="s">
        <v>225</v>
      </c>
      <c r="E447" s="6" t="s">
        <v>1152</v>
      </c>
      <c r="F447" s="6">
        <v>20733.09</v>
      </c>
      <c r="G447" s="2">
        <v>2.82</v>
      </c>
      <c r="H447" s="2">
        <v>3.03</v>
      </c>
      <c r="I447" s="2">
        <v>3.26</v>
      </c>
      <c r="J447" s="47">
        <f t="shared" si="30"/>
        <v>7.4468085106382975E-2</v>
      </c>
      <c r="K447" s="47">
        <f t="shared" si="31"/>
        <v>7.590759075907591E-2</v>
      </c>
      <c r="L447" s="8">
        <v>29.87</v>
      </c>
      <c r="M447" s="8">
        <v>27.88</v>
      </c>
      <c r="N447" s="8">
        <v>25.97</v>
      </c>
      <c r="O447" s="17">
        <f t="shared" si="32"/>
        <v>3.7438857142857143</v>
      </c>
      <c r="P447" s="17">
        <f t="shared" si="33"/>
        <v>3.4212652173913041</v>
      </c>
      <c r="Q447" s="5">
        <v>3.49</v>
      </c>
      <c r="R447" s="9">
        <v>23</v>
      </c>
      <c r="S447" s="9">
        <v>8.26</v>
      </c>
      <c r="T447" s="9">
        <v>5178.0419899999997</v>
      </c>
      <c r="U447" s="9">
        <v>4895.8</v>
      </c>
      <c r="V447" s="45">
        <f t="shared" si="34"/>
        <v>5.7649820254095249E-2</v>
      </c>
      <c r="W447" s="12">
        <v>3.75</v>
      </c>
      <c r="X447" s="12">
        <v>1.19</v>
      </c>
      <c r="Y447" s="12">
        <v>20210730</v>
      </c>
    </row>
    <row r="448" spans="1:25" x14ac:dyDescent="0.45">
      <c r="A448" s="3" t="s">
        <v>1153</v>
      </c>
      <c r="B448" s="3" t="s">
        <v>1154</v>
      </c>
      <c r="C448" s="6" t="s">
        <v>519</v>
      </c>
      <c r="D448" s="6" t="s">
        <v>216</v>
      </c>
      <c r="E448" s="6" t="s">
        <v>228</v>
      </c>
      <c r="F448" s="6">
        <v>7674.06</v>
      </c>
      <c r="G448" s="2">
        <v>0.72</v>
      </c>
      <c r="H448" s="2">
        <v>5.68</v>
      </c>
      <c r="I448" s="2">
        <v>8.43</v>
      </c>
      <c r="J448" s="47">
        <f t="shared" si="30"/>
        <v>6.8888888888888893</v>
      </c>
      <c r="K448" s="47">
        <f t="shared" si="31"/>
        <v>0.48415492957746481</v>
      </c>
      <c r="L448" s="8">
        <v>115.83</v>
      </c>
      <c r="M448" s="8">
        <v>35.049999999999997</v>
      </c>
      <c r="N448" s="8">
        <v>23.64</v>
      </c>
      <c r="O448" s="17">
        <f t="shared" si="32"/>
        <v>5.0879032258064512E-2</v>
      </c>
      <c r="P448" s="17">
        <f t="shared" si="33"/>
        <v>0.48827345454545457</v>
      </c>
      <c r="R448" s="9">
        <v>21.83</v>
      </c>
      <c r="S448" s="9">
        <v>-3.46</v>
      </c>
      <c r="T448" s="9">
        <v>1515.2370599999999</v>
      </c>
      <c r="U448" s="9">
        <v>1054</v>
      </c>
      <c r="V448" s="45">
        <f t="shared" si="34"/>
        <v>0.43760631878557871</v>
      </c>
      <c r="W448" s="12">
        <v>55.36</v>
      </c>
      <c r="X448" s="12">
        <v>0.31</v>
      </c>
      <c r="Y448" s="12">
        <v>20210804</v>
      </c>
    </row>
    <row r="449" spans="1:25" x14ac:dyDescent="0.45">
      <c r="A449" s="3" t="s">
        <v>4529</v>
      </c>
      <c r="B449" s="3" t="s">
        <v>4530</v>
      </c>
      <c r="C449" s="6" t="s">
        <v>520</v>
      </c>
      <c r="D449" s="6" t="s">
        <v>303</v>
      </c>
      <c r="E449" s="6" t="s">
        <v>290</v>
      </c>
      <c r="F449" s="6">
        <v>100687.09</v>
      </c>
      <c r="J449" s="47" t="e">
        <f t="shared" si="30"/>
        <v>#DIV/0!</v>
      </c>
      <c r="K449" s="47" t="e">
        <f t="shared" si="31"/>
        <v>#DIV/0!</v>
      </c>
      <c r="O449" s="17" t="e">
        <f t="shared" si="32"/>
        <v>#DIV/0!</v>
      </c>
      <c r="P449" s="17" t="e">
        <f t="shared" si="33"/>
        <v>#DIV/0!</v>
      </c>
      <c r="U449" s="9">
        <v>60110.400000000001</v>
      </c>
      <c r="V449" s="45">
        <f t="shared" si="34"/>
        <v>-1</v>
      </c>
      <c r="X449" s="12">
        <v>1.38</v>
      </c>
    </row>
    <row r="450" spans="1:25" x14ac:dyDescent="0.45">
      <c r="A450" s="3" t="s">
        <v>1155</v>
      </c>
      <c r="B450" s="3" t="s">
        <v>1156</v>
      </c>
      <c r="C450" s="6" t="s">
        <v>518</v>
      </c>
      <c r="D450" s="6" t="s">
        <v>279</v>
      </c>
      <c r="E450" s="6" t="s">
        <v>263</v>
      </c>
      <c r="F450" s="6">
        <v>7695.61</v>
      </c>
      <c r="G450" s="2">
        <v>18.079999999999998</v>
      </c>
      <c r="H450" s="2">
        <v>18.02</v>
      </c>
      <c r="I450" s="2">
        <v>19.3</v>
      </c>
      <c r="J450" s="47">
        <f t="shared" si="30"/>
        <v>-3.3185840707963899E-3</v>
      </c>
      <c r="K450" s="47">
        <f t="shared" si="31"/>
        <v>7.1032186459489527E-2</v>
      </c>
      <c r="L450" s="8">
        <v>25.61</v>
      </c>
      <c r="M450" s="8">
        <v>26.77</v>
      </c>
      <c r="N450" s="8">
        <v>25</v>
      </c>
      <c r="O450" s="17">
        <f t="shared" si="32"/>
        <v>-80.666933333335038</v>
      </c>
      <c r="P450" s="17">
        <f t="shared" si="33"/>
        <v>3.5195312499999964</v>
      </c>
      <c r="Q450" s="5">
        <v>3.63</v>
      </c>
      <c r="R450" s="9">
        <v>36.43</v>
      </c>
      <c r="S450" s="9">
        <v>7.03</v>
      </c>
      <c r="T450" s="9">
        <v>2133.2199700000001</v>
      </c>
      <c r="U450" s="9">
        <v>2079.58</v>
      </c>
      <c r="V450" s="45">
        <f t="shared" si="34"/>
        <v>2.5793655449658188E-2</v>
      </c>
      <c r="W450" s="12">
        <v>5.71</v>
      </c>
      <c r="X450" s="12">
        <v>0.28000000000000003</v>
      </c>
      <c r="Y450" s="12">
        <v>20210804</v>
      </c>
    </row>
    <row r="451" spans="1:25" x14ac:dyDescent="0.45">
      <c r="A451" s="3" t="s">
        <v>1157</v>
      </c>
      <c r="B451" s="3" t="s">
        <v>1158</v>
      </c>
      <c r="C451" s="6" t="s">
        <v>520</v>
      </c>
      <c r="D451" s="6" t="s">
        <v>175</v>
      </c>
      <c r="E451" s="6" t="s">
        <v>366</v>
      </c>
      <c r="F451" s="6">
        <v>3685.79</v>
      </c>
      <c r="G451" s="2">
        <v>0.23</v>
      </c>
      <c r="H451" s="2">
        <v>0.18</v>
      </c>
      <c r="I451" s="2">
        <v>0.23</v>
      </c>
      <c r="J451" s="47">
        <f t="shared" ref="J451:J514" si="35">(H451-G451)/ABS(G451)</f>
        <v>-0.21739130434782614</v>
      </c>
      <c r="K451" s="47">
        <f t="shared" ref="K451:K514" si="36">(I451-H451)/ABS(H451)</f>
        <v>0.2777777777777779</v>
      </c>
      <c r="M451" s="8">
        <v>3.33</v>
      </c>
      <c r="N451" s="8">
        <v>2.61</v>
      </c>
      <c r="O451" s="17">
        <f t="shared" ref="O451:O514" si="37">M451/(J451*100)</f>
        <v>-0.15317999999999998</v>
      </c>
      <c r="P451" s="17">
        <f t="shared" ref="P451:P514" si="38">N451/(K451*100)</f>
        <v>9.395999999999996E-2</v>
      </c>
      <c r="T451" s="9">
        <v>85693.953120000006</v>
      </c>
      <c r="V451" s="45" t="e">
        <f t="shared" ref="V451:V514" si="39">(T451-U451)/U451</f>
        <v>#DIV/0!</v>
      </c>
      <c r="X451" s="12">
        <v>23.33</v>
      </c>
    </row>
    <row r="452" spans="1:25" x14ac:dyDescent="0.45">
      <c r="A452" s="3" t="s">
        <v>1159</v>
      </c>
      <c r="B452" s="3" t="s">
        <v>1160</v>
      </c>
      <c r="C452" s="6" t="s">
        <v>518</v>
      </c>
      <c r="D452" s="6" t="s">
        <v>189</v>
      </c>
      <c r="E452" s="6" t="s">
        <v>248</v>
      </c>
      <c r="F452" s="6">
        <v>10579.84</v>
      </c>
      <c r="G452" s="2">
        <v>1.28</v>
      </c>
      <c r="H452" s="2">
        <v>1.41</v>
      </c>
      <c r="I452" s="2">
        <v>1.75</v>
      </c>
      <c r="J452" s="47">
        <f t="shared" si="35"/>
        <v>0.10156249999999992</v>
      </c>
      <c r="K452" s="47">
        <f t="shared" si="36"/>
        <v>0.24113475177304972</v>
      </c>
      <c r="L452" s="8">
        <v>54.41</v>
      </c>
      <c r="M452" s="8">
        <v>52.7</v>
      </c>
      <c r="N452" s="8">
        <v>42.72</v>
      </c>
      <c r="O452" s="17">
        <f t="shared" si="37"/>
        <v>5.1889230769230821</v>
      </c>
      <c r="P452" s="17">
        <f t="shared" si="38"/>
        <v>1.7716235294117642</v>
      </c>
      <c r="Q452" s="5">
        <v>2.08</v>
      </c>
      <c r="R452" s="9">
        <v>14.04</v>
      </c>
      <c r="S452" s="9">
        <v>23.72</v>
      </c>
      <c r="T452" s="9">
        <v>797.57897000000003</v>
      </c>
      <c r="U452" s="9">
        <v>644.34</v>
      </c>
      <c r="V452" s="45">
        <f t="shared" si="39"/>
        <v>0.23782315237297078</v>
      </c>
      <c r="W452" s="12">
        <v>-9.68</v>
      </c>
      <c r="X452" s="12">
        <v>0</v>
      </c>
      <c r="Y452" s="12">
        <v>20210802</v>
      </c>
    </row>
    <row r="453" spans="1:25" x14ac:dyDescent="0.45">
      <c r="A453" s="3" t="s">
        <v>1161</v>
      </c>
      <c r="B453" s="3" t="s">
        <v>1162</v>
      </c>
      <c r="C453" s="6" t="s">
        <v>518</v>
      </c>
      <c r="D453" s="6" t="s">
        <v>216</v>
      </c>
      <c r="E453" s="6" t="s">
        <v>231</v>
      </c>
      <c r="F453" s="6">
        <v>6751.18</v>
      </c>
      <c r="G453" s="2">
        <v>2.1800000000000002</v>
      </c>
      <c r="H453" s="2">
        <v>3.29</v>
      </c>
      <c r="I453" s="2">
        <v>4.25</v>
      </c>
      <c r="J453" s="47">
        <f t="shared" si="35"/>
        <v>0.50917431192660545</v>
      </c>
      <c r="K453" s="47">
        <f t="shared" si="36"/>
        <v>0.2917933130699088</v>
      </c>
      <c r="L453" s="8">
        <v>64.98</v>
      </c>
      <c r="M453" s="8">
        <v>36.97</v>
      </c>
      <c r="N453" s="8">
        <v>28.6</v>
      </c>
      <c r="O453" s="17">
        <f t="shared" si="37"/>
        <v>0.72607747747747753</v>
      </c>
      <c r="P453" s="17">
        <f t="shared" si="38"/>
        <v>0.98014583333333349</v>
      </c>
      <c r="Q453" s="5">
        <v>1.77</v>
      </c>
      <c r="R453" s="9">
        <v>-821.46</v>
      </c>
      <c r="S453" s="9">
        <v>-1.1599999999999999</v>
      </c>
      <c r="T453" s="9">
        <v>1029.7669599999999</v>
      </c>
      <c r="U453" s="9">
        <v>774.07</v>
      </c>
      <c r="V453" s="45">
        <f t="shared" si="39"/>
        <v>0.33032795483612576</v>
      </c>
      <c r="W453" s="12">
        <v>-9.52</v>
      </c>
      <c r="X453" s="12">
        <v>0</v>
      </c>
      <c r="Y453" s="12">
        <v>20210805</v>
      </c>
    </row>
    <row r="454" spans="1:25" x14ac:dyDescent="0.45">
      <c r="A454" s="3" t="s">
        <v>4067</v>
      </c>
      <c r="B454" s="3" t="s">
        <v>4068</v>
      </c>
      <c r="C454" s="6" t="s">
        <v>519</v>
      </c>
      <c r="D454" s="6" t="s">
        <v>289</v>
      </c>
      <c r="E454" s="6" t="s">
        <v>430</v>
      </c>
      <c r="F454" s="6">
        <v>5427.39</v>
      </c>
      <c r="H454" s="2">
        <v>6.57</v>
      </c>
      <c r="I454" s="2">
        <v>3.38</v>
      </c>
      <c r="J454" s="47" t="e">
        <f t="shared" si="35"/>
        <v>#DIV/0!</v>
      </c>
      <c r="K454" s="47">
        <f t="shared" si="36"/>
        <v>-0.48554033485540338</v>
      </c>
      <c r="M454" s="8">
        <v>8.44</v>
      </c>
      <c r="N454" s="8">
        <v>16.399999999999999</v>
      </c>
      <c r="O454" s="17" t="e">
        <f t="shared" si="37"/>
        <v>#DIV/0!</v>
      </c>
      <c r="P454" s="17">
        <f t="shared" si="38"/>
        <v>-0.33776802507836984</v>
      </c>
      <c r="R454" s="9">
        <v>-109.73</v>
      </c>
      <c r="S454" s="9">
        <v>-11.39</v>
      </c>
      <c r="T454" s="9">
        <v>3172.1999500000002</v>
      </c>
      <c r="U454" s="9">
        <v>5296</v>
      </c>
      <c r="V454" s="45">
        <f t="shared" si="39"/>
        <v>-0.40101964690332326</v>
      </c>
      <c r="W454" s="12">
        <v>0.49</v>
      </c>
      <c r="X454" s="12">
        <v>9.92</v>
      </c>
      <c r="Y454" s="12">
        <v>20210511</v>
      </c>
    </row>
    <row r="455" spans="1:25" x14ac:dyDescent="0.45">
      <c r="A455" s="3" t="s">
        <v>1163</v>
      </c>
      <c r="B455" s="3" t="s">
        <v>1164</v>
      </c>
      <c r="C455" s="6" t="s">
        <v>519</v>
      </c>
      <c r="D455" s="6" t="s">
        <v>189</v>
      </c>
      <c r="E455" s="6" t="s">
        <v>433</v>
      </c>
      <c r="F455" s="6">
        <v>16417.09</v>
      </c>
      <c r="G455" s="2">
        <v>6.73</v>
      </c>
      <c r="H455" s="2">
        <v>6.76</v>
      </c>
      <c r="I455" s="2">
        <v>7.15</v>
      </c>
      <c r="J455" s="47">
        <f t="shared" si="35"/>
        <v>4.457652303120261E-3</v>
      </c>
      <c r="K455" s="47">
        <f t="shared" si="36"/>
        <v>5.7692307692307779E-2</v>
      </c>
      <c r="L455" s="8">
        <v>17.27</v>
      </c>
      <c r="M455" s="8">
        <v>17.71</v>
      </c>
      <c r="N455" s="8">
        <v>16.73</v>
      </c>
      <c r="O455" s="17">
        <f t="shared" si="37"/>
        <v>39.729433333334185</v>
      </c>
      <c r="P455" s="17">
        <f t="shared" si="38"/>
        <v>2.8998666666666622</v>
      </c>
      <c r="Q455" s="5">
        <v>2.41</v>
      </c>
      <c r="R455" s="9">
        <v>25.69</v>
      </c>
      <c r="S455" s="9">
        <v>4.3099999999999996</v>
      </c>
      <c r="T455" s="9">
        <v>2136.1899400000002</v>
      </c>
      <c r="U455" s="9">
        <v>2064.9</v>
      </c>
      <c r="V455" s="45">
        <f t="shared" si="39"/>
        <v>3.4524645261271789E-2</v>
      </c>
      <c r="W455" s="12">
        <v>3.36</v>
      </c>
      <c r="X455" s="12">
        <v>0</v>
      </c>
      <c r="Y455" s="12">
        <v>20210728</v>
      </c>
    </row>
    <row r="456" spans="1:25" x14ac:dyDescent="0.45">
      <c r="A456" s="3" t="s">
        <v>1165</v>
      </c>
      <c r="B456" s="3" t="s">
        <v>1166</v>
      </c>
      <c r="C456" s="6" t="s">
        <v>519</v>
      </c>
      <c r="D456" s="6" t="s">
        <v>279</v>
      </c>
      <c r="E456" s="6" t="s">
        <v>265</v>
      </c>
      <c r="F456" s="6">
        <v>7331.63</v>
      </c>
      <c r="G456" s="2">
        <v>1.27</v>
      </c>
      <c r="H456" s="2">
        <v>1.59</v>
      </c>
      <c r="I456" s="2">
        <v>1.86</v>
      </c>
      <c r="J456" s="47">
        <f t="shared" si="35"/>
        <v>0.25196850393700793</v>
      </c>
      <c r="K456" s="47">
        <f t="shared" si="36"/>
        <v>0.16981132075471697</v>
      </c>
      <c r="L456" s="8">
        <v>17.77</v>
      </c>
      <c r="M456" s="8">
        <v>14.83</v>
      </c>
      <c r="N456" s="8">
        <v>12.73</v>
      </c>
      <c r="O456" s="17">
        <f t="shared" si="37"/>
        <v>0.58856562499999987</v>
      </c>
      <c r="P456" s="17">
        <f t="shared" si="38"/>
        <v>0.74965555555555552</v>
      </c>
      <c r="Q456" s="5">
        <v>7.42</v>
      </c>
      <c r="R456" s="9">
        <v>11.82</v>
      </c>
      <c r="T456" s="9">
        <v>3429.58203</v>
      </c>
      <c r="U456" s="9">
        <v>3090.42</v>
      </c>
      <c r="V456" s="45">
        <f t="shared" si="39"/>
        <v>0.10974625779020326</v>
      </c>
      <c r="W456" s="12">
        <v>13.51</v>
      </c>
      <c r="X456" s="12">
        <v>0</v>
      </c>
      <c r="Y456" s="12">
        <v>20210804</v>
      </c>
    </row>
    <row r="457" spans="1:25" x14ac:dyDescent="0.45">
      <c r="A457" s="3" t="s">
        <v>4069</v>
      </c>
      <c r="B457" s="3" t="s">
        <v>4070</v>
      </c>
      <c r="C457" s="6" t="s">
        <v>518</v>
      </c>
      <c r="D457" s="6" t="s">
        <v>189</v>
      </c>
      <c r="E457" s="6" t="s">
        <v>248</v>
      </c>
      <c r="F457" s="6">
        <v>8654.9599999999991</v>
      </c>
      <c r="H457" s="2">
        <v>-0.57999999999999996</v>
      </c>
      <c r="I457" s="2">
        <v>-0.46</v>
      </c>
      <c r="J457" s="47" t="e">
        <f t="shared" si="35"/>
        <v>#DIV/0!</v>
      </c>
      <c r="K457" s="47">
        <f t="shared" si="36"/>
        <v>0.20689655172413784</v>
      </c>
      <c r="O457" s="17" t="e">
        <f t="shared" si="37"/>
        <v>#DIV/0!</v>
      </c>
      <c r="P457" s="17">
        <f t="shared" si="38"/>
        <v>0</v>
      </c>
      <c r="T457" s="9">
        <v>187.79698999999999</v>
      </c>
      <c r="V457" s="45" t="e">
        <f t="shared" si="39"/>
        <v>#DIV/0!</v>
      </c>
      <c r="W457" s="12">
        <v>-63.64</v>
      </c>
      <c r="X457" s="12">
        <v>0</v>
      </c>
    </row>
    <row r="458" spans="1:25" x14ac:dyDescent="0.45">
      <c r="A458" s="3" t="s">
        <v>1167</v>
      </c>
      <c r="B458" s="3" t="s">
        <v>1168</v>
      </c>
      <c r="C458" s="6" t="s">
        <v>519</v>
      </c>
      <c r="D458" s="6" t="s">
        <v>309</v>
      </c>
      <c r="E458" s="6" t="s">
        <v>312</v>
      </c>
      <c r="F458" s="6">
        <v>13165.88</v>
      </c>
      <c r="G458" s="2">
        <v>3.58</v>
      </c>
      <c r="H458" s="2">
        <v>4.99</v>
      </c>
      <c r="I458" s="2">
        <v>4.93</v>
      </c>
      <c r="J458" s="47">
        <f t="shared" si="35"/>
        <v>0.39385474860335201</v>
      </c>
      <c r="K458" s="47">
        <f t="shared" si="36"/>
        <v>-1.2024048096192484E-2</v>
      </c>
      <c r="L458" s="8">
        <v>22.4</v>
      </c>
      <c r="M458" s="8">
        <v>19.850000000000001</v>
      </c>
      <c r="N458" s="8">
        <v>20.09</v>
      </c>
      <c r="O458" s="17">
        <f t="shared" si="37"/>
        <v>0.50399290780141837</v>
      </c>
      <c r="P458" s="17">
        <f t="shared" si="38"/>
        <v>-16.708183333333196</v>
      </c>
      <c r="Q458" s="5">
        <v>2.21</v>
      </c>
      <c r="R458" s="9">
        <v>32.85</v>
      </c>
      <c r="S458" s="9">
        <v>4.75</v>
      </c>
      <c r="T458" s="9">
        <v>18276.71875</v>
      </c>
      <c r="U458" s="9">
        <v>16207.11</v>
      </c>
      <c r="V458" s="45">
        <f t="shared" si="39"/>
        <v>0.12769758149355434</v>
      </c>
      <c r="W458" s="12">
        <v>31.96</v>
      </c>
      <c r="X458" s="12">
        <v>2.06</v>
      </c>
      <c r="Y458" s="12">
        <v>20210727</v>
      </c>
    </row>
    <row r="459" spans="1:25" x14ac:dyDescent="0.45">
      <c r="A459" s="3" t="s">
        <v>1169</v>
      </c>
      <c r="B459" s="3" t="s">
        <v>1170</v>
      </c>
      <c r="C459" s="6" t="s">
        <v>519</v>
      </c>
      <c r="D459" s="6" t="s">
        <v>216</v>
      </c>
      <c r="E459" s="6" t="s">
        <v>1052</v>
      </c>
      <c r="F459" s="6">
        <v>127626.98</v>
      </c>
      <c r="G459" s="2">
        <v>14.19</v>
      </c>
      <c r="H459" s="2">
        <v>19.62</v>
      </c>
      <c r="I459" s="2">
        <v>27.4</v>
      </c>
      <c r="J459" s="47">
        <f t="shared" si="35"/>
        <v>0.38266384778012696</v>
      </c>
      <c r="K459" s="47">
        <f t="shared" si="36"/>
        <v>0.39653414882772664</v>
      </c>
      <c r="L459" s="8">
        <v>39.47</v>
      </c>
      <c r="M459" s="8">
        <v>34.479999999999997</v>
      </c>
      <c r="N459" s="8">
        <v>24.69</v>
      </c>
      <c r="O459" s="17">
        <f t="shared" si="37"/>
        <v>0.90105193370165715</v>
      </c>
      <c r="P459" s="17">
        <f t="shared" si="38"/>
        <v>0.62264498714652983</v>
      </c>
      <c r="Q459" s="5">
        <v>1.03</v>
      </c>
      <c r="R459" s="9">
        <v>11.02</v>
      </c>
      <c r="S459" s="9">
        <v>16.899999999999999</v>
      </c>
      <c r="T459" s="9">
        <v>50943.847650000003</v>
      </c>
      <c r="U459" s="9">
        <v>48097</v>
      </c>
      <c r="V459" s="45">
        <f t="shared" si="39"/>
        <v>5.9189713495644287E-2</v>
      </c>
      <c r="W459" s="12">
        <v>-5.3</v>
      </c>
      <c r="X459" s="12">
        <v>0</v>
      </c>
      <c r="Y459" s="12">
        <v>20210730</v>
      </c>
    </row>
    <row r="460" spans="1:25" x14ac:dyDescent="0.45">
      <c r="A460" s="3" t="s">
        <v>3771</v>
      </c>
      <c r="B460" s="3" t="s">
        <v>1171</v>
      </c>
      <c r="C460" s="6" t="s">
        <v>518</v>
      </c>
      <c r="D460" s="6" t="s">
        <v>225</v>
      </c>
      <c r="E460" s="6" t="s">
        <v>206</v>
      </c>
      <c r="F460" s="6">
        <v>32294.94</v>
      </c>
      <c r="G460" s="2">
        <v>-0.38</v>
      </c>
      <c r="H460" s="2">
        <v>0.04</v>
      </c>
      <c r="I460" s="2">
        <v>0.28999999999999998</v>
      </c>
      <c r="J460" s="47">
        <f t="shared" si="35"/>
        <v>1.1052631578947367</v>
      </c>
      <c r="K460" s="47">
        <f t="shared" si="36"/>
        <v>6.2499999999999991</v>
      </c>
      <c r="M460" s="8">
        <v>2121</v>
      </c>
      <c r="N460" s="8">
        <v>266.64</v>
      </c>
      <c r="O460" s="17">
        <f t="shared" si="37"/>
        <v>19.190000000000001</v>
      </c>
      <c r="P460" s="17">
        <f t="shared" si="38"/>
        <v>0.42662400000000006</v>
      </c>
      <c r="Q460" s="5">
        <v>106.05</v>
      </c>
      <c r="T460" s="9">
        <v>8949.7080000000005</v>
      </c>
      <c r="U460" s="9">
        <v>7146.26</v>
      </c>
      <c r="V460" s="45">
        <f t="shared" si="39"/>
        <v>0.25236249450761661</v>
      </c>
      <c r="W460" s="12">
        <v>222.22</v>
      </c>
      <c r="X460" s="12">
        <v>0</v>
      </c>
      <c r="Y460" s="12">
        <v>20210610</v>
      </c>
    </row>
    <row r="461" spans="1:25" x14ac:dyDescent="0.45">
      <c r="A461" s="3" t="s">
        <v>3772</v>
      </c>
      <c r="B461" s="3" t="s">
        <v>1172</v>
      </c>
      <c r="C461" s="6" t="s">
        <v>519</v>
      </c>
      <c r="D461" s="6" t="s">
        <v>210</v>
      </c>
      <c r="E461" s="6" t="s">
        <v>215</v>
      </c>
      <c r="F461" s="6">
        <v>5401.94</v>
      </c>
      <c r="G461" s="2">
        <v>0.02</v>
      </c>
      <c r="H461" s="2">
        <v>0.54</v>
      </c>
      <c r="I461" s="2">
        <v>0.95</v>
      </c>
      <c r="J461" s="47">
        <f t="shared" si="35"/>
        <v>26</v>
      </c>
      <c r="K461" s="47">
        <f t="shared" si="36"/>
        <v>0.75925925925925908</v>
      </c>
      <c r="M461" s="8">
        <v>50.06</v>
      </c>
      <c r="N461" s="8">
        <v>28.29</v>
      </c>
      <c r="O461" s="17">
        <f t="shared" si="37"/>
        <v>1.9253846153846156E-2</v>
      </c>
      <c r="P461" s="17">
        <f t="shared" si="38"/>
        <v>0.37260000000000004</v>
      </c>
      <c r="R461" s="9">
        <v>-0.86</v>
      </c>
      <c r="S461" s="9">
        <v>17.34</v>
      </c>
      <c r="T461" s="9">
        <v>2989.5329499999998</v>
      </c>
      <c r="U461" s="9">
        <v>1900</v>
      </c>
      <c r="V461" s="45">
        <f t="shared" si="39"/>
        <v>0.57343839473684199</v>
      </c>
      <c r="W461" s="12">
        <v>60</v>
      </c>
      <c r="X461" s="12">
        <v>0</v>
      </c>
      <c r="Y461" s="12">
        <v>20210804</v>
      </c>
    </row>
    <row r="462" spans="1:25" x14ac:dyDescent="0.45">
      <c r="A462" s="3" t="s">
        <v>1173</v>
      </c>
      <c r="B462" s="3" t="s">
        <v>1174</v>
      </c>
      <c r="C462" s="6" t="s">
        <v>518</v>
      </c>
      <c r="D462" s="6" t="s">
        <v>234</v>
      </c>
      <c r="E462" s="6" t="s">
        <v>243</v>
      </c>
      <c r="F462" s="6">
        <v>83044.649999999994</v>
      </c>
      <c r="G462" s="2">
        <v>18.559999999999999</v>
      </c>
      <c r="H462" s="2">
        <v>20.440000000000001</v>
      </c>
      <c r="I462" s="2">
        <v>23.27</v>
      </c>
      <c r="J462" s="47">
        <f t="shared" si="35"/>
        <v>0.10129310344827601</v>
      </c>
      <c r="K462" s="47">
        <f t="shared" si="36"/>
        <v>0.13845401174168287</v>
      </c>
      <c r="L462" s="8">
        <v>13.11</v>
      </c>
      <c r="M462" s="8">
        <v>11.84</v>
      </c>
      <c r="N462" s="8">
        <v>10.4</v>
      </c>
      <c r="O462" s="17">
        <f t="shared" si="37"/>
        <v>1.168885106382977</v>
      </c>
      <c r="P462" s="17">
        <f t="shared" si="38"/>
        <v>0.75115194346289804</v>
      </c>
      <c r="Q462" s="5">
        <v>1.03</v>
      </c>
      <c r="R462" s="9">
        <v>13.82</v>
      </c>
      <c r="S462" s="9">
        <v>47.83</v>
      </c>
      <c r="T462" s="9">
        <v>166306.84375</v>
      </c>
      <c r="U462" s="9">
        <v>160401</v>
      </c>
      <c r="V462" s="45">
        <f t="shared" si="39"/>
        <v>3.6819245204206957E-2</v>
      </c>
      <c r="W462" s="12">
        <v>7.01</v>
      </c>
      <c r="X462" s="12">
        <v>1.65</v>
      </c>
      <c r="Y462" s="12">
        <v>20210729</v>
      </c>
    </row>
    <row r="463" spans="1:25" x14ac:dyDescent="0.45">
      <c r="A463" s="3" t="s">
        <v>3773</v>
      </c>
      <c r="B463" s="3" t="s">
        <v>3774</v>
      </c>
      <c r="C463" s="6" t="s">
        <v>520</v>
      </c>
      <c r="D463" s="6" t="s">
        <v>225</v>
      </c>
      <c r="E463" s="6" t="s">
        <v>1175</v>
      </c>
      <c r="F463" s="6">
        <v>23811.53</v>
      </c>
      <c r="G463" s="2">
        <v>1.25</v>
      </c>
      <c r="H463" s="2">
        <v>1.98</v>
      </c>
      <c r="I463" s="2">
        <v>2.37</v>
      </c>
      <c r="J463" s="47">
        <f t="shared" si="35"/>
        <v>0.58399999999999996</v>
      </c>
      <c r="K463" s="47">
        <f t="shared" si="36"/>
        <v>0.19696969696969704</v>
      </c>
      <c r="M463" s="8">
        <v>30.46</v>
      </c>
      <c r="N463" s="8">
        <v>25.45</v>
      </c>
      <c r="O463" s="17">
        <f t="shared" si="37"/>
        <v>0.52157534246575343</v>
      </c>
      <c r="P463" s="17">
        <f t="shared" si="38"/>
        <v>1.2920769230769225</v>
      </c>
      <c r="T463" s="9">
        <v>13424.150390000001</v>
      </c>
      <c r="U463" s="9">
        <v>11435.62</v>
      </c>
      <c r="V463" s="45">
        <f t="shared" si="39"/>
        <v>0.17388916298372975</v>
      </c>
      <c r="X463" s="12">
        <v>0.61</v>
      </c>
    </row>
    <row r="464" spans="1:25" x14ac:dyDescent="0.45">
      <c r="A464" s="3" t="s">
        <v>4071</v>
      </c>
      <c r="B464" s="3" t="s">
        <v>4072</v>
      </c>
      <c r="C464" s="6" t="s">
        <v>520</v>
      </c>
      <c r="D464" s="6" t="s">
        <v>234</v>
      </c>
      <c r="E464" s="6" t="s">
        <v>105</v>
      </c>
      <c r="F464" s="6">
        <v>200883.03</v>
      </c>
      <c r="H464" s="2">
        <v>2.25</v>
      </c>
      <c r="I464" s="2">
        <v>2.46</v>
      </c>
      <c r="J464" s="47" t="e">
        <f t="shared" si="35"/>
        <v>#DIV/0!</v>
      </c>
      <c r="K464" s="47">
        <f t="shared" si="36"/>
        <v>9.3333333333333324E-2</v>
      </c>
      <c r="L464" s="8">
        <v>5.72</v>
      </c>
      <c r="M464" s="8">
        <v>7.14</v>
      </c>
      <c r="N464" s="8">
        <v>6.53</v>
      </c>
      <c r="O464" s="17" t="e">
        <f t="shared" si="37"/>
        <v>#DIV/0!</v>
      </c>
      <c r="P464" s="17">
        <f t="shared" si="38"/>
        <v>0.69964285714285723</v>
      </c>
      <c r="T464" s="9">
        <v>119461.5</v>
      </c>
      <c r="U464" s="9">
        <v>161097.70000000001</v>
      </c>
      <c r="V464" s="45">
        <f t="shared" si="39"/>
        <v>-0.25845310019944423</v>
      </c>
      <c r="X464" s="12">
        <v>4.74</v>
      </c>
      <c r="Y464" s="12">
        <v>20210924</v>
      </c>
    </row>
    <row r="465" spans="1:25" x14ac:dyDescent="0.45">
      <c r="A465" s="3" t="s">
        <v>1176</v>
      </c>
      <c r="B465" s="3" t="s">
        <v>1177</v>
      </c>
      <c r="C465" s="6" t="s">
        <v>518</v>
      </c>
      <c r="D465" s="6" t="s">
        <v>189</v>
      </c>
      <c r="E465" s="6" t="s">
        <v>1178</v>
      </c>
      <c r="F465" s="6">
        <v>9312.6</v>
      </c>
      <c r="G465" s="2">
        <v>2.98</v>
      </c>
      <c r="H465" s="2">
        <v>2.87</v>
      </c>
      <c r="I465" s="2">
        <v>3.18</v>
      </c>
      <c r="J465" s="47">
        <f t="shared" si="35"/>
        <v>-3.691275167785231E-2</v>
      </c>
      <c r="K465" s="47">
        <f t="shared" si="36"/>
        <v>0.10801393728222998</v>
      </c>
      <c r="L465" s="8">
        <v>21.46</v>
      </c>
      <c r="M465" s="8">
        <v>20.97</v>
      </c>
      <c r="N465" s="8">
        <v>18.89</v>
      </c>
      <c r="O465" s="17">
        <f t="shared" si="37"/>
        <v>-5.680963636363642</v>
      </c>
      <c r="P465" s="17">
        <f t="shared" si="38"/>
        <v>1.7488483870967741</v>
      </c>
      <c r="Q465" s="5">
        <v>1.31</v>
      </c>
      <c r="R465" s="9">
        <v>14.97</v>
      </c>
      <c r="S465" s="9">
        <v>8.39</v>
      </c>
      <c r="T465" s="9">
        <v>3597.98803</v>
      </c>
      <c r="U465" s="9">
        <v>3532.16</v>
      </c>
      <c r="V465" s="45">
        <f t="shared" si="39"/>
        <v>1.8636763340279073E-2</v>
      </c>
      <c r="W465" s="12">
        <v>29.17</v>
      </c>
      <c r="X465" s="12">
        <v>0</v>
      </c>
      <c r="Y465" s="12">
        <v>20210902</v>
      </c>
    </row>
    <row r="466" spans="1:25" x14ac:dyDescent="0.45">
      <c r="A466" s="3" t="s">
        <v>4531</v>
      </c>
      <c r="B466" s="3" t="s">
        <v>4532</v>
      </c>
      <c r="C466" s="6" t="s">
        <v>518</v>
      </c>
      <c r="D466" s="6" t="s">
        <v>327</v>
      </c>
      <c r="E466" s="6" t="s">
        <v>321</v>
      </c>
      <c r="F466" s="6">
        <v>5003.46</v>
      </c>
      <c r="G466" s="2">
        <v>0.28999999999999998</v>
      </c>
      <c r="H466" s="2">
        <v>0.33</v>
      </c>
      <c r="J466" s="47">
        <f t="shared" si="35"/>
        <v>0.13793103448275876</v>
      </c>
      <c r="K466" s="47">
        <f t="shared" si="36"/>
        <v>-1</v>
      </c>
      <c r="M466" s="8">
        <v>8.0299999999999994</v>
      </c>
      <c r="O466" s="17">
        <f t="shared" si="37"/>
        <v>0.58217499999999944</v>
      </c>
      <c r="P466" s="17">
        <f t="shared" si="38"/>
        <v>0</v>
      </c>
      <c r="R466" s="9">
        <v>7.89</v>
      </c>
      <c r="S466" s="9">
        <v>0.34</v>
      </c>
      <c r="U466" s="9">
        <v>4894.2299999999996</v>
      </c>
      <c r="V466" s="45">
        <f t="shared" si="39"/>
        <v>-1</v>
      </c>
      <c r="X466" s="12">
        <v>5.13</v>
      </c>
      <c r="Y466" s="12">
        <v>20210611</v>
      </c>
    </row>
    <row r="467" spans="1:25" x14ac:dyDescent="0.45">
      <c r="A467" s="3" t="s">
        <v>1179</v>
      </c>
      <c r="B467" s="3" t="s">
        <v>1180</v>
      </c>
      <c r="C467" s="6" t="s">
        <v>519</v>
      </c>
      <c r="D467" s="6" t="s">
        <v>234</v>
      </c>
      <c r="E467" s="6" t="s">
        <v>284</v>
      </c>
      <c r="F467" s="6">
        <v>4961.4399999999996</v>
      </c>
      <c r="G467" s="2">
        <v>3.71</v>
      </c>
      <c r="H467" s="2">
        <v>4.95</v>
      </c>
      <c r="I467" s="2">
        <v>5.45</v>
      </c>
      <c r="J467" s="47">
        <f t="shared" si="35"/>
        <v>0.33423180592991919</v>
      </c>
      <c r="K467" s="47">
        <f t="shared" si="36"/>
        <v>0.10101010101010101</v>
      </c>
      <c r="L467" s="8">
        <v>25.26</v>
      </c>
      <c r="M467" s="8">
        <v>23.52</v>
      </c>
      <c r="N467" s="8">
        <v>21.39</v>
      </c>
      <c r="O467" s="17">
        <f t="shared" si="37"/>
        <v>0.7037032258064515</v>
      </c>
      <c r="P467" s="17">
        <f t="shared" si="38"/>
        <v>2.11761</v>
      </c>
      <c r="R467" s="9">
        <v>8.84</v>
      </c>
      <c r="S467" s="9">
        <v>12.04</v>
      </c>
      <c r="T467" s="9">
        <v>3380.1498999999999</v>
      </c>
      <c r="U467" s="9">
        <v>2786.86</v>
      </c>
      <c r="V467" s="45">
        <f t="shared" si="39"/>
        <v>0.21288830439993389</v>
      </c>
      <c r="W467" s="12">
        <v>62.5</v>
      </c>
      <c r="X467" s="12">
        <v>0.09</v>
      </c>
      <c r="Y467" s="12">
        <v>20210805</v>
      </c>
    </row>
    <row r="468" spans="1:25" x14ac:dyDescent="0.45">
      <c r="A468" s="3" t="s">
        <v>4533</v>
      </c>
      <c r="B468" s="3" t="s">
        <v>4534</v>
      </c>
      <c r="C468" s="6" t="s">
        <v>520</v>
      </c>
      <c r="D468" s="6" t="s">
        <v>234</v>
      </c>
      <c r="E468" s="6" t="s">
        <v>105</v>
      </c>
      <c r="F468" s="6">
        <v>223750.52</v>
      </c>
      <c r="G468" s="2">
        <v>2.84</v>
      </c>
      <c r="J468" s="47">
        <f t="shared" si="35"/>
        <v>-1</v>
      </c>
      <c r="K468" s="47" t="e">
        <f t="shared" si="36"/>
        <v>#DIV/0!</v>
      </c>
      <c r="L468" s="8">
        <v>15.14</v>
      </c>
      <c r="O468" s="17">
        <f t="shared" si="37"/>
        <v>0</v>
      </c>
      <c r="P468" s="17" t="e">
        <f t="shared" si="38"/>
        <v>#DIV/0!</v>
      </c>
      <c r="R468" s="9">
        <v>15.47</v>
      </c>
      <c r="S468" s="9">
        <v>7.29</v>
      </c>
      <c r="T468" s="9">
        <v>47295</v>
      </c>
      <c r="U468" s="9">
        <v>56073.46</v>
      </c>
      <c r="V468" s="45">
        <f t="shared" si="39"/>
        <v>-0.15655285049290696</v>
      </c>
      <c r="X468" s="12">
        <v>1.61</v>
      </c>
      <c r="Y468" s="12">
        <v>20210827</v>
      </c>
    </row>
    <row r="469" spans="1:25" x14ac:dyDescent="0.45">
      <c r="A469" s="3" t="s">
        <v>4073</v>
      </c>
      <c r="B469" s="3" t="s">
        <v>4074</v>
      </c>
      <c r="C469" s="6" t="s">
        <v>518</v>
      </c>
      <c r="D469" s="6" t="s">
        <v>234</v>
      </c>
      <c r="E469" s="6" t="s">
        <v>285</v>
      </c>
      <c r="F469" s="6">
        <v>3601.27</v>
      </c>
      <c r="G469" s="2">
        <v>1.52</v>
      </c>
      <c r="H469" s="2">
        <v>1.47</v>
      </c>
      <c r="I469" s="2">
        <v>1.59</v>
      </c>
      <c r="J469" s="47">
        <f t="shared" si="35"/>
        <v>-3.2894736842105289E-2</v>
      </c>
      <c r="K469" s="47">
        <f t="shared" si="36"/>
        <v>8.1632653061224567E-2</v>
      </c>
      <c r="L469" s="8">
        <v>12.02</v>
      </c>
      <c r="M469" s="8">
        <v>10.63</v>
      </c>
      <c r="N469" s="8">
        <v>9.82</v>
      </c>
      <c r="O469" s="17">
        <f t="shared" si="37"/>
        <v>-3.2315199999999979</v>
      </c>
      <c r="P469" s="17">
        <f t="shared" si="38"/>
        <v>1.2029499999999989</v>
      </c>
      <c r="R469" s="9">
        <v>10.24</v>
      </c>
      <c r="S469" s="9">
        <v>5.59</v>
      </c>
      <c r="T469" s="9">
        <v>508.70001000000002</v>
      </c>
      <c r="U469" s="9">
        <v>1030.25</v>
      </c>
      <c r="V469" s="45">
        <f t="shared" si="39"/>
        <v>-0.50623634069400625</v>
      </c>
      <c r="W469" s="12">
        <v>16.13</v>
      </c>
      <c r="X469" s="12">
        <v>7.68</v>
      </c>
      <c r="Y469" s="12">
        <v>20210804</v>
      </c>
    </row>
    <row r="470" spans="1:25" x14ac:dyDescent="0.45">
      <c r="A470" s="3" t="s">
        <v>4075</v>
      </c>
      <c r="B470" s="3" t="s">
        <v>4076</v>
      </c>
      <c r="C470" s="6" t="s">
        <v>519</v>
      </c>
      <c r="D470" s="6" t="s">
        <v>234</v>
      </c>
      <c r="E470" s="6" t="s">
        <v>244</v>
      </c>
      <c r="F470" s="6">
        <v>19515.25</v>
      </c>
      <c r="G470" s="2">
        <v>2.85</v>
      </c>
      <c r="H470" s="2">
        <v>4.1100000000000003</v>
      </c>
      <c r="I470" s="2">
        <v>4.43</v>
      </c>
      <c r="J470" s="47">
        <f t="shared" si="35"/>
        <v>0.44210526315789478</v>
      </c>
      <c r="K470" s="47">
        <f t="shared" si="36"/>
        <v>7.7858880778588657E-2</v>
      </c>
      <c r="L470" s="8">
        <v>31.8</v>
      </c>
      <c r="M470" s="8">
        <v>29.49</v>
      </c>
      <c r="N470" s="8">
        <v>27.38</v>
      </c>
      <c r="O470" s="17">
        <f t="shared" si="37"/>
        <v>0.66703571428571418</v>
      </c>
      <c r="P470" s="17">
        <f t="shared" si="38"/>
        <v>3.5166187500000068</v>
      </c>
      <c r="R470" s="9">
        <v>6.04</v>
      </c>
      <c r="S470" s="9">
        <v>11.51</v>
      </c>
      <c r="T470" s="9">
        <v>6612.2997999999998</v>
      </c>
      <c r="U470" s="9">
        <v>7536</v>
      </c>
      <c r="V470" s="45">
        <f t="shared" si="39"/>
        <v>-0.12257168259023357</v>
      </c>
      <c r="W470" s="12">
        <v>30.48</v>
      </c>
      <c r="X470" s="12">
        <v>2.08</v>
      </c>
      <c r="Y470" s="12">
        <v>20210726</v>
      </c>
    </row>
    <row r="471" spans="1:25" x14ac:dyDescent="0.45">
      <c r="A471" s="3" t="s">
        <v>1181</v>
      </c>
      <c r="B471" s="3" t="s">
        <v>1182</v>
      </c>
      <c r="C471" s="6" t="s">
        <v>518</v>
      </c>
      <c r="D471" s="6" t="s">
        <v>234</v>
      </c>
      <c r="E471" s="6" t="s">
        <v>221</v>
      </c>
      <c r="F471" s="6">
        <v>5285.19</v>
      </c>
      <c r="G471" s="2">
        <v>-1.66</v>
      </c>
      <c r="H471" s="2">
        <v>4.1100000000000003</v>
      </c>
      <c r="I471" s="2">
        <v>4.57</v>
      </c>
      <c r="J471" s="47">
        <f t="shared" si="35"/>
        <v>3.4759036144578319</v>
      </c>
      <c r="K471" s="47">
        <f t="shared" si="36"/>
        <v>0.1119221411192214</v>
      </c>
      <c r="L471" s="8">
        <v>12.73</v>
      </c>
      <c r="M471" s="8">
        <v>12.97</v>
      </c>
      <c r="N471" s="8">
        <v>11.67</v>
      </c>
      <c r="O471" s="17">
        <f t="shared" si="37"/>
        <v>3.7314038128249565E-2</v>
      </c>
      <c r="P471" s="17">
        <f t="shared" si="38"/>
        <v>1.0426891304347827</v>
      </c>
      <c r="R471" s="9">
        <v>8.27</v>
      </c>
      <c r="S471" s="9">
        <v>-6.26</v>
      </c>
      <c r="T471" s="9">
        <v>2373.6000899999999</v>
      </c>
      <c r="U471" s="9">
        <v>3150.4</v>
      </c>
      <c r="V471" s="45">
        <f t="shared" si="39"/>
        <v>-0.24657183532249879</v>
      </c>
      <c r="W471" s="12">
        <v>152.04</v>
      </c>
      <c r="X471" s="12">
        <v>2.62</v>
      </c>
      <c r="Y471" s="12">
        <v>20210720</v>
      </c>
    </row>
    <row r="472" spans="1:25" x14ac:dyDescent="0.45">
      <c r="A472" s="3" t="s">
        <v>4077</v>
      </c>
      <c r="B472" s="3" t="s">
        <v>4078</v>
      </c>
      <c r="C472" s="6" t="s">
        <v>518</v>
      </c>
      <c r="D472" s="6" t="s">
        <v>234</v>
      </c>
      <c r="E472" s="6" t="s">
        <v>221</v>
      </c>
      <c r="F472" s="6">
        <v>3811.82</v>
      </c>
      <c r="G472" s="2">
        <v>1.87</v>
      </c>
      <c r="H472" s="2">
        <v>2.3199999999999998</v>
      </c>
      <c r="I472" s="2">
        <v>2.4700000000000002</v>
      </c>
      <c r="J472" s="47">
        <f t="shared" si="35"/>
        <v>0.24064171122994638</v>
      </c>
      <c r="K472" s="47">
        <f t="shared" si="36"/>
        <v>6.465517241379326E-2</v>
      </c>
      <c r="M472" s="8">
        <v>7.91</v>
      </c>
      <c r="N472" s="8">
        <v>7.4</v>
      </c>
      <c r="O472" s="17">
        <f t="shared" si="37"/>
        <v>0.32870444444444469</v>
      </c>
      <c r="P472" s="17">
        <f t="shared" si="38"/>
        <v>1.1445333333333307</v>
      </c>
      <c r="Q472" s="5">
        <v>0.99</v>
      </c>
      <c r="U472" s="9">
        <v>1228.4000000000001</v>
      </c>
      <c r="V472" s="45">
        <f t="shared" si="39"/>
        <v>-1</v>
      </c>
      <c r="W472" s="12">
        <v>16</v>
      </c>
      <c r="X472" s="12">
        <v>0</v>
      </c>
      <c r="Y472" s="12">
        <v>20210812</v>
      </c>
    </row>
    <row r="473" spans="1:25" x14ac:dyDescent="0.45">
      <c r="A473" s="3" t="s">
        <v>1183</v>
      </c>
      <c r="B473" s="3" t="s">
        <v>1184</v>
      </c>
      <c r="C473" s="6" t="s">
        <v>520</v>
      </c>
      <c r="D473" s="6" t="s">
        <v>303</v>
      </c>
      <c r="E473" s="6" t="s">
        <v>1185</v>
      </c>
      <c r="F473" s="6">
        <v>20710</v>
      </c>
      <c r="G473" s="2">
        <v>0.67</v>
      </c>
      <c r="H473" s="2">
        <v>0.81</v>
      </c>
      <c r="I473" s="2">
        <v>0.79</v>
      </c>
      <c r="J473" s="47">
        <f t="shared" si="35"/>
        <v>0.20895522388059704</v>
      </c>
      <c r="K473" s="47">
        <f t="shared" si="36"/>
        <v>-2.4691358024691377E-2</v>
      </c>
      <c r="M473" s="8">
        <v>25.57</v>
      </c>
      <c r="N473" s="8">
        <v>26.22</v>
      </c>
      <c r="O473" s="17">
        <f t="shared" si="37"/>
        <v>1.2237071428571429</v>
      </c>
      <c r="P473" s="17">
        <f t="shared" si="38"/>
        <v>-10.619099999999991</v>
      </c>
      <c r="T473" s="9">
        <v>9771.6103500000008</v>
      </c>
      <c r="U473" s="9">
        <v>7260.65</v>
      </c>
      <c r="V473" s="45">
        <f t="shared" si="39"/>
        <v>0.34583134430113027</v>
      </c>
      <c r="X473" s="12">
        <v>1.79</v>
      </c>
      <c r="Y473" s="12">
        <v>20210610</v>
      </c>
    </row>
    <row r="474" spans="1:25" x14ac:dyDescent="0.45">
      <c r="A474" s="3" t="s">
        <v>1186</v>
      </c>
      <c r="B474" s="3" t="s">
        <v>1187</v>
      </c>
      <c r="C474" s="6" t="s">
        <v>520</v>
      </c>
      <c r="D474" s="6" t="s">
        <v>309</v>
      </c>
      <c r="E474" s="6" t="s">
        <v>311</v>
      </c>
      <c r="F474" s="6">
        <v>34093</v>
      </c>
      <c r="G474" s="2">
        <v>-1.01</v>
      </c>
      <c r="H474" s="2">
        <v>0.77</v>
      </c>
      <c r="I474" s="2">
        <v>1.32</v>
      </c>
      <c r="J474" s="47">
        <f t="shared" si="35"/>
        <v>1.7623762376237624</v>
      </c>
      <c r="K474" s="47">
        <f t="shared" si="36"/>
        <v>0.7142857142857143</v>
      </c>
      <c r="M474" s="8">
        <v>21.49</v>
      </c>
      <c r="N474" s="8">
        <v>12.59</v>
      </c>
      <c r="O474" s="17">
        <f t="shared" si="37"/>
        <v>0.12193764044943819</v>
      </c>
      <c r="P474" s="17">
        <f t="shared" si="38"/>
        <v>0.17626</v>
      </c>
      <c r="R474" s="9">
        <v>-5.19</v>
      </c>
      <c r="S474" s="9">
        <v>-7.8</v>
      </c>
      <c r="T474" s="9">
        <v>13133.929679999999</v>
      </c>
      <c r="U474" s="9">
        <v>7769.06</v>
      </c>
      <c r="V474" s="45">
        <f t="shared" si="39"/>
        <v>0.69054295886503625</v>
      </c>
      <c r="X474" s="12">
        <v>0.26</v>
      </c>
      <c r="Y474" s="12">
        <v>20210730</v>
      </c>
    </row>
    <row r="475" spans="1:25" x14ac:dyDescent="0.45">
      <c r="A475" s="3" t="s">
        <v>4535</v>
      </c>
      <c r="B475" s="3" t="s">
        <v>4536</v>
      </c>
      <c r="C475" s="6" t="s">
        <v>520</v>
      </c>
      <c r="D475" s="6" t="s">
        <v>1042</v>
      </c>
      <c r="E475" s="6" t="s">
        <v>1043</v>
      </c>
      <c r="F475" s="6">
        <v>29576.98</v>
      </c>
      <c r="J475" s="47" t="e">
        <f t="shared" si="35"/>
        <v>#DIV/0!</v>
      </c>
      <c r="K475" s="47" t="e">
        <f t="shared" si="36"/>
        <v>#DIV/0!</v>
      </c>
      <c r="O475" s="17" t="e">
        <f t="shared" si="37"/>
        <v>#DIV/0!</v>
      </c>
      <c r="P475" s="17" t="e">
        <f t="shared" si="38"/>
        <v>#DIV/0!</v>
      </c>
      <c r="U475" s="9">
        <v>34153</v>
      </c>
      <c r="V475" s="45">
        <f t="shared" si="39"/>
        <v>-1</v>
      </c>
      <c r="X475" s="12">
        <v>4.57</v>
      </c>
    </row>
    <row r="476" spans="1:25" x14ac:dyDescent="0.45">
      <c r="A476" s="3" t="s">
        <v>1188</v>
      </c>
      <c r="B476" s="3" t="s">
        <v>1189</v>
      </c>
      <c r="C476" s="6" t="s">
        <v>518</v>
      </c>
      <c r="D476" s="6" t="s">
        <v>225</v>
      </c>
      <c r="E476" s="6" t="s">
        <v>1152</v>
      </c>
      <c r="F476" s="6">
        <v>69843.179999999993</v>
      </c>
      <c r="G476" s="2">
        <v>3.06</v>
      </c>
      <c r="H476" s="2">
        <v>3.28</v>
      </c>
      <c r="I476" s="2">
        <v>3.49</v>
      </c>
      <c r="J476" s="47">
        <f t="shared" si="35"/>
        <v>7.1895424836601218E-2</v>
      </c>
      <c r="K476" s="47">
        <f t="shared" si="36"/>
        <v>6.4024390243902565E-2</v>
      </c>
      <c r="L476" s="8">
        <v>26.63</v>
      </c>
      <c r="M476" s="8">
        <v>25.16</v>
      </c>
      <c r="N476" s="8">
        <v>23.63</v>
      </c>
      <c r="O476" s="17">
        <f t="shared" si="37"/>
        <v>3.4995272727272768</v>
      </c>
      <c r="P476" s="17">
        <f t="shared" si="38"/>
        <v>3.6907809523809449</v>
      </c>
      <c r="Q476" s="5">
        <v>4.1900000000000004</v>
      </c>
      <c r="R476" s="9">
        <v>298.8</v>
      </c>
      <c r="S476" s="9">
        <v>1.44</v>
      </c>
      <c r="T476" s="9">
        <v>17486.523430000001</v>
      </c>
      <c r="U476" s="9">
        <v>16471</v>
      </c>
      <c r="V476" s="45">
        <f t="shared" si="39"/>
        <v>6.1655238297614053E-2</v>
      </c>
      <c r="W476" s="12">
        <v>0</v>
      </c>
      <c r="X476" s="12">
        <v>2.1800000000000002</v>
      </c>
      <c r="Y476" s="12">
        <v>20210730</v>
      </c>
    </row>
    <row r="477" spans="1:25" x14ac:dyDescent="0.45">
      <c r="A477" s="3" t="s">
        <v>1190</v>
      </c>
      <c r="B477" s="3" t="s">
        <v>1191</v>
      </c>
      <c r="C477" s="6" t="s">
        <v>518</v>
      </c>
      <c r="D477" s="6" t="s">
        <v>189</v>
      </c>
      <c r="E477" s="6" t="s">
        <v>248</v>
      </c>
      <c r="F477" s="6">
        <v>4628.68</v>
      </c>
      <c r="G477" s="2">
        <v>0.41</v>
      </c>
      <c r="H477" s="2">
        <v>0.38</v>
      </c>
      <c r="I477" s="2">
        <v>0.42</v>
      </c>
      <c r="J477" s="47">
        <f t="shared" si="35"/>
        <v>-7.3170731707317013E-2</v>
      </c>
      <c r="K477" s="47">
        <f t="shared" si="36"/>
        <v>0.10526315789473679</v>
      </c>
      <c r="L477" s="8">
        <v>30.46</v>
      </c>
      <c r="M477" s="8">
        <v>42.05</v>
      </c>
      <c r="N477" s="8">
        <v>37.42</v>
      </c>
      <c r="O477" s="17">
        <f t="shared" si="37"/>
        <v>-5.7468333333333375</v>
      </c>
      <c r="P477" s="17">
        <f t="shared" si="38"/>
        <v>3.5549000000000017</v>
      </c>
      <c r="R477" s="9">
        <v>-2.58</v>
      </c>
      <c r="S477" s="9">
        <v>36.22</v>
      </c>
      <c r="T477" s="9">
        <v>921.42400999999995</v>
      </c>
      <c r="U477" s="9">
        <v>869.26</v>
      </c>
      <c r="V477" s="45">
        <f t="shared" si="39"/>
        <v>6.0009674895888411E-2</v>
      </c>
      <c r="W477" s="12">
        <v>50</v>
      </c>
      <c r="X477" s="12">
        <v>0</v>
      </c>
      <c r="Y477" s="12">
        <v>20210901</v>
      </c>
    </row>
    <row r="478" spans="1:25" x14ac:dyDescent="0.45">
      <c r="A478" s="3" t="s">
        <v>1192</v>
      </c>
      <c r="B478" s="3" t="s">
        <v>1193</v>
      </c>
      <c r="C478" s="6" t="s">
        <v>518</v>
      </c>
      <c r="D478" s="6" t="s">
        <v>90</v>
      </c>
      <c r="E478" s="6" t="s">
        <v>268</v>
      </c>
      <c r="F478" s="6">
        <v>11596.12</v>
      </c>
      <c r="G478" s="2">
        <v>-0.21</v>
      </c>
      <c r="H478" s="2">
        <v>4.45</v>
      </c>
      <c r="I478" s="2">
        <v>1.95</v>
      </c>
      <c r="J478" s="47">
        <f t="shared" si="35"/>
        <v>22.190476190476193</v>
      </c>
      <c r="K478" s="47">
        <f t="shared" si="36"/>
        <v>-0.56179775280898869</v>
      </c>
      <c r="L478" s="8">
        <v>72.56</v>
      </c>
      <c r="M478" s="8">
        <v>5.22</v>
      </c>
      <c r="N478" s="8">
        <v>11.91</v>
      </c>
      <c r="O478" s="17">
        <f t="shared" si="37"/>
        <v>2.352360515021459E-3</v>
      </c>
      <c r="P478" s="17">
        <f t="shared" si="38"/>
        <v>-0.21199800000000005</v>
      </c>
      <c r="Q478" s="5">
        <v>0.19</v>
      </c>
      <c r="R478" s="9">
        <v>10.98</v>
      </c>
      <c r="S478" s="9">
        <v>18.059999999999999</v>
      </c>
      <c r="T478" s="9">
        <v>18086.550780000001</v>
      </c>
      <c r="U478" s="9">
        <v>5354</v>
      </c>
      <c r="V478" s="45">
        <f t="shared" si="39"/>
        <v>2.3781379865521108</v>
      </c>
      <c r="W478" s="12">
        <v>6.06</v>
      </c>
      <c r="X478" s="12">
        <v>0</v>
      </c>
      <c r="Y478" s="12">
        <v>20210729</v>
      </c>
    </row>
    <row r="479" spans="1:25" x14ac:dyDescent="0.45">
      <c r="A479" s="3" t="s">
        <v>1194</v>
      </c>
      <c r="B479" s="3" t="s">
        <v>1195</v>
      </c>
      <c r="C479" s="6" t="s">
        <v>518</v>
      </c>
      <c r="D479" s="6" t="s">
        <v>175</v>
      </c>
      <c r="E479" s="6" t="s">
        <v>366</v>
      </c>
      <c r="F479" s="6">
        <v>5178.75</v>
      </c>
      <c r="G479" s="2">
        <v>2.11</v>
      </c>
      <c r="H479" s="2">
        <v>2.5299999999999998</v>
      </c>
      <c r="I479" s="2">
        <v>2.93</v>
      </c>
      <c r="J479" s="47">
        <f t="shared" si="35"/>
        <v>0.19905213270142177</v>
      </c>
      <c r="K479" s="47">
        <f t="shared" si="36"/>
        <v>0.15810276679841911</v>
      </c>
      <c r="L479" s="8">
        <v>38.42</v>
      </c>
      <c r="M479" s="8">
        <v>37.549999999999997</v>
      </c>
      <c r="N479" s="8">
        <v>32.42</v>
      </c>
      <c r="O479" s="17">
        <f t="shared" si="37"/>
        <v>1.8864404761904763</v>
      </c>
      <c r="P479" s="17">
        <f t="shared" si="38"/>
        <v>2.0505649999999984</v>
      </c>
      <c r="R479" s="9">
        <v>10.46</v>
      </c>
      <c r="S479" s="9">
        <v>4.0199999999999996</v>
      </c>
      <c r="T479" s="9">
        <v>3345.1540500000001</v>
      </c>
      <c r="U479" s="9">
        <v>3144.1</v>
      </c>
      <c r="V479" s="45">
        <f t="shared" si="39"/>
        <v>6.3946455265417826E-2</v>
      </c>
      <c r="W479" s="12">
        <v>61.54</v>
      </c>
      <c r="X479" s="12">
        <v>0</v>
      </c>
      <c r="Y479" s="12">
        <v>20210804</v>
      </c>
    </row>
    <row r="480" spans="1:25" x14ac:dyDescent="0.45">
      <c r="A480" s="3" t="s">
        <v>4079</v>
      </c>
      <c r="B480" s="3" t="s">
        <v>4080</v>
      </c>
      <c r="C480" s="6" t="s">
        <v>518</v>
      </c>
      <c r="D480" s="6" t="s">
        <v>234</v>
      </c>
      <c r="E480" s="6" t="s">
        <v>286</v>
      </c>
      <c r="F480" s="6">
        <v>3989.8</v>
      </c>
      <c r="G480" s="2">
        <v>-0.06</v>
      </c>
      <c r="H480" s="2">
        <v>0.13</v>
      </c>
      <c r="I480" s="2">
        <v>0.23</v>
      </c>
      <c r="J480" s="47">
        <f t="shared" si="35"/>
        <v>3.166666666666667</v>
      </c>
      <c r="K480" s="47">
        <f t="shared" si="36"/>
        <v>0.76923076923076927</v>
      </c>
      <c r="L480" s="8">
        <v>819</v>
      </c>
      <c r="M480" s="8">
        <v>63</v>
      </c>
      <c r="N480" s="8">
        <v>34.85</v>
      </c>
      <c r="O480" s="17">
        <f t="shared" si="37"/>
        <v>0.19894736842105262</v>
      </c>
      <c r="P480" s="17">
        <f t="shared" si="38"/>
        <v>0.45304999999999995</v>
      </c>
      <c r="R480" s="9">
        <v>-41.2</v>
      </c>
      <c r="S480" s="9">
        <v>27.58</v>
      </c>
      <c r="T480" s="9">
        <v>11.19999</v>
      </c>
      <c r="U480" s="9">
        <v>1236.5899999999999</v>
      </c>
      <c r="V480" s="45">
        <f t="shared" si="39"/>
        <v>-0.9909428428177488</v>
      </c>
      <c r="W480" s="12">
        <v>-75</v>
      </c>
      <c r="X480" s="12">
        <v>0</v>
      </c>
      <c r="Y480" s="12">
        <v>20210806</v>
      </c>
    </row>
    <row r="481" spans="1:25" x14ac:dyDescent="0.45">
      <c r="A481" s="3" t="s">
        <v>4081</v>
      </c>
      <c r="B481" s="3" t="s">
        <v>4082</v>
      </c>
      <c r="C481" s="6" t="s">
        <v>519</v>
      </c>
      <c r="D481" s="6" t="s">
        <v>279</v>
      </c>
      <c r="E481" s="6" t="s">
        <v>265</v>
      </c>
      <c r="F481" s="6">
        <v>6905.07</v>
      </c>
      <c r="G481" s="2">
        <v>-0.88</v>
      </c>
      <c r="H481" s="2">
        <v>-0.5</v>
      </c>
      <c r="I481" s="2">
        <v>-0.14000000000000001</v>
      </c>
      <c r="J481" s="47">
        <f t="shared" si="35"/>
        <v>0.43181818181818182</v>
      </c>
      <c r="K481" s="47">
        <f t="shared" si="36"/>
        <v>0.72</v>
      </c>
      <c r="O481" s="17">
        <f t="shared" si="37"/>
        <v>0</v>
      </c>
      <c r="P481" s="17">
        <f t="shared" si="38"/>
        <v>0</v>
      </c>
      <c r="R481" s="9">
        <v>-17.88</v>
      </c>
      <c r="T481" s="9">
        <v>783.77000999999996</v>
      </c>
      <c r="V481" s="45" t="e">
        <f t="shared" si="39"/>
        <v>#DIV/0!</v>
      </c>
      <c r="W481" s="12">
        <v>-8.33</v>
      </c>
      <c r="X481" s="12">
        <v>0</v>
      </c>
      <c r="Y481" s="12">
        <v>20210816</v>
      </c>
    </row>
    <row r="482" spans="1:25" x14ac:dyDescent="0.45">
      <c r="A482" s="3" t="s">
        <v>3775</v>
      </c>
      <c r="B482" s="3" t="s">
        <v>3776</v>
      </c>
      <c r="C482" s="6" t="s">
        <v>520</v>
      </c>
      <c r="D482" s="6" t="s">
        <v>327</v>
      </c>
      <c r="E482" s="6" t="s">
        <v>321</v>
      </c>
      <c r="F482" s="6">
        <v>25668.74</v>
      </c>
      <c r="H482" s="2">
        <v>0.63</v>
      </c>
      <c r="I482" s="2">
        <v>0.65</v>
      </c>
      <c r="J482" s="47" t="e">
        <f t="shared" si="35"/>
        <v>#DIV/0!</v>
      </c>
      <c r="K482" s="47">
        <f t="shared" si="36"/>
        <v>3.1746031746031772E-2</v>
      </c>
      <c r="M482" s="8">
        <v>16.13</v>
      </c>
      <c r="N482" s="8">
        <v>15.63</v>
      </c>
      <c r="O482" s="17" t="e">
        <f t="shared" si="37"/>
        <v>#DIV/0!</v>
      </c>
      <c r="P482" s="17">
        <f t="shared" si="38"/>
        <v>4.9234499999999963</v>
      </c>
      <c r="Q482" s="5">
        <v>0.68</v>
      </c>
      <c r="U482" s="9">
        <v>10261.459999999999</v>
      </c>
      <c r="V482" s="45">
        <f t="shared" si="39"/>
        <v>-1</v>
      </c>
      <c r="X482" s="12">
        <v>2.88</v>
      </c>
    </row>
    <row r="483" spans="1:25" x14ac:dyDescent="0.45">
      <c r="A483" s="3" t="s">
        <v>1196</v>
      </c>
      <c r="B483" s="3" t="s">
        <v>1197</v>
      </c>
      <c r="C483" s="6" t="s">
        <v>518</v>
      </c>
      <c r="D483" s="6" t="s">
        <v>289</v>
      </c>
      <c r="E483" s="6" t="s">
        <v>271</v>
      </c>
      <c r="F483" s="6">
        <v>13032.78</v>
      </c>
      <c r="G483" s="2">
        <v>-0.98</v>
      </c>
      <c r="H483" s="2">
        <v>2.1</v>
      </c>
      <c r="I483" s="2">
        <v>1.66</v>
      </c>
      <c r="J483" s="47">
        <f t="shared" si="35"/>
        <v>3.1428571428571428</v>
      </c>
      <c r="K483" s="47">
        <f t="shared" si="36"/>
        <v>-0.20952380952380958</v>
      </c>
      <c r="M483" s="8">
        <v>16.88</v>
      </c>
      <c r="N483" s="8">
        <v>21.3</v>
      </c>
      <c r="O483" s="17">
        <f t="shared" si="37"/>
        <v>5.3709090909090908E-2</v>
      </c>
      <c r="P483" s="17">
        <f t="shared" si="38"/>
        <v>-1.0165909090909089</v>
      </c>
      <c r="R483" s="9">
        <v>-1.8</v>
      </c>
      <c r="S483" s="9">
        <v>11.99</v>
      </c>
      <c r="T483" s="9">
        <v>4485.6757799999996</v>
      </c>
      <c r="U483" s="9">
        <v>2586.4699999999998</v>
      </c>
      <c r="V483" s="45">
        <f t="shared" si="39"/>
        <v>0.73428486701952855</v>
      </c>
      <c r="W483" s="12">
        <v>48.08</v>
      </c>
      <c r="X483" s="12">
        <v>1.24</v>
      </c>
      <c r="Y483" s="12">
        <v>20210802</v>
      </c>
    </row>
    <row r="484" spans="1:25" x14ac:dyDescent="0.45">
      <c r="A484" s="3" t="s">
        <v>3777</v>
      </c>
      <c r="B484" s="3" t="s">
        <v>3778</v>
      </c>
      <c r="C484" s="6" t="s">
        <v>518</v>
      </c>
      <c r="D484" s="6" t="s">
        <v>189</v>
      </c>
      <c r="E484" s="6" t="s">
        <v>248</v>
      </c>
      <c r="F484" s="6">
        <v>16145.21</v>
      </c>
      <c r="G484" s="2">
        <v>0.56999999999999995</v>
      </c>
      <c r="H484" s="2">
        <v>0.77</v>
      </c>
      <c r="I484" s="2">
        <v>0.91</v>
      </c>
      <c r="J484" s="47">
        <f t="shared" si="35"/>
        <v>0.35087719298245629</v>
      </c>
      <c r="K484" s="47">
        <f t="shared" si="36"/>
        <v>0.18181818181818182</v>
      </c>
      <c r="L484" s="8">
        <v>38.81</v>
      </c>
      <c r="M484" s="8">
        <v>34.130000000000003</v>
      </c>
      <c r="N484" s="8">
        <v>29</v>
      </c>
      <c r="O484" s="17">
        <f t="shared" si="37"/>
        <v>0.9727049999999996</v>
      </c>
      <c r="P484" s="17">
        <f t="shared" si="38"/>
        <v>1.5949999999999998</v>
      </c>
      <c r="R484" s="9">
        <v>5.49</v>
      </c>
      <c r="T484" s="9">
        <v>1813.135</v>
      </c>
      <c r="U484" s="9">
        <v>1254.05</v>
      </c>
      <c r="V484" s="45">
        <f t="shared" si="39"/>
        <v>0.44582353175710704</v>
      </c>
      <c r="W484" s="12">
        <v>16.670000000000002</v>
      </c>
      <c r="X484" s="12">
        <v>0</v>
      </c>
      <c r="Y484" s="12">
        <v>20210729</v>
      </c>
    </row>
    <row r="485" spans="1:25" x14ac:dyDescent="0.45">
      <c r="A485" s="3" t="s">
        <v>1198</v>
      </c>
      <c r="B485" s="3" t="s">
        <v>1199</v>
      </c>
      <c r="C485" s="6" t="s">
        <v>518</v>
      </c>
      <c r="D485" s="6" t="s">
        <v>225</v>
      </c>
      <c r="E485" s="6" t="s">
        <v>1152</v>
      </c>
      <c r="F485" s="6">
        <v>21852.17</v>
      </c>
      <c r="G485" s="2">
        <v>6.92</v>
      </c>
      <c r="H485" s="2">
        <v>7.59</v>
      </c>
      <c r="I485" s="2">
        <v>7.66</v>
      </c>
      <c r="J485" s="47">
        <f t="shared" si="35"/>
        <v>9.6820809248554907E-2</v>
      </c>
      <c r="K485" s="47">
        <f t="shared" si="36"/>
        <v>9.2226613965744782E-3</v>
      </c>
      <c r="L485" s="8">
        <v>18.93</v>
      </c>
      <c r="M485" s="8">
        <v>23.16</v>
      </c>
      <c r="N485" s="8">
        <v>22.94</v>
      </c>
      <c r="O485" s="17">
        <f t="shared" si="37"/>
        <v>2.3920477611940298</v>
      </c>
      <c r="P485" s="17">
        <f t="shared" si="38"/>
        <v>24.873514285714183</v>
      </c>
      <c r="Q485" s="5">
        <v>3.31</v>
      </c>
      <c r="R485" s="9">
        <v>104.74</v>
      </c>
      <c r="S485" s="9">
        <v>4.67</v>
      </c>
      <c r="T485" s="9">
        <v>7452.8618100000003</v>
      </c>
      <c r="U485" s="9">
        <v>6721</v>
      </c>
      <c r="V485" s="45">
        <f t="shared" si="39"/>
        <v>0.10889180330307995</v>
      </c>
      <c r="W485" s="12">
        <v>10.199999999999999</v>
      </c>
      <c r="X485" s="12">
        <v>2.5299999999999998</v>
      </c>
      <c r="Y485" s="12">
        <v>20210802</v>
      </c>
    </row>
    <row r="486" spans="1:25" x14ac:dyDescent="0.45">
      <c r="A486" s="3" t="s">
        <v>1200</v>
      </c>
      <c r="B486" s="3" t="s">
        <v>1201</v>
      </c>
      <c r="C486" s="6" t="s">
        <v>518</v>
      </c>
      <c r="D486" s="6" t="s">
        <v>234</v>
      </c>
      <c r="E486" s="6" t="s">
        <v>105</v>
      </c>
      <c r="F486" s="6">
        <v>53517.48</v>
      </c>
      <c r="G486" s="2">
        <v>7.16</v>
      </c>
      <c r="H486" s="2">
        <v>11.12</v>
      </c>
      <c r="I486" s="2">
        <v>11.44</v>
      </c>
      <c r="J486" s="47">
        <f t="shared" si="35"/>
        <v>0.55307262569832383</v>
      </c>
      <c r="K486" s="47">
        <f t="shared" si="36"/>
        <v>2.8776978417266216E-2</v>
      </c>
      <c r="L486" s="8">
        <v>12.29</v>
      </c>
      <c r="M486" s="8">
        <v>10.72</v>
      </c>
      <c r="N486" s="8">
        <v>10.42</v>
      </c>
      <c r="O486" s="17">
        <f t="shared" si="37"/>
        <v>0.19382626262626271</v>
      </c>
      <c r="P486" s="17">
        <f t="shared" si="38"/>
        <v>3.6209499999999961</v>
      </c>
      <c r="Q486" s="5">
        <v>1.01</v>
      </c>
      <c r="R486" s="9">
        <v>15.27</v>
      </c>
      <c r="S486" s="9">
        <v>7.71</v>
      </c>
      <c r="T486" s="9">
        <v>16395.820309999999</v>
      </c>
      <c r="U486" s="9">
        <v>18755.32</v>
      </c>
      <c r="V486" s="45">
        <f t="shared" si="39"/>
        <v>-0.12580428859651557</v>
      </c>
      <c r="W486" s="12">
        <v>20.76</v>
      </c>
      <c r="X486" s="12">
        <v>2.77</v>
      </c>
      <c r="Y486" s="12">
        <v>20210826</v>
      </c>
    </row>
    <row r="487" spans="1:25" x14ac:dyDescent="0.45">
      <c r="A487" s="3" t="s">
        <v>1202</v>
      </c>
      <c r="B487" s="3" t="s">
        <v>1203</v>
      </c>
      <c r="C487" s="6" t="s">
        <v>518</v>
      </c>
      <c r="D487" s="6" t="s">
        <v>234</v>
      </c>
      <c r="E487" s="6" t="s">
        <v>154</v>
      </c>
      <c r="F487" s="6">
        <v>10625.93</v>
      </c>
      <c r="G487" s="2">
        <v>2.98</v>
      </c>
      <c r="H487" s="2">
        <v>6.82</v>
      </c>
      <c r="I487" s="2">
        <v>5.3</v>
      </c>
      <c r="J487" s="47">
        <f t="shared" si="35"/>
        <v>1.2885906040268458</v>
      </c>
      <c r="K487" s="47">
        <f t="shared" si="36"/>
        <v>-0.22287390029325518</v>
      </c>
      <c r="L487" s="8">
        <v>12.36</v>
      </c>
      <c r="M487" s="8">
        <v>11.15</v>
      </c>
      <c r="N487" s="8">
        <v>14.35</v>
      </c>
      <c r="O487" s="17">
        <f t="shared" si="37"/>
        <v>8.6528645833333334E-2</v>
      </c>
      <c r="P487" s="17">
        <f t="shared" si="38"/>
        <v>-0.64386184210526298</v>
      </c>
      <c r="Q487" s="5">
        <v>0.41</v>
      </c>
      <c r="R487" s="9">
        <v>11.74</v>
      </c>
      <c r="S487" s="9">
        <v>3.19</v>
      </c>
      <c r="T487" s="9">
        <v>2873.29394</v>
      </c>
      <c r="U487" s="9">
        <v>3094</v>
      </c>
      <c r="V487" s="45">
        <f t="shared" si="39"/>
        <v>-7.1333568196509364E-2</v>
      </c>
      <c r="W487" s="12">
        <v>76.09</v>
      </c>
      <c r="X487" s="12">
        <v>3.57</v>
      </c>
      <c r="Y487" s="12">
        <v>20210721</v>
      </c>
    </row>
    <row r="488" spans="1:25" x14ac:dyDescent="0.45">
      <c r="A488" s="3" t="s">
        <v>4537</v>
      </c>
      <c r="B488" s="3" t="s">
        <v>4538</v>
      </c>
      <c r="C488" s="6" t="s">
        <v>520</v>
      </c>
      <c r="D488" s="6" t="s">
        <v>234</v>
      </c>
      <c r="E488" s="6" t="s">
        <v>105</v>
      </c>
      <c r="F488" s="6">
        <v>22985.77</v>
      </c>
      <c r="J488" s="47" t="e">
        <f t="shared" si="35"/>
        <v>#DIV/0!</v>
      </c>
      <c r="K488" s="47" t="e">
        <f t="shared" si="36"/>
        <v>#DIV/0!</v>
      </c>
      <c r="O488" s="17" t="e">
        <f t="shared" si="37"/>
        <v>#DIV/0!</v>
      </c>
      <c r="P488" s="17" t="e">
        <f t="shared" si="38"/>
        <v>#DIV/0!</v>
      </c>
      <c r="V488" s="45" t="e">
        <f t="shared" si="39"/>
        <v>#DIV/0!</v>
      </c>
      <c r="X488" s="12">
        <v>8.1</v>
      </c>
    </row>
    <row r="489" spans="1:25" x14ac:dyDescent="0.45">
      <c r="A489" s="3" t="s">
        <v>3779</v>
      </c>
      <c r="B489" s="3" t="s">
        <v>3780</v>
      </c>
      <c r="C489" s="6" t="s">
        <v>518</v>
      </c>
      <c r="D489" s="6" t="s">
        <v>90</v>
      </c>
      <c r="E489" s="6" t="s">
        <v>304</v>
      </c>
      <c r="F489" s="6">
        <v>3955.15</v>
      </c>
      <c r="G489" s="2">
        <v>2.46</v>
      </c>
      <c r="H489" s="2">
        <v>2.67</v>
      </c>
      <c r="I489" s="2">
        <v>2.39</v>
      </c>
      <c r="J489" s="47">
        <f t="shared" si="35"/>
        <v>8.5365853658536578E-2</v>
      </c>
      <c r="K489" s="47">
        <f t="shared" si="36"/>
        <v>-0.10486891385767783</v>
      </c>
      <c r="L489" s="8">
        <v>12.53</v>
      </c>
      <c r="M489" s="8">
        <v>12.29</v>
      </c>
      <c r="N489" s="8">
        <v>13.73</v>
      </c>
      <c r="O489" s="17">
        <f t="shared" si="37"/>
        <v>1.4396857142857145</v>
      </c>
      <c r="P489" s="17">
        <f t="shared" si="38"/>
        <v>-1.3092535714285725</v>
      </c>
      <c r="Q489" s="5">
        <v>3.6</v>
      </c>
      <c r="R489" s="9">
        <v>16.52</v>
      </c>
      <c r="S489" s="9">
        <v>5.24</v>
      </c>
      <c r="T489" s="9">
        <v>6174.0688399999999</v>
      </c>
      <c r="U489" s="9">
        <v>5476.49</v>
      </c>
      <c r="V489" s="45">
        <f t="shared" si="39"/>
        <v>0.12737699511913655</v>
      </c>
      <c r="W489" s="12">
        <v>8.1999999999999993</v>
      </c>
      <c r="X489" s="12">
        <v>1.46</v>
      </c>
      <c r="Y489" s="12">
        <v>20210617</v>
      </c>
    </row>
    <row r="490" spans="1:25" x14ac:dyDescent="0.45">
      <c r="A490" s="3" t="s">
        <v>1204</v>
      </c>
      <c r="B490" s="3" t="s">
        <v>1205</v>
      </c>
      <c r="C490" s="6" t="s">
        <v>519</v>
      </c>
      <c r="D490" s="6" t="s">
        <v>216</v>
      </c>
      <c r="E490" s="6" t="s">
        <v>1052</v>
      </c>
      <c r="F490" s="6">
        <v>257707.72</v>
      </c>
      <c r="G490" s="2">
        <v>2.54</v>
      </c>
      <c r="H490" s="2">
        <v>2.99</v>
      </c>
      <c r="I490" s="2">
        <v>3.77</v>
      </c>
      <c r="J490" s="47">
        <f t="shared" si="35"/>
        <v>0.17716535433070874</v>
      </c>
      <c r="K490" s="47">
        <f t="shared" si="36"/>
        <v>0.26086956521739124</v>
      </c>
      <c r="L490" s="8">
        <v>21.15</v>
      </c>
      <c r="M490" s="8">
        <v>18.82</v>
      </c>
      <c r="N490" s="8">
        <v>14.94</v>
      </c>
      <c r="O490" s="17">
        <f t="shared" si="37"/>
        <v>1.0622844444444439</v>
      </c>
      <c r="P490" s="17">
        <f t="shared" si="38"/>
        <v>0.5727000000000001</v>
      </c>
      <c r="Q490" s="5">
        <v>1.36</v>
      </c>
      <c r="R490" s="9">
        <v>13.75</v>
      </c>
      <c r="S490" s="9">
        <v>8.17</v>
      </c>
      <c r="T490" s="9">
        <v>112887.52343</v>
      </c>
      <c r="U490" s="9">
        <v>103564</v>
      </c>
      <c r="V490" s="45">
        <f t="shared" si="39"/>
        <v>9.002668330694065E-2</v>
      </c>
      <c r="W490" s="12">
        <v>28.81</v>
      </c>
      <c r="X490" s="12">
        <v>1.78</v>
      </c>
      <c r="Y490" s="12">
        <v>20210729</v>
      </c>
    </row>
    <row r="491" spans="1:25" x14ac:dyDescent="0.45">
      <c r="A491" s="3" t="s">
        <v>1206</v>
      </c>
      <c r="B491" s="3" t="s">
        <v>1207</v>
      </c>
      <c r="C491" s="6" t="s">
        <v>519</v>
      </c>
      <c r="D491" s="6" t="s">
        <v>234</v>
      </c>
      <c r="E491" s="6" t="s">
        <v>1079</v>
      </c>
      <c r="F491" s="6">
        <v>77389.03</v>
      </c>
      <c r="G491" s="2">
        <v>6.69</v>
      </c>
      <c r="H491" s="2">
        <v>6.76</v>
      </c>
      <c r="I491" s="2">
        <v>7.23</v>
      </c>
      <c r="J491" s="47">
        <f t="shared" si="35"/>
        <v>1.0463378176382571E-2</v>
      </c>
      <c r="K491" s="47">
        <f t="shared" si="36"/>
        <v>6.9526627218935003E-2</v>
      </c>
      <c r="L491" s="8">
        <v>34.82</v>
      </c>
      <c r="M491" s="8">
        <v>31.89</v>
      </c>
      <c r="N491" s="8">
        <v>29.82</v>
      </c>
      <c r="O491" s="17">
        <f t="shared" si="37"/>
        <v>30.477728571428838</v>
      </c>
      <c r="P491" s="17">
        <f t="shared" si="38"/>
        <v>4.289004255319143</v>
      </c>
      <c r="Q491" s="5">
        <v>6.56</v>
      </c>
      <c r="R491" s="9">
        <v>8.3000000000000007</v>
      </c>
      <c r="S491" s="9">
        <v>9.5500000000000007</v>
      </c>
      <c r="T491" s="9">
        <v>4859.7538999999997</v>
      </c>
      <c r="U491" s="9">
        <v>4883.6000000000004</v>
      </c>
      <c r="V491" s="45">
        <f t="shared" si="39"/>
        <v>-4.88289376689341E-3</v>
      </c>
      <c r="W491" s="12">
        <v>2.29</v>
      </c>
      <c r="X491" s="12">
        <v>1.67</v>
      </c>
      <c r="Y491" s="12">
        <v>20210804</v>
      </c>
    </row>
    <row r="492" spans="1:25" x14ac:dyDescent="0.45">
      <c r="A492" s="3" t="s">
        <v>1208</v>
      </c>
      <c r="B492" s="3" t="s">
        <v>1209</v>
      </c>
      <c r="C492" s="6" t="s">
        <v>518</v>
      </c>
      <c r="D492" s="6" t="s">
        <v>303</v>
      </c>
      <c r="E492" s="6" t="s">
        <v>294</v>
      </c>
      <c r="F492" s="6">
        <v>37399.879999999997</v>
      </c>
      <c r="G492" s="2">
        <v>10.94</v>
      </c>
      <c r="H492" s="2">
        <v>24.54</v>
      </c>
      <c r="I492" s="2">
        <v>32.270000000000003</v>
      </c>
      <c r="J492" s="47">
        <f t="shared" si="35"/>
        <v>1.2431444241316272</v>
      </c>
      <c r="K492" s="47">
        <f t="shared" si="36"/>
        <v>0.31499592502037504</v>
      </c>
      <c r="L492" s="8">
        <v>102.2</v>
      </c>
      <c r="M492" s="8">
        <v>54.15</v>
      </c>
      <c r="N492" s="8">
        <v>41.17</v>
      </c>
      <c r="O492" s="17">
        <f t="shared" si="37"/>
        <v>0.4355889705882352</v>
      </c>
      <c r="P492" s="17">
        <f t="shared" si="38"/>
        <v>1.3070010349288481</v>
      </c>
      <c r="Q492" s="5">
        <v>2.93</v>
      </c>
      <c r="R492" s="9">
        <v>19.45</v>
      </c>
      <c r="S492" s="9">
        <v>10.51</v>
      </c>
      <c r="T492" s="9">
        <v>7341.4321200000004</v>
      </c>
      <c r="U492" s="9">
        <v>5984.63</v>
      </c>
      <c r="V492" s="45">
        <f t="shared" si="39"/>
        <v>0.22671445352511355</v>
      </c>
      <c r="W492" s="12">
        <v>8.94</v>
      </c>
      <c r="X492" s="12">
        <v>0</v>
      </c>
      <c r="Y492" s="12">
        <v>20210720</v>
      </c>
    </row>
    <row r="493" spans="1:25" x14ac:dyDescent="0.45">
      <c r="A493" s="3" t="s">
        <v>4539</v>
      </c>
      <c r="B493" s="3" t="s">
        <v>4540</v>
      </c>
      <c r="C493" s="6" t="s">
        <v>520</v>
      </c>
      <c r="D493" s="6" t="s">
        <v>1042</v>
      </c>
      <c r="E493" s="6" t="s">
        <v>1043</v>
      </c>
      <c r="F493" s="6">
        <v>5323.22</v>
      </c>
      <c r="J493" s="47" t="e">
        <f t="shared" si="35"/>
        <v>#DIV/0!</v>
      </c>
      <c r="K493" s="47" t="e">
        <f t="shared" si="36"/>
        <v>#DIV/0!</v>
      </c>
      <c r="O493" s="17" t="e">
        <f t="shared" si="37"/>
        <v>#DIV/0!</v>
      </c>
      <c r="P493" s="17" t="e">
        <f t="shared" si="38"/>
        <v>#DIV/0!</v>
      </c>
      <c r="U493" s="9">
        <v>1153.27</v>
      </c>
      <c r="V493" s="45">
        <f t="shared" si="39"/>
        <v>-1</v>
      </c>
      <c r="X493" s="12">
        <v>0</v>
      </c>
    </row>
    <row r="494" spans="1:25" x14ac:dyDescent="0.45">
      <c r="A494" s="3" t="s">
        <v>1210</v>
      </c>
      <c r="B494" s="3" t="s">
        <v>1211</v>
      </c>
      <c r="C494" s="6" t="s">
        <v>518</v>
      </c>
      <c r="D494" s="6" t="s">
        <v>46</v>
      </c>
      <c r="E494" s="6" t="s">
        <v>79</v>
      </c>
      <c r="F494" s="6">
        <v>37628.22</v>
      </c>
      <c r="G494" s="2">
        <v>11.4</v>
      </c>
      <c r="H494" s="2">
        <v>15.96</v>
      </c>
      <c r="I494" s="2">
        <v>18.489999999999998</v>
      </c>
      <c r="J494" s="47">
        <f t="shared" si="35"/>
        <v>0.4</v>
      </c>
      <c r="K494" s="47">
        <f t="shared" si="36"/>
        <v>0.1585213032581452</v>
      </c>
      <c r="L494" s="8">
        <v>19.87</v>
      </c>
      <c r="M494" s="8">
        <v>16.09</v>
      </c>
      <c r="N494" s="8">
        <v>13.89</v>
      </c>
      <c r="O494" s="17">
        <f t="shared" si="37"/>
        <v>0.40225</v>
      </c>
      <c r="P494" s="17">
        <f t="shared" si="38"/>
        <v>0.87622292490118669</v>
      </c>
      <c r="Q494" s="5">
        <v>1.44</v>
      </c>
      <c r="R494" s="9">
        <v>22.1</v>
      </c>
      <c r="S494" s="9">
        <v>4.24</v>
      </c>
      <c r="T494" s="9">
        <v>24068.363280000001</v>
      </c>
      <c r="U494" s="9">
        <v>19811</v>
      </c>
      <c r="V494" s="45">
        <f t="shared" si="39"/>
        <v>0.21489895916410082</v>
      </c>
      <c r="W494" s="12">
        <v>16.760000000000002</v>
      </c>
      <c r="X494" s="12">
        <v>2.1</v>
      </c>
      <c r="Y494" s="12">
        <v>20210727</v>
      </c>
    </row>
    <row r="495" spans="1:25" x14ac:dyDescent="0.45">
      <c r="A495" s="3" t="s">
        <v>1212</v>
      </c>
      <c r="B495" s="3" t="s">
        <v>1213</v>
      </c>
      <c r="C495" s="6" t="s">
        <v>520</v>
      </c>
      <c r="D495" s="6" t="s">
        <v>303</v>
      </c>
      <c r="E495" s="6" t="s">
        <v>294</v>
      </c>
      <c r="F495" s="6">
        <v>42259.53</v>
      </c>
      <c r="G495" s="2">
        <v>0.28000000000000003</v>
      </c>
      <c r="H495" s="2">
        <v>0.38</v>
      </c>
      <c r="I495" s="2">
        <v>0.75</v>
      </c>
      <c r="J495" s="47">
        <f t="shared" si="35"/>
        <v>0.35714285714285704</v>
      </c>
      <c r="K495" s="47">
        <f t="shared" si="36"/>
        <v>0.97368421052631582</v>
      </c>
      <c r="M495" s="8">
        <v>62.34</v>
      </c>
      <c r="N495" s="8">
        <v>31.59</v>
      </c>
      <c r="O495" s="17">
        <f t="shared" si="37"/>
        <v>1.7455200000000008</v>
      </c>
      <c r="P495" s="17">
        <f t="shared" si="38"/>
        <v>0.32443783783783786</v>
      </c>
      <c r="T495" s="9">
        <v>25217.320309999999</v>
      </c>
      <c r="U495" s="9">
        <v>25753.91</v>
      </c>
      <c r="V495" s="45">
        <f t="shared" si="39"/>
        <v>-2.0835270838486301E-2</v>
      </c>
      <c r="X495" s="12">
        <v>0</v>
      </c>
    </row>
    <row r="496" spans="1:25" x14ac:dyDescent="0.45">
      <c r="A496" s="3" t="s">
        <v>1214</v>
      </c>
      <c r="B496" s="3" t="s">
        <v>1215</v>
      </c>
      <c r="C496" s="6" t="s">
        <v>518</v>
      </c>
      <c r="D496" s="6" t="s">
        <v>327</v>
      </c>
      <c r="E496" s="6" t="s">
        <v>321</v>
      </c>
      <c r="F496" s="6">
        <v>17347.310000000001</v>
      </c>
      <c r="G496" s="2">
        <v>2.67</v>
      </c>
      <c r="H496" s="2">
        <v>2.84</v>
      </c>
      <c r="I496" s="2">
        <v>3.04</v>
      </c>
      <c r="J496" s="47">
        <f t="shared" si="35"/>
        <v>6.3670411985018702E-2</v>
      </c>
      <c r="K496" s="47">
        <f t="shared" si="36"/>
        <v>7.0422535211267678E-2</v>
      </c>
      <c r="L496" s="8">
        <v>19.78</v>
      </c>
      <c r="M496" s="8">
        <v>21.09</v>
      </c>
      <c r="N496" s="8">
        <v>19.73</v>
      </c>
      <c r="O496" s="17">
        <f t="shared" si="37"/>
        <v>3.3123705882352952</v>
      </c>
      <c r="P496" s="17">
        <f t="shared" si="38"/>
        <v>2.8016599999999969</v>
      </c>
      <c r="Q496" s="5">
        <v>3.19</v>
      </c>
      <c r="R496" s="9">
        <v>14.74</v>
      </c>
      <c r="S496" s="9">
        <v>1.72</v>
      </c>
      <c r="T496" s="9">
        <v>6898.4047799999998</v>
      </c>
      <c r="U496" s="9">
        <v>6680</v>
      </c>
      <c r="V496" s="45">
        <f t="shared" si="39"/>
        <v>3.2695326347305369E-2</v>
      </c>
      <c r="W496" s="12">
        <v>3.42</v>
      </c>
      <c r="X496" s="12">
        <v>2.9</v>
      </c>
      <c r="Y496" s="12">
        <v>20210802</v>
      </c>
    </row>
    <row r="497" spans="1:25" x14ac:dyDescent="0.45">
      <c r="A497" s="3" t="s">
        <v>1216</v>
      </c>
      <c r="B497" s="3" t="s">
        <v>1217</v>
      </c>
      <c r="C497" s="6" t="s">
        <v>520</v>
      </c>
      <c r="D497" s="6" t="s">
        <v>234</v>
      </c>
      <c r="E497" s="6" t="s">
        <v>105</v>
      </c>
      <c r="F497" s="6">
        <v>138769.10999999999</v>
      </c>
      <c r="G497" s="2">
        <v>3.09</v>
      </c>
      <c r="H497" s="2">
        <v>3.76</v>
      </c>
      <c r="I497" s="2">
        <v>4.34</v>
      </c>
      <c r="J497" s="47">
        <f t="shared" si="35"/>
        <v>0.21682847896440127</v>
      </c>
      <c r="K497" s="47">
        <f t="shared" si="36"/>
        <v>0.1542553191489362</v>
      </c>
      <c r="M497" s="8">
        <v>20.85</v>
      </c>
      <c r="N497" s="8">
        <v>18.059999999999999</v>
      </c>
      <c r="O497" s="17">
        <f t="shared" si="37"/>
        <v>0.96158955223880616</v>
      </c>
      <c r="P497" s="17">
        <f t="shared" si="38"/>
        <v>1.1707862068965513</v>
      </c>
      <c r="T497" s="9">
        <v>18571.630850000001</v>
      </c>
      <c r="U497" s="9">
        <v>23092.55</v>
      </c>
      <c r="V497" s="45">
        <f t="shared" si="39"/>
        <v>-0.19577392492383899</v>
      </c>
      <c r="X497" s="12">
        <v>2.86</v>
      </c>
    </row>
    <row r="498" spans="1:25" x14ac:dyDescent="0.45">
      <c r="A498" s="3" t="s">
        <v>1218</v>
      </c>
      <c r="B498" s="3" t="s">
        <v>1219</v>
      </c>
      <c r="C498" s="6" t="s">
        <v>518</v>
      </c>
      <c r="D498" s="6" t="s">
        <v>234</v>
      </c>
      <c r="E498" s="6" t="s">
        <v>244</v>
      </c>
      <c r="F498" s="6">
        <v>12941.73</v>
      </c>
      <c r="G498" s="2">
        <v>2.5299999999999998</v>
      </c>
      <c r="H498" s="2">
        <v>3.94</v>
      </c>
      <c r="I498" s="2">
        <v>4.25</v>
      </c>
      <c r="J498" s="47">
        <f t="shared" si="35"/>
        <v>0.55731225296442699</v>
      </c>
      <c r="K498" s="47">
        <f t="shared" si="36"/>
        <v>7.8680203045685293E-2</v>
      </c>
      <c r="L498" s="8">
        <v>14.61</v>
      </c>
      <c r="M498" s="8">
        <v>12.09</v>
      </c>
      <c r="N498" s="8">
        <v>11.21</v>
      </c>
      <c r="O498" s="17">
        <f t="shared" si="37"/>
        <v>0.21693404255319143</v>
      </c>
      <c r="P498" s="17">
        <f t="shared" si="38"/>
        <v>1.4247548387096773</v>
      </c>
      <c r="Q498" s="5">
        <v>2.42</v>
      </c>
      <c r="R498" s="9">
        <v>7.35</v>
      </c>
      <c r="S498" s="9">
        <v>4.1500000000000004</v>
      </c>
      <c r="T498" s="9">
        <v>10243</v>
      </c>
      <c r="U498" s="9">
        <v>10808</v>
      </c>
      <c r="V498" s="45">
        <f t="shared" si="39"/>
        <v>-5.2276091783863804E-2</v>
      </c>
      <c r="W498" s="12">
        <v>1.05</v>
      </c>
      <c r="X498" s="12">
        <v>3.19</v>
      </c>
      <c r="Y498" s="12">
        <v>20210802</v>
      </c>
    </row>
    <row r="499" spans="1:25" x14ac:dyDescent="0.45">
      <c r="A499" s="3" t="s">
        <v>1220</v>
      </c>
      <c r="B499" s="3" t="s">
        <v>1221</v>
      </c>
      <c r="C499" s="6" t="s">
        <v>518</v>
      </c>
      <c r="D499" s="6" t="s">
        <v>279</v>
      </c>
      <c r="E499" s="6" t="s">
        <v>260</v>
      </c>
      <c r="F499" s="6">
        <v>41758.78</v>
      </c>
      <c r="G499" s="2">
        <v>4.99</v>
      </c>
      <c r="H499" s="2">
        <v>5.22</v>
      </c>
      <c r="I499" s="2">
        <v>5.77</v>
      </c>
      <c r="J499" s="47">
        <f t="shared" si="35"/>
        <v>4.6092184368737382E-2</v>
      </c>
      <c r="K499" s="47">
        <f t="shared" si="36"/>
        <v>0.10536398467432948</v>
      </c>
      <c r="L499" s="8">
        <v>12.46</v>
      </c>
      <c r="M499" s="8">
        <v>13.72</v>
      </c>
      <c r="N499" s="8">
        <v>12.42</v>
      </c>
      <c r="O499" s="17">
        <f t="shared" si="37"/>
        <v>2.9766434782608755</v>
      </c>
      <c r="P499" s="17">
        <f t="shared" si="38"/>
        <v>1.1787709090909093</v>
      </c>
      <c r="Q499" s="5">
        <v>1.19</v>
      </c>
      <c r="R499" s="9">
        <v>13.09</v>
      </c>
      <c r="S499" s="9">
        <v>28.62</v>
      </c>
      <c r="T499" s="9">
        <v>120277.51562000001</v>
      </c>
      <c r="U499" s="9">
        <v>111115</v>
      </c>
      <c r="V499" s="45">
        <f t="shared" si="39"/>
        <v>8.2459754488592954E-2</v>
      </c>
      <c r="W499" s="12">
        <v>-1.21</v>
      </c>
      <c r="X499" s="12">
        <v>0</v>
      </c>
      <c r="Y499" s="12">
        <v>20210727</v>
      </c>
    </row>
    <row r="500" spans="1:25" x14ac:dyDescent="0.45">
      <c r="A500" s="3" t="s">
        <v>1222</v>
      </c>
      <c r="B500" s="3" t="s">
        <v>1223</v>
      </c>
      <c r="C500" s="6" t="s">
        <v>518</v>
      </c>
      <c r="D500" s="6" t="s">
        <v>46</v>
      </c>
      <c r="E500" s="6" t="s">
        <v>66</v>
      </c>
      <c r="F500" s="6">
        <v>24235</v>
      </c>
      <c r="G500" s="2">
        <v>0.13</v>
      </c>
      <c r="H500" s="2">
        <v>1.1299999999999999</v>
      </c>
      <c r="I500" s="2">
        <v>1.36</v>
      </c>
      <c r="J500" s="47">
        <f t="shared" si="35"/>
        <v>7.6923076923076916</v>
      </c>
      <c r="K500" s="47">
        <f t="shared" si="36"/>
        <v>0.20353982300884976</v>
      </c>
      <c r="L500" s="8">
        <v>27.12</v>
      </c>
      <c r="M500" s="8">
        <v>15.88</v>
      </c>
      <c r="N500" s="8">
        <v>13.16</v>
      </c>
      <c r="O500" s="17">
        <f t="shared" si="37"/>
        <v>2.0644000000000003E-2</v>
      </c>
      <c r="P500" s="17">
        <f t="shared" si="38"/>
        <v>0.64655652173912981</v>
      </c>
      <c r="R500" s="9">
        <v>17.13</v>
      </c>
      <c r="S500" s="9">
        <v>1.4</v>
      </c>
      <c r="T500" s="9">
        <v>30907.162100000001</v>
      </c>
      <c r="U500" s="9">
        <v>26032</v>
      </c>
      <c r="V500" s="45">
        <f t="shared" si="39"/>
        <v>0.18727574139520595</v>
      </c>
      <c r="W500" s="12">
        <v>113.33</v>
      </c>
      <c r="X500" s="12">
        <v>0</v>
      </c>
      <c r="Y500" s="12">
        <v>20210729</v>
      </c>
    </row>
    <row r="501" spans="1:25" x14ac:dyDescent="0.45">
      <c r="A501" s="3" t="s">
        <v>1224</v>
      </c>
      <c r="B501" s="3" t="s">
        <v>1225</v>
      </c>
      <c r="C501" s="6" t="s">
        <v>518</v>
      </c>
      <c r="D501" s="6" t="s">
        <v>309</v>
      </c>
      <c r="E501" s="6" t="s">
        <v>311</v>
      </c>
      <c r="F501" s="6">
        <v>77957.759999999995</v>
      </c>
      <c r="G501" s="2">
        <v>4.13</v>
      </c>
      <c r="H501" s="2">
        <v>4.79</v>
      </c>
      <c r="I501" s="2">
        <v>5.4</v>
      </c>
      <c r="J501" s="47">
        <f t="shared" si="35"/>
        <v>0.15980629539951577</v>
      </c>
      <c r="K501" s="47">
        <f t="shared" si="36"/>
        <v>0.12734864300626311</v>
      </c>
      <c r="L501" s="8">
        <v>27.28</v>
      </c>
      <c r="M501" s="8">
        <v>22.95</v>
      </c>
      <c r="N501" s="8">
        <v>20.36</v>
      </c>
      <c r="O501" s="17">
        <f t="shared" si="37"/>
        <v>1.436113636363636</v>
      </c>
      <c r="P501" s="17">
        <f t="shared" si="38"/>
        <v>1.5987606557377041</v>
      </c>
      <c r="Q501" s="5">
        <v>2.56</v>
      </c>
      <c r="R501" s="9">
        <v>19.63</v>
      </c>
      <c r="S501" s="9">
        <v>3.88</v>
      </c>
      <c r="T501" s="9">
        <v>11940.75</v>
      </c>
      <c r="U501" s="9">
        <v>10316.16</v>
      </c>
      <c r="V501" s="45">
        <f t="shared" si="39"/>
        <v>0.15748010887772196</v>
      </c>
      <c r="W501" s="12">
        <v>-2.02</v>
      </c>
      <c r="X501" s="12">
        <v>0.81</v>
      </c>
      <c r="Y501" s="12">
        <v>20210720</v>
      </c>
    </row>
    <row r="502" spans="1:25" x14ac:dyDescent="0.45">
      <c r="A502" s="3" t="s">
        <v>1226</v>
      </c>
      <c r="B502" s="3" t="s">
        <v>1227</v>
      </c>
      <c r="C502" s="6" t="s">
        <v>518</v>
      </c>
      <c r="D502" s="6" t="s">
        <v>279</v>
      </c>
      <c r="E502" s="6" t="s">
        <v>257</v>
      </c>
      <c r="F502" s="6">
        <v>3886.71</v>
      </c>
      <c r="G502" s="2">
        <v>2.12</v>
      </c>
      <c r="H502" s="2">
        <v>3.15</v>
      </c>
      <c r="I502" s="2">
        <v>3.75</v>
      </c>
      <c r="J502" s="47">
        <f t="shared" si="35"/>
        <v>0.48584905660377348</v>
      </c>
      <c r="K502" s="47">
        <f t="shared" si="36"/>
        <v>0.19047619047619052</v>
      </c>
      <c r="L502" s="8">
        <v>58.6</v>
      </c>
      <c r="M502" s="8">
        <v>42.36</v>
      </c>
      <c r="N502" s="8">
        <v>35.630000000000003</v>
      </c>
      <c r="O502" s="17">
        <f t="shared" si="37"/>
        <v>0.87187572815534009</v>
      </c>
      <c r="P502" s="17">
        <f t="shared" si="38"/>
        <v>1.8705749999999999</v>
      </c>
      <c r="Q502" s="5">
        <v>4.26</v>
      </c>
      <c r="R502" s="9">
        <v>9.77</v>
      </c>
      <c r="S502" s="9">
        <v>4.74</v>
      </c>
      <c r="T502" s="9">
        <v>1021.49902</v>
      </c>
      <c r="U502" s="9">
        <v>862.46</v>
      </c>
      <c r="V502" s="45">
        <f t="shared" si="39"/>
        <v>0.18440161862579127</v>
      </c>
      <c r="W502" s="12">
        <v>46.51</v>
      </c>
      <c r="X502" s="12">
        <v>0.6</v>
      </c>
      <c r="Y502" s="12">
        <v>20210804</v>
      </c>
    </row>
    <row r="503" spans="1:25" x14ac:dyDescent="0.45">
      <c r="A503" s="3" t="s">
        <v>3781</v>
      </c>
      <c r="B503" s="3" t="s">
        <v>1229</v>
      </c>
      <c r="C503" s="6" t="s">
        <v>518</v>
      </c>
      <c r="D503" s="6" t="s">
        <v>234</v>
      </c>
      <c r="E503" s="6" t="s">
        <v>220</v>
      </c>
      <c r="F503" s="6">
        <v>3187.76</v>
      </c>
      <c r="G503" s="2">
        <v>14.95</v>
      </c>
      <c r="H503" s="2">
        <v>-2.4900000000000002</v>
      </c>
      <c r="I503" s="2">
        <v>0.31</v>
      </c>
      <c r="J503" s="47">
        <f t="shared" si="35"/>
        <v>-1.1665551839464883</v>
      </c>
      <c r="K503" s="47">
        <f t="shared" si="36"/>
        <v>1.1244979919678715</v>
      </c>
      <c r="L503" s="8">
        <v>7.4</v>
      </c>
      <c r="N503" s="8">
        <v>114.03</v>
      </c>
      <c r="O503" s="17">
        <f t="shared" si="37"/>
        <v>0</v>
      </c>
      <c r="P503" s="17">
        <f t="shared" si="38"/>
        <v>1.0140525</v>
      </c>
      <c r="R503" s="9">
        <v>10.73</v>
      </c>
      <c r="S503" s="9">
        <v>-16.3</v>
      </c>
      <c r="T503" s="9">
        <v>709.40002000000004</v>
      </c>
      <c r="U503" s="9">
        <v>585.70000000000005</v>
      </c>
      <c r="V503" s="45">
        <f t="shared" si="39"/>
        <v>0.21120030732456888</v>
      </c>
      <c r="W503" s="12">
        <v>-1242.1099999999999</v>
      </c>
      <c r="X503" s="12">
        <v>0</v>
      </c>
      <c r="Y503" s="12">
        <v>20210806</v>
      </c>
    </row>
    <row r="504" spans="1:25" x14ac:dyDescent="0.45">
      <c r="A504" s="3" t="s">
        <v>1230</v>
      </c>
      <c r="B504" s="3" t="s">
        <v>1231</v>
      </c>
      <c r="C504" s="6" t="s">
        <v>518</v>
      </c>
      <c r="D504" s="6" t="s">
        <v>234</v>
      </c>
      <c r="E504" s="6" t="s">
        <v>243</v>
      </c>
      <c r="F504" s="6">
        <v>3319.44</v>
      </c>
      <c r="G504" s="2">
        <v>2.5099999999999998</v>
      </c>
      <c r="H504" s="2">
        <v>2.23</v>
      </c>
      <c r="I504" s="2">
        <v>2.23</v>
      </c>
      <c r="J504" s="47">
        <f t="shared" si="35"/>
        <v>-0.1115537848605577</v>
      </c>
      <c r="K504" s="47">
        <f t="shared" si="36"/>
        <v>0</v>
      </c>
      <c r="L504" s="8">
        <v>10.78</v>
      </c>
      <c r="M504" s="8">
        <v>11.3</v>
      </c>
      <c r="N504" s="8">
        <v>11.3</v>
      </c>
      <c r="O504" s="17">
        <f t="shared" si="37"/>
        <v>-1.0129642857142864</v>
      </c>
      <c r="P504" s="17" t="e">
        <f t="shared" si="38"/>
        <v>#DIV/0!</v>
      </c>
      <c r="R504" s="9">
        <v>6.53</v>
      </c>
      <c r="S504" s="9">
        <v>-1.1100000000000001</v>
      </c>
      <c r="T504" s="9">
        <v>3618.37988</v>
      </c>
      <c r="U504" s="9">
        <v>3821.1</v>
      </c>
      <c r="V504" s="45">
        <f t="shared" si="39"/>
        <v>-5.3052817251576762E-2</v>
      </c>
      <c r="W504" s="12">
        <v>12.24</v>
      </c>
      <c r="X504" s="12">
        <v>2.06</v>
      </c>
      <c r="Y504" s="12">
        <v>20210803</v>
      </c>
    </row>
    <row r="505" spans="1:25" x14ac:dyDescent="0.45">
      <c r="A505" s="3" t="s">
        <v>1232</v>
      </c>
      <c r="B505" s="3" t="s">
        <v>1233</v>
      </c>
      <c r="C505" s="6" t="s">
        <v>518</v>
      </c>
      <c r="D505" s="6" t="s">
        <v>327</v>
      </c>
      <c r="E505" s="6" t="s">
        <v>321</v>
      </c>
      <c r="F505" s="6">
        <v>14959.38</v>
      </c>
      <c r="G505" s="2">
        <v>1.32</v>
      </c>
      <c r="H505" s="2">
        <v>1.43</v>
      </c>
      <c r="I505" s="2">
        <v>1.49</v>
      </c>
      <c r="J505" s="47">
        <f t="shared" si="35"/>
        <v>8.3333333333333232E-2</v>
      </c>
      <c r="K505" s="47">
        <f t="shared" si="36"/>
        <v>4.1958041958041994E-2</v>
      </c>
      <c r="L505" s="8">
        <v>18.02</v>
      </c>
      <c r="M505" s="8">
        <v>18.02</v>
      </c>
      <c r="N505" s="8">
        <v>17.32</v>
      </c>
      <c r="O505" s="17">
        <f t="shared" si="37"/>
        <v>2.1624000000000025</v>
      </c>
      <c r="P505" s="17">
        <f t="shared" si="38"/>
        <v>4.1279333333333295</v>
      </c>
      <c r="Q505" s="5">
        <v>4.22</v>
      </c>
      <c r="R505" s="9">
        <v>16.59</v>
      </c>
      <c r="S505" s="9">
        <v>4.3899999999999997</v>
      </c>
      <c r="T505" s="9">
        <v>7652.0532199999998</v>
      </c>
      <c r="U505" s="9">
        <v>7418</v>
      </c>
      <c r="V505" s="45">
        <f t="shared" si="39"/>
        <v>3.1552065246697195E-2</v>
      </c>
      <c r="W505" s="12">
        <v>18</v>
      </c>
      <c r="X505" s="12">
        <v>2.48</v>
      </c>
      <c r="Y505" s="12">
        <v>20210805</v>
      </c>
    </row>
    <row r="506" spans="1:25" x14ac:dyDescent="0.45">
      <c r="A506" s="3" t="s">
        <v>1234</v>
      </c>
      <c r="B506" s="3" t="s">
        <v>1235</v>
      </c>
      <c r="C506" s="6" t="s">
        <v>518</v>
      </c>
      <c r="D506" s="6" t="s">
        <v>289</v>
      </c>
      <c r="E506" s="6" t="s">
        <v>1236</v>
      </c>
      <c r="F506" s="6">
        <v>43880.12</v>
      </c>
      <c r="G506" s="2">
        <v>-0.53</v>
      </c>
      <c r="H506" s="2">
        <v>3.77</v>
      </c>
      <c r="I506" s="2">
        <v>2.4900000000000002</v>
      </c>
      <c r="J506" s="47">
        <f t="shared" si="35"/>
        <v>8.1132075471698109</v>
      </c>
      <c r="K506" s="47">
        <f t="shared" si="36"/>
        <v>-0.33952254641909807</v>
      </c>
      <c r="L506" s="8">
        <v>68.569999999999993</v>
      </c>
      <c r="M506" s="8">
        <v>9.82</v>
      </c>
      <c r="N506" s="8">
        <v>14.87</v>
      </c>
      <c r="O506" s="17">
        <f t="shared" si="37"/>
        <v>1.2103720930232558E-2</v>
      </c>
      <c r="P506" s="17">
        <f t="shared" si="38"/>
        <v>-0.4379679687500001</v>
      </c>
      <c r="R506" s="9">
        <v>2.27</v>
      </c>
      <c r="S506" s="9">
        <v>15.39</v>
      </c>
      <c r="T506" s="9">
        <v>22598.130850000001</v>
      </c>
      <c r="U506" s="9">
        <v>13057.38</v>
      </c>
      <c r="V506" s="45">
        <f t="shared" si="39"/>
        <v>0.73067880769342719</v>
      </c>
      <c r="W506" s="12">
        <v>20.9</v>
      </c>
      <c r="X506" s="12">
        <v>2.6</v>
      </c>
      <c r="Y506" s="12">
        <v>20210805</v>
      </c>
    </row>
    <row r="507" spans="1:25" x14ac:dyDescent="0.45">
      <c r="A507" s="3" t="s">
        <v>1237</v>
      </c>
      <c r="B507" s="3" t="s">
        <v>1238</v>
      </c>
      <c r="C507" s="6" t="s">
        <v>518</v>
      </c>
      <c r="D507" s="6" t="s">
        <v>234</v>
      </c>
      <c r="E507" s="6" t="s">
        <v>220</v>
      </c>
      <c r="F507" s="6">
        <v>3586.69</v>
      </c>
      <c r="G507" s="2">
        <v>2.4900000000000002</v>
      </c>
      <c r="H507" s="2">
        <v>3.4</v>
      </c>
      <c r="I507" s="2">
        <v>3.77</v>
      </c>
      <c r="J507" s="47">
        <f t="shared" si="35"/>
        <v>0.36546184738955806</v>
      </c>
      <c r="K507" s="47">
        <f t="shared" si="36"/>
        <v>0.10882352941176474</v>
      </c>
      <c r="L507" s="8">
        <v>26.94</v>
      </c>
      <c r="M507" s="8">
        <v>21.87</v>
      </c>
      <c r="N507" s="8">
        <v>19.72</v>
      </c>
      <c r="O507" s="17">
        <f t="shared" si="37"/>
        <v>0.59842087912087938</v>
      </c>
      <c r="P507" s="17">
        <f t="shared" si="38"/>
        <v>1.8121081081081076</v>
      </c>
      <c r="Q507" s="5">
        <v>1.04</v>
      </c>
      <c r="R507" s="9">
        <v>66.180000000000007</v>
      </c>
      <c r="S507" s="9">
        <v>5.32</v>
      </c>
      <c r="U507" s="9">
        <v>427.54</v>
      </c>
      <c r="V507" s="45">
        <f t="shared" si="39"/>
        <v>-1</v>
      </c>
      <c r="W507" s="12">
        <v>-2.4700000000000002</v>
      </c>
      <c r="X507" s="12">
        <v>2.42</v>
      </c>
      <c r="Y507" s="12">
        <v>20210728</v>
      </c>
    </row>
    <row r="508" spans="1:25" x14ac:dyDescent="0.45">
      <c r="A508" s="3" t="s">
        <v>1239</v>
      </c>
      <c r="B508" s="3" t="s">
        <v>1240</v>
      </c>
      <c r="C508" s="6" t="s">
        <v>518</v>
      </c>
      <c r="D508" s="6" t="s">
        <v>289</v>
      </c>
      <c r="E508" s="6" t="s">
        <v>271</v>
      </c>
      <c r="F508" s="6">
        <v>3180.7</v>
      </c>
      <c r="G508" s="2">
        <v>0.72</v>
      </c>
      <c r="H508" s="2">
        <v>1.08</v>
      </c>
      <c r="I508" s="2">
        <v>1.1200000000000001</v>
      </c>
      <c r="J508" s="47">
        <f t="shared" si="35"/>
        <v>0.50000000000000011</v>
      </c>
      <c r="K508" s="47">
        <f t="shared" si="36"/>
        <v>3.703703703703707E-2</v>
      </c>
      <c r="L508" s="8">
        <v>19.510000000000002</v>
      </c>
      <c r="M508" s="8">
        <v>13.32</v>
      </c>
      <c r="N508" s="8">
        <v>12.91</v>
      </c>
      <c r="O508" s="17">
        <f t="shared" si="37"/>
        <v>0.26639999999999991</v>
      </c>
      <c r="P508" s="17">
        <f t="shared" si="38"/>
        <v>3.4856999999999969</v>
      </c>
      <c r="Q508" s="5">
        <v>0.68</v>
      </c>
      <c r="R508" s="9">
        <v>3.59</v>
      </c>
      <c r="S508" s="9">
        <v>-13.16</v>
      </c>
      <c r="T508" s="9">
        <v>1616.3919599999999</v>
      </c>
      <c r="U508" s="9">
        <v>1257.98</v>
      </c>
      <c r="V508" s="45">
        <f t="shared" si="39"/>
        <v>0.28491069810330838</v>
      </c>
      <c r="W508" s="12">
        <v>28.57</v>
      </c>
      <c r="X508" s="12">
        <v>0</v>
      </c>
      <c r="Y508" s="12">
        <v>20210729</v>
      </c>
    </row>
    <row r="509" spans="1:25" x14ac:dyDescent="0.45">
      <c r="A509" s="3" t="s">
        <v>1241</v>
      </c>
      <c r="B509" s="3" t="s">
        <v>1242</v>
      </c>
      <c r="C509" s="6" t="s">
        <v>519</v>
      </c>
      <c r="D509" s="6" t="s">
        <v>175</v>
      </c>
      <c r="E509" s="6" t="s">
        <v>194</v>
      </c>
      <c r="F509" s="6">
        <v>7683</v>
      </c>
      <c r="H509" s="2">
        <v>9.1199999999999992</v>
      </c>
      <c r="I509" s="2">
        <v>10.68</v>
      </c>
      <c r="J509" s="47" t="e">
        <f t="shared" si="35"/>
        <v>#DIV/0!</v>
      </c>
      <c r="K509" s="47">
        <f t="shared" si="36"/>
        <v>0.17105263157894743</v>
      </c>
      <c r="M509" s="8">
        <v>16.18</v>
      </c>
      <c r="N509" s="8">
        <v>13.82</v>
      </c>
      <c r="O509" s="17" t="e">
        <f t="shared" si="37"/>
        <v>#DIV/0!</v>
      </c>
      <c r="P509" s="17">
        <f t="shared" si="38"/>
        <v>0.80793846153846127</v>
      </c>
      <c r="Q509" s="5">
        <v>0.68</v>
      </c>
      <c r="U509" s="9">
        <v>4719.53</v>
      </c>
      <c r="V509" s="45">
        <f t="shared" si="39"/>
        <v>-1</v>
      </c>
      <c r="W509" s="12">
        <v>12.81</v>
      </c>
      <c r="X509" s="12">
        <v>0</v>
      </c>
      <c r="Y509" s="12">
        <v>20210623</v>
      </c>
    </row>
    <row r="510" spans="1:25" x14ac:dyDescent="0.45">
      <c r="A510" s="3" t="s">
        <v>1243</v>
      </c>
      <c r="B510" s="3" t="s">
        <v>1244</v>
      </c>
      <c r="C510" s="6" t="s">
        <v>518</v>
      </c>
      <c r="D510" s="6" t="s">
        <v>234</v>
      </c>
      <c r="E510" s="6" t="s">
        <v>218</v>
      </c>
      <c r="F510" s="6">
        <v>72509.2</v>
      </c>
      <c r="G510" s="2">
        <v>2.5099999999999998</v>
      </c>
      <c r="H510" s="2">
        <v>19.36</v>
      </c>
      <c r="I510" s="2">
        <v>16.07</v>
      </c>
      <c r="J510" s="47">
        <f t="shared" si="35"/>
        <v>6.7131474103585669</v>
      </c>
      <c r="K510" s="47">
        <f t="shared" si="36"/>
        <v>-0.16993801652892557</v>
      </c>
      <c r="L510" s="8">
        <v>10.19</v>
      </c>
      <c r="M510" s="8">
        <v>8.3000000000000007</v>
      </c>
      <c r="N510" s="8">
        <v>9.99</v>
      </c>
      <c r="O510" s="17">
        <f t="shared" si="37"/>
        <v>1.2363798219584568E-2</v>
      </c>
      <c r="P510" s="17">
        <f t="shared" si="38"/>
        <v>-0.58786139817629202</v>
      </c>
      <c r="Q510" s="5">
        <v>0.37</v>
      </c>
      <c r="R510" s="9">
        <v>12.76</v>
      </c>
      <c r="S510" s="9">
        <v>5.0599999999999996</v>
      </c>
      <c r="T510" s="9">
        <v>28811.814450000002</v>
      </c>
      <c r="U510" s="9">
        <v>31643</v>
      </c>
      <c r="V510" s="45">
        <f t="shared" si="39"/>
        <v>-8.9472728565559476E-2</v>
      </c>
      <c r="W510" s="12">
        <v>68.59</v>
      </c>
      <c r="X510" s="12">
        <v>1</v>
      </c>
      <c r="Y510" s="12">
        <v>20210720</v>
      </c>
    </row>
    <row r="511" spans="1:25" x14ac:dyDescent="0.45">
      <c r="A511" s="3" t="s">
        <v>1245</v>
      </c>
      <c r="B511" s="3" t="s">
        <v>1246</v>
      </c>
      <c r="C511" s="6" t="s">
        <v>518</v>
      </c>
      <c r="D511" s="6" t="s">
        <v>289</v>
      </c>
      <c r="E511" s="6" t="s">
        <v>271</v>
      </c>
      <c r="F511" s="6">
        <v>6878.01</v>
      </c>
      <c r="G511" s="2">
        <v>0.47</v>
      </c>
      <c r="H511" s="2">
        <v>1.43</v>
      </c>
      <c r="I511" s="2">
        <v>1.35</v>
      </c>
      <c r="J511" s="47">
        <f t="shared" si="35"/>
        <v>2.0425531914893615</v>
      </c>
      <c r="K511" s="47">
        <f t="shared" si="36"/>
        <v>-5.594405594405584E-2</v>
      </c>
      <c r="L511" s="8">
        <v>22.08</v>
      </c>
      <c r="M511" s="8">
        <v>12.04</v>
      </c>
      <c r="N511" s="8">
        <v>12.73</v>
      </c>
      <c r="O511" s="17">
        <f t="shared" si="37"/>
        <v>5.8945833333333329E-2</v>
      </c>
      <c r="P511" s="17">
        <f t="shared" si="38"/>
        <v>-2.2754875000000041</v>
      </c>
      <c r="R511" s="9">
        <v>12.58</v>
      </c>
      <c r="S511" s="9">
        <v>7.55</v>
      </c>
      <c r="T511" s="9">
        <v>1926.53198</v>
      </c>
      <c r="U511" s="9">
        <v>1466.62</v>
      </c>
      <c r="V511" s="45">
        <f t="shared" si="39"/>
        <v>0.31358632774679202</v>
      </c>
      <c r="W511" s="12">
        <v>8.57</v>
      </c>
      <c r="X511" s="12">
        <v>2.56</v>
      </c>
      <c r="Y511" s="12">
        <v>20210729</v>
      </c>
    </row>
    <row r="512" spans="1:25" x14ac:dyDescent="0.45">
      <c r="A512" s="3" t="s">
        <v>1247</v>
      </c>
      <c r="B512" s="3" t="s">
        <v>1248</v>
      </c>
      <c r="C512" s="6" t="s">
        <v>519</v>
      </c>
      <c r="D512" s="6" t="s">
        <v>189</v>
      </c>
      <c r="E512" s="6" t="s">
        <v>1249</v>
      </c>
      <c r="F512" s="6">
        <v>6477.44</v>
      </c>
      <c r="G512" s="2">
        <v>2.83</v>
      </c>
      <c r="H512" s="2">
        <v>5.85</v>
      </c>
      <c r="I512" s="2">
        <v>8.41</v>
      </c>
      <c r="J512" s="47">
        <f t="shared" si="35"/>
        <v>1.067137809187279</v>
      </c>
      <c r="K512" s="47">
        <f t="shared" si="36"/>
        <v>0.43760683760683772</v>
      </c>
      <c r="L512" s="8">
        <v>65.36</v>
      </c>
      <c r="M512" s="8">
        <v>45.14</v>
      </c>
      <c r="N512" s="8">
        <v>31.38</v>
      </c>
      <c r="O512" s="17">
        <f t="shared" si="37"/>
        <v>0.42300066225165572</v>
      </c>
      <c r="P512" s="17">
        <f t="shared" si="38"/>
        <v>0.71708203124999981</v>
      </c>
      <c r="R512" s="9">
        <v>6.24</v>
      </c>
      <c r="S512" s="9">
        <v>3.47</v>
      </c>
      <c r="T512" s="9">
        <v>1455.40002</v>
      </c>
      <c r="U512" s="9">
        <v>1229</v>
      </c>
      <c r="V512" s="45">
        <f t="shared" si="39"/>
        <v>0.18421482506102527</v>
      </c>
      <c r="W512" s="12">
        <v>21.37</v>
      </c>
      <c r="X512" s="12">
        <v>0</v>
      </c>
      <c r="Y512" s="12">
        <v>20210803</v>
      </c>
    </row>
    <row r="513" spans="1:25" x14ac:dyDescent="0.45">
      <c r="A513" s="3" t="s">
        <v>1250</v>
      </c>
      <c r="B513" s="3" t="s">
        <v>1251</v>
      </c>
      <c r="C513" s="6" t="s">
        <v>520</v>
      </c>
      <c r="D513" s="6" t="s">
        <v>90</v>
      </c>
      <c r="E513" s="6" t="s">
        <v>198</v>
      </c>
      <c r="F513" s="6">
        <v>13782.77</v>
      </c>
      <c r="G513" s="2">
        <v>1.1599999999999999</v>
      </c>
      <c r="H513" s="2">
        <v>1.4</v>
      </c>
      <c r="I513" s="2">
        <v>1.52</v>
      </c>
      <c r="J513" s="47">
        <f t="shared" si="35"/>
        <v>0.20689655172413793</v>
      </c>
      <c r="K513" s="47">
        <f t="shared" si="36"/>
        <v>8.5714285714285798E-2</v>
      </c>
      <c r="M513" s="8">
        <v>35.159999999999997</v>
      </c>
      <c r="N513" s="8">
        <v>32.39</v>
      </c>
      <c r="O513" s="17">
        <f t="shared" si="37"/>
        <v>1.6993999999999998</v>
      </c>
      <c r="P513" s="17">
        <f t="shared" si="38"/>
        <v>3.7788333333333295</v>
      </c>
      <c r="T513" s="9">
        <v>2374.4599600000001</v>
      </c>
      <c r="U513" s="9">
        <v>1785.35</v>
      </c>
      <c r="V513" s="45">
        <f t="shared" si="39"/>
        <v>0.3299688912538159</v>
      </c>
      <c r="X513" s="12">
        <v>1.29</v>
      </c>
      <c r="Y513" s="12">
        <v>20210615</v>
      </c>
    </row>
    <row r="514" spans="1:25" x14ac:dyDescent="0.45">
      <c r="A514" s="3" t="s">
        <v>4541</v>
      </c>
      <c r="B514" s="3" t="s">
        <v>4542</v>
      </c>
      <c r="C514" s="6" t="s">
        <v>519</v>
      </c>
      <c r="D514" s="6" t="s">
        <v>225</v>
      </c>
      <c r="E514" s="6" t="s">
        <v>1091</v>
      </c>
      <c r="F514" s="6">
        <v>4161.92</v>
      </c>
      <c r="J514" s="47" t="e">
        <f t="shared" si="35"/>
        <v>#DIV/0!</v>
      </c>
      <c r="K514" s="47" t="e">
        <f t="shared" si="36"/>
        <v>#DIV/0!</v>
      </c>
      <c r="L514" s="8">
        <v>17.739999999999998</v>
      </c>
      <c r="O514" s="17" t="e">
        <f t="shared" si="37"/>
        <v>#DIV/0!</v>
      </c>
      <c r="P514" s="17" t="e">
        <f t="shared" si="38"/>
        <v>#DIV/0!</v>
      </c>
      <c r="R514" s="9">
        <v>43.83</v>
      </c>
      <c r="S514" s="9">
        <v>12.1</v>
      </c>
      <c r="U514" s="9">
        <v>5007.3599999999997</v>
      </c>
      <c r="V514" s="45">
        <f t="shared" si="39"/>
        <v>-1</v>
      </c>
      <c r="X514" s="12">
        <v>0.23</v>
      </c>
      <c r="Y514" s="12">
        <v>20210803</v>
      </c>
    </row>
    <row r="515" spans="1:25" x14ac:dyDescent="0.45">
      <c r="A515" s="3" t="s">
        <v>3782</v>
      </c>
      <c r="B515" s="3" t="s">
        <v>3783</v>
      </c>
      <c r="C515" s="6" t="s">
        <v>519</v>
      </c>
      <c r="D515" s="6" t="s">
        <v>234</v>
      </c>
      <c r="E515" s="6" t="s">
        <v>181</v>
      </c>
      <c r="F515" s="6">
        <v>3018.46</v>
      </c>
      <c r="G515" s="2">
        <v>1.96</v>
      </c>
      <c r="H515" s="2">
        <v>2.61</v>
      </c>
      <c r="I515" s="2">
        <v>2.4</v>
      </c>
      <c r="J515" s="47">
        <f t="shared" ref="J515:J578" si="40">(H515-G515)/ABS(G515)</f>
        <v>0.33163265306122447</v>
      </c>
      <c r="K515" s="47">
        <f t="shared" ref="K515:K578" si="41">(I515-H515)/ABS(H515)</f>
        <v>-8.0459770114942514E-2</v>
      </c>
      <c r="L515" s="8">
        <v>15.59</v>
      </c>
      <c r="M515" s="8">
        <v>16.14</v>
      </c>
      <c r="N515" s="8">
        <v>17.55</v>
      </c>
      <c r="O515" s="17">
        <f t="shared" ref="O515:O578" si="42">M515/(J515*100)</f>
        <v>0.48668307692307694</v>
      </c>
      <c r="P515" s="17">
        <f t="shared" ref="P515:P578" si="43">N515/(K515*100)</f>
        <v>-2.1812142857142862</v>
      </c>
      <c r="R515" s="9">
        <v>8.32</v>
      </c>
      <c r="S515" s="9">
        <v>10.7</v>
      </c>
      <c r="T515" s="9">
        <v>582.75</v>
      </c>
      <c r="U515" s="9">
        <v>622.30999999999995</v>
      </c>
      <c r="V515" s="45">
        <f t="shared" ref="V515:V578" si="44">(T515-U515)/U515</f>
        <v>-6.3569603573781469E-2</v>
      </c>
      <c r="W515" s="12">
        <v>15.87</v>
      </c>
      <c r="X515" s="12">
        <v>2.66</v>
      </c>
      <c r="Y515" s="12">
        <v>20210722</v>
      </c>
    </row>
    <row r="516" spans="1:25" x14ac:dyDescent="0.45">
      <c r="A516" s="3" t="s">
        <v>1252</v>
      </c>
      <c r="B516" s="3" t="s">
        <v>1253</v>
      </c>
      <c r="C516" s="6" t="s">
        <v>518</v>
      </c>
      <c r="D516" s="6" t="s">
        <v>234</v>
      </c>
      <c r="E516" s="6" t="s">
        <v>286</v>
      </c>
      <c r="F516" s="6">
        <v>9914.66</v>
      </c>
      <c r="G516" s="2">
        <v>1.25</v>
      </c>
      <c r="H516" s="2">
        <v>1.39</v>
      </c>
      <c r="I516" s="2">
        <v>1.54</v>
      </c>
      <c r="J516" s="47">
        <f t="shared" si="40"/>
        <v>0.11199999999999992</v>
      </c>
      <c r="K516" s="47">
        <f t="shared" si="41"/>
        <v>0.10791366906474831</v>
      </c>
      <c r="L516" s="8">
        <v>30.91</v>
      </c>
      <c r="M516" s="8">
        <v>28.14</v>
      </c>
      <c r="N516" s="8">
        <v>25.45</v>
      </c>
      <c r="O516" s="17">
        <f t="shared" si="42"/>
        <v>2.512500000000002</v>
      </c>
      <c r="P516" s="17">
        <f t="shared" si="43"/>
        <v>2.3583666666666643</v>
      </c>
      <c r="Q516" s="5">
        <v>2.81</v>
      </c>
      <c r="R516" s="9">
        <v>-0.46</v>
      </c>
      <c r="S516" s="9">
        <v>10.4</v>
      </c>
      <c r="T516" s="9">
        <v>2713.5349099999999</v>
      </c>
      <c r="U516" s="9">
        <v>1987.73</v>
      </c>
      <c r="V516" s="45">
        <f t="shared" si="44"/>
        <v>0.36514260488094452</v>
      </c>
      <c r="W516" s="12">
        <v>-3.23</v>
      </c>
      <c r="X516" s="12">
        <v>2.2400000000000002</v>
      </c>
      <c r="Y516" s="12">
        <v>20210805</v>
      </c>
    </row>
    <row r="517" spans="1:25" x14ac:dyDescent="0.45">
      <c r="A517" s="3" t="s">
        <v>1254</v>
      </c>
      <c r="B517" s="3" t="s">
        <v>1255</v>
      </c>
      <c r="C517" s="6" t="s">
        <v>519</v>
      </c>
      <c r="D517" s="6" t="s">
        <v>216</v>
      </c>
      <c r="E517" s="6" t="s">
        <v>1256</v>
      </c>
      <c r="F517" s="6">
        <v>6686.68</v>
      </c>
      <c r="G517" s="2">
        <v>1.39</v>
      </c>
      <c r="H517" s="2">
        <v>4.3499999999999996</v>
      </c>
      <c r="I517" s="2">
        <v>5.09</v>
      </c>
      <c r="J517" s="47">
        <f t="shared" si="40"/>
        <v>2.1294964028776979</v>
      </c>
      <c r="K517" s="47">
        <f t="shared" si="41"/>
        <v>0.17011494252873569</v>
      </c>
      <c r="L517" s="8">
        <v>41.07</v>
      </c>
      <c r="M517" s="8">
        <v>23.14</v>
      </c>
      <c r="N517" s="8">
        <v>19.78</v>
      </c>
      <c r="O517" s="17">
        <f t="shared" si="42"/>
        <v>0.10866418918918919</v>
      </c>
      <c r="P517" s="17">
        <f t="shared" si="43"/>
        <v>1.162743243243243</v>
      </c>
      <c r="Q517" s="5">
        <v>0.72</v>
      </c>
      <c r="R517" s="9">
        <v>9.25</v>
      </c>
      <c r="S517" s="9">
        <v>3.64</v>
      </c>
      <c r="T517" s="9">
        <v>3051.7329100000002</v>
      </c>
      <c r="U517" s="9">
        <v>2501.5500000000002</v>
      </c>
      <c r="V517" s="45">
        <f t="shared" si="44"/>
        <v>0.21993680318202713</v>
      </c>
      <c r="W517" s="12">
        <v>154.55000000000001</v>
      </c>
      <c r="X517" s="12">
        <v>1.03</v>
      </c>
      <c r="Y517" s="12">
        <v>20210729</v>
      </c>
    </row>
    <row r="518" spans="1:25" x14ac:dyDescent="0.45">
      <c r="A518" s="3" t="s">
        <v>4083</v>
      </c>
      <c r="B518" s="3" t="s">
        <v>4084</v>
      </c>
      <c r="C518" s="6" t="s">
        <v>519</v>
      </c>
      <c r="D518" s="6" t="s">
        <v>189</v>
      </c>
      <c r="E518" s="6" t="s">
        <v>684</v>
      </c>
      <c r="F518" s="6">
        <v>4348.92</v>
      </c>
      <c r="G518" s="2">
        <v>1.41</v>
      </c>
      <c r="H518" s="2">
        <v>1.88</v>
      </c>
      <c r="I518" s="2">
        <v>2.2400000000000002</v>
      </c>
      <c r="J518" s="47">
        <f t="shared" si="40"/>
        <v>0.33333333333333331</v>
      </c>
      <c r="K518" s="47">
        <f t="shared" si="41"/>
        <v>0.19148936170212785</v>
      </c>
      <c r="L518" s="8">
        <v>11.97</v>
      </c>
      <c r="M518" s="8">
        <v>11.36</v>
      </c>
      <c r="N518" s="8">
        <v>9.5</v>
      </c>
      <c r="O518" s="17">
        <f t="shared" si="42"/>
        <v>0.34080000000000005</v>
      </c>
      <c r="P518" s="17">
        <f t="shared" si="43"/>
        <v>0.49611111111111061</v>
      </c>
      <c r="Q518" s="5">
        <v>0.42</v>
      </c>
      <c r="R518" s="9">
        <v>132.51</v>
      </c>
      <c r="S518" s="9">
        <v>17.61</v>
      </c>
      <c r="T518" s="9">
        <v>8616.7099600000001</v>
      </c>
      <c r="U518" s="9">
        <v>8435.9</v>
      </c>
      <c r="V518" s="45">
        <f t="shared" si="44"/>
        <v>2.1433392998968754E-2</v>
      </c>
      <c r="W518" s="12">
        <v>16.13</v>
      </c>
      <c r="X518" s="12">
        <v>0</v>
      </c>
      <c r="Y518" s="12">
        <v>20210805</v>
      </c>
    </row>
    <row r="519" spans="1:25" x14ac:dyDescent="0.45">
      <c r="A519" s="3" t="s">
        <v>4085</v>
      </c>
      <c r="B519" s="3" t="s">
        <v>4086</v>
      </c>
      <c r="C519" s="6" t="s">
        <v>518</v>
      </c>
      <c r="D519" s="6" t="s">
        <v>189</v>
      </c>
      <c r="E519" s="6" t="s">
        <v>248</v>
      </c>
      <c r="F519" s="6">
        <v>5878.08</v>
      </c>
      <c r="H519" s="2">
        <v>-1.64</v>
      </c>
      <c r="I519" s="2">
        <v>-0.92</v>
      </c>
      <c r="J519" s="47" t="e">
        <f t="shared" si="40"/>
        <v>#DIV/0!</v>
      </c>
      <c r="K519" s="47">
        <f t="shared" si="41"/>
        <v>0.43902439024390238</v>
      </c>
      <c r="O519" s="17" t="e">
        <f t="shared" si="42"/>
        <v>#DIV/0!</v>
      </c>
      <c r="P519" s="17">
        <f t="shared" si="43"/>
        <v>0</v>
      </c>
      <c r="T519" s="9">
        <v>5475.6499000000003</v>
      </c>
      <c r="V519" s="45" t="e">
        <f t="shared" si="44"/>
        <v>#DIV/0!</v>
      </c>
      <c r="X519" s="12">
        <v>0</v>
      </c>
      <c r="Y519" s="12">
        <v>20210811</v>
      </c>
    </row>
    <row r="520" spans="1:25" x14ac:dyDescent="0.45">
      <c r="A520" s="3" t="s">
        <v>1257</v>
      </c>
      <c r="B520" s="3" t="s">
        <v>1258</v>
      </c>
      <c r="C520" s="6" t="s">
        <v>519</v>
      </c>
      <c r="D520" s="6" t="s">
        <v>234</v>
      </c>
      <c r="E520" s="6" t="s">
        <v>286</v>
      </c>
      <c r="F520" s="6">
        <v>9960.9500000000007</v>
      </c>
      <c r="G520" s="2">
        <v>3.87</v>
      </c>
      <c r="H520" s="2">
        <v>3.97</v>
      </c>
      <c r="I520" s="2">
        <v>4.28</v>
      </c>
      <c r="J520" s="47">
        <f t="shared" si="40"/>
        <v>2.583979328165377E-2</v>
      </c>
      <c r="K520" s="47">
        <f t="shared" si="41"/>
        <v>7.8085642317380369E-2</v>
      </c>
      <c r="L520" s="8">
        <v>20.68</v>
      </c>
      <c r="M520" s="8">
        <v>20.49</v>
      </c>
      <c r="N520" s="8">
        <v>19.010000000000002</v>
      </c>
      <c r="O520" s="17">
        <f t="shared" si="42"/>
        <v>7.9296299999999924</v>
      </c>
      <c r="P520" s="17">
        <f t="shared" si="43"/>
        <v>2.4345064516129029</v>
      </c>
      <c r="Q520" s="5">
        <v>0.93</v>
      </c>
      <c r="R520" s="9">
        <v>1.75</v>
      </c>
      <c r="S520" s="9">
        <v>19.46</v>
      </c>
      <c r="T520" s="9">
        <v>1154.79504</v>
      </c>
      <c r="U520" s="9">
        <v>1033.5</v>
      </c>
      <c r="V520" s="45">
        <f t="shared" si="44"/>
        <v>0.11736336719883887</v>
      </c>
      <c r="W520" s="12">
        <v>2.04</v>
      </c>
      <c r="X520" s="12">
        <v>2.5099999999999998</v>
      </c>
      <c r="Y520" s="12">
        <v>20210804</v>
      </c>
    </row>
    <row r="521" spans="1:25" x14ac:dyDescent="0.45">
      <c r="A521" s="3" t="s">
        <v>1259</v>
      </c>
      <c r="B521" s="3" t="s">
        <v>1260</v>
      </c>
      <c r="C521" s="6" t="s">
        <v>518</v>
      </c>
      <c r="D521" s="6" t="s">
        <v>279</v>
      </c>
      <c r="E521" s="6" t="s">
        <v>257</v>
      </c>
      <c r="F521" s="6">
        <v>18340.43</v>
      </c>
      <c r="G521" s="2">
        <v>9.58</v>
      </c>
      <c r="H521" s="2">
        <v>13.22</v>
      </c>
      <c r="I521" s="2">
        <v>14.58</v>
      </c>
      <c r="J521" s="47">
        <f t="shared" si="40"/>
        <v>0.37995824634655539</v>
      </c>
      <c r="K521" s="47">
        <f t="shared" si="41"/>
        <v>0.10287443267776092</v>
      </c>
      <c r="L521" s="8">
        <v>31.06</v>
      </c>
      <c r="M521" s="8">
        <v>28.16</v>
      </c>
      <c r="N521" s="8">
        <v>25.55</v>
      </c>
      <c r="O521" s="17">
        <f t="shared" si="42"/>
        <v>0.74113406593406572</v>
      </c>
      <c r="P521" s="17">
        <f t="shared" si="43"/>
        <v>2.4836102941176481</v>
      </c>
      <c r="Q521" s="5">
        <v>2.82</v>
      </c>
      <c r="R521" s="9">
        <v>12.02</v>
      </c>
      <c r="S521" s="9">
        <v>6.62</v>
      </c>
      <c r="T521" s="9">
        <v>2859.0019499999999</v>
      </c>
      <c r="U521" s="9">
        <v>2430.9</v>
      </c>
      <c r="V521" s="45">
        <f t="shared" si="44"/>
        <v>0.17610841663581378</v>
      </c>
      <c r="W521" s="12">
        <v>8.33</v>
      </c>
      <c r="X521" s="12">
        <v>0.02</v>
      </c>
      <c r="Y521" s="12">
        <v>20210902</v>
      </c>
    </row>
    <row r="522" spans="1:25" x14ac:dyDescent="0.45">
      <c r="A522" s="3" t="s">
        <v>1261</v>
      </c>
      <c r="B522" s="3" t="s">
        <v>1262</v>
      </c>
      <c r="C522" s="6" t="s">
        <v>518</v>
      </c>
      <c r="D522" s="6" t="s">
        <v>289</v>
      </c>
      <c r="E522" s="6" t="s">
        <v>276</v>
      </c>
      <c r="F522" s="6">
        <v>80533.3</v>
      </c>
      <c r="G522" s="2">
        <v>-1.03</v>
      </c>
      <c r="H522" s="2">
        <v>3.46</v>
      </c>
      <c r="I522" s="2">
        <v>3.33</v>
      </c>
      <c r="J522" s="47">
        <f t="shared" si="40"/>
        <v>4.3592233009708741</v>
      </c>
      <c r="K522" s="47">
        <f t="shared" si="41"/>
        <v>-3.7572254335260083E-2</v>
      </c>
      <c r="M522" s="8">
        <v>17.23</v>
      </c>
      <c r="N522" s="8">
        <v>17.920000000000002</v>
      </c>
      <c r="O522" s="17">
        <f t="shared" si="42"/>
        <v>3.9525389755011131E-2</v>
      </c>
      <c r="P522" s="17">
        <f t="shared" si="43"/>
        <v>-4.7694769230769278</v>
      </c>
      <c r="Q522" s="5">
        <v>3.45</v>
      </c>
      <c r="R522" s="9">
        <v>-1.85</v>
      </c>
      <c r="S522" s="9">
        <v>-0.38</v>
      </c>
      <c r="T522" s="9">
        <v>38966.179680000001</v>
      </c>
      <c r="U522" s="9">
        <v>19256</v>
      </c>
      <c r="V522" s="45">
        <f t="shared" si="44"/>
        <v>1.0235863980058164</v>
      </c>
      <c r="W522" s="12">
        <v>21.05</v>
      </c>
      <c r="X522" s="12">
        <v>2.88</v>
      </c>
      <c r="Y522" s="12">
        <v>20210729</v>
      </c>
    </row>
    <row r="523" spans="1:25" x14ac:dyDescent="0.45">
      <c r="A523" s="3" t="s">
        <v>1263</v>
      </c>
      <c r="B523" s="3" t="s">
        <v>1264</v>
      </c>
      <c r="C523" s="6" t="s">
        <v>518</v>
      </c>
      <c r="D523" s="6" t="s">
        <v>234</v>
      </c>
      <c r="E523" s="6" t="s">
        <v>286</v>
      </c>
      <c r="F523" s="6">
        <v>5825.74</v>
      </c>
      <c r="G523" s="2">
        <v>5.28</v>
      </c>
      <c r="H523" s="2">
        <v>5.5</v>
      </c>
      <c r="I523" s="2">
        <v>5.9</v>
      </c>
      <c r="J523" s="47">
        <f t="shared" si="40"/>
        <v>4.1666666666666616E-2</v>
      </c>
      <c r="K523" s="47">
        <f t="shared" si="41"/>
        <v>7.2727272727272793E-2</v>
      </c>
      <c r="L523" s="8">
        <v>25.01</v>
      </c>
      <c r="M523" s="8">
        <v>24.66</v>
      </c>
      <c r="N523" s="8">
        <v>22.96</v>
      </c>
      <c r="O523" s="17">
        <f t="shared" si="42"/>
        <v>5.9184000000000072</v>
      </c>
      <c r="P523" s="17">
        <f t="shared" si="43"/>
        <v>3.1569999999999969</v>
      </c>
      <c r="Q523" s="5">
        <v>1.18</v>
      </c>
      <c r="R523" s="9">
        <v>93.72</v>
      </c>
      <c r="S523" s="9">
        <v>11.08</v>
      </c>
      <c r="T523" s="9">
        <v>648.74199999999996</v>
      </c>
      <c r="U523" s="9">
        <v>606.82000000000005</v>
      </c>
      <c r="V523" s="45">
        <f t="shared" si="44"/>
        <v>6.9084736824758422E-2</v>
      </c>
      <c r="W523" s="12">
        <v>5.26</v>
      </c>
      <c r="X523" s="12">
        <v>3.63</v>
      </c>
      <c r="Y523" s="12">
        <v>20210729</v>
      </c>
    </row>
    <row r="524" spans="1:25" x14ac:dyDescent="0.45">
      <c r="A524" s="3" t="s">
        <v>1265</v>
      </c>
      <c r="B524" s="3" t="s">
        <v>1266</v>
      </c>
      <c r="C524" s="6" t="s">
        <v>519</v>
      </c>
      <c r="D524" s="6" t="s">
        <v>303</v>
      </c>
      <c r="E524" s="6" t="s">
        <v>1015</v>
      </c>
      <c r="F524" s="6">
        <v>167968.56</v>
      </c>
      <c r="G524" s="2">
        <v>8.58</v>
      </c>
      <c r="H524" s="2">
        <v>10.37</v>
      </c>
      <c r="I524" s="2">
        <v>11.22</v>
      </c>
      <c r="J524" s="47">
        <f t="shared" si="40"/>
        <v>0.20862470862470853</v>
      </c>
      <c r="K524" s="47">
        <f t="shared" si="41"/>
        <v>8.1967213114754245E-2</v>
      </c>
      <c r="L524" s="8">
        <v>36.85</v>
      </c>
      <c r="M524" s="8">
        <v>36.630000000000003</v>
      </c>
      <c r="N524" s="8">
        <v>33.85</v>
      </c>
      <c r="O524" s="17">
        <f t="shared" si="42"/>
        <v>1.7557843575419003</v>
      </c>
      <c r="P524" s="17">
        <f t="shared" si="43"/>
        <v>4.1296999999999926</v>
      </c>
      <c r="Q524" s="5">
        <v>4.01</v>
      </c>
      <c r="R524" s="9">
        <v>27.3</v>
      </c>
      <c r="S524" s="9">
        <v>9.52</v>
      </c>
      <c r="T524" s="9">
        <v>191829.54686999999</v>
      </c>
      <c r="U524" s="9">
        <v>166761</v>
      </c>
      <c r="V524" s="45">
        <f t="shared" si="44"/>
        <v>0.15032619659272847</v>
      </c>
      <c r="W524" s="12">
        <v>20.09</v>
      </c>
      <c r="X524" s="12">
        <v>0.83</v>
      </c>
      <c r="Y524" s="12">
        <v>20210923</v>
      </c>
    </row>
    <row r="525" spans="1:25" x14ac:dyDescent="0.45">
      <c r="A525" s="3" t="s">
        <v>1267</v>
      </c>
      <c r="B525" s="3" t="s">
        <v>1268</v>
      </c>
      <c r="C525" s="6" t="s">
        <v>518</v>
      </c>
      <c r="D525" s="6" t="s">
        <v>225</v>
      </c>
      <c r="E525" s="6" t="s">
        <v>1269</v>
      </c>
      <c r="F525" s="6">
        <v>6741.74</v>
      </c>
      <c r="G525" s="2">
        <v>0.19</v>
      </c>
      <c r="H525" s="2">
        <v>7.0000000000000007E-2</v>
      </c>
      <c r="I525" s="2">
        <v>0.15</v>
      </c>
      <c r="J525" s="47">
        <f t="shared" si="40"/>
        <v>-0.63157894736842102</v>
      </c>
      <c r="K525" s="47">
        <f t="shared" si="41"/>
        <v>1.1428571428571426</v>
      </c>
      <c r="M525" s="8">
        <v>133.33000000000001</v>
      </c>
      <c r="N525" s="8">
        <v>57.14</v>
      </c>
      <c r="O525" s="17">
        <f t="shared" si="42"/>
        <v>-2.1110583333333337</v>
      </c>
      <c r="P525" s="17">
        <f t="shared" si="43"/>
        <v>0.49997500000000011</v>
      </c>
      <c r="R525" s="9">
        <v>-4</v>
      </c>
      <c r="S525" s="9">
        <v>-0.21</v>
      </c>
      <c r="T525" s="9">
        <v>4588.0258700000004</v>
      </c>
      <c r="U525" s="9">
        <v>4717.8</v>
      </c>
      <c r="V525" s="45">
        <f t="shared" si="44"/>
        <v>-2.750734028572635E-2</v>
      </c>
      <c r="W525" s="12">
        <v>112.5</v>
      </c>
      <c r="X525" s="12">
        <v>0</v>
      </c>
      <c r="Y525" s="12">
        <v>20210826</v>
      </c>
    </row>
    <row r="526" spans="1:25" x14ac:dyDescent="0.45">
      <c r="A526" s="3" t="s">
        <v>1270</v>
      </c>
      <c r="B526" s="3" t="s">
        <v>1271</v>
      </c>
      <c r="C526" s="6" t="s">
        <v>519</v>
      </c>
      <c r="D526" s="6" t="s">
        <v>189</v>
      </c>
      <c r="E526" s="6" t="s">
        <v>248</v>
      </c>
      <c r="F526" s="6">
        <v>15981.46</v>
      </c>
      <c r="G526" s="2">
        <v>0.47</v>
      </c>
      <c r="H526" s="2">
        <v>-0.23</v>
      </c>
      <c r="I526" s="2">
        <v>0.56000000000000005</v>
      </c>
      <c r="J526" s="47">
        <f t="shared" si="40"/>
        <v>-1.4893617021276595</v>
      </c>
      <c r="K526" s="47">
        <f t="shared" si="41"/>
        <v>3.4347826086956523</v>
      </c>
      <c r="L526" s="8">
        <v>345.02</v>
      </c>
      <c r="N526" s="8">
        <v>388.14</v>
      </c>
      <c r="O526" s="17">
        <f t="shared" si="42"/>
        <v>0</v>
      </c>
      <c r="P526" s="17">
        <f t="shared" si="43"/>
        <v>1.1300278481012658</v>
      </c>
      <c r="R526" s="9">
        <v>-19.32</v>
      </c>
      <c r="S526" s="9">
        <v>43.35</v>
      </c>
      <c r="T526" s="9">
        <v>684.64098999999999</v>
      </c>
      <c r="U526" s="9">
        <v>541.64</v>
      </c>
      <c r="V526" s="45">
        <f t="shared" si="44"/>
        <v>0.26401482534524778</v>
      </c>
      <c r="W526" s="12">
        <v>136.84</v>
      </c>
      <c r="X526" s="12">
        <v>0</v>
      </c>
      <c r="Y526" s="12">
        <v>20210914</v>
      </c>
    </row>
    <row r="527" spans="1:25" x14ac:dyDescent="0.45">
      <c r="A527" s="3" t="s">
        <v>4087</v>
      </c>
      <c r="B527" s="3" t="s">
        <v>4088</v>
      </c>
      <c r="C527" s="6" t="s">
        <v>518</v>
      </c>
      <c r="D527" s="6" t="s">
        <v>175</v>
      </c>
      <c r="E527" s="6" t="s">
        <v>305</v>
      </c>
      <c r="F527" s="6">
        <v>5893.8</v>
      </c>
      <c r="H527" s="2">
        <v>-0.59</v>
      </c>
      <c r="I527" s="2">
        <v>-0.43</v>
      </c>
      <c r="J527" s="47" t="e">
        <f t="shared" si="40"/>
        <v>#DIV/0!</v>
      </c>
      <c r="K527" s="47">
        <f t="shared" si="41"/>
        <v>0.2711864406779661</v>
      </c>
      <c r="O527" s="17" t="e">
        <f t="shared" si="42"/>
        <v>#DIV/0!</v>
      </c>
      <c r="P527" s="17">
        <f t="shared" si="43"/>
        <v>0</v>
      </c>
      <c r="T527" s="9">
        <v>378.19499999999999</v>
      </c>
      <c r="V527" s="45" t="e">
        <f t="shared" si="44"/>
        <v>#DIV/0!</v>
      </c>
      <c r="W527" s="12">
        <v>8.57</v>
      </c>
      <c r="X527" s="12">
        <v>0</v>
      </c>
      <c r="Y527" s="12">
        <v>20210803</v>
      </c>
    </row>
    <row r="528" spans="1:25" x14ac:dyDescent="0.45">
      <c r="A528" s="3" t="s">
        <v>1272</v>
      </c>
      <c r="B528" s="3" t="s">
        <v>1273</v>
      </c>
      <c r="C528" s="6" t="s">
        <v>520</v>
      </c>
      <c r="D528" s="6" t="s">
        <v>90</v>
      </c>
      <c r="E528" s="6" t="s">
        <v>197</v>
      </c>
      <c r="F528" s="6">
        <v>12878.71</v>
      </c>
      <c r="G528" s="2">
        <v>1.27</v>
      </c>
      <c r="H528" s="2">
        <v>3.61</v>
      </c>
      <c r="I528" s="2">
        <v>3.21</v>
      </c>
      <c r="J528" s="47">
        <f t="shared" si="40"/>
        <v>1.8425196850393699</v>
      </c>
      <c r="K528" s="47">
        <f t="shared" si="41"/>
        <v>-0.11080332409972297</v>
      </c>
      <c r="L528" s="8">
        <v>22.99</v>
      </c>
      <c r="M528" s="8">
        <v>9.24</v>
      </c>
      <c r="N528" s="8">
        <v>10.37</v>
      </c>
      <c r="O528" s="17">
        <f t="shared" si="42"/>
        <v>5.0148717948717961E-2</v>
      </c>
      <c r="P528" s="17">
        <f t="shared" si="43"/>
        <v>-0.93589250000000002</v>
      </c>
      <c r="Q528" s="5">
        <v>0.33</v>
      </c>
      <c r="R528" s="9">
        <v>8.98</v>
      </c>
      <c r="S528" s="9">
        <v>-0.92</v>
      </c>
      <c r="T528" s="9">
        <v>16316.304679999999</v>
      </c>
      <c r="U528" s="9">
        <v>12228.43</v>
      </c>
      <c r="V528" s="45">
        <f t="shared" si="44"/>
        <v>0.33429268352519487</v>
      </c>
      <c r="W528" s="12">
        <v>14.12</v>
      </c>
      <c r="X528" s="12">
        <v>1.66</v>
      </c>
      <c r="Y528" s="12">
        <v>20210616</v>
      </c>
    </row>
    <row r="529" spans="1:25" x14ac:dyDescent="0.45">
      <c r="A529" s="3" t="s">
        <v>1274</v>
      </c>
      <c r="B529" s="3" t="s">
        <v>1275</v>
      </c>
      <c r="C529" s="6" t="s">
        <v>518</v>
      </c>
      <c r="D529" s="6" t="s">
        <v>309</v>
      </c>
      <c r="E529" s="6" t="s">
        <v>311</v>
      </c>
      <c r="F529" s="6">
        <v>53627.48</v>
      </c>
      <c r="G529" s="2">
        <v>2.74</v>
      </c>
      <c r="H529" s="2">
        <v>3.33</v>
      </c>
      <c r="I529" s="2">
        <v>3.84</v>
      </c>
      <c r="J529" s="47">
        <f t="shared" si="40"/>
        <v>0.2153284671532846</v>
      </c>
      <c r="K529" s="47">
        <f t="shared" si="41"/>
        <v>0.15315315315315309</v>
      </c>
      <c r="L529" s="8">
        <v>5.98</v>
      </c>
      <c r="M529" s="8">
        <v>24.19</v>
      </c>
      <c r="N529" s="8">
        <v>20.97</v>
      </c>
      <c r="O529" s="17">
        <f t="shared" si="42"/>
        <v>1.1234000000000004</v>
      </c>
      <c r="P529" s="17">
        <f t="shared" si="43"/>
        <v>1.3692176470588242</v>
      </c>
      <c r="Q529" s="5">
        <v>2.58</v>
      </c>
      <c r="R529" s="9">
        <v>31.95</v>
      </c>
      <c r="S529" s="9">
        <v>5.65</v>
      </c>
      <c r="T529" s="9">
        <v>6756.0361300000004</v>
      </c>
      <c r="U529" s="9">
        <v>5755.52</v>
      </c>
      <c r="V529" s="45">
        <f t="shared" si="44"/>
        <v>0.17383592273156898</v>
      </c>
      <c r="W529" s="12">
        <v>2.02</v>
      </c>
      <c r="X529" s="12">
        <v>0.51</v>
      </c>
      <c r="Y529" s="12">
        <v>20210728</v>
      </c>
    </row>
    <row r="530" spans="1:25" x14ac:dyDescent="0.45">
      <c r="A530" s="3" t="s">
        <v>4089</v>
      </c>
      <c r="B530" s="3" t="s">
        <v>4090</v>
      </c>
      <c r="C530" s="6" t="s">
        <v>518</v>
      </c>
      <c r="D530" s="6" t="s">
        <v>309</v>
      </c>
      <c r="E530" s="6" t="s">
        <v>307</v>
      </c>
      <c r="F530" s="6">
        <v>3247.27</v>
      </c>
      <c r="G530" s="2">
        <v>-5.63</v>
      </c>
      <c r="H530" s="2">
        <v>-3.6</v>
      </c>
      <c r="I530" s="2">
        <v>4.41</v>
      </c>
      <c r="J530" s="47">
        <f t="shared" si="40"/>
        <v>0.36056838365896976</v>
      </c>
      <c r="K530" s="47">
        <f t="shared" si="41"/>
        <v>2.2250000000000001</v>
      </c>
      <c r="N530" s="8">
        <v>17.38</v>
      </c>
      <c r="O530" s="17">
        <f t="shared" si="42"/>
        <v>0</v>
      </c>
      <c r="P530" s="17">
        <f t="shared" si="43"/>
        <v>7.8112359550561797E-2</v>
      </c>
      <c r="R530" s="9">
        <v>-30.16</v>
      </c>
      <c r="S530" s="9">
        <v>-15.51</v>
      </c>
      <c r="T530" s="9">
        <v>1278.8559499999999</v>
      </c>
      <c r="U530" s="9">
        <v>801</v>
      </c>
      <c r="V530" s="45">
        <f t="shared" si="44"/>
        <v>0.59657421972534319</v>
      </c>
      <c r="W530" s="12">
        <v>0.89</v>
      </c>
      <c r="X530" s="12">
        <v>0</v>
      </c>
      <c r="Y530" s="12">
        <v>20210804</v>
      </c>
    </row>
    <row r="531" spans="1:25" x14ac:dyDescent="0.45">
      <c r="A531" s="3" t="s">
        <v>1276</v>
      </c>
      <c r="B531" s="3" t="s">
        <v>1277</v>
      </c>
      <c r="C531" s="6" t="s">
        <v>518</v>
      </c>
      <c r="D531" s="6" t="s">
        <v>225</v>
      </c>
      <c r="E531" s="6" t="s">
        <v>226</v>
      </c>
      <c r="F531" s="6">
        <v>13914.19</v>
      </c>
      <c r="G531" s="2">
        <v>2.94</v>
      </c>
      <c r="H531" s="2">
        <v>3.07</v>
      </c>
      <c r="I531" s="2">
        <v>3.06</v>
      </c>
      <c r="J531" s="47">
        <f t="shared" si="40"/>
        <v>4.4217687074829898E-2</v>
      </c>
      <c r="K531" s="47">
        <f t="shared" si="41"/>
        <v>-3.2573289902279438E-3</v>
      </c>
      <c r="L531" s="8">
        <v>15.01</v>
      </c>
      <c r="M531" s="8">
        <v>14.95</v>
      </c>
      <c r="N531" s="8">
        <v>15</v>
      </c>
      <c r="O531" s="17">
        <f t="shared" si="42"/>
        <v>3.3810000000000024</v>
      </c>
      <c r="P531" s="17">
        <f t="shared" si="43"/>
        <v>-46.050000000000978</v>
      </c>
      <c r="Q531" s="5">
        <v>5.48</v>
      </c>
      <c r="R531" s="9">
        <v>33.21</v>
      </c>
      <c r="S531" s="9">
        <v>3.23</v>
      </c>
      <c r="T531" s="9">
        <v>8443.78125</v>
      </c>
      <c r="U531" s="9">
        <v>8691</v>
      </c>
      <c r="V531" s="45">
        <f t="shared" si="44"/>
        <v>-2.8445374525371072E-2</v>
      </c>
      <c r="W531" s="12">
        <v>-13.64</v>
      </c>
      <c r="X531" s="12">
        <v>3.22</v>
      </c>
      <c r="Y531" s="12">
        <v>20210902</v>
      </c>
    </row>
    <row r="532" spans="1:25" x14ac:dyDescent="0.45">
      <c r="A532" s="3" t="s">
        <v>1278</v>
      </c>
      <c r="B532" s="3" t="s">
        <v>1279</v>
      </c>
      <c r="C532" s="6" t="s">
        <v>520</v>
      </c>
      <c r="D532" s="6" t="s">
        <v>309</v>
      </c>
      <c r="E532" s="6" t="s">
        <v>307</v>
      </c>
      <c r="F532" s="6">
        <v>3525.12</v>
      </c>
      <c r="G532" s="2">
        <v>-2.44</v>
      </c>
      <c r="H532" s="2">
        <v>-0.79</v>
      </c>
      <c r="I532" s="2">
        <v>0.1</v>
      </c>
      <c r="J532" s="47">
        <f t="shared" si="40"/>
        <v>0.67622950819672134</v>
      </c>
      <c r="K532" s="47">
        <f t="shared" si="41"/>
        <v>1.1265822784810127</v>
      </c>
      <c r="N532" s="8">
        <v>42.67</v>
      </c>
      <c r="O532" s="17">
        <f t="shared" si="42"/>
        <v>0</v>
      </c>
      <c r="P532" s="17">
        <f t="shared" si="43"/>
        <v>0.37875617977528092</v>
      </c>
      <c r="T532" s="9">
        <v>7603.9301699999996</v>
      </c>
      <c r="U532" s="9">
        <v>6051.15</v>
      </c>
      <c r="V532" s="45">
        <f t="shared" si="44"/>
        <v>0.25660910240202278</v>
      </c>
      <c r="X532" s="12">
        <v>0</v>
      </c>
    </row>
    <row r="533" spans="1:25" x14ac:dyDescent="0.45">
      <c r="A533" s="3" t="s">
        <v>4543</v>
      </c>
      <c r="B533" s="3" t="s">
        <v>4544</v>
      </c>
      <c r="C533" s="6" t="s">
        <v>520</v>
      </c>
      <c r="D533" s="6" t="s">
        <v>225</v>
      </c>
      <c r="E533" s="6" t="s">
        <v>395</v>
      </c>
      <c r="F533" s="6">
        <v>3187.11</v>
      </c>
      <c r="J533" s="47" t="e">
        <f t="shared" si="40"/>
        <v>#DIV/0!</v>
      </c>
      <c r="K533" s="47" t="e">
        <f t="shared" si="41"/>
        <v>#DIV/0!</v>
      </c>
      <c r="O533" s="17" t="e">
        <f t="shared" si="42"/>
        <v>#DIV/0!</v>
      </c>
      <c r="P533" s="17" t="e">
        <f t="shared" si="43"/>
        <v>#DIV/0!</v>
      </c>
      <c r="U533" s="9">
        <v>6960.84</v>
      </c>
      <c r="V533" s="45">
        <f t="shared" si="44"/>
        <v>-1</v>
      </c>
      <c r="X533" s="12">
        <v>5.14</v>
      </c>
    </row>
    <row r="534" spans="1:25" x14ac:dyDescent="0.45">
      <c r="A534" s="3" t="s">
        <v>4091</v>
      </c>
      <c r="B534" s="3" t="s">
        <v>4092</v>
      </c>
      <c r="C534" s="6" t="s">
        <v>518</v>
      </c>
      <c r="D534" s="6" t="s">
        <v>303</v>
      </c>
      <c r="E534" s="6" t="s">
        <v>245</v>
      </c>
      <c r="F534" s="6">
        <v>65456.13</v>
      </c>
      <c r="H534" s="2">
        <v>-0.52</v>
      </c>
      <c r="I534" s="2">
        <v>-0.44</v>
      </c>
      <c r="J534" s="47" t="e">
        <f t="shared" si="40"/>
        <v>#DIV/0!</v>
      </c>
      <c r="K534" s="47">
        <f t="shared" si="41"/>
        <v>0.15384615384615388</v>
      </c>
      <c r="O534" s="17" t="e">
        <f t="shared" si="42"/>
        <v>#DIV/0!</v>
      </c>
      <c r="P534" s="17">
        <f t="shared" si="43"/>
        <v>0</v>
      </c>
      <c r="T534" s="9">
        <v>18807.849600000001</v>
      </c>
      <c r="U534" s="9">
        <v>11967.34</v>
      </c>
      <c r="V534" s="45">
        <f t="shared" si="44"/>
        <v>0.57159816634272953</v>
      </c>
      <c r="W534" s="12">
        <v>-325</v>
      </c>
      <c r="X534" s="12">
        <v>0</v>
      </c>
      <c r="Y534" s="12">
        <v>20210811</v>
      </c>
    </row>
    <row r="535" spans="1:25" x14ac:dyDescent="0.45">
      <c r="A535" s="3" t="s">
        <v>1280</v>
      </c>
      <c r="B535" s="3" t="s">
        <v>1281</v>
      </c>
      <c r="C535" s="6" t="s">
        <v>518</v>
      </c>
      <c r="D535" s="6" t="s">
        <v>303</v>
      </c>
      <c r="E535" s="6" t="s">
        <v>290</v>
      </c>
      <c r="F535" s="6">
        <v>8254.89</v>
      </c>
      <c r="G535" s="2">
        <v>1.51</v>
      </c>
      <c r="H535" s="2">
        <v>3.8</v>
      </c>
      <c r="I535" s="2">
        <v>4.8</v>
      </c>
      <c r="J535" s="47">
        <f t="shared" si="40"/>
        <v>1.5165562913907285</v>
      </c>
      <c r="K535" s="47">
        <f t="shared" si="41"/>
        <v>0.26315789473684209</v>
      </c>
      <c r="L535" s="8">
        <v>28.86</v>
      </c>
      <c r="M535" s="8">
        <v>14.37</v>
      </c>
      <c r="N535" s="8">
        <v>11.36</v>
      </c>
      <c r="O535" s="17">
        <f t="shared" si="42"/>
        <v>9.4754148471615715E-2</v>
      </c>
      <c r="P535" s="17">
        <f t="shared" si="43"/>
        <v>0.43168000000000001</v>
      </c>
      <c r="Q535" s="5">
        <v>2.21</v>
      </c>
      <c r="R535" s="9">
        <v>13.31</v>
      </c>
      <c r="S535" s="9">
        <v>0.39</v>
      </c>
      <c r="T535" s="9">
        <v>5069.2368100000003</v>
      </c>
      <c r="U535" s="9">
        <v>4060</v>
      </c>
      <c r="V535" s="45">
        <f t="shared" si="44"/>
        <v>0.24858049507389171</v>
      </c>
      <c r="W535" s="12">
        <v>3900</v>
      </c>
      <c r="X535" s="12">
        <v>0</v>
      </c>
      <c r="Y535" s="12">
        <v>20210804</v>
      </c>
    </row>
    <row r="536" spans="1:25" x14ac:dyDescent="0.45">
      <c r="A536" s="3" t="s">
        <v>1282</v>
      </c>
      <c r="B536" s="3" t="s">
        <v>1283</v>
      </c>
      <c r="C536" s="6" t="s">
        <v>519</v>
      </c>
      <c r="D536" s="6" t="s">
        <v>175</v>
      </c>
      <c r="E536" s="6" t="s">
        <v>1036</v>
      </c>
      <c r="F536" s="6">
        <v>28987.96</v>
      </c>
      <c r="G536" s="2">
        <v>2.27</v>
      </c>
      <c r="H536" s="2">
        <v>3.49</v>
      </c>
      <c r="I536" s="2">
        <v>3.79</v>
      </c>
      <c r="J536" s="47">
        <f t="shared" si="40"/>
        <v>0.53744493392070491</v>
      </c>
      <c r="K536" s="47">
        <f t="shared" si="41"/>
        <v>8.5959885386819423E-2</v>
      </c>
      <c r="L536" s="8">
        <v>36.36</v>
      </c>
      <c r="M536" s="8">
        <v>35.090000000000003</v>
      </c>
      <c r="N536" s="8">
        <v>32.31</v>
      </c>
      <c r="O536" s="17">
        <f t="shared" si="42"/>
        <v>0.65290409836065577</v>
      </c>
      <c r="P536" s="17">
        <f t="shared" si="43"/>
        <v>3.758730000000003</v>
      </c>
      <c r="R536" s="9">
        <v>28.29</v>
      </c>
      <c r="S536" s="9">
        <v>14.92</v>
      </c>
      <c r="T536" s="9">
        <v>2575.3830499999999</v>
      </c>
      <c r="U536" s="9">
        <v>2205.58</v>
      </c>
      <c r="V536" s="45">
        <f t="shared" si="44"/>
        <v>0.16766703089436791</v>
      </c>
      <c r="W536" s="12">
        <v>36.25</v>
      </c>
      <c r="X536" s="12">
        <v>0</v>
      </c>
      <c r="Y536" s="12">
        <v>20210901</v>
      </c>
    </row>
    <row r="537" spans="1:25" x14ac:dyDescent="0.45">
      <c r="A537" s="3" t="s">
        <v>1284</v>
      </c>
      <c r="B537" s="3" t="s">
        <v>1285</v>
      </c>
      <c r="C537" s="6" t="s">
        <v>518</v>
      </c>
      <c r="D537" s="6" t="s">
        <v>234</v>
      </c>
      <c r="E537" s="6" t="s">
        <v>287</v>
      </c>
      <c r="F537" s="6">
        <v>12975.18</v>
      </c>
      <c r="G537" s="2">
        <v>4.95</v>
      </c>
      <c r="H537" s="2">
        <v>5.0999999999999996</v>
      </c>
      <c r="I537" s="2">
        <v>5.46</v>
      </c>
      <c r="J537" s="47">
        <f t="shared" si="40"/>
        <v>3.0303030303030193E-2</v>
      </c>
      <c r="K537" s="47">
        <f t="shared" si="41"/>
        <v>7.0588235294117715E-2</v>
      </c>
      <c r="L537" s="8">
        <v>27.73</v>
      </c>
      <c r="M537" s="8">
        <v>26.03</v>
      </c>
      <c r="N537" s="8">
        <v>24.32</v>
      </c>
      <c r="O537" s="17">
        <f t="shared" si="42"/>
        <v>8.5899000000000321</v>
      </c>
      <c r="P537" s="17">
        <f t="shared" si="43"/>
        <v>3.44533333333333</v>
      </c>
      <c r="Q537" s="5">
        <v>6.3</v>
      </c>
      <c r="R537" s="9">
        <v>3.16</v>
      </c>
      <c r="S537" s="9">
        <v>4.6500000000000004</v>
      </c>
      <c r="T537" s="9">
        <v>1088.5770199999999</v>
      </c>
      <c r="U537" s="9">
        <v>1043.8399999999999</v>
      </c>
      <c r="V537" s="45">
        <f t="shared" si="44"/>
        <v>4.2858120018393654E-2</v>
      </c>
      <c r="W537" s="12">
        <v>0.81</v>
      </c>
      <c r="X537" s="12">
        <v>2.5</v>
      </c>
      <c r="Y537" s="12">
        <v>20210729</v>
      </c>
    </row>
    <row r="538" spans="1:25" x14ac:dyDescent="0.45">
      <c r="A538" s="3" t="s">
        <v>1286</v>
      </c>
      <c r="B538" s="3" t="s">
        <v>1287</v>
      </c>
      <c r="C538" s="6" t="s">
        <v>520</v>
      </c>
      <c r="D538" s="6" t="s">
        <v>327</v>
      </c>
      <c r="E538" s="6" t="s">
        <v>354</v>
      </c>
      <c r="F538" s="6">
        <v>4260.4799999999996</v>
      </c>
      <c r="G538" s="2">
        <v>0.28999999999999998</v>
      </c>
      <c r="H538" s="2">
        <v>0.19</v>
      </c>
      <c r="I538" s="2">
        <v>0.34</v>
      </c>
      <c r="J538" s="47">
        <f t="shared" si="40"/>
        <v>-0.34482758620689652</v>
      </c>
      <c r="K538" s="47">
        <f t="shared" si="41"/>
        <v>0.78947368421052644</v>
      </c>
      <c r="M538" s="8">
        <v>15.02</v>
      </c>
      <c r="N538" s="8">
        <v>8.67</v>
      </c>
      <c r="O538" s="17">
        <f t="shared" si="42"/>
        <v>-0.43558000000000002</v>
      </c>
      <c r="P538" s="17">
        <f t="shared" si="43"/>
        <v>0.10981999999999999</v>
      </c>
      <c r="T538" s="9">
        <v>21807.039059999999</v>
      </c>
      <c r="U538" s="9">
        <v>15729.49</v>
      </c>
      <c r="V538" s="45">
        <f t="shared" si="44"/>
        <v>0.38637928248150444</v>
      </c>
      <c r="X538" s="12">
        <v>0</v>
      </c>
    </row>
    <row r="539" spans="1:25" x14ac:dyDescent="0.45">
      <c r="A539" s="3" t="s">
        <v>1288</v>
      </c>
      <c r="B539" s="3" t="s">
        <v>1289</v>
      </c>
      <c r="C539" s="6" t="s">
        <v>1003</v>
      </c>
      <c r="D539" s="6" t="s">
        <v>289</v>
      </c>
      <c r="E539" s="6" t="s">
        <v>277</v>
      </c>
      <c r="F539" s="6">
        <v>20406.330000000002</v>
      </c>
      <c r="G539" s="2">
        <v>2.09</v>
      </c>
      <c r="H539" s="2">
        <v>2.41</v>
      </c>
      <c r="I539" s="2">
        <v>3.15</v>
      </c>
      <c r="J539" s="47">
        <f t="shared" si="40"/>
        <v>0.15311004784689008</v>
      </c>
      <c r="K539" s="47">
        <f t="shared" si="41"/>
        <v>0.3070539419087136</v>
      </c>
      <c r="L539" s="8">
        <v>18.91</v>
      </c>
      <c r="M539" s="8">
        <v>17.489999999999998</v>
      </c>
      <c r="N539" s="8">
        <v>13.37</v>
      </c>
      <c r="O539" s="17">
        <f t="shared" si="42"/>
        <v>1.1423156249999991</v>
      </c>
      <c r="P539" s="17">
        <f t="shared" si="43"/>
        <v>0.4354283783783785</v>
      </c>
      <c r="R539" s="9">
        <v>186.39</v>
      </c>
      <c r="S539" s="9">
        <v>60.67</v>
      </c>
      <c r="T539" s="9">
        <v>7892.0620099999996</v>
      </c>
      <c r="U539" s="9">
        <v>6167</v>
      </c>
      <c r="V539" s="45">
        <f t="shared" si="44"/>
        <v>0.27972466515323491</v>
      </c>
      <c r="W539" s="12">
        <v>1.59</v>
      </c>
      <c r="X539" s="12">
        <v>6.26</v>
      </c>
      <c r="Y539" s="12">
        <v>20210805</v>
      </c>
    </row>
    <row r="540" spans="1:25" x14ac:dyDescent="0.45">
      <c r="A540" s="3" t="s">
        <v>1290</v>
      </c>
      <c r="B540" s="3" t="s">
        <v>1291</v>
      </c>
      <c r="C540" s="6" t="s">
        <v>518</v>
      </c>
      <c r="D540" s="6" t="s">
        <v>1042</v>
      </c>
      <c r="E540" s="6" t="s">
        <v>1043</v>
      </c>
      <c r="F540" s="6">
        <v>5316.93</v>
      </c>
      <c r="G540" s="2">
        <v>3.94</v>
      </c>
      <c r="H540" s="2">
        <v>5.78</v>
      </c>
      <c r="I540" s="2">
        <v>6.97</v>
      </c>
      <c r="J540" s="47">
        <f t="shared" si="40"/>
        <v>0.46700507614213205</v>
      </c>
      <c r="K540" s="47">
        <f t="shared" si="41"/>
        <v>0.20588235294117638</v>
      </c>
      <c r="L540" s="8">
        <v>20.93</v>
      </c>
      <c r="M540" s="8">
        <v>15.76</v>
      </c>
      <c r="N540" s="8">
        <v>13.07</v>
      </c>
      <c r="O540" s="17">
        <f t="shared" si="42"/>
        <v>0.33746956521739124</v>
      </c>
      <c r="P540" s="17">
        <f t="shared" si="43"/>
        <v>0.63482857142857174</v>
      </c>
      <c r="R540" s="9">
        <v>16.809999999999999</v>
      </c>
      <c r="S540" s="9">
        <v>3.5</v>
      </c>
      <c r="T540" s="9">
        <v>3032.75</v>
      </c>
      <c r="U540" s="9">
        <v>2936.9</v>
      </c>
      <c r="V540" s="45">
        <f t="shared" si="44"/>
        <v>3.2636453403248292E-2</v>
      </c>
      <c r="W540" s="12">
        <v>26.72</v>
      </c>
      <c r="X540" s="12">
        <v>1.89</v>
      </c>
      <c r="Y540" s="12">
        <v>20210726</v>
      </c>
    </row>
    <row r="541" spans="1:25" x14ac:dyDescent="0.45">
      <c r="A541" s="3" t="s">
        <v>1292</v>
      </c>
      <c r="B541" s="3" t="s">
        <v>1293</v>
      </c>
      <c r="C541" s="6" t="s">
        <v>520</v>
      </c>
      <c r="D541" s="6" t="s">
        <v>234</v>
      </c>
      <c r="E541" s="6" t="s">
        <v>105</v>
      </c>
      <c r="F541" s="6">
        <v>42816.99</v>
      </c>
      <c r="G541" s="2">
        <v>0.67</v>
      </c>
      <c r="H541" s="2">
        <v>0.8</v>
      </c>
      <c r="I541" s="2">
        <v>0.88</v>
      </c>
      <c r="J541" s="47">
        <f t="shared" si="40"/>
        <v>0.19402985074626866</v>
      </c>
      <c r="K541" s="47">
        <f t="shared" si="41"/>
        <v>9.999999999999995E-2</v>
      </c>
      <c r="L541" s="8">
        <v>9.66</v>
      </c>
      <c r="M541" s="8">
        <v>9.23</v>
      </c>
      <c r="N541" s="8">
        <v>8.2899999999999991</v>
      </c>
      <c r="O541" s="17">
        <f t="shared" si="42"/>
        <v>0.47570000000000001</v>
      </c>
      <c r="P541" s="17">
        <f t="shared" si="43"/>
        <v>0.8290000000000004</v>
      </c>
      <c r="R541" s="9">
        <v>5.54</v>
      </c>
      <c r="S541" s="9">
        <v>5.09</v>
      </c>
      <c r="T541" s="9">
        <v>26276.144530000001</v>
      </c>
      <c r="U541" s="9">
        <v>23415.16</v>
      </c>
      <c r="V541" s="45">
        <f t="shared" si="44"/>
        <v>0.12218513689421731</v>
      </c>
      <c r="W541" s="12">
        <v>70</v>
      </c>
      <c r="X541" s="12">
        <v>4.8</v>
      </c>
      <c r="Y541" s="12">
        <v>20210805</v>
      </c>
    </row>
    <row r="542" spans="1:25" x14ac:dyDescent="0.45">
      <c r="A542" s="3" t="s">
        <v>4093</v>
      </c>
      <c r="B542" s="3" t="s">
        <v>4094</v>
      </c>
      <c r="C542" s="6" t="s">
        <v>519</v>
      </c>
      <c r="D542" s="6" t="s">
        <v>175</v>
      </c>
      <c r="E542" s="6" t="s">
        <v>305</v>
      </c>
      <c r="F542" s="6">
        <v>8007.67</v>
      </c>
      <c r="H542" s="2">
        <v>0.9</v>
      </c>
      <c r="I542" s="2">
        <v>1.06</v>
      </c>
      <c r="J542" s="47" t="e">
        <f t="shared" si="40"/>
        <v>#DIV/0!</v>
      </c>
      <c r="K542" s="47">
        <f t="shared" si="41"/>
        <v>0.17777777777777781</v>
      </c>
      <c r="M542" s="8">
        <v>40.04</v>
      </c>
      <c r="N542" s="8">
        <v>34</v>
      </c>
      <c r="O542" s="17" t="e">
        <f t="shared" si="42"/>
        <v>#DIV/0!</v>
      </c>
      <c r="P542" s="17">
        <f t="shared" si="43"/>
        <v>1.9124999999999994</v>
      </c>
      <c r="T542" s="9">
        <v>1357.10998</v>
      </c>
      <c r="U542" s="9">
        <v>959.03</v>
      </c>
      <c r="V542" s="45">
        <f t="shared" si="44"/>
        <v>0.41508605570211565</v>
      </c>
      <c r="W542" s="12">
        <v>20</v>
      </c>
      <c r="X542" s="12">
        <v>0</v>
      </c>
      <c r="Y542" s="12">
        <v>20210812</v>
      </c>
    </row>
    <row r="543" spans="1:25" x14ac:dyDescent="0.45">
      <c r="A543" s="3" t="s">
        <v>1294</v>
      </c>
      <c r="B543" s="3" t="s">
        <v>1295</v>
      </c>
      <c r="C543" s="6" t="s">
        <v>519</v>
      </c>
      <c r="D543" s="6" t="s">
        <v>189</v>
      </c>
      <c r="E543" s="6" t="s">
        <v>299</v>
      </c>
      <c r="F543" s="6">
        <v>11062.1</v>
      </c>
      <c r="G543" s="2">
        <v>-0.48</v>
      </c>
      <c r="H543" s="2">
        <v>-0.9</v>
      </c>
      <c r="I543" s="2">
        <v>-0.75</v>
      </c>
      <c r="J543" s="47">
        <f t="shared" si="40"/>
        <v>-0.87500000000000011</v>
      </c>
      <c r="K543" s="47">
        <f t="shared" si="41"/>
        <v>0.16666666666666669</v>
      </c>
      <c r="O543" s="17">
        <f t="shared" si="42"/>
        <v>0</v>
      </c>
      <c r="P543" s="17">
        <f t="shared" si="43"/>
        <v>0</v>
      </c>
      <c r="R543" s="9">
        <v>-6.87</v>
      </c>
      <c r="S543" s="9">
        <v>-13.82</v>
      </c>
      <c r="T543" s="9">
        <v>622.85600999999997</v>
      </c>
      <c r="U543" s="9">
        <v>903.9</v>
      </c>
      <c r="V543" s="45">
        <f t="shared" si="44"/>
        <v>-0.31092376369067376</v>
      </c>
      <c r="W543" s="12">
        <v>4.3499999999999996</v>
      </c>
      <c r="X543" s="12">
        <v>0</v>
      </c>
      <c r="Y543" s="12">
        <v>20210817</v>
      </c>
    </row>
    <row r="544" spans="1:25" x14ac:dyDescent="0.45">
      <c r="A544" s="3" t="s">
        <v>1296</v>
      </c>
      <c r="B544" s="3" t="s">
        <v>1297</v>
      </c>
      <c r="C544" s="6" t="s">
        <v>518</v>
      </c>
      <c r="D544" s="6" t="s">
        <v>210</v>
      </c>
      <c r="E544" s="6" t="s">
        <v>191</v>
      </c>
      <c r="F544" s="6">
        <v>40673.11</v>
      </c>
      <c r="G544" s="2">
        <v>1.33</v>
      </c>
      <c r="H544" s="2">
        <v>2.89</v>
      </c>
      <c r="I544" s="2">
        <v>3.19</v>
      </c>
      <c r="J544" s="47">
        <f t="shared" si="40"/>
        <v>1.1729323308270676</v>
      </c>
      <c r="K544" s="47">
        <f t="shared" si="41"/>
        <v>0.10380622837370236</v>
      </c>
      <c r="M544" s="8">
        <v>17.96</v>
      </c>
      <c r="N544" s="8">
        <v>16.239999999999998</v>
      </c>
      <c r="O544" s="17">
        <f t="shared" si="42"/>
        <v>0.15312051282051284</v>
      </c>
      <c r="P544" s="17">
        <f t="shared" si="43"/>
        <v>1.5644533333333341</v>
      </c>
      <c r="T544" s="9">
        <v>29262.650389999999</v>
      </c>
      <c r="U544" s="9">
        <v>27587</v>
      </c>
      <c r="V544" s="45">
        <f t="shared" si="44"/>
        <v>6.0740580345815018E-2</v>
      </c>
      <c r="X544" s="12">
        <v>3.62</v>
      </c>
    </row>
    <row r="545" spans="1:25" x14ac:dyDescent="0.45">
      <c r="A545" s="3" t="s">
        <v>3784</v>
      </c>
      <c r="B545" s="3" t="s">
        <v>3785</v>
      </c>
      <c r="C545" s="6" t="s">
        <v>520</v>
      </c>
      <c r="D545" s="6" t="s">
        <v>1042</v>
      </c>
      <c r="E545" s="6" t="s">
        <v>1043</v>
      </c>
      <c r="F545" s="6">
        <v>28094.6</v>
      </c>
      <c r="G545" s="2">
        <v>0.28000000000000003</v>
      </c>
      <c r="H545" s="2">
        <v>0.34</v>
      </c>
      <c r="I545" s="2">
        <v>0.5</v>
      </c>
      <c r="J545" s="47">
        <f t="shared" si="40"/>
        <v>0.21428571428571425</v>
      </c>
      <c r="K545" s="47">
        <f t="shared" si="41"/>
        <v>0.47058823529411753</v>
      </c>
      <c r="M545" s="8">
        <v>50.94</v>
      </c>
      <c r="N545" s="8">
        <v>34.64</v>
      </c>
      <c r="O545" s="17">
        <f t="shared" si="42"/>
        <v>2.3772000000000006</v>
      </c>
      <c r="P545" s="17">
        <f t="shared" si="43"/>
        <v>0.7361000000000002</v>
      </c>
      <c r="T545" s="9">
        <v>5486.4599600000001</v>
      </c>
      <c r="U545" s="9">
        <v>4802.59</v>
      </c>
      <c r="V545" s="45">
        <f t="shared" si="44"/>
        <v>0.14239607378518673</v>
      </c>
      <c r="X545" s="12">
        <v>0.41</v>
      </c>
    </row>
    <row r="546" spans="1:25" x14ac:dyDescent="0.45">
      <c r="A546" s="3" t="s">
        <v>1298</v>
      </c>
      <c r="B546" s="3" t="s">
        <v>1299</v>
      </c>
      <c r="C546" s="6" t="s">
        <v>518</v>
      </c>
      <c r="D546" s="6" t="s">
        <v>216</v>
      </c>
      <c r="E546" s="6" t="s">
        <v>302</v>
      </c>
      <c r="F546" s="6">
        <v>4545.58</v>
      </c>
      <c r="G546" s="2">
        <v>4.5999999999999996</v>
      </c>
      <c r="H546" s="2">
        <v>6.02</v>
      </c>
      <c r="I546" s="2">
        <v>6.64</v>
      </c>
      <c r="J546" s="47">
        <f t="shared" si="40"/>
        <v>0.30869565217391304</v>
      </c>
      <c r="K546" s="47">
        <f t="shared" si="41"/>
        <v>0.10299003322259138</v>
      </c>
      <c r="L546" s="8">
        <v>14.9</v>
      </c>
      <c r="M546" s="8">
        <v>17.190000000000001</v>
      </c>
      <c r="N546" s="8">
        <v>15.57</v>
      </c>
      <c r="O546" s="17">
        <f t="shared" si="42"/>
        <v>0.55685915492957749</v>
      </c>
      <c r="P546" s="17">
        <f t="shared" si="43"/>
        <v>1.5117967741935479</v>
      </c>
      <c r="Q546" s="5">
        <v>1.1200000000000001</v>
      </c>
      <c r="R546" s="9">
        <v>34.549999999999997</v>
      </c>
      <c r="S546" s="9">
        <v>0.32</v>
      </c>
      <c r="T546" s="9">
        <v>3267.8000400000001</v>
      </c>
      <c r="U546" s="9">
        <v>3024.33</v>
      </c>
      <c r="V546" s="45">
        <f t="shared" si="44"/>
        <v>8.0503794228804451E-2</v>
      </c>
      <c r="W546" s="12">
        <v>633.33000000000004</v>
      </c>
      <c r="X546" s="12">
        <v>1.55</v>
      </c>
      <c r="Y546" s="12">
        <v>20210723</v>
      </c>
    </row>
    <row r="547" spans="1:25" x14ac:dyDescent="0.45">
      <c r="A547" s="3" t="s">
        <v>1300</v>
      </c>
      <c r="B547" s="3" t="s">
        <v>1301</v>
      </c>
      <c r="C547" s="6" t="s">
        <v>518</v>
      </c>
      <c r="D547" s="6" t="s">
        <v>279</v>
      </c>
      <c r="E547" s="6" t="s">
        <v>266</v>
      </c>
      <c r="F547" s="6">
        <v>17382.95</v>
      </c>
      <c r="G547" s="2">
        <v>7.87</v>
      </c>
      <c r="H547" s="2">
        <v>9.82</v>
      </c>
      <c r="I547" s="2">
        <v>11.32</v>
      </c>
      <c r="J547" s="47">
        <f t="shared" si="40"/>
        <v>0.2477763659466328</v>
      </c>
      <c r="K547" s="47">
        <f t="shared" si="41"/>
        <v>0.15274949083503053</v>
      </c>
      <c r="L547" s="8">
        <v>39.17</v>
      </c>
      <c r="M547" s="8">
        <v>35.22</v>
      </c>
      <c r="N547" s="8">
        <v>30.57</v>
      </c>
      <c r="O547" s="17">
        <f t="shared" si="42"/>
        <v>1.4214430769230766</v>
      </c>
      <c r="P547" s="17">
        <f t="shared" si="43"/>
        <v>2.0013160000000001</v>
      </c>
      <c r="Q547" s="5">
        <v>2.52</v>
      </c>
      <c r="R547" s="9">
        <v>22.54</v>
      </c>
      <c r="S547" s="9">
        <v>15.96</v>
      </c>
      <c r="T547" s="9">
        <v>3492.6479399999998</v>
      </c>
      <c r="U547" s="9">
        <v>2923.93</v>
      </c>
      <c r="V547" s="45">
        <f t="shared" si="44"/>
        <v>0.19450463588389599</v>
      </c>
      <c r="W547" s="12">
        <v>15.53</v>
      </c>
      <c r="X547" s="12">
        <v>0</v>
      </c>
      <c r="Y547" s="12">
        <v>20210804</v>
      </c>
    </row>
    <row r="548" spans="1:25" x14ac:dyDescent="0.45">
      <c r="A548" s="3" t="s">
        <v>1302</v>
      </c>
      <c r="B548" s="3" t="s">
        <v>1303</v>
      </c>
      <c r="C548" s="6" t="s">
        <v>518</v>
      </c>
      <c r="D548" s="6" t="s">
        <v>189</v>
      </c>
      <c r="E548" s="6" t="s">
        <v>202</v>
      </c>
      <c r="F548" s="6">
        <v>218619.34</v>
      </c>
      <c r="G548" s="2">
        <v>4.63</v>
      </c>
      <c r="H548" s="2">
        <v>3.79</v>
      </c>
      <c r="I548" s="2">
        <v>4.26</v>
      </c>
      <c r="J548" s="47">
        <f t="shared" si="40"/>
        <v>-0.1814254859611231</v>
      </c>
      <c r="K548" s="47">
        <f t="shared" si="41"/>
        <v>0.12401055408970969</v>
      </c>
      <c r="L548" s="8">
        <v>43.48</v>
      </c>
      <c r="M548" s="8">
        <v>62.25</v>
      </c>
      <c r="N548" s="8">
        <v>55.45</v>
      </c>
      <c r="O548" s="17">
        <f t="shared" si="42"/>
        <v>-3.4311607142857148</v>
      </c>
      <c r="P548" s="17">
        <f t="shared" si="43"/>
        <v>4.4713936170212794</v>
      </c>
      <c r="Q548" s="5">
        <v>3.38</v>
      </c>
      <c r="R548" s="9">
        <v>8.02</v>
      </c>
      <c r="S548" s="9">
        <v>26.48</v>
      </c>
      <c r="T548" s="9">
        <v>25903.037100000001</v>
      </c>
      <c r="U548" s="9">
        <v>21252</v>
      </c>
      <c r="V548" s="45">
        <f t="shared" si="44"/>
        <v>0.21885173630717114</v>
      </c>
      <c r="W548" s="12">
        <v>37.5</v>
      </c>
      <c r="X548" s="12">
        <v>0</v>
      </c>
      <c r="Y548" s="12">
        <v>20210824</v>
      </c>
    </row>
    <row r="549" spans="1:25" x14ac:dyDescent="0.45">
      <c r="A549" s="3" t="s">
        <v>1304</v>
      </c>
      <c r="B549" s="3" t="s">
        <v>1305</v>
      </c>
      <c r="C549" s="6" t="s">
        <v>519</v>
      </c>
      <c r="D549" s="6" t="s">
        <v>189</v>
      </c>
      <c r="E549" s="6" t="s">
        <v>204</v>
      </c>
      <c r="F549" s="6">
        <v>4362.26</v>
      </c>
      <c r="G549" s="2">
        <v>1.36</v>
      </c>
      <c r="H549" s="2">
        <v>2.34</v>
      </c>
      <c r="I549" s="2">
        <v>2.63</v>
      </c>
      <c r="J549" s="47">
        <f t="shared" si="40"/>
        <v>0.72058823529411742</v>
      </c>
      <c r="K549" s="47">
        <f t="shared" si="41"/>
        <v>0.12393162393162395</v>
      </c>
      <c r="L549" s="8">
        <v>52.43</v>
      </c>
      <c r="M549" s="8">
        <v>49.24</v>
      </c>
      <c r="N549" s="8">
        <v>43.81</v>
      </c>
      <c r="O549" s="17">
        <f t="shared" si="42"/>
        <v>0.68333061224489822</v>
      </c>
      <c r="P549" s="17">
        <f t="shared" si="43"/>
        <v>3.535013793103448</v>
      </c>
      <c r="R549" s="9">
        <v>1.32</v>
      </c>
      <c r="T549" s="9">
        <v>389.09697999999997</v>
      </c>
      <c r="U549" s="9">
        <v>329.65</v>
      </c>
      <c r="V549" s="45">
        <f t="shared" si="44"/>
        <v>0.18033362657363872</v>
      </c>
      <c r="W549" s="12">
        <v>30.19</v>
      </c>
      <c r="X549" s="12">
        <v>0</v>
      </c>
      <c r="Y549" s="12">
        <v>20210803</v>
      </c>
    </row>
    <row r="550" spans="1:25" x14ac:dyDescent="0.45">
      <c r="A550" s="3" t="s">
        <v>1306</v>
      </c>
      <c r="B550" s="3" t="s">
        <v>1307</v>
      </c>
      <c r="C550" s="6" t="s">
        <v>519</v>
      </c>
      <c r="D550" s="6" t="s">
        <v>279</v>
      </c>
      <c r="E550" s="6" t="s">
        <v>258</v>
      </c>
      <c r="F550" s="6">
        <v>3356.06</v>
      </c>
      <c r="G550" s="2">
        <v>0.02</v>
      </c>
      <c r="H550" s="2">
        <v>-0.73</v>
      </c>
      <c r="I550" s="2">
        <v>-0.21</v>
      </c>
      <c r="J550" s="47">
        <f t="shared" si="40"/>
        <v>-37.5</v>
      </c>
      <c r="K550" s="47">
        <f t="shared" si="41"/>
        <v>0.71232876712328774</v>
      </c>
      <c r="O550" s="17">
        <f t="shared" si="42"/>
        <v>0</v>
      </c>
      <c r="P550" s="17">
        <f t="shared" si="43"/>
        <v>0</v>
      </c>
      <c r="R550" s="9">
        <v>-11.39</v>
      </c>
      <c r="S550" s="9">
        <v>125.55</v>
      </c>
      <c r="T550" s="9">
        <v>84.438000000000002</v>
      </c>
      <c r="U550" s="9">
        <v>46.72</v>
      </c>
      <c r="V550" s="45">
        <f t="shared" si="44"/>
        <v>0.80732020547945216</v>
      </c>
      <c r="W550" s="12">
        <v>-50</v>
      </c>
      <c r="X550" s="12">
        <v>0</v>
      </c>
      <c r="Y550" s="12">
        <v>20210805</v>
      </c>
    </row>
    <row r="551" spans="1:25" x14ac:dyDescent="0.45">
      <c r="A551" s="3" t="s">
        <v>1308</v>
      </c>
      <c r="B551" s="3" t="s">
        <v>1309</v>
      </c>
      <c r="C551" s="6" t="s">
        <v>519</v>
      </c>
      <c r="D551" s="6" t="s">
        <v>216</v>
      </c>
      <c r="E551" s="6" t="s">
        <v>1256</v>
      </c>
      <c r="F551" s="6">
        <v>6860.94</v>
      </c>
      <c r="G551" s="2">
        <v>2.98</v>
      </c>
      <c r="H551" s="2">
        <v>5.68</v>
      </c>
      <c r="I551" s="2">
        <v>6.53</v>
      </c>
      <c r="J551" s="47">
        <f t="shared" si="40"/>
        <v>0.90604026845637575</v>
      </c>
      <c r="K551" s="47">
        <f t="shared" si="41"/>
        <v>0.14964788732394377</v>
      </c>
      <c r="L551" s="8">
        <v>23.37</v>
      </c>
      <c r="M551" s="8">
        <v>18.53</v>
      </c>
      <c r="N551" s="8">
        <v>16.11</v>
      </c>
      <c r="O551" s="17">
        <f t="shared" si="42"/>
        <v>0.20451629629629633</v>
      </c>
      <c r="P551" s="17">
        <f t="shared" si="43"/>
        <v>1.0765270588235287</v>
      </c>
      <c r="Q551" s="5">
        <v>1.24</v>
      </c>
      <c r="R551" s="9">
        <v>121.7</v>
      </c>
      <c r="S551" s="9">
        <v>6.67</v>
      </c>
      <c r="T551" s="9">
        <v>1976.3299500000001</v>
      </c>
      <c r="U551" s="9">
        <v>1385.95</v>
      </c>
      <c r="V551" s="45">
        <f t="shared" si="44"/>
        <v>0.4259749269454165</v>
      </c>
      <c r="W551" s="12">
        <v>69.319999999999993</v>
      </c>
      <c r="X551" s="12">
        <v>0</v>
      </c>
      <c r="Y551" s="12">
        <v>20210729</v>
      </c>
    </row>
    <row r="552" spans="1:25" x14ac:dyDescent="0.45">
      <c r="A552" s="3" t="s">
        <v>1310</v>
      </c>
      <c r="B552" s="3" t="s">
        <v>1311</v>
      </c>
      <c r="C552" s="6" t="s">
        <v>520</v>
      </c>
      <c r="D552" s="6" t="s">
        <v>327</v>
      </c>
      <c r="E552" s="6" t="s">
        <v>321</v>
      </c>
      <c r="F552" s="6">
        <v>6077.19</v>
      </c>
      <c r="G552" s="2">
        <v>3.6</v>
      </c>
      <c r="H552" s="2">
        <v>3.56</v>
      </c>
      <c r="I552" s="2">
        <v>4.53</v>
      </c>
      <c r="J552" s="47">
        <f t="shared" si="40"/>
        <v>-1.111111111111112E-2</v>
      </c>
      <c r="K552" s="47">
        <f t="shared" si="41"/>
        <v>0.27247191011235961</v>
      </c>
      <c r="M552" s="8">
        <v>5.32</v>
      </c>
      <c r="N552" s="8">
        <v>4.18</v>
      </c>
      <c r="O552" s="17">
        <f t="shared" si="42"/>
        <v>-4.7879999999999958</v>
      </c>
      <c r="P552" s="17">
        <f t="shared" si="43"/>
        <v>0.15341030927835048</v>
      </c>
      <c r="T552" s="9">
        <v>10813.139639999999</v>
      </c>
      <c r="U552" s="9">
        <v>8645.8700000000008</v>
      </c>
      <c r="V552" s="45">
        <f t="shared" si="44"/>
        <v>0.25067108804550592</v>
      </c>
      <c r="X552" s="12">
        <v>5.32</v>
      </c>
    </row>
    <row r="553" spans="1:25" x14ac:dyDescent="0.45">
      <c r="A553" s="3" t="s">
        <v>1312</v>
      </c>
      <c r="B553" s="3" t="s">
        <v>1313</v>
      </c>
      <c r="C553" s="6" t="s">
        <v>520</v>
      </c>
      <c r="D553" s="6" t="s">
        <v>303</v>
      </c>
      <c r="E553" s="6" t="s">
        <v>295</v>
      </c>
      <c r="F553" s="6">
        <v>17210.98</v>
      </c>
      <c r="G553" s="2">
        <v>0.31</v>
      </c>
      <c r="H553" s="2">
        <v>0.35</v>
      </c>
      <c r="I553" s="2">
        <v>0.39</v>
      </c>
      <c r="J553" s="47">
        <f t="shared" si="40"/>
        <v>0.12903225806451607</v>
      </c>
      <c r="K553" s="47">
        <f t="shared" si="41"/>
        <v>0.11428571428571439</v>
      </c>
      <c r="M553" s="8">
        <v>12.14</v>
      </c>
      <c r="N553" s="8">
        <v>10.7</v>
      </c>
      <c r="O553" s="17">
        <f t="shared" si="42"/>
        <v>0.94085000000000052</v>
      </c>
      <c r="P553" s="17">
        <f t="shared" si="43"/>
        <v>0.93624999999999903</v>
      </c>
      <c r="Q553" s="5">
        <v>0.97</v>
      </c>
      <c r="T553" s="9">
        <v>88119.632809999996</v>
      </c>
      <c r="U553" s="9">
        <v>82409.95</v>
      </c>
      <c r="V553" s="45">
        <f t="shared" si="44"/>
        <v>6.9283900912450486E-2</v>
      </c>
      <c r="X553" s="12">
        <v>1.91</v>
      </c>
    </row>
    <row r="554" spans="1:25" x14ac:dyDescent="0.45">
      <c r="A554" s="3" t="s">
        <v>1314</v>
      </c>
      <c r="B554" s="3" t="s">
        <v>1315</v>
      </c>
      <c r="C554" s="6" t="s">
        <v>519</v>
      </c>
      <c r="D554" s="6" t="s">
        <v>279</v>
      </c>
      <c r="E554" s="6" t="s">
        <v>256</v>
      </c>
      <c r="F554" s="6">
        <v>9090.76</v>
      </c>
      <c r="G554" s="2">
        <v>-4.97</v>
      </c>
      <c r="H554" s="2">
        <v>0.66</v>
      </c>
      <c r="I554" s="2">
        <v>-6.23</v>
      </c>
      <c r="J554" s="47">
        <f t="shared" si="40"/>
        <v>1.1327967806841046</v>
      </c>
      <c r="K554" s="47">
        <f t="shared" si="41"/>
        <v>-10.439393939393939</v>
      </c>
      <c r="M554" s="8">
        <v>181.51</v>
      </c>
      <c r="O554" s="17">
        <f t="shared" si="42"/>
        <v>1.6023174067495558</v>
      </c>
      <c r="P554" s="17">
        <f t="shared" si="43"/>
        <v>0</v>
      </c>
      <c r="R554" s="9">
        <v>-27.42</v>
      </c>
      <c r="S554" s="9">
        <v>-3.97</v>
      </c>
      <c r="T554" s="9">
        <v>570.11999000000003</v>
      </c>
      <c r="U554" s="9">
        <v>0.72</v>
      </c>
      <c r="V554" s="45">
        <f t="shared" si="44"/>
        <v>790.83331944444444</v>
      </c>
      <c r="W554" s="12">
        <v>-4.1399999999999997</v>
      </c>
      <c r="X554" s="12">
        <v>0</v>
      </c>
      <c r="Y554" s="12">
        <v>20210726</v>
      </c>
    </row>
    <row r="555" spans="1:25" x14ac:dyDescent="0.45">
      <c r="A555" s="3" t="s">
        <v>1316</v>
      </c>
      <c r="B555" s="3" t="s">
        <v>1317</v>
      </c>
      <c r="C555" s="6" t="s">
        <v>519</v>
      </c>
      <c r="D555" s="6" t="s">
        <v>189</v>
      </c>
      <c r="E555" s="6" t="s">
        <v>213</v>
      </c>
      <c r="F555" s="6">
        <v>4484.68</v>
      </c>
      <c r="G555" s="2">
        <v>4.6100000000000003</v>
      </c>
      <c r="H555" s="2">
        <v>4.68</v>
      </c>
      <c r="I555" s="2">
        <v>5.18</v>
      </c>
      <c r="J555" s="47">
        <f t="shared" si="40"/>
        <v>1.5184381778741733E-2</v>
      </c>
      <c r="K555" s="47">
        <f t="shared" si="41"/>
        <v>0.10683760683760685</v>
      </c>
      <c r="L555" s="8">
        <v>17.02</v>
      </c>
      <c r="M555" s="8">
        <v>16.649999999999999</v>
      </c>
      <c r="N555" s="8">
        <v>15.05</v>
      </c>
      <c r="O555" s="17">
        <f t="shared" si="42"/>
        <v>10.96521428571438</v>
      </c>
      <c r="P555" s="17">
        <f t="shared" si="43"/>
        <v>1.4086799999999999</v>
      </c>
      <c r="Q555" s="5">
        <v>1.98</v>
      </c>
      <c r="R555" s="9">
        <v>17.059999999999999</v>
      </c>
      <c r="S555" s="9">
        <v>-2.6</v>
      </c>
      <c r="T555" s="9">
        <v>1494.3570500000001</v>
      </c>
      <c r="U555" s="9">
        <v>1369.23</v>
      </c>
      <c r="V555" s="45">
        <f t="shared" si="44"/>
        <v>9.1384975497177279E-2</v>
      </c>
      <c r="W555" s="12">
        <v>-4.3499999999999996</v>
      </c>
      <c r="X555" s="12">
        <v>0</v>
      </c>
      <c r="Y555" s="12">
        <v>20210802</v>
      </c>
    </row>
    <row r="556" spans="1:25" x14ac:dyDescent="0.45">
      <c r="A556" s="3" t="s">
        <v>3786</v>
      </c>
      <c r="B556" s="3" t="s">
        <v>1318</v>
      </c>
      <c r="C556" s="6" t="s">
        <v>519</v>
      </c>
      <c r="D556" s="6" t="s">
        <v>189</v>
      </c>
      <c r="E556" s="6" t="s">
        <v>248</v>
      </c>
      <c r="F556" s="6">
        <v>47898.32</v>
      </c>
      <c r="G556" s="2">
        <v>0.23</v>
      </c>
      <c r="H556" s="2">
        <v>0.4</v>
      </c>
      <c r="I556" s="2">
        <v>0.72</v>
      </c>
      <c r="J556" s="47">
        <f t="shared" si="40"/>
        <v>0.73913043478260876</v>
      </c>
      <c r="K556" s="47">
        <f t="shared" si="41"/>
        <v>0.79999999999999982</v>
      </c>
      <c r="L556" s="8">
        <v>629.27</v>
      </c>
      <c r="M556" s="8">
        <v>532.21</v>
      </c>
      <c r="N556" s="8">
        <v>297.14999999999998</v>
      </c>
      <c r="O556" s="17">
        <f t="shared" si="42"/>
        <v>7.2004882352941175</v>
      </c>
      <c r="P556" s="17">
        <f t="shared" si="43"/>
        <v>3.7143750000000004</v>
      </c>
      <c r="Q556" s="5">
        <v>21.29</v>
      </c>
      <c r="R556" s="9">
        <v>-11.89</v>
      </c>
      <c r="T556" s="9">
        <v>1360.97802</v>
      </c>
      <c r="U556" s="9">
        <v>874.44</v>
      </c>
      <c r="V556" s="45">
        <f t="shared" si="44"/>
        <v>0.55639954713874018</v>
      </c>
      <c r="W556" s="12">
        <v>66.67</v>
      </c>
      <c r="X556" s="12">
        <v>0</v>
      </c>
      <c r="Y556" s="12">
        <v>20210901</v>
      </c>
    </row>
    <row r="557" spans="1:25" x14ac:dyDescent="0.45">
      <c r="A557" s="3" t="s">
        <v>1319</v>
      </c>
      <c r="B557" s="3" t="s">
        <v>1320</v>
      </c>
      <c r="C557" s="6" t="s">
        <v>520</v>
      </c>
      <c r="D557" s="6" t="s">
        <v>234</v>
      </c>
      <c r="E557" s="6" t="s">
        <v>105</v>
      </c>
      <c r="F557" s="6">
        <v>10294.379999999999</v>
      </c>
      <c r="G557" s="2">
        <v>-2.84</v>
      </c>
      <c r="H557" s="2">
        <v>-0.28999999999999998</v>
      </c>
      <c r="I557" s="2">
        <v>0.52</v>
      </c>
      <c r="J557" s="47">
        <f t="shared" si="40"/>
        <v>0.897887323943662</v>
      </c>
      <c r="K557" s="47">
        <f t="shared" si="41"/>
        <v>2.7931034482758625</v>
      </c>
      <c r="N557" s="8">
        <v>15.81</v>
      </c>
      <c r="O557" s="17">
        <f t="shared" si="42"/>
        <v>0</v>
      </c>
      <c r="P557" s="17">
        <f t="shared" si="43"/>
        <v>5.6603703703703691E-2</v>
      </c>
      <c r="R557" s="9">
        <v>-7.91</v>
      </c>
      <c r="S557" s="9">
        <v>-7.5</v>
      </c>
      <c r="T557" s="9">
        <v>10108.3496</v>
      </c>
      <c r="U557" s="9">
        <v>12731</v>
      </c>
      <c r="V557" s="45">
        <f t="shared" si="44"/>
        <v>-0.20600505851857673</v>
      </c>
      <c r="X557" s="12">
        <v>0</v>
      </c>
    </row>
    <row r="558" spans="1:25" x14ac:dyDescent="0.45">
      <c r="A558" s="3" t="s">
        <v>1321</v>
      </c>
      <c r="B558" s="3" t="s">
        <v>1322</v>
      </c>
      <c r="C558" s="6" t="s">
        <v>518</v>
      </c>
      <c r="D558" s="6" t="s">
        <v>234</v>
      </c>
      <c r="E558" s="6" t="s">
        <v>105</v>
      </c>
      <c r="F558" s="6">
        <v>27553.8</v>
      </c>
      <c r="G558" s="2">
        <v>1.63</v>
      </c>
      <c r="H558" s="2">
        <v>1.03</v>
      </c>
      <c r="I558" s="2">
        <v>1.43</v>
      </c>
      <c r="J558" s="47">
        <f t="shared" si="40"/>
        <v>-0.36809815950920238</v>
      </c>
      <c r="K558" s="47">
        <f t="shared" si="41"/>
        <v>0.38834951456310668</v>
      </c>
      <c r="L558" s="8">
        <v>24.5</v>
      </c>
      <c r="M558" s="8">
        <v>10.47</v>
      </c>
      <c r="N558" s="8">
        <v>7.54</v>
      </c>
      <c r="O558" s="17">
        <f t="shared" si="42"/>
        <v>-0.28443500000000005</v>
      </c>
      <c r="P558" s="17">
        <f t="shared" si="43"/>
        <v>0.19415500000000005</v>
      </c>
      <c r="Q558" s="5">
        <v>1.91</v>
      </c>
      <c r="R558" s="9">
        <v>2.33</v>
      </c>
      <c r="S558" s="9">
        <v>8.7899999999999991</v>
      </c>
      <c r="T558" s="9">
        <v>25853.240229999999</v>
      </c>
      <c r="U558" s="9">
        <v>32377.79</v>
      </c>
      <c r="V558" s="45">
        <f t="shared" si="44"/>
        <v>-0.20151312890719228</v>
      </c>
      <c r="X558" s="12">
        <v>0.8</v>
      </c>
      <c r="Y558" s="12">
        <v>20210729</v>
      </c>
    </row>
    <row r="559" spans="1:25" x14ac:dyDescent="0.45">
      <c r="A559" s="3" t="s">
        <v>1323</v>
      </c>
      <c r="B559" s="3" t="s">
        <v>1324</v>
      </c>
      <c r="C559" s="6" t="s">
        <v>519</v>
      </c>
      <c r="D559" s="6" t="s">
        <v>189</v>
      </c>
      <c r="E559" s="6" t="s">
        <v>1325</v>
      </c>
      <c r="F559" s="6">
        <v>227651.33</v>
      </c>
      <c r="G559" s="2">
        <v>3.15</v>
      </c>
      <c r="H559" s="2">
        <v>3.2</v>
      </c>
      <c r="I559" s="2">
        <v>3.38</v>
      </c>
      <c r="J559" s="47">
        <f t="shared" si="40"/>
        <v>1.5873015873015959E-2</v>
      </c>
      <c r="K559" s="47">
        <f t="shared" si="41"/>
        <v>5.6249999999999911E-2</v>
      </c>
      <c r="L559" s="8">
        <v>16.989999999999998</v>
      </c>
      <c r="M559" s="8">
        <v>16.86</v>
      </c>
      <c r="N559" s="8">
        <v>15.97</v>
      </c>
      <c r="O559" s="17">
        <f t="shared" si="42"/>
        <v>10.621799999999942</v>
      </c>
      <c r="P559" s="17">
        <f t="shared" si="43"/>
        <v>2.8391111111111158</v>
      </c>
      <c r="Q559" s="5">
        <v>2.7</v>
      </c>
      <c r="R559" s="9">
        <v>31.12</v>
      </c>
      <c r="S559" s="9">
        <v>0.56000000000000005</v>
      </c>
      <c r="T559" s="9">
        <v>49672.496090000001</v>
      </c>
      <c r="U559" s="9">
        <v>49301</v>
      </c>
      <c r="V559" s="45">
        <f t="shared" si="44"/>
        <v>7.5352648019310067E-3</v>
      </c>
      <c r="W559" s="12">
        <v>1.22</v>
      </c>
      <c r="X559" s="12">
        <v>2.74</v>
      </c>
      <c r="Y559" s="12">
        <v>20210811</v>
      </c>
    </row>
    <row r="560" spans="1:25" x14ac:dyDescent="0.45">
      <c r="A560" s="3" t="s">
        <v>1326</v>
      </c>
      <c r="B560" s="3" t="s">
        <v>1327</v>
      </c>
      <c r="C560" s="6" t="s">
        <v>519</v>
      </c>
      <c r="D560" s="6" t="s">
        <v>189</v>
      </c>
      <c r="E560" s="6" t="s">
        <v>204</v>
      </c>
      <c r="F560" s="6">
        <v>33502.78</v>
      </c>
      <c r="G560" s="2">
        <v>9.4600000000000009</v>
      </c>
      <c r="H560" s="2">
        <v>11.23</v>
      </c>
      <c r="I560" s="2">
        <v>14.47</v>
      </c>
      <c r="J560" s="47">
        <f t="shared" si="40"/>
        <v>0.18710359408033819</v>
      </c>
      <c r="K560" s="47">
        <f t="shared" si="41"/>
        <v>0.28851291184327693</v>
      </c>
      <c r="L560" s="8">
        <v>83.17</v>
      </c>
      <c r="M560" s="8">
        <v>75.53</v>
      </c>
      <c r="N560" s="8">
        <v>58.63</v>
      </c>
      <c r="O560" s="17">
        <f t="shared" si="42"/>
        <v>4.0368011299435045</v>
      </c>
      <c r="P560" s="17">
        <f t="shared" si="43"/>
        <v>2.0321447530864201</v>
      </c>
      <c r="Q560" s="5">
        <v>3.78</v>
      </c>
      <c r="R560" s="9">
        <v>6.68</v>
      </c>
      <c r="S560" s="9">
        <v>18.72</v>
      </c>
      <c r="T560" s="9">
        <v>1944.81494</v>
      </c>
      <c r="U560" s="9">
        <v>1659.02</v>
      </c>
      <c r="V560" s="45">
        <f t="shared" si="44"/>
        <v>0.17226732649395426</v>
      </c>
      <c r="W560" s="12">
        <v>14.58</v>
      </c>
      <c r="X560" s="12">
        <v>0</v>
      </c>
      <c r="Y560" s="12">
        <v>20210727</v>
      </c>
    </row>
    <row r="561" spans="1:25" x14ac:dyDescent="0.45">
      <c r="A561" s="3" t="s">
        <v>4545</v>
      </c>
      <c r="B561" s="3" t="s">
        <v>4546</v>
      </c>
      <c r="C561" s="6" t="s">
        <v>520</v>
      </c>
      <c r="D561" s="6" t="s">
        <v>189</v>
      </c>
      <c r="E561" s="6" t="s">
        <v>908</v>
      </c>
      <c r="F561" s="6">
        <v>4626.76</v>
      </c>
      <c r="J561" s="47" t="e">
        <f t="shared" si="40"/>
        <v>#DIV/0!</v>
      </c>
      <c r="K561" s="47" t="e">
        <f t="shared" si="41"/>
        <v>#DIV/0!</v>
      </c>
      <c r="L561" s="8">
        <v>43.57</v>
      </c>
      <c r="O561" s="17" t="e">
        <f t="shared" si="42"/>
        <v>#DIV/0!</v>
      </c>
      <c r="P561" s="17" t="e">
        <f t="shared" si="43"/>
        <v>#DIV/0!</v>
      </c>
      <c r="R561" s="9">
        <v>5.24</v>
      </c>
      <c r="S561" s="9">
        <v>-6.49</v>
      </c>
      <c r="U561" s="9">
        <v>2146.35</v>
      </c>
      <c r="V561" s="45">
        <f t="shared" si="44"/>
        <v>-1</v>
      </c>
      <c r="X561" s="12">
        <v>1</v>
      </c>
      <c r="Y561" s="12">
        <v>20210730</v>
      </c>
    </row>
    <row r="562" spans="1:25" x14ac:dyDescent="0.45">
      <c r="A562" s="3" t="s">
        <v>1328</v>
      </c>
      <c r="B562" s="3" t="s">
        <v>1329</v>
      </c>
      <c r="C562" s="6" t="s">
        <v>518</v>
      </c>
      <c r="D562" s="6" t="s">
        <v>1042</v>
      </c>
      <c r="E562" s="6" t="s">
        <v>1043</v>
      </c>
      <c r="F562" s="6">
        <v>9737.9599999999991</v>
      </c>
      <c r="G562" s="2">
        <v>5.5</v>
      </c>
      <c r="H562" s="2">
        <v>9.1199999999999992</v>
      </c>
      <c r="I562" s="2">
        <v>10.33</v>
      </c>
      <c r="J562" s="47">
        <f t="shared" si="40"/>
        <v>0.65818181818181809</v>
      </c>
      <c r="K562" s="47">
        <f t="shared" si="41"/>
        <v>0.13267543859649134</v>
      </c>
      <c r="L562" s="8">
        <v>28.7</v>
      </c>
      <c r="M562" s="8">
        <v>20.45</v>
      </c>
      <c r="N562" s="8">
        <v>18.07</v>
      </c>
      <c r="O562" s="17">
        <f t="shared" si="42"/>
        <v>0.31070441988950276</v>
      </c>
      <c r="P562" s="17">
        <f t="shared" si="43"/>
        <v>1.3619702479338831</v>
      </c>
      <c r="Q562" s="5">
        <v>1.36</v>
      </c>
      <c r="R562" s="9">
        <v>14.26</v>
      </c>
      <c r="S562" s="9">
        <v>5</v>
      </c>
      <c r="T562" s="9">
        <v>4623.6328100000001</v>
      </c>
      <c r="U562" s="9">
        <v>4245.2</v>
      </c>
      <c r="V562" s="45">
        <f t="shared" si="44"/>
        <v>8.914369405446157E-2</v>
      </c>
      <c r="W562" s="12">
        <v>116.18</v>
      </c>
      <c r="X562" s="12">
        <v>1.1299999999999999</v>
      </c>
      <c r="Y562" s="12">
        <v>20210720</v>
      </c>
    </row>
    <row r="563" spans="1:25" x14ac:dyDescent="0.45">
      <c r="A563" s="3" t="s">
        <v>1330</v>
      </c>
      <c r="B563" s="3" t="s">
        <v>1331</v>
      </c>
      <c r="C563" s="6" t="s">
        <v>520</v>
      </c>
      <c r="D563" s="6" t="s">
        <v>279</v>
      </c>
      <c r="E563" s="6" t="s">
        <v>256</v>
      </c>
      <c r="F563" s="6">
        <v>103412.3</v>
      </c>
      <c r="G563" s="2">
        <v>2.4</v>
      </c>
      <c r="H563" s="2">
        <v>2.5299999999999998</v>
      </c>
      <c r="I563" s="2">
        <v>2.61</v>
      </c>
      <c r="J563" s="47">
        <f t="shared" si="40"/>
        <v>5.4166666666666627E-2</v>
      </c>
      <c r="K563" s="47">
        <f t="shared" si="41"/>
        <v>3.1620553359683827E-2</v>
      </c>
      <c r="M563" s="8">
        <v>44.99</v>
      </c>
      <c r="N563" s="8">
        <v>43.61</v>
      </c>
      <c r="O563" s="17">
        <f t="shared" si="42"/>
        <v>8.3058461538461614</v>
      </c>
      <c r="P563" s="17">
        <f t="shared" si="43"/>
        <v>13.791662499999987</v>
      </c>
      <c r="T563" s="9">
        <v>10231.719719999999</v>
      </c>
      <c r="U563" s="9">
        <v>9150.7999999999993</v>
      </c>
      <c r="V563" s="45">
        <f t="shared" si="44"/>
        <v>0.11812297504043362</v>
      </c>
      <c r="X563" s="12">
        <v>0.83</v>
      </c>
    </row>
    <row r="564" spans="1:25" x14ac:dyDescent="0.45">
      <c r="A564" s="3" t="s">
        <v>3787</v>
      </c>
      <c r="B564" s="3" t="s">
        <v>3788</v>
      </c>
      <c r="C564" s="6" t="s">
        <v>519</v>
      </c>
      <c r="D564" s="6" t="s">
        <v>189</v>
      </c>
      <c r="E564" s="6" t="s">
        <v>202</v>
      </c>
      <c r="F564" s="6">
        <v>3361.61</v>
      </c>
      <c r="G564" s="2">
        <v>1.42</v>
      </c>
      <c r="H564" s="2">
        <v>2.39</v>
      </c>
      <c r="I564" s="2">
        <v>2.38</v>
      </c>
      <c r="J564" s="47">
        <f t="shared" si="40"/>
        <v>0.68309859154929597</v>
      </c>
      <c r="K564" s="47">
        <f t="shared" si="41"/>
        <v>-4.1841004184101386E-3</v>
      </c>
      <c r="L564" s="8">
        <v>22.57</v>
      </c>
      <c r="M564" s="8">
        <v>21.25</v>
      </c>
      <c r="N564" s="8">
        <v>21.34</v>
      </c>
      <c r="O564" s="17">
        <f t="shared" si="42"/>
        <v>0.31108247422680402</v>
      </c>
      <c r="P564" s="17">
        <f t="shared" si="43"/>
        <v>-51.002599999998814</v>
      </c>
      <c r="Q564" s="5">
        <v>1.37</v>
      </c>
      <c r="R564" s="9">
        <v>59.68</v>
      </c>
      <c r="S564" s="9">
        <v>13.65</v>
      </c>
      <c r="T564" s="9">
        <v>855.75</v>
      </c>
      <c r="U564" s="9">
        <v>740.92</v>
      </c>
      <c r="V564" s="45">
        <f t="shared" si="44"/>
        <v>0.15498299411542413</v>
      </c>
      <c r="W564" s="12">
        <v>62.79</v>
      </c>
      <c r="X564" s="12">
        <v>0</v>
      </c>
      <c r="Y564" s="12">
        <v>20210809</v>
      </c>
    </row>
    <row r="565" spans="1:25" x14ac:dyDescent="0.45">
      <c r="A565" s="3" t="s">
        <v>4547</v>
      </c>
      <c r="B565" s="3" t="s">
        <v>4548</v>
      </c>
      <c r="C565" s="6" t="s">
        <v>520</v>
      </c>
      <c r="D565" s="6" t="s">
        <v>289</v>
      </c>
      <c r="E565" s="6" t="s">
        <v>4064</v>
      </c>
      <c r="F565" s="6">
        <v>44751.65</v>
      </c>
      <c r="J565" s="47" t="e">
        <f t="shared" si="40"/>
        <v>#DIV/0!</v>
      </c>
      <c r="K565" s="47" t="e">
        <f t="shared" si="41"/>
        <v>#DIV/0!</v>
      </c>
      <c r="L565" s="8">
        <v>8.65</v>
      </c>
      <c r="O565" s="17" t="e">
        <f t="shared" si="42"/>
        <v>#DIV/0!</v>
      </c>
      <c r="P565" s="17" t="e">
        <f t="shared" si="43"/>
        <v>#DIV/0!</v>
      </c>
      <c r="R565" s="9">
        <v>8.31</v>
      </c>
      <c r="S565" s="9">
        <v>1.54</v>
      </c>
      <c r="U565" s="9">
        <v>33805.879999999997</v>
      </c>
      <c r="V565" s="45">
        <f t="shared" si="44"/>
        <v>-1</v>
      </c>
      <c r="X565" s="12">
        <v>6.56</v>
      </c>
      <c r="Y565" s="12">
        <v>20210611</v>
      </c>
    </row>
    <row r="566" spans="1:25" x14ac:dyDescent="0.45">
      <c r="A566" s="3" t="s">
        <v>1332</v>
      </c>
      <c r="B566" s="3" t="s">
        <v>1333</v>
      </c>
      <c r="C566" s="6" t="s">
        <v>519</v>
      </c>
      <c r="D566" s="6" t="s">
        <v>309</v>
      </c>
      <c r="E566" s="6" t="s">
        <v>311</v>
      </c>
      <c r="F566" s="6">
        <v>74088.89</v>
      </c>
      <c r="G566" s="2">
        <v>3.61</v>
      </c>
      <c r="H566" s="2">
        <v>4.33</v>
      </c>
      <c r="I566" s="2">
        <v>4.88</v>
      </c>
      <c r="J566" s="47">
        <f t="shared" si="40"/>
        <v>0.19944598337950145</v>
      </c>
      <c r="K566" s="47">
        <f t="shared" si="41"/>
        <v>0.1270207852193995</v>
      </c>
      <c r="L566" s="8">
        <v>27.32</v>
      </c>
      <c r="M566" s="8">
        <v>22.58</v>
      </c>
      <c r="N566" s="8">
        <v>20.03</v>
      </c>
      <c r="O566" s="17">
        <f t="shared" si="42"/>
        <v>1.1321361111111108</v>
      </c>
      <c r="P566" s="17">
        <f t="shared" si="43"/>
        <v>1.5769072727272735</v>
      </c>
      <c r="Q566" s="5">
        <v>2.0299999999999998</v>
      </c>
      <c r="R566" s="9">
        <v>21.42</v>
      </c>
      <c r="S566" s="9">
        <v>-0.2</v>
      </c>
      <c r="T566" s="9">
        <v>11623.57617</v>
      </c>
      <c r="U566" s="9">
        <v>10583</v>
      </c>
      <c r="V566" s="45">
        <f t="shared" si="44"/>
        <v>9.8325254653689909E-2</v>
      </c>
      <c r="W566" s="12">
        <v>-2.11</v>
      </c>
      <c r="X566" s="12">
        <v>1.1399999999999999</v>
      </c>
      <c r="Y566" s="12">
        <v>20210728</v>
      </c>
    </row>
    <row r="567" spans="1:25" x14ac:dyDescent="0.45">
      <c r="A567" s="3" t="s">
        <v>1334</v>
      </c>
      <c r="B567" s="3" t="s">
        <v>1335</v>
      </c>
      <c r="C567" s="6" t="s">
        <v>519</v>
      </c>
      <c r="D567" s="6" t="s">
        <v>272</v>
      </c>
      <c r="E567" s="6" t="s">
        <v>1336</v>
      </c>
      <c r="F567" s="6">
        <v>36537.82</v>
      </c>
      <c r="G567" s="2">
        <v>10.08</v>
      </c>
      <c r="H567" s="2">
        <v>10.220000000000001</v>
      </c>
      <c r="I567" s="2">
        <v>11.14</v>
      </c>
      <c r="J567" s="47">
        <f t="shared" si="40"/>
        <v>1.3888888888888945E-2</v>
      </c>
      <c r="K567" s="47">
        <f t="shared" si="41"/>
        <v>9.0019569471624247E-2</v>
      </c>
      <c r="L567" s="8">
        <v>38.15</v>
      </c>
      <c r="M567" s="8">
        <v>34.03</v>
      </c>
      <c r="N567" s="8">
        <v>31.23</v>
      </c>
      <c r="O567" s="17">
        <f t="shared" si="42"/>
        <v>24.5015999999999</v>
      </c>
      <c r="P567" s="17">
        <f t="shared" si="43"/>
        <v>3.4692456521739139</v>
      </c>
      <c r="Q567" s="5">
        <v>3.49</v>
      </c>
      <c r="R567" s="9">
        <v>27.72</v>
      </c>
      <c r="S567" s="9">
        <v>8.76</v>
      </c>
      <c r="T567" s="9">
        <v>7663.0751899999996</v>
      </c>
      <c r="U567" s="9">
        <v>7085.12</v>
      </c>
      <c r="V567" s="45">
        <f t="shared" si="44"/>
        <v>8.1573098267919197E-2</v>
      </c>
      <c r="W567" s="12">
        <v>7.24</v>
      </c>
      <c r="X567" s="12">
        <v>0.86</v>
      </c>
      <c r="Y567" s="12">
        <v>20210722</v>
      </c>
    </row>
    <row r="568" spans="1:25" x14ac:dyDescent="0.45">
      <c r="A568" s="3" t="s">
        <v>1337</v>
      </c>
      <c r="B568" s="3" t="s">
        <v>1338</v>
      </c>
      <c r="C568" s="6" t="s">
        <v>518</v>
      </c>
      <c r="D568" s="6" t="s">
        <v>279</v>
      </c>
      <c r="E568" s="6" t="s">
        <v>258</v>
      </c>
      <c r="F568" s="6">
        <v>18277.650000000001</v>
      </c>
      <c r="G568" s="2">
        <v>2.06</v>
      </c>
      <c r="H568" s="2">
        <v>2.9</v>
      </c>
      <c r="I568" s="2">
        <v>3.4</v>
      </c>
      <c r="J568" s="47">
        <f t="shared" si="40"/>
        <v>0.40776699029126207</v>
      </c>
      <c r="K568" s="47">
        <f t="shared" si="41"/>
        <v>0.17241379310344829</v>
      </c>
      <c r="L568" s="8">
        <v>38.6</v>
      </c>
      <c r="M568" s="8">
        <v>36.94</v>
      </c>
      <c r="N568" s="8">
        <v>31.54</v>
      </c>
      <c r="O568" s="17">
        <f t="shared" si="42"/>
        <v>0.90590952380952394</v>
      </c>
      <c r="P568" s="17">
        <f t="shared" si="43"/>
        <v>1.8293199999999998</v>
      </c>
      <c r="Q568" s="5">
        <v>1.77</v>
      </c>
      <c r="R568" s="9">
        <v>13.88</v>
      </c>
      <c r="S568" s="9">
        <v>14.41</v>
      </c>
      <c r="T568" s="9">
        <v>3928.1210900000001</v>
      </c>
      <c r="U568" s="9">
        <v>3094.3</v>
      </c>
      <c r="V568" s="45">
        <f t="shared" si="44"/>
        <v>0.26947002229906597</v>
      </c>
      <c r="W568" s="12">
        <v>7.89</v>
      </c>
      <c r="X568" s="12">
        <v>0</v>
      </c>
      <c r="Y568" s="12">
        <v>20210830</v>
      </c>
    </row>
    <row r="569" spans="1:25" x14ac:dyDescent="0.45">
      <c r="A569" s="3" t="s">
        <v>4549</v>
      </c>
      <c r="B569" s="3" t="s">
        <v>4550</v>
      </c>
      <c r="C569" s="6" t="s">
        <v>520</v>
      </c>
      <c r="D569" s="6" t="s">
        <v>1042</v>
      </c>
      <c r="E569" s="6" t="s">
        <v>1043</v>
      </c>
      <c r="F569" s="6">
        <v>35082.86</v>
      </c>
      <c r="J569" s="47" t="e">
        <f t="shared" si="40"/>
        <v>#DIV/0!</v>
      </c>
      <c r="K569" s="47" t="e">
        <f t="shared" si="41"/>
        <v>#DIV/0!</v>
      </c>
      <c r="O569" s="17" t="e">
        <f t="shared" si="42"/>
        <v>#DIV/0!</v>
      </c>
      <c r="P569" s="17" t="e">
        <f t="shared" si="43"/>
        <v>#DIV/0!</v>
      </c>
      <c r="U569" s="9">
        <v>71291.16</v>
      </c>
      <c r="V569" s="45">
        <f t="shared" si="44"/>
        <v>-1</v>
      </c>
      <c r="X569" s="12">
        <v>3.66</v>
      </c>
    </row>
    <row r="570" spans="1:25" x14ac:dyDescent="0.45">
      <c r="A570" s="3" t="s">
        <v>1339</v>
      </c>
      <c r="B570" s="3" t="s">
        <v>1340</v>
      </c>
      <c r="C570" s="6" t="s">
        <v>520</v>
      </c>
      <c r="D570" s="6" t="s">
        <v>234</v>
      </c>
      <c r="E570" s="6" t="s">
        <v>523</v>
      </c>
      <c r="F570" s="6">
        <v>26184.240000000002</v>
      </c>
      <c r="G570" s="2">
        <v>6.14</v>
      </c>
      <c r="H570" s="2">
        <v>6.55</v>
      </c>
      <c r="I570" s="2">
        <v>7.11</v>
      </c>
      <c r="J570" s="47">
        <f t="shared" si="40"/>
        <v>6.6775244299674297E-2</v>
      </c>
      <c r="K570" s="47">
        <f t="shared" si="41"/>
        <v>8.5496183206106954E-2</v>
      </c>
      <c r="M570" s="8">
        <v>4.54</v>
      </c>
      <c r="N570" s="8">
        <v>4.17</v>
      </c>
      <c r="O570" s="17">
        <f t="shared" si="42"/>
        <v>0.67989268292682892</v>
      </c>
      <c r="P570" s="17">
        <f t="shared" si="43"/>
        <v>0.48774107142857093</v>
      </c>
      <c r="T570" s="9">
        <v>83137.367180000001</v>
      </c>
      <c r="U570" s="9">
        <v>67079.87</v>
      </c>
      <c r="V570" s="45">
        <f t="shared" si="44"/>
        <v>0.23937877607693644</v>
      </c>
      <c r="X570" s="12">
        <v>6.09</v>
      </c>
    </row>
    <row r="571" spans="1:25" x14ac:dyDescent="0.45">
      <c r="A571" s="3" t="s">
        <v>1341</v>
      </c>
      <c r="B571" s="3" t="s">
        <v>1342</v>
      </c>
      <c r="C571" s="6" t="s">
        <v>519</v>
      </c>
      <c r="D571" s="6" t="s">
        <v>189</v>
      </c>
      <c r="E571" s="6" t="s">
        <v>195</v>
      </c>
      <c r="F571" s="6">
        <v>37578.089999999997</v>
      </c>
      <c r="G571" s="2">
        <v>3.64</v>
      </c>
      <c r="H571" s="2">
        <v>3.98</v>
      </c>
      <c r="I571" s="2">
        <v>4.41</v>
      </c>
      <c r="J571" s="47">
        <f t="shared" si="40"/>
        <v>9.3406593406593366E-2</v>
      </c>
      <c r="K571" s="47">
        <f t="shared" si="41"/>
        <v>0.10804020100502516</v>
      </c>
      <c r="L571" s="8">
        <v>20.77</v>
      </c>
      <c r="M571" s="8">
        <v>17.920000000000002</v>
      </c>
      <c r="N571" s="8">
        <v>16.149999999999999</v>
      </c>
      <c r="O571" s="17">
        <f t="shared" si="42"/>
        <v>1.91849411764706</v>
      </c>
      <c r="P571" s="17">
        <f t="shared" si="43"/>
        <v>1.4948139534883715</v>
      </c>
      <c r="Q571" s="5">
        <v>1.63</v>
      </c>
      <c r="R571" s="9">
        <v>16.77</v>
      </c>
      <c r="S571" s="9">
        <v>5.96</v>
      </c>
      <c r="T571" s="9">
        <v>17972.462889999999</v>
      </c>
      <c r="U571" s="9">
        <v>16652</v>
      </c>
      <c r="V571" s="45">
        <f t="shared" si="44"/>
        <v>7.9297555248618715E-2</v>
      </c>
      <c r="W571" s="12">
        <v>3.19</v>
      </c>
      <c r="X571" s="12">
        <v>1.35</v>
      </c>
      <c r="Y571" s="12">
        <v>20210804</v>
      </c>
    </row>
    <row r="572" spans="1:25" x14ac:dyDescent="0.45">
      <c r="A572" s="3" t="s">
        <v>1343</v>
      </c>
      <c r="B572" s="3" t="s">
        <v>1344</v>
      </c>
      <c r="C572" s="6" t="s">
        <v>520</v>
      </c>
      <c r="D572" s="6" t="s">
        <v>46</v>
      </c>
      <c r="E572" s="6" t="s">
        <v>80</v>
      </c>
      <c r="F572" s="6">
        <v>31720.75</v>
      </c>
      <c r="G572" s="2">
        <v>-0.47</v>
      </c>
      <c r="H572" s="2">
        <v>1</v>
      </c>
      <c r="I572" s="2">
        <v>1.46</v>
      </c>
      <c r="J572" s="47">
        <f t="shared" si="40"/>
        <v>3.1276595744680851</v>
      </c>
      <c r="K572" s="47">
        <f t="shared" si="41"/>
        <v>0.45999999999999996</v>
      </c>
      <c r="M572" s="8">
        <v>15.86</v>
      </c>
      <c r="N572" s="8">
        <v>10.86</v>
      </c>
      <c r="O572" s="17">
        <f t="shared" si="42"/>
        <v>5.0708843537414963E-2</v>
      </c>
      <c r="P572" s="17">
        <f t="shared" si="43"/>
        <v>0.23608695652173911</v>
      </c>
      <c r="Q572" s="5">
        <v>0.42</v>
      </c>
      <c r="R572" s="9">
        <v>-5.64</v>
      </c>
      <c r="S572" s="9">
        <v>-0.55000000000000004</v>
      </c>
      <c r="T572" s="9">
        <v>45347.835930000001</v>
      </c>
      <c r="U572" s="9">
        <v>43086.52</v>
      </c>
      <c r="V572" s="45">
        <f t="shared" si="44"/>
        <v>5.2483141595097593E-2</v>
      </c>
      <c r="X572" s="12">
        <v>1.5</v>
      </c>
      <c r="Y572" s="12">
        <v>20210804</v>
      </c>
    </row>
    <row r="573" spans="1:25" x14ac:dyDescent="0.45">
      <c r="A573" s="3" t="s">
        <v>1345</v>
      </c>
      <c r="B573" s="3" t="s">
        <v>1346</v>
      </c>
      <c r="C573" s="6" t="s">
        <v>518</v>
      </c>
      <c r="D573" s="6" t="s">
        <v>225</v>
      </c>
      <c r="E573" s="6" t="s">
        <v>395</v>
      </c>
      <c r="F573" s="6">
        <v>33530.730000000003</v>
      </c>
      <c r="G573" s="2">
        <v>1.41</v>
      </c>
      <c r="H573" s="2">
        <v>1.91</v>
      </c>
      <c r="I573" s="2">
        <v>2.37</v>
      </c>
      <c r="J573" s="47">
        <f t="shared" si="40"/>
        <v>0.3546099290780142</v>
      </c>
      <c r="K573" s="47">
        <f t="shared" si="41"/>
        <v>0.24083769633507865</v>
      </c>
      <c r="L573" s="8">
        <v>26.76</v>
      </c>
      <c r="M573" s="8">
        <v>23.79</v>
      </c>
      <c r="N573" s="8">
        <v>19.170000000000002</v>
      </c>
      <c r="O573" s="17">
        <f t="shared" si="42"/>
        <v>0.67087799999999997</v>
      </c>
      <c r="P573" s="17">
        <f t="shared" si="43"/>
        <v>0.79597173913043451</v>
      </c>
      <c r="Q573" s="5">
        <v>1.6</v>
      </c>
      <c r="R573" s="9">
        <v>5.14</v>
      </c>
      <c r="T573" s="9">
        <v>14769.744140000001</v>
      </c>
      <c r="U573" s="9">
        <v>14217</v>
      </c>
      <c r="V573" s="45">
        <f t="shared" si="44"/>
        <v>3.8879098262643366E-2</v>
      </c>
      <c r="W573" s="12">
        <v>17.91</v>
      </c>
      <c r="X573" s="12">
        <v>1.1399999999999999</v>
      </c>
      <c r="Y573" s="12">
        <v>20210804</v>
      </c>
    </row>
    <row r="574" spans="1:25" x14ac:dyDescent="0.45">
      <c r="A574" s="3" t="s">
        <v>1347</v>
      </c>
      <c r="B574" s="3" t="s">
        <v>1348</v>
      </c>
      <c r="C574" s="6" t="s">
        <v>519</v>
      </c>
      <c r="D574" s="6" t="s">
        <v>189</v>
      </c>
      <c r="E574" s="6" t="s">
        <v>202</v>
      </c>
      <c r="F574" s="6">
        <v>14660.4</v>
      </c>
      <c r="G574" s="2">
        <v>5.96</v>
      </c>
      <c r="H574" s="2">
        <v>5.67</v>
      </c>
      <c r="I574" s="2">
        <v>6.79</v>
      </c>
      <c r="J574" s="47">
        <f t="shared" si="40"/>
        <v>-4.8657718120805375E-2</v>
      </c>
      <c r="K574" s="47">
        <f t="shared" si="41"/>
        <v>0.19753086419753088</v>
      </c>
      <c r="L574" s="8">
        <v>20.39</v>
      </c>
      <c r="M574" s="8">
        <v>20.82</v>
      </c>
      <c r="N574" s="8">
        <v>17.399999999999999</v>
      </c>
      <c r="O574" s="17">
        <f t="shared" si="42"/>
        <v>-4.2788689655172405</v>
      </c>
      <c r="P574" s="17">
        <f t="shared" si="43"/>
        <v>0.88087499999999985</v>
      </c>
      <c r="Q574" s="5">
        <v>1.61</v>
      </c>
      <c r="R574" s="9">
        <v>547.9</v>
      </c>
      <c r="S574" s="9">
        <v>-0.66</v>
      </c>
      <c r="T574" s="9">
        <v>3352.0668900000001</v>
      </c>
      <c r="U574" s="9">
        <v>3236.7</v>
      </c>
      <c r="V574" s="45">
        <f t="shared" si="44"/>
        <v>3.5643368245435243E-2</v>
      </c>
      <c r="W574" s="12">
        <v>0</v>
      </c>
      <c r="X574" s="12">
        <v>1.25</v>
      </c>
      <c r="Y574" s="12">
        <v>20210722</v>
      </c>
    </row>
    <row r="575" spans="1:25" x14ac:dyDescent="0.45">
      <c r="A575" s="3" t="s">
        <v>1349</v>
      </c>
      <c r="B575" s="3" t="s">
        <v>1350</v>
      </c>
      <c r="C575" s="6" t="s">
        <v>518</v>
      </c>
      <c r="D575" s="6" t="s">
        <v>234</v>
      </c>
      <c r="E575" s="6" t="s">
        <v>286</v>
      </c>
      <c r="F575" s="6">
        <v>9277.83</v>
      </c>
      <c r="G575" s="2">
        <v>1.67</v>
      </c>
      <c r="H575" s="2">
        <v>1.86</v>
      </c>
      <c r="I575" s="2">
        <v>1.93</v>
      </c>
      <c r="J575" s="47">
        <f t="shared" si="40"/>
        <v>0.11377245508982047</v>
      </c>
      <c r="K575" s="47">
        <f t="shared" si="41"/>
        <v>3.7634408602150449E-2</v>
      </c>
      <c r="L575" s="8">
        <v>25.72</v>
      </c>
      <c r="M575" s="8">
        <v>24.75</v>
      </c>
      <c r="N575" s="8">
        <v>23.85</v>
      </c>
      <c r="O575" s="17">
        <f t="shared" si="42"/>
        <v>2.1753947368421032</v>
      </c>
      <c r="P575" s="17">
        <f t="shared" si="43"/>
        <v>6.3372857142857288</v>
      </c>
      <c r="Q575" s="5">
        <v>4.95</v>
      </c>
      <c r="R575" s="9">
        <v>9.39</v>
      </c>
      <c r="S575" s="9">
        <v>7.64</v>
      </c>
      <c r="T575" s="9">
        <v>760.64801</v>
      </c>
      <c r="U575" s="9">
        <v>679.18</v>
      </c>
      <c r="V575" s="45">
        <f t="shared" si="44"/>
        <v>0.11995054330221747</v>
      </c>
      <c r="W575" s="12">
        <v>4.4400000000000004</v>
      </c>
      <c r="X575" s="12">
        <v>2.95</v>
      </c>
      <c r="Y575" s="12">
        <v>20210805</v>
      </c>
    </row>
    <row r="576" spans="1:25" x14ac:dyDescent="0.45">
      <c r="A576" s="3" t="s">
        <v>1100</v>
      </c>
      <c r="B576" s="3" t="s">
        <v>4551</v>
      </c>
      <c r="C576" s="6" t="s">
        <v>518</v>
      </c>
      <c r="D576" s="6" t="s">
        <v>216</v>
      </c>
      <c r="E576" s="6" t="s">
        <v>1102</v>
      </c>
      <c r="F576" s="6">
        <v>4898.74</v>
      </c>
      <c r="J576" s="47" t="e">
        <f t="shared" si="40"/>
        <v>#DIV/0!</v>
      </c>
      <c r="K576" s="47" t="e">
        <f t="shared" si="41"/>
        <v>#DIV/0!</v>
      </c>
      <c r="O576" s="17" t="e">
        <f t="shared" si="42"/>
        <v>#DIV/0!</v>
      </c>
      <c r="P576" s="17" t="e">
        <f t="shared" si="43"/>
        <v>#DIV/0!</v>
      </c>
      <c r="R576" s="9">
        <v>-39.14</v>
      </c>
      <c r="S576" s="9">
        <v>-20.170000000000002</v>
      </c>
      <c r="U576" s="9">
        <v>5595</v>
      </c>
      <c r="V576" s="45">
        <f t="shared" si="44"/>
        <v>-1</v>
      </c>
      <c r="X576" s="12">
        <v>0</v>
      </c>
      <c r="Y576" s="12">
        <v>20210709</v>
      </c>
    </row>
    <row r="577" spans="1:25" x14ac:dyDescent="0.45">
      <c r="A577" s="3" t="s">
        <v>4552</v>
      </c>
      <c r="B577" s="3" t="s">
        <v>4553</v>
      </c>
      <c r="C577" s="6" t="s">
        <v>520</v>
      </c>
      <c r="D577" s="6" t="s">
        <v>216</v>
      </c>
      <c r="E577" s="6" t="s">
        <v>946</v>
      </c>
      <c r="F577" s="6">
        <v>8223.76</v>
      </c>
      <c r="G577" s="2">
        <v>0.97</v>
      </c>
      <c r="J577" s="47">
        <f t="shared" si="40"/>
        <v>-1</v>
      </c>
      <c r="K577" s="47" t="e">
        <f t="shared" si="41"/>
        <v>#DIV/0!</v>
      </c>
      <c r="O577" s="17">
        <f t="shared" si="42"/>
        <v>0</v>
      </c>
      <c r="P577" s="17" t="e">
        <f t="shared" si="43"/>
        <v>#DIV/0!</v>
      </c>
      <c r="T577" s="9">
        <v>11929.20996</v>
      </c>
      <c r="U577" s="9">
        <v>10652.16</v>
      </c>
      <c r="V577" s="45">
        <f t="shared" si="44"/>
        <v>0.11988647936193225</v>
      </c>
      <c r="X577" s="12">
        <v>1.62</v>
      </c>
      <c r="Y577" s="12">
        <v>20210611</v>
      </c>
    </row>
    <row r="578" spans="1:25" x14ac:dyDescent="0.45">
      <c r="A578" s="3" t="s">
        <v>1351</v>
      </c>
      <c r="B578" s="3" t="s">
        <v>1352</v>
      </c>
      <c r="C578" s="6" t="s">
        <v>518</v>
      </c>
      <c r="D578" s="6" t="s">
        <v>234</v>
      </c>
      <c r="E578" s="6" t="s">
        <v>286</v>
      </c>
      <c r="F578" s="6">
        <v>5781.13</v>
      </c>
      <c r="G578" s="2">
        <v>2.8</v>
      </c>
      <c r="H578" s="2">
        <v>2.77</v>
      </c>
      <c r="I578" s="2">
        <v>2.82</v>
      </c>
      <c r="J578" s="47">
        <f t="shared" si="40"/>
        <v>-1.0714285714285645E-2</v>
      </c>
      <c r="K578" s="47">
        <f t="shared" si="41"/>
        <v>1.8050541516245425E-2</v>
      </c>
      <c r="L578" s="8">
        <v>14.3</v>
      </c>
      <c r="M578" s="8">
        <v>14.03</v>
      </c>
      <c r="N578" s="8">
        <v>13.78</v>
      </c>
      <c r="O578" s="17">
        <f t="shared" si="42"/>
        <v>-13.09466666666675</v>
      </c>
      <c r="P578" s="17">
        <f t="shared" si="43"/>
        <v>7.634120000000026</v>
      </c>
      <c r="Q578" s="5">
        <v>3.01</v>
      </c>
      <c r="R578" s="9">
        <v>2.0299999999999998</v>
      </c>
      <c r="S578" s="9">
        <v>17.2</v>
      </c>
      <c r="T578" s="9">
        <v>742.21397999999999</v>
      </c>
      <c r="U578" s="9">
        <v>740.34</v>
      </c>
      <c r="V578" s="45">
        <f t="shared" si="44"/>
        <v>2.5312424021395039E-3</v>
      </c>
      <c r="W578" s="12">
        <v>-1.43</v>
      </c>
      <c r="X578" s="12">
        <v>3.19</v>
      </c>
      <c r="Y578" s="12">
        <v>20210729</v>
      </c>
    </row>
    <row r="579" spans="1:25" x14ac:dyDescent="0.45">
      <c r="A579" s="3" t="s">
        <v>1353</v>
      </c>
      <c r="B579" s="3" t="s">
        <v>1354</v>
      </c>
      <c r="C579" s="6" t="s">
        <v>519</v>
      </c>
      <c r="D579" s="6" t="s">
        <v>279</v>
      </c>
      <c r="E579" s="6" t="s">
        <v>256</v>
      </c>
      <c r="F579" s="6">
        <v>19760.490000000002</v>
      </c>
      <c r="G579" s="2">
        <v>-2.86</v>
      </c>
      <c r="H579" s="2">
        <v>-2.1</v>
      </c>
      <c r="I579" s="2">
        <v>-2.4300000000000002</v>
      </c>
      <c r="J579" s="47">
        <f t="shared" ref="J579:J642" si="45">(H579-G579)/ABS(G579)</f>
        <v>0.26573426573426567</v>
      </c>
      <c r="K579" s="47">
        <f t="shared" ref="K579:K642" si="46">(I579-H579)/ABS(H579)</f>
        <v>-0.15714285714285717</v>
      </c>
      <c r="O579" s="17">
        <f t="shared" ref="O579:O642" si="47">M579/(J579*100)</f>
        <v>0</v>
      </c>
      <c r="P579" s="17">
        <f t="shared" ref="P579:P642" si="48">N579/(K579*100)</f>
        <v>0</v>
      </c>
      <c r="U579" s="9">
        <v>55.83</v>
      </c>
      <c r="V579" s="45">
        <f t="shared" ref="V579:V642" si="49">(T579-U579)/U579</f>
        <v>-1</v>
      </c>
      <c r="X579" s="12">
        <v>0</v>
      </c>
      <c r="Y579" s="12">
        <v>20210727</v>
      </c>
    </row>
    <row r="580" spans="1:25" x14ac:dyDescent="0.45">
      <c r="A580" s="3" t="s">
        <v>3789</v>
      </c>
      <c r="B580" s="3" t="s">
        <v>3790</v>
      </c>
      <c r="C580" s="6" t="s">
        <v>519</v>
      </c>
      <c r="D580" s="6" t="s">
        <v>234</v>
      </c>
      <c r="E580" s="6" t="s">
        <v>181</v>
      </c>
      <c r="F580" s="6">
        <v>3028.27</v>
      </c>
      <c r="G580" s="2">
        <v>1.27</v>
      </c>
      <c r="H580" s="2">
        <v>1.52</v>
      </c>
      <c r="I580" s="2">
        <v>1.4</v>
      </c>
      <c r="J580" s="47">
        <f t="shared" si="45"/>
        <v>0.19685039370078738</v>
      </c>
      <c r="K580" s="47">
        <f t="shared" si="46"/>
        <v>-7.8947368421052697E-2</v>
      </c>
      <c r="L580" s="8">
        <v>14.85</v>
      </c>
      <c r="M580" s="8">
        <v>14.7</v>
      </c>
      <c r="N580" s="8">
        <v>15.89</v>
      </c>
      <c r="O580" s="17">
        <f t="shared" si="47"/>
        <v>0.74676000000000009</v>
      </c>
      <c r="P580" s="17">
        <f t="shared" si="48"/>
        <v>-2.0127333333333315</v>
      </c>
      <c r="R580" s="9">
        <v>10.19</v>
      </c>
      <c r="S580" s="9">
        <v>14.86</v>
      </c>
      <c r="T580" s="9">
        <v>465.66699</v>
      </c>
      <c r="U580" s="9">
        <v>480.21</v>
      </c>
      <c r="V580" s="45">
        <f t="shared" si="49"/>
        <v>-3.0284687949022265E-2</v>
      </c>
      <c r="W580" s="12">
        <v>27.03</v>
      </c>
      <c r="X580" s="12">
        <v>3.23</v>
      </c>
      <c r="Y580" s="12">
        <v>20210728</v>
      </c>
    </row>
    <row r="581" spans="1:25" x14ac:dyDescent="0.45">
      <c r="A581" s="3" t="s">
        <v>1355</v>
      </c>
      <c r="B581" s="3" t="s">
        <v>1356</v>
      </c>
      <c r="C581" s="6" t="s">
        <v>518</v>
      </c>
      <c r="D581" s="6" t="s">
        <v>289</v>
      </c>
      <c r="E581" s="6" t="s">
        <v>1357</v>
      </c>
      <c r="F581" s="6">
        <v>19992.61</v>
      </c>
      <c r="G581" s="2">
        <v>-1.1299999999999999</v>
      </c>
      <c r="H581" s="2">
        <v>0.87</v>
      </c>
      <c r="I581" s="2">
        <v>0.62</v>
      </c>
      <c r="J581" s="47">
        <f t="shared" si="45"/>
        <v>1.7699115044247788</v>
      </c>
      <c r="K581" s="47">
        <f t="shared" si="46"/>
        <v>-0.28735632183908044</v>
      </c>
      <c r="M581" s="8">
        <v>11.39</v>
      </c>
      <c r="N581" s="8">
        <v>15.98</v>
      </c>
      <c r="O581" s="17">
        <f t="shared" si="47"/>
        <v>6.4353500000000008E-2</v>
      </c>
      <c r="P581" s="17">
        <f t="shared" si="48"/>
        <v>-0.55610400000000004</v>
      </c>
      <c r="R581" s="9">
        <v>-6.34</v>
      </c>
      <c r="S581" s="9">
        <v>7.75</v>
      </c>
      <c r="U581" s="9">
        <v>10145.950000000001</v>
      </c>
      <c r="V581" s="45">
        <f t="shared" si="49"/>
        <v>-1</v>
      </c>
      <c r="W581" s="12">
        <v>-33.33</v>
      </c>
      <c r="X581" s="12">
        <v>0</v>
      </c>
      <c r="Y581" s="12">
        <v>20210722</v>
      </c>
    </row>
    <row r="582" spans="1:25" x14ac:dyDescent="0.45">
      <c r="A582" s="3" t="s">
        <v>1358</v>
      </c>
      <c r="B582" s="3" t="s">
        <v>1359</v>
      </c>
      <c r="C582" s="6" t="s">
        <v>519</v>
      </c>
      <c r="D582" s="6" t="s">
        <v>189</v>
      </c>
      <c r="E582" s="6" t="s">
        <v>248</v>
      </c>
      <c r="F582" s="6">
        <v>3752.11</v>
      </c>
      <c r="G582" s="2">
        <v>0.85</v>
      </c>
      <c r="H582" s="2">
        <v>0.95</v>
      </c>
      <c r="I582" s="2">
        <v>1.1200000000000001</v>
      </c>
      <c r="J582" s="47">
        <f t="shared" si="45"/>
        <v>0.11764705882352938</v>
      </c>
      <c r="K582" s="47">
        <f t="shared" si="46"/>
        <v>0.1789473684210528</v>
      </c>
      <c r="L582" s="8">
        <v>32.700000000000003</v>
      </c>
      <c r="M582" s="8">
        <v>28.92</v>
      </c>
      <c r="N582" s="8">
        <v>24.53</v>
      </c>
      <c r="O582" s="17">
        <f t="shared" si="47"/>
        <v>2.4582000000000006</v>
      </c>
      <c r="P582" s="17">
        <f t="shared" si="48"/>
        <v>1.3707941176470575</v>
      </c>
      <c r="Q582" s="5">
        <v>1.34</v>
      </c>
      <c r="R582" s="9">
        <v>6.38</v>
      </c>
      <c r="T582" s="9">
        <v>4571.1381799999999</v>
      </c>
      <c r="U582" s="9">
        <v>4339</v>
      </c>
      <c r="V582" s="45">
        <f t="shared" si="49"/>
        <v>5.3500387185987534E-2</v>
      </c>
      <c r="W582" s="12">
        <v>22.22</v>
      </c>
      <c r="X582" s="12">
        <v>0</v>
      </c>
      <c r="Y582" s="12">
        <v>20210810</v>
      </c>
    </row>
    <row r="583" spans="1:25" x14ac:dyDescent="0.45">
      <c r="A583" s="3" t="s">
        <v>4095</v>
      </c>
      <c r="B583" s="3" t="s">
        <v>4096</v>
      </c>
      <c r="C583" s="6" t="s">
        <v>519</v>
      </c>
      <c r="D583" s="6" t="s">
        <v>189</v>
      </c>
      <c r="E583" s="6" t="s">
        <v>202</v>
      </c>
      <c r="F583" s="6">
        <v>3638.38</v>
      </c>
      <c r="G583" s="2">
        <v>2.02</v>
      </c>
      <c r="H583" s="2">
        <v>2.54</v>
      </c>
      <c r="I583" s="2">
        <v>3.11</v>
      </c>
      <c r="J583" s="47">
        <f t="shared" si="45"/>
        <v>0.25742574257425743</v>
      </c>
      <c r="K583" s="47">
        <f t="shared" si="46"/>
        <v>0.22440944881889757</v>
      </c>
      <c r="L583" s="8">
        <v>37.29</v>
      </c>
      <c r="M583" s="8">
        <v>31.08</v>
      </c>
      <c r="N583" s="8">
        <v>25.39</v>
      </c>
      <c r="O583" s="17">
        <f t="shared" si="47"/>
        <v>1.2073384615384615</v>
      </c>
      <c r="P583" s="17">
        <f t="shared" si="48"/>
        <v>1.1314140350877198</v>
      </c>
      <c r="Q583" s="5">
        <v>3.11</v>
      </c>
      <c r="R583" s="9">
        <v>7.93</v>
      </c>
      <c r="S583" s="9">
        <v>2.1800000000000002</v>
      </c>
      <c r="T583" s="9">
        <v>768.79998000000001</v>
      </c>
      <c r="U583" s="9">
        <v>723.47</v>
      </c>
      <c r="V583" s="45">
        <f t="shared" si="49"/>
        <v>6.2656336821153569E-2</v>
      </c>
      <c r="W583" s="12">
        <v>20.41</v>
      </c>
      <c r="X583" s="12">
        <v>0</v>
      </c>
      <c r="Y583" s="12">
        <v>20210727</v>
      </c>
    </row>
    <row r="584" spans="1:25" x14ac:dyDescent="0.45">
      <c r="A584" s="3" t="s">
        <v>1360</v>
      </c>
      <c r="B584" s="3" t="s">
        <v>1361</v>
      </c>
      <c r="C584" s="6" t="s">
        <v>518</v>
      </c>
      <c r="D584" s="6" t="s">
        <v>303</v>
      </c>
      <c r="E584" s="6" t="s">
        <v>245</v>
      </c>
      <c r="F584" s="6">
        <v>45597.05</v>
      </c>
      <c r="G584" s="2">
        <v>-2.29</v>
      </c>
      <c r="H584" s="2">
        <v>-1.62</v>
      </c>
      <c r="I584" s="2">
        <v>-0.56000000000000005</v>
      </c>
      <c r="J584" s="47">
        <f t="shared" si="45"/>
        <v>0.29257641921397376</v>
      </c>
      <c r="K584" s="47">
        <f t="shared" si="46"/>
        <v>0.65432098765432101</v>
      </c>
      <c r="O584" s="17">
        <f t="shared" si="47"/>
        <v>0</v>
      </c>
      <c r="P584" s="17">
        <f t="shared" si="48"/>
        <v>0</v>
      </c>
      <c r="R584" s="9">
        <v>-13.1</v>
      </c>
      <c r="S584" s="9">
        <v>98.07</v>
      </c>
      <c r="T584" s="9">
        <v>9707.0107399999997</v>
      </c>
      <c r="U584" s="9">
        <v>5586.56</v>
      </c>
      <c r="V584" s="45">
        <f t="shared" si="49"/>
        <v>0.73756493083400143</v>
      </c>
      <c r="W584" s="12">
        <v>34.29</v>
      </c>
      <c r="X584" s="12">
        <v>0</v>
      </c>
      <c r="Y584" s="12">
        <v>20210804</v>
      </c>
    </row>
    <row r="585" spans="1:25" x14ac:dyDescent="0.45">
      <c r="A585" s="3" t="s">
        <v>1362</v>
      </c>
      <c r="B585" s="3" t="s">
        <v>1363</v>
      </c>
      <c r="C585" s="6" t="s">
        <v>518</v>
      </c>
      <c r="D585" s="6" t="s">
        <v>303</v>
      </c>
      <c r="E585" s="6" t="s">
        <v>293</v>
      </c>
      <c r="F585" s="6">
        <v>111842.43</v>
      </c>
      <c r="G585" s="2">
        <v>7.43</v>
      </c>
      <c r="H585" s="2">
        <v>7.64</v>
      </c>
      <c r="I585" s="2">
        <v>8.17</v>
      </c>
      <c r="J585" s="47">
        <f t="shared" si="45"/>
        <v>2.8263795423956926E-2</v>
      </c>
      <c r="K585" s="47">
        <f t="shared" si="46"/>
        <v>6.9371727748691131E-2</v>
      </c>
      <c r="L585" s="8">
        <v>11.12</v>
      </c>
      <c r="M585" s="8">
        <v>11.11</v>
      </c>
      <c r="N585" s="8">
        <v>10.39</v>
      </c>
      <c r="O585" s="17">
        <f t="shared" si="47"/>
        <v>3.9308238095238099</v>
      </c>
      <c r="P585" s="17">
        <f t="shared" si="48"/>
        <v>1.4977283018867917</v>
      </c>
      <c r="Q585" s="5">
        <v>1.66</v>
      </c>
      <c r="R585" s="9">
        <v>14.45</v>
      </c>
      <c r="S585" s="9">
        <v>12.23</v>
      </c>
      <c r="T585" s="9">
        <v>281636.8125</v>
      </c>
      <c r="U585" s="9">
        <v>268706</v>
      </c>
      <c r="V585" s="45">
        <f t="shared" si="49"/>
        <v>4.8122529828139304E-2</v>
      </c>
      <c r="W585" s="12">
        <v>18.600000000000001</v>
      </c>
      <c r="X585" s="12">
        <v>2.35</v>
      </c>
      <c r="Y585" s="12">
        <v>20210804</v>
      </c>
    </row>
    <row r="586" spans="1:25" x14ac:dyDescent="0.45">
      <c r="A586" s="3" t="s">
        <v>1364</v>
      </c>
      <c r="B586" s="3" t="s">
        <v>1365</v>
      </c>
      <c r="C586" s="6" t="s">
        <v>518</v>
      </c>
      <c r="D586" s="6" t="s">
        <v>289</v>
      </c>
      <c r="E586" s="6" t="s">
        <v>275</v>
      </c>
      <c r="F586" s="6">
        <v>207806.2</v>
      </c>
      <c r="G586" s="2">
        <v>0.04</v>
      </c>
      <c r="H586" s="2">
        <v>5.52</v>
      </c>
      <c r="I586" s="2">
        <v>5.86</v>
      </c>
      <c r="J586" s="47">
        <f t="shared" si="45"/>
        <v>136.99999999999997</v>
      </c>
      <c r="K586" s="47">
        <f t="shared" si="46"/>
        <v>6.1594202898550866E-2</v>
      </c>
      <c r="M586" s="8">
        <v>19.52</v>
      </c>
      <c r="N586" s="8">
        <v>18.39</v>
      </c>
      <c r="O586" s="17">
        <f t="shared" si="47"/>
        <v>1.4248175182481756E-3</v>
      </c>
      <c r="P586" s="17">
        <f t="shared" si="48"/>
        <v>2.9856705882352874</v>
      </c>
      <c r="Q586" s="5">
        <v>3.9</v>
      </c>
      <c r="R586" s="9">
        <v>-0.82</v>
      </c>
      <c r="S586" s="9">
        <v>-1.69</v>
      </c>
      <c r="T586" s="9">
        <v>135912.625</v>
      </c>
      <c r="U586" s="9">
        <v>94692</v>
      </c>
      <c r="V586" s="45">
        <f t="shared" si="49"/>
        <v>0.43531264520762047</v>
      </c>
      <c r="W586" s="12">
        <v>-2.17</v>
      </c>
      <c r="X586" s="12">
        <v>4.97</v>
      </c>
      <c r="Y586" s="12">
        <v>20210730</v>
      </c>
    </row>
    <row r="587" spans="1:25" x14ac:dyDescent="0.45">
      <c r="A587" s="3" t="s">
        <v>1366</v>
      </c>
      <c r="B587" s="3" t="s">
        <v>1367</v>
      </c>
      <c r="C587" s="6" t="s">
        <v>518</v>
      </c>
      <c r="D587" s="6" t="s">
        <v>10</v>
      </c>
      <c r="E587" s="6" t="s">
        <v>29</v>
      </c>
      <c r="F587" s="6">
        <v>5177.05</v>
      </c>
      <c r="G587" s="2">
        <v>6.83</v>
      </c>
      <c r="H587" s="2">
        <v>7.26</v>
      </c>
      <c r="I587" s="2">
        <v>7.94</v>
      </c>
      <c r="J587" s="47">
        <f t="shared" si="45"/>
        <v>6.2957540263543152E-2</v>
      </c>
      <c r="K587" s="47">
        <f t="shared" si="46"/>
        <v>9.3663911845730113E-2</v>
      </c>
      <c r="L587" s="8">
        <v>17.91</v>
      </c>
      <c r="M587" s="8">
        <v>17.43</v>
      </c>
      <c r="N587" s="8">
        <v>15.92</v>
      </c>
      <c r="O587" s="17">
        <f t="shared" si="47"/>
        <v>2.7685325581395368</v>
      </c>
      <c r="P587" s="17">
        <f t="shared" si="48"/>
        <v>1.6996941176470572</v>
      </c>
      <c r="R587" s="9">
        <v>16.440000000000001</v>
      </c>
      <c r="S587" s="9">
        <v>3.41</v>
      </c>
      <c r="T587" s="9">
        <v>2484.2680599999999</v>
      </c>
      <c r="U587" s="9">
        <v>2391.34</v>
      </c>
      <c r="V587" s="45">
        <f t="shared" si="49"/>
        <v>3.8860245719972784E-2</v>
      </c>
      <c r="W587" s="12">
        <v>16.149999999999999</v>
      </c>
      <c r="X587" s="12">
        <v>0.54</v>
      </c>
      <c r="Y587" s="12">
        <v>20210802</v>
      </c>
    </row>
    <row r="588" spans="1:25" x14ac:dyDescent="0.45">
      <c r="A588" s="3" t="s">
        <v>1368</v>
      </c>
      <c r="B588" s="3" t="s">
        <v>1369</v>
      </c>
      <c r="C588" s="6" t="s">
        <v>518</v>
      </c>
      <c r="D588" s="6" t="s">
        <v>289</v>
      </c>
      <c r="E588" s="6" t="s">
        <v>430</v>
      </c>
      <c r="F588" s="6">
        <v>5562.62</v>
      </c>
      <c r="G588" s="2">
        <v>1.1000000000000001</v>
      </c>
      <c r="H588" s="2">
        <v>0.72</v>
      </c>
      <c r="I588" s="2">
        <v>1.03</v>
      </c>
      <c r="J588" s="47">
        <f t="shared" si="45"/>
        <v>-0.34545454545454551</v>
      </c>
      <c r="K588" s="47">
        <f t="shared" si="46"/>
        <v>0.43055555555555564</v>
      </c>
      <c r="L588" s="8">
        <v>24.17</v>
      </c>
      <c r="M588" s="8">
        <v>38.28</v>
      </c>
      <c r="N588" s="8">
        <v>26.69</v>
      </c>
      <c r="O588" s="17">
        <f t="shared" si="47"/>
        <v>-1.1081052631578945</v>
      </c>
      <c r="P588" s="17">
        <f t="shared" si="48"/>
        <v>0.61989677419354827</v>
      </c>
      <c r="Q588" s="5">
        <v>1.49</v>
      </c>
      <c r="R588" s="9">
        <v>5.19</v>
      </c>
      <c r="S588" s="9">
        <v>4.3899999999999997</v>
      </c>
      <c r="T588" s="9">
        <v>1234.9050199999999</v>
      </c>
      <c r="U588" s="9">
        <v>1199</v>
      </c>
      <c r="V588" s="45">
        <f t="shared" si="49"/>
        <v>2.9945804837364406E-2</v>
      </c>
      <c r="W588" s="12">
        <v>183.78</v>
      </c>
      <c r="X588" s="12">
        <v>4.78</v>
      </c>
      <c r="Y588" s="12">
        <v>20210805</v>
      </c>
    </row>
    <row r="589" spans="1:25" x14ac:dyDescent="0.45">
      <c r="A589" s="3" t="s">
        <v>4097</v>
      </c>
      <c r="B589" s="3" t="s">
        <v>4098</v>
      </c>
      <c r="C589" s="6" t="s">
        <v>518</v>
      </c>
      <c r="D589" s="6" t="s">
        <v>216</v>
      </c>
      <c r="E589" s="6" t="s">
        <v>1102</v>
      </c>
      <c r="F589" s="6">
        <v>3528.66</v>
      </c>
      <c r="G589" s="2">
        <v>3.41</v>
      </c>
      <c r="H589" s="2">
        <v>4.55</v>
      </c>
      <c r="I589" s="2">
        <v>4.41</v>
      </c>
      <c r="J589" s="47">
        <f t="shared" si="45"/>
        <v>0.33431085043988257</v>
      </c>
      <c r="K589" s="47">
        <f t="shared" si="46"/>
        <v>-3.0769230769230702E-2</v>
      </c>
      <c r="L589" s="8">
        <v>7.84</v>
      </c>
      <c r="M589" s="8">
        <v>8.75</v>
      </c>
      <c r="N589" s="8">
        <v>9.0399999999999991</v>
      </c>
      <c r="O589" s="17">
        <f t="shared" si="47"/>
        <v>0.26173245614035101</v>
      </c>
      <c r="P589" s="17">
        <f t="shared" si="48"/>
        <v>-2.9380000000000064</v>
      </c>
      <c r="Q589" s="5">
        <v>0.25</v>
      </c>
      <c r="R589" s="9">
        <v>1838.22</v>
      </c>
      <c r="S589" s="9">
        <v>10.17</v>
      </c>
      <c r="T589" s="9">
        <v>6581.1162100000001</v>
      </c>
      <c r="U589" s="9">
        <v>5446.59</v>
      </c>
      <c r="V589" s="45">
        <f t="shared" si="49"/>
        <v>0.20830027778848784</v>
      </c>
      <c r="W589" s="12">
        <v>159.26</v>
      </c>
      <c r="X589" s="12">
        <v>0.9</v>
      </c>
      <c r="Y589" s="12">
        <v>20210804</v>
      </c>
    </row>
    <row r="590" spans="1:25" x14ac:dyDescent="0.45">
      <c r="A590" s="3" t="s">
        <v>1370</v>
      </c>
      <c r="B590" s="3" t="s">
        <v>1371</v>
      </c>
      <c r="C590" s="6" t="s">
        <v>518</v>
      </c>
      <c r="D590" s="6" t="s">
        <v>234</v>
      </c>
      <c r="E590" s="6" t="s">
        <v>284</v>
      </c>
      <c r="F590" s="6">
        <v>4090.4</v>
      </c>
      <c r="G590" s="2">
        <v>0.72</v>
      </c>
      <c r="H590" s="2">
        <v>1.1399999999999999</v>
      </c>
      <c r="I590" s="2">
        <v>1.51</v>
      </c>
      <c r="J590" s="47">
        <f t="shared" si="45"/>
        <v>0.58333333333333326</v>
      </c>
      <c r="K590" s="47">
        <f t="shared" si="46"/>
        <v>0.32456140350877205</v>
      </c>
      <c r="L590" s="8">
        <v>20.62</v>
      </c>
      <c r="M590" s="8">
        <v>16.13</v>
      </c>
      <c r="N590" s="8">
        <v>12.12</v>
      </c>
      <c r="O590" s="17">
        <f t="shared" si="47"/>
        <v>0.27651428571428571</v>
      </c>
      <c r="P590" s="17">
        <f t="shared" si="48"/>
        <v>0.37342702702702685</v>
      </c>
      <c r="Q590" s="5">
        <v>1.61</v>
      </c>
      <c r="R590" s="9">
        <v>-17.07</v>
      </c>
      <c r="T590" s="9">
        <v>8143.0839800000003</v>
      </c>
      <c r="U590" s="9">
        <v>7843.7</v>
      </c>
      <c r="V590" s="45">
        <f t="shared" si="49"/>
        <v>3.816871884442298E-2</v>
      </c>
      <c r="W590" s="12">
        <v>237.5</v>
      </c>
      <c r="X590" s="12">
        <v>0</v>
      </c>
      <c r="Y590" s="12">
        <v>20210805</v>
      </c>
    </row>
    <row r="591" spans="1:25" x14ac:dyDescent="0.45">
      <c r="A591" s="3" t="s">
        <v>3791</v>
      </c>
      <c r="B591" s="3" t="s">
        <v>3792</v>
      </c>
      <c r="C591" s="6" t="s">
        <v>519</v>
      </c>
      <c r="D591" s="6" t="s">
        <v>272</v>
      </c>
      <c r="E591" s="6" t="s">
        <v>1408</v>
      </c>
      <c r="F591" s="6">
        <v>3392.03</v>
      </c>
      <c r="G591" s="2">
        <v>0.84</v>
      </c>
      <c r="H591" s="2">
        <v>0.79</v>
      </c>
      <c r="I591" s="2">
        <v>1</v>
      </c>
      <c r="J591" s="47">
        <f t="shared" si="45"/>
        <v>-5.9523809523809444E-2</v>
      </c>
      <c r="K591" s="47">
        <f t="shared" si="46"/>
        <v>0.2658227848101265</v>
      </c>
      <c r="L591" s="8">
        <v>73.38</v>
      </c>
      <c r="M591" s="8">
        <v>83.17</v>
      </c>
      <c r="N591" s="8">
        <v>65.709999999999994</v>
      </c>
      <c r="O591" s="17">
        <f t="shared" si="47"/>
        <v>-13.972560000000019</v>
      </c>
      <c r="P591" s="17">
        <f t="shared" si="48"/>
        <v>2.4719476190476195</v>
      </c>
      <c r="R591" s="9">
        <v>17.54</v>
      </c>
      <c r="S591" s="9">
        <v>8.6300000000000008</v>
      </c>
      <c r="T591" s="9">
        <v>826.70001000000002</v>
      </c>
      <c r="U591" s="9">
        <v>774.58</v>
      </c>
      <c r="V591" s="45">
        <f t="shared" si="49"/>
        <v>6.7288091610937503E-2</v>
      </c>
      <c r="W591" s="12">
        <v>125</v>
      </c>
      <c r="X591" s="12">
        <v>0</v>
      </c>
      <c r="Y591" s="12">
        <v>20210802</v>
      </c>
    </row>
    <row r="592" spans="1:25" x14ac:dyDescent="0.45">
      <c r="A592" s="3" t="s">
        <v>4554</v>
      </c>
      <c r="B592" s="3" t="s">
        <v>4555</v>
      </c>
      <c r="C592" s="6" t="s">
        <v>520</v>
      </c>
      <c r="D592" s="6" t="s">
        <v>234</v>
      </c>
      <c r="E592" s="6" t="s">
        <v>288</v>
      </c>
      <c r="F592" s="6">
        <v>4246.9799999999996</v>
      </c>
      <c r="J592" s="47" t="e">
        <f t="shared" si="45"/>
        <v>#DIV/0!</v>
      </c>
      <c r="K592" s="47" t="e">
        <f t="shared" si="46"/>
        <v>#DIV/0!</v>
      </c>
      <c r="L592" s="8">
        <v>15.22</v>
      </c>
      <c r="O592" s="17" t="e">
        <f t="shared" si="47"/>
        <v>#DIV/0!</v>
      </c>
      <c r="P592" s="17" t="e">
        <f t="shared" si="48"/>
        <v>#DIV/0!</v>
      </c>
      <c r="R592" s="9">
        <v>1.65</v>
      </c>
      <c r="S592" s="9">
        <v>1.01</v>
      </c>
      <c r="U592" s="9">
        <v>599.51</v>
      </c>
      <c r="V592" s="45">
        <f t="shared" si="49"/>
        <v>-1</v>
      </c>
      <c r="X592" s="12">
        <v>3.28</v>
      </c>
      <c r="Y592" s="12">
        <v>20210805</v>
      </c>
    </row>
    <row r="593" spans="1:25" x14ac:dyDescent="0.45">
      <c r="A593" s="3" t="s">
        <v>1372</v>
      </c>
      <c r="B593" s="3" t="s">
        <v>1373</v>
      </c>
      <c r="C593" s="6" t="s">
        <v>518</v>
      </c>
      <c r="D593" s="6" t="s">
        <v>210</v>
      </c>
      <c r="E593" s="6" t="s">
        <v>188</v>
      </c>
      <c r="F593" s="6">
        <v>12325.67</v>
      </c>
      <c r="G593" s="2">
        <v>-0.14000000000000001</v>
      </c>
      <c r="H593" s="2">
        <v>0.66</v>
      </c>
      <c r="I593" s="2">
        <v>0.59</v>
      </c>
      <c r="J593" s="47">
        <f t="shared" si="45"/>
        <v>5.7142857142857144</v>
      </c>
      <c r="K593" s="47">
        <f t="shared" si="46"/>
        <v>-0.10606060606060615</v>
      </c>
      <c r="M593" s="8">
        <v>12.63</v>
      </c>
      <c r="N593" s="8">
        <v>14.12</v>
      </c>
      <c r="O593" s="17">
        <f t="shared" si="47"/>
        <v>2.2102500000000001E-2</v>
      </c>
      <c r="P593" s="17">
        <f t="shared" si="48"/>
        <v>-1.3313142857142846</v>
      </c>
      <c r="Q593" s="5">
        <v>0.3</v>
      </c>
      <c r="R593" s="9">
        <v>-7.74</v>
      </c>
      <c r="S593" s="9">
        <v>-1.19</v>
      </c>
      <c r="T593" s="9">
        <v>14325.875</v>
      </c>
      <c r="U593" s="9">
        <v>12970.49</v>
      </c>
      <c r="V593" s="45">
        <f t="shared" si="49"/>
        <v>0.10449759415411447</v>
      </c>
      <c r="X593" s="12">
        <v>0</v>
      </c>
      <c r="Y593" s="12">
        <v>20210726</v>
      </c>
    </row>
    <row r="594" spans="1:25" x14ac:dyDescent="0.45">
      <c r="A594" s="3" t="s">
        <v>4556</v>
      </c>
      <c r="B594" s="3" t="s">
        <v>4557</v>
      </c>
      <c r="C594" s="6" t="s">
        <v>520</v>
      </c>
      <c r="D594" s="6" t="s">
        <v>189</v>
      </c>
      <c r="E594" s="6" t="s">
        <v>247</v>
      </c>
      <c r="F594" s="6">
        <v>9745.0300000000007</v>
      </c>
      <c r="J594" s="47" t="e">
        <f t="shared" si="45"/>
        <v>#DIV/0!</v>
      </c>
      <c r="K594" s="47" t="e">
        <f t="shared" si="46"/>
        <v>#DIV/0!</v>
      </c>
      <c r="L594" s="8">
        <v>20.95</v>
      </c>
      <c r="O594" s="17" t="e">
        <f t="shared" si="47"/>
        <v>#DIV/0!</v>
      </c>
      <c r="P594" s="17" t="e">
        <f t="shared" si="48"/>
        <v>#DIV/0!</v>
      </c>
      <c r="R594" s="9">
        <v>10.61</v>
      </c>
      <c r="U594" s="9">
        <v>4438.8599999999997</v>
      </c>
      <c r="V594" s="45">
        <f t="shared" si="49"/>
        <v>-1</v>
      </c>
      <c r="X594" s="12">
        <v>0</v>
      </c>
      <c r="Y594" s="12">
        <v>20210428</v>
      </c>
    </row>
    <row r="595" spans="1:25" x14ac:dyDescent="0.45">
      <c r="A595" s="3" t="s">
        <v>1374</v>
      </c>
      <c r="B595" s="3" t="s">
        <v>1375</v>
      </c>
      <c r="C595" s="6" t="s">
        <v>519</v>
      </c>
      <c r="D595" s="6" t="s">
        <v>189</v>
      </c>
      <c r="E595" s="6" t="s">
        <v>433</v>
      </c>
      <c r="F595" s="6">
        <v>5182.75</v>
      </c>
      <c r="G595" s="2">
        <v>1.82</v>
      </c>
      <c r="H595" s="2">
        <v>0.54</v>
      </c>
      <c r="I595" s="2">
        <v>0.65</v>
      </c>
      <c r="J595" s="47">
        <f t="shared" si="45"/>
        <v>-0.70329670329670324</v>
      </c>
      <c r="K595" s="47">
        <f t="shared" si="46"/>
        <v>0.20370370370370366</v>
      </c>
      <c r="L595" s="8">
        <v>80.849999999999994</v>
      </c>
      <c r="M595" s="8">
        <v>245.95</v>
      </c>
      <c r="N595" s="8">
        <v>205.42</v>
      </c>
      <c r="O595" s="17">
        <f t="shared" si="47"/>
        <v>-3.4971015625000001</v>
      </c>
      <c r="P595" s="17">
        <f t="shared" si="48"/>
        <v>10.084254545454547</v>
      </c>
      <c r="Q595" s="5">
        <v>20.25</v>
      </c>
      <c r="R595" s="9">
        <v>0.76</v>
      </c>
      <c r="S595" s="9">
        <v>23.04</v>
      </c>
      <c r="T595" s="9">
        <v>492.69799</v>
      </c>
      <c r="U595" s="9">
        <v>464.43</v>
      </c>
      <c r="V595" s="45">
        <f t="shared" si="49"/>
        <v>6.0865986262730654E-2</v>
      </c>
      <c r="W595" s="12">
        <v>200</v>
      </c>
      <c r="X595" s="12">
        <v>0</v>
      </c>
      <c r="Y595" s="12">
        <v>20210803</v>
      </c>
    </row>
    <row r="596" spans="1:25" x14ac:dyDescent="0.45">
      <c r="A596" s="3" t="s">
        <v>1376</v>
      </c>
      <c r="B596" s="3" t="s">
        <v>1377</v>
      </c>
      <c r="C596" s="6" t="s">
        <v>520</v>
      </c>
      <c r="D596" s="6" t="s">
        <v>189</v>
      </c>
      <c r="E596" s="6" t="s">
        <v>247</v>
      </c>
      <c r="F596" s="6">
        <v>9608.42</v>
      </c>
      <c r="G596" s="2">
        <v>0.1</v>
      </c>
      <c r="H596" s="2">
        <v>0.03</v>
      </c>
      <c r="I596" s="2">
        <v>0.04</v>
      </c>
      <c r="J596" s="47">
        <f t="shared" si="45"/>
        <v>-0.70000000000000007</v>
      </c>
      <c r="K596" s="47">
        <f t="shared" si="46"/>
        <v>0.33333333333333343</v>
      </c>
      <c r="L596" s="8">
        <v>66.67</v>
      </c>
      <c r="M596" s="8">
        <v>380</v>
      </c>
      <c r="N596" s="8">
        <v>271.43</v>
      </c>
      <c r="O596" s="17">
        <f t="shared" si="47"/>
        <v>-5.4285714285714288</v>
      </c>
      <c r="P596" s="17">
        <f t="shared" si="48"/>
        <v>8.1428999999999974</v>
      </c>
      <c r="T596" s="9">
        <v>5162.1098599999996</v>
      </c>
      <c r="U596" s="9">
        <v>4124.6899999999996</v>
      </c>
      <c r="V596" s="45">
        <f t="shared" si="49"/>
        <v>0.25151462534154084</v>
      </c>
      <c r="X596" s="12">
        <v>0.31</v>
      </c>
      <c r="Y596" s="12">
        <v>20210616</v>
      </c>
    </row>
    <row r="597" spans="1:25" x14ac:dyDescent="0.45">
      <c r="A597" s="3" t="s">
        <v>1378</v>
      </c>
      <c r="B597" s="3" t="s">
        <v>1379</v>
      </c>
      <c r="C597" s="6" t="s">
        <v>519</v>
      </c>
      <c r="D597" s="6" t="s">
        <v>216</v>
      </c>
      <c r="E597" s="6" t="s">
        <v>1102</v>
      </c>
      <c r="F597" s="6">
        <v>23130.07</v>
      </c>
      <c r="G597" s="2">
        <v>-11.75</v>
      </c>
      <c r="H597" s="2">
        <v>-1.77</v>
      </c>
      <c r="I597" s="2">
        <v>2.16</v>
      </c>
      <c r="J597" s="47">
        <f t="shared" si="45"/>
        <v>0.8493617021276596</v>
      </c>
      <c r="K597" s="47">
        <f t="shared" si="46"/>
        <v>2.2203389830508473</v>
      </c>
      <c r="N597" s="8">
        <v>51.36</v>
      </c>
      <c r="O597" s="17">
        <f t="shared" si="47"/>
        <v>0</v>
      </c>
      <c r="P597" s="17">
        <f t="shared" si="48"/>
        <v>0.23131603053435115</v>
      </c>
      <c r="R597" s="9">
        <v>-53.13</v>
      </c>
      <c r="S597" s="9">
        <v>36.54</v>
      </c>
      <c r="T597" s="9">
        <v>9004.1855400000004</v>
      </c>
      <c r="U597" s="9">
        <v>3474</v>
      </c>
      <c r="V597" s="45">
        <f t="shared" si="49"/>
        <v>1.5918783937823835</v>
      </c>
      <c r="W597" s="12">
        <v>-21.89</v>
      </c>
      <c r="X597" s="12">
        <v>0</v>
      </c>
      <c r="Y597" s="12">
        <v>20210805</v>
      </c>
    </row>
    <row r="598" spans="1:25" x14ac:dyDescent="0.45">
      <c r="A598" s="3" t="s">
        <v>1380</v>
      </c>
      <c r="B598" s="3" t="s">
        <v>1381</v>
      </c>
      <c r="C598" s="6" t="s">
        <v>518</v>
      </c>
      <c r="D598" s="6" t="s">
        <v>327</v>
      </c>
      <c r="E598" s="6" t="s">
        <v>321</v>
      </c>
      <c r="F598" s="6">
        <v>61699.11</v>
      </c>
      <c r="G598" s="2">
        <v>3.59</v>
      </c>
      <c r="H598" s="2">
        <v>3.86</v>
      </c>
      <c r="I598" s="2">
        <v>4.1100000000000003</v>
      </c>
      <c r="J598" s="47">
        <f t="shared" si="45"/>
        <v>7.5208913649025072E-2</v>
      </c>
      <c r="K598" s="47">
        <f t="shared" si="46"/>
        <v>6.4766839378238461E-2</v>
      </c>
      <c r="L598" s="8">
        <v>20.13</v>
      </c>
      <c r="M598" s="8">
        <v>19.84</v>
      </c>
      <c r="N598" s="8">
        <v>18.62</v>
      </c>
      <c r="O598" s="17">
        <f t="shared" si="47"/>
        <v>2.637985185185185</v>
      </c>
      <c r="P598" s="17">
        <f t="shared" si="48"/>
        <v>2.8749279999999948</v>
      </c>
      <c r="Q598" s="5">
        <v>2.95</v>
      </c>
      <c r="R598" s="9">
        <v>12.39</v>
      </c>
      <c r="S598" s="9">
        <v>8.7799999999999994</v>
      </c>
      <c r="T598" s="9">
        <v>14981.400390000001</v>
      </c>
      <c r="U598" s="9">
        <v>14172</v>
      </c>
      <c r="V598" s="45">
        <f t="shared" si="49"/>
        <v>5.7112643945808686E-2</v>
      </c>
      <c r="W598" s="12">
        <v>0.93</v>
      </c>
      <c r="X598" s="12">
        <v>3.29</v>
      </c>
      <c r="Y598" s="12">
        <v>20210730</v>
      </c>
    </row>
    <row r="599" spans="1:25" x14ac:dyDescent="0.45">
      <c r="A599" s="3" t="s">
        <v>1382</v>
      </c>
      <c r="B599" s="3" t="s">
        <v>1383</v>
      </c>
      <c r="C599" s="6" t="s">
        <v>519</v>
      </c>
      <c r="D599" s="6" t="s">
        <v>175</v>
      </c>
      <c r="E599" s="6" t="s">
        <v>305</v>
      </c>
      <c r="F599" s="6">
        <v>7281.62</v>
      </c>
      <c r="G599" s="2">
        <v>-1.45</v>
      </c>
      <c r="H599" s="2">
        <v>-1.39</v>
      </c>
      <c r="I599" s="2">
        <v>-0.45</v>
      </c>
      <c r="J599" s="47">
        <f t="shared" si="45"/>
        <v>4.1379310344827627E-2</v>
      </c>
      <c r="K599" s="47">
        <f t="shared" si="46"/>
        <v>0.67625899280575541</v>
      </c>
      <c r="O599" s="17">
        <f t="shared" si="47"/>
        <v>0</v>
      </c>
      <c r="P599" s="17">
        <f t="shared" si="48"/>
        <v>0</v>
      </c>
      <c r="R599" s="9">
        <v>-34.89</v>
      </c>
      <c r="T599" s="9">
        <v>964.75701000000004</v>
      </c>
      <c r="U599" s="9">
        <v>831.87</v>
      </c>
      <c r="V599" s="45">
        <f t="shared" si="49"/>
        <v>0.15974492408669627</v>
      </c>
      <c r="W599" s="12">
        <v>2.44</v>
      </c>
      <c r="X599" s="12">
        <v>0</v>
      </c>
      <c r="Y599" s="12">
        <v>20210823</v>
      </c>
    </row>
    <row r="600" spans="1:25" x14ac:dyDescent="0.45">
      <c r="A600" s="3" t="s">
        <v>1384</v>
      </c>
      <c r="B600" s="3" t="s">
        <v>1385</v>
      </c>
      <c r="C600" s="6" t="s">
        <v>518</v>
      </c>
      <c r="D600" s="6" t="s">
        <v>309</v>
      </c>
      <c r="E600" s="6" t="s">
        <v>307</v>
      </c>
      <c r="F600" s="6">
        <v>29756.37</v>
      </c>
      <c r="G600" s="2">
        <v>-10.71</v>
      </c>
      <c r="H600" s="2">
        <v>-3.97</v>
      </c>
      <c r="I600" s="2">
        <v>4.1100000000000003</v>
      </c>
      <c r="J600" s="47">
        <f t="shared" si="45"/>
        <v>0.62931839402427636</v>
      </c>
      <c r="K600" s="47">
        <f t="shared" si="46"/>
        <v>2.0352644836272038</v>
      </c>
      <c r="N600" s="8">
        <v>11.31</v>
      </c>
      <c r="O600" s="17">
        <f t="shared" si="47"/>
        <v>0</v>
      </c>
      <c r="P600" s="17">
        <f t="shared" si="48"/>
        <v>5.5570173267326745E-2</v>
      </c>
      <c r="R600" s="9">
        <v>-249.42</v>
      </c>
      <c r="S600" s="9">
        <v>-11.7</v>
      </c>
      <c r="T600" s="9">
        <v>27267.478510000001</v>
      </c>
      <c r="U600" s="9">
        <v>17095</v>
      </c>
      <c r="V600" s="45">
        <f t="shared" si="49"/>
        <v>0.59505577712781521</v>
      </c>
      <c r="W600" s="12">
        <v>-15.26</v>
      </c>
      <c r="X600" s="12">
        <v>0</v>
      </c>
      <c r="Y600" s="12">
        <v>20210713</v>
      </c>
    </row>
    <row r="601" spans="1:25" x14ac:dyDescent="0.45">
      <c r="A601" s="3" t="s">
        <v>3793</v>
      </c>
      <c r="B601" s="3" t="s">
        <v>3794</v>
      </c>
      <c r="C601" s="6" t="s">
        <v>518</v>
      </c>
      <c r="D601" s="6" t="s">
        <v>46</v>
      </c>
      <c r="E601" s="6" t="s">
        <v>80</v>
      </c>
      <c r="F601" s="6">
        <v>3868.07</v>
      </c>
      <c r="G601" s="2">
        <v>0.51</v>
      </c>
      <c r="H601" s="2">
        <v>2.44</v>
      </c>
      <c r="I601" s="2">
        <v>3.32</v>
      </c>
      <c r="J601" s="47">
        <f t="shared" si="45"/>
        <v>3.784313725490196</v>
      </c>
      <c r="K601" s="47">
        <f t="shared" si="46"/>
        <v>0.36065573770491799</v>
      </c>
      <c r="L601" s="8">
        <v>45.95</v>
      </c>
      <c r="M601" s="8">
        <v>10.92</v>
      </c>
      <c r="N601" s="8">
        <v>8.0299999999999994</v>
      </c>
      <c r="O601" s="17">
        <f t="shared" si="47"/>
        <v>2.8855958549222797E-2</v>
      </c>
      <c r="P601" s="17">
        <f t="shared" si="48"/>
        <v>0.22265000000000004</v>
      </c>
      <c r="Q601" s="5">
        <v>1.19</v>
      </c>
      <c r="R601" s="9">
        <v>4.7699999999999996</v>
      </c>
      <c r="S601" s="9">
        <v>6.21</v>
      </c>
      <c r="T601" s="9">
        <v>8789.75</v>
      </c>
      <c r="U601" s="9">
        <v>7106</v>
      </c>
      <c r="V601" s="45">
        <f t="shared" si="49"/>
        <v>0.23694764987334646</v>
      </c>
      <c r="W601" s="12">
        <v>43.48</v>
      </c>
      <c r="X601" s="12">
        <v>1.5</v>
      </c>
      <c r="Y601" s="12">
        <v>20210729</v>
      </c>
    </row>
    <row r="602" spans="1:25" x14ac:dyDescent="0.45">
      <c r="A602" s="3" t="s">
        <v>1386</v>
      </c>
      <c r="B602" s="3" t="s">
        <v>1387</v>
      </c>
      <c r="C602" s="6" t="s">
        <v>520</v>
      </c>
      <c r="D602" s="6" t="s">
        <v>225</v>
      </c>
      <c r="E602" s="6" t="s">
        <v>226</v>
      </c>
      <c r="F602" s="6">
        <v>49228.77</v>
      </c>
      <c r="G602" s="2">
        <v>0.79</v>
      </c>
      <c r="H602" s="2">
        <v>0.75</v>
      </c>
      <c r="I602" s="2">
        <v>0.84</v>
      </c>
      <c r="J602" s="47">
        <f t="shared" si="45"/>
        <v>-5.0632911392405104E-2</v>
      </c>
      <c r="K602" s="47">
        <f t="shared" si="46"/>
        <v>0.11999999999999995</v>
      </c>
      <c r="M602" s="8">
        <v>19.010000000000002</v>
      </c>
      <c r="N602" s="8">
        <v>17.079999999999998</v>
      </c>
      <c r="O602" s="17">
        <f t="shared" si="47"/>
        <v>-3.7544749999999976</v>
      </c>
      <c r="P602" s="17">
        <f t="shared" si="48"/>
        <v>1.4233333333333338</v>
      </c>
      <c r="Q602" s="5">
        <v>3.91</v>
      </c>
      <c r="T602" s="9">
        <v>28526.89257</v>
      </c>
      <c r="U602" s="9">
        <v>26978.83</v>
      </c>
      <c r="V602" s="45">
        <f t="shared" si="49"/>
        <v>5.7380641414027149E-2</v>
      </c>
      <c r="X602" s="12">
        <v>2.59</v>
      </c>
    </row>
    <row r="603" spans="1:25" x14ac:dyDescent="0.45">
      <c r="A603" s="3" t="s">
        <v>1388</v>
      </c>
      <c r="B603" s="3" t="s">
        <v>1389</v>
      </c>
      <c r="C603" s="6" t="s">
        <v>518</v>
      </c>
      <c r="D603" s="6" t="s">
        <v>175</v>
      </c>
      <c r="E603" s="6" t="s">
        <v>305</v>
      </c>
      <c r="F603" s="6">
        <v>3078.45</v>
      </c>
      <c r="G603" s="2">
        <v>-2.48</v>
      </c>
      <c r="H603" s="2">
        <v>-2.72</v>
      </c>
      <c r="I603" s="2">
        <v>-1.66</v>
      </c>
      <c r="J603" s="47">
        <f t="shared" si="45"/>
        <v>-9.6774193548387177E-2</v>
      </c>
      <c r="K603" s="47">
        <f t="shared" si="46"/>
        <v>0.38970588235294124</v>
      </c>
      <c r="O603" s="17">
        <f t="shared" si="47"/>
        <v>0</v>
      </c>
      <c r="P603" s="17">
        <f t="shared" si="48"/>
        <v>0</v>
      </c>
      <c r="T603" s="9">
        <v>909.41497000000004</v>
      </c>
      <c r="U603" s="9">
        <v>485.44</v>
      </c>
      <c r="V603" s="45">
        <f t="shared" si="49"/>
        <v>0.87338284854976933</v>
      </c>
      <c r="X603" s="12">
        <v>0</v>
      </c>
      <c r="Y603" s="12">
        <v>20210812</v>
      </c>
    </row>
    <row r="604" spans="1:25" x14ac:dyDescent="0.45">
      <c r="A604" s="3" t="s">
        <v>1390</v>
      </c>
      <c r="B604" s="3" t="s">
        <v>1391</v>
      </c>
      <c r="C604" s="6" t="s">
        <v>518</v>
      </c>
      <c r="D604" s="6" t="s">
        <v>225</v>
      </c>
      <c r="E604" s="6" t="s">
        <v>226</v>
      </c>
      <c r="F604" s="6">
        <v>12187.33</v>
      </c>
      <c r="G604" s="2">
        <v>1.89</v>
      </c>
      <c r="H604" s="2">
        <v>2.85</v>
      </c>
      <c r="I604" s="2">
        <v>4.53</v>
      </c>
      <c r="J604" s="47">
        <f t="shared" si="45"/>
        <v>0.50793650793650802</v>
      </c>
      <c r="K604" s="47">
        <f t="shared" si="46"/>
        <v>0.58947368421052637</v>
      </c>
      <c r="L604" s="8">
        <v>31.78</v>
      </c>
      <c r="M604" s="8">
        <v>26.23</v>
      </c>
      <c r="N604" s="8">
        <v>16.489999999999998</v>
      </c>
      <c r="O604" s="17">
        <f t="shared" si="47"/>
        <v>0.51640312499999985</v>
      </c>
      <c r="P604" s="17">
        <f t="shared" si="48"/>
        <v>0.27974107142857135</v>
      </c>
      <c r="R604" s="9">
        <v>13.67</v>
      </c>
      <c r="S604" s="9">
        <v>0.28000000000000003</v>
      </c>
      <c r="T604" s="9">
        <v>4136.2250899999999</v>
      </c>
      <c r="U604" s="9">
        <v>3571.92</v>
      </c>
      <c r="V604" s="45">
        <f t="shared" si="49"/>
        <v>0.15798368664471762</v>
      </c>
      <c r="W604" s="12">
        <v>57.89</v>
      </c>
      <c r="X604" s="12">
        <v>0</v>
      </c>
      <c r="Y604" s="12">
        <v>20210804</v>
      </c>
    </row>
    <row r="605" spans="1:25" x14ac:dyDescent="0.45">
      <c r="A605" s="3" t="s">
        <v>1392</v>
      </c>
      <c r="B605" s="3" t="s">
        <v>1393</v>
      </c>
      <c r="C605" s="6" t="s">
        <v>518</v>
      </c>
      <c r="D605" s="6" t="s">
        <v>189</v>
      </c>
      <c r="E605" s="6" t="s">
        <v>247</v>
      </c>
      <c r="F605" s="6">
        <v>44633.27</v>
      </c>
      <c r="G605" s="2">
        <v>-2.23</v>
      </c>
      <c r="H605" s="2">
        <v>-0.99</v>
      </c>
      <c r="I605" s="2">
        <v>-0.6</v>
      </c>
      <c r="J605" s="47">
        <f t="shared" si="45"/>
        <v>0.55605381165919288</v>
      </c>
      <c r="K605" s="47">
        <f t="shared" si="46"/>
        <v>0.39393939393939398</v>
      </c>
      <c r="O605" s="17">
        <f t="shared" si="47"/>
        <v>0</v>
      </c>
      <c r="P605" s="17">
        <f t="shared" si="48"/>
        <v>0</v>
      </c>
      <c r="T605" s="9">
        <v>4101.4140600000001</v>
      </c>
      <c r="U605" s="9">
        <v>2886</v>
      </c>
      <c r="V605" s="45">
        <f t="shared" si="49"/>
        <v>0.42114139293139297</v>
      </c>
      <c r="W605" s="12">
        <v>-47.83</v>
      </c>
      <c r="X605" s="12">
        <v>0</v>
      </c>
      <c r="Y605" s="12">
        <v>20210812</v>
      </c>
    </row>
    <row r="606" spans="1:25" x14ac:dyDescent="0.45">
      <c r="A606" s="3" t="s">
        <v>1394</v>
      </c>
      <c r="B606" s="3" t="s">
        <v>1395</v>
      </c>
      <c r="C606" s="6" t="s">
        <v>520</v>
      </c>
      <c r="D606" s="6" t="s">
        <v>189</v>
      </c>
      <c r="E606" s="6" t="s">
        <v>202</v>
      </c>
      <c r="F606" s="6">
        <v>61153.61</v>
      </c>
      <c r="G606" s="2">
        <v>4.47</v>
      </c>
      <c r="H606" s="2">
        <v>5.12</v>
      </c>
      <c r="I606" s="2">
        <v>5.69</v>
      </c>
      <c r="J606" s="47">
        <f t="shared" si="45"/>
        <v>0.1454138702460851</v>
      </c>
      <c r="K606" s="47">
        <f t="shared" si="46"/>
        <v>0.11132812500000006</v>
      </c>
      <c r="L606" s="8">
        <v>49.54</v>
      </c>
      <c r="M606" s="8">
        <v>45.03</v>
      </c>
      <c r="N606" s="8">
        <v>40.479999999999997</v>
      </c>
      <c r="O606" s="17">
        <f t="shared" si="47"/>
        <v>3.0966784615384597</v>
      </c>
      <c r="P606" s="17">
        <f t="shared" si="48"/>
        <v>3.6360982456140332</v>
      </c>
      <c r="Q606" s="5">
        <v>3.55</v>
      </c>
      <c r="R606" s="9">
        <v>16.37</v>
      </c>
      <c r="S606" s="9">
        <v>10.79</v>
      </c>
      <c r="T606" s="9">
        <v>5750.0419899999997</v>
      </c>
      <c r="U606" s="9">
        <v>5085.32</v>
      </c>
      <c r="V606" s="45">
        <f t="shared" si="49"/>
        <v>0.13071389607733633</v>
      </c>
      <c r="W606" s="12">
        <v>12.3</v>
      </c>
      <c r="X606" s="12">
        <v>0.25</v>
      </c>
      <c r="Y606" s="12">
        <v>20210722</v>
      </c>
    </row>
    <row r="607" spans="1:25" x14ac:dyDescent="0.45">
      <c r="A607" s="3" t="s">
        <v>1396</v>
      </c>
      <c r="B607" s="3" t="s">
        <v>1397</v>
      </c>
      <c r="C607" s="6" t="s">
        <v>518</v>
      </c>
      <c r="D607" s="6" t="s">
        <v>189</v>
      </c>
      <c r="E607" s="6" t="s">
        <v>204</v>
      </c>
      <c r="F607" s="6">
        <v>5518.41</v>
      </c>
      <c r="G607" s="2">
        <v>1.1399999999999999</v>
      </c>
      <c r="H607" s="2">
        <v>1.75</v>
      </c>
      <c r="I607" s="2">
        <v>2.0699999999999998</v>
      </c>
      <c r="J607" s="47">
        <f t="shared" si="45"/>
        <v>0.53508771929824572</v>
      </c>
      <c r="K607" s="47">
        <f t="shared" si="46"/>
        <v>0.18285714285714277</v>
      </c>
      <c r="L607" s="8">
        <v>70.31</v>
      </c>
      <c r="M607" s="8">
        <v>59.41</v>
      </c>
      <c r="N607" s="8">
        <v>50.39</v>
      </c>
      <c r="O607" s="17">
        <f t="shared" si="47"/>
        <v>1.110285245901639</v>
      </c>
      <c r="P607" s="17">
        <f t="shared" si="48"/>
        <v>2.7557031250000015</v>
      </c>
      <c r="Q607" s="5">
        <v>2.38</v>
      </c>
      <c r="R607" s="9">
        <v>13.26</v>
      </c>
      <c r="T607" s="9">
        <v>623.25598000000002</v>
      </c>
      <c r="U607" s="9">
        <v>435.42</v>
      </c>
      <c r="V607" s="45">
        <f t="shared" si="49"/>
        <v>0.43139033576776448</v>
      </c>
      <c r="W607" s="12">
        <v>20.51</v>
      </c>
      <c r="X607" s="12">
        <v>0</v>
      </c>
      <c r="Y607" s="12">
        <v>20210921</v>
      </c>
    </row>
    <row r="608" spans="1:25" x14ac:dyDescent="0.45">
      <c r="A608" s="3" t="s">
        <v>1398</v>
      </c>
      <c r="B608" s="3" t="s">
        <v>1399</v>
      </c>
      <c r="C608" s="6" t="s">
        <v>518</v>
      </c>
      <c r="D608" s="6" t="s">
        <v>234</v>
      </c>
      <c r="E608" s="6" t="s">
        <v>105</v>
      </c>
      <c r="F608" s="6">
        <v>30174.84</v>
      </c>
      <c r="G608" s="2">
        <v>-0.03</v>
      </c>
      <c r="H608" s="2">
        <v>1</v>
      </c>
      <c r="I608" s="2">
        <v>1.52</v>
      </c>
      <c r="J608" s="47">
        <f t="shared" si="45"/>
        <v>34.333333333333336</v>
      </c>
      <c r="K608" s="47">
        <f t="shared" si="46"/>
        <v>0.52</v>
      </c>
      <c r="L608" s="8">
        <v>22.46</v>
      </c>
      <c r="M608" s="8">
        <v>14.67</v>
      </c>
      <c r="N608" s="8">
        <v>9.57</v>
      </c>
      <c r="O608" s="17">
        <f t="shared" si="47"/>
        <v>4.2728155339805821E-3</v>
      </c>
      <c r="P608" s="17">
        <f t="shared" si="48"/>
        <v>0.18403846153846154</v>
      </c>
      <c r="Q608" s="5">
        <v>0.36</v>
      </c>
      <c r="R608" s="9">
        <v>2.27</v>
      </c>
      <c r="S608" s="9">
        <v>-5.48</v>
      </c>
      <c r="T608" s="9">
        <v>29328.769530000001</v>
      </c>
      <c r="U608" s="9">
        <v>33372.74</v>
      </c>
      <c r="V608" s="45">
        <f t="shared" si="49"/>
        <v>-0.1211758599983099</v>
      </c>
      <c r="X608" s="12">
        <v>0</v>
      </c>
      <c r="Y608" s="12">
        <v>20210804</v>
      </c>
    </row>
    <row r="609" spans="1:25" x14ac:dyDescent="0.45">
      <c r="A609" s="3" t="s">
        <v>4099</v>
      </c>
      <c r="B609" s="3" t="s">
        <v>4100</v>
      </c>
      <c r="C609" s="6" t="s">
        <v>520</v>
      </c>
      <c r="D609" s="6" t="s">
        <v>234</v>
      </c>
      <c r="E609" s="6" t="s">
        <v>1079</v>
      </c>
      <c r="F609" s="6">
        <v>30685</v>
      </c>
      <c r="G609" s="2">
        <v>0.75</v>
      </c>
      <c r="H609" s="2">
        <v>0.81</v>
      </c>
      <c r="I609" s="2">
        <v>0.92</v>
      </c>
      <c r="J609" s="47">
        <f t="shared" si="45"/>
        <v>8.0000000000000071E-2</v>
      </c>
      <c r="K609" s="47">
        <f t="shared" si="46"/>
        <v>0.13580246913580243</v>
      </c>
      <c r="L609" s="8">
        <v>21.82</v>
      </c>
      <c r="M609" s="8">
        <v>19.940000000000001</v>
      </c>
      <c r="N609" s="8">
        <v>17.55</v>
      </c>
      <c r="O609" s="17">
        <f t="shared" si="47"/>
        <v>2.4924999999999979</v>
      </c>
      <c r="P609" s="17">
        <f t="shared" si="48"/>
        <v>1.2923181818181821</v>
      </c>
      <c r="R609" s="9">
        <v>18.940000000000001</v>
      </c>
      <c r="S609" s="9">
        <v>10.85</v>
      </c>
      <c r="T609" s="9">
        <v>4277.1098599999996</v>
      </c>
      <c r="U609" s="9">
        <v>3670.81</v>
      </c>
      <c r="V609" s="45">
        <f t="shared" si="49"/>
        <v>0.1651678675823591</v>
      </c>
      <c r="W609" s="12">
        <v>20</v>
      </c>
      <c r="X609" s="12">
        <v>1.47</v>
      </c>
      <c r="Y609" s="12">
        <v>20210616</v>
      </c>
    </row>
    <row r="610" spans="1:25" x14ac:dyDescent="0.45">
      <c r="A610" s="3" t="s">
        <v>1400</v>
      </c>
      <c r="B610" s="3" t="s">
        <v>1401</v>
      </c>
      <c r="C610" s="6" t="s">
        <v>520</v>
      </c>
      <c r="D610" s="6" t="s">
        <v>234</v>
      </c>
      <c r="E610" s="6" t="s">
        <v>105</v>
      </c>
      <c r="F610" s="6">
        <v>57841.4</v>
      </c>
      <c r="G610" s="2">
        <v>5.18</v>
      </c>
      <c r="H610" s="2">
        <v>7.37</v>
      </c>
      <c r="I610" s="2">
        <v>8.15</v>
      </c>
      <c r="J610" s="47">
        <f t="shared" si="45"/>
        <v>0.42277992277992288</v>
      </c>
      <c r="K610" s="47">
        <f t="shared" si="46"/>
        <v>0.1058344640434193</v>
      </c>
      <c r="M610" s="8">
        <v>12.28</v>
      </c>
      <c r="N610" s="8">
        <v>11.1</v>
      </c>
      <c r="O610" s="17">
        <f t="shared" si="47"/>
        <v>0.2904584474885844</v>
      </c>
      <c r="P610" s="17">
        <f t="shared" si="48"/>
        <v>1.0488076923076921</v>
      </c>
      <c r="T610" s="9">
        <v>10950.214840000001</v>
      </c>
      <c r="U610" s="9">
        <v>12858.05</v>
      </c>
      <c r="V610" s="45">
        <f t="shared" si="49"/>
        <v>-0.14837671030988361</v>
      </c>
      <c r="X610" s="12">
        <v>2.17</v>
      </c>
    </row>
    <row r="611" spans="1:25" x14ac:dyDescent="0.45">
      <c r="A611" s="3" t="s">
        <v>1402</v>
      </c>
      <c r="B611" s="3" t="s">
        <v>1403</v>
      </c>
      <c r="C611" s="6" t="s">
        <v>519</v>
      </c>
      <c r="D611" s="6" t="s">
        <v>189</v>
      </c>
      <c r="E611" s="6" t="s">
        <v>247</v>
      </c>
      <c r="F611" s="6">
        <v>11663.2</v>
      </c>
      <c r="G611" s="2">
        <v>0.88</v>
      </c>
      <c r="H611" s="2">
        <v>1.33</v>
      </c>
      <c r="I611" s="2">
        <v>1.53</v>
      </c>
      <c r="J611" s="47">
        <f t="shared" si="45"/>
        <v>0.51136363636363646</v>
      </c>
      <c r="K611" s="47">
        <f t="shared" si="46"/>
        <v>0.15037593984962402</v>
      </c>
      <c r="L611" s="8">
        <v>26.19</v>
      </c>
      <c r="M611" s="8">
        <v>21.92</v>
      </c>
      <c r="N611" s="8">
        <v>19</v>
      </c>
      <c r="O611" s="17">
        <f t="shared" si="47"/>
        <v>0.42865777777777769</v>
      </c>
      <c r="P611" s="17">
        <f t="shared" si="48"/>
        <v>1.2635000000000003</v>
      </c>
      <c r="Q611" s="5">
        <v>0.54</v>
      </c>
      <c r="R611" s="9">
        <v>43.7</v>
      </c>
      <c r="S611" s="9">
        <v>19.329999999999998</v>
      </c>
      <c r="T611" s="9">
        <v>2124.1799299999998</v>
      </c>
      <c r="U611" s="9">
        <v>1913.9</v>
      </c>
      <c r="V611" s="45">
        <f t="shared" si="49"/>
        <v>0.10986986258425188</v>
      </c>
      <c r="W611" s="12">
        <v>16.670000000000002</v>
      </c>
      <c r="X611" s="12">
        <v>0</v>
      </c>
      <c r="Y611" s="12">
        <v>20210805</v>
      </c>
    </row>
    <row r="612" spans="1:25" x14ac:dyDescent="0.45">
      <c r="A612" s="3" t="s">
        <v>1404</v>
      </c>
      <c r="B612" s="3" t="s">
        <v>1405</v>
      </c>
      <c r="C612" s="6" t="s">
        <v>520</v>
      </c>
      <c r="D612" s="6" t="s">
        <v>175</v>
      </c>
      <c r="E612" s="6" t="s">
        <v>194</v>
      </c>
      <c r="F612" s="6">
        <v>7586.93</v>
      </c>
      <c r="G612" s="2">
        <v>5.07</v>
      </c>
      <c r="H612" s="2">
        <v>5.86</v>
      </c>
      <c r="I612" s="2">
        <v>6.14</v>
      </c>
      <c r="J612" s="47">
        <f t="shared" si="45"/>
        <v>0.15581854043392504</v>
      </c>
      <c r="K612" s="47">
        <f t="shared" si="46"/>
        <v>4.7781569965870192E-2</v>
      </c>
      <c r="M612" s="8">
        <v>14.51</v>
      </c>
      <c r="N612" s="8">
        <v>13.85</v>
      </c>
      <c r="O612" s="17">
        <f t="shared" si="47"/>
        <v>0.93121139240506334</v>
      </c>
      <c r="P612" s="17">
        <f t="shared" si="48"/>
        <v>2.8986071428571498</v>
      </c>
      <c r="T612" s="9">
        <v>19276.085930000001</v>
      </c>
      <c r="U612" s="9">
        <v>17547.11</v>
      </c>
      <c r="V612" s="45">
        <f t="shared" si="49"/>
        <v>9.8533372732033969E-2</v>
      </c>
      <c r="X612" s="12">
        <v>0</v>
      </c>
      <c r="Y612" s="12">
        <v>20210817</v>
      </c>
    </row>
    <row r="613" spans="1:25" x14ac:dyDescent="0.45">
      <c r="A613" s="3" t="s">
        <v>1406</v>
      </c>
      <c r="B613" s="3" t="s">
        <v>1407</v>
      </c>
      <c r="C613" s="6" t="s">
        <v>518</v>
      </c>
      <c r="D613" s="6" t="s">
        <v>272</v>
      </c>
      <c r="E613" s="6" t="s">
        <v>1408</v>
      </c>
      <c r="F613" s="6">
        <v>7807.6</v>
      </c>
      <c r="G613" s="2">
        <v>1.95</v>
      </c>
      <c r="H613" s="2">
        <v>2.31</v>
      </c>
      <c r="I613" s="2">
        <v>2.68</v>
      </c>
      <c r="J613" s="47">
        <f t="shared" si="45"/>
        <v>0.18461538461538468</v>
      </c>
      <c r="K613" s="47">
        <f t="shared" si="46"/>
        <v>0.16017316017316022</v>
      </c>
      <c r="L613" s="8">
        <v>28.78</v>
      </c>
      <c r="M613" s="8">
        <v>26.96</v>
      </c>
      <c r="N613" s="8">
        <v>23.16</v>
      </c>
      <c r="O613" s="17">
        <f t="shared" si="47"/>
        <v>1.460333333333333</v>
      </c>
      <c r="P613" s="17">
        <f t="shared" si="48"/>
        <v>1.4459351351351346</v>
      </c>
      <c r="Q613" s="5">
        <v>2.57</v>
      </c>
      <c r="R613" s="9">
        <v>25.96</v>
      </c>
      <c r="S613" s="9">
        <v>3.91</v>
      </c>
      <c r="T613" s="9">
        <v>2834.52709</v>
      </c>
      <c r="U613" s="9">
        <v>2581.8000000000002</v>
      </c>
      <c r="V613" s="45">
        <f t="shared" si="49"/>
        <v>9.7887942520721916E-2</v>
      </c>
      <c r="W613" s="12">
        <v>13.79</v>
      </c>
      <c r="X613" s="12">
        <v>1.42</v>
      </c>
      <c r="Y613" s="12">
        <v>20210902</v>
      </c>
    </row>
    <row r="614" spans="1:25" x14ac:dyDescent="0.45">
      <c r="A614" s="3" t="s">
        <v>4558</v>
      </c>
      <c r="B614" s="3" t="s">
        <v>4559</v>
      </c>
      <c r="C614" s="6" t="s">
        <v>520</v>
      </c>
      <c r="D614" s="6" t="s">
        <v>189</v>
      </c>
      <c r="E614" s="6" t="s">
        <v>378</v>
      </c>
      <c r="F614" s="6">
        <v>116650.38</v>
      </c>
      <c r="J614" s="47" t="e">
        <f t="shared" si="45"/>
        <v>#DIV/0!</v>
      </c>
      <c r="K614" s="47" t="e">
        <f t="shared" si="46"/>
        <v>#DIV/0!</v>
      </c>
      <c r="L614" s="8">
        <v>20.65</v>
      </c>
      <c r="O614" s="17" t="e">
        <f t="shared" si="47"/>
        <v>#DIV/0!</v>
      </c>
      <c r="P614" s="17" t="e">
        <f t="shared" si="48"/>
        <v>#DIV/0!</v>
      </c>
      <c r="R614" s="9">
        <v>11.4</v>
      </c>
      <c r="U614" s="9">
        <v>42708.14</v>
      </c>
      <c r="V614" s="45">
        <f t="shared" si="49"/>
        <v>-1</v>
      </c>
      <c r="X614" s="12">
        <v>1.27</v>
      </c>
      <c r="Y614" s="12">
        <v>20210615</v>
      </c>
    </row>
    <row r="615" spans="1:25" x14ac:dyDescent="0.45">
      <c r="A615" s="3" t="s">
        <v>4101</v>
      </c>
      <c r="B615" s="3" t="s">
        <v>4102</v>
      </c>
      <c r="C615" s="6" t="s">
        <v>518</v>
      </c>
      <c r="D615" s="6" t="s">
        <v>289</v>
      </c>
      <c r="E615" s="6" t="s">
        <v>277</v>
      </c>
      <c r="F615" s="6">
        <v>6030.01</v>
      </c>
      <c r="G615" s="2">
        <v>-1.67</v>
      </c>
      <c r="H615" s="2">
        <v>1.98</v>
      </c>
      <c r="I615" s="2">
        <v>2.37</v>
      </c>
      <c r="J615" s="47">
        <f t="shared" si="45"/>
        <v>2.1856287425149703</v>
      </c>
      <c r="K615" s="47">
        <f t="shared" si="46"/>
        <v>0.19696969696969704</v>
      </c>
      <c r="L615" s="8">
        <v>25.39</v>
      </c>
      <c r="M615" s="8">
        <v>14.64</v>
      </c>
      <c r="N615" s="8">
        <v>12.24</v>
      </c>
      <c r="O615" s="17">
        <f t="shared" si="47"/>
        <v>6.6983013698630134E-2</v>
      </c>
      <c r="P615" s="17">
        <f t="shared" si="48"/>
        <v>0.62141538461538437</v>
      </c>
      <c r="R615" s="9">
        <v>5.82</v>
      </c>
      <c r="S615" s="9">
        <v>30.7</v>
      </c>
      <c r="T615" s="9">
        <v>9797.6298800000004</v>
      </c>
      <c r="U615" s="9">
        <v>6302</v>
      </c>
      <c r="V615" s="45">
        <f t="shared" si="49"/>
        <v>0.55468579498571891</v>
      </c>
      <c r="W615" s="12">
        <v>-36.67</v>
      </c>
      <c r="X615" s="12">
        <v>5.39</v>
      </c>
      <c r="Y615" s="12">
        <v>20210804</v>
      </c>
    </row>
    <row r="616" spans="1:25" x14ac:dyDescent="0.45">
      <c r="A616" s="3" t="s">
        <v>1409</v>
      </c>
      <c r="B616" s="3" t="s">
        <v>1410</v>
      </c>
      <c r="C616" s="6" t="s">
        <v>519</v>
      </c>
      <c r="D616" s="6" t="s">
        <v>189</v>
      </c>
      <c r="E616" s="6" t="s">
        <v>248</v>
      </c>
      <c r="F616" s="6">
        <v>5033.28</v>
      </c>
      <c r="G616" s="2">
        <v>-0.02</v>
      </c>
      <c r="H616" s="2">
        <v>0.01</v>
      </c>
      <c r="I616" s="2">
        <v>0.02</v>
      </c>
      <c r="J616" s="47">
        <f t="shared" si="45"/>
        <v>1.5</v>
      </c>
      <c r="K616" s="47">
        <f t="shared" si="46"/>
        <v>1</v>
      </c>
      <c r="M616" s="8">
        <v>3825</v>
      </c>
      <c r="N616" s="8">
        <v>1639.29</v>
      </c>
      <c r="O616" s="17">
        <f t="shared" si="47"/>
        <v>25.5</v>
      </c>
      <c r="P616" s="17">
        <f t="shared" si="48"/>
        <v>16.392900000000001</v>
      </c>
      <c r="T616" s="9">
        <v>252.35498999999999</v>
      </c>
      <c r="U616" s="9">
        <v>211.67</v>
      </c>
      <c r="V616" s="45">
        <f t="shared" si="49"/>
        <v>0.1922095242594605</v>
      </c>
      <c r="W616" s="12">
        <v>133.33000000000001</v>
      </c>
      <c r="X616" s="12">
        <v>0</v>
      </c>
    </row>
    <row r="617" spans="1:25" x14ac:dyDescent="0.45">
      <c r="A617" s="3" t="s">
        <v>1411</v>
      </c>
      <c r="B617" s="3" t="s">
        <v>1412</v>
      </c>
      <c r="C617" s="6" t="s">
        <v>518</v>
      </c>
      <c r="D617" s="6" t="s">
        <v>90</v>
      </c>
      <c r="E617" s="6" t="s">
        <v>196</v>
      </c>
      <c r="F617" s="6">
        <v>44790.42</v>
      </c>
      <c r="G617" s="2">
        <v>3.3</v>
      </c>
      <c r="H617" s="2">
        <v>3.76</v>
      </c>
      <c r="I617" s="2">
        <v>4.43</v>
      </c>
      <c r="J617" s="47">
        <f t="shared" si="45"/>
        <v>0.1393939393939394</v>
      </c>
      <c r="K617" s="47">
        <f t="shared" si="46"/>
        <v>0.17819148936170212</v>
      </c>
      <c r="L617" s="8">
        <v>24.47</v>
      </c>
      <c r="M617" s="8">
        <v>22.42</v>
      </c>
      <c r="N617" s="8">
        <v>18.989999999999998</v>
      </c>
      <c r="O617" s="17">
        <f t="shared" si="47"/>
        <v>1.608391304347826</v>
      </c>
      <c r="P617" s="17">
        <f t="shared" si="48"/>
        <v>1.0657074626865672</v>
      </c>
      <c r="Q617" s="5">
        <v>2.46</v>
      </c>
      <c r="R617" s="9">
        <v>6.76</v>
      </c>
      <c r="S617" s="9">
        <v>-19.22</v>
      </c>
      <c r="T617" s="9">
        <v>15915.19824</v>
      </c>
      <c r="U617" s="9">
        <v>20397</v>
      </c>
      <c r="V617" s="45">
        <f t="shared" si="49"/>
        <v>-0.21972847771731138</v>
      </c>
      <c r="W617" s="12">
        <v>18.18</v>
      </c>
      <c r="X617" s="12">
        <v>1.43</v>
      </c>
      <c r="Y617" s="12">
        <v>20210729</v>
      </c>
    </row>
    <row r="618" spans="1:25" x14ac:dyDescent="0.45">
      <c r="A618" s="3" t="s">
        <v>1413</v>
      </c>
      <c r="B618" s="3" t="s">
        <v>1414</v>
      </c>
      <c r="C618" s="6" t="s">
        <v>520</v>
      </c>
      <c r="D618" s="6" t="s">
        <v>46</v>
      </c>
      <c r="E618" s="6" t="s">
        <v>66</v>
      </c>
      <c r="F618" s="6">
        <v>102101.72</v>
      </c>
      <c r="G618" s="2">
        <v>4.18</v>
      </c>
      <c r="H618" s="2">
        <v>13.55</v>
      </c>
      <c r="I618" s="2">
        <v>14.45</v>
      </c>
      <c r="J618" s="47">
        <f t="shared" si="45"/>
        <v>2.2416267942583734</v>
      </c>
      <c r="K618" s="47">
        <f t="shared" si="46"/>
        <v>6.6420664206641958E-2</v>
      </c>
      <c r="L618" s="8">
        <v>10.72</v>
      </c>
      <c r="M618" s="8">
        <v>7.04</v>
      </c>
      <c r="N618" s="8">
        <v>6.61</v>
      </c>
      <c r="O618" s="17">
        <f t="shared" si="47"/>
        <v>3.1405763073639271E-2</v>
      </c>
      <c r="P618" s="17">
        <f t="shared" si="48"/>
        <v>0.9951722222222239</v>
      </c>
      <c r="Q618" s="5">
        <v>0.43</v>
      </c>
      <c r="R618" s="9">
        <v>13.65</v>
      </c>
      <c r="S618" s="9">
        <v>1.75</v>
      </c>
      <c r="T618" s="9">
        <v>200939</v>
      </c>
      <c r="U618" s="9">
        <v>176252.2</v>
      </c>
      <c r="V618" s="45">
        <f t="shared" si="49"/>
        <v>0.14006520202301012</v>
      </c>
      <c r="W618" s="12">
        <v>80.22</v>
      </c>
      <c r="X618" s="12">
        <v>0</v>
      </c>
      <c r="Y618" s="12">
        <v>20210722</v>
      </c>
    </row>
    <row r="619" spans="1:25" x14ac:dyDescent="0.45">
      <c r="A619" s="3" t="s">
        <v>1415</v>
      </c>
      <c r="B619" s="3" t="s">
        <v>1416</v>
      </c>
      <c r="C619" s="6" t="s">
        <v>518</v>
      </c>
      <c r="D619" s="6" t="s">
        <v>189</v>
      </c>
      <c r="E619" s="6" t="s">
        <v>201</v>
      </c>
      <c r="F619" s="6">
        <v>3733.99</v>
      </c>
      <c r="G619" s="2">
        <v>-0.09</v>
      </c>
      <c r="H619" s="2">
        <v>0.37</v>
      </c>
      <c r="I619" s="2">
        <v>0.41</v>
      </c>
      <c r="J619" s="47">
        <f t="shared" si="45"/>
        <v>5.1111111111111107</v>
      </c>
      <c r="K619" s="47">
        <f t="shared" si="46"/>
        <v>0.10810810810810806</v>
      </c>
      <c r="L619" s="8">
        <v>298.60000000000002</v>
      </c>
      <c r="M619" s="8">
        <v>81.58</v>
      </c>
      <c r="N619" s="8">
        <v>73.19</v>
      </c>
      <c r="O619" s="17">
        <f t="shared" si="47"/>
        <v>0.15961304347826089</v>
      </c>
      <c r="P619" s="17">
        <f t="shared" si="48"/>
        <v>6.770075000000003</v>
      </c>
      <c r="R619" s="9">
        <v>-4.51</v>
      </c>
      <c r="S619" s="9">
        <v>-2.81</v>
      </c>
      <c r="T619" s="9">
        <v>586.89898000000005</v>
      </c>
      <c r="U619" s="9">
        <v>557.24</v>
      </c>
      <c r="V619" s="45">
        <f t="shared" si="49"/>
        <v>5.3224786447491283E-2</v>
      </c>
      <c r="W619" s="12">
        <v>466.67</v>
      </c>
      <c r="X619" s="12">
        <v>0</v>
      </c>
      <c r="Y619" s="12">
        <v>20210804</v>
      </c>
    </row>
    <row r="620" spans="1:25" x14ac:dyDescent="0.45">
      <c r="A620" s="3" t="s">
        <v>1417</v>
      </c>
      <c r="B620" s="3" t="s">
        <v>1418</v>
      </c>
      <c r="C620" s="6" t="s">
        <v>519</v>
      </c>
      <c r="D620" s="6" t="s">
        <v>189</v>
      </c>
      <c r="E620" s="6" t="s">
        <v>248</v>
      </c>
      <c r="F620" s="6">
        <v>28284.93</v>
      </c>
      <c r="G620" s="2">
        <v>0.17</v>
      </c>
      <c r="H620" s="2">
        <v>0.16</v>
      </c>
      <c r="I620" s="2">
        <v>0.28000000000000003</v>
      </c>
      <c r="J620" s="47">
        <f t="shared" si="45"/>
        <v>-5.8823529411764754E-2</v>
      </c>
      <c r="K620" s="47">
        <f t="shared" si="46"/>
        <v>0.75000000000000011</v>
      </c>
      <c r="L620" s="8">
        <v>416.91</v>
      </c>
      <c r="M620" s="8">
        <v>577.26</v>
      </c>
      <c r="N620" s="8">
        <v>332.86</v>
      </c>
      <c r="O620" s="17">
        <f t="shared" si="47"/>
        <v>-98.134199999999922</v>
      </c>
      <c r="P620" s="17">
        <f t="shared" si="48"/>
        <v>4.438133333333333</v>
      </c>
      <c r="R620" s="9">
        <v>-2.08</v>
      </c>
      <c r="T620" s="9">
        <v>882.74499000000003</v>
      </c>
      <c r="U620" s="9">
        <v>603.47</v>
      </c>
      <c r="V620" s="45">
        <f t="shared" si="49"/>
        <v>0.46278189470893333</v>
      </c>
      <c r="W620" s="12">
        <v>100</v>
      </c>
      <c r="X620" s="12">
        <v>0</v>
      </c>
      <c r="Y620" s="12">
        <v>20210805</v>
      </c>
    </row>
    <row r="621" spans="1:25" x14ac:dyDescent="0.45">
      <c r="A621" s="3" t="s">
        <v>4103</v>
      </c>
      <c r="B621" s="3" t="s">
        <v>4104</v>
      </c>
      <c r="C621" s="6" t="s">
        <v>518</v>
      </c>
      <c r="D621" s="6" t="s">
        <v>303</v>
      </c>
      <c r="E621" s="6" t="s">
        <v>2269</v>
      </c>
      <c r="F621" s="6">
        <v>3947.18</v>
      </c>
      <c r="G621" s="2">
        <v>-3.53</v>
      </c>
      <c r="H621" s="2">
        <v>14.26</v>
      </c>
      <c r="I621" s="2">
        <v>5.79</v>
      </c>
      <c r="J621" s="47">
        <f t="shared" si="45"/>
        <v>5.0396600566572243</v>
      </c>
      <c r="K621" s="47">
        <f t="shared" si="46"/>
        <v>-0.59396914446002802</v>
      </c>
      <c r="L621" s="8">
        <v>16.440000000000001</v>
      </c>
      <c r="M621" s="8">
        <v>12.58</v>
      </c>
      <c r="N621" s="8">
        <v>31</v>
      </c>
      <c r="O621" s="17">
        <f t="shared" si="47"/>
        <v>2.4962001124227091E-2</v>
      </c>
      <c r="P621" s="17">
        <f t="shared" si="48"/>
        <v>-0.52191263282172373</v>
      </c>
      <c r="Q621" s="5">
        <v>0.52</v>
      </c>
      <c r="R621" s="9">
        <v>16.690000000000001</v>
      </c>
      <c r="S621" s="9">
        <v>-6.46</v>
      </c>
      <c r="T621" s="9">
        <v>5850.2402300000003</v>
      </c>
      <c r="U621" s="9">
        <v>4300.8999999999996</v>
      </c>
      <c r="V621" s="45">
        <f t="shared" si="49"/>
        <v>0.36023628310353667</v>
      </c>
      <c r="W621" s="12">
        <v>430.83</v>
      </c>
      <c r="X621" s="12">
        <v>0.33</v>
      </c>
      <c r="Y621" s="12">
        <v>20210812</v>
      </c>
    </row>
    <row r="622" spans="1:25" x14ac:dyDescent="0.45">
      <c r="A622" s="3" t="s">
        <v>1419</v>
      </c>
      <c r="B622" s="3" t="s">
        <v>1420</v>
      </c>
      <c r="C622" s="6" t="s">
        <v>518</v>
      </c>
      <c r="D622" s="6" t="s">
        <v>272</v>
      </c>
      <c r="E622" s="6" t="s">
        <v>253</v>
      </c>
      <c r="F622" s="6">
        <v>109033.12</v>
      </c>
      <c r="G622" s="2">
        <v>7.74</v>
      </c>
      <c r="H622" s="2">
        <v>17.690000000000001</v>
      </c>
      <c r="I622" s="2">
        <v>20.3</v>
      </c>
      <c r="J622" s="47">
        <f t="shared" si="45"/>
        <v>1.285529715762274</v>
      </c>
      <c r="K622" s="47">
        <f t="shared" si="46"/>
        <v>0.14754098360655735</v>
      </c>
      <c r="L622" s="8">
        <v>24.09</v>
      </c>
      <c r="M622" s="8">
        <v>19.760000000000002</v>
      </c>
      <c r="N622" s="8">
        <v>17.22</v>
      </c>
      <c r="O622" s="17">
        <f t="shared" si="47"/>
        <v>0.15371095477386934</v>
      </c>
      <c r="P622" s="17">
        <f t="shared" si="48"/>
        <v>1.1671333333333334</v>
      </c>
      <c r="Q622" s="5">
        <v>0.98</v>
      </c>
      <c r="R622" s="9">
        <v>33.31</v>
      </c>
      <c r="S622" s="9">
        <v>9.08</v>
      </c>
      <c r="T622" s="9">
        <v>39211.734369999998</v>
      </c>
      <c r="U622" s="9">
        <v>35540</v>
      </c>
      <c r="V622" s="45">
        <f t="shared" si="49"/>
        <v>0.10331272847495775</v>
      </c>
      <c r="W622" s="12">
        <v>27.93</v>
      </c>
      <c r="X622" s="12">
        <v>1.03</v>
      </c>
      <c r="Y622" s="12">
        <v>20210820</v>
      </c>
    </row>
    <row r="623" spans="1:25" x14ac:dyDescent="0.45">
      <c r="A623" s="3" t="s">
        <v>1421</v>
      </c>
      <c r="B623" s="3" t="s">
        <v>1422</v>
      </c>
      <c r="C623" s="6" t="s">
        <v>518</v>
      </c>
      <c r="D623" s="6" t="s">
        <v>216</v>
      </c>
      <c r="E623" s="6" t="s">
        <v>302</v>
      </c>
      <c r="F623" s="6">
        <v>9121.7000000000007</v>
      </c>
      <c r="G623" s="2">
        <v>13.04</v>
      </c>
      <c r="H623" s="2">
        <v>14.86</v>
      </c>
      <c r="I623" s="2">
        <v>17.239999999999998</v>
      </c>
      <c r="J623" s="47">
        <f t="shared" si="45"/>
        <v>0.13957055214723929</v>
      </c>
      <c r="K623" s="47">
        <f t="shared" si="46"/>
        <v>0.16016150740242255</v>
      </c>
      <c r="L623" s="8">
        <v>24.04</v>
      </c>
      <c r="M623" s="8">
        <v>21.8</v>
      </c>
      <c r="N623" s="8">
        <v>18.78</v>
      </c>
      <c r="O623" s="17">
        <f t="shared" si="47"/>
        <v>1.5619340659340657</v>
      </c>
      <c r="P623" s="17">
        <f t="shared" si="48"/>
        <v>1.1725663865546223</v>
      </c>
      <c r="Q623" s="5">
        <v>1.28</v>
      </c>
      <c r="R623" s="9">
        <v>28.64</v>
      </c>
      <c r="S623" s="9">
        <v>6.34</v>
      </c>
      <c r="T623" s="9">
        <v>2917.25</v>
      </c>
      <c r="U623" s="9">
        <v>2545.64</v>
      </c>
      <c r="V623" s="45">
        <f t="shared" si="49"/>
        <v>0.14597900724375801</v>
      </c>
      <c r="W623" s="12">
        <v>103.45</v>
      </c>
      <c r="X623" s="12">
        <v>0</v>
      </c>
      <c r="Y623" s="12">
        <v>20210729</v>
      </c>
    </row>
    <row r="624" spans="1:25" x14ac:dyDescent="0.45">
      <c r="A624" s="3" t="s">
        <v>1423</v>
      </c>
      <c r="B624" s="3" t="s">
        <v>1424</v>
      </c>
      <c r="C624" s="6" t="s">
        <v>518</v>
      </c>
      <c r="D624" s="6" t="s">
        <v>234</v>
      </c>
      <c r="E624" s="6" t="s">
        <v>286</v>
      </c>
      <c r="F624" s="6">
        <v>6345.02</v>
      </c>
      <c r="G624" s="2">
        <v>1.78</v>
      </c>
      <c r="H624" s="2">
        <v>1.82</v>
      </c>
      <c r="I624" s="2">
        <v>2.02</v>
      </c>
      <c r="J624" s="47">
        <f t="shared" si="45"/>
        <v>2.2471910112359571E-2</v>
      </c>
      <c r="K624" s="47">
        <f t="shared" si="46"/>
        <v>0.10989010989010986</v>
      </c>
      <c r="L624" s="8">
        <v>21.15</v>
      </c>
      <c r="M624" s="8">
        <v>19.91</v>
      </c>
      <c r="N624" s="8">
        <v>17.88</v>
      </c>
      <c r="O624" s="17">
        <f t="shared" si="47"/>
        <v>8.8599499999999924</v>
      </c>
      <c r="P624" s="17">
        <f t="shared" si="48"/>
        <v>1.6270800000000005</v>
      </c>
      <c r="Q624" s="5">
        <v>4.4000000000000004</v>
      </c>
      <c r="R624" s="9">
        <v>0.87</v>
      </c>
      <c r="S624" s="9">
        <v>6.07</v>
      </c>
      <c r="T624" s="9">
        <v>888.83801000000005</v>
      </c>
      <c r="U624" s="9">
        <v>891.52</v>
      </c>
      <c r="V624" s="45">
        <f t="shared" si="49"/>
        <v>-3.0083340811198045E-3</v>
      </c>
      <c r="W624" s="12">
        <v>2.33</v>
      </c>
      <c r="X624" s="12">
        <v>3.1</v>
      </c>
      <c r="Y624" s="12">
        <v>20210805</v>
      </c>
    </row>
    <row r="625" spans="1:25" x14ac:dyDescent="0.45">
      <c r="A625" s="3" t="s">
        <v>1425</v>
      </c>
      <c r="B625" s="3" t="s">
        <v>1426</v>
      </c>
      <c r="C625" s="6" t="s">
        <v>518</v>
      </c>
      <c r="D625" s="6" t="s">
        <v>189</v>
      </c>
      <c r="E625" s="6" t="s">
        <v>204</v>
      </c>
      <c r="F625" s="6">
        <v>79286.91</v>
      </c>
      <c r="G625" s="2">
        <v>7.48</v>
      </c>
      <c r="H625" s="2">
        <v>8.39</v>
      </c>
      <c r="I625" s="2">
        <v>8.73</v>
      </c>
      <c r="J625" s="47">
        <f t="shared" si="45"/>
        <v>0.1216577540106952</v>
      </c>
      <c r="K625" s="47">
        <f t="shared" si="46"/>
        <v>4.0524433849821198E-2</v>
      </c>
      <c r="L625" s="8">
        <v>11.84</v>
      </c>
      <c r="M625" s="8">
        <v>12.39</v>
      </c>
      <c r="N625" s="8">
        <v>11.9</v>
      </c>
      <c r="O625" s="17">
        <f t="shared" si="47"/>
        <v>1.018430769230769</v>
      </c>
      <c r="P625" s="17">
        <f t="shared" si="48"/>
        <v>2.936500000000001</v>
      </c>
      <c r="Q625" s="5">
        <v>1.03</v>
      </c>
      <c r="R625" s="9">
        <v>102.13</v>
      </c>
      <c r="S625" s="9">
        <v>12.01</v>
      </c>
      <c r="T625" s="9">
        <v>102497.42187000001</v>
      </c>
      <c r="U625" s="9">
        <v>94224</v>
      </c>
      <c r="V625" s="45">
        <f t="shared" si="49"/>
        <v>8.7805886716760123E-2</v>
      </c>
      <c r="W625" s="12">
        <v>37.42</v>
      </c>
      <c r="X625" s="12">
        <v>0</v>
      </c>
      <c r="Y625" s="12">
        <v>20210826</v>
      </c>
    </row>
    <row r="626" spans="1:25" x14ac:dyDescent="0.45">
      <c r="A626" s="3" t="s">
        <v>1427</v>
      </c>
      <c r="B626" s="3" t="s">
        <v>1428</v>
      </c>
      <c r="C626" s="6" t="s">
        <v>518</v>
      </c>
      <c r="D626" s="6" t="s">
        <v>289</v>
      </c>
      <c r="E626" s="6" t="s">
        <v>271</v>
      </c>
      <c r="F626" s="6">
        <v>3515.47</v>
      </c>
      <c r="G626" s="2">
        <v>0.94</v>
      </c>
      <c r="H626" s="2">
        <v>1.89</v>
      </c>
      <c r="I626" s="2">
        <v>3.58</v>
      </c>
      <c r="J626" s="47">
        <f t="shared" si="45"/>
        <v>1.0106382978723405</v>
      </c>
      <c r="K626" s="47">
        <f t="shared" si="46"/>
        <v>0.8941798941798943</v>
      </c>
      <c r="L626" s="8">
        <v>195.28</v>
      </c>
      <c r="M626" s="8">
        <v>37.200000000000003</v>
      </c>
      <c r="N626" s="8">
        <v>19.64</v>
      </c>
      <c r="O626" s="17">
        <f t="shared" si="47"/>
        <v>0.36808421052631579</v>
      </c>
      <c r="P626" s="17">
        <f t="shared" si="48"/>
        <v>0.21964260355029583</v>
      </c>
      <c r="R626" s="9">
        <v>-146.78</v>
      </c>
      <c r="S626" s="9">
        <v>-2.35</v>
      </c>
      <c r="T626" s="9">
        <v>854.28002000000004</v>
      </c>
      <c r="U626" s="9">
        <v>750.71</v>
      </c>
      <c r="V626" s="45">
        <f t="shared" si="49"/>
        <v>0.13796275525835541</v>
      </c>
      <c r="W626" s="12">
        <v>57.14</v>
      </c>
      <c r="X626" s="12">
        <v>0</v>
      </c>
      <c r="Y626" s="12">
        <v>20210805</v>
      </c>
    </row>
    <row r="627" spans="1:25" x14ac:dyDescent="0.45">
      <c r="A627" s="3" t="s">
        <v>1429</v>
      </c>
      <c r="B627" s="3" t="s">
        <v>1430</v>
      </c>
      <c r="C627" s="6" t="s">
        <v>518</v>
      </c>
      <c r="D627" s="6" t="s">
        <v>225</v>
      </c>
      <c r="E627" s="6" t="s">
        <v>186</v>
      </c>
      <c r="F627" s="6">
        <v>113727.23</v>
      </c>
      <c r="G627" s="2">
        <v>5.22</v>
      </c>
      <c r="H627" s="2">
        <v>6.43</v>
      </c>
      <c r="I627" s="2">
        <v>7.33</v>
      </c>
      <c r="J627" s="47">
        <f t="shared" si="45"/>
        <v>0.23180076628352492</v>
      </c>
      <c r="K627" s="47">
        <f t="shared" si="46"/>
        <v>0.13996889580093319</v>
      </c>
      <c r="M627" s="8">
        <v>30.22</v>
      </c>
      <c r="N627" s="8">
        <v>26.51</v>
      </c>
      <c r="O627" s="17">
        <f t="shared" si="47"/>
        <v>1.3037057851239668</v>
      </c>
      <c r="P627" s="17">
        <f t="shared" si="48"/>
        <v>1.8939922222222214</v>
      </c>
      <c r="Q627" s="5">
        <v>3.75</v>
      </c>
      <c r="T627" s="9">
        <v>17375.92382</v>
      </c>
      <c r="U627" s="9">
        <v>14816.83</v>
      </c>
      <c r="V627" s="45">
        <f t="shared" si="49"/>
        <v>0.17271533924597907</v>
      </c>
      <c r="X627" s="12">
        <v>1.57</v>
      </c>
    </row>
    <row r="628" spans="1:25" x14ac:dyDescent="0.45">
      <c r="A628" s="3" t="s">
        <v>4560</v>
      </c>
      <c r="B628" s="3" t="s">
        <v>4561</v>
      </c>
      <c r="C628" s="6" t="s">
        <v>520</v>
      </c>
      <c r="D628" s="6" t="s">
        <v>225</v>
      </c>
      <c r="E628" s="6" t="s">
        <v>1175</v>
      </c>
      <c r="F628" s="6">
        <v>5881.06</v>
      </c>
      <c r="J628" s="47" t="e">
        <f t="shared" si="45"/>
        <v>#DIV/0!</v>
      </c>
      <c r="K628" s="47" t="e">
        <f t="shared" si="46"/>
        <v>#DIV/0!</v>
      </c>
      <c r="O628" s="17" t="e">
        <f t="shared" si="47"/>
        <v>#DIV/0!</v>
      </c>
      <c r="P628" s="17" t="e">
        <f t="shared" si="48"/>
        <v>#DIV/0!</v>
      </c>
      <c r="U628" s="9">
        <v>10268.5</v>
      </c>
      <c r="V628" s="45">
        <f t="shared" si="49"/>
        <v>-1</v>
      </c>
      <c r="X628" s="12">
        <v>4.83</v>
      </c>
    </row>
    <row r="629" spans="1:25" x14ac:dyDescent="0.45">
      <c r="A629" s="3" t="s">
        <v>1431</v>
      </c>
      <c r="B629" s="3" t="s">
        <v>1432</v>
      </c>
      <c r="C629" s="6" t="s">
        <v>518</v>
      </c>
      <c r="D629" s="6" t="s">
        <v>234</v>
      </c>
      <c r="E629" s="6" t="s">
        <v>218</v>
      </c>
      <c r="F629" s="6">
        <v>37510.31</v>
      </c>
      <c r="G629" s="2">
        <v>3.36</v>
      </c>
      <c r="H629" s="2">
        <v>13.41</v>
      </c>
      <c r="I629" s="2">
        <v>11.48</v>
      </c>
      <c r="J629" s="47">
        <f t="shared" si="45"/>
        <v>2.9910714285714288</v>
      </c>
      <c r="K629" s="47">
        <f t="shared" si="46"/>
        <v>-0.14392244593586873</v>
      </c>
      <c r="L629" s="8">
        <v>13.85</v>
      </c>
      <c r="M629" s="8">
        <v>9.17</v>
      </c>
      <c r="N629" s="8">
        <v>10.72</v>
      </c>
      <c r="O629" s="17">
        <f t="shared" si="47"/>
        <v>3.0657910447761189E-2</v>
      </c>
      <c r="P629" s="17">
        <f t="shared" si="48"/>
        <v>-0.74484559585492249</v>
      </c>
      <c r="Q629" s="5">
        <v>0.17</v>
      </c>
      <c r="R629" s="9">
        <v>28.88</v>
      </c>
      <c r="S629" s="9">
        <v>6.77</v>
      </c>
      <c r="T629" s="9">
        <v>11439.551750000001</v>
      </c>
      <c r="U629" s="9">
        <v>12953</v>
      </c>
      <c r="V629" s="45">
        <f t="shared" si="49"/>
        <v>-0.11684152319925882</v>
      </c>
      <c r="W629" s="12">
        <v>75</v>
      </c>
      <c r="X629" s="12">
        <v>1.43</v>
      </c>
      <c r="Y629" s="12">
        <v>20210728</v>
      </c>
    </row>
    <row r="630" spans="1:25" x14ac:dyDescent="0.45">
      <c r="A630" s="3" t="s">
        <v>1433</v>
      </c>
      <c r="B630" s="3" t="s">
        <v>1434</v>
      </c>
      <c r="C630" s="6" t="s">
        <v>518</v>
      </c>
      <c r="D630" s="6" t="s">
        <v>303</v>
      </c>
      <c r="E630" s="6" t="s">
        <v>1015</v>
      </c>
      <c r="F630" s="6">
        <v>48405.59</v>
      </c>
      <c r="G630" s="2">
        <v>10.66</v>
      </c>
      <c r="H630" s="2">
        <v>9.82</v>
      </c>
      <c r="I630" s="2">
        <v>10.9</v>
      </c>
      <c r="J630" s="47">
        <f t="shared" si="45"/>
        <v>-7.8799249530956836E-2</v>
      </c>
      <c r="K630" s="47">
        <f t="shared" si="46"/>
        <v>0.10997963340122199</v>
      </c>
      <c r="L630" s="8">
        <v>18.850000000000001</v>
      </c>
      <c r="M630" s="8">
        <v>20.87</v>
      </c>
      <c r="N630" s="8">
        <v>18.8</v>
      </c>
      <c r="O630" s="17">
        <f t="shared" si="47"/>
        <v>-2.6485023809523818</v>
      </c>
      <c r="P630" s="17">
        <f t="shared" si="48"/>
        <v>1.7094074074074075</v>
      </c>
      <c r="Q630" s="5">
        <v>1.7</v>
      </c>
      <c r="R630" s="9">
        <v>39.369999999999997</v>
      </c>
      <c r="S630" s="9">
        <v>10.53</v>
      </c>
      <c r="T630" s="9">
        <v>33922.601560000003</v>
      </c>
      <c r="U630" s="9">
        <v>33746.839999999997</v>
      </c>
      <c r="V630" s="45">
        <f t="shared" si="49"/>
        <v>5.208237571280935E-3</v>
      </c>
      <c r="W630" s="12">
        <v>31.78</v>
      </c>
      <c r="X630" s="12">
        <v>0.82</v>
      </c>
      <c r="Y630" s="12">
        <v>20210826</v>
      </c>
    </row>
    <row r="631" spans="1:25" x14ac:dyDescent="0.45">
      <c r="A631" s="3" t="s">
        <v>1435</v>
      </c>
      <c r="B631" s="3" t="s">
        <v>1436</v>
      </c>
      <c r="C631" s="6" t="s">
        <v>518</v>
      </c>
      <c r="D631" s="6" t="s">
        <v>279</v>
      </c>
      <c r="E631" s="6" t="s">
        <v>263</v>
      </c>
      <c r="F631" s="6">
        <v>16656.36</v>
      </c>
      <c r="G631" s="2">
        <v>10.99</v>
      </c>
      <c r="H631" s="2">
        <v>11.21</v>
      </c>
      <c r="I631" s="2">
        <v>7.97</v>
      </c>
      <c r="J631" s="47">
        <f t="shared" si="45"/>
        <v>2.0018198362147466E-2</v>
      </c>
      <c r="K631" s="47">
        <f t="shared" si="46"/>
        <v>-0.28902765388046397</v>
      </c>
      <c r="L631" s="8">
        <v>9.1300000000000008</v>
      </c>
      <c r="M631" s="8">
        <v>11.37</v>
      </c>
      <c r="N631" s="8">
        <v>16</v>
      </c>
      <c r="O631" s="17">
        <f t="shared" si="47"/>
        <v>5.6798318181818015</v>
      </c>
      <c r="P631" s="17">
        <f t="shared" si="48"/>
        <v>-0.5535802469135801</v>
      </c>
      <c r="Q631" s="5">
        <v>0.43</v>
      </c>
      <c r="R631" s="9">
        <v>29.42</v>
      </c>
      <c r="S631" s="9">
        <v>3.54</v>
      </c>
      <c r="T631" s="9">
        <v>9393.9169899999997</v>
      </c>
      <c r="U631" s="9">
        <v>9437</v>
      </c>
      <c r="V631" s="45">
        <f t="shared" si="49"/>
        <v>-4.5653290240542845E-3</v>
      </c>
      <c r="W631" s="12">
        <v>-0.27</v>
      </c>
      <c r="X631" s="12">
        <v>1.95</v>
      </c>
      <c r="Y631" s="12">
        <v>20210722</v>
      </c>
    </row>
    <row r="632" spans="1:25" x14ac:dyDescent="0.45">
      <c r="A632" s="3" t="s">
        <v>1437</v>
      </c>
      <c r="B632" s="3" t="s">
        <v>1438</v>
      </c>
      <c r="C632" s="6" t="s">
        <v>518</v>
      </c>
      <c r="D632" s="6" t="s">
        <v>210</v>
      </c>
      <c r="E632" s="6" t="s">
        <v>1439</v>
      </c>
      <c r="F632" s="6">
        <v>32688.65</v>
      </c>
      <c r="G632" s="2">
        <v>5.93</v>
      </c>
      <c r="H632" s="2">
        <v>10.51</v>
      </c>
      <c r="I632" s="2">
        <v>12.01</v>
      </c>
      <c r="J632" s="47">
        <f t="shared" si="45"/>
        <v>0.77234401349072512</v>
      </c>
      <c r="K632" s="47">
        <f t="shared" si="46"/>
        <v>0.14272121788772599</v>
      </c>
      <c r="L632" s="8">
        <v>10.51</v>
      </c>
      <c r="M632" s="8">
        <v>8.6300000000000008</v>
      </c>
      <c r="N632" s="8">
        <v>7.55</v>
      </c>
      <c r="O632" s="17">
        <f t="shared" si="47"/>
        <v>0.1117377729257642</v>
      </c>
      <c r="P632" s="17">
        <f t="shared" si="48"/>
        <v>0.52900333333333327</v>
      </c>
      <c r="Q632" s="5">
        <v>0.96</v>
      </c>
      <c r="R632" s="9">
        <v>25.71</v>
      </c>
      <c r="S632" s="9">
        <v>14.08</v>
      </c>
      <c r="T632" s="9">
        <v>27334.865229999999</v>
      </c>
      <c r="U632" s="9">
        <v>20311.099999999999</v>
      </c>
      <c r="V632" s="45">
        <f t="shared" si="49"/>
        <v>0.34580919940328203</v>
      </c>
      <c r="W632" s="12">
        <v>15</v>
      </c>
      <c r="X632" s="12">
        <v>0.88</v>
      </c>
      <c r="Y632" s="12">
        <v>20210727</v>
      </c>
    </row>
    <row r="633" spans="1:25" x14ac:dyDescent="0.45">
      <c r="A633" s="3" t="s">
        <v>1440</v>
      </c>
      <c r="B633" s="3" t="s">
        <v>1441</v>
      </c>
      <c r="C633" s="6" t="s">
        <v>518</v>
      </c>
      <c r="D633" s="6" t="s">
        <v>1042</v>
      </c>
      <c r="E633" s="6" t="s">
        <v>1043</v>
      </c>
      <c r="F633" s="6">
        <v>171686.22</v>
      </c>
      <c r="G633" s="2">
        <v>6.06</v>
      </c>
      <c r="H633" s="2">
        <v>8.91</v>
      </c>
      <c r="I633" s="2">
        <v>9</v>
      </c>
      <c r="J633" s="47">
        <f t="shared" si="45"/>
        <v>0.47029702970297044</v>
      </c>
      <c r="K633" s="47">
        <f t="shared" si="46"/>
        <v>1.0101010101010085E-2</v>
      </c>
      <c r="L633" s="8">
        <v>31.02</v>
      </c>
      <c r="M633" s="8">
        <v>27.01</v>
      </c>
      <c r="N633" s="8">
        <v>26.75</v>
      </c>
      <c r="O633" s="17">
        <f t="shared" si="47"/>
        <v>0.57431789473684192</v>
      </c>
      <c r="P633" s="17">
        <f t="shared" si="48"/>
        <v>26.482500000000044</v>
      </c>
      <c r="Q633" s="5">
        <v>1.5</v>
      </c>
      <c r="R633" s="9">
        <v>16.34</v>
      </c>
      <c r="S633" s="9">
        <v>2.27</v>
      </c>
      <c r="T633" s="9">
        <v>27864.970700000002</v>
      </c>
      <c r="U633" s="9">
        <v>22284</v>
      </c>
      <c r="V633" s="45">
        <f t="shared" si="49"/>
        <v>0.25044743762340699</v>
      </c>
      <c r="W633" s="12">
        <v>50.9</v>
      </c>
      <c r="X633" s="12">
        <v>0.35</v>
      </c>
      <c r="Y633" s="12">
        <v>20210722</v>
      </c>
    </row>
    <row r="634" spans="1:25" x14ac:dyDescent="0.45">
      <c r="A634" s="3" t="s">
        <v>4562</v>
      </c>
      <c r="B634" s="3" t="s">
        <v>4563</v>
      </c>
      <c r="C634" s="6" t="s">
        <v>518</v>
      </c>
      <c r="D634" s="6" t="s">
        <v>234</v>
      </c>
      <c r="E634" s="6" t="s">
        <v>904</v>
      </c>
      <c r="F634" s="6">
        <v>30700.1</v>
      </c>
      <c r="J634" s="47" t="e">
        <f t="shared" si="45"/>
        <v>#DIV/0!</v>
      </c>
      <c r="K634" s="47" t="e">
        <f t="shared" si="46"/>
        <v>#DIV/0!</v>
      </c>
      <c r="O634" s="17" t="e">
        <f t="shared" si="47"/>
        <v>#DIV/0!</v>
      </c>
      <c r="P634" s="17" t="e">
        <f t="shared" si="48"/>
        <v>#DIV/0!</v>
      </c>
      <c r="V634" s="45" t="e">
        <f t="shared" si="49"/>
        <v>#DIV/0!</v>
      </c>
      <c r="X634" s="12">
        <v>1.68</v>
      </c>
    </row>
    <row r="635" spans="1:25" x14ac:dyDescent="0.45">
      <c r="A635" s="3" t="s">
        <v>4564</v>
      </c>
      <c r="B635" s="3" t="s">
        <v>4565</v>
      </c>
      <c r="C635" s="6" t="s">
        <v>520</v>
      </c>
      <c r="D635" s="6" t="s">
        <v>234</v>
      </c>
      <c r="E635" s="6" t="s">
        <v>284</v>
      </c>
      <c r="F635" s="6">
        <v>7801.63</v>
      </c>
      <c r="J635" s="47" t="e">
        <f t="shared" si="45"/>
        <v>#DIV/0!</v>
      </c>
      <c r="K635" s="47" t="e">
        <f t="shared" si="46"/>
        <v>#DIV/0!</v>
      </c>
      <c r="O635" s="17" t="e">
        <f t="shared" si="47"/>
        <v>#DIV/0!</v>
      </c>
      <c r="P635" s="17" t="e">
        <f t="shared" si="48"/>
        <v>#DIV/0!</v>
      </c>
      <c r="U635" s="9">
        <v>14575.88</v>
      </c>
      <c r="V635" s="45">
        <f t="shared" si="49"/>
        <v>-1</v>
      </c>
      <c r="X635" s="12">
        <v>1.39</v>
      </c>
      <c r="Y635" s="12">
        <v>20210629</v>
      </c>
    </row>
    <row r="636" spans="1:25" x14ac:dyDescent="0.45">
      <c r="A636" s="3" t="s">
        <v>1442</v>
      </c>
      <c r="B636" s="3" t="s">
        <v>1443</v>
      </c>
      <c r="C636" s="6" t="s">
        <v>519</v>
      </c>
      <c r="D636" s="6" t="s">
        <v>189</v>
      </c>
      <c r="E636" s="6" t="s">
        <v>213</v>
      </c>
      <c r="F636" s="6">
        <v>3396.67</v>
      </c>
      <c r="G636" s="2">
        <v>2.31</v>
      </c>
      <c r="H636" s="2">
        <v>4.01</v>
      </c>
      <c r="I636" s="2">
        <v>4.16</v>
      </c>
      <c r="J636" s="47">
        <f t="shared" si="45"/>
        <v>0.73593073593073577</v>
      </c>
      <c r="K636" s="47">
        <f t="shared" si="46"/>
        <v>3.7406483790523783E-2</v>
      </c>
      <c r="L636" s="8">
        <v>26.9</v>
      </c>
      <c r="M636" s="8">
        <v>18.989999999999998</v>
      </c>
      <c r="N636" s="8">
        <v>18.32</v>
      </c>
      <c r="O636" s="17">
        <f t="shared" si="47"/>
        <v>0.25804058823529413</v>
      </c>
      <c r="P636" s="17">
        <f t="shared" si="48"/>
        <v>4.8975466666666545</v>
      </c>
      <c r="R636" s="9">
        <v>12.44</v>
      </c>
      <c r="S636" s="9">
        <v>8.11</v>
      </c>
      <c r="T636" s="9">
        <v>1689.0300199999999</v>
      </c>
      <c r="U636" s="9">
        <v>1229.21</v>
      </c>
      <c r="V636" s="45">
        <f t="shared" si="49"/>
        <v>0.37407767590566288</v>
      </c>
      <c r="W636" s="12">
        <v>19.23</v>
      </c>
      <c r="X636" s="12">
        <v>0</v>
      </c>
      <c r="Y636" s="12">
        <v>20210805</v>
      </c>
    </row>
    <row r="637" spans="1:25" x14ac:dyDescent="0.45">
      <c r="A637" s="3" t="s">
        <v>1444</v>
      </c>
      <c r="B637" s="3" t="s">
        <v>1445</v>
      </c>
      <c r="C637" s="6" t="s">
        <v>518</v>
      </c>
      <c r="D637" s="6" t="s">
        <v>216</v>
      </c>
      <c r="E637" s="6" t="s">
        <v>1446</v>
      </c>
      <c r="F637" s="6">
        <v>319852.71999999997</v>
      </c>
      <c r="G637" s="2">
        <v>1.56</v>
      </c>
      <c r="H637" s="2">
        <v>2.2799999999999998</v>
      </c>
      <c r="I637" s="2">
        <v>5.0599999999999996</v>
      </c>
      <c r="J637" s="47">
        <f t="shared" si="45"/>
        <v>0.46153846153846134</v>
      </c>
      <c r="K637" s="47">
        <f t="shared" si="46"/>
        <v>1.2192982456140351</v>
      </c>
      <c r="L637" s="8">
        <v>177.82</v>
      </c>
      <c r="M637" s="8">
        <v>77.31</v>
      </c>
      <c r="N637" s="8">
        <v>34.79</v>
      </c>
      <c r="O637" s="17">
        <f t="shared" si="47"/>
        <v>1.6750500000000008</v>
      </c>
      <c r="P637" s="17">
        <f t="shared" si="48"/>
        <v>0.28532805755395685</v>
      </c>
      <c r="Q637" s="5">
        <v>3.68</v>
      </c>
      <c r="R637" s="9">
        <v>2.0699999999999998</v>
      </c>
      <c r="S637" s="9">
        <v>5.13</v>
      </c>
      <c r="T637" s="9">
        <v>67604.257809999996</v>
      </c>
      <c r="U637" s="9">
        <v>65388</v>
      </c>
      <c r="V637" s="45">
        <f t="shared" si="49"/>
        <v>3.3893953171835745E-2</v>
      </c>
      <c r="W637" s="12">
        <v>172.41</v>
      </c>
      <c r="X637" s="12">
        <v>0</v>
      </c>
      <c r="Y637" s="12">
        <v>20210803</v>
      </c>
    </row>
    <row r="638" spans="1:25" x14ac:dyDescent="0.45">
      <c r="A638" s="3" t="s">
        <v>1447</v>
      </c>
      <c r="B638" s="3" t="s">
        <v>1448</v>
      </c>
      <c r="C638" s="6" t="s">
        <v>519</v>
      </c>
      <c r="D638" s="6" t="s">
        <v>216</v>
      </c>
      <c r="E638" s="6" t="s">
        <v>1449</v>
      </c>
      <c r="F638" s="6">
        <v>15442.36</v>
      </c>
      <c r="G638" s="2">
        <v>3.18</v>
      </c>
      <c r="H638" s="2">
        <v>1.95</v>
      </c>
      <c r="I638" s="2">
        <v>2.4500000000000002</v>
      </c>
      <c r="J638" s="47">
        <f t="shared" si="45"/>
        <v>-0.3867924528301887</v>
      </c>
      <c r="K638" s="47">
        <f t="shared" si="46"/>
        <v>0.25641025641025655</v>
      </c>
      <c r="L638" s="8">
        <v>11.98</v>
      </c>
      <c r="M638" s="8">
        <v>15.66</v>
      </c>
      <c r="N638" s="8">
        <v>12.47</v>
      </c>
      <c r="O638" s="17">
        <f t="shared" si="47"/>
        <v>-0.40486829268292679</v>
      </c>
      <c r="P638" s="17">
        <f t="shared" si="48"/>
        <v>0.48632999999999971</v>
      </c>
      <c r="Q638" s="5">
        <v>1.47</v>
      </c>
      <c r="R638" s="9">
        <v>14.44</v>
      </c>
      <c r="S638" s="9">
        <v>15.69</v>
      </c>
      <c r="T638" s="9">
        <v>12104.57128</v>
      </c>
      <c r="U638" s="9">
        <v>10671</v>
      </c>
      <c r="V638" s="45">
        <f t="shared" si="49"/>
        <v>0.13434273076562647</v>
      </c>
      <c r="W638" s="12">
        <v>-65.569999999999993</v>
      </c>
      <c r="X638" s="12">
        <v>0</v>
      </c>
      <c r="Y638" s="12">
        <v>20210804</v>
      </c>
    </row>
    <row r="639" spans="1:25" x14ac:dyDescent="0.45">
      <c r="A639" s="3" t="s">
        <v>4566</v>
      </c>
      <c r="B639" s="3" t="s">
        <v>4567</v>
      </c>
      <c r="C639" s="6" t="s">
        <v>519</v>
      </c>
      <c r="D639" s="6" t="s">
        <v>216</v>
      </c>
      <c r="E639" s="6" t="s">
        <v>1449</v>
      </c>
      <c r="F639" s="6">
        <v>35063.65</v>
      </c>
      <c r="J639" s="47" t="e">
        <f t="shared" si="45"/>
        <v>#DIV/0!</v>
      </c>
      <c r="K639" s="47" t="e">
        <f t="shared" si="46"/>
        <v>#DIV/0!</v>
      </c>
      <c r="L639" s="8">
        <v>27.21</v>
      </c>
      <c r="O639" s="17" t="e">
        <f t="shared" si="47"/>
        <v>#DIV/0!</v>
      </c>
      <c r="P639" s="17" t="e">
        <f t="shared" si="48"/>
        <v>#DIV/0!</v>
      </c>
      <c r="R639" s="9">
        <v>14.44</v>
      </c>
      <c r="S639" s="9">
        <v>15.69</v>
      </c>
      <c r="U639" s="9">
        <v>10671</v>
      </c>
      <c r="V639" s="45">
        <f t="shared" si="49"/>
        <v>-1</v>
      </c>
      <c r="X639" s="12">
        <v>0</v>
      </c>
      <c r="Y639" s="12">
        <v>20210804</v>
      </c>
    </row>
    <row r="640" spans="1:25" x14ac:dyDescent="0.45">
      <c r="A640" s="3" t="s">
        <v>4566</v>
      </c>
      <c r="B640" s="3" t="s">
        <v>4568</v>
      </c>
      <c r="C640" s="6" t="s">
        <v>519</v>
      </c>
      <c r="D640" s="6" t="s">
        <v>216</v>
      </c>
      <c r="E640" s="6" t="s">
        <v>1449</v>
      </c>
      <c r="F640" s="6">
        <v>14477.21</v>
      </c>
      <c r="J640" s="47" t="e">
        <f t="shared" si="45"/>
        <v>#DIV/0!</v>
      </c>
      <c r="K640" s="47" t="e">
        <f t="shared" si="46"/>
        <v>#DIV/0!</v>
      </c>
      <c r="L640" s="8">
        <v>11.23</v>
      </c>
      <c r="O640" s="17" t="e">
        <f t="shared" si="47"/>
        <v>#DIV/0!</v>
      </c>
      <c r="P640" s="17" t="e">
        <f t="shared" si="48"/>
        <v>#DIV/0!</v>
      </c>
      <c r="R640" s="9">
        <v>14.44</v>
      </c>
      <c r="S640" s="9">
        <v>15.69</v>
      </c>
      <c r="T640" s="9">
        <v>12073.29003</v>
      </c>
      <c r="U640" s="9">
        <v>10671</v>
      </c>
      <c r="V640" s="45">
        <f t="shared" si="49"/>
        <v>0.13141130447005905</v>
      </c>
      <c r="W640" s="12">
        <v>-65.569999999999993</v>
      </c>
      <c r="X640" s="12">
        <v>0</v>
      </c>
      <c r="Y640" s="12">
        <v>20210804</v>
      </c>
    </row>
    <row r="641" spans="1:25" x14ac:dyDescent="0.45">
      <c r="A641" s="3" t="s">
        <v>1450</v>
      </c>
      <c r="B641" s="3" t="s">
        <v>1451</v>
      </c>
      <c r="C641" s="6" t="s">
        <v>519</v>
      </c>
      <c r="D641" s="6" t="s">
        <v>216</v>
      </c>
      <c r="E641" s="6" t="s">
        <v>1052</v>
      </c>
      <c r="F641" s="6">
        <v>21325.83</v>
      </c>
      <c r="G641" s="2">
        <v>2.5299999999999998</v>
      </c>
      <c r="H641" s="2">
        <v>3.3</v>
      </c>
      <c r="I641" s="2">
        <v>2.63</v>
      </c>
      <c r="J641" s="47">
        <f t="shared" si="45"/>
        <v>0.30434782608695654</v>
      </c>
      <c r="K641" s="47">
        <f t="shared" si="46"/>
        <v>-0.20303030303030303</v>
      </c>
      <c r="L641" s="8">
        <v>10.45</v>
      </c>
      <c r="M641" s="8">
        <v>12.27</v>
      </c>
      <c r="N641" s="8">
        <v>15.39</v>
      </c>
      <c r="O641" s="17">
        <f t="shared" si="47"/>
        <v>0.40315714285714277</v>
      </c>
      <c r="P641" s="17">
        <f t="shared" si="48"/>
        <v>-0.75801492537313431</v>
      </c>
      <c r="Q641" s="5">
        <v>5.18</v>
      </c>
      <c r="R641" s="9">
        <v>17.739999999999998</v>
      </c>
      <c r="S641" s="9">
        <v>-1.41</v>
      </c>
      <c r="T641" s="9">
        <v>17838.226559999999</v>
      </c>
      <c r="U641" s="9">
        <v>15493.43</v>
      </c>
      <c r="V641" s="45">
        <f t="shared" si="49"/>
        <v>0.15134134662240697</v>
      </c>
      <c r="W641" s="12">
        <v>19.28</v>
      </c>
      <c r="X641" s="12">
        <v>0</v>
      </c>
      <c r="Y641" s="12">
        <v>20210806</v>
      </c>
    </row>
    <row r="642" spans="1:25" x14ac:dyDescent="0.45">
      <c r="A642" s="3" t="s">
        <v>1452</v>
      </c>
      <c r="B642" s="3" t="s">
        <v>1453</v>
      </c>
      <c r="C642" s="6" t="s">
        <v>520</v>
      </c>
      <c r="D642" s="6" t="s">
        <v>90</v>
      </c>
      <c r="E642" s="6" t="s">
        <v>282</v>
      </c>
      <c r="F642" s="6">
        <v>6536.63</v>
      </c>
      <c r="G642" s="2">
        <v>0.32</v>
      </c>
      <c r="H642" s="2">
        <v>0.44</v>
      </c>
      <c r="I642" s="2">
        <v>0.5</v>
      </c>
      <c r="J642" s="47">
        <f t="shared" si="45"/>
        <v>0.375</v>
      </c>
      <c r="K642" s="47">
        <f t="shared" si="46"/>
        <v>0.13636363636363635</v>
      </c>
      <c r="M642" s="8">
        <v>14.04</v>
      </c>
      <c r="N642" s="8">
        <v>12.34</v>
      </c>
      <c r="O642" s="17">
        <f t="shared" si="47"/>
        <v>0.37439999999999996</v>
      </c>
      <c r="P642" s="17">
        <f t="shared" si="48"/>
        <v>0.90493333333333337</v>
      </c>
      <c r="T642" s="9">
        <v>9045.08007</v>
      </c>
      <c r="U642" s="9">
        <v>7654.06</v>
      </c>
      <c r="V642" s="45">
        <f t="shared" si="49"/>
        <v>0.18173623802269639</v>
      </c>
      <c r="X642" s="12">
        <v>0</v>
      </c>
      <c r="Y642" s="12">
        <v>20210707</v>
      </c>
    </row>
    <row r="643" spans="1:25" x14ac:dyDescent="0.45">
      <c r="A643" s="3" t="s">
        <v>1454</v>
      </c>
      <c r="B643" s="3" t="s">
        <v>1455</v>
      </c>
      <c r="C643" s="6" t="s">
        <v>520</v>
      </c>
      <c r="D643" s="6" t="s">
        <v>189</v>
      </c>
      <c r="E643" s="6" t="s">
        <v>908</v>
      </c>
      <c r="F643" s="6">
        <v>52896.66</v>
      </c>
      <c r="G643" s="2">
        <v>0.55000000000000004</v>
      </c>
      <c r="H643" s="2">
        <v>0.69</v>
      </c>
      <c r="I643" s="2">
        <v>0.8</v>
      </c>
      <c r="J643" s="47">
        <f t="shared" ref="J643:J706" si="50">(H643-G643)/ABS(G643)</f>
        <v>0.25454545454545435</v>
      </c>
      <c r="K643" s="47">
        <f t="shared" ref="K643:K706" si="51">(I643-H643)/ABS(H643)</f>
        <v>0.15942028985507262</v>
      </c>
      <c r="M643" s="8">
        <v>26.39</v>
      </c>
      <c r="N643" s="8">
        <v>22.74</v>
      </c>
      <c r="O643" s="17">
        <f t="shared" ref="O643:O706" si="52">M643/(J643*100)</f>
        <v>1.0367500000000007</v>
      </c>
      <c r="P643" s="17">
        <f t="shared" ref="P643:P706" si="53">N643/(K643*100)</f>
        <v>1.4264181818181803</v>
      </c>
      <c r="T643" s="9">
        <v>25866.945309999999</v>
      </c>
      <c r="U643" s="9">
        <v>23461.96</v>
      </c>
      <c r="V643" s="45">
        <f t="shared" ref="V643:V706" si="54">(T643-U643)/U643</f>
        <v>0.10250572884788825</v>
      </c>
      <c r="X643" s="12">
        <v>0.28000000000000003</v>
      </c>
      <c r="Y643" s="12">
        <v>20210616</v>
      </c>
    </row>
    <row r="644" spans="1:25" x14ac:dyDescent="0.45">
      <c r="A644" s="3" t="s">
        <v>1456</v>
      </c>
      <c r="B644" s="3" t="s">
        <v>1457</v>
      </c>
      <c r="C644" s="6" t="s">
        <v>519</v>
      </c>
      <c r="D644" s="6" t="s">
        <v>216</v>
      </c>
      <c r="E644" s="6" t="s">
        <v>228</v>
      </c>
      <c r="F644" s="6">
        <v>21845.439999999999</v>
      </c>
      <c r="G644" s="2">
        <v>-2.2999999999999998</v>
      </c>
      <c r="H644" s="2">
        <v>-2.92</v>
      </c>
      <c r="I644" s="2">
        <v>-2.34</v>
      </c>
      <c r="J644" s="47">
        <f t="shared" si="50"/>
        <v>-0.2695652173913044</v>
      </c>
      <c r="K644" s="47">
        <f t="shared" si="51"/>
        <v>0.19863013698630139</v>
      </c>
      <c r="O644" s="17">
        <f t="shared" si="52"/>
        <v>0</v>
      </c>
      <c r="P644" s="17">
        <f t="shared" si="53"/>
        <v>0</v>
      </c>
      <c r="R644" s="9">
        <v>-49.11</v>
      </c>
      <c r="T644" s="9">
        <v>1128.2869800000001</v>
      </c>
      <c r="U644" s="9">
        <v>614.53</v>
      </c>
      <c r="V644" s="45">
        <f t="shared" si="54"/>
        <v>0.83601610987258579</v>
      </c>
      <c r="W644" s="12">
        <v>-70.59</v>
      </c>
      <c r="X644" s="12">
        <v>0</v>
      </c>
      <c r="Y644" s="12">
        <v>20210813</v>
      </c>
    </row>
    <row r="645" spans="1:25" x14ac:dyDescent="0.45">
      <c r="A645" s="3" t="s">
        <v>1458</v>
      </c>
      <c r="B645" s="3" t="s">
        <v>1459</v>
      </c>
      <c r="C645" s="6" t="s">
        <v>518</v>
      </c>
      <c r="D645" s="6" t="s">
        <v>303</v>
      </c>
      <c r="E645" s="6" t="s">
        <v>292</v>
      </c>
      <c r="F645" s="6">
        <v>8862.66</v>
      </c>
      <c r="G645" s="2">
        <v>5.83</v>
      </c>
      <c r="H645" s="2">
        <v>8.25</v>
      </c>
      <c r="I645" s="2">
        <v>6.63</v>
      </c>
      <c r="J645" s="47">
        <f t="shared" si="50"/>
        <v>0.41509433962264147</v>
      </c>
      <c r="K645" s="47">
        <f t="shared" si="51"/>
        <v>-0.19636363636363638</v>
      </c>
      <c r="L645" s="8">
        <v>8.68</v>
      </c>
      <c r="M645" s="8">
        <v>12.04</v>
      </c>
      <c r="N645" s="8">
        <v>14.98</v>
      </c>
      <c r="O645" s="17">
        <f t="shared" si="52"/>
        <v>0.29005454545454545</v>
      </c>
      <c r="P645" s="17">
        <f t="shared" si="53"/>
        <v>-0.76287037037037042</v>
      </c>
      <c r="Q645" s="5">
        <v>1.69</v>
      </c>
      <c r="R645" s="9">
        <v>46.98</v>
      </c>
      <c r="S645" s="9">
        <v>4.37</v>
      </c>
      <c r="T645" s="9">
        <v>10822.114250000001</v>
      </c>
      <c r="U645" s="9">
        <v>9584.02</v>
      </c>
      <c r="V645" s="45">
        <f t="shared" si="54"/>
        <v>0.1291831872220634</v>
      </c>
      <c r="W645" s="12">
        <v>264.42</v>
      </c>
      <c r="X645" s="12">
        <v>1.46</v>
      </c>
      <c r="Y645" s="12">
        <v>20210825</v>
      </c>
    </row>
    <row r="646" spans="1:25" x14ac:dyDescent="0.45">
      <c r="A646" s="3" t="s">
        <v>1460</v>
      </c>
      <c r="B646" s="3" t="s">
        <v>1461</v>
      </c>
      <c r="C646" s="6" t="s">
        <v>520</v>
      </c>
      <c r="D646" s="6" t="s">
        <v>309</v>
      </c>
      <c r="E646" s="6" t="s">
        <v>307</v>
      </c>
      <c r="F646" s="6">
        <v>7929.69</v>
      </c>
      <c r="G646" s="2">
        <v>-16.54</v>
      </c>
      <c r="H646" s="2">
        <v>-4.1500000000000004</v>
      </c>
      <c r="I646" s="2">
        <v>1.19</v>
      </c>
      <c r="J646" s="47">
        <f t="shared" si="50"/>
        <v>0.74909310761789594</v>
      </c>
      <c r="K646" s="47">
        <f t="shared" si="51"/>
        <v>1.286746987951807</v>
      </c>
      <c r="N646" s="8">
        <v>11.15</v>
      </c>
      <c r="O646" s="17">
        <f t="shared" si="52"/>
        <v>0</v>
      </c>
      <c r="P646" s="17">
        <f t="shared" si="53"/>
        <v>8.6652621722846462E-2</v>
      </c>
      <c r="R646" s="9">
        <v>-120.84</v>
      </c>
      <c r="S646" s="9">
        <v>-6.01</v>
      </c>
      <c r="U646" s="9">
        <v>15521.4</v>
      </c>
      <c r="V646" s="45">
        <f t="shared" si="54"/>
        <v>-1</v>
      </c>
      <c r="X646" s="12">
        <v>0</v>
      </c>
      <c r="Y646" s="12">
        <v>20210616</v>
      </c>
    </row>
    <row r="647" spans="1:25" x14ac:dyDescent="0.45">
      <c r="A647" s="3" t="s">
        <v>1462</v>
      </c>
      <c r="B647" s="3" t="s">
        <v>1463</v>
      </c>
      <c r="C647" s="6" t="s">
        <v>518</v>
      </c>
      <c r="D647" s="6" t="s">
        <v>216</v>
      </c>
      <c r="E647" s="6" t="s">
        <v>1464</v>
      </c>
      <c r="F647" s="6">
        <v>9909.0400000000009</v>
      </c>
      <c r="G647" s="2">
        <v>2.87</v>
      </c>
      <c r="H647" s="2">
        <v>3.52</v>
      </c>
      <c r="I647" s="2">
        <v>3.87</v>
      </c>
      <c r="J647" s="47">
        <f t="shared" si="50"/>
        <v>0.22648083623693377</v>
      </c>
      <c r="K647" s="47">
        <f t="shared" si="51"/>
        <v>9.9431818181818205E-2</v>
      </c>
      <c r="L647" s="8">
        <v>26.42</v>
      </c>
      <c r="M647" s="8">
        <v>27.81</v>
      </c>
      <c r="N647" s="8">
        <v>25.26</v>
      </c>
      <c r="O647" s="17">
        <f t="shared" si="52"/>
        <v>1.2279184615384615</v>
      </c>
      <c r="P647" s="17">
        <f t="shared" si="53"/>
        <v>2.5404342857142854</v>
      </c>
      <c r="Q647" s="5">
        <v>2.14</v>
      </c>
      <c r="R647" s="9">
        <v>12.26</v>
      </c>
      <c r="S647" s="9">
        <v>4.4000000000000004</v>
      </c>
      <c r="T647" s="9">
        <v>1288.9870599999999</v>
      </c>
      <c r="U647" s="9">
        <v>1161.79</v>
      </c>
      <c r="V647" s="45">
        <f t="shared" si="54"/>
        <v>0.10948369326642506</v>
      </c>
      <c r="W647" s="12">
        <v>35.82</v>
      </c>
      <c r="X647" s="12">
        <v>0.9</v>
      </c>
      <c r="Y647" s="12">
        <v>20210802</v>
      </c>
    </row>
    <row r="648" spans="1:25" x14ac:dyDescent="0.45">
      <c r="A648" s="3" t="s">
        <v>1465</v>
      </c>
      <c r="B648" s="3" t="s">
        <v>1466</v>
      </c>
      <c r="C648" s="6" t="s">
        <v>520</v>
      </c>
      <c r="D648" s="6" t="s">
        <v>189</v>
      </c>
      <c r="E648" s="6" t="s">
        <v>213</v>
      </c>
      <c r="F648" s="6">
        <v>5729.4</v>
      </c>
      <c r="G648" s="2">
        <v>3.28</v>
      </c>
      <c r="H648" s="2">
        <v>4.5</v>
      </c>
      <c r="I648" s="2">
        <v>4.7</v>
      </c>
      <c r="J648" s="47">
        <f t="shared" si="50"/>
        <v>0.37195121951219523</v>
      </c>
      <c r="K648" s="47">
        <f t="shared" si="51"/>
        <v>4.4444444444444481E-2</v>
      </c>
      <c r="L648" s="8">
        <v>20.93</v>
      </c>
      <c r="M648" s="8">
        <v>17.86</v>
      </c>
      <c r="N648" s="8">
        <v>17.100000000000001</v>
      </c>
      <c r="O648" s="17">
        <f t="shared" si="52"/>
        <v>0.48017049180327859</v>
      </c>
      <c r="P648" s="17">
        <f t="shared" si="53"/>
        <v>3.847499999999997</v>
      </c>
      <c r="R648" s="9">
        <v>17.14</v>
      </c>
      <c r="S648" s="9">
        <v>4.01</v>
      </c>
      <c r="U648" s="9">
        <v>1375.92</v>
      </c>
      <c r="V648" s="45">
        <f t="shared" si="54"/>
        <v>-1</v>
      </c>
      <c r="W648" s="12">
        <v>4.13</v>
      </c>
      <c r="X648" s="12">
        <v>0</v>
      </c>
      <c r="Y648" s="12">
        <v>20210804</v>
      </c>
    </row>
    <row r="649" spans="1:25" x14ac:dyDescent="0.45">
      <c r="A649" s="3" t="s">
        <v>1467</v>
      </c>
      <c r="B649" s="3" t="s">
        <v>1468</v>
      </c>
      <c r="C649" s="6" t="s">
        <v>518</v>
      </c>
      <c r="D649" s="6" t="s">
        <v>234</v>
      </c>
      <c r="E649" s="6" t="s">
        <v>286</v>
      </c>
      <c r="F649" s="6">
        <v>45301.83</v>
      </c>
      <c r="G649" s="2">
        <v>6.13</v>
      </c>
      <c r="H649" s="2">
        <v>6.52</v>
      </c>
      <c r="I649" s="2">
        <v>7.03</v>
      </c>
      <c r="J649" s="47">
        <f t="shared" si="50"/>
        <v>6.3621533442088041E-2</v>
      </c>
      <c r="K649" s="47">
        <f t="shared" si="51"/>
        <v>7.8220858895705625E-2</v>
      </c>
      <c r="L649" s="8">
        <v>25.3</v>
      </c>
      <c r="M649" s="8">
        <v>24.66</v>
      </c>
      <c r="N649" s="8">
        <v>22.87</v>
      </c>
      <c r="O649" s="17">
        <f t="shared" si="52"/>
        <v>3.8760461538461572</v>
      </c>
      <c r="P649" s="17">
        <f t="shared" si="53"/>
        <v>2.923772549019604</v>
      </c>
      <c r="Q649" s="5">
        <v>3.63</v>
      </c>
      <c r="R649" s="9">
        <v>3.31</v>
      </c>
      <c r="S649" s="9">
        <v>15.83</v>
      </c>
      <c r="T649" s="9">
        <v>4409.6362300000001</v>
      </c>
      <c r="U649" s="9">
        <v>3903.61</v>
      </c>
      <c r="V649" s="45">
        <f t="shared" si="54"/>
        <v>0.12963032423833321</v>
      </c>
      <c r="W649" s="12">
        <v>5.03</v>
      </c>
      <c r="X649" s="12">
        <v>2.88</v>
      </c>
      <c r="Y649" s="12">
        <v>20210729</v>
      </c>
    </row>
    <row r="650" spans="1:25" x14ac:dyDescent="0.45">
      <c r="A650" s="3" t="s">
        <v>1469</v>
      </c>
      <c r="B650" s="3" t="s">
        <v>1470</v>
      </c>
      <c r="C650" s="6" t="s">
        <v>519</v>
      </c>
      <c r="D650" s="6" t="s">
        <v>303</v>
      </c>
      <c r="E650" s="6" t="s">
        <v>1015</v>
      </c>
      <c r="F650" s="6">
        <v>22933.279999999999</v>
      </c>
      <c r="G650" s="2">
        <v>5.64</v>
      </c>
      <c r="H650" s="2">
        <v>6.01</v>
      </c>
      <c r="I650" s="2">
        <v>6.7</v>
      </c>
      <c r="J650" s="47">
        <f t="shared" si="50"/>
        <v>6.5602836879432649E-2</v>
      </c>
      <c r="K650" s="47">
        <f t="shared" si="51"/>
        <v>0.1148086522462563</v>
      </c>
      <c r="L650" s="8">
        <v>15.9</v>
      </c>
      <c r="M650" s="8">
        <v>16.45</v>
      </c>
      <c r="N650" s="8">
        <v>14.76</v>
      </c>
      <c r="O650" s="17">
        <f t="shared" si="52"/>
        <v>2.5075135135135125</v>
      </c>
      <c r="P650" s="17">
        <f t="shared" si="53"/>
        <v>1.2856173913043472</v>
      </c>
      <c r="Q650" s="5">
        <v>1.59</v>
      </c>
      <c r="R650" s="9">
        <v>20.64</v>
      </c>
      <c r="S650" s="9">
        <v>4.92</v>
      </c>
      <c r="T650" s="9">
        <v>26377.148430000001</v>
      </c>
      <c r="U650" s="9">
        <v>25509.3</v>
      </c>
      <c r="V650" s="45">
        <f t="shared" si="54"/>
        <v>3.402086415542574E-2</v>
      </c>
      <c r="W650" s="12">
        <v>14.29</v>
      </c>
      <c r="X650" s="12">
        <v>0</v>
      </c>
      <c r="Y650" s="12">
        <v>20210826</v>
      </c>
    </row>
    <row r="651" spans="1:25" x14ac:dyDescent="0.45">
      <c r="A651" s="3" t="s">
        <v>3795</v>
      </c>
      <c r="B651" s="3" t="s">
        <v>3796</v>
      </c>
      <c r="C651" s="6" t="s">
        <v>518</v>
      </c>
      <c r="D651" s="6" t="s">
        <v>272</v>
      </c>
      <c r="E651" s="6" t="s">
        <v>3797</v>
      </c>
      <c r="F651" s="6">
        <v>3292.73</v>
      </c>
      <c r="G651" s="2">
        <v>-0.48</v>
      </c>
      <c r="H651" s="2">
        <v>-0.3</v>
      </c>
      <c r="I651" s="2">
        <v>-0.16</v>
      </c>
      <c r="J651" s="47">
        <f t="shared" si="50"/>
        <v>0.375</v>
      </c>
      <c r="K651" s="47">
        <f t="shared" si="51"/>
        <v>0.46666666666666662</v>
      </c>
      <c r="O651" s="17">
        <f t="shared" si="52"/>
        <v>0</v>
      </c>
      <c r="P651" s="17">
        <f t="shared" si="53"/>
        <v>0</v>
      </c>
      <c r="R651" s="9">
        <v>-2.04</v>
      </c>
      <c r="T651" s="9">
        <v>100.19999</v>
      </c>
      <c r="U651" s="9">
        <v>16.47</v>
      </c>
      <c r="V651" s="45">
        <f t="shared" si="54"/>
        <v>5.0837880995749849</v>
      </c>
      <c r="W651" s="12">
        <v>123.08</v>
      </c>
      <c r="X651" s="12">
        <v>0</v>
      </c>
      <c r="Y651" s="12">
        <v>20210810</v>
      </c>
    </row>
    <row r="652" spans="1:25" x14ac:dyDescent="0.45">
      <c r="A652" s="3" t="s">
        <v>1471</v>
      </c>
      <c r="B652" s="3" t="s">
        <v>1472</v>
      </c>
      <c r="C652" s="6" t="s">
        <v>518</v>
      </c>
      <c r="D652" s="6" t="s">
        <v>175</v>
      </c>
      <c r="E652" s="6" t="s">
        <v>193</v>
      </c>
      <c r="F652" s="6">
        <v>8994.8799999999992</v>
      </c>
      <c r="G652" s="2">
        <v>0.93</v>
      </c>
      <c r="H652" s="2">
        <v>1.04</v>
      </c>
      <c r="I652" s="2">
        <v>1.1599999999999999</v>
      </c>
      <c r="J652" s="47">
        <f t="shared" si="50"/>
        <v>0.1182795698924731</v>
      </c>
      <c r="K652" s="47">
        <f t="shared" si="51"/>
        <v>0.11538461538461527</v>
      </c>
      <c r="L652" s="8">
        <v>20.64</v>
      </c>
      <c r="M652" s="8">
        <v>20.05</v>
      </c>
      <c r="N652" s="8">
        <v>18</v>
      </c>
      <c r="O652" s="17">
        <f t="shared" si="52"/>
        <v>1.6951363636363639</v>
      </c>
      <c r="P652" s="17">
        <f t="shared" si="53"/>
        <v>1.5600000000000016</v>
      </c>
      <c r="Q652" s="5">
        <v>2.5499999999999998</v>
      </c>
      <c r="R652" s="9">
        <v>14</v>
      </c>
      <c r="T652" s="9">
        <v>2158.8998999999999</v>
      </c>
      <c r="U652" s="9">
        <v>1738.1</v>
      </c>
      <c r="V652" s="45">
        <f t="shared" si="54"/>
        <v>0.24210338875783902</v>
      </c>
      <c r="W652" s="12">
        <v>9.52</v>
      </c>
      <c r="X652" s="12">
        <v>0</v>
      </c>
      <c r="Y652" s="12">
        <v>20210805</v>
      </c>
    </row>
    <row r="653" spans="1:25" x14ac:dyDescent="0.45">
      <c r="A653" s="3" t="s">
        <v>1473</v>
      </c>
      <c r="B653" s="3" t="s">
        <v>1474</v>
      </c>
      <c r="C653" s="6" t="s">
        <v>520</v>
      </c>
      <c r="D653" s="6" t="s">
        <v>46</v>
      </c>
      <c r="E653" s="6" t="s">
        <v>66</v>
      </c>
      <c r="F653" s="6">
        <v>8312.83</v>
      </c>
      <c r="G653" s="2">
        <v>8.5299999999999994</v>
      </c>
      <c r="H653" s="2">
        <v>11.45</v>
      </c>
      <c r="I653" s="2">
        <v>12.22</v>
      </c>
      <c r="J653" s="47">
        <f t="shared" si="50"/>
        <v>0.3423212192262603</v>
      </c>
      <c r="K653" s="47">
        <f t="shared" si="51"/>
        <v>6.7248908296943355E-2</v>
      </c>
      <c r="M653" s="8">
        <v>4.21</v>
      </c>
      <c r="N653" s="8">
        <v>3.95</v>
      </c>
      <c r="O653" s="17">
        <f t="shared" si="52"/>
        <v>0.12298390410958904</v>
      </c>
      <c r="P653" s="17">
        <f t="shared" si="53"/>
        <v>0.58737012987012882</v>
      </c>
      <c r="T653" s="9">
        <v>16752.414059999999</v>
      </c>
      <c r="V653" s="45" t="e">
        <f t="shared" si="54"/>
        <v>#DIV/0!</v>
      </c>
      <c r="X653" s="12">
        <v>4.42</v>
      </c>
    </row>
    <row r="654" spans="1:25" x14ac:dyDescent="0.45">
      <c r="A654" s="3" t="s">
        <v>1475</v>
      </c>
      <c r="B654" s="3" t="s">
        <v>1476</v>
      </c>
      <c r="C654" s="6" t="s">
        <v>520</v>
      </c>
      <c r="D654" s="6" t="s">
        <v>234</v>
      </c>
      <c r="E654" s="6" t="s">
        <v>105</v>
      </c>
      <c r="F654" s="6">
        <v>34852.21</v>
      </c>
      <c r="G654" s="2">
        <v>1.1499999999999999</v>
      </c>
      <c r="H654" s="2">
        <v>1.62</v>
      </c>
      <c r="I654" s="2">
        <v>1.73</v>
      </c>
      <c r="J654" s="47">
        <f t="shared" si="50"/>
        <v>0.40869565217391324</v>
      </c>
      <c r="K654" s="47">
        <f t="shared" si="51"/>
        <v>6.7901234567901148E-2</v>
      </c>
      <c r="L654" s="8">
        <v>15.72</v>
      </c>
      <c r="M654" s="8">
        <v>13.88</v>
      </c>
      <c r="N654" s="8">
        <v>12.99</v>
      </c>
      <c r="O654" s="17">
        <f t="shared" si="52"/>
        <v>0.3396170212765956</v>
      </c>
      <c r="P654" s="17">
        <f t="shared" si="53"/>
        <v>1.9130727272727299</v>
      </c>
      <c r="R654" s="9">
        <v>8.56</v>
      </c>
      <c r="T654" s="9">
        <v>6441.1699200000003</v>
      </c>
      <c r="U654" s="9">
        <v>8627.6299999999992</v>
      </c>
      <c r="V654" s="45">
        <f t="shared" si="54"/>
        <v>-0.25342534160597974</v>
      </c>
      <c r="W654" s="12">
        <v>48</v>
      </c>
      <c r="X654" s="12">
        <v>3.6</v>
      </c>
      <c r="Y654" s="12">
        <v>20210610</v>
      </c>
    </row>
    <row r="655" spans="1:25" x14ac:dyDescent="0.45">
      <c r="A655" s="3" t="s">
        <v>4569</v>
      </c>
      <c r="B655" s="3" t="s">
        <v>4570</v>
      </c>
      <c r="C655" s="6" t="s">
        <v>520</v>
      </c>
      <c r="D655" s="6" t="s">
        <v>234</v>
      </c>
      <c r="E655" s="6" t="s">
        <v>105</v>
      </c>
      <c r="F655" s="6">
        <v>16122.85</v>
      </c>
      <c r="J655" s="47" t="e">
        <f t="shared" si="50"/>
        <v>#DIV/0!</v>
      </c>
      <c r="K655" s="47" t="e">
        <f t="shared" si="51"/>
        <v>#DIV/0!</v>
      </c>
      <c r="L655" s="8">
        <v>11</v>
      </c>
      <c r="O655" s="17" t="e">
        <f t="shared" si="52"/>
        <v>#DIV/0!</v>
      </c>
      <c r="P655" s="17" t="e">
        <f t="shared" si="53"/>
        <v>#DIV/0!</v>
      </c>
      <c r="R655" s="9">
        <v>5.74</v>
      </c>
      <c r="S655" s="9">
        <v>-2.58</v>
      </c>
      <c r="U655" s="9">
        <v>6493.2</v>
      </c>
      <c r="V655" s="45">
        <f t="shared" si="54"/>
        <v>-1</v>
      </c>
      <c r="X655" s="12">
        <v>1.1399999999999999</v>
      </c>
      <c r="Y655" s="12">
        <v>20210716</v>
      </c>
    </row>
    <row r="656" spans="1:25" x14ac:dyDescent="0.45">
      <c r="A656" s="3" t="s">
        <v>1477</v>
      </c>
      <c r="B656" s="3" t="s">
        <v>1478</v>
      </c>
      <c r="C656" s="6" t="s">
        <v>519</v>
      </c>
      <c r="D656" s="6" t="s">
        <v>279</v>
      </c>
      <c r="E656" s="6" t="s">
        <v>256</v>
      </c>
      <c r="F656" s="6">
        <v>8786.43</v>
      </c>
      <c r="G656" s="2">
        <v>-2.2000000000000002</v>
      </c>
      <c r="H656" s="2">
        <v>-1.83</v>
      </c>
      <c r="I656" s="2">
        <v>-2.38</v>
      </c>
      <c r="J656" s="47">
        <f t="shared" si="50"/>
        <v>0.16818181818181821</v>
      </c>
      <c r="K656" s="47">
        <f t="shared" si="51"/>
        <v>-0.30054644808743158</v>
      </c>
      <c r="L656" s="8">
        <v>315.22000000000003</v>
      </c>
      <c r="O656" s="17">
        <f t="shared" si="52"/>
        <v>0</v>
      </c>
      <c r="P656" s="17">
        <f t="shared" si="53"/>
        <v>0</v>
      </c>
      <c r="R656" s="9">
        <v>6.36</v>
      </c>
      <c r="T656" s="9">
        <v>100.10099</v>
      </c>
      <c r="U656" s="9">
        <v>335.66</v>
      </c>
      <c r="V656" s="45">
        <f t="shared" si="54"/>
        <v>-0.70177861526544716</v>
      </c>
      <c r="W656" s="12">
        <v>-56.76</v>
      </c>
      <c r="X656" s="12">
        <v>0</v>
      </c>
      <c r="Y656" s="12">
        <v>20210806</v>
      </c>
    </row>
    <row r="657" spans="1:25" x14ac:dyDescent="0.45">
      <c r="A657" s="3" t="s">
        <v>1479</v>
      </c>
      <c r="B657" s="3" t="s">
        <v>1480</v>
      </c>
      <c r="C657" s="6" t="s">
        <v>520</v>
      </c>
      <c r="D657" s="6" t="s">
        <v>216</v>
      </c>
      <c r="E657" s="6" t="s">
        <v>1481</v>
      </c>
      <c r="F657" s="6">
        <v>3050</v>
      </c>
      <c r="G657" s="2">
        <v>0.56000000000000005</v>
      </c>
      <c r="H657" s="2">
        <v>0.71</v>
      </c>
      <c r="I657" s="2">
        <v>0.91</v>
      </c>
      <c r="J657" s="47">
        <f t="shared" si="50"/>
        <v>0.26785714285714268</v>
      </c>
      <c r="K657" s="47">
        <f t="shared" si="51"/>
        <v>0.28169014084507055</v>
      </c>
      <c r="M657" s="8">
        <v>21.2</v>
      </c>
      <c r="N657" s="8">
        <v>16.54</v>
      </c>
      <c r="O657" s="17">
        <f t="shared" si="52"/>
        <v>0.79146666666666721</v>
      </c>
      <c r="P657" s="17">
        <f t="shared" si="53"/>
        <v>0.58716999999999975</v>
      </c>
      <c r="T657" s="9">
        <v>1731.93994</v>
      </c>
      <c r="U657" s="9">
        <v>1333.8</v>
      </c>
      <c r="V657" s="45">
        <f t="shared" si="54"/>
        <v>0.2985004798320588</v>
      </c>
      <c r="X657" s="12">
        <v>1.92</v>
      </c>
    </row>
    <row r="658" spans="1:25" x14ac:dyDescent="0.45">
      <c r="A658" s="3" t="s">
        <v>4571</v>
      </c>
      <c r="B658" s="3" t="s">
        <v>4572</v>
      </c>
      <c r="C658" s="6" t="s">
        <v>518</v>
      </c>
      <c r="D658" s="6" t="s">
        <v>234</v>
      </c>
      <c r="E658" s="6" t="s">
        <v>904</v>
      </c>
      <c r="F658" s="6">
        <v>3247.68</v>
      </c>
      <c r="J658" s="47" t="e">
        <f t="shared" si="50"/>
        <v>#DIV/0!</v>
      </c>
      <c r="K658" s="47" t="e">
        <f t="shared" si="51"/>
        <v>#DIV/0!</v>
      </c>
      <c r="O658" s="17" t="e">
        <f t="shared" si="52"/>
        <v>#DIV/0!</v>
      </c>
      <c r="P658" s="17" t="e">
        <f t="shared" si="53"/>
        <v>#DIV/0!</v>
      </c>
      <c r="V658" s="45" t="e">
        <f t="shared" si="54"/>
        <v>#DIV/0!</v>
      </c>
      <c r="X658" s="12">
        <v>7.43</v>
      </c>
    </row>
    <row r="659" spans="1:25" x14ac:dyDescent="0.45">
      <c r="A659" s="3" t="s">
        <v>4573</v>
      </c>
      <c r="B659" s="3" t="s">
        <v>4574</v>
      </c>
      <c r="C659" s="6" t="s">
        <v>520</v>
      </c>
      <c r="D659" s="6" t="s">
        <v>272</v>
      </c>
      <c r="E659" s="6" t="s">
        <v>913</v>
      </c>
      <c r="F659" s="6">
        <v>6922.19</v>
      </c>
      <c r="J659" s="47" t="e">
        <f t="shared" si="50"/>
        <v>#DIV/0!</v>
      </c>
      <c r="K659" s="47" t="e">
        <f t="shared" si="51"/>
        <v>#DIV/0!</v>
      </c>
      <c r="L659" s="8">
        <v>15.15</v>
      </c>
      <c r="O659" s="17" t="e">
        <f t="shared" si="52"/>
        <v>#DIV/0!</v>
      </c>
      <c r="P659" s="17" t="e">
        <f t="shared" si="53"/>
        <v>#DIV/0!</v>
      </c>
      <c r="R659" s="9">
        <v>4.54</v>
      </c>
      <c r="S659" s="9">
        <v>-7.0000000000000007E-2</v>
      </c>
      <c r="U659" s="9">
        <v>12896.96</v>
      </c>
      <c r="V659" s="45">
        <f t="shared" si="54"/>
        <v>-1</v>
      </c>
      <c r="X659" s="12">
        <v>1.02</v>
      </c>
      <c r="Y659" s="12">
        <v>20210616</v>
      </c>
    </row>
    <row r="660" spans="1:25" x14ac:dyDescent="0.45">
      <c r="A660" s="3" t="s">
        <v>1482</v>
      </c>
      <c r="B660" s="3" t="s">
        <v>1483</v>
      </c>
      <c r="C660" s="6" t="s">
        <v>520</v>
      </c>
      <c r="D660" s="6" t="s">
        <v>46</v>
      </c>
      <c r="E660" s="6" t="s">
        <v>80</v>
      </c>
      <c r="F660" s="6">
        <v>55912.58</v>
      </c>
      <c r="G660" s="2">
        <v>0.72</v>
      </c>
      <c r="H660" s="2">
        <v>2.23</v>
      </c>
      <c r="I660" s="2">
        <v>2.57</v>
      </c>
      <c r="J660" s="47">
        <f t="shared" si="50"/>
        <v>2.0972222222222223</v>
      </c>
      <c r="K660" s="47">
        <f t="shared" si="51"/>
        <v>0.15246636771300442</v>
      </c>
      <c r="L660" s="8">
        <v>44.91</v>
      </c>
      <c r="M660" s="8">
        <v>15.91</v>
      </c>
      <c r="N660" s="8">
        <v>13.81</v>
      </c>
      <c r="O660" s="17">
        <f t="shared" si="52"/>
        <v>7.586225165562914E-2</v>
      </c>
      <c r="P660" s="17">
        <f t="shared" si="53"/>
        <v>0.90577352941176503</v>
      </c>
      <c r="R660" s="9">
        <v>3.44</v>
      </c>
      <c r="S660" s="9">
        <v>2.6</v>
      </c>
      <c r="T660" s="9">
        <v>52599.59375</v>
      </c>
      <c r="U660" s="9">
        <v>46573.06</v>
      </c>
      <c r="V660" s="45">
        <f t="shared" si="54"/>
        <v>0.12939956597225954</v>
      </c>
      <c r="W660" s="12">
        <v>47.06</v>
      </c>
      <c r="X660" s="12">
        <v>1.23</v>
      </c>
      <c r="Y660" s="12">
        <v>20210730</v>
      </c>
    </row>
    <row r="661" spans="1:25" x14ac:dyDescent="0.45">
      <c r="A661" s="3" t="s">
        <v>1484</v>
      </c>
      <c r="B661" s="3" t="s">
        <v>1485</v>
      </c>
      <c r="C661" s="6" t="s">
        <v>518</v>
      </c>
      <c r="D661" s="6" t="s">
        <v>234</v>
      </c>
      <c r="E661" s="6" t="s">
        <v>286</v>
      </c>
      <c r="F661" s="6">
        <v>4162.87</v>
      </c>
      <c r="G661" s="2">
        <v>1.05</v>
      </c>
      <c r="H661" s="2">
        <v>1.1000000000000001</v>
      </c>
      <c r="I661" s="2">
        <v>1.1299999999999999</v>
      </c>
      <c r="J661" s="47">
        <f t="shared" si="50"/>
        <v>4.7619047619047658E-2</v>
      </c>
      <c r="K661" s="47">
        <f t="shared" si="51"/>
        <v>2.7272727272727094E-2</v>
      </c>
      <c r="L661" s="8">
        <v>18.23</v>
      </c>
      <c r="M661" s="8">
        <v>17.64</v>
      </c>
      <c r="N661" s="8">
        <v>17.100000000000001</v>
      </c>
      <c r="O661" s="17">
        <f t="shared" si="52"/>
        <v>3.7043999999999975</v>
      </c>
      <c r="P661" s="17">
        <f t="shared" si="53"/>
        <v>6.2700000000000422</v>
      </c>
      <c r="Q661" s="5">
        <v>2.74</v>
      </c>
      <c r="R661" s="9">
        <v>2.5299999999999998</v>
      </c>
      <c r="S661" s="9">
        <v>17.41</v>
      </c>
      <c r="T661" s="9">
        <v>466.89897999999999</v>
      </c>
      <c r="U661" s="9">
        <v>437.51</v>
      </c>
      <c r="V661" s="45">
        <f t="shared" si="54"/>
        <v>6.7173276039404817E-2</v>
      </c>
      <c r="W661" s="12">
        <v>0</v>
      </c>
      <c r="X661" s="12">
        <v>4.76</v>
      </c>
      <c r="Y661" s="12">
        <v>20210805</v>
      </c>
    </row>
    <row r="662" spans="1:25" x14ac:dyDescent="0.45">
      <c r="A662" s="3" t="s">
        <v>4105</v>
      </c>
      <c r="B662" s="3" t="s">
        <v>4106</v>
      </c>
      <c r="C662" s="6" t="s">
        <v>518</v>
      </c>
      <c r="D662" s="6" t="s">
        <v>189</v>
      </c>
      <c r="E662" s="6" t="s">
        <v>248</v>
      </c>
      <c r="F662" s="6">
        <v>4330.74</v>
      </c>
      <c r="H662" s="2">
        <v>0.23</v>
      </c>
      <c r="I662" s="2">
        <v>0.53</v>
      </c>
      <c r="J662" s="47" t="e">
        <f t="shared" si="50"/>
        <v>#DIV/0!</v>
      </c>
      <c r="K662" s="47">
        <f t="shared" si="51"/>
        <v>1.3043478260869568</v>
      </c>
      <c r="M662" s="8">
        <v>179.82</v>
      </c>
      <c r="N662" s="8">
        <v>76.97</v>
      </c>
      <c r="O662" s="17" t="e">
        <f t="shared" si="52"/>
        <v>#DIV/0!</v>
      </c>
      <c r="P662" s="17">
        <f t="shared" si="53"/>
        <v>0.5901033333333332</v>
      </c>
      <c r="T662" s="9">
        <v>407.76299999999998</v>
      </c>
      <c r="V662" s="45" t="e">
        <f t="shared" si="54"/>
        <v>#DIV/0!</v>
      </c>
      <c r="W662" s="12">
        <v>-100</v>
      </c>
      <c r="X662" s="12">
        <v>0</v>
      </c>
      <c r="Y662" s="12">
        <v>20210805</v>
      </c>
    </row>
    <row r="663" spans="1:25" x14ac:dyDescent="0.45">
      <c r="A663" s="3" t="s">
        <v>1486</v>
      </c>
      <c r="B663" s="3" t="s">
        <v>1487</v>
      </c>
      <c r="C663" s="6" t="s">
        <v>519</v>
      </c>
      <c r="D663" s="6" t="s">
        <v>175</v>
      </c>
      <c r="E663" s="6" t="s">
        <v>305</v>
      </c>
      <c r="F663" s="6">
        <v>46322.05</v>
      </c>
      <c r="G663" s="2">
        <v>0.74</v>
      </c>
      <c r="H663" s="2">
        <v>1.68</v>
      </c>
      <c r="I663" s="2">
        <v>2.15</v>
      </c>
      <c r="J663" s="47">
        <f t="shared" si="50"/>
        <v>1.2702702702702702</v>
      </c>
      <c r="K663" s="47">
        <f t="shared" si="51"/>
        <v>0.27976190476190477</v>
      </c>
      <c r="L663" s="8">
        <v>198.13</v>
      </c>
      <c r="M663" s="8">
        <v>141.88</v>
      </c>
      <c r="N663" s="8">
        <v>110.36</v>
      </c>
      <c r="O663" s="17">
        <f t="shared" si="52"/>
        <v>1.1169276595744682</v>
      </c>
      <c r="P663" s="17">
        <f t="shared" si="53"/>
        <v>3.9447829787234041</v>
      </c>
      <c r="Q663" s="5">
        <v>2.5299999999999998</v>
      </c>
      <c r="R663" s="9">
        <v>-26.53</v>
      </c>
      <c r="S663" s="9">
        <v>41.13</v>
      </c>
      <c r="T663" s="9">
        <v>2025.36401</v>
      </c>
      <c r="U663" s="9">
        <v>1453.05</v>
      </c>
      <c r="V663" s="45">
        <f t="shared" si="54"/>
        <v>0.39387083032242531</v>
      </c>
      <c r="W663" s="12">
        <v>62.96</v>
      </c>
      <c r="X663" s="12">
        <v>0</v>
      </c>
      <c r="Y663" s="12">
        <v>20210902</v>
      </c>
    </row>
    <row r="664" spans="1:25" x14ac:dyDescent="0.45">
      <c r="A664" s="3" t="s">
        <v>1488</v>
      </c>
      <c r="B664" s="3" t="s">
        <v>1489</v>
      </c>
      <c r="C664" s="6" t="s">
        <v>519</v>
      </c>
      <c r="D664" s="6" t="s">
        <v>46</v>
      </c>
      <c r="E664" s="6" t="s">
        <v>80</v>
      </c>
      <c r="F664" s="6">
        <v>6285.65</v>
      </c>
      <c r="G664" s="2">
        <v>3.98</v>
      </c>
      <c r="H664" s="2">
        <v>6.64</v>
      </c>
      <c r="I664" s="2">
        <v>6.87</v>
      </c>
      <c r="J664" s="47">
        <f t="shared" si="50"/>
        <v>0.66834170854271346</v>
      </c>
      <c r="K664" s="47">
        <f t="shared" si="51"/>
        <v>3.4638554216867533E-2</v>
      </c>
      <c r="L664" s="8">
        <v>12.73</v>
      </c>
      <c r="M664" s="8">
        <v>11.19</v>
      </c>
      <c r="N664" s="8">
        <v>10.81</v>
      </c>
      <c r="O664" s="17">
        <f t="shared" si="52"/>
        <v>0.16742932330827068</v>
      </c>
      <c r="P664" s="17">
        <f t="shared" si="53"/>
        <v>3.1207999999999947</v>
      </c>
      <c r="R664" s="9">
        <v>-149.93</v>
      </c>
      <c r="S664" s="9">
        <v>9.0399999999999991</v>
      </c>
      <c r="T664" s="9">
        <v>6299.9609300000002</v>
      </c>
      <c r="U664" s="9">
        <v>4443.96</v>
      </c>
      <c r="V664" s="45">
        <f t="shared" si="54"/>
        <v>0.41764573263485721</v>
      </c>
      <c r="W664" s="12">
        <v>100</v>
      </c>
      <c r="X664" s="12">
        <v>0.12</v>
      </c>
      <c r="Y664" s="12">
        <v>20210826</v>
      </c>
    </row>
    <row r="665" spans="1:25" x14ac:dyDescent="0.45">
      <c r="A665" s="3" t="s">
        <v>1490</v>
      </c>
      <c r="B665" s="3" t="s">
        <v>1491</v>
      </c>
      <c r="C665" s="6" t="s">
        <v>519</v>
      </c>
      <c r="D665" s="6" t="s">
        <v>46</v>
      </c>
      <c r="E665" s="6" t="s">
        <v>1066</v>
      </c>
      <c r="F665" s="6">
        <v>3302.58</v>
      </c>
      <c r="G665" s="2">
        <v>3.18</v>
      </c>
      <c r="H665" s="2">
        <v>4.5199999999999996</v>
      </c>
      <c r="I665" s="2">
        <v>5.01</v>
      </c>
      <c r="J665" s="47">
        <f t="shared" si="50"/>
        <v>0.42138364779874193</v>
      </c>
      <c r="K665" s="47">
        <f t="shared" si="51"/>
        <v>0.10840707964601776</v>
      </c>
      <c r="L665" s="8">
        <v>26.81</v>
      </c>
      <c r="M665" s="8">
        <v>22.76</v>
      </c>
      <c r="N665" s="8">
        <v>20.57</v>
      </c>
      <c r="O665" s="17">
        <f t="shared" si="52"/>
        <v>0.54012537313432862</v>
      </c>
      <c r="P665" s="17">
        <f t="shared" si="53"/>
        <v>1.8974775510204072</v>
      </c>
      <c r="R665" s="9">
        <v>14.65</v>
      </c>
      <c r="S665" s="9">
        <v>5.63</v>
      </c>
      <c r="T665" s="9">
        <v>1207.8470400000001</v>
      </c>
      <c r="U665" s="9">
        <v>1092.75</v>
      </c>
      <c r="V665" s="45">
        <f t="shared" si="54"/>
        <v>0.10532787920384361</v>
      </c>
      <c r="W665" s="12">
        <v>1.96</v>
      </c>
      <c r="X665" s="12">
        <v>0</v>
      </c>
      <c r="Y665" s="12">
        <v>20210804</v>
      </c>
    </row>
    <row r="666" spans="1:25" x14ac:dyDescent="0.45">
      <c r="A666" s="3" t="s">
        <v>1492</v>
      </c>
      <c r="B666" s="3" t="s">
        <v>208</v>
      </c>
      <c r="C666" s="6" t="s">
        <v>518</v>
      </c>
      <c r="D666" s="6" t="s">
        <v>272</v>
      </c>
      <c r="E666" s="6" t="s">
        <v>254</v>
      </c>
      <c r="F666" s="6">
        <v>21684.080000000002</v>
      </c>
      <c r="G666" s="2">
        <v>5.49</v>
      </c>
      <c r="H666" s="2">
        <v>6.98</v>
      </c>
      <c r="I666" s="2">
        <v>7.58</v>
      </c>
      <c r="J666" s="47">
        <f t="shared" si="50"/>
        <v>0.27140255009107472</v>
      </c>
      <c r="K666" s="47">
        <f t="shared" si="51"/>
        <v>8.5959885386819423E-2</v>
      </c>
      <c r="L666" s="8">
        <v>24.74</v>
      </c>
      <c r="M666" s="8">
        <v>21.59</v>
      </c>
      <c r="N666" s="8">
        <v>19.88</v>
      </c>
      <c r="O666" s="17">
        <f t="shared" si="52"/>
        <v>0.79549731543624147</v>
      </c>
      <c r="P666" s="17">
        <f t="shared" si="53"/>
        <v>2.3127066666666685</v>
      </c>
      <c r="Q666" s="5">
        <v>1.88</v>
      </c>
      <c r="R666" s="9">
        <v>26.74</v>
      </c>
      <c r="S666" s="9">
        <v>-0.85</v>
      </c>
      <c r="T666" s="9">
        <v>7490.0341699999999</v>
      </c>
      <c r="U666" s="9">
        <v>6683.76</v>
      </c>
      <c r="V666" s="45">
        <f t="shared" si="54"/>
        <v>0.12063182549941943</v>
      </c>
      <c r="W666" s="12">
        <v>23.13</v>
      </c>
      <c r="X666" s="12">
        <v>1.31</v>
      </c>
      <c r="Y666" s="12">
        <v>20210728</v>
      </c>
    </row>
    <row r="667" spans="1:25" x14ac:dyDescent="0.45">
      <c r="A667" s="3" t="s">
        <v>1493</v>
      </c>
      <c r="B667" s="3" t="s">
        <v>1494</v>
      </c>
      <c r="C667" s="6" t="s">
        <v>518</v>
      </c>
      <c r="D667" s="6" t="s">
        <v>90</v>
      </c>
      <c r="E667" s="6" t="s">
        <v>196</v>
      </c>
      <c r="F667" s="6">
        <v>51422.75</v>
      </c>
      <c r="G667" s="2">
        <v>1.52</v>
      </c>
      <c r="H667" s="2">
        <v>6.7</v>
      </c>
      <c r="I667" s="2">
        <v>5.59</v>
      </c>
      <c r="J667" s="47">
        <f t="shared" si="50"/>
        <v>3.4078947368421049</v>
      </c>
      <c r="K667" s="47">
        <f t="shared" si="51"/>
        <v>-0.16567164179104482</v>
      </c>
      <c r="L667" s="8">
        <v>28.56</v>
      </c>
      <c r="M667" s="8">
        <v>10.28</v>
      </c>
      <c r="N667" s="8">
        <v>12.32</v>
      </c>
      <c r="O667" s="17">
        <f t="shared" si="52"/>
        <v>3.0165250965250971E-2</v>
      </c>
      <c r="P667" s="17">
        <f t="shared" si="53"/>
        <v>-0.74363963963963953</v>
      </c>
      <c r="Q667" s="5">
        <v>0.37</v>
      </c>
      <c r="R667" s="9">
        <v>13.57</v>
      </c>
      <c r="T667" s="9">
        <v>48113.066400000003</v>
      </c>
      <c r="U667" s="9">
        <v>38542</v>
      </c>
      <c r="V667" s="45">
        <f t="shared" si="54"/>
        <v>0.24832822375590274</v>
      </c>
      <c r="W667" s="12">
        <v>23.64</v>
      </c>
      <c r="X667" s="12">
        <v>4.07</v>
      </c>
      <c r="Y667" s="12">
        <v>20210722</v>
      </c>
    </row>
    <row r="668" spans="1:25" x14ac:dyDescent="0.45">
      <c r="A668" s="3" t="s">
        <v>1495</v>
      </c>
      <c r="B668" s="3" t="s">
        <v>1496</v>
      </c>
      <c r="C668" s="6" t="s">
        <v>519</v>
      </c>
      <c r="D668" s="6" t="s">
        <v>189</v>
      </c>
      <c r="E668" s="6" t="s">
        <v>204</v>
      </c>
      <c r="F668" s="6">
        <v>10509.79</v>
      </c>
      <c r="G668" s="2">
        <v>4.4000000000000004</v>
      </c>
      <c r="H668" s="2">
        <v>4.76</v>
      </c>
      <c r="I668" s="2">
        <v>5.16</v>
      </c>
      <c r="J668" s="47">
        <f t="shared" si="50"/>
        <v>8.1818181818181679E-2</v>
      </c>
      <c r="K668" s="47">
        <f t="shared" si="51"/>
        <v>8.4033613445378227E-2</v>
      </c>
      <c r="L668" s="8">
        <v>17.46</v>
      </c>
      <c r="M668" s="8">
        <v>16.84</v>
      </c>
      <c r="N668" s="8">
        <v>15.52</v>
      </c>
      <c r="O668" s="17">
        <f t="shared" si="52"/>
        <v>2.0582222222222257</v>
      </c>
      <c r="P668" s="17">
        <f t="shared" si="53"/>
        <v>1.8468799999999983</v>
      </c>
      <c r="Q668" s="5">
        <v>1.68</v>
      </c>
      <c r="R668" s="9">
        <v>15.28</v>
      </c>
      <c r="S668" s="9">
        <v>2.85</v>
      </c>
      <c r="T668" s="9">
        <v>4278.9247999999998</v>
      </c>
      <c r="U668" s="9">
        <v>4169.04</v>
      </c>
      <c r="V668" s="45">
        <f t="shared" si="54"/>
        <v>2.6357338859785421E-2</v>
      </c>
      <c r="W668" s="12">
        <v>-0.88</v>
      </c>
      <c r="X668" s="12">
        <v>1.8</v>
      </c>
      <c r="Y668" s="12">
        <v>20210804</v>
      </c>
    </row>
    <row r="669" spans="1:25" x14ac:dyDescent="0.45">
      <c r="A669" s="3" t="s">
        <v>1497</v>
      </c>
      <c r="B669" s="3" t="s">
        <v>1498</v>
      </c>
      <c r="C669" s="6" t="s">
        <v>520</v>
      </c>
      <c r="D669" s="6" t="s">
        <v>309</v>
      </c>
      <c r="E669" s="6" t="s">
        <v>312</v>
      </c>
      <c r="F669" s="6">
        <v>85649.98</v>
      </c>
      <c r="G669" s="2">
        <v>3.28</v>
      </c>
      <c r="H669" s="2">
        <v>4.03</v>
      </c>
      <c r="I669" s="2">
        <v>4.37</v>
      </c>
      <c r="J669" s="47">
        <f t="shared" si="50"/>
        <v>0.228658536585366</v>
      </c>
      <c r="K669" s="47">
        <f t="shared" si="51"/>
        <v>8.4367245657568202E-2</v>
      </c>
      <c r="L669" s="8">
        <v>18.89</v>
      </c>
      <c r="M669" s="8">
        <v>17.170000000000002</v>
      </c>
      <c r="N669" s="8">
        <v>15.82</v>
      </c>
      <c r="O669" s="17">
        <f t="shared" si="52"/>
        <v>0.75090133333333287</v>
      </c>
      <c r="P669" s="17">
        <f t="shared" si="53"/>
        <v>1.8751352941176478</v>
      </c>
      <c r="Q669" s="5">
        <v>1.34</v>
      </c>
      <c r="R669" s="9">
        <v>26.63</v>
      </c>
      <c r="S669" s="9">
        <v>3.96</v>
      </c>
      <c r="T669" s="9">
        <v>84807.78125</v>
      </c>
      <c r="U669" s="9">
        <v>76306.02</v>
      </c>
      <c r="V669" s="45">
        <f t="shared" si="54"/>
        <v>0.11141665166129744</v>
      </c>
      <c r="W669" s="12">
        <v>-4.24</v>
      </c>
      <c r="X669" s="12">
        <v>1.69</v>
      </c>
      <c r="Y669" s="12">
        <v>20210804</v>
      </c>
    </row>
    <row r="670" spans="1:25" x14ac:dyDescent="0.45">
      <c r="A670" s="3" t="s">
        <v>1499</v>
      </c>
      <c r="B670" s="3" t="s">
        <v>1500</v>
      </c>
      <c r="C670" s="6" t="s">
        <v>518</v>
      </c>
      <c r="D670" s="6" t="s">
        <v>303</v>
      </c>
      <c r="E670" s="6" t="s">
        <v>294</v>
      </c>
      <c r="F670" s="6">
        <v>17189.72</v>
      </c>
      <c r="G670" s="2">
        <v>12.42</v>
      </c>
      <c r="H670" s="2">
        <v>12.77</v>
      </c>
      <c r="I670" s="2">
        <v>14.78</v>
      </c>
      <c r="J670" s="47">
        <f t="shared" si="50"/>
        <v>2.8180354267310762E-2</v>
      </c>
      <c r="K670" s="47">
        <f t="shared" si="51"/>
        <v>0.15740015661707124</v>
      </c>
      <c r="L670" s="8">
        <v>37.08</v>
      </c>
      <c r="M670" s="8">
        <v>34.65</v>
      </c>
      <c r="N670" s="8">
        <v>29.95</v>
      </c>
      <c r="O670" s="17">
        <f t="shared" si="52"/>
        <v>12.29580000000001</v>
      </c>
      <c r="P670" s="17">
        <f t="shared" si="53"/>
        <v>1.9027935323383087</v>
      </c>
      <c r="Q670" s="5">
        <v>2.89</v>
      </c>
      <c r="R670" s="9">
        <v>-14.49</v>
      </c>
      <c r="S670" s="9">
        <v>13.37</v>
      </c>
      <c r="T670" s="9">
        <v>4307.5180600000003</v>
      </c>
      <c r="U670" s="9">
        <v>4117.41</v>
      </c>
      <c r="V670" s="45">
        <f t="shared" si="54"/>
        <v>4.6171758459808587E-2</v>
      </c>
      <c r="W670" s="12">
        <v>2.04</v>
      </c>
      <c r="X670" s="12">
        <v>0.85</v>
      </c>
      <c r="Y670" s="12">
        <v>20210715</v>
      </c>
    </row>
    <row r="671" spans="1:25" x14ac:dyDescent="0.45">
      <c r="A671" s="3" t="s">
        <v>1501</v>
      </c>
      <c r="B671" s="3" t="s">
        <v>1502</v>
      </c>
      <c r="C671" s="6" t="s">
        <v>518</v>
      </c>
      <c r="D671" s="6" t="s">
        <v>90</v>
      </c>
      <c r="E671" s="6" t="s">
        <v>198</v>
      </c>
      <c r="F671" s="6">
        <v>5021.99</v>
      </c>
      <c r="G671" s="2">
        <v>1.98</v>
      </c>
      <c r="H671" s="2">
        <v>8.75</v>
      </c>
      <c r="I671" s="2">
        <v>9.51</v>
      </c>
      <c r="J671" s="47">
        <f t="shared" si="50"/>
        <v>3.4191919191919191</v>
      </c>
      <c r="K671" s="47">
        <f t="shared" si="51"/>
        <v>8.6857142857142827E-2</v>
      </c>
      <c r="L671" s="8">
        <v>27.83</v>
      </c>
      <c r="M671" s="8">
        <v>7.85</v>
      </c>
      <c r="N671" s="8">
        <v>7.23</v>
      </c>
      <c r="O671" s="17">
        <f t="shared" si="52"/>
        <v>2.2958641063515507E-2</v>
      </c>
      <c r="P671" s="17">
        <f t="shared" si="53"/>
        <v>0.83240131578947396</v>
      </c>
      <c r="R671" s="9">
        <v>23.9</v>
      </c>
      <c r="S671" s="9">
        <v>21.97</v>
      </c>
      <c r="T671" s="9">
        <v>1460.8199400000001</v>
      </c>
      <c r="U671" s="9">
        <v>675.6</v>
      </c>
      <c r="V671" s="45">
        <f t="shared" si="54"/>
        <v>1.1622556838365898</v>
      </c>
      <c r="W671" s="12">
        <v>21.35</v>
      </c>
      <c r="X671" s="12">
        <v>0</v>
      </c>
      <c r="Y671" s="12">
        <v>20210817</v>
      </c>
    </row>
    <row r="672" spans="1:25" x14ac:dyDescent="0.45">
      <c r="A672" s="3" t="s">
        <v>1503</v>
      </c>
      <c r="B672" s="3" t="s">
        <v>1504</v>
      </c>
      <c r="C672" s="6" t="s">
        <v>518</v>
      </c>
      <c r="D672" s="6" t="s">
        <v>234</v>
      </c>
      <c r="E672" s="6" t="s">
        <v>286</v>
      </c>
      <c r="F672" s="6">
        <v>18306.78</v>
      </c>
      <c r="G672" s="2">
        <v>1.52</v>
      </c>
      <c r="H672" s="2">
        <v>1.68</v>
      </c>
      <c r="I672" s="2">
        <v>1.81</v>
      </c>
      <c r="J672" s="47">
        <f t="shared" si="50"/>
        <v>0.10526315789473679</v>
      </c>
      <c r="K672" s="47">
        <f t="shared" si="51"/>
        <v>7.7380952380952453E-2</v>
      </c>
      <c r="L672" s="8">
        <v>30.9</v>
      </c>
      <c r="M672" s="8">
        <v>29</v>
      </c>
      <c r="N672" s="8">
        <v>27</v>
      </c>
      <c r="O672" s="17">
        <f t="shared" si="52"/>
        <v>2.7550000000000012</v>
      </c>
      <c r="P672" s="17">
        <f t="shared" si="53"/>
        <v>3.4892307692307658</v>
      </c>
      <c r="Q672" s="5">
        <v>4.22</v>
      </c>
      <c r="R672" s="9">
        <v>6.97</v>
      </c>
      <c r="S672" s="9">
        <v>3.34</v>
      </c>
      <c r="T672" s="9">
        <v>1033.432</v>
      </c>
      <c r="U672" s="9">
        <v>993.2</v>
      </c>
      <c r="V672" s="45">
        <f t="shared" si="54"/>
        <v>4.0507450664518697E-2</v>
      </c>
      <c r="W672" s="12">
        <v>0</v>
      </c>
      <c r="X672" s="12">
        <v>2.09</v>
      </c>
      <c r="Y672" s="12">
        <v>20210804</v>
      </c>
    </row>
    <row r="673" spans="1:25" x14ac:dyDescent="0.45">
      <c r="A673" s="3" t="s">
        <v>1505</v>
      </c>
      <c r="B673" s="3" t="s">
        <v>1506</v>
      </c>
      <c r="C673" s="6" t="s">
        <v>518</v>
      </c>
      <c r="D673" s="6" t="s">
        <v>303</v>
      </c>
      <c r="E673" s="6" t="s">
        <v>294</v>
      </c>
      <c r="F673" s="6">
        <v>18072.61</v>
      </c>
      <c r="G673" s="2">
        <v>3.98</v>
      </c>
      <c r="H673" s="2">
        <v>7.03</v>
      </c>
      <c r="I673" s="2">
        <v>7.87</v>
      </c>
      <c r="J673" s="47">
        <f t="shared" si="50"/>
        <v>0.76633165829145733</v>
      </c>
      <c r="K673" s="47">
        <f t="shared" si="51"/>
        <v>0.11948790896159314</v>
      </c>
      <c r="L673" s="8">
        <v>133.34</v>
      </c>
      <c r="M673" s="8">
        <v>19.739999999999998</v>
      </c>
      <c r="N673" s="8">
        <v>17.61</v>
      </c>
      <c r="O673" s="17">
        <f t="shared" si="52"/>
        <v>0.2575908196721311</v>
      </c>
      <c r="P673" s="17">
        <f t="shared" si="53"/>
        <v>1.473789285714286</v>
      </c>
      <c r="Q673" s="5">
        <v>1.97</v>
      </c>
      <c r="R673" s="9">
        <v>5.94</v>
      </c>
      <c r="S673" s="9">
        <v>1.28</v>
      </c>
      <c r="T673" s="9">
        <v>9166.4638599999998</v>
      </c>
      <c r="U673" s="9">
        <v>7806.9</v>
      </c>
      <c r="V673" s="45">
        <f t="shared" si="54"/>
        <v>0.17414900408612896</v>
      </c>
      <c r="W673" s="12">
        <v>36.11</v>
      </c>
      <c r="X673" s="12">
        <v>2.54</v>
      </c>
      <c r="Y673" s="12">
        <v>20210624</v>
      </c>
    </row>
    <row r="674" spans="1:25" x14ac:dyDescent="0.45">
      <c r="A674" s="3" t="s">
        <v>1507</v>
      </c>
      <c r="B674" s="3" t="s">
        <v>1508</v>
      </c>
      <c r="C674" s="6" t="s">
        <v>520</v>
      </c>
      <c r="D674" s="6" t="s">
        <v>272</v>
      </c>
      <c r="E674" s="6" t="s">
        <v>1509</v>
      </c>
      <c r="F674" s="6">
        <v>10899.04</v>
      </c>
      <c r="G674" s="2">
        <v>2.0099999999999998</v>
      </c>
      <c r="H674" s="2">
        <v>2.5499999999999998</v>
      </c>
      <c r="I674" s="2">
        <v>2.81</v>
      </c>
      <c r="J674" s="47">
        <f t="shared" si="50"/>
        <v>0.2686567164179105</v>
      </c>
      <c r="K674" s="47">
        <f t="shared" si="51"/>
        <v>0.10196078431372559</v>
      </c>
      <c r="L674" s="8">
        <v>34.15</v>
      </c>
      <c r="M674" s="8">
        <v>23.71</v>
      </c>
      <c r="N674" s="8">
        <v>21.51</v>
      </c>
      <c r="O674" s="17">
        <f t="shared" si="52"/>
        <v>0.88253888888888876</v>
      </c>
      <c r="P674" s="17">
        <f t="shared" si="53"/>
        <v>2.1096346153846133</v>
      </c>
      <c r="R674" s="9">
        <v>14.93</v>
      </c>
      <c r="S674" s="9">
        <v>-0.03</v>
      </c>
      <c r="T674" s="9">
        <v>1923.635</v>
      </c>
      <c r="U674" s="9">
        <v>1297.96</v>
      </c>
      <c r="V674" s="45">
        <f t="shared" si="54"/>
        <v>0.48204490122962185</v>
      </c>
      <c r="W674" s="12">
        <v>51.43</v>
      </c>
      <c r="X674" s="12">
        <v>0.27</v>
      </c>
      <c r="Y674" s="12">
        <v>20210610</v>
      </c>
    </row>
    <row r="675" spans="1:25" x14ac:dyDescent="0.45">
      <c r="A675" s="3" t="s">
        <v>1510</v>
      </c>
      <c r="B675" s="3" t="s">
        <v>1511</v>
      </c>
      <c r="C675" s="6" t="s">
        <v>520</v>
      </c>
      <c r="D675" s="6" t="s">
        <v>309</v>
      </c>
      <c r="E675" s="6" t="s">
        <v>312</v>
      </c>
      <c r="F675" s="6">
        <v>54284.160000000003</v>
      </c>
      <c r="G675" s="2">
        <v>2.0299999999999998</v>
      </c>
      <c r="H675" s="2">
        <v>3.15</v>
      </c>
      <c r="I675" s="2">
        <v>3.82</v>
      </c>
      <c r="J675" s="47">
        <f t="shared" si="50"/>
        <v>0.55172413793103459</v>
      </c>
      <c r="K675" s="47">
        <f t="shared" si="51"/>
        <v>0.21269841269841269</v>
      </c>
      <c r="L675" s="8">
        <v>59.4</v>
      </c>
      <c r="M675" s="8">
        <v>38.47</v>
      </c>
      <c r="N675" s="8">
        <v>31.72</v>
      </c>
      <c r="O675" s="17">
        <f t="shared" si="52"/>
        <v>0.69726874999999988</v>
      </c>
      <c r="P675" s="17">
        <f t="shared" si="53"/>
        <v>1.4913134328358209</v>
      </c>
      <c r="R675" s="9">
        <v>13.24</v>
      </c>
      <c r="S675" s="9">
        <v>15.8</v>
      </c>
      <c r="T675" s="9">
        <v>22264.800780000001</v>
      </c>
      <c r="U675" s="9">
        <v>17761.13</v>
      </c>
      <c r="V675" s="45">
        <f t="shared" si="54"/>
        <v>0.2535689328325394</v>
      </c>
      <c r="W675" s="12">
        <v>0</v>
      </c>
      <c r="X675" s="12">
        <v>0.17</v>
      </c>
      <c r="Y675" s="12">
        <v>20210610</v>
      </c>
    </row>
    <row r="676" spans="1:25" x14ac:dyDescent="0.45">
      <c r="A676" s="3" t="s">
        <v>4575</v>
      </c>
      <c r="B676" s="3" t="s">
        <v>4576</v>
      </c>
      <c r="C676" s="6" t="s">
        <v>520</v>
      </c>
      <c r="D676" s="6" t="s">
        <v>234</v>
      </c>
      <c r="E676" s="6" t="s">
        <v>221</v>
      </c>
      <c r="F676" s="6">
        <v>9932.86</v>
      </c>
      <c r="J676" s="47" t="e">
        <f t="shared" si="50"/>
        <v>#DIV/0!</v>
      </c>
      <c r="K676" s="47" t="e">
        <f t="shared" si="51"/>
        <v>#DIV/0!</v>
      </c>
      <c r="L676" s="8">
        <v>11.93</v>
      </c>
      <c r="O676" s="17" t="e">
        <f t="shared" si="52"/>
        <v>#DIV/0!</v>
      </c>
      <c r="P676" s="17" t="e">
        <f t="shared" si="53"/>
        <v>#DIV/0!</v>
      </c>
      <c r="R676" s="9">
        <v>5.82</v>
      </c>
      <c r="S676" s="9">
        <v>0.63</v>
      </c>
      <c r="U676" s="9">
        <v>5435.56</v>
      </c>
      <c r="V676" s="45">
        <f t="shared" si="54"/>
        <v>-1</v>
      </c>
      <c r="X676" s="12">
        <v>6.07</v>
      </c>
      <c r="Y676" s="12">
        <v>20210730</v>
      </c>
    </row>
    <row r="677" spans="1:25" x14ac:dyDescent="0.45">
      <c r="A677" s="3" t="s">
        <v>4107</v>
      </c>
      <c r="B677" s="3" t="s">
        <v>4108</v>
      </c>
      <c r="C677" s="6" t="s">
        <v>519</v>
      </c>
      <c r="D677" s="6" t="s">
        <v>90</v>
      </c>
      <c r="E677" s="6" t="s">
        <v>198</v>
      </c>
      <c r="F677" s="6">
        <v>5250.7</v>
      </c>
      <c r="H677" s="2">
        <v>0.59</v>
      </c>
      <c r="I677" s="2">
        <v>0.73</v>
      </c>
      <c r="J677" s="47" t="e">
        <f t="shared" si="50"/>
        <v>#DIV/0!</v>
      </c>
      <c r="K677" s="47">
        <f t="shared" si="51"/>
        <v>0.23728813559322037</v>
      </c>
      <c r="M677" s="8">
        <v>29.54</v>
      </c>
      <c r="N677" s="8">
        <v>23.88</v>
      </c>
      <c r="O677" s="17" t="e">
        <f t="shared" si="52"/>
        <v>#DIV/0!</v>
      </c>
      <c r="P677" s="17">
        <f t="shared" si="53"/>
        <v>1.0063714285714283</v>
      </c>
      <c r="Q677" s="5">
        <v>2.08</v>
      </c>
      <c r="T677" s="9">
        <v>2815.6630799999998</v>
      </c>
      <c r="U677" s="9">
        <v>2629.2</v>
      </c>
      <c r="V677" s="45">
        <f t="shared" si="54"/>
        <v>7.0920082154267455E-2</v>
      </c>
      <c r="W677" s="12">
        <v>120</v>
      </c>
      <c r="X677" s="12">
        <v>0</v>
      </c>
      <c r="Y677" s="12">
        <v>20210813</v>
      </c>
    </row>
    <row r="678" spans="1:25" x14ac:dyDescent="0.45">
      <c r="A678" s="3" t="s">
        <v>1512</v>
      </c>
      <c r="B678" s="3" t="s">
        <v>1513</v>
      </c>
      <c r="C678" s="6" t="s">
        <v>519</v>
      </c>
      <c r="D678" s="6" t="s">
        <v>189</v>
      </c>
      <c r="E678" s="6" t="s">
        <v>202</v>
      </c>
      <c r="F678" s="6">
        <v>5555.14</v>
      </c>
      <c r="G678" s="2">
        <v>0.56000000000000005</v>
      </c>
      <c r="H678" s="2">
        <v>1.1100000000000001</v>
      </c>
      <c r="I678" s="2">
        <v>1.29</v>
      </c>
      <c r="J678" s="47">
        <f t="shared" si="50"/>
        <v>0.9821428571428571</v>
      </c>
      <c r="K678" s="47">
        <f t="shared" si="51"/>
        <v>0.16216216216216209</v>
      </c>
      <c r="L678" s="8">
        <v>96.66</v>
      </c>
      <c r="M678" s="8">
        <v>59.04</v>
      </c>
      <c r="N678" s="8">
        <v>50.95</v>
      </c>
      <c r="O678" s="17">
        <f t="shared" si="52"/>
        <v>0.60113454545454548</v>
      </c>
      <c r="P678" s="17">
        <f t="shared" si="53"/>
        <v>3.1419166666666678</v>
      </c>
      <c r="R678" s="9">
        <v>6.64</v>
      </c>
      <c r="S678" s="9">
        <v>14.94</v>
      </c>
      <c r="T678" s="9">
        <v>405.35</v>
      </c>
      <c r="U678" s="9">
        <v>348.66</v>
      </c>
      <c r="V678" s="45">
        <f t="shared" si="54"/>
        <v>0.16259393105030687</v>
      </c>
      <c r="W678" s="12">
        <v>10.53</v>
      </c>
      <c r="X678" s="12">
        <v>0</v>
      </c>
      <c r="Y678" s="12">
        <v>20210908</v>
      </c>
    </row>
    <row r="679" spans="1:25" x14ac:dyDescent="0.45">
      <c r="A679" s="3" t="s">
        <v>4109</v>
      </c>
      <c r="B679" s="3" t="s">
        <v>4110</v>
      </c>
      <c r="C679" s="6" t="s">
        <v>520</v>
      </c>
      <c r="D679" s="6" t="s">
        <v>279</v>
      </c>
      <c r="E679" s="6" t="s">
        <v>264</v>
      </c>
      <c r="F679" s="6">
        <v>9902.51</v>
      </c>
      <c r="G679" s="2">
        <v>5.58</v>
      </c>
      <c r="H679" s="2">
        <v>6.98</v>
      </c>
      <c r="I679" s="2">
        <v>6.23</v>
      </c>
      <c r="J679" s="47">
        <f t="shared" si="50"/>
        <v>0.25089605734767029</v>
      </c>
      <c r="K679" s="47">
        <f t="shared" si="51"/>
        <v>-0.10744985673352435</v>
      </c>
      <c r="M679" s="8">
        <v>25.93</v>
      </c>
      <c r="N679" s="8">
        <v>29.05</v>
      </c>
      <c r="O679" s="17">
        <f t="shared" si="52"/>
        <v>1.033495714285714</v>
      </c>
      <c r="P679" s="17">
        <f t="shared" si="53"/>
        <v>-2.7035866666666668</v>
      </c>
      <c r="T679" s="9">
        <v>1270.26</v>
      </c>
      <c r="U679" s="9">
        <v>791.17</v>
      </c>
      <c r="V679" s="45">
        <f t="shared" si="54"/>
        <v>0.6055462163631079</v>
      </c>
      <c r="X679" s="12">
        <v>0</v>
      </c>
    </row>
    <row r="680" spans="1:25" x14ac:dyDescent="0.45">
      <c r="A680" s="3" t="s">
        <v>1514</v>
      </c>
      <c r="B680" s="3" t="s">
        <v>1515</v>
      </c>
      <c r="C680" s="6" t="s">
        <v>518</v>
      </c>
      <c r="D680" s="6" t="s">
        <v>189</v>
      </c>
      <c r="E680" s="6" t="s">
        <v>204</v>
      </c>
      <c r="F680" s="6">
        <v>15042.47</v>
      </c>
      <c r="G680" s="2">
        <v>0.61</v>
      </c>
      <c r="H680" s="2">
        <v>0.61</v>
      </c>
      <c r="I680" s="2">
        <v>0.77</v>
      </c>
      <c r="J680" s="47">
        <f t="shared" si="50"/>
        <v>0</v>
      </c>
      <c r="K680" s="47">
        <f t="shared" si="51"/>
        <v>0.26229508196721318</v>
      </c>
      <c r="L680" s="8">
        <v>84.49</v>
      </c>
      <c r="M680" s="8">
        <v>87.47</v>
      </c>
      <c r="N680" s="8">
        <v>69.52</v>
      </c>
      <c r="O680" s="17" t="e">
        <f t="shared" si="52"/>
        <v>#DIV/0!</v>
      </c>
      <c r="P680" s="17">
        <f t="shared" si="53"/>
        <v>2.6504499999999989</v>
      </c>
      <c r="Q680" s="5">
        <v>11.27</v>
      </c>
      <c r="R680" s="9">
        <v>12.89</v>
      </c>
      <c r="T680" s="9">
        <v>887.45201999999995</v>
      </c>
      <c r="U680" s="9">
        <v>703.51</v>
      </c>
      <c r="V680" s="45">
        <f t="shared" si="54"/>
        <v>0.26146326278233423</v>
      </c>
      <c r="W680" s="12">
        <v>7.14</v>
      </c>
      <c r="X680" s="12">
        <v>0</v>
      </c>
      <c r="Y680" s="12">
        <v>20210804</v>
      </c>
    </row>
    <row r="681" spans="1:25" x14ac:dyDescent="0.45">
      <c r="A681" s="3" t="s">
        <v>4577</v>
      </c>
      <c r="B681" s="3" t="s">
        <v>4578</v>
      </c>
      <c r="C681" s="6" t="s">
        <v>520</v>
      </c>
      <c r="D681" s="6" t="s">
        <v>216</v>
      </c>
      <c r="E681" s="6" t="s">
        <v>251</v>
      </c>
      <c r="F681" s="6">
        <v>3944.29</v>
      </c>
      <c r="G681" s="2">
        <v>0.36</v>
      </c>
      <c r="J681" s="47">
        <f t="shared" si="50"/>
        <v>-1</v>
      </c>
      <c r="K681" s="47" t="e">
        <f t="shared" si="51"/>
        <v>#DIV/0!</v>
      </c>
      <c r="L681" s="8">
        <v>55.56</v>
      </c>
      <c r="O681" s="17">
        <f t="shared" si="52"/>
        <v>0</v>
      </c>
      <c r="P681" s="17" t="e">
        <f t="shared" si="53"/>
        <v>#DIV/0!</v>
      </c>
      <c r="R681" s="9">
        <v>3.8</v>
      </c>
      <c r="T681" s="9">
        <v>2352.6000899999999</v>
      </c>
      <c r="U681" s="9">
        <v>1957.88</v>
      </c>
      <c r="V681" s="45">
        <f t="shared" si="54"/>
        <v>0.20160586450650692</v>
      </c>
      <c r="X681" s="12">
        <v>0</v>
      </c>
      <c r="Y681" s="12">
        <v>20210611</v>
      </c>
    </row>
    <row r="682" spans="1:25" x14ac:dyDescent="0.45">
      <c r="A682" s="3" t="s">
        <v>4111</v>
      </c>
      <c r="B682" s="3" t="s">
        <v>4112</v>
      </c>
      <c r="C682" s="6" t="s">
        <v>518</v>
      </c>
      <c r="D682" s="6" t="s">
        <v>327</v>
      </c>
      <c r="E682" s="6" t="s">
        <v>321</v>
      </c>
      <c r="F682" s="6">
        <v>26926.17</v>
      </c>
      <c r="G682" s="2">
        <v>7.03</v>
      </c>
      <c r="H682" s="2">
        <v>7.18</v>
      </c>
      <c r="I682" s="2">
        <v>7.21</v>
      </c>
      <c r="J682" s="47">
        <f t="shared" si="50"/>
        <v>2.1337126600284417E-2</v>
      </c>
      <c r="K682" s="47">
        <f t="shared" si="51"/>
        <v>4.1782729805014277E-3</v>
      </c>
      <c r="L682" s="8">
        <v>17.440000000000001</v>
      </c>
      <c r="M682" s="8">
        <v>19.37</v>
      </c>
      <c r="N682" s="8">
        <v>19.27</v>
      </c>
      <c r="O682" s="17">
        <f t="shared" si="52"/>
        <v>9.0780733333333661</v>
      </c>
      <c r="P682" s="17">
        <f t="shared" si="53"/>
        <v>46.119533333332946</v>
      </c>
      <c r="Q682" s="5">
        <v>3.52</v>
      </c>
      <c r="R682" s="9">
        <v>12.42</v>
      </c>
      <c r="S682" s="9">
        <v>3.62</v>
      </c>
      <c r="T682" s="9">
        <v>12660.639639999999</v>
      </c>
      <c r="U682" s="9">
        <v>12177</v>
      </c>
      <c r="V682" s="45">
        <f t="shared" si="54"/>
        <v>3.9717470641373036E-2</v>
      </c>
      <c r="W682" s="12">
        <v>12.96</v>
      </c>
      <c r="X682" s="12">
        <v>3.12</v>
      </c>
      <c r="Y682" s="12">
        <v>20210727</v>
      </c>
    </row>
    <row r="683" spans="1:25" x14ac:dyDescent="0.45">
      <c r="A683" s="3" t="s">
        <v>1516</v>
      </c>
      <c r="B683" s="3" t="s">
        <v>1517</v>
      </c>
      <c r="C683" s="6" t="s">
        <v>520</v>
      </c>
      <c r="D683" s="6" t="s">
        <v>327</v>
      </c>
      <c r="E683" s="6" t="s">
        <v>209</v>
      </c>
      <c r="F683" s="6">
        <v>101323.84</v>
      </c>
      <c r="G683" s="2">
        <v>1.42</v>
      </c>
      <c r="H683" s="2">
        <v>1.28</v>
      </c>
      <c r="I683" s="2">
        <v>1.36</v>
      </c>
      <c r="J683" s="47">
        <f t="shared" si="50"/>
        <v>-9.8591549295774586E-2</v>
      </c>
      <c r="K683" s="47">
        <f t="shared" si="51"/>
        <v>6.2500000000000056E-2</v>
      </c>
      <c r="L683" s="8">
        <v>15.42</v>
      </c>
      <c r="M683" s="8">
        <v>16.559999999999999</v>
      </c>
      <c r="N683" s="8">
        <v>15.65</v>
      </c>
      <c r="O683" s="17">
        <f t="shared" si="52"/>
        <v>-1.6796571428571438</v>
      </c>
      <c r="P683" s="17">
        <f t="shared" si="53"/>
        <v>2.5039999999999978</v>
      </c>
      <c r="R683" s="9">
        <v>7.71</v>
      </c>
      <c r="S683" s="9">
        <v>7.71</v>
      </c>
      <c r="T683" s="9">
        <v>126634.10156</v>
      </c>
      <c r="U683" s="9">
        <v>115361.4</v>
      </c>
      <c r="V683" s="45">
        <f t="shared" si="54"/>
        <v>9.7716407394501117E-2</v>
      </c>
      <c r="X683" s="12">
        <v>3.05</v>
      </c>
      <c r="Y683" s="12">
        <v>20210812</v>
      </c>
    </row>
    <row r="684" spans="1:25" x14ac:dyDescent="0.45">
      <c r="A684" s="3" t="s">
        <v>4579</v>
      </c>
      <c r="B684" s="3" t="s">
        <v>4580</v>
      </c>
      <c r="C684" s="6" t="s">
        <v>520</v>
      </c>
      <c r="D684" s="6" t="s">
        <v>216</v>
      </c>
      <c r="E684" s="6" t="s">
        <v>946</v>
      </c>
      <c r="F684" s="6">
        <v>5494.05</v>
      </c>
      <c r="J684" s="47" t="e">
        <f t="shared" si="50"/>
        <v>#DIV/0!</v>
      </c>
      <c r="K684" s="47" t="e">
        <f t="shared" si="51"/>
        <v>#DIV/0!</v>
      </c>
      <c r="O684" s="17" t="e">
        <f t="shared" si="52"/>
        <v>#DIV/0!</v>
      </c>
      <c r="P684" s="17" t="e">
        <f t="shared" si="53"/>
        <v>#DIV/0!</v>
      </c>
      <c r="U684" s="9">
        <v>2731.32</v>
      </c>
      <c r="V684" s="45">
        <f t="shared" si="54"/>
        <v>-1</v>
      </c>
      <c r="X684" s="12">
        <v>0</v>
      </c>
    </row>
    <row r="685" spans="1:25" x14ac:dyDescent="0.45">
      <c r="A685" s="3" t="s">
        <v>1518</v>
      </c>
      <c r="B685" s="3" t="s">
        <v>1519</v>
      </c>
      <c r="C685" s="6" t="s">
        <v>518</v>
      </c>
      <c r="D685" s="6" t="s">
        <v>327</v>
      </c>
      <c r="E685" s="6" t="s">
        <v>321</v>
      </c>
      <c r="F685" s="6">
        <v>77991.11</v>
      </c>
      <c r="G685" s="2">
        <v>5.0999999999999996</v>
      </c>
      <c r="H685" s="2">
        <v>5.16</v>
      </c>
      <c r="I685" s="2">
        <v>5.48</v>
      </c>
      <c r="J685" s="47">
        <f t="shared" si="50"/>
        <v>1.176470588235304E-2</v>
      </c>
      <c r="K685" s="47">
        <f t="shared" si="51"/>
        <v>6.2015503875969047E-2</v>
      </c>
      <c r="L685" s="8">
        <v>19.350000000000001</v>
      </c>
      <c r="M685" s="8">
        <v>19.64</v>
      </c>
      <c r="N685" s="8">
        <v>18.489999999999998</v>
      </c>
      <c r="O685" s="17">
        <f t="shared" si="52"/>
        <v>16.693999999999861</v>
      </c>
      <c r="P685" s="17">
        <f t="shared" si="53"/>
        <v>2.9815124999999969</v>
      </c>
      <c r="Q685" s="5">
        <v>3.75</v>
      </c>
      <c r="R685" s="9">
        <v>8.68</v>
      </c>
      <c r="S685" s="9">
        <v>1.19</v>
      </c>
      <c r="T685" s="9">
        <v>25077.302729999999</v>
      </c>
      <c r="U685" s="9">
        <v>23868</v>
      </c>
      <c r="V685" s="45">
        <f t="shared" si="54"/>
        <v>5.0666278280542959E-2</v>
      </c>
      <c r="W685" s="12">
        <v>1.61</v>
      </c>
      <c r="X685" s="12">
        <v>3.81</v>
      </c>
      <c r="Y685" s="12">
        <v>20210809</v>
      </c>
    </row>
    <row r="686" spans="1:25" x14ac:dyDescent="0.45">
      <c r="A686" s="3" t="s">
        <v>4113</v>
      </c>
      <c r="B686" s="3" t="s">
        <v>4114</v>
      </c>
      <c r="C686" s="6" t="s">
        <v>518</v>
      </c>
      <c r="D686" s="6" t="s">
        <v>189</v>
      </c>
      <c r="E686" s="6" t="s">
        <v>248</v>
      </c>
      <c r="F686" s="6">
        <v>5616.82</v>
      </c>
      <c r="H686" s="2">
        <v>0.24</v>
      </c>
      <c r="I686" s="2">
        <v>0.41</v>
      </c>
      <c r="J686" s="47" t="e">
        <f t="shared" si="50"/>
        <v>#DIV/0!</v>
      </c>
      <c r="K686" s="47">
        <f t="shared" si="51"/>
        <v>0.70833333333333326</v>
      </c>
      <c r="M686" s="8">
        <v>148.88</v>
      </c>
      <c r="N686" s="8">
        <v>86.44</v>
      </c>
      <c r="O686" s="17" t="e">
        <f t="shared" si="52"/>
        <v>#DIV/0!</v>
      </c>
      <c r="P686" s="17">
        <f t="shared" si="53"/>
        <v>1.2203294117647059</v>
      </c>
      <c r="T686" s="9">
        <v>324.28500000000003</v>
      </c>
      <c r="V686" s="45" t="e">
        <f t="shared" si="54"/>
        <v>#DIV/0!</v>
      </c>
      <c r="W686" s="12">
        <v>-42.86</v>
      </c>
      <c r="X686" s="12">
        <v>0</v>
      </c>
      <c r="Y686" s="12">
        <v>20210824</v>
      </c>
    </row>
    <row r="687" spans="1:25" x14ac:dyDescent="0.45">
      <c r="A687" s="3" t="s">
        <v>1520</v>
      </c>
      <c r="B687" s="3" t="s">
        <v>1521</v>
      </c>
      <c r="C687" s="6" t="s">
        <v>518</v>
      </c>
      <c r="D687" s="6" t="s">
        <v>279</v>
      </c>
      <c r="E687" s="6" t="s">
        <v>263</v>
      </c>
      <c r="F687" s="6">
        <v>12790.73</v>
      </c>
      <c r="G687" s="2">
        <v>7.43</v>
      </c>
      <c r="H687" s="2">
        <v>8.9</v>
      </c>
      <c r="I687" s="2">
        <v>9.8000000000000007</v>
      </c>
      <c r="J687" s="47">
        <f t="shared" si="50"/>
        <v>0.19784656796769862</v>
      </c>
      <c r="K687" s="47">
        <f t="shared" si="51"/>
        <v>0.10112359550561802</v>
      </c>
      <c r="L687" s="8">
        <v>16.04</v>
      </c>
      <c r="M687" s="8">
        <v>13.54</v>
      </c>
      <c r="N687" s="8">
        <v>12.29</v>
      </c>
      <c r="O687" s="17">
        <f t="shared" si="52"/>
        <v>0.68436870748299283</v>
      </c>
      <c r="P687" s="17">
        <f t="shared" si="53"/>
        <v>1.2153444444444439</v>
      </c>
      <c r="Q687" s="5">
        <v>0.94</v>
      </c>
      <c r="R687" s="9">
        <v>50.57</v>
      </c>
      <c r="S687" s="9">
        <v>-6.81</v>
      </c>
      <c r="T687" s="9">
        <v>11581.733389999999</v>
      </c>
      <c r="U687" s="9">
        <v>11550.6</v>
      </c>
      <c r="V687" s="45">
        <f t="shared" si="54"/>
        <v>2.6953915813896293E-3</v>
      </c>
      <c r="W687" s="12">
        <v>16.11</v>
      </c>
      <c r="X687" s="12">
        <v>0</v>
      </c>
      <c r="Y687" s="12">
        <v>20210729</v>
      </c>
    </row>
    <row r="688" spans="1:25" x14ac:dyDescent="0.45">
      <c r="A688" s="3" t="s">
        <v>1522</v>
      </c>
      <c r="B688" s="3" t="s">
        <v>1523</v>
      </c>
      <c r="C688" s="6" t="s">
        <v>518</v>
      </c>
      <c r="D688" s="6" t="s">
        <v>289</v>
      </c>
      <c r="E688" s="6" t="s">
        <v>271</v>
      </c>
      <c r="F688" s="6">
        <v>20259.62</v>
      </c>
      <c r="G688" s="2">
        <v>-0.04</v>
      </c>
      <c r="H688" s="2">
        <v>2.17</v>
      </c>
      <c r="I688" s="2">
        <v>2.65</v>
      </c>
      <c r="J688" s="47">
        <f t="shared" si="50"/>
        <v>55.25</v>
      </c>
      <c r="K688" s="47">
        <f t="shared" si="51"/>
        <v>0.22119815668202764</v>
      </c>
      <c r="L688" s="8">
        <v>130.13</v>
      </c>
      <c r="M688" s="8">
        <v>13.81</v>
      </c>
      <c r="N688" s="8">
        <v>11.31</v>
      </c>
      <c r="O688" s="17">
        <f t="shared" si="52"/>
        <v>2.4995475113122174E-3</v>
      </c>
      <c r="P688" s="17">
        <f t="shared" si="53"/>
        <v>0.51130625000000007</v>
      </c>
      <c r="Q688" s="5">
        <v>0.75</v>
      </c>
      <c r="R688" s="9">
        <v>4.8600000000000003</v>
      </c>
      <c r="S688" s="9">
        <v>-20.22</v>
      </c>
      <c r="T688" s="9">
        <v>8944.1884699999991</v>
      </c>
      <c r="U688" s="9">
        <v>4828</v>
      </c>
      <c r="V688" s="45">
        <f t="shared" si="54"/>
        <v>0.85256596313173139</v>
      </c>
      <c r="W688" s="12">
        <v>28.57</v>
      </c>
      <c r="X688" s="12">
        <v>1.47</v>
      </c>
      <c r="Y688" s="12">
        <v>20210803</v>
      </c>
    </row>
    <row r="689" spans="1:25" x14ac:dyDescent="0.45">
      <c r="A689" s="3" t="s">
        <v>4581</v>
      </c>
      <c r="B689" s="3" t="s">
        <v>4582</v>
      </c>
      <c r="C689" s="6" t="s">
        <v>519</v>
      </c>
      <c r="D689" s="6" t="s">
        <v>234</v>
      </c>
      <c r="E689" s="6" t="s">
        <v>904</v>
      </c>
      <c r="F689" s="6">
        <v>19408.96</v>
      </c>
      <c r="J689" s="47" t="e">
        <f t="shared" si="50"/>
        <v>#DIV/0!</v>
      </c>
      <c r="K689" s="47" t="e">
        <f t="shared" si="51"/>
        <v>#DIV/0!</v>
      </c>
      <c r="O689" s="17" t="e">
        <f t="shared" si="52"/>
        <v>#DIV/0!</v>
      </c>
      <c r="P689" s="17" t="e">
        <f t="shared" si="53"/>
        <v>#DIV/0!</v>
      </c>
      <c r="V689" s="45" t="e">
        <f t="shared" si="54"/>
        <v>#DIV/0!</v>
      </c>
      <c r="X689" s="12">
        <v>2.91</v>
      </c>
    </row>
    <row r="690" spans="1:25" x14ac:dyDescent="0.45">
      <c r="A690" s="3" t="s">
        <v>4583</v>
      </c>
      <c r="B690" s="3" t="s">
        <v>4584</v>
      </c>
      <c r="C690" s="6" t="s">
        <v>520</v>
      </c>
      <c r="D690" s="6" t="s">
        <v>210</v>
      </c>
      <c r="E690" s="6" t="s">
        <v>3501</v>
      </c>
      <c r="F690" s="6">
        <v>20207</v>
      </c>
      <c r="J690" s="47" t="e">
        <f t="shared" si="50"/>
        <v>#DIV/0!</v>
      </c>
      <c r="K690" s="47" t="e">
        <f t="shared" si="51"/>
        <v>#DIV/0!</v>
      </c>
      <c r="L690" s="8">
        <v>9.42</v>
      </c>
      <c r="O690" s="17" t="e">
        <f t="shared" si="52"/>
        <v>#DIV/0!</v>
      </c>
      <c r="P690" s="17" t="e">
        <f t="shared" si="53"/>
        <v>#DIV/0!</v>
      </c>
      <c r="R690" s="9">
        <v>12.29</v>
      </c>
      <c r="U690" s="9">
        <v>38931.589999999997</v>
      </c>
      <c r="V690" s="45">
        <f t="shared" si="54"/>
        <v>-1</v>
      </c>
      <c r="X690" s="12">
        <v>1.1599999999999999</v>
      </c>
      <c r="Y690" s="12">
        <v>20210806</v>
      </c>
    </row>
    <row r="691" spans="1:25" x14ac:dyDescent="0.45">
      <c r="A691" s="3" t="s">
        <v>4115</v>
      </c>
      <c r="B691" s="3" t="s">
        <v>4116</v>
      </c>
      <c r="C691" s="6" t="s">
        <v>520</v>
      </c>
      <c r="D691" s="6" t="s">
        <v>234</v>
      </c>
      <c r="E691" s="6" t="s">
        <v>284</v>
      </c>
      <c r="F691" s="6">
        <v>22517.85</v>
      </c>
      <c r="G691" s="2">
        <v>1.8</v>
      </c>
      <c r="H691" s="2">
        <v>1.75</v>
      </c>
      <c r="I691" s="2">
        <v>1.81</v>
      </c>
      <c r="J691" s="47">
        <f t="shared" si="50"/>
        <v>-2.7777777777777801E-2</v>
      </c>
      <c r="K691" s="47">
        <f t="shared" si="51"/>
        <v>3.4285714285714315E-2</v>
      </c>
      <c r="L691" s="8">
        <v>18.3</v>
      </c>
      <c r="M691" s="8">
        <v>35.67</v>
      </c>
      <c r="N691" s="8">
        <v>34.590000000000003</v>
      </c>
      <c r="O691" s="17">
        <f t="shared" si="52"/>
        <v>-12.84119999999999</v>
      </c>
      <c r="P691" s="17">
        <f t="shared" si="53"/>
        <v>10.088749999999992</v>
      </c>
      <c r="R691" s="9">
        <v>9.32</v>
      </c>
      <c r="T691" s="9">
        <v>1237.8249499999999</v>
      </c>
      <c r="U691" s="9">
        <v>937.88</v>
      </c>
      <c r="V691" s="45">
        <f t="shared" si="54"/>
        <v>0.31981164967799713</v>
      </c>
      <c r="X691" s="12">
        <v>0</v>
      </c>
      <c r="Y691" s="12">
        <v>20210616</v>
      </c>
    </row>
    <row r="692" spans="1:25" x14ac:dyDescent="0.45">
      <c r="A692" s="3" t="s">
        <v>1524</v>
      </c>
      <c r="B692" s="3" t="s">
        <v>1525</v>
      </c>
      <c r="C692" s="6" t="s">
        <v>520</v>
      </c>
      <c r="D692" s="6" t="s">
        <v>234</v>
      </c>
      <c r="E692" s="6" t="s">
        <v>286</v>
      </c>
      <c r="F692" s="6">
        <v>5164.24</v>
      </c>
      <c r="G692" s="2">
        <v>1.38</v>
      </c>
      <c r="H692" s="2">
        <v>1.49</v>
      </c>
      <c r="I692" s="2">
        <v>1.61</v>
      </c>
      <c r="J692" s="47">
        <f t="shared" si="50"/>
        <v>7.9710144927536308E-2</v>
      </c>
      <c r="K692" s="47">
        <f t="shared" si="51"/>
        <v>8.053691275167793E-2</v>
      </c>
      <c r="M692" s="8">
        <v>31.01</v>
      </c>
      <c r="N692" s="8">
        <v>28.64</v>
      </c>
      <c r="O692" s="17">
        <f t="shared" si="52"/>
        <v>3.890345454545451</v>
      </c>
      <c r="P692" s="17">
        <f t="shared" si="53"/>
        <v>3.5561333333333298</v>
      </c>
      <c r="T692" s="9">
        <v>259.22298999999998</v>
      </c>
      <c r="V692" s="45" t="e">
        <f t="shared" si="54"/>
        <v>#DIV/0!</v>
      </c>
      <c r="X692" s="12">
        <v>0</v>
      </c>
    </row>
    <row r="693" spans="1:25" x14ac:dyDescent="0.45">
      <c r="A693" s="3" t="s">
        <v>1526</v>
      </c>
      <c r="B693" s="3" t="s">
        <v>1527</v>
      </c>
      <c r="C693" s="6" t="s">
        <v>518</v>
      </c>
      <c r="D693" s="6" t="s">
        <v>189</v>
      </c>
      <c r="E693" s="6" t="s">
        <v>204</v>
      </c>
      <c r="F693" s="6">
        <v>10296.75</v>
      </c>
      <c r="G693" s="2">
        <v>2.39</v>
      </c>
      <c r="H693" s="2">
        <v>3.54</v>
      </c>
      <c r="I693" s="2">
        <v>4.1100000000000003</v>
      </c>
      <c r="J693" s="47">
        <f t="shared" si="50"/>
        <v>0.48117154811715473</v>
      </c>
      <c r="K693" s="47">
        <f t="shared" si="51"/>
        <v>0.16101694915254244</v>
      </c>
      <c r="L693" s="8">
        <v>16.63</v>
      </c>
      <c r="M693" s="8">
        <v>11.43</v>
      </c>
      <c r="N693" s="8">
        <v>9.84</v>
      </c>
      <c r="O693" s="17">
        <f t="shared" si="52"/>
        <v>0.23754521739130438</v>
      </c>
      <c r="P693" s="17">
        <f t="shared" si="53"/>
        <v>0.61111578947368383</v>
      </c>
      <c r="Q693" s="5">
        <v>0.42</v>
      </c>
      <c r="R693" s="9">
        <v>11.89</v>
      </c>
      <c r="S693" s="9">
        <v>20.61</v>
      </c>
      <c r="T693" s="9">
        <v>16689.58007</v>
      </c>
      <c r="U693" s="9">
        <v>17729</v>
      </c>
      <c r="V693" s="45">
        <f t="shared" si="54"/>
        <v>-5.8628232274803994E-2</v>
      </c>
      <c r="W693" s="12">
        <v>5.71</v>
      </c>
      <c r="X693" s="12">
        <v>0</v>
      </c>
      <c r="Y693" s="12">
        <v>20210805</v>
      </c>
    </row>
    <row r="694" spans="1:25" x14ac:dyDescent="0.45">
      <c r="A694" s="3" t="s">
        <v>1528</v>
      </c>
      <c r="B694" s="3" t="s">
        <v>1529</v>
      </c>
      <c r="C694" s="6" t="s">
        <v>519</v>
      </c>
      <c r="D694" s="6" t="s">
        <v>279</v>
      </c>
      <c r="E694" s="6" t="s">
        <v>262</v>
      </c>
      <c r="F694" s="6">
        <v>37718.19</v>
      </c>
      <c r="G694" s="2">
        <v>3.06</v>
      </c>
      <c r="H694" s="2">
        <v>2.19</v>
      </c>
      <c r="I694" s="2">
        <v>3.28</v>
      </c>
      <c r="J694" s="47">
        <f t="shared" si="50"/>
        <v>-0.28431372549019612</v>
      </c>
      <c r="K694" s="47">
        <f t="shared" si="51"/>
        <v>0.49771689497716892</v>
      </c>
      <c r="L694" s="8">
        <v>131.32</v>
      </c>
      <c r="M694" s="8">
        <v>177.89</v>
      </c>
      <c r="N694" s="8">
        <v>118.88</v>
      </c>
      <c r="O694" s="17">
        <f t="shared" si="52"/>
        <v>-6.2568206896551706</v>
      </c>
      <c r="P694" s="17">
        <f t="shared" si="53"/>
        <v>2.3885064220183487</v>
      </c>
      <c r="R694" s="9">
        <v>17.86</v>
      </c>
      <c r="S694" s="9">
        <v>37.14</v>
      </c>
      <c r="T694" s="9">
        <v>2332.93896</v>
      </c>
      <c r="U694" s="9">
        <v>1926.7</v>
      </c>
      <c r="V694" s="45">
        <f t="shared" si="54"/>
        <v>0.21084702340789946</v>
      </c>
      <c r="W694" s="12">
        <v>6.45</v>
      </c>
      <c r="X694" s="12">
        <v>0</v>
      </c>
      <c r="Y694" s="12">
        <v>20210727</v>
      </c>
    </row>
    <row r="695" spans="1:25" x14ac:dyDescent="0.45">
      <c r="A695" s="3" t="s">
        <v>1530</v>
      </c>
      <c r="B695" s="3" t="s">
        <v>1531</v>
      </c>
      <c r="C695" s="6" t="s">
        <v>519</v>
      </c>
      <c r="D695" s="6" t="s">
        <v>216</v>
      </c>
      <c r="E695" s="6" t="s">
        <v>306</v>
      </c>
      <c r="F695" s="6">
        <v>41732.400000000001</v>
      </c>
      <c r="G695" s="2">
        <v>5.58</v>
      </c>
      <c r="H695" s="2">
        <v>6.42</v>
      </c>
      <c r="I695" s="2">
        <v>7.1</v>
      </c>
      <c r="J695" s="47">
        <f t="shared" si="50"/>
        <v>0.15053763440860213</v>
      </c>
      <c r="K695" s="47">
        <f t="shared" si="51"/>
        <v>0.10591900311526475</v>
      </c>
      <c r="L695" s="8">
        <v>25.27</v>
      </c>
      <c r="M695" s="8">
        <v>22.72</v>
      </c>
      <c r="N695" s="8">
        <v>20.52</v>
      </c>
      <c r="O695" s="17">
        <f t="shared" si="52"/>
        <v>1.5092571428571431</v>
      </c>
      <c r="P695" s="17">
        <f t="shared" si="53"/>
        <v>1.9373294117647069</v>
      </c>
      <c r="Q695" s="5">
        <v>3.35</v>
      </c>
      <c r="R695" s="9">
        <v>16.739999999999998</v>
      </c>
      <c r="S695" s="9">
        <v>4.57</v>
      </c>
      <c r="T695" s="9">
        <v>7160.8427700000002</v>
      </c>
      <c r="U695" s="9">
        <v>5629</v>
      </c>
      <c r="V695" s="45">
        <f t="shared" si="54"/>
        <v>0.2721340859833008</v>
      </c>
      <c r="W695" s="12">
        <v>-0.96</v>
      </c>
      <c r="X695" s="12">
        <v>0.47</v>
      </c>
      <c r="Y695" s="12">
        <v>20210729</v>
      </c>
    </row>
    <row r="696" spans="1:25" x14ac:dyDescent="0.45">
      <c r="A696" s="3" t="s">
        <v>1532</v>
      </c>
      <c r="B696" s="3" t="s">
        <v>1533</v>
      </c>
      <c r="C696" s="6" t="s">
        <v>520</v>
      </c>
      <c r="D696" s="6" t="s">
        <v>10</v>
      </c>
      <c r="E696" s="6" t="s">
        <v>17</v>
      </c>
      <c r="F696" s="6">
        <v>105635.48</v>
      </c>
      <c r="G696" s="2">
        <v>0.61</v>
      </c>
      <c r="H696" s="2">
        <v>0.7</v>
      </c>
      <c r="I696" s="2">
        <v>1.1599999999999999</v>
      </c>
      <c r="J696" s="47">
        <f t="shared" si="50"/>
        <v>0.14754098360655732</v>
      </c>
      <c r="K696" s="47">
        <f t="shared" si="51"/>
        <v>0.65714285714285714</v>
      </c>
      <c r="M696" s="8">
        <v>48.12</v>
      </c>
      <c r="N696" s="8">
        <v>29.04</v>
      </c>
      <c r="O696" s="17">
        <f t="shared" si="52"/>
        <v>3.2614666666666676</v>
      </c>
      <c r="P696" s="17">
        <f t="shared" si="53"/>
        <v>0.44191304347826088</v>
      </c>
      <c r="R696" s="9">
        <v>-8.24</v>
      </c>
      <c r="S696" s="9">
        <v>-2.94</v>
      </c>
      <c r="T696" s="9">
        <v>60872.003900000003</v>
      </c>
      <c r="U696" s="9">
        <v>57009.64</v>
      </c>
      <c r="V696" s="45">
        <f t="shared" si="54"/>
        <v>6.7749312221582245E-2</v>
      </c>
      <c r="X696" s="12">
        <v>0</v>
      </c>
      <c r="Y696" s="12">
        <v>20210729</v>
      </c>
    </row>
    <row r="697" spans="1:25" x14ac:dyDescent="0.45">
      <c r="A697" s="3" t="s">
        <v>4585</v>
      </c>
      <c r="B697" s="3" t="s">
        <v>4586</v>
      </c>
      <c r="C697" s="6" t="s">
        <v>518</v>
      </c>
      <c r="D697" s="6" t="s">
        <v>272</v>
      </c>
      <c r="E697" s="6" t="s">
        <v>2638</v>
      </c>
      <c r="F697" s="6">
        <v>3404.95</v>
      </c>
      <c r="G697" s="2">
        <v>1.6</v>
      </c>
      <c r="H697" s="2">
        <v>1.71</v>
      </c>
      <c r="J697" s="47">
        <f t="shared" si="50"/>
        <v>6.8749999999999922E-2</v>
      </c>
      <c r="K697" s="47">
        <f t="shared" si="51"/>
        <v>-1</v>
      </c>
      <c r="L697" s="8">
        <v>8.27</v>
      </c>
      <c r="M697" s="8">
        <v>7.45</v>
      </c>
      <c r="O697" s="17">
        <f t="shared" si="52"/>
        <v>1.0836363636363648</v>
      </c>
      <c r="P697" s="17">
        <f t="shared" si="53"/>
        <v>0</v>
      </c>
      <c r="R697" s="9">
        <v>-102.09</v>
      </c>
      <c r="S697" s="9">
        <v>39.83</v>
      </c>
      <c r="U697" s="9">
        <v>1224.3599999999999</v>
      </c>
      <c r="V697" s="45">
        <f t="shared" si="54"/>
        <v>-1</v>
      </c>
      <c r="W697" s="12">
        <v>23.68</v>
      </c>
      <c r="X697" s="12">
        <v>0.31</v>
      </c>
      <c r="Y697" s="12">
        <v>20210805</v>
      </c>
    </row>
    <row r="698" spans="1:25" x14ac:dyDescent="0.45">
      <c r="A698" s="3" t="s">
        <v>1534</v>
      </c>
      <c r="B698" s="3" t="s">
        <v>1535</v>
      </c>
      <c r="C698" s="6" t="s">
        <v>519</v>
      </c>
      <c r="D698" s="6" t="s">
        <v>303</v>
      </c>
      <c r="E698" s="6" t="s">
        <v>245</v>
      </c>
      <c r="F698" s="6">
        <v>44936.02</v>
      </c>
      <c r="G698" s="2">
        <v>3.4</v>
      </c>
      <c r="H698" s="2">
        <v>3.95</v>
      </c>
      <c r="I698" s="2">
        <v>4.6500000000000004</v>
      </c>
      <c r="J698" s="47">
        <f t="shared" si="50"/>
        <v>0.16176470588235303</v>
      </c>
      <c r="K698" s="47">
        <f t="shared" si="51"/>
        <v>0.17721518987341775</v>
      </c>
      <c r="L698" s="8">
        <v>17</v>
      </c>
      <c r="M698" s="8">
        <v>16.7</v>
      </c>
      <c r="N698" s="8">
        <v>14.18</v>
      </c>
      <c r="O698" s="17">
        <f t="shared" si="52"/>
        <v>1.0323636363636357</v>
      </c>
      <c r="P698" s="17">
        <f t="shared" si="53"/>
        <v>0.80015714285714279</v>
      </c>
      <c r="Q698" s="5">
        <v>1.34</v>
      </c>
      <c r="R698" s="9">
        <v>71.14</v>
      </c>
      <c r="S698" s="9">
        <v>5.29</v>
      </c>
      <c r="T698" s="9">
        <v>12029.521479999999</v>
      </c>
      <c r="U698" s="9">
        <v>10271</v>
      </c>
      <c r="V698" s="45">
        <f t="shared" si="54"/>
        <v>0.17121229481063183</v>
      </c>
      <c r="W698" s="12">
        <v>1.87</v>
      </c>
      <c r="X698" s="12">
        <v>1.0900000000000001</v>
      </c>
      <c r="Y698" s="12">
        <v>20210727</v>
      </c>
    </row>
    <row r="699" spans="1:25" x14ac:dyDescent="0.45">
      <c r="A699" s="3" t="s">
        <v>1536</v>
      </c>
      <c r="B699" s="3" t="s">
        <v>1537</v>
      </c>
      <c r="C699" s="6" t="s">
        <v>519</v>
      </c>
      <c r="D699" s="6" t="s">
        <v>234</v>
      </c>
      <c r="E699" s="6" t="s">
        <v>169</v>
      </c>
      <c r="F699" s="6">
        <v>4078.8</v>
      </c>
      <c r="G699" s="2">
        <v>0.47</v>
      </c>
      <c r="H699" s="2">
        <v>0.8</v>
      </c>
      <c r="I699" s="2">
        <v>1</v>
      </c>
      <c r="J699" s="47">
        <f t="shared" si="50"/>
        <v>0.70212765957446832</v>
      </c>
      <c r="K699" s="47">
        <f t="shared" si="51"/>
        <v>0.24999999999999994</v>
      </c>
      <c r="M699" s="8">
        <v>27.3</v>
      </c>
      <c r="N699" s="8">
        <v>21.91</v>
      </c>
      <c r="O699" s="17">
        <f t="shared" si="52"/>
        <v>0.38881818181818167</v>
      </c>
      <c r="P699" s="17">
        <f t="shared" si="53"/>
        <v>0.87640000000000029</v>
      </c>
      <c r="T699" s="9">
        <v>595.96301000000005</v>
      </c>
      <c r="U699" s="9">
        <v>591.70000000000005</v>
      </c>
      <c r="V699" s="45">
        <f t="shared" si="54"/>
        <v>7.2046814263985268E-3</v>
      </c>
      <c r="W699" s="12">
        <v>35</v>
      </c>
      <c r="X699" s="12">
        <v>1.47</v>
      </c>
      <c r="Y699" s="12">
        <v>20210729</v>
      </c>
    </row>
    <row r="700" spans="1:25" x14ac:dyDescent="0.45">
      <c r="A700" s="3" t="s">
        <v>1538</v>
      </c>
      <c r="B700" s="3" t="s">
        <v>1539</v>
      </c>
      <c r="C700" s="6" t="s">
        <v>520</v>
      </c>
      <c r="D700" s="6" t="s">
        <v>234</v>
      </c>
      <c r="E700" s="6" t="s">
        <v>105</v>
      </c>
      <c r="F700" s="6">
        <v>17888.28</v>
      </c>
      <c r="G700" s="2">
        <v>1.04</v>
      </c>
      <c r="H700" s="2">
        <v>1.46</v>
      </c>
      <c r="I700" s="2">
        <v>1.82</v>
      </c>
      <c r="J700" s="47">
        <f t="shared" si="50"/>
        <v>0.40384615384615374</v>
      </c>
      <c r="K700" s="47">
        <f t="shared" si="51"/>
        <v>0.24657534246575349</v>
      </c>
      <c r="L700" s="8">
        <v>19.09</v>
      </c>
      <c r="M700" s="8">
        <v>14.25</v>
      </c>
      <c r="N700" s="8">
        <v>11.43</v>
      </c>
      <c r="O700" s="17">
        <f t="shared" si="52"/>
        <v>0.35285714285714298</v>
      </c>
      <c r="P700" s="17">
        <f t="shared" si="53"/>
        <v>0.46354999999999985</v>
      </c>
      <c r="Q700" s="5">
        <v>0.66</v>
      </c>
      <c r="R700" s="9">
        <v>4.21</v>
      </c>
      <c r="S700" s="9">
        <v>2.02</v>
      </c>
      <c r="U700" s="9">
        <v>10222.6</v>
      </c>
      <c r="V700" s="45">
        <f t="shared" si="54"/>
        <v>-1</v>
      </c>
      <c r="X700" s="12">
        <v>0.94</v>
      </c>
      <c r="Y700" s="12">
        <v>20210730</v>
      </c>
    </row>
    <row r="701" spans="1:25" x14ac:dyDescent="0.45">
      <c r="A701" s="3" t="s">
        <v>4587</v>
      </c>
      <c r="B701" s="3" t="s">
        <v>4588</v>
      </c>
      <c r="C701" s="6" t="s">
        <v>518</v>
      </c>
      <c r="D701" s="6" t="s">
        <v>327</v>
      </c>
      <c r="E701" s="6" t="s">
        <v>321</v>
      </c>
      <c r="F701" s="6">
        <v>13979.17</v>
      </c>
      <c r="G701" s="2">
        <v>0.92</v>
      </c>
      <c r="H701" s="2">
        <v>0.63</v>
      </c>
      <c r="J701" s="47">
        <f t="shared" si="50"/>
        <v>-0.31521739130434784</v>
      </c>
      <c r="K701" s="47">
        <f t="shared" si="51"/>
        <v>-1</v>
      </c>
      <c r="L701" s="8">
        <v>11.72</v>
      </c>
      <c r="M701" s="8">
        <v>14.14</v>
      </c>
      <c r="O701" s="17">
        <f t="shared" si="52"/>
        <v>-0.44857931034482756</v>
      </c>
      <c r="P701" s="17">
        <f t="shared" si="53"/>
        <v>0</v>
      </c>
      <c r="R701" s="9">
        <v>10.130000000000001</v>
      </c>
      <c r="S701" s="9">
        <v>-24.31</v>
      </c>
      <c r="U701" s="9">
        <v>5645.6</v>
      </c>
      <c r="V701" s="45">
        <f t="shared" si="54"/>
        <v>-1</v>
      </c>
      <c r="X701" s="12">
        <v>7.68</v>
      </c>
      <c r="Y701" s="12">
        <v>20210610</v>
      </c>
    </row>
    <row r="702" spans="1:25" x14ac:dyDescent="0.45">
      <c r="A702" s="3" t="s">
        <v>1540</v>
      </c>
      <c r="B702" s="3" t="s">
        <v>1541</v>
      </c>
      <c r="C702" s="6" t="s">
        <v>518</v>
      </c>
      <c r="D702" s="6" t="s">
        <v>279</v>
      </c>
      <c r="E702" s="6" t="s">
        <v>256</v>
      </c>
      <c r="F702" s="6">
        <v>3486.27</v>
      </c>
      <c r="G702" s="2">
        <v>6.94</v>
      </c>
      <c r="H702" s="2">
        <v>8.41</v>
      </c>
      <c r="I702" s="2">
        <v>4.3899999999999997</v>
      </c>
      <c r="J702" s="47">
        <f t="shared" si="50"/>
        <v>0.21181556195965412</v>
      </c>
      <c r="K702" s="47">
        <f t="shared" si="51"/>
        <v>-0.47800237812128421</v>
      </c>
      <c r="L702" s="8">
        <v>6.94</v>
      </c>
      <c r="M702" s="8">
        <v>7.73</v>
      </c>
      <c r="N702" s="8">
        <v>14.82</v>
      </c>
      <c r="O702" s="17">
        <f t="shared" si="52"/>
        <v>0.36494013605442188</v>
      </c>
      <c r="P702" s="17">
        <f t="shared" si="53"/>
        <v>-0.31004029850746267</v>
      </c>
      <c r="R702" s="9">
        <v>37.42</v>
      </c>
      <c r="S702" s="9">
        <v>30.62</v>
      </c>
      <c r="T702" s="9">
        <v>1813.3349599999999</v>
      </c>
      <c r="U702" s="9">
        <v>1555.4</v>
      </c>
      <c r="V702" s="45">
        <f t="shared" si="54"/>
        <v>0.1658319146200333</v>
      </c>
      <c r="W702" s="12">
        <v>57.73</v>
      </c>
      <c r="X702" s="12">
        <v>0</v>
      </c>
      <c r="Y702" s="12">
        <v>20210729</v>
      </c>
    </row>
    <row r="703" spans="1:25" x14ac:dyDescent="0.45">
      <c r="A703" s="3" t="s">
        <v>1542</v>
      </c>
      <c r="B703" s="3" t="s">
        <v>1543</v>
      </c>
      <c r="C703" s="6" t="s">
        <v>518</v>
      </c>
      <c r="D703" s="6" t="s">
        <v>289</v>
      </c>
      <c r="E703" s="6" t="s">
        <v>1131</v>
      </c>
      <c r="F703" s="6">
        <v>26972.49</v>
      </c>
      <c r="G703" s="2">
        <v>0.33</v>
      </c>
      <c r="H703" s="2">
        <v>1.57</v>
      </c>
      <c r="I703" s="2">
        <v>2.13</v>
      </c>
      <c r="J703" s="47">
        <f t="shared" si="50"/>
        <v>3.7575757575757573</v>
      </c>
      <c r="K703" s="47">
        <f t="shared" si="51"/>
        <v>0.35668789808917184</v>
      </c>
      <c r="L703" s="8">
        <v>24.75</v>
      </c>
      <c r="M703" s="8">
        <v>8.3699999999999992</v>
      </c>
      <c r="N703" s="8">
        <v>6.17</v>
      </c>
      <c r="O703" s="17">
        <f t="shared" si="52"/>
        <v>2.2275E-2</v>
      </c>
      <c r="P703" s="17">
        <f t="shared" si="53"/>
        <v>0.17298035714285723</v>
      </c>
      <c r="R703" s="9">
        <v>3.66</v>
      </c>
      <c r="S703" s="9">
        <v>-0.51</v>
      </c>
      <c r="T703" s="9">
        <v>20824.279289999999</v>
      </c>
      <c r="U703" s="9">
        <v>13660.76</v>
      </c>
      <c r="V703" s="45">
        <f t="shared" si="54"/>
        <v>0.52438658537299521</v>
      </c>
      <c r="W703" s="12">
        <v>-10.64</v>
      </c>
      <c r="X703" s="12">
        <v>6.09</v>
      </c>
      <c r="Y703" s="12">
        <v>20210803</v>
      </c>
    </row>
    <row r="704" spans="1:25" x14ac:dyDescent="0.45">
      <c r="A704" s="3" t="s">
        <v>4117</v>
      </c>
      <c r="B704" s="3" t="s">
        <v>4118</v>
      </c>
      <c r="C704" s="6" t="s">
        <v>520</v>
      </c>
      <c r="D704" s="6" t="s">
        <v>327</v>
      </c>
      <c r="E704" s="6" t="s">
        <v>321</v>
      </c>
      <c r="F704" s="6">
        <v>44459.360000000001</v>
      </c>
      <c r="G704" s="2">
        <v>0.1</v>
      </c>
      <c r="H704" s="2">
        <v>0.21</v>
      </c>
      <c r="I704" s="2">
        <v>0.23</v>
      </c>
      <c r="J704" s="47">
        <f t="shared" si="50"/>
        <v>1.0999999999999999</v>
      </c>
      <c r="K704" s="47">
        <f t="shared" si="51"/>
        <v>9.523809523809533E-2</v>
      </c>
      <c r="M704" s="8">
        <v>13.64</v>
      </c>
      <c r="N704" s="8">
        <v>12.46</v>
      </c>
      <c r="O704" s="17">
        <f t="shared" si="52"/>
        <v>0.12400000000000003</v>
      </c>
      <c r="P704" s="17">
        <f t="shared" si="53"/>
        <v>1.3082999999999989</v>
      </c>
      <c r="T704" s="9">
        <v>86108.804680000001</v>
      </c>
      <c r="U704" s="9">
        <v>78847.41</v>
      </c>
      <c r="V704" s="45">
        <f t="shared" si="54"/>
        <v>9.2094270185919827E-2</v>
      </c>
      <c r="X704" s="12">
        <v>1.22</v>
      </c>
    </row>
    <row r="705" spans="1:25" x14ac:dyDescent="0.45">
      <c r="A705" s="3" t="s">
        <v>1544</v>
      </c>
      <c r="B705" s="3" t="s">
        <v>1545</v>
      </c>
      <c r="C705" s="6" t="s">
        <v>518</v>
      </c>
      <c r="D705" s="6" t="s">
        <v>90</v>
      </c>
      <c r="E705" s="6" t="s">
        <v>198</v>
      </c>
      <c r="F705" s="6">
        <v>60836.04</v>
      </c>
      <c r="G705" s="2">
        <v>4.03</v>
      </c>
      <c r="H705" s="2">
        <v>5.07</v>
      </c>
      <c r="I705" s="2">
        <v>6.08</v>
      </c>
      <c r="J705" s="47">
        <f t="shared" si="50"/>
        <v>0.25806451612903225</v>
      </c>
      <c r="K705" s="47">
        <f t="shared" si="51"/>
        <v>0.19921104536489145</v>
      </c>
      <c r="L705" s="8">
        <v>55.41</v>
      </c>
      <c r="M705" s="8">
        <v>41.93</v>
      </c>
      <c r="N705" s="8">
        <v>34.99</v>
      </c>
      <c r="O705" s="17">
        <f t="shared" si="52"/>
        <v>1.6247875000000001</v>
      </c>
      <c r="P705" s="17">
        <f t="shared" si="53"/>
        <v>1.7564287128712877</v>
      </c>
      <c r="Q705" s="5">
        <v>3.31</v>
      </c>
      <c r="R705" s="9">
        <v>18.170000000000002</v>
      </c>
      <c r="S705" s="9">
        <v>-0.03</v>
      </c>
      <c r="T705" s="9">
        <v>12440.773429999999</v>
      </c>
      <c r="U705" s="9">
        <v>11790.2</v>
      </c>
      <c r="V705" s="45">
        <f t="shared" si="54"/>
        <v>5.5179168292310433E-2</v>
      </c>
      <c r="W705" s="12">
        <v>-1.22</v>
      </c>
      <c r="X705" s="12">
        <v>0.9</v>
      </c>
      <c r="Y705" s="12">
        <v>20210727</v>
      </c>
    </row>
    <row r="706" spans="1:25" x14ac:dyDescent="0.45">
      <c r="A706" s="3" t="s">
        <v>1546</v>
      </c>
      <c r="B706" s="3" t="s">
        <v>1547</v>
      </c>
      <c r="C706" s="6" t="s">
        <v>518</v>
      </c>
      <c r="D706" s="6" t="s">
        <v>327</v>
      </c>
      <c r="E706" s="6" t="s">
        <v>321</v>
      </c>
      <c r="F706" s="6">
        <v>26355.48</v>
      </c>
      <c r="G706" s="2">
        <v>4.1500000000000004</v>
      </c>
      <c r="H706" s="2">
        <v>4.24</v>
      </c>
      <c r="I706" s="2">
        <v>4.58</v>
      </c>
      <c r="J706" s="47">
        <f t="shared" si="50"/>
        <v>2.1686746987951772E-2</v>
      </c>
      <c r="K706" s="47">
        <f t="shared" si="51"/>
        <v>8.0188679245282987E-2</v>
      </c>
      <c r="L706" s="8">
        <v>18.05</v>
      </c>
      <c r="M706" s="8">
        <v>18.13</v>
      </c>
      <c r="N706" s="8">
        <v>16.78</v>
      </c>
      <c r="O706" s="17">
        <f t="shared" si="52"/>
        <v>8.3599444444444586</v>
      </c>
      <c r="P706" s="17">
        <f t="shared" si="53"/>
        <v>2.0925647058823538</v>
      </c>
      <c r="Q706" s="5">
        <v>9.07</v>
      </c>
      <c r="R706" s="9">
        <v>7.64</v>
      </c>
      <c r="S706" s="9">
        <v>0.86</v>
      </c>
      <c r="T706" s="9">
        <v>12732.143550000001</v>
      </c>
      <c r="U706" s="9">
        <v>12246</v>
      </c>
      <c r="V706" s="45">
        <f t="shared" si="54"/>
        <v>3.9698150416462574E-2</v>
      </c>
      <c r="W706" s="12">
        <v>5.15</v>
      </c>
      <c r="X706" s="12">
        <v>4.03</v>
      </c>
      <c r="Y706" s="12">
        <v>20210805</v>
      </c>
    </row>
    <row r="707" spans="1:25" x14ac:dyDescent="0.45">
      <c r="A707" s="3" t="s">
        <v>4589</v>
      </c>
      <c r="B707" s="3" t="s">
        <v>4590</v>
      </c>
      <c r="C707" s="6" t="s">
        <v>520</v>
      </c>
      <c r="D707" s="6" t="s">
        <v>175</v>
      </c>
      <c r="E707" s="6" t="s">
        <v>305</v>
      </c>
      <c r="F707" s="6">
        <v>14181.01</v>
      </c>
      <c r="J707" s="47" t="e">
        <f t="shared" ref="J707:J770" si="55">(H707-G707)/ABS(G707)</f>
        <v>#DIV/0!</v>
      </c>
      <c r="K707" s="47" t="e">
        <f t="shared" ref="K707:K770" si="56">(I707-H707)/ABS(H707)</f>
        <v>#DIV/0!</v>
      </c>
      <c r="O707" s="17" t="e">
        <f t="shared" ref="O707:O770" si="57">M707/(J707*100)</f>
        <v>#DIV/0!</v>
      </c>
      <c r="P707" s="17" t="e">
        <f t="shared" ref="P707:P770" si="58">N707/(K707*100)</f>
        <v>#DIV/0!</v>
      </c>
      <c r="U707" s="9">
        <v>1673.33</v>
      </c>
      <c r="V707" s="45">
        <f t="shared" ref="V707:V770" si="59">(T707-U707)/U707</f>
        <v>-1</v>
      </c>
      <c r="X707" s="12">
        <v>1.1399999999999999</v>
      </c>
    </row>
    <row r="708" spans="1:25" x14ac:dyDescent="0.45">
      <c r="A708" s="3" t="s">
        <v>1548</v>
      </c>
      <c r="B708" s="3" t="s">
        <v>1549</v>
      </c>
      <c r="C708" s="6" t="s">
        <v>520</v>
      </c>
      <c r="D708" s="6" t="s">
        <v>327</v>
      </c>
      <c r="E708" s="6" t="s">
        <v>321</v>
      </c>
      <c r="F708" s="6">
        <v>22036.21</v>
      </c>
      <c r="G708" s="2">
        <v>2.9</v>
      </c>
      <c r="H708" s="2">
        <v>2.83</v>
      </c>
      <c r="I708" s="2">
        <v>3.13</v>
      </c>
      <c r="J708" s="47">
        <f t="shared" si="55"/>
        <v>-2.4137931034482703E-2</v>
      </c>
      <c r="K708" s="47">
        <f t="shared" si="56"/>
        <v>0.10600706713780912</v>
      </c>
      <c r="L708" s="8">
        <v>43.98</v>
      </c>
      <c r="M708" s="8">
        <v>19.739999999999998</v>
      </c>
      <c r="N708" s="8">
        <v>17.850000000000001</v>
      </c>
      <c r="O708" s="17">
        <f t="shared" si="57"/>
        <v>-8.1780000000000168</v>
      </c>
      <c r="P708" s="17">
        <f t="shared" si="58"/>
        <v>1.6838500000000012</v>
      </c>
      <c r="Q708" s="5">
        <v>3.62</v>
      </c>
      <c r="R708" s="9">
        <v>8.19</v>
      </c>
      <c r="S708" s="9">
        <v>-2.2000000000000002</v>
      </c>
      <c r="U708" s="9">
        <v>14219.58</v>
      </c>
      <c r="V708" s="45">
        <f t="shared" si="59"/>
        <v>-1</v>
      </c>
      <c r="X708" s="12">
        <v>3.04</v>
      </c>
      <c r="Y708" s="12">
        <v>20210610</v>
      </c>
    </row>
    <row r="709" spans="1:25" x14ac:dyDescent="0.45">
      <c r="A709" s="3" t="s">
        <v>1550</v>
      </c>
      <c r="B709" s="3" t="s">
        <v>1551</v>
      </c>
      <c r="C709" s="6" t="s">
        <v>518</v>
      </c>
      <c r="D709" s="6" t="s">
        <v>216</v>
      </c>
      <c r="E709" s="6" t="s">
        <v>296</v>
      </c>
      <c r="F709" s="6">
        <v>15462.25</v>
      </c>
      <c r="G709" s="2">
        <v>0.28000000000000003</v>
      </c>
      <c r="H709" s="2">
        <v>0.46</v>
      </c>
      <c r="I709" s="2">
        <v>0.65</v>
      </c>
      <c r="J709" s="47">
        <f t="shared" si="55"/>
        <v>0.64285714285714279</v>
      </c>
      <c r="K709" s="47">
        <f t="shared" si="56"/>
        <v>0.41304347826086957</v>
      </c>
      <c r="L709" s="8">
        <v>4.5599999999999996</v>
      </c>
      <c r="M709" s="8">
        <v>19.47</v>
      </c>
      <c r="N709" s="8">
        <v>13.81</v>
      </c>
      <c r="O709" s="17">
        <f t="shared" si="57"/>
        <v>0.30286666666666667</v>
      </c>
      <c r="P709" s="17">
        <f t="shared" si="58"/>
        <v>0.33434736842105267</v>
      </c>
      <c r="R709" s="9">
        <v>9.9</v>
      </c>
      <c r="S709" s="9">
        <v>24.3</v>
      </c>
      <c r="T709" s="9">
        <v>5559.6601499999997</v>
      </c>
      <c r="U709" s="9">
        <v>3578.68</v>
      </c>
      <c r="V709" s="45">
        <f t="shared" si="59"/>
        <v>0.55355051303832692</v>
      </c>
      <c r="W709" s="12">
        <v>42.86</v>
      </c>
      <c r="X709" s="12">
        <v>0</v>
      </c>
      <c r="Y709" s="12">
        <v>20210727</v>
      </c>
    </row>
    <row r="710" spans="1:25" x14ac:dyDescent="0.45">
      <c r="A710" s="3" t="s">
        <v>4591</v>
      </c>
      <c r="B710" s="3" t="s">
        <v>4592</v>
      </c>
      <c r="C710" s="6" t="s">
        <v>519</v>
      </c>
      <c r="D710" s="6" t="s">
        <v>234</v>
      </c>
      <c r="E710" s="6" t="s">
        <v>221</v>
      </c>
      <c r="F710" s="6">
        <v>8287.07</v>
      </c>
      <c r="G710" s="2">
        <v>2.4300000000000002</v>
      </c>
      <c r="H710" s="2">
        <v>4.3600000000000003</v>
      </c>
      <c r="J710" s="47">
        <f t="shared" si="55"/>
        <v>0.79423868312757206</v>
      </c>
      <c r="K710" s="47">
        <f t="shared" si="56"/>
        <v>-1</v>
      </c>
      <c r="L710" s="8">
        <v>62.78</v>
      </c>
      <c r="M710" s="8">
        <v>36</v>
      </c>
      <c r="O710" s="17">
        <f t="shared" si="57"/>
        <v>0.4532642487046632</v>
      </c>
      <c r="P710" s="17">
        <f t="shared" si="58"/>
        <v>0</v>
      </c>
      <c r="R710" s="9">
        <v>8.39</v>
      </c>
      <c r="S710" s="9">
        <v>7.73</v>
      </c>
      <c r="T710" s="9">
        <v>2884.7451099999998</v>
      </c>
      <c r="U710" s="9">
        <v>2482.6999999999998</v>
      </c>
      <c r="V710" s="45">
        <f t="shared" si="59"/>
        <v>0.16193865952390546</v>
      </c>
      <c r="W710" s="12">
        <v>-34.29</v>
      </c>
      <c r="X710" s="12">
        <v>0</v>
      </c>
      <c r="Y710" s="12">
        <v>20210804</v>
      </c>
    </row>
    <row r="711" spans="1:25" x14ac:dyDescent="0.45">
      <c r="A711" s="3" t="s">
        <v>4593</v>
      </c>
      <c r="B711" s="3" t="s">
        <v>4594</v>
      </c>
      <c r="C711" s="6" t="s">
        <v>518</v>
      </c>
      <c r="D711" s="6" t="s">
        <v>234</v>
      </c>
      <c r="E711" s="6" t="s">
        <v>904</v>
      </c>
      <c r="F711" s="6">
        <v>32488.06</v>
      </c>
      <c r="J711" s="47" t="e">
        <f t="shared" si="55"/>
        <v>#DIV/0!</v>
      </c>
      <c r="K711" s="47" t="e">
        <f t="shared" si="56"/>
        <v>#DIV/0!</v>
      </c>
      <c r="O711" s="17" t="e">
        <f t="shared" si="57"/>
        <v>#DIV/0!</v>
      </c>
      <c r="P711" s="17" t="e">
        <f t="shared" si="58"/>
        <v>#DIV/0!</v>
      </c>
      <c r="V711" s="45" t="e">
        <f t="shared" si="59"/>
        <v>#DIV/0!</v>
      </c>
      <c r="X711" s="12">
        <v>1.36</v>
      </c>
    </row>
    <row r="712" spans="1:25" x14ac:dyDescent="0.45">
      <c r="A712" s="3" t="s">
        <v>4595</v>
      </c>
      <c r="B712" s="3" t="s">
        <v>4596</v>
      </c>
      <c r="C712" s="6" t="s">
        <v>518</v>
      </c>
      <c r="D712" s="6" t="s">
        <v>234</v>
      </c>
      <c r="E712" s="6" t="s">
        <v>904</v>
      </c>
      <c r="F712" s="6">
        <v>58767.79</v>
      </c>
      <c r="J712" s="47" t="e">
        <f t="shared" si="55"/>
        <v>#DIV/0!</v>
      </c>
      <c r="K712" s="47" t="e">
        <f t="shared" si="56"/>
        <v>#DIV/0!</v>
      </c>
      <c r="O712" s="17" t="e">
        <f t="shared" si="57"/>
        <v>#DIV/0!</v>
      </c>
      <c r="P712" s="17" t="e">
        <f t="shared" si="58"/>
        <v>#DIV/0!</v>
      </c>
      <c r="V712" s="45" t="e">
        <f t="shared" si="59"/>
        <v>#DIV/0!</v>
      </c>
      <c r="X712" s="12">
        <v>1.9</v>
      </c>
    </row>
    <row r="713" spans="1:25" x14ac:dyDescent="0.45">
      <c r="A713" s="3" t="s">
        <v>1552</v>
      </c>
      <c r="B713" s="3" t="s">
        <v>1553</v>
      </c>
      <c r="C713" s="6" t="s">
        <v>518</v>
      </c>
      <c r="D713" s="6" t="s">
        <v>175</v>
      </c>
      <c r="E713" s="6" t="s">
        <v>224</v>
      </c>
      <c r="F713" s="6">
        <v>27826.07</v>
      </c>
      <c r="G713" s="2">
        <v>6.7</v>
      </c>
      <c r="H713" s="2">
        <v>7.06</v>
      </c>
      <c r="I713" s="2">
        <v>8.51</v>
      </c>
      <c r="J713" s="47">
        <f t="shared" si="55"/>
        <v>5.3731343283582006E-2</v>
      </c>
      <c r="K713" s="47">
        <f t="shared" si="56"/>
        <v>0.20538243626062327</v>
      </c>
      <c r="L713" s="8">
        <v>30.73</v>
      </c>
      <c r="M713" s="8">
        <v>32.380000000000003</v>
      </c>
      <c r="N713" s="8">
        <v>26.88</v>
      </c>
      <c r="O713" s="17">
        <f t="shared" si="57"/>
        <v>6.0262777777777874</v>
      </c>
      <c r="P713" s="17">
        <f t="shared" si="58"/>
        <v>1.3087779310344823</v>
      </c>
      <c r="Q713" s="5">
        <v>2.31</v>
      </c>
      <c r="R713" s="9">
        <v>29.81</v>
      </c>
      <c r="S713" s="9">
        <v>6.23</v>
      </c>
      <c r="T713" s="9">
        <v>4645.8759700000001</v>
      </c>
      <c r="U713" s="9">
        <v>4127.5</v>
      </c>
      <c r="V713" s="45">
        <f t="shared" si="59"/>
        <v>0.12559078619018776</v>
      </c>
      <c r="W713" s="12">
        <v>29.61</v>
      </c>
      <c r="X713" s="12">
        <v>0.68</v>
      </c>
      <c r="Y713" s="12">
        <v>20210728</v>
      </c>
    </row>
    <row r="714" spans="1:25" x14ac:dyDescent="0.45">
      <c r="A714" s="3" t="s">
        <v>1554</v>
      </c>
      <c r="B714" s="3" t="s">
        <v>1555</v>
      </c>
      <c r="C714" s="6" t="s">
        <v>518</v>
      </c>
      <c r="D714" s="6" t="s">
        <v>234</v>
      </c>
      <c r="E714" s="6" t="s">
        <v>286</v>
      </c>
      <c r="F714" s="6">
        <v>6706.01</v>
      </c>
      <c r="G714" s="2">
        <v>5.36</v>
      </c>
      <c r="H714" s="2">
        <v>5.81</v>
      </c>
      <c r="I714" s="2">
        <v>6.13</v>
      </c>
      <c r="J714" s="47">
        <f t="shared" si="55"/>
        <v>8.3955223880596883E-2</v>
      </c>
      <c r="K714" s="47">
        <f t="shared" si="56"/>
        <v>5.5077452667814164E-2</v>
      </c>
      <c r="L714" s="8">
        <v>30.35</v>
      </c>
      <c r="M714" s="8">
        <v>28.85</v>
      </c>
      <c r="N714" s="8">
        <v>27.33</v>
      </c>
      <c r="O714" s="17">
        <f t="shared" si="57"/>
        <v>3.4363555555555609</v>
      </c>
      <c r="P714" s="17">
        <f t="shared" si="58"/>
        <v>4.9621031249999952</v>
      </c>
      <c r="Q714" s="5">
        <v>4.4400000000000004</v>
      </c>
      <c r="R714" s="9">
        <v>8.89</v>
      </c>
      <c r="S714" s="9">
        <v>9.56</v>
      </c>
      <c r="T714" s="9">
        <v>397.15300999999999</v>
      </c>
      <c r="U714" s="9">
        <v>363.02</v>
      </c>
      <c r="V714" s="45">
        <f t="shared" si="59"/>
        <v>9.4025150129469492E-2</v>
      </c>
      <c r="W714" s="12">
        <v>4.32</v>
      </c>
      <c r="X714" s="12">
        <v>1.89</v>
      </c>
      <c r="Y714" s="12">
        <v>20210727</v>
      </c>
    </row>
    <row r="715" spans="1:25" x14ac:dyDescent="0.45">
      <c r="A715" s="3" t="s">
        <v>1556</v>
      </c>
      <c r="B715" s="3" t="s">
        <v>1557</v>
      </c>
      <c r="C715" s="6" t="s">
        <v>518</v>
      </c>
      <c r="D715" s="6" t="s">
        <v>279</v>
      </c>
      <c r="E715" s="6" t="s">
        <v>263</v>
      </c>
      <c r="F715" s="6">
        <v>8241.1200000000008</v>
      </c>
      <c r="G715" s="2">
        <v>2.83</v>
      </c>
      <c r="H715" s="2">
        <v>4.1399999999999997</v>
      </c>
      <c r="I715" s="2">
        <v>4.3</v>
      </c>
      <c r="J715" s="47">
        <f t="shared" si="55"/>
        <v>0.46289752650176663</v>
      </c>
      <c r="K715" s="47">
        <f t="shared" si="56"/>
        <v>3.8647342995169122E-2</v>
      </c>
      <c r="L715" s="8">
        <v>26.97</v>
      </c>
      <c r="M715" s="8">
        <v>19.989999999999998</v>
      </c>
      <c r="N715" s="8">
        <v>19.25</v>
      </c>
      <c r="O715" s="17">
        <f t="shared" si="57"/>
        <v>0.43184503816793901</v>
      </c>
      <c r="P715" s="17">
        <f t="shared" si="58"/>
        <v>4.9809374999999951</v>
      </c>
      <c r="Q715" s="5">
        <v>1.1599999999999999</v>
      </c>
      <c r="R715" s="9">
        <v>15.89</v>
      </c>
      <c r="S715" s="9">
        <v>6.47</v>
      </c>
      <c r="T715" s="9">
        <v>5109.1137600000002</v>
      </c>
      <c r="U715" s="9">
        <v>4644.3999999999996</v>
      </c>
      <c r="V715" s="45">
        <f t="shared" si="59"/>
        <v>0.1000589441047284</v>
      </c>
      <c r="W715" s="12">
        <v>31.25</v>
      </c>
      <c r="X715" s="12">
        <v>1.35</v>
      </c>
      <c r="Y715" s="12">
        <v>20210726</v>
      </c>
    </row>
    <row r="716" spans="1:25" x14ac:dyDescent="0.45">
      <c r="A716" s="3" t="s">
        <v>1558</v>
      </c>
      <c r="B716" s="3" t="s">
        <v>1559</v>
      </c>
      <c r="C716" s="6" t="s">
        <v>518</v>
      </c>
      <c r="D716" s="6" t="s">
        <v>327</v>
      </c>
      <c r="E716" s="6" t="s">
        <v>321</v>
      </c>
      <c r="F716" s="6">
        <v>21586.23</v>
      </c>
      <c r="G716" s="2">
        <v>4.55</v>
      </c>
      <c r="H716" s="2">
        <v>4.5</v>
      </c>
      <c r="I716" s="2">
        <v>4.7300000000000004</v>
      </c>
      <c r="J716" s="47">
        <f t="shared" si="55"/>
        <v>-1.098901098901095E-2</v>
      </c>
      <c r="K716" s="47">
        <f t="shared" si="56"/>
        <v>5.1111111111111204E-2</v>
      </c>
      <c r="L716" s="8">
        <v>12.23</v>
      </c>
      <c r="M716" s="8">
        <v>12.64</v>
      </c>
      <c r="N716" s="8">
        <v>12.02</v>
      </c>
      <c r="O716" s="17">
        <f t="shared" si="57"/>
        <v>-11.502400000000041</v>
      </c>
      <c r="P716" s="17">
        <f t="shared" si="58"/>
        <v>2.3517391304347783</v>
      </c>
      <c r="Q716" s="5">
        <v>3.1</v>
      </c>
      <c r="R716" s="9">
        <v>11.47</v>
      </c>
      <c r="S716" s="9">
        <v>3.08</v>
      </c>
      <c r="T716" s="9">
        <v>13990.799800000001</v>
      </c>
      <c r="U716" s="9">
        <v>13578</v>
      </c>
      <c r="V716" s="45">
        <f t="shared" si="59"/>
        <v>3.0402106348504983E-2</v>
      </c>
      <c r="W716" s="12">
        <v>3.95</v>
      </c>
      <c r="X716" s="12">
        <v>4.66</v>
      </c>
      <c r="Y716" s="12">
        <v>20210727</v>
      </c>
    </row>
    <row r="717" spans="1:25" x14ac:dyDescent="0.45">
      <c r="A717" s="3" t="s">
        <v>1560</v>
      </c>
      <c r="B717" s="3" t="s">
        <v>1561</v>
      </c>
      <c r="C717" s="6" t="s">
        <v>518</v>
      </c>
      <c r="D717" s="6" t="s">
        <v>225</v>
      </c>
      <c r="E717" s="6" t="s">
        <v>1269</v>
      </c>
      <c r="F717" s="6">
        <v>107970.53</v>
      </c>
      <c r="G717" s="2">
        <v>4.45</v>
      </c>
      <c r="H717" s="2">
        <v>6.17</v>
      </c>
      <c r="I717" s="2">
        <v>7.14</v>
      </c>
      <c r="J717" s="47">
        <f t="shared" si="55"/>
        <v>0.38651685393258423</v>
      </c>
      <c r="K717" s="47">
        <f t="shared" si="56"/>
        <v>0.15721231766612637</v>
      </c>
      <c r="L717" s="8">
        <v>57.95</v>
      </c>
      <c r="M717" s="8">
        <v>48.26</v>
      </c>
      <c r="N717" s="8">
        <v>41.7</v>
      </c>
      <c r="O717" s="17">
        <f t="shared" si="57"/>
        <v>1.2485872093023256</v>
      </c>
      <c r="P717" s="17">
        <f t="shared" si="58"/>
        <v>2.6524639175257745</v>
      </c>
      <c r="Q717" s="5">
        <v>4.5199999999999996</v>
      </c>
      <c r="R717" s="9">
        <v>39.04</v>
      </c>
      <c r="S717" s="9">
        <v>6.86</v>
      </c>
      <c r="T717" s="9">
        <v>15970.497069999999</v>
      </c>
      <c r="U717" s="9">
        <v>14294</v>
      </c>
      <c r="V717" s="45">
        <f t="shared" si="59"/>
        <v>0.11728676857422692</v>
      </c>
      <c r="W717" s="12">
        <v>25.58</v>
      </c>
      <c r="X717" s="12">
        <v>0.71</v>
      </c>
      <c r="Y717" s="12">
        <v>20210819</v>
      </c>
    </row>
    <row r="718" spans="1:25" x14ac:dyDescent="0.45">
      <c r="A718" s="3" t="s">
        <v>1562</v>
      </c>
      <c r="B718" s="3" t="s">
        <v>1563</v>
      </c>
      <c r="C718" s="6" t="s">
        <v>518</v>
      </c>
      <c r="D718" s="6" t="s">
        <v>279</v>
      </c>
      <c r="E718" s="6" t="s">
        <v>263</v>
      </c>
      <c r="F718" s="6">
        <v>16034.56</v>
      </c>
      <c r="G718" s="2">
        <v>0.44</v>
      </c>
      <c r="H718" s="2">
        <v>1.02</v>
      </c>
      <c r="I718" s="2">
        <v>1.32</v>
      </c>
      <c r="J718" s="47">
        <f t="shared" si="55"/>
        <v>1.3181818181818183</v>
      </c>
      <c r="K718" s="47">
        <f t="shared" si="56"/>
        <v>0.29411764705882359</v>
      </c>
      <c r="L718" s="8">
        <v>47.75</v>
      </c>
      <c r="M718" s="8">
        <v>33.19</v>
      </c>
      <c r="N718" s="8">
        <v>25.66</v>
      </c>
      <c r="O718" s="17">
        <f t="shared" si="57"/>
        <v>0.25178620689655168</v>
      </c>
      <c r="P718" s="17">
        <f t="shared" si="58"/>
        <v>0.87243999999999988</v>
      </c>
      <c r="Q718" s="5">
        <v>0.94</v>
      </c>
      <c r="R718" s="9">
        <v>4.26</v>
      </c>
      <c r="T718" s="9">
        <v>4722.1669899999997</v>
      </c>
      <c r="U718" s="9">
        <v>3273.3</v>
      </c>
      <c r="V718" s="45">
        <f t="shared" si="59"/>
        <v>0.44263189747349752</v>
      </c>
      <c r="W718" s="12">
        <v>60.87</v>
      </c>
      <c r="X718" s="12">
        <v>0</v>
      </c>
      <c r="Y718" s="12">
        <v>20210729</v>
      </c>
    </row>
    <row r="719" spans="1:25" x14ac:dyDescent="0.45">
      <c r="A719" s="3" t="s">
        <v>1564</v>
      </c>
      <c r="B719" s="3" t="s">
        <v>1565</v>
      </c>
      <c r="C719" s="6" t="s">
        <v>518</v>
      </c>
      <c r="D719" s="6" t="s">
        <v>234</v>
      </c>
      <c r="E719" s="6" t="s">
        <v>287</v>
      </c>
      <c r="F719" s="6">
        <v>13865.06</v>
      </c>
      <c r="G719" s="2">
        <v>2.16</v>
      </c>
      <c r="H719" s="2">
        <v>2.36</v>
      </c>
      <c r="I719" s="2">
        <v>2.5099999999999998</v>
      </c>
      <c r="J719" s="47">
        <f t="shared" si="55"/>
        <v>9.2592592592592463E-2</v>
      </c>
      <c r="K719" s="47">
        <f t="shared" si="56"/>
        <v>6.3559322033898275E-2</v>
      </c>
      <c r="L719" s="8">
        <v>34.1</v>
      </c>
      <c r="M719" s="8">
        <v>32.22</v>
      </c>
      <c r="N719" s="8">
        <v>30.3</v>
      </c>
      <c r="O719" s="17">
        <f t="shared" si="57"/>
        <v>3.4797600000000046</v>
      </c>
      <c r="P719" s="17">
        <f t="shared" si="58"/>
        <v>4.7672000000000025</v>
      </c>
      <c r="Q719" s="5">
        <v>6.96</v>
      </c>
      <c r="R719" s="9">
        <v>17.38</v>
      </c>
      <c r="S719" s="9">
        <v>5.94</v>
      </c>
      <c r="U719" s="9">
        <v>1091.45</v>
      </c>
      <c r="V719" s="45">
        <f t="shared" si="59"/>
        <v>-1</v>
      </c>
      <c r="W719" s="12">
        <v>6.67</v>
      </c>
      <c r="X719" s="12">
        <v>1.91</v>
      </c>
      <c r="Y719" s="12">
        <v>20210719</v>
      </c>
    </row>
    <row r="720" spans="1:25" x14ac:dyDescent="0.45">
      <c r="A720" s="3" t="s">
        <v>1566</v>
      </c>
      <c r="B720" s="3" t="s">
        <v>1567</v>
      </c>
      <c r="C720" s="6" t="s">
        <v>520</v>
      </c>
      <c r="D720" s="6" t="s">
        <v>216</v>
      </c>
      <c r="E720" s="6" t="s">
        <v>232</v>
      </c>
      <c r="F720" s="6">
        <v>8770.24</v>
      </c>
      <c r="G720" s="2">
        <v>2.9</v>
      </c>
      <c r="H720" s="2">
        <v>4.5599999999999996</v>
      </c>
      <c r="I720" s="2">
        <v>3.96</v>
      </c>
      <c r="J720" s="47">
        <f t="shared" si="55"/>
        <v>0.5724137931034482</v>
      </c>
      <c r="K720" s="47">
        <f t="shared" si="56"/>
        <v>-0.13157894736842099</v>
      </c>
      <c r="L720" s="8">
        <v>12.53</v>
      </c>
      <c r="M720" s="8">
        <v>12.45</v>
      </c>
      <c r="N720" s="8">
        <v>14.34</v>
      </c>
      <c r="O720" s="17">
        <f t="shared" si="57"/>
        <v>0.21750000000000003</v>
      </c>
      <c r="P720" s="17">
        <f t="shared" si="58"/>
        <v>-1.0898400000000006</v>
      </c>
      <c r="Q720" s="5">
        <v>2.88</v>
      </c>
      <c r="R720" s="9">
        <v>31.09</v>
      </c>
      <c r="S720" s="9">
        <v>-2.92</v>
      </c>
      <c r="T720" s="9">
        <v>14120.089840000001</v>
      </c>
      <c r="U720" s="9">
        <v>12640.1</v>
      </c>
      <c r="V720" s="45">
        <f t="shared" si="59"/>
        <v>0.11708687747723516</v>
      </c>
      <c r="W720" s="12">
        <v>48.84</v>
      </c>
      <c r="X720" s="12">
        <v>2.66</v>
      </c>
      <c r="Y720" s="12">
        <v>20210716</v>
      </c>
    </row>
    <row r="721" spans="1:25" x14ac:dyDescent="0.45">
      <c r="A721" s="3" t="s">
        <v>4119</v>
      </c>
      <c r="B721" s="3" t="s">
        <v>4120</v>
      </c>
      <c r="C721" s="6" t="s">
        <v>518</v>
      </c>
      <c r="D721" s="6" t="s">
        <v>216</v>
      </c>
      <c r="E721" s="6" t="s">
        <v>251</v>
      </c>
      <c r="F721" s="6">
        <v>3371.03</v>
      </c>
      <c r="G721" s="2">
        <v>0.79</v>
      </c>
      <c r="H721" s="2">
        <v>0.09</v>
      </c>
      <c r="I721" s="2">
        <v>0.34</v>
      </c>
      <c r="J721" s="47">
        <f t="shared" si="55"/>
        <v>-0.88607594936708867</v>
      </c>
      <c r="K721" s="47">
        <f t="shared" si="56"/>
        <v>2.7777777777777777</v>
      </c>
      <c r="L721" s="8">
        <v>37.65</v>
      </c>
      <c r="M721" s="8">
        <v>410.48</v>
      </c>
      <c r="N721" s="8">
        <v>105.21</v>
      </c>
      <c r="O721" s="17">
        <f t="shared" si="57"/>
        <v>-4.6325599999999998</v>
      </c>
      <c r="P721" s="17">
        <f t="shared" si="58"/>
        <v>0.37875599999999998</v>
      </c>
      <c r="R721" s="9">
        <v>7.77</v>
      </c>
      <c r="S721" s="9">
        <v>17.61</v>
      </c>
      <c r="T721" s="9">
        <v>2801.7949199999998</v>
      </c>
      <c r="U721" s="9">
        <v>1589.46</v>
      </c>
      <c r="V721" s="45">
        <f t="shared" si="59"/>
        <v>0.76273383413234663</v>
      </c>
      <c r="W721" s="12">
        <v>416.67</v>
      </c>
      <c r="X721" s="12">
        <v>0</v>
      </c>
      <c r="Y721" s="12">
        <v>20210805</v>
      </c>
    </row>
    <row r="722" spans="1:25" x14ac:dyDescent="0.45">
      <c r="A722" s="3" t="s">
        <v>4597</v>
      </c>
      <c r="B722" s="3" t="s">
        <v>4598</v>
      </c>
      <c r="C722" s="6" t="s">
        <v>519</v>
      </c>
      <c r="D722" s="6" t="s">
        <v>234</v>
      </c>
      <c r="E722" s="6" t="s">
        <v>904</v>
      </c>
      <c r="F722" s="6">
        <v>19997.759999999998</v>
      </c>
      <c r="J722" s="47" t="e">
        <f t="shared" si="55"/>
        <v>#DIV/0!</v>
      </c>
      <c r="K722" s="47" t="e">
        <f t="shared" si="56"/>
        <v>#DIV/0!</v>
      </c>
      <c r="O722" s="17" t="e">
        <f t="shared" si="57"/>
        <v>#DIV/0!</v>
      </c>
      <c r="P722" s="17" t="e">
        <f t="shared" si="58"/>
        <v>#DIV/0!</v>
      </c>
      <c r="V722" s="45" t="e">
        <f t="shared" si="59"/>
        <v>#DIV/0!</v>
      </c>
      <c r="X722" s="12">
        <v>3.83</v>
      </c>
    </row>
    <row r="723" spans="1:25" x14ac:dyDescent="0.45">
      <c r="A723" s="3" t="s">
        <v>1568</v>
      </c>
      <c r="B723" s="3" t="s">
        <v>1569</v>
      </c>
      <c r="C723" s="6" t="s">
        <v>518</v>
      </c>
      <c r="D723" s="6" t="s">
        <v>210</v>
      </c>
      <c r="E723" s="6" t="s">
        <v>912</v>
      </c>
      <c r="F723" s="6">
        <v>6969.58</v>
      </c>
      <c r="G723" s="2">
        <v>5.97</v>
      </c>
      <c r="H723" s="2">
        <v>6.7</v>
      </c>
      <c r="I723" s="2">
        <v>7.2</v>
      </c>
      <c r="J723" s="47">
        <f t="shared" si="55"/>
        <v>0.12227805695142387</v>
      </c>
      <c r="K723" s="47">
        <f t="shared" si="56"/>
        <v>7.4626865671641784E-2</v>
      </c>
      <c r="L723" s="8">
        <v>19.36</v>
      </c>
      <c r="M723" s="8">
        <v>19.07</v>
      </c>
      <c r="N723" s="8">
        <v>17.75</v>
      </c>
      <c r="O723" s="17">
        <f t="shared" si="57"/>
        <v>1.5595602739726018</v>
      </c>
      <c r="P723" s="17">
        <f t="shared" si="58"/>
        <v>2.3785000000000003</v>
      </c>
      <c r="R723" s="9">
        <v>17.899999999999999</v>
      </c>
      <c r="S723" s="9">
        <v>5.34</v>
      </c>
      <c r="T723" s="9">
        <v>9337.25</v>
      </c>
      <c r="U723" s="9">
        <v>8797.06</v>
      </c>
      <c r="V723" s="45">
        <f t="shared" si="59"/>
        <v>6.1405742373020142E-2</v>
      </c>
      <c r="W723" s="12">
        <v>31.62</v>
      </c>
      <c r="X723" s="12">
        <v>0.41</v>
      </c>
      <c r="Y723" s="12">
        <v>20210802</v>
      </c>
    </row>
    <row r="724" spans="1:25" x14ac:dyDescent="0.45">
      <c r="A724" s="3" t="s">
        <v>1570</v>
      </c>
      <c r="B724" s="3" t="s">
        <v>1571</v>
      </c>
      <c r="C724" s="6" t="s">
        <v>518</v>
      </c>
      <c r="D724" s="6" t="s">
        <v>90</v>
      </c>
      <c r="E724" s="6" t="s">
        <v>196</v>
      </c>
      <c r="F724" s="6">
        <v>17277.64</v>
      </c>
      <c r="G724" s="2">
        <v>5.95</v>
      </c>
      <c r="H724" s="2">
        <v>8.66</v>
      </c>
      <c r="I724" s="2">
        <v>9.25</v>
      </c>
      <c r="J724" s="47">
        <f t="shared" si="55"/>
        <v>0.45546218487394957</v>
      </c>
      <c r="K724" s="47">
        <f t="shared" si="56"/>
        <v>6.8129330254041554E-2</v>
      </c>
      <c r="L724" s="8">
        <v>20.309999999999999</v>
      </c>
      <c r="M724" s="8">
        <v>14.64</v>
      </c>
      <c r="N724" s="8">
        <v>13.71</v>
      </c>
      <c r="O724" s="17">
        <f t="shared" si="57"/>
        <v>0.32143173431734318</v>
      </c>
      <c r="P724" s="17">
        <f t="shared" si="58"/>
        <v>2.0123491525423733</v>
      </c>
      <c r="Q724" s="5">
        <v>0.82</v>
      </c>
      <c r="R724" s="9">
        <v>13.86</v>
      </c>
      <c r="S724" s="9">
        <v>-1.24</v>
      </c>
      <c r="T724" s="9">
        <v>9484.8183499999996</v>
      </c>
      <c r="U724" s="9">
        <v>8473</v>
      </c>
      <c r="V724" s="45">
        <f t="shared" si="59"/>
        <v>0.11941677682048855</v>
      </c>
      <c r="W724" s="12">
        <v>4.93</v>
      </c>
      <c r="X724" s="12">
        <v>2.1800000000000002</v>
      </c>
      <c r="Y724" s="12">
        <v>20210802</v>
      </c>
    </row>
    <row r="725" spans="1:25" x14ac:dyDescent="0.45">
      <c r="A725" s="3" t="s">
        <v>1572</v>
      </c>
      <c r="B725" s="3" t="s">
        <v>1573</v>
      </c>
      <c r="C725" s="6" t="s">
        <v>518</v>
      </c>
      <c r="D725" s="6" t="s">
        <v>272</v>
      </c>
      <c r="E725" s="6" t="s">
        <v>252</v>
      </c>
      <c r="F725" s="6">
        <v>58710.63</v>
      </c>
      <c r="G725" s="2">
        <v>3.31</v>
      </c>
      <c r="H725" s="2">
        <v>3.93</v>
      </c>
      <c r="I725" s="2">
        <v>4.34</v>
      </c>
      <c r="J725" s="47">
        <f t="shared" si="55"/>
        <v>0.18731117824773416</v>
      </c>
      <c r="K725" s="47">
        <f t="shared" si="56"/>
        <v>0.10432569974554699</v>
      </c>
      <c r="L725" s="8">
        <v>26.46</v>
      </c>
      <c r="M725" s="8">
        <v>24.92</v>
      </c>
      <c r="N725" s="8">
        <v>22.58</v>
      </c>
      <c r="O725" s="17">
        <f t="shared" si="57"/>
        <v>1.3304064516129031</v>
      </c>
      <c r="P725" s="17">
        <f t="shared" si="58"/>
        <v>2.1643756097560991</v>
      </c>
      <c r="Q725" s="5">
        <v>2.46</v>
      </c>
      <c r="R725" s="9">
        <v>25.84</v>
      </c>
      <c r="S725" s="9">
        <v>-1.24</v>
      </c>
      <c r="T725" s="9">
        <v>18140.921869999998</v>
      </c>
      <c r="U725" s="9">
        <v>16785</v>
      </c>
      <c r="V725" s="45">
        <f t="shared" si="59"/>
        <v>8.0781761691986795E-2</v>
      </c>
      <c r="W725" s="12">
        <v>7.78</v>
      </c>
      <c r="X725" s="12">
        <v>2.06</v>
      </c>
      <c r="Y725" s="12">
        <v>20210803</v>
      </c>
    </row>
    <row r="726" spans="1:25" x14ac:dyDescent="0.45">
      <c r="A726" s="3" t="s">
        <v>1574</v>
      </c>
      <c r="B726" s="3" t="s">
        <v>1575</v>
      </c>
      <c r="C726" s="6" t="s">
        <v>518</v>
      </c>
      <c r="D726" s="6" t="s">
        <v>289</v>
      </c>
      <c r="E726" s="6" t="s">
        <v>277</v>
      </c>
      <c r="F726" s="6">
        <v>80557.73</v>
      </c>
      <c r="G726" s="2">
        <v>1.91</v>
      </c>
      <c r="H726" s="2">
        <v>2.1800000000000002</v>
      </c>
      <c r="I726" s="2">
        <v>2.54</v>
      </c>
      <c r="J726" s="47">
        <f t="shared" si="55"/>
        <v>0.14136125654450274</v>
      </c>
      <c r="K726" s="47">
        <f t="shared" si="56"/>
        <v>0.16513761467889901</v>
      </c>
      <c r="L726" s="8">
        <v>21.85</v>
      </c>
      <c r="M726" s="8">
        <v>18.22</v>
      </c>
      <c r="N726" s="8">
        <v>15.67</v>
      </c>
      <c r="O726" s="17">
        <f t="shared" si="57"/>
        <v>1.2888962962962951</v>
      </c>
      <c r="P726" s="17">
        <f t="shared" si="58"/>
        <v>0.948905555555556</v>
      </c>
      <c r="Q726" s="5">
        <v>3.04</v>
      </c>
      <c r="R726" s="9">
        <v>8.68</v>
      </c>
      <c r="S726" s="9">
        <v>3.81</v>
      </c>
      <c r="T726" s="9">
        <v>39809.960930000001</v>
      </c>
      <c r="U726" s="9">
        <v>29179.23</v>
      </c>
      <c r="V726" s="45">
        <f t="shared" si="59"/>
        <v>0.36432527280534827</v>
      </c>
      <c r="W726" s="12">
        <v>10.71</v>
      </c>
      <c r="X726" s="12">
        <v>6.56</v>
      </c>
      <c r="Y726" s="12">
        <v>20210804</v>
      </c>
    </row>
    <row r="727" spans="1:25" x14ac:dyDescent="0.45">
      <c r="A727" s="3" t="s">
        <v>4121</v>
      </c>
      <c r="B727" s="3" t="s">
        <v>4122</v>
      </c>
      <c r="C727" s="6" t="s">
        <v>518</v>
      </c>
      <c r="D727" s="6" t="s">
        <v>289</v>
      </c>
      <c r="E727" s="6" t="s">
        <v>1595</v>
      </c>
      <c r="F727" s="6">
        <v>4057.91</v>
      </c>
      <c r="H727" s="2">
        <v>0.62</v>
      </c>
      <c r="I727" s="2">
        <v>0.56999999999999995</v>
      </c>
      <c r="J727" s="47" t="e">
        <f t="shared" si="55"/>
        <v>#DIV/0!</v>
      </c>
      <c r="K727" s="47">
        <f t="shared" si="56"/>
        <v>-8.0645161290322648E-2</v>
      </c>
      <c r="L727" s="8">
        <v>13.11</v>
      </c>
      <c r="M727" s="8">
        <v>15.02</v>
      </c>
      <c r="N727" s="8">
        <v>16.329999999999998</v>
      </c>
      <c r="O727" s="17" t="e">
        <f t="shared" si="57"/>
        <v>#DIV/0!</v>
      </c>
      <c r="P727" s="17">
        <f t="shared" si="58"/>
        <v>-2.0249199999999981</v>
      </c>
      <c r="R727" s="9">
        <v>5.31</v>
      </c>
      <c r="S727" s="9">
        <v>3.82</v>
      </c>
      <c r="T727" s="9">
        <v>2592.9599600000001</v>
      </c>
      <c r="U727" s="9">
        <v>2463</v>
      </c>
      <c r="V727" s="45">
        <f t="shared" si="59"/>
        <v>5.2764904587900986E-2</v>
      </c>
      <c r="W727" s="12">
        <v>94.12</v>
      </c>
      <c r="X727" s="12">
        <v>7.1</v>
      </c>
      <c r="Y727" s="12">
        <v>20210804</v>
      </c>
    </row>
    <row r="728" spans="1:25" x14ac:dyDescent="0.45">
      <c r="A728" s="3" t="s">
        <v>4599</v>
      </c>
      <c r="B728" s="3" t="s">
        <v>4600</v>
      </c>
      <c r="C728" s="6" t="s">
        <v>520</v>
      </c>
      <c r="D728" s="6" t="s">
        <v>327</v>
      </c>
      <c r="E728" s="6" t="s">
        <v>354</v>
      </c>
      <c r="F728" s="6">
        <v>6214.4</v>
      </c>
      <c r="J728" s="47" t="e">
        <f t="shared" si="55"/>
        <v>#DIV/0!</v>
      </c>
      <c r="K728" s="47" t="e">
        <f t="shared" si="56"/>
        <v>#DIV/0!</v>
      </c>
      <c r="O728" s="17" t="e">
        <f t="shared" si="57"/>
        <v>#DIV/0!</v>
      </c>
      <c r="P728" s="17" t="e">
        <f t="shared" si="58"/>
        <v>#DIV/0!</v>
      </c>
      <c r="U728" s="9">
        <v>1291.6199999999999</v>
      </c>
      <c r="V728" s="45">
        <f t="shared" si="59"/>
        <v>-1</v>
      </c>
      <c r="X728" s="12">
        <v>4.92</v>
      </c>
    </row>
    <row r="729" spans="1:25" x14ac:dyDescent="0.45">
      <c r="A729" s="3" t="s">
        <v>4601</v>
      </c>
      <c r="B729" s="3" t="s">
        <v>4602</v>
      </c>
      <c r="C729" s="6" t="s">
        <v>520</v>
      </c>
      <c r="D729" s="6" t="s">
        <v>327</v>
      </c>
      <c r="E729" s="6" t="s">
        <v>321</v>
      </c>
      <c r="F729" s="6">
        <v>36553.629999999997</v>
      </c>
      <c r="J729" s="47" t="e">
        <f t="shared" si="55"/>
        <v>#DIV/0!</v>
      </c>
      <c r="K729" s="47" t="e">
        <f t="shared" si="56"/>
        <v>#DIV/0!</v>
      </c>
      <c r="O729" s="17" t="e">
        <f t="shared" si="57"/>
        <v>#DIV/0!</v>
      </c>
      <c r="P729" s="17" t="e">
        <f t="shared" si="58"/>
        <v>#DIV/0!</v>
      </c>
      <c r="U729" s="9">
        <v>63678.96</v>
      </c>
      <c r="V729" s="45">
        <f t="shared" si="59"/>
        <v>-1</v>
      </c>
      <c r="X729" s="12">
        <v>0</v>
      </c>
    </row>
    <row r="730" spans="1:25" x14ac:dyDescent="0.45">
      <c r="A730" s="3" t="s">
        <v>4603</v>
      </c>
      <c r="B730" s="3" t="s">
        <v>4604</v>
      </c>
      <c r="C730" s="6" t="s">
        <v>518</v>
      </c>
      <c r="D730" s="6" t="s">
        <v>289</v>
      </c>
      <c r="E730" s="6" t="s">
        <v>430</v>
      </c>
      <c r="F730" s="6">
        <v>10256.43</v>
      </c>
      <c r="J730" s="47" t="e">
        <f t="shared" si="55"/>
        <v>#DIV/0!</v>
      </c>
      <c r="K730" s="47" t="e">
        <f t="shared" si="56"/>
        <v>#DIV/0!</v>
      </c>
      <c r="L730" s="8">
        <v>12.96</v>
      </c>
      <c r="O730" s="17" t="e">
        <f t="shared" si="57"/>
        <v>#DIV/0!</v>
      </c>
      <c r="P730" s="17" t="e">
        <f t="shared" si="58"/>
        <v>#DIV/0!</v>
      </c>
      <c r="R730" s="9">
        <v>8</v>
      </c>
      <c r="S730" s="9">
        <v>0.8</v>
      </c>
      <c r="U730" s="9">
        <v>12193</v>
      </c>
      <c r="V730" s="45">
        <f t="shared" si="59"/>
        <v>-1</v>
      </c>
      <c r="X730" s="12">
        <v>3.99</v>
      </c>
      <c r="Y730" s="12">
        <v>20210727</v>
      </c>
    </row>
    <row r="731" spans="1:25" x14ac:dyDescent="0.45">
      <c r="A731" s="3" t="s">
        <v>4605</v>
      </c>
      <c r="B731" s="3" t="s">
        <v>4606</v>
      </c>
      <c r="C731" s="6" t="s">
        <v>518</v>
      </c>
      <c r="D731" s="6" t="s">
        <v>327</v>
      </c>
      <c r="E731" s="6" t="s">
        <v>321</v>
      </c>
      <c r="F731" s="6">
        <v>4094.66</v>
      </c>
      <c r="J731" s="47" t="e">
        <f t="shared" si="55"/>
        <v>#DIV/0!</v>
      </c>
      <c r="K731" s="47" t="e">
        <f t="shared" si="56"/>
        <v>#DIV/0!</v>
      </c>
      <c r="L731" s="8">
        <v>6.43</v>
      </c>
      <c r="O731" s="17" t="e">
        <f t="shared" si="57"/>
        <v>#DIV/0!</v>
      </c>
      <c r="P731" s="17" t="e">
        <f t="shared" si="58"/>
        <v>#DIV/0!</v>
      </c>
      <c r="R731" s="9">
        <v>40.98</v>
      </c>
      <c r="U731" s="9">
        <v>3361.02</v>
      </c>
      <c r="V731" s="45">
        <f t="shared" si="59"/>
        <v>-1</v>
      </c>
      <c r="X731" s="12">
        <v>5.36</v>
      </c>
      <c r="Y731" s="12">
        <v>20210614</v>
      </c>
    </row>
    <row r="732" spans="1:25" x14ac:dyDescent="0.45">
      <c r="A732" s="3" t="s">
        <v>4607</v>
      </c>
      <c r="B732" s="3" t="s">
        <v>4608</v>
      </c>
      <c r="C732" s="6" t="s">
        <v>520</v>
      </c>
      <c r="D732" s="6" t="s">
        <v>327</v>
      </c>
      <c r="E732" s="6" t="s">
        <v>321</v>
      </c>
      <c r="F732" s="6">
        <v>98921.79</v>
      </c>
      <c r="J732" s="47" t="e">
        <f t="shared" si="55"/>
        <v>#DIV/0!</v>
      </c>
      <c r="K732" s="47" t="e">
        <f t="shared" si="56"/>
        <v>#DIV/0!</v>
      </c>
      <c r="L732" s="8">
        <v>33.549999999999997</v>
      </c>
      <c r="O732" s="17" t="e">
        <f t="shared" si="57"/>
        <v>#DIV/0!</v>
      </c>
      <c r="P732" s="17" t="e">
        <f t="shared" si="58"/>
        <v>#DIV/0!</v>
      </c>
      <c r="R732" s="9">
        <v>5.84</v>
      </c>
      <c r="S732" s="9">
        <v>1.25</v>
      </c>
      <c r="U732" s="9">
        <v>74226.06</v>
      </c>
      <c r="V732" s="45">
        <f t="shared" si="59"/>
        <v>-1</v>
      </c>
      <c r="X732" s="12">
        <v>2.57</v>
      </c>
      <c r="Y732" s="12">
        <v>20210616</v>
      </c>
    </row>
    <row r="733" spans="1:25" x14ac:dyDescent="0.45">
      <c r="A733" s="3" t="s">
        <v>1576</v>
      </c>
      <c r="B733" s="3" t="s">
        <v>1577</v>
      </c>
      <c r="C733" s="6" t="s">
        <v>519</v>
      </c>
      <c r="D733" s="6" t="s">
        <v>289</v>
      </c>
      <c r="E733" s="6" t="s">
        <v>400</v>
      </c>
      <c r="F733" s="6">
        <v>18586.68</v>
      </c>
      <c r="G733" s="2">
        <v>1.27</v>
      </c>
      <c r="H733" s="2">
        <v>2</v>
      </c>
      <c r="I733" s="2">
        <v>2.5099999999999998</v>
      </c>
      <c r="J733" s="47">
        <f t="shared" si="55"/>
        <v>0.57480314960629919</v>
      </c>
      <c r="K733" s="47">
        <f t="shared" si="56"/>
        <v>0.25499999999999989</v>
      </c>
      <c r="L733" s="8">
        <v>88.94</v>
      </c>
      <c r="M733" s="8">
        <v>68.37</v>
      </c>
      <c r="N733" s="8">
        <v>54.53</v>
      </c>
      <c r="O733" s="17">
        <f t="shared" si="57"/>
        <v>1.189450684931507</v>
      </c>
      <c r="P733" s="17">
        <f t="shared" si="58"/>
        <v>2.1384313725490207</v>
      </c>
      <c r="R733" s="9">
        <v>25.37</v>
      </c>
      <c r="S733" s="9">
        <v>27.47</v>
      </c>
      <c r="T733" s="9">
        <v>1328.67102</v>
      </c>
      <c r="U733" s="9">
        <v>774.42</v>
      </c>
      <c r="V733" s="45">
        <f t="shared" si="59"/>
        <v>0.71569822576896269</v>
      </c>
      <c r="W733" s="12">
        <v>36.590000000000003</v>
      </c>
      <c r="X733" s="12">
        <v>0</v>
      </c>
      <c r="Y733" s="12">
        <v>20210803</v>
      </c>
    </row>
    <row r="734" spans="1:25" x14ac:dyDescent="0.45">
      <c r="A734" s="3" t="s">
        <v>4123</v>
      </c>
      <c r="B734" s="3" t="s">
        <v>4124</v>
      </c>
      <c r="C734" s="6" t="s">
        <v>518</v>
      </c>
      <c r="D734" s="6" t="s">
        <v>225</v>
      </c>
      <c r="E734" s="6" t="s">
        <v>206</v>
      </c>
      <c r="F734" s="6">
        <v>3032.78</v>
      </c>
      <c r="G734" s="2">
        <v>2.52</v>
      </c>
      <c r="H734" s="2">
        <v>3.47</v>
      </c>
      <c r="I734" s="2">
        <v>3.71</v>
      </c>
      <c r="J734" s="47">
        <f t="shared" si="55"/>
        <v>0.37698412698412703</v>
      </c>
      <c r="K734" s="47">
        <f t="shared" si="56"/>
        <v>6.9164265129682934E-2</v>
      </c>
      <c r="L734" s="8">
        <v>14.64</v>
      </c>
      <c r="M734" s="8">
        <v>12.8</v>
      </c>
      <c r="N734" s="8">
        <v>11.96</v>
      </c>
      <c r="O734" s="17">
        <f t="shared" si="57"/>
        <v>0.33953684210526314</v>
      </c>
      <c r="P734" s="17">
        <f t="shared" si="58"/>
        <v>1.7292166666666684</v>
      </c>
      <c r="R734" s="9">
        <v>66.099999999999994</v>
      </c>
      <c r="S734" s="9">
        <v>15.11</v>
      </c>
      <c r="T734" s="9">
        <v>2925.2160600000002</v>
      </c>
      <c r="U734" s="9">
        <v>2744.8</v>
      </c>
      <c r="V734" s="45">
        <f t="shared" si="59"/>
        <v>6.5730129699795983E-2</v>
      </c>
      <c r="W734" s="12">
        <v>42.59</v>
      </c>
      <c r="X734" s="12">
        <v>2.71</v>
      </c>
      <c r="Y734" s="12">
        <v>20210804</v>
      </c>
    </row>
    <row r="735" spans="1:25" x14ac:dyDescent="0.45">
      <c r="A735" s="3" t="s">
        <v>1578</v>
      </c>
      <c r="B735" s="3" t="s">
        <v>1579</v>
      </c>
      <c r="C735" s="6" t="s">
        <v>518</v>
      </c>
      <c r="D735" s="6" t="s">
        <v>272</v>
      </c>
      <c r="E735" s="6" t="s">
        <v>252</v>
      </c>
      <c r="F735" s="6">
        <v>4133.28</v>
      </c>
      <c r="G735" s="2">
        <v>4.4800000000000004</v>
      </c>
      <c r="H735" s="2">
        <v>5.44</v>
      </c>
      <c r="I735" s="2">
        <v>6.35</v>
      </c>
      <c r="J735" s="47">
        <f t="shared" si="55"/>
        <v>0.21428571428571425</v>
      </c>
      <c r="K735" s="47">
        <f t="shared" si="56"/>
        <v>0.16727941176470573</v>
      </c>
      <c r="L735" s="8">
        <v>21.49</v>
      </c>
      <c r="M735" s="8">
        <v>17.739999999999998</v>
      </c>
      <c r="N735" s="8">
        <v>15.2</v>
      </c>
      <c r="O735" s="17">
        <f t="shared" si="57"/>
        <v>0.82786666666666675</v>
      </c>
      <c r="P735" s="17">
        <f t="shared" si="58"/>
        <v>0.90865934065934151</v>
      </c>
      <c r="Q735" s="5">
        <v>1.77</v>
      </c>
      <c r="R735" s="9">
        <v>13.22</v>
      </c>
      <c r="S735" s="9">
        <v>6.8</v>
      </c>
      <c r="T735" s="9">
        <v>3378.6669900000002</v>
      </c>
      <c r="U735" s="9">
        <v>2977.9</v>
      </c>
      <c r="V735" s="45">
        <f t="shared" si="59"/>
        <v>0.1345804056549918</v>
      </c>
      <c r="W735" s="12">
        <v>1.56</v>
      </c>
      <c r="X735" s="12">
        <v>0.73</v>
      </c>
      <c r="Y735" s="12">
        <v>20210811</v>
      </c>
    </row>
    <row r="736" spans="1:25" x14ac:dyDescent="0.45">
      <c r="A736" s="3" t="s">
        <v>1580</v>
      </c>
      <c r="B736" s="3" t="s">
        <v>1581</v>
      </c>
      <c r="C736" s="6" t="s">
        <v>519</v>
      </c>
      <c r="D736" s="6" t="s">
        <v>279</v>
      </c>
      <c r="E736" s="6" t="s">
        <v>1582</v>
      </c>
      <c r="F736" s="6">
        <v>4569.18</v>
      </c>
      <c r="G736" s="2">
        <v>3.11</v>
      </c>
      <c r="H736" s="2">
        <v>3.6</v>
      </c>
      <c r="I736" s="2">
        <v>3.88</v>
      </c>
      <c r="J736" s="47">
        <f t="shared" si="55"/>
        <v>0.15755627009646309</v>
      </c>
      <c r="K736" s="47">
        <f t="shared" si="56"/>
        <v>7.7777777777777724E-2</v>
      </c>
      <c r="L736" s="8">
        <v>25.73</v>
      </c>
      <c r="M736" s="8">
        <v>23.12</v>
      </c>
      <c r="N736" s="8">
        <v>21.42</v>
      </c>
      <c r="O736" s="17">
        <f t="shared" si="57"/>
        <v>1.4674122448979585</v>
      </c>
      <c r="P736" s="17">
        <f t="shared" si="58"/>
        <v>2.7540000000000022</v>
      </c>
      <c r="Q736" s="5">
        <v>1.54</v>
      </c>
      <c r="R736" s="9">
        <v>21.34</v>
      </c>
      <c r="S736" s="9">
        <v>10.37</v>
      </c>
      <c r="T736" s="9">
        <v>2651.3181100000002</v>
      </c>
      <c r="U736" s="9">
        <v>2402.6</v>
      </c>
      <c r="V736" s="45">
        <f t="shared" si="59"/>
        <v>0.10352039873470419</v>
      </c>
      <c r="W736" s="12">
        <v>3.57</v>
      </c>
      <c r="X736" s="12">
        <v>0.25</v>
      </c>
      <c r="Y736" s="12">
        <v>20210804</v>
      </c>
    </row>
    <row r="737" spans="1:25" x14ac:dyDescent="0.45">
      <c r="A737" s="3" t="s">
        <v>1583</v>
      </c>
      <c r="B737" s="3" t="s">
        <v>1584</v>
      </c>
      <c r="C737" s="6" t="s">
        <v>519</v>
      </c>
      <c r="D737" s="6" t="s">
        <v>189</v>
      </c>
      <c r="E737" s="6" t="s">
        <v>914</v>
      </c>
      <c r="F737" s="6">
        <v>15420.01</v>
      </c>
      <c r="G737" s="2">
        <v>2.48</v>
      </c>
      <c r="H737" s="2">
        <v>3.18</v>
      </c>
      <c r="I737" s="2">
        <v>3.66</v>
      </c>
      <c r="J737" s="47">
        <f t="shared" si="55"/>
        <v>0.28225806451612911</v>
      </c>
      <c r="K737" s="47">
        <f t="shared" si="56"/>
        <v>0.15094339622641509</v>
      </c>
      <c r="L737" s="8">
        <v>42.46</v>
      </c>
      <c r="M737" s="8">
        <v>35.729999999999997</v>
      </c>
      <c r="N737" s="8">
        <v>31.11</v>
      </c>
      <c r="O737" s="17">
        <f t="shared" si="57"/>
        <v>1.2658628571428567</v>
      </c>
      <c r="P737" s="17">
        <f t="shared" si="58"/>
        <v>2.0610374999999999</v>
      </c>
      <c r="R737" s="9">
        <v>27.38</v>
      </c>
      <c r="S737" s="9">
        <v>11.46</v>
      </c>
      <c r="T737" s="9">
        <v>2187.3930599999999</v>
      </c>
      <c r="U737" s="9">
        <v>1859.31</v>
      </c>
      <c r="V737" s="45">
        <f t="shared" si="59"/>
        <v>0.1764542007518918</v>
      </c>
      <c r="W737" s="12">
        <v>-2.78</v>
      </c>
      <c r="X737" s="12">
        <v>0.28000000000000003</v>
      </c>
      <c r="Y737" s="12">
        <v>20210722</v>
      </c>
    </row>
    <row r="738" spans="1:25" x14ac:dyDescent="0.45">
      <c r="A738" s="3" t="s">
        <v>1585</v>
      </c>
      <c r="B738" s="3" t="s">
        <v>1586</v>
      </c>
      <c r="C738" s="6" t="s">
        <v>518</v>
      </c>
      <c r="D738" s="6" t="s">
        <v>175</v>
      </c>
      <c r="E738" s="6" t="s">
        <v>224</v>
      </c>
      <c r="F738" s="6">
        <v>4255.8500000000004</v>
      </c>
      <c r="G738" s="2">
        <v>2.54</v>
      </c>
      <c r="H738" s="2">
        <v>2.12</v>
      </c>
      <c r="I738" s="2">
        <v>2.3199999999999998</v>
      </c>
      <c r="J738" s="47">
        <f t="shared" si="55"/>
        <v>-0.16535433070866137</v>
      </c>
      <c r="K738" s="47">
        <f t="shared" si="56"/>
        <v>9.4339622641509302E-2</v>
      </c>
      <c r="L738" s="8">
        <v>29.62</v>
      </c>
      <c r="M738" s="8">
        <v>36.89</v>
      </c>
      <c r="N738" s="8">
        <v>33.78</v>
      </c>
      <c r="O738" s="17">
        <f t="shared" si="57"/>
        <v>-2.2309666666666672</v>
      </c>
      <c r="P738" s="17">
        <f t="shared" si="58"/>
        <v>3.5806800000000054</v>
      </c>
      <c r="R738" s="9">
        <v>11.5</v>
      </c>
      <c r="S738" s="9">
        <v>15.56</v>
      </c>
      <c r="T738" s="9">
        <v>1149.3439900000001</v>
      </c>
      <c r="U738" s="9">
        <v>998.23</v>
      </c>
      <c r="V738" s="45">
        <f t="shared" si="59"/>
        <v>0.15138193602676744</v>
      </c>
      <c r="W738" s="12">
        <v>4.92</v>
      </c>
      <c r="X738" s="12">
        <v>0</v>
      </c>
      <c r="Y738" s="12">
        <v>20210805</v>
      </c>
    </row>
    <row r="739" spans="1:25" x14ac:dyDescent="0.45">
      <c r="A739" s="3" t="s">
        <v>1587</v>
      </c>
      <c r="B739" s="3" t="s">
        <v>1588</v>
      </c>
      <c r="C739" s="6" t="s">
        <v>518</v>
      </c>
      <c r="D739" s="6" t="s">
        <v>289</v>
      </c>
      <c r="E739" s="6" t="s">
        <v>271</v>
      </c>
      <c r="F739" s="6">
        <v>50079.15</v>
      </c>
      <c r="G739" s="2">
        <v>1.07</v>
      </c>
      <c r="H739" s="2">
        <v>5.87</v>
      </c>
      <c r="I739" s="2">
        <v>5.9</v>
      </c>
      <c r="J739" s="47">
        <f t="shared" si="55"/>
        <v>4.4859813084112146</v>
      </c>
      <c r="K739" s="47">
        <f t="shared" si="56"/>
        <v>5.1107325383305362E-3</v>
      </c>
      <c r="L739" s="8">
        <v>33.92</v>
      </c>
      <c r="M739" s="8">
        <v>14.62</v>
      </c>
      <c r="N739" s="8">
        <v>14.55</v>
      </c>
      <c r="O739" s="17">
        <f t="shared" si="57"/>
        <v>3.2590416666666663E-2</v>
      </c>
      <c r="P739" s="17">
        <f t="shared" si="58"/>
        <v>28.469499999999769</v>
      </c>
      <c r="Q739" s="5">
        <v>4.87</v>
      </c>
      <c r="R739" s="9">
        <v>7.24</v>
      </c>
      <c r="S739" s="9">
        <v>14.52</v>
      </c>
      <c r="T739" s="9">
        <v>15778.280269999999</v>
      </c>
      <c r="U739" s="9">
        <v>11032.05</v>
      </c>
      <c r="V739" s="45">
        <f t="shared" si="59"/>
        <v>0.43022196871841589</v>
      </c>
      <c r="W739" s="12">
        <v>12.5</v>
      </c>
      <c r="X739" s="12">
        <v>1.92</v>
      </c>
      <c r="Y739" s="12">
        <v>20210805</v>
      </c>
    </row>
    <row r="740" spans="1:25" x14ac:dyDescent="0.45">
      <c r="A740" s="3" t="s">
        <v>1589</v>
      </c>
      <c r="B740" s="3" t="s">
        <v>1590</v>
      </c>
      <c r="C740" s="6" t="s">
        <v>520</v>
      </c>
      <c r="D740" s="6" t="s">
        <v>327</v>
      </c>
      <c r="E740" s="6" t="s">
        <v>321</v>
      </c>
      <c r="F740" s="6">
        <v>26762.45</v>
      </c>
      <c r="G740" s="2">
        <v>0.73</v>
      </c>
      <c r="H740" s="2">
        <v>0.84</v>
      </c>
      <c r="I740" s="2">
        <v>1.1399999999999999</v>
      </c>
      <c r="J740" s="47">
        <f t="shared" si="55"/>
        <v>0.15068493150684931</v>
      </c>
      <c r="K740" s="47">
        <f t="shared" si="56"/>
        <v>0.3571428571428571</v>
      </c>
      <c r="L740" s="8">
        <v>16.04</v>
      </c>
      <c r="M740" s="8">
        <v>14.7</v>
      </c>
      <c r="N740" s="8">
        <v>10.83</v>
      </c>
      <c r="O740" s="17">
        <f t="shared" si="57"/>
        <v>0.97554545454545449</v>
      </c>
      <c r="P740" s="17">
        <f t="shared" si="58"/>
        <v>0.30324000000000007</v>
      </c>
      <c r="Q740" s="5">
        <v>2.4300000000000002</v>
      </c>
      <c r="R740" s="9">
        <v>18</v>
      </c>
      <c r="S740" s="9">
        <v>-2.99</v>
      </c>
      <c r="T740" s="9">
        <v>71655.078120000006</v>
      </c>
      <c r="U740" s="9">
        <v>69610.42</v>
      </c>
      <c r="V740" s="45">
        <f t="shared" si="59"/>
        <v>2.937287434840944E-2</v>
      </c>
      <c r="W740" s="12">
        <v>11.11</v>
      </c>
      <c r="X740" s="12">
        <v>3.42</v>
      </c>
      <c r="Y740" s="12">
        <v>20210811</v>
      </c>
    </row>
    <row r="741" spans="1:25" x14ac:dyDescent="0.45">
      <c r="A741" s="3" t="s">
        <v>1591</v>
      </c>
      <c r="B741" s="3" t="s">
        <v>1592</v>
      </c>
      <c r="C741" s="6" t="s">
        <v>518</v>
      </c>
      <c r="D741" s="6" t="s">
        <v>189</v>
      </c>
      <c r="E741" s="6" t="s">
        <v>204</v>
      </c>
      <c r="F741" s="6">
        <v>27806.42</v>
      </c>
      <c r="G741" s="2">
        <v>6.25</v>
      </c>
      <c r="H741" s="2">
        <v>7.65</v>
      </c>
      <c r="I741" s="2">
        <v>9.48</v>
      </c>
      <c r="J741" s="47">
        <f t="shared" si="55"/>
        <v>0.22400000000000006</v>
      </c>
      <c r="K741" s="47">
        <f t="shared" si="56"/>
        <v>0.23921568627450981</v>
      </c>
      <c r="L741" s="8">
        <v>73.25</v>
      </c>
      <c r="M741" s="8">
        <v>64.41</v>
      </c>
      <c r="N741" s="8">
        <v>52.01</v>
      </c>
      <c r="O741" s="17">
        <f t="shared" si="57"/>
        <v>2.8754464285714278</v>
      </c>
      <c r="P741" s="17">
        <f t="shared" si="58"/>
        <v>2.1741885245901638</v>
      </c>
      <c r="Q741" s="5">
        <v>2.81</v>
      </c>
      <c r="R741" s="9">
        <v>18.170000000000002</v>
      </c>
      <c r="S741" s="9">
        <v>23.89</v>
      </c>
      <c r="T741" s="9">
        <v>3453.4040500000001</v>
      </c>
      <c r="U741" s="9">
        <v>2659.48</v>
      </c>
      <c r="V741" s="45">
        <f t="shared" si="59"/>
        <v>0.29852604644516978</v>
      </c>
      <c r="W741" s="12">
        <v>7.74</v>
      </c>
      <c r="X741" s="12">
        <v>0</v>
      </c>
      <c r="Y741" s="12">
        <v>20210805</v>
      </c>
    </row>
    <row r="742" spans="1:25" x14ac:dyDescent="0.45">
      <c r="A742" s="3" t="s">
        <v>1593</v>
      </c>
      <c r="B742" s="3" t="s">
        <v>1594</v>
      </c>
      <c r="C742" s="6" t="s">
        <v>518</v>
      </c>
      <c r="D742" s="6" t="s">
        <v>289</v>
      </c>
      <c r="E742" s="6" t="s">
        <v>1595</v>
      </c>
      <c r="F742" s="6">
        <v>54192.43</v>
      </c>
      <c r="G742" s="2">
        <v>2.09</v>
      </c>
      <c r="H742" s="2">
        <v>2.13</v>
      </c>
      <c r="I742" s="2">
        <v>2.19</v>
      </c>
      <c r="J742" s="47">
        <f t="shared" si="55"/>
        <v>1.9138755980861261E-2</v>
      </c>
      <c r="K742" s="47">
        <f t="shared" si="56"/>
        <v>2.8169014084507067E-2</v>
      </c>
      <c r="L742" s="8">
        <v>11.81</v>
      </c>
      <c r="M742" s="8">
        <v>11.66</v>
      </c>
      <c r="N742" s="8">
        <v>11.3</v>
      </c>
      <c r="O742" s="17">
        <f t="shared" si="57"/>
        <v>6.0923499999999953</v>
      </c>
      <c r="P742" s="17">
        <f t="shared" si="58"/>
        <v>4.0114999999999972</v>
      </c>
      <c r="R742" s="9">
        <v>17.87</v>
      </c>
      <c r="S742" s="9">
        <v>5.52</v>
      </c>
      <c r="T742" s="9">
        <v>33623.410150000003</v>
      </c>
      <c r="U742" s="9">
        <v>27199.7</v>
      </c>
      <c r="V742" s="45">
        <f t="shared" si="59"/>
        <v>0.23616841913697587</v>
      </c>
      <c r="W742" s="12">
        <v>28</v>
      </c>
      <c r="X742" s="12">
        <v>7.26</v>
      </c>
      <c r="Y742" s="12">
        <v>20210804</v>
      </c>
    </row>
    <row r="743" spans="1:25" x14ac:dyDescent="0.45">
      <c r="A743" s="3" t="s">
        <v>3798</v>
      </c>
      <c r="B743" s="3" t="s">
        <v>3799</v>
      </c>
      <c r="C743" s="6" t="s">
        <v>518</v>
      </c>
      <c r="D743" s="6" t="s">
        <v>234</v>
      </c>
      <c r="E743" s="6" t="s">
        <v>288</v>
      </c>
      <c r="F743" s="6">
        <v>4006.84</v>
      </c>
      <c r="G743" s="2">
        <v>2.0699999999999998</v>
      </c>
      <c r="H743" s="2">
        <v>2.4900000000000002</v>
      </c>
      <c r="I743" s="2">
        <v>3.82</v>
      </c>
      <c r="J743" s="47">
        <f t="shared" si="55"/>
        <v>0.20289855072463789</v>
      </c>
      <c r="K743" s="47">
        <f t="shared" si="56"/>
        <v>0.53413654618473871</v>
      </c>
      <c r="L743" s="8">
        <v>43.57</v>
      </c>
      <c r="M743" s="8">
        <v>21.5</v>
      </c>
      <c r="N743" s="8">
        <v>14.02</v>
      </c>
      <c r="O743" s="17">
        <f t="shared" si="57"/>
        <v>1.0596428571428562</v>
      </c>
      <c r="P743" s="17">
        <f t="shared" si="58"/>
        <v>0.26247969924812042</v>
      </c>
      <c r="Q743" s="5">
        <v>0.89</v>
      </c>
      <c r="R743" s="9">
        <v>-6.21</v>
      </c>
      <c r="S743" s="9">
        <v>0.85</v>
      </c>
      <c r="T743" s="9">
        <v>438.42998999999998</v>
      </c>
      <c r="U743" s="9">
        <v>414.66</v>
      </c>
      <c r="V743" s="45">
        <f t="shared" si="59"/>
        <v>5.7324048618144864E-2</v>
      </c>
      <c r="W743" s="12">
        <v>18.18</v>
      </c>
      <c r="X743" s="12">
        <v>0</v>
      </c>
      <c r="Y743" s="12">
        <v>20210804</v>
      </c>
    </row>
    <row r="744" spans="1:25" x14ac:dyDescent="0.45">
      <c r="A744" s="3" t="s">
        <v>4125</v>
      </c>
      <c r="B744" s="3" t="s">
        <v>4126</v>
      </c>
      <c r="C744" s="6" t="s">
        <v>518</v>
      </c>
      <c r="D744" s="6" t="s">
        <v>234</v>
      </c>
      <c r="E744" s="6" t="s">
        <v>284</v>
      </c>
      <c r="F744" s="6">
        <v>3333.38</v>
      </c>
      <c r="G744" s="2">
        <v>1.1200000000000001</v>
      </c>
      <c r="H744" s="2">
        <v>1.26</v>
      </c>
      <c r="I744" s="2">
        <v>1.39</v>
      </c>
      <c r="J744" s="47">
        <f t="shared" si="55"/>
        <v>0.1249999999999999</v>
      </c>
      <c r="K744" s="47">
        <f t="shared" si="56"/>
        <v>0.10317460317460309</v>
      </c>
      <c r="L744" s="8">
        <v>25.33</v>
      </c>
      <c r="M744" s="8">
        <v>22.55</v>
      </c>
      <c r="N744" s="8">
        <v>20.38</v>
      </c>
      <c r="O744" s="17">
        <f t="shared" si="57"/>
        <v>1.8040000000000014</v>
      </c>
      <c r="P744" s="17">
        <f t="shared" si="58"/>
        <v>1.9752923076923092</v>
      </c>
      <c r="R744" s="9">
        <v>2.83</v>
      </c>
      <c r="T744" s="9">
        <v>207.08</v>
      </c>
      <c r="U744" s="9">
        <v>164.01</v>
      </c>
      <c r="V744" s="45">
        <f t="shared" si="59"/>
        <v>0.26260593866227683</v>
      </c>
      <c r="W744" s="12">
        <v>3.45</v>
      </c>
      <c r="X744" s="12">
        <v>3.38</v>
      </c>
      <c r="Y744" s="12">
        <v>20210804</v>
      </c>
    </row>
    <row r="745" spans="1:25" x14ac:dyDescent="0.45">
      <c r="A745" s="3" t="s">
        <v>1596</v>
      </c>
      <c r="B745" s="3" t="s">
        <v>1597</v>
      </c>
      <c r="C745" s="6" t="s">
        <v>518</v>
      </c>
      <c r="D745" s="6" t="s">
        <v>234</v>
      </c>
      <c r="E745" s="6" t="s">
        <v>286</v>
      </c>
      <c r="F745" s="6">
        <v>3416.25</v>
      </c>
      <c r="G745" s="2">
        <v>0.16</v>
      </c>
      <c r="H745" s="2">
        <v>0.03</v>
      </c>
      <c r="I745" s="2">
        <v>7.0000000000000007E-2</v>
      </c>
      <c r="J745" s="47">
        <f t="shared" si="55"/>
        <v>-0.8125</v>
      </c>
      <c r="K745" s="47">
        <f t="shared" si="56"/>
        <v>1.3333333333333337</v>
      </c>
      <c r="L745" s="8">
        <v>560.4</v>
      </c>
      <c r="M745" s="8">
        <v>934</v>
      </c>
      <c r="N745" s="8">
        <v>400.29</v>
      </c>
      <c r="O745" s="17">
        <f t="shared" si="57"/>
        <v>-11.495384615384616</v>
      </c>
      <c r="P745" s="17">
        <f t="shared" si="58"/>
        <v>3.0021749999999994</v>
      </c>
      <c r="R745" s="9">
        <v>0.51</v>
      </c>
      <c r="S745" s="9">
        <v>-38.619999999999997</v>
      </c>
      <c r="U745" s="9">
        <v>66.28</v>
      </c>
      <c r="V745" s="45">
        <f t="shared" si="59"/>
        <v>-1</v>
      </c>
      <c r="W745" s="12">
        <v>-200</v>
      </c>
      <c r="X745" s="12">
        <v>0</v>
      </c>
      <c r="Y745" s="12">
        <v>20210804</v>
      </c>
    </row>
    <row r="746" spans="1:25" x14ac:dyDescent="0.45">
      <c r="A746" s="3" t="s">
        <v>1598</v>
      </c>
      <c r="B746" s="3" t="s">
        <v>1599</v>
      </c>
      <c r="C746" s="6" t="s">
        <v>518</v>
      </c>
      <c r="D746" s="6" t="s">
        <v>234</v>
      </c>
      <c r="E746" s="6" t="s">
        <v>221</v>
      </c>
      <c r="F746" s="6">
        <v>13285.02</v>
      </c>
      <c r="G746" s="2">
        <v>4.51</v>
      </c>
      <c r="H746" s="2">
        <v>5.44</v>
      </c>
      <c r="I746" s="2">
        <v>6.15</v>
      </c>
      <c r="J746" s="47">
        <f t="shared" si="55"/>
        <v>0.20620842572062098</v>
      </c>
      <c r="K746" s="47">
        <f t="shared" si="56"/>
        <v>0.13051470588235292</v>
      </c>
      <c r="L746" s="8">
        <v>6.18</v>
      </c>
      <c r="M746" s="8">
        <v>5.7</v>
      </c>
      <c r="N746" s="8">
        <v>5.04</v>
      </c>
      <c r="O746" s="17">
        <f t="shared" si="57"/>
        <v>0.2764193548387095</v>
      </c>
      <c r="P746" s="17">
        <f t="shared" si="58"/>
        <v>0.38616338028169023</v>
      </c>
      <c r="T746" s="9">
        <v>13888.134760000001</v>
      </c>
      <c r="U746" s="9">
        <v>12415</v>
      </c>
      <c r="V746" s="45">
        <f t="shared" si="59"/>
        <v>0.11865765283930736</v>
      </c>
      <c r="W746" s="12">
        <v>-8.1300000000000008</v>
      </c>
      <c r="X746" s="12">
        <v>2.3199999999999998</v>
      </c>
      <c r="Y746" s="12">
        <v>20210803</v>
      </c>
    </row>
    <row r="747" spans="1:25" x14ac:dyDescent="0.45">
      <c r="A747" s="3" t="s">
        <v>1600</v>
      </c>
      <c r="B747" s="3" t="s">
        <v>1601</v>
      </c>
      <c r="C747" s="6" t="s">
        <v>519</v>
      </c>
      <c r="D747" s="6" t="s">
        <v>234</v>
      </c>
      <c r="E747" s="6" t="s">
        <v>288</v>
      </c>
      <c r="F747" s="6">
        <v>72560.62</v>
      </c>
      <c r="G747" s="2">
        <v>24.6</v>
      </c>
      <c r="H747" s="2">
        <v>27.22</v>
      </c>
      <c r="I747" s="2">
        <v>29.88</v>
      </c>
      <c r="J747" s="47">
        <f t="shared" si="55"/>
        <v>0.1065040650406503</v>
      </c>
      <c r="K747" s="47">
        <f t="shared" si="56"/>
        <v>9.7722263041880975E-2</v>
      </c>
      <c r="L747" s="8">
        <v>31.68</v>
      </c>
      <c r="M747" s="8">
        <v>29.76</v>
      </c>
      <c r="N747" s="8">
        <v>27.11</v>
      </c>
      <c r="O747" s="17">
        <f t="shared" si="57"/>
        <v>2.7942595419847356</v>
      </c>
      <c r="P747" s="17">
        <f t="shared" si="58"/>
        <v>2.7741887218045114</v>
      </c>
      <c r="Q747" s="5">
        <v>1.81</v>
      </c>
      <c r="R747" s="9">
        <v>5.85</v>
      </c>
      <c r="S747" s="9">
        <v>14.32</v>
      </c>
      <c r="T747" s="9">
        <v>6607.05908</v>
      </c>
      <c r="U747" s="9">
        <v>5998.54</v>
      </c>
      <c r="V747" s="45">
        <f t="shared" si="59"/>
        <v>0.10144453150266565</v>
      </c>
      <c r="W747" s="12">
        <v>5.28</v>
      </c>
      <c r="X747" s="12">
        <v>1.42</v>
      </c>
      <c r="Y747" s="12">
        <v>20210804</v>
      </c>
    </row>
    <row r="748" spans="1:25" x14ac:dyDescent="0.45">
      <c r="A748" s="3" t="s">
        <v>1602</v>
      </c>
      <c r="B748" s="3" t="s">
        <v>1603</v>
      </c>
      <c r="C748" s="6" t="s">
        <v>518</v>
      </c>
      <c r="D748" s="6" t="s">
        <v>234</v>
      </c>
      <c r="E748" s="6" t="s">
        <v>287</v>
      </c>
      <c r="F748" s="6">
        <v>29677.33</v>
      </c>
      <c r="G748" s="2">
        <v>3.23</v>
      </c>
      <c r="H748" s="2">
        <v>2.76</v>
      </c>
      <c r="I748" s="2">
        <v>2.96</v>
      </c>
      <c r="J748" s="47">
        <f t="shared" si="55"/>
        <v>-0.14551083591331276</v>
      </c>
      <c r="K748" s="47">
        <f t="shared" si="56"/>
        <v>7.2463768115942101E-2</v>
      </c>
      <c r="L748" s="8">
        <v>25.85</v>
      </c>
      <c r="M748" s="8">
        <v>28.74</v>
      </c>
      <c r="N748" s="8">
        <v>26.82</v>
      </c>
      <c r="O748" s="17">
        <f t="shared" si="57"/>
        <v>-1.9751106382978714</v>
      </c>
      <c r="P748" s="17">
        <f t="shared" si="58"/>
        <v>3.7011599999999962</v>
      </c>
      <c r="Q748" s="5">
        <v>8.98</v>
      </c>
      <c r="R748" s="9">
        <v>6.2</v>
      </c>
      <c r="S748" s="9">
        <v>1.58</v>
      </c>
      <c r="T748" s="9">
        <v>2355.4540999999999</v>
      </c>
      <c r="U748" s="9">
        <v>2571.71</v>
      </c>
      <c r="V748" s="45">
        <f t="shared" si="59"/>
        <v>-8.409031344902812E-2</v>
      </c>
      <c r="W748" s="12">
        <v>0</v>
      </c>
      <c r="X748" s="12">
        <v>3.04</v>
      </c>
      <c r="Y748" s="12">
        <v>20210727</v>
      </c>
    </row>
    <row r="749" spans="1:25" x14ac:dyDescent="0.45">
      <c r="A749" s="3" t="s">
        <v>1604</v>
      </c>
      <c r="B749" s="3" t="s">
        <v>1605</v>
      </c>
      <c r="C749" s="6" t="s">
        <v>518</v>
      </c>
      <c r="D749" s="6" t="s">
        <v>289</v>
      </c>
      <c r="E749" s="6" t="s">
        <v>271</v>
      </c>
      <c r="F749" s="6">
        <v>6251.8</v>
      </c>
      <c r="G749" s="2">
        <v>-0.42</v>
      </c>
      <c r="H749" s="2">
        <v>0.64</v>
      </c>
      <c r="I749" s="2">
        <v>0.75</v>
      </c>
      <c r="J749" s="47">
        <f t="shared" si="55"/>
        <v>2.5238095238095242</v>
      </c>
      <c r="K749" s="47">
        <f t="shared" si="56"/>
        <v>0.17187499999999997</v>
      </c>
      <c r="M749" s="8">
        <v>35.130000000000003</v>
      </c>
      <c r="N749" s="8">
        <v>29.78</v>
      </c>
      <c r="O749" s="17">
        <f t="shared" si="57"/>
        <v>0.13919433962264149</v>
      </c>
      <c r="P749" s="17">
        <f t="shared" si="58"/>
        <v>1.7326545454545459</v>
      </c>
      <c r="Q749" s="5">
        <v>1.1599999999999999</v>
      </c>
      <c r="R749" s="9">
        <v>-0.06</v>
      </c>
      <c r="S749" s="9">
        <v>15.48</v>
      </c>
      <c r="T749" s="9">
        <v>4313.3051699999996</v>
      </c>
      <c r="U749" s="9">
        <v>3058.84</v>
      </c>
      <c r="V749" s="45">
        <f t="shared" si="59"/>
        <v>0.41011140497704995</v>
      </c>
      <c r="W749" s="12">
        <v>11.11</v>
      </c>
      <c r="X749" s="12">
        <v>0</v>
      </c>
      <c r="Y749" s="12">
        <v>20210726</v>
      </c>
    </row>
    <row r="750" spans="1:25" x14ac:dyDescent="0.45">
      <c r="A750" s="3" t="s">
        <v>1606</v>
      </c>
      <c r="B750" s="3" t="s">
        <v>1607</v>
      </c>
      <c r="C750" s="6" t="s">
        <v>520</v>
      </c>
      <c r="D750" s="6" t="s">
        <v>279</v>
      </c>
      <c r="E750" s="6" t="s">
        <v>266</v>
      </c>
      <c r="F750" s="6">
        <v>18668.64</v>
      </c>
      <c r="G750" s="2">
        <v>3.55</v>
      </c>
      <c r="H750" s="2">
        <v>5.28</v>
      </c>
      <c r="I750" s="2">
        <v>3.68</v>
      </c>
      <c r="J750" s="47">
        <f t="shared" si="55"/>
        <v>0.48732394366197196</v>
      </c>
      <c r="K750" s="47">
        <f t="shared" si="56"/>
        <v>-0.30303030303030304</v>
      </c>
      <c r="M750" s="8">
        <v>19.86</v>
      </c>
      <c r="N750" s="8">
        <v>28.5</v>
      </c>
      <c r="O750" s="17">
        <f t="shared" si="57"/>
        <v>0.40753179190751432</v>
      </c>
      <c r="P750" s="17">
        <f t="shared" si="58"/>
        <v>-0.9405</v>
      </c>
      <c r="T750" s="9">
        <v>7587.6000899999999</v>
      </c>
      <c r="U750" s="9">
        <v>6212.21</v>
      </c>
      <c r="V750" s="45">
        <f t="shared" si="59"/>
        <v>0.22140109397460805</v>
      </c>
      <c r="X750" s="12">
        <v>0</v>
      </c>
      <c r="Y750" s="12">
        <v>20210616</v>
      </c>
    </row>
    <row r="751" spans="1:25" x14ac:dyDescent="0.45">
      <c r="A751" s="3" t="s">
        <v>1608</v>
      </c>
      <c r="B751" s="3" t="s">
        <v>1609</v>
      </c>
      <c r="C751" s="6" t="s">
        <v>519</v>
      </c>
      <c r="D751" s="6" t="s">
        <v>189</v>
      </c>
      <c r="E751" s="6" t="s">
        <v>1610</v>
      </c>
      <c r="F751" s="6">
        <v>43475.360000000001</v>
      </c>
      <c r="G751" s="2">
        <v>0.57999999999999996</v>
      </c>
      <c r="H751" s="2">
        <v>0.77</v>
      </c>
      <c r="I751" s="2">
        <v>0.87</v>
      </c>
      <c r="J751" s="47">
        <f t="shared" si="55"/>
        <v>0.32758620689655182</v>
      </c>
      <c r="K751" s="47">
        <f t="shared" si="56"/>
        <v>0.12987012987012983</v>
      </c>
      <c r="L751" s="8">
        <v>18.899999999999999</v>
      </c>
      <c r="M751" s="8">
        <v>16.829999999999998</v>
      </c>
      <c r="N751" s="8">
        <v>14.95</v>
      </c>
      <c r="O751" s="17">
        <f t="shared" si="57"/>
        <v>0.51375789473684186</v>
      </c>
      <c r="P751" s="17">
        <f t="shared" si="58"/>
        <v>1.1511500000000003</v>
      </c>
      <c r="Q751" s="5">
        <v>1.88</v>
      </c>
      <c r="R751" s="9">
        <v>24.63</v>
      </c>
      <c r="S751" s="9">
        <v>-1.23</v>
      </c>
      <c r="T751" s="9">
        <v>28529</v>
      </c>
      <c r="U751" s="9">
        <v>25331.439999999999</v>
      </c>
      <c r="V751" s="45">
        <f t="shared" si="59"/>
        <v>0.12622890763414957</v>
      </c>
      <c r="W751" s="12">
        <v>-7.69</v>
      </c>
      <c r="X751" s="12">
        <v>1.18</v>
      </c>
      <c r="Y751" s="12">
        <v>20210716</v>
      </c>
    </row>
    <row r="752" spans="1:25" x14ac:dyDescent="0.45">
      <c r="A752" s="3" t="s">
        <v>1611</v>
      </c>
      <c r="B752" s="3" t="s">
        <v>1612</v>
      </c>
      <c r="C752" s="6" t="s">
        <v>519</v>
      </c>
      <c r="D752" s="6" t="s">
        <v>234</v>
      </c>
      <c r="E752" s="6" t="s">
        <v>240</v>
      </c>
      <c r="F752" s="6">
        <v>8790.73</v>
      </c>
      <c r="G752" s="2">
        <v>5.5</v>
      </c>
      <c r="H752" s="2">
        <v>5.82</v>
      </c>
      <c r="I752" s="2">
        <v>6.33</v>
      </c>
      <c r="J752" s="47">
        <f t="shared" si="55"/>
        <v>5.818181818181823E-2</v>
      </c>
      <c r="K752" s="47">
        <f t="shared" si="56"/>
        <v>8.7628865979381396E-2</v>
      </c>
      <c r="L752" s="8">
        <v>32.31</v>
      </c>
      <c r="M752" s="8">
        <v>32.700000000000003</v>
      </c>
      <c r="N752" s="8">
        <v>30.07</v>
      </c>
      <c r="O752" s="17">
        <f t="shared" si="57"/>
        <v>5.6203124999999963</v>
      </c>
      <c r="P752" s="17">
        <f t="shared" si="58"/>
        <v>3.4315176470588251</v>
      </c>
      <c r="R752" s="9">
        <v>25.43</v>
      </c>
      <c r="S752" s="9">
        <v>10.66</v>
      </c>
      <c r="T752" s="9">
        <v>2610.8998999999999</v>
      </c>
      <c r="U752" s="9">
        <v>2536.4899999999998</v>
      </c>
      <c r="V752" s="45">
        <f t="shared" si="59"/>
        <v>2.9335775027695798E-2</v>
      </c>
      <c r="W752" s="12">
        <v>0</v>
      </c>
      <c r="X752" s="12">
        <v>2.1800000000000002</v>
      </c>
      <c r="Y752" s="12">
        <v>20210729</v>
      </c>
    </row>
    <row r="753" spans="1:25" x14ac:dyDescent="0.45">
      <c r="A753" s="3" t="s">
        <v>1613</v>
      </c>
      <c r="B753" s="3" t="s">
        <v>1614</v>
      </c>
      <c r="C753" s="6" t="s">
        <v>518</v>
      </c>
      <c r="D753" s="6" t="s">
        <v>327</v>
      </c>
      <c r="E753" s="6" t="s">
        <v>321</v>
      </c>
      <c r="F753" s="6">
        <v>28356.57</v>
      </c>
      <c r="G753" s="2">
        <v>3.64</v>
      </c>
      <c r="H753" s="2">
        <v>3.86</v>
      </c>
      <c r="I753" s="2">
        <v>4.0999999999999996</v>
      </c>
      <c r="J753" s="47">
        <f t="shared" si="55"/>
        <v>6.0439560439560371E-2</v>
      </c>
      <c r="K753" s="47">
        <f t="shared" si="56"/>
        <v>6.2176165803108752E-2</v>
      </c>
      <c r="L753" s="8">
        <v>21.9</v>
      </c>
      <c r="M753" s="8">
        <v>21.4</v>
      </c>
      <c r="N753" s="8">
        <v>20.149999999999999</v>
      </c>
      <c r="O753" s="17">
        <f t="shared" si="57"/>
        <v>3.5407272727272767</v>
      </c>
      <c r="P753" s="17">
        <f t="shared" si="58"/>
        <v>3.2407916666666692</v>
      </c>
      <c r="Q753" s="5">
        <v>3.28</v>
      </c>
      <c r="R753" s="9">
        <v>9.24</v>
      </c>
      <c r="S753" s="9">
        <v>4.26</v>
      </c>
      <c r="T753" s="9">
        <v>9829.8046799999993</v>
      </c>
      <c r="U753" s="9">
        <v>8904.43</v>
      </c>
      <c r="V753" s="45">
        <f t="shared" si="59"/>
        <v>0.1039229552031965</v>
      </c>
      <c r="W753" s="12">
        <v>4.55</v>
      </c>
      <c r="X753" s="12">
        <v>2.92</v>
      </c>
      <c r="Y753" s="12">
        <v>20210729</v>
      </c>
    </row>
    <row r="754" spans="1:25" x14ac:dyDescent="0.45">
      <c r="A754" s="3" t="s">
        <v>1615</v>
      </c>
      <c r="B754" s="3" t="s">
        <v>1616</v>
      </c>
      <c r="C754" s="6" t="s">
        <v>520</v>
      </c>
      <c r="D754" s="6" t="s">
        <v>279</v>
      </c>
      <c r="E754" s="6" t="s">
        <v>258</v>
      </c>
      <c r="F754" s="6">
        <v>31952.13</v>
      </c>
      <c r="G754" s="2">
        <v>1.29</v>
      </c>
      <c r="H754" s="2">
        <v>1.42</v>
      </c>
      <c r="I754" s="2">
        <v>1.06</v>
      </c>
      <c r="J754" s="47">
        <f t="shared" si="55"/>
        <v>0.10077519379844953</v>
      </c>
      <c r="K754" s="47">
        <f t="shared" si="56"/>
        <v>-0.25352112676056332</v>
      </c>
      <c r="L754" s="8">
        <v>77.510000000000005</v>
      </c>
      <c r="M754" s="8">
        <v>75.87</v>
      </c>
      <c r="N754" s="8">
        <v>101.64</v>
      </c>
      <c r="O754" s="17">
        <f t="shared" si="57"/>
        <v>7.5286384615384687</v>
      </c>
      <c r="P754" s="17">
        <f t="shared" si="58"/>
        <v>-4.0091333333333345</v>
      </c>
      <c r="Q754" s="5">
        <v>6.84</v>
      </c>
      <c r="R754" s="9">
        <v>5.99</v>
      </c>
      <c r="S754" s="9">
        <v>7.61</v>
      </c>
      <c r="T754" s="9">
        <v>7011.5249000000003</v>
      </c>
      <c r="U754" s="9">
        <v>6093.76</v>
      </c>
      <c r="V754" s="45">
        <f t="shared" si="59"/>
        <v>0.15060732618284936</v>
      </c>
      <c r="X754" s="12">
        <v>0.56999999999999995</v>
      </c>
      <c r="Y754" s="12">
        <v>20210802</v>
      </c>
    </row>
    <row r="755" spans="1:25" x14ac:dyDescent="0.45">
      <c r="A755" s="3" t="s">
        <v>4609</v>
      </c>
      <c r="B755" s="3" t="s">
        <v>4610</v>
      </c>
      <c r="C755" s="6" t="s">
        <v>519</v>
      </c>
      <c r="D755" s="6" t="s">
        <v>234</v>
      </c>
      <c r="E755" s="6" t="s">
        <v>243</v>
      </c>
      <c r="F755" s="6">
        <v>5486.85</v>
      </c>
      <c r="J755" s="47" t="e">
        <f t="shared" si="55"/>
        <v>#DIV/0!</v>
      </c>
      <c r="K755" s="47" t="e">
        <f t="shared" si="56"/>
        <v>#DIV/0!</v>
      </c>
      <c r="L755" s="8">
        <v>5.3</v>
      </c>
      <c r="O755" s="17" t="e">
        <f t="shared" si="57"/>
        <v>#DIV/0!</v>
      </c>
      <c r="P755" s="17" t="e">
        <f t="shared" si="58"/>
        <v>#DIV/0!</v>
      </c>
      <c r="R755" s="9">
        <v>40.31</v>
      </c>
      <c r="S755" s="9">
        <v>23.37</v>
      </c>
      <c r="U755" s="9">
        <v>2660.51</v>
      </c>
      <c r="V755" s="45">
        <f t="shared" si="59"/>
        <v>-1</v>
      </c>
      <c r="X755" s="12">
        <v>0</v>
      </c>
      <c r="Y755" s="12">
        <v>20210809</v>
      </c>
    </row>
    <row r="756" spans="1:25" x14ac:dyDescent="0.45">
      <c r="A756" s="3" t="s">
        <v>3800</v>
      </c>
      <c r="B756" s="3" t="s">
        <v>1617</v>
      </c>
      <c r="C756" s="6" t="s">
        <v>518</v>
      </c>
      <c r="D756" s="6" t="s">
        <v>90</v>
      </c>
      <c r="E756" s="6" t="s">
        <v>198</v>
      </c>
      <c r="F756" s="6">
        <v>5889.46</v>
      </c>
      <c r="G756" s="2">
        <v>0.96</v>
      </c>
      <c r="H756" s="2">
        <v>1.36</v>
      </c>
      <c r="I756" s="2">
        <v>1.48</v>
      </c>
      <c r="J756" s="47">
        <f t="shared" si="55"/>
        <v>0.4166666666666668</v>
      </c>
      <c r="K756" s="47">
        <f t="shared" si="56"/>
        <v>8.8235294117646967E-2</v>
      </c>
      <c r="L756" s="8">
        <v>22.04</v>
      </c>
      <c r="M756" s="8">
        <v>17.5</v>
      </c>
      <c r="N756" s="8">
        <v>16.14</v>
      </c>
      <c r="O756" s="17">
        <f t="shared" si="57"/>
        <v>0.41999999999999987</v>
      </c>
      <c r="P756" s="17">
        <f t="shared" si="58"/>
        <v>1.8292000000000022</v>
      </c>
      <c r="Q756" s="5">
        <v>0.9</v>
      </c>
      <c r="R756" s="9">
        <v>11.96</v>
      </c>
      <c r="S756" s="9">
        <v>-17.21</v>
      </c>
      <c r="T756" s="9">
        <v>2158.3600999999999</v>
      </c>
      <c r="U756" s="9">
        <v>1853.7</v>
      </c>
      <c r="V756" s="45">
        <f t="shared" si="59"/>
        <v>0.16435243027458588</v>
      </c>
      <c r="W756" s="12">
        <v>15.63</v>
      </c>
      <c r="X756" s="12">
        <v>1.01</v>
      </c>
      <c r="Y756" s="12">
        <v>20210803</v>
      </c>
    </row>
    <row r="757" spans="1:25" x14ac:dyDescent="0.45">
      <c r="A757" s="3" t="s">
        <v>3801</v>
      </c>
      <c r="B757" s="3" t="s">
        <v>1618</v>
      </c>
      <c r="C757" s="6" t="s">
        <v>520</v>
      </c>
      <c r="D757" s="6" t="s">
        <v>279</v>
      </c>
      <c r="E757" s="6" t="s">
        <v>264</v>
      </c>
      <c r="F757" s="6">
        <v>77953.7</v>
      </c>
      <c r="G757" s="2">
        <v>0.98</v>
      </c>
      <c r="H757" s="2">
        <v>2.59</v>
      </c>
      <c r="I757" s="2">
        <v>2.84</v>
      </c>
      <c r="J757" s="47">
        <f t="shared" si="55"/>
        <v>1.6428571428571428</v>
      </c>
      <c r="K757" s="47">
        <f t="shared" si="56"/>
        <v>9.6525096525096526E-2</v>
      </c>
      <c r="M757" s="8">
        <v>34.28</v>
      </c>
      <c r="N757" s="8">
        <v>31.26</v>
      </c>
      <c r="O757" s="17">
        <f t="shared" si="57"/>
        <v>0.2086608695652174</v>
      </c>
      <c r="P757" s="17">
        <f t="shared" si="58"/>
        <v>3.2385360000000003</v>
      </c>
      <c r="Q757" s="5">
        <v>21.83</v>
      </c>
      <c r="T757" s="9">
        <v>20268</v>
      </c>
      <c r="U757" s="9">
        <v>16480.849999999999</v>
      </c>
      <c r="V757" s="45">
        <f t="shared" si="59"/>
        <v>0.22979093918092827</v>
      </c>
      <c r="X757" s="12">
        <v>0.56999999999999995</v>
      </c>
      <c r="Y757" s="12">
        <v>20210611</v>
      </c>
    </row>
    <row r="758" spans="1:25" x14ac:dyDescent="0.45">
      <c r="A758" s="3" t="s">
        <v>1619</v>
      </c>
      <c r="B758" s="3" t="s">
        <v>1620</v>
      </c>
      <c r="C758" s="6" t="s">
        <v>519</v>
      </c>
      <c r="D758" s="6" t="s">
        <v>10</v>
      </c>
      <c r="E758" s="6" t="s">
        <v>29</v>
      </c>
      <c r="F758" s="6">
        <v>5781.43</v>
      </c>
      <c r="G758" s="2">
        <v>6.85</v>
      </c>
      <c r="H758" s="2">
        <v>6.6</v>
      </c>
      <c r="I758" s="2">
        <v>7.85</v>
      </c>
      <c r="J758" s="47">
        <f t="shared" si="55"/>
        <v>-3.6496350364963508E-2</v>
      </c>
      <c r="K758" s="47">
        <f t="shared" si="56"/>
        <v>0.18939393939393939</v>
      </c>
      <c r="L758" s="8">
        <v>17.93</v>
      </c>
      <c r="M758" s="8">
        <v>19.84</v>
      </c>
      <c r="N758" s="8">
        <v>16.68</v>
      </c>
      <c r="O758" s="17">
        <f t="shared" si="57"/>
        <v>-5.4361599999999992</v>
      </c>
      <c r="P758" s="17">
        <f t="shared" si="58"/>
        <v>0.88070400000000004</v>
      </c>
      <c r="R758" s="9">
        <v>14.28</v>
      </c>
      <c r="S758" s="9">
        <v>10.25</v>
      </c>
      <c r="T758" s="9">
        <v>4980</v>
      </c>
      <c r="U758" s="9">
        <v>4662.57</v>
      </c>
      <c r="V758" s="45">
        <f t="shared" si="59"/>
        <v>6.808047922068737E-2</v>
      </c>
      <c r="W758" s="12">
        <v>21.99</v>
      </c>
      <c r="X758" s="12">
        <v>1.08</v>
      </c>
      <c r="Y758" s="12">
        <v>20210812</v>
      </c>
    </row>
    <row r="759" spans="1:25" x14ac:dyDescent="0.45">
      <c r="A759" s="3" t="s">
        <v>1621</v>
      </c>
      <c r="B759" s="3" t="s">
        <v>1622</v>
      </c>
      <c r="C759" s="6" t="s">
        <v>518</v>
      </c>
      <c r="D759" s="6" t="s">
        <v>234</v>
      </c>
      <c r="E759" s="6" t="s">
        <v>1623</v>
      </c>
      <c r="F759" s="6">
        <v>5480.04</v>
      </c>
      <c r="G759" s="2">
        <v>4</v>
      </c>
      <c r="H759" s="2">
        <v>5.13</v>
      </c>
      <c r="I759" s="2">
        <v>6.08</v>
      </c>
      <c r="J759" s="47">
        <f t="shared" si="55"/>
        <v>0.28249999999999997</v>
      </c>
      <c r="K759" s="47">
        <f t="shared" si="56"/>
        <v>0.18518518518518523</v>
      </c>
      <c r="L759" s="8">
        <v>13.6</v>
      </c>
      <c r="M759" s="8">
        <v>9.4600000000000009</v>
      </c>
      <c r="N759" s="8">
        <v>7.98</v>
      </c>
      <c r="O759" s="17">
        <f t="shared" si="57"/>
        <v>0.33486725663716821</v>
      </c>
      <c r="P759" s="17">
        <f t="shared" si="58"/>
        <v>0.43091999999999991</v>
      </c>
      <c r="Q759" s="5">
        <v>0.95</v>
      </c>
      <c r="R759" s="9">
        <v>10.54</v>
      </c>
      <c r="S759" s="9">
        <v>21.3</v>
      </c>
      <c r="U759" s="9">
        <v>955.15</v>
      </c>
      <c r="V759" s="45">
        <f t="shared" si="59"/>
        <v>-1</v>
      </c>
      <c r="W759" s="12">
        <v>-6.92</v>
      </c>
      <c r="X759" s="12">
        <v>1.4</v>
      </c>
      <c r="Y759" s="12">
        <v>20210806</v>
      </c>
    </row>
    <row r="760" spans="1:25" x14ac:dyDescent="0.45">
      <c r="A760" s="3" t="s">
        <v>1624</v>
      </c>
      <c r="B760" s="3" t="s">
        <v>1625</v>
      </c>
      <c r="C760" s="6" t="s">
        <v>518</v>
      </c>
      <c r="D760" s="6" t="s">
        <v>234</v>
      </c>
      <c r="E760" s="6" t="s">
        <v>287</v>
      </c>
      <c r="F760" s="6">
        <v>20152.259999999998</v>
      </c>
      <c r="G760" s="2">
        <v>12.92</v>
      </c>
      <c r="H760" s="2">
        <v>12.2</v>
      </c>
      <c r="I760" s="2">
        <v>13.07</v>
      </c>
      <c r="J760" s="47">
        <f t="shared" si="55"/>
        <v>-5.572755417956661E-2</v>
      </c>
      <c r="K760" s="47">
        <f t="shared" si="56"/>
        <v>7.131147540983615E-2</v>
      </c>
      <c r="L760" s="8">
        <v>25</v>
      </c>
      <c r="M760" s="8">
        <v>25.41</v>
      </c>
      <c r="N760" s="8">
        <v>23.72</v>
      </c>
      <c r="O760" s="17">
        <f t="shared" si="57"/>
        <v>-4.5596833333333295</v>
      </c>
      <c r="P760" s="17">
        <f t="shared" si="58"/>
        <v>3.3262528735632144</v>
      </c>
      <c r="Q760" s="5">
        <v>7.22</v>
      </c>
      <c r="R760" s="9">
        <v>6.58</v>
      </c>
      <c r="S760" s="9">
        <v>3.76</v>
      </c>
      <c r="T760" s="9">
        <v>1419.6729700000001</v>
      </c>
      <c r="U760" s="9">
        <v>1495.75</v>
      </c>
      <c r="V760" s="45">
        <f t="shared" si="59"/>
        <v>-5.0862129366538472E-2</v>
      </c>
      <c r="W760" s="12">
        <v>0.99</v>
      </c>
      <c r="X760" s="12">
        <v>2.7</v>
      </c>
      <c r="Y760" s="12">
        <v>20210802</v>
      </c>
    </row>
    <row r="761" spans="1:25" x14ac:dyDescent="0.45">
      <c r="A761" s="3" t="s">
        <v>1626</v>
      </c>
      <c r="B761" s="3" t="s">
        <v>1627</v>
      </c>
      <c r="C761" s="6" t="s">
        <v>518</v>
      </c>
      <c r="D761" s="6" t="s">
        <v>175</v>
      </c>
      <c r="E761" s="6" t="s">
        <v>305</v>
      </c>
      <c r="F761" s="6">
        <v>11802.28</v>
      </c>
      <c r="G761" s="2">
        <v>-0.17</v>
      </c>
      <c r="H761" s="2">
        <v>-0.54</v>
      </c>
      <c r="I761" s="2">
        <v>-0.03</v>
      </c>
      <c r="J761" s="47">
        <f t="shared" si="55"/>
        <v>-2.1764705882352939</v>
      </c>
      <c r="K761" s="47">
        <f t="shared" si="56"/>
        <v>0.94444444444444442</v>
      </c>
      <c r="O761" s="17">
        <f t="shared" si="57"/>
        <v>0</v>
      </c>
      <c r="P761" s="17">
        <f t="shared" si="58"/>
        <v>0</v>
      </c>
      <c r="R761" s="9">
        <v>-23.24</v>
      </c>
      <c r="T761" s="9">
        <v>782.55798000000004</v>
      </c>
      <c r="U761" s="9">
        <v>608.49</v>
      </c>
      <c r="V761" s="45">
        <f t="shared" si="59"/>
        <v>0.28606547354927775</v>
      </c>
      <c r="W761" s="12">
        <v>50</v>
      </c>
      <c r="X761" s="12">
        <v>0</v>
      </c>
      <c r="Y761" s="12">
        <v>20210825</v>
      </c>
    </row>
    <row r="762" spans="1:25" x14ac:dyDescent="0.45">
      <c r="A762" s="3" t="s">
        <v>1628</v>
      </c>
      <c r="B762" s="3" t="s">
        <v>1629</v>
      </c>
      <c r="C762" s="6" t="s">
        <v>518</v>
      </c>
      <c r="D762" s="6" t="s">
        <v>289</v>
      </c>
      <c r="E762" s="6" t="s">
        <v>1595</v>
      </c>
      <c r="F762" s="6">
        <v>29387</v>
      </c>
      <c r="G762" s="2">
        <v>-0.2</v>
      </c>
      <c r="H762" s="2">
        <v>2.13</v>
      </c>
      <c r="I762" s="2">
        <v>1.1499999999999999</v>
      </c>
      <c r="J762" s="47">
        <f t="shared" si="55"/>
        <v>11.65</v>
      </c>
      <c r="K762" s="47">
        <f t="shared" si="56"/>
        <v>-0.46009389671361506</v>
      </c>
      <c r="L762" s="8">
        <v>6.18</v>
      </c>
      <c r="M762" s="8">
        <v>5.1100000000000003</v>
      </c>
      <c r="N762" s="8">
        <v>9.42</v>
      </c>
      <c r="O762" s="17">
        <f t="shared" si="57"/>
        <v>4.3862660944206013E-3</v>
      </c>
      <c r="P762" s="17">
        <f t="shared" si="58"/>
        <v>-0.2047408163265306</v>
      </c>
      <c r="R762" s="9">
        <v>14.78</v>
      </c>
      <c r="S762" s="9">
        <v>5.23</v>
      </c>
      <c r="T762" s="9">
        <v>61906.53125</v>
      </c>
      <c r="U762" s="9">
        <v>38954</v>
      </c>
      <c r="V762" s="45">
        <f t="shared" si="59"/>
        <v>0.58922142142013656</v>
      </c>
      <c r="W762" s="12">
        <v>338.46</v>
      </c>
      <c r="X762" s="12">
        <v>5.61</v>
      </c>
      <c r="Y762" s="12">
        <v>20210804</v>
      </c>
    </row>
    <row r="763" spans="1:25" x14ac:dyDescent="0.45">
      <c r="A763" s="3" t="s">
        <v>1630</v>
      </c>
      <c r="B763" s="3" t="s">
        <v>1631</v>
      </c>
      <c r="C763" s="6" t="s">
        <v>518</v>
      </c>
      <c r="D763" s="6" t="s">
        <v>272</v>
      </c>
      <c r="E763" s="6" t="s">
        <v>252</v>
      </c>
      <c r="F763" s="6">
        <v>58344.39</v>
      </c>
      <c r="G763" s="2">
        <v>4.18</v>
      </c>
      <c r="H763" s="2">
        <v>6.25</v>
      </c>
      <c r="I763" s="2">
        <v>6.88</v>
      </c>
      <c r="J763" s="47">
        <f t="shared" si="55"/>
        <v>0.49521531100478478</v>
      </c>
      <c r="K763" s="47">
        <f t="shared" si="56"/>
        <v>0.10079999999999999</v>
      </c>
      <c r="L763" s="8">
        <v>31.83</v>
      </c>
      <c r="M763" s="8">
        <v>23.43</v>
      </c>
      <c r="N763" s="8">
        <v>21.29</v>
      </c>
      <c r="O763" s="17">
        <f t="shared" si="57"/>
        <v>0.47312753623188397</v>
      </c>
      <c r="P763" s="17">
        <f t="shared" si="58"/>
        <v>2.1121031746031749</v>
      </c>
      <c r="Q763" s="5">
        <v>2.13</v>
      </c>
      <c r="R763" s="9">
        <v>12.55</v>
      </c>
      <c r="S763" s="9">
        <v>-1.1599999999999999</v>
      </c>
      <c r="T763" s="9">
        <v>18878.023430000001</v>
      </c>
      <c r="U763" s="9">
        <v>17858</v>
      </c>
      <c r="V763" s="45">
        <f t="shared" si="59"/>
        <v>5.7118570388621406E-2</v>
      </c>
      <c r="W763" s="12">
        <v>15.2</v>
      </c>
      <c r="X763" s="12">
        <v>2.08</v>
      </c>
      <c r="Y763" s="12">
        <v>20210804</v>
      </c>
    </row>
    <row r="764" spans="1:25" x14ac:dyDescent="0.45">
      <c r="A764" s="3" t="s">
        <v>1632</v>
      </c>
      <c r="B764" s="3" t="s">
        <v>1633</v>
      </c>
      <c r="C764" s="6" t="s">
        <v>518</v>
      </c>
      <c r="D764" s="6" t="s">
        <v>327</v>
      </c>
      <c r="E764" s="6" t="s">
        <v>321</v>
      </c>
      <c r="F764" s="6">
        <v>21638.99</v>
      </c>
      <c r="G764" s="2">
        <v>5.64</v>
      </c>
      <c r="H764" s="2">
        <v>5.96</v>
      </c>
      <c r="I764" s="2">
        <v>6.3</v>
      </c>
      <c r="J764" s="47">
        <f t="shared" si="55"/>
        <v>5.6737588652482324E-2</v>
      </c>
      <c r="K764" s="47">
        <f t="shared" si="56"/>
        <v>5.7046979865771785E-2</v>
      </c>
      <c r="L764" s="8">
        <v>17.97</v>
      </c>
      <c r="M764" s="8">
        <v>18.059999999999999</v>
      </c>
      <c r="N764" s="8">
        <v>17.079999999999998</v>
      </c>
      <c r="O764" s="17">
        <f t="shared" si="57"/>
        <v>3.1830749999999965</v>
      </c>
      <c r="P764" s="17">
        <f t="shared" si="58"/>
        <v>2.9940235294117659</v>
      </c>
      <c r="Q764" s="5">
        <v>3.54</v>
      </c>
      <c r="R764" s="9">
        <v>11.3</v>
      </c>
      <c r="S764" s="9">
        <v>-1.17</v>
      </c>
      <c r="T764" s="9">
        <v>10577.969719999999</v>
      </c>
      <c r="U764" s="9">
        <v>10113.64</v>
      </c>
      <c r="V764" s="45">
        <f t="shared" si="59"/>
        <v>4.5911236706072174E-2</v>
      </c>
      <c r="W764" s="12">
        <v>23.53</v>
      </c>
      <c r="X764" s="12">
        <v>3.53</v>
      </c>
      <c r="Y764" s="12">
        <v>20210804</v>
      </c>
    </row>
    <row r="765" spans="1:25" x14ac:dyDescent="0.45">
      <c r="A765" s="3" t="s">
        <v>1634</v>
      </c>
      <c r="B765" s="3" t="s">
        <v>1635</v>
      </c>
      <c r="C765" s="6" t="s">
        <v>518</v>
      </c>
      <c r="D765" s="6" t="s">
        <v>289</v>
      </c>
      <c r="E765" s="6" t="s">
        <v>276</v>
      </c>
      <c r="F765" s="6">
        <v>4074.13</v>
      </c>
      <c r="G765" s="2">
        <v>1.27</v>
      </c>
      <c r="H765" s="2">
        <v>0.87</v>
      </c>
      <c r="I765" s="2">
        <v>0.87</v>
      </c>
      <c r="J765" s="47">
        <f t="shared" si="55"/>
        <v>-0.31496062992125984</v>
      </c>
      <c r="K765" s="47">
        <f t="shared" si="56"/>
        <v>0</v>
      </c>
      <c r="L765" s="8">
        <v>9.15</v>
      </c>
      <c r="M765" s="8">
        <v>10.83</v>
      </c>
      <c r="N765" s="8">
        <v>10.8</v>
      </c>
      <c r="O765" s="17">
        <f t="shared" si="57"/>
        <v>-0.34385250000000001</v>
      </c>
      <c r="P765" s="17" t="e">
        <f t="shared" si="58"/>
        <v>#DIV/0!</v>
      </c>
      <c r="R765" s="9">
        <v>13.25</v>
      </c>
      <c r="T765" s="9">
        <v>1399.4300499999999</v>
      </c>
      <c r="U765" s="9">
        <v>1510.82</v>
      </c>
      <c r="V765" s="45">
        <f t="shared" si="59"/>
        <v>-7.3728141009518008E-2</v>
      </c>
      <c r="W765" s="12">
        <v>0</v>
      </c>
      <c r="X765" s="12">
        <v>6.37</v>
      </c>
      <c r="Y765" s="12">
        <v>20210803</v>
      </c>
    </row>
    <row r="766" spans="1:25" x14ac:dyDescent="0.45">
      <c r="A766" s="3" t="s">
        <v>1636</v>
      </c>
      <c r="B766" s="3" t="s">
        <v>1637</v>
      </c>
      <c r="C766" s="6" t="s">
        <v>519</v>
      </c>
      <c r="D766" s="6" t="s">
        <v>189</v>
      </c>
      <c r="E766" s="6" t="s">
        <v>247</v>
      </c>
      <c r="F766" s="6">
        <v>21264.27</v>
      </c>
      <c r="G766" s="2">
        <v>2.12</v>
      </c>
      <c r="H766" s="2">
        <v>2.92</v>
      </c>
      <c r="I766" s="2">
        <v>3.42</v>
      </c>
      <c r="J766" s="47">
        <f t="shared" si="55"/>
        <v>0.37735849056603765</v>
      </c>
      <c r="K766" s="47">
        <f t="shared" si="56"/>
        <v>0.17123287671232876</v>
      </c>
      <c r="L766" s="8">
        <v>47.39</v>
      </c>
      <c r="M766" s="8">
        <v>57.38</v>
      </c>
      <c r="N766" s="8">
        <v>48.95</v>
      </c>
      <c r="O766" s="17">
        <f t="shared" si="57"/>
        <v>1.5205700000000002</v>
      </c>
      <c r="P766" s="17">
        <f t="shared" si="58"/>
        <v>2.8586800000000001</v>
      </c>
      <c r="Q766" s="5">
        <v>2.96</v>
      </c>
      <c r="R766" s="9">
        <v>73.44</v>
      </c>
      <c r="S766" s="9">
        <v>42.72</v>
      </c>
      <c r="T766" s="9">
        <v>2262.5190400000001</v>
      </c>
      <c r="U766" s="9">
        <v>1725.63</v>
      </c>
      <c r="V766" s="45">
        <f t="shared" si="59"/>
        <v>0.31112639441827045</v>
      </c>
      <c r="W766" s="12">
        <v>19.05</v>
      </c>
      <c r="X766" s="12">
        <v>0</v>
      </c>
      <c r="Y766" s="12">
        <v>20210804</v>
      </c>
    </row>
    <row r="767" spans="1:25" x14ac:dyDescent="0.45">
      <c r="A767" s="3" t="s">
        <v>1638</v>
      </c>
      <c r="B767" s="3" t="s">
        <v>1639</v>
      </c>
      <c r="C767" s="6" t="s">
        <v>519</v>
      </c>
      <c r="D767" s="6" t="s">
        <v>189</v>
      </c>
      <c r="E767" s="6" t="s">
        <v>248</v>
      </c>
      <c r="F767" s="6">
        <v>4460.1000000000004</v>
      </c>
      <c r="G767" s="2">
        <v>-0.02</v>
      </c>
      <c r="H767" s="2">
        <v>-0.16</v>
      </c>
      <c r="I767" s="2">
        <v>7.0000000000000007E-2</v>
      </c>
      <c r="J767" s="47">
        <f t="shared" si="55"/>
        <v>-7.0000000000000009</v>
      </c>
      <c r="K767" s="47">
        <f t="shared" si="56"/>
        <v>1.4375</v>
      </c>
      <c r="L767" s="8">
        <v>370.09</v>
      </c>
      <c r="N767" s="8">
        <v>1727.1</v>
      </c>
      <c r="O767" s="17">
        <f t="shared" si="57"/>
        <v>0</v>
      </c>
      <c r="P767" s="17">
        <f t="shared" si="58"/>
        <v>12.014608695652173</v>
      </c>
      <c r="R767" s="9">
        <v>-13.18</v>
      </c>
      <c r="S767" s="9">
        <v>39.049999999999997</v>
      </c>
      <c r="T767" s="9">
        <v>356.58598999999998</v>
      </c>
      <c r="U767" s="9">
        <v>271.14</v>
      </c>
      <c r="V767" s="45">
        <f t="shared" si="59"/>
        <v>0.31513605517444865</v>
      </c>
      <c r="W767" s="12">
        <v>263.64</v>
      </c>
      <c r="X767" s="12">
        <v>0</v>
      </c>
      <c r="Y767" s="12">
        <v>20210805</v>
      </c>
    </row>
    <row r="768" spans="1:25" x14ac:dyDescent="0.45">
      <c r="A768" s="3" t="s">
        <v>4611</v>
      </c>
      <c r="B768" s="3" t="s">
        <v>4612</v>
      </c>
      <c r="C768" s="6" t="s">
        <v>520</v>
      </c>
      <c r="D768" s="6" t="s">
        <v>327</v>
      </c>
      <c r="E768" s="6" t="s">
        <v>321</v>
      </c>
      <c r="F768" s="6">
        <v>4389.03</v>
      </c>
      <c r="J768" s="47" t="e">
        <f t="shared" si="55"/>
        <v>#DIV/0!</v>
      </c>
      <c r="K768" s="47" t="e">
        <f t="shared" si="56"/>
        <v>#DIV/0!</v>
      </c>
      <c r="L768" s="8">
        <v>18.77</v>
      </c>
      <c r="O768" s="17" t="e">
        <f t="shared" si="57"/>
        <v>#DIV/0!</v>
      </c>
      <c r="P768" s="17" t="e">
        <f t="shared" si="58"/>
        <v>#DIV/0!</v>
      </c>
      <c r="R768" s="9">
        <v>4.6100000000000003</v>
      </c>
      <c r="S768" s="9">
        <v>0.83</v>
      </c>
      <c r="U768" s="9">
        <v>2361.67</v>
      </c>
      <c r="V768" s="45">
        <f t="shared" si="59"/>
        <v>-1</v>
      </c>
      <c r="X768" s="12">
        <v>1.55</v>
      </c>
      <c r="Y768" s="12">
        <v>20210610</v>
      </c>
    </row>
    <row r="769" spans="1:25" x14ac:dyDescent="0.45">
      <c r="A769" s="3" t="s">
        <v>1640</v>
      </c>
      <c r="B769" s="3" t="s">
        <v>1641</v>
      </c>
      <c r="C769" s="6" t="s">
        <v>518</v>
      </c>
      <c r="D769" s="6" t="s">
        <v>234</v>
      </c>
      <c r="E769" s="6" t="s">
        <v>1642</v>
      </c>
      <c r="F769" s="6">
        <v>5743.23</v>
      </c>
      <c r="G769" s="2">
        <v>6.15</v>
      </c>
      <c r="H769" s="2">
        <v>11.55</v>
      </c>
      <c r="I769" s="2">
        <v>11.71</v>
      </c>
      <c r="J769" s="47">
        <f t="shared" si="55"/>
        <v>0.87804878048780488</v>
      </c>
      <c r="K769" s="47">
        <f t="shared" si="56"/>
        <v>1.3852813852813865E-2</v>
      </c>
      <c r="L769" s="8">
        <v>12.09</v>
      </c>
      <c r="M769" s="8">
        <v>12.14</v>
      </c>
      <c r="N769" s="8">
        <v>11.98</v>
      </c>
      <c r="O769" s="17">
        <f t="shared" si="57"/>
        <v>0.13826111111111111</v>
      </c>
      <c r="P769" s="17">
        <f t="shared" si="58"/>
        <v>8.6480624999999929</v>
      </c>
      <c r="R769" s="9">
        <v>42.89</v>
      </c>
      <c r="S769" s="9">
        <v>11.03</v>
      </c>
      <c r="T769" s="9">
        <v>2601.6398899999999</v>
      </c>
      <c r="U769" s="9">
        <v>2285.3200000000002</v>
      </c>
      <c r="V769" s="45">
        <f t="shared" si="59"/>
        <v>0.13841382826037479</v>
      </c>
      <c r="W769" s="12">
        <v>25.1</v>
      </c>
      <c r="X769" s="12">
        <v>1.94</v>
      </c>
      <c r="Y769" s="12">
        <v>20210728</v>
      </c>
    </row>
    <row r="770" spans="1:25" x14ac:dyDescent="0.45">
      <c r="A770" s="3" t="s">
        <v>1643</v>
      </c>
      <c r="B770" s="3" t="s">
        <v>1644</v>
      </c>
      <c r="C770" s="6" t="s">
        <v>518</v>
      </c>
      <c r="D770" s="6" t="s">
        <v>289</v>
      </c>
      <c r="E770" s="6" t="s">
        <v>430</v>
      </c>
      <c r="F770" s="6">
        <v>14526.39</v>
      </c>
      <c r="G770" s="2">
        <v>3.03</v>
      </c>
      <c r="H770" s="2">
        <v>3.3</v>
      </c>
      <c r="I770" s="2">
        <v>3.46</v>
      </c>
      <c r="J770" s="47">
        <f t="shared" si="55"/>
        <v>8.9108910891089119E-2</v>
      </c>
      <c r="K770" s="47">
        <f t="shared" si="56"/>
        <v>4.8484848484848533E-2</v>
      </c>
      <c r="L770" s="8">
        <v>19.559999999999999</v>
      </c>
      <c r="M770" s="8">
        <v>19.2</v>
      </c>
      <c r="N770" s="8">
        <v>18.29</v>
      </c>
      <c r="O770" s="17">
        <f t="shared" si="57"/>
        <v>2.1546666666666665</v>
      </c>
      <c r="P770" s="17">
        <f t="shared" si="58"/>
        <v>3.7723124999999964</v>
      </c>
      <c r="Q770" s="5">
        <v>3.28</v>
      </c>
      <c r="R770" s="9">
        <v>8.4600000000000009</v>
      </c>
      <c r="S770" s="9">
        <v>23</v>
      </c>
      <c r="U770" s="9">
        <v>4913.3999999999996</v>
      </c>
      <c r="V770" s="45">
        <f t="shared" si="59"/>
        <v>-1</v>
      </c>
      <c r="W770" s="12">
        <v>17.02</v>
      </c>
      <c r="X770" s="12">
        <v>3.38</v>
      </c>
      <c r="Y770" s="12">
        <v>20210804</v>
      </c>
    </row>
    <row r="771" spans="1:25" x14ac:dyDescent="0.45">
      <c r="A771" s="3" t="s">
        <v>4613</v>
      </c>
      <c r="B771" s="3" t="s">
        <v>4614</v>
      </c>
      <c r="C771" s="6" t="s">
        <v>520</v>
      </c>
      <c r="D771" s="6" t="s">
        <v>90</v>
      </c>
      <c r="E771" s="6" t="s">
        <v>304</v>
      </c>
      <c r="F771" s="6">
        <v>12410</v>
      </c>
      <c r="G771" s="2">
        <v>0.72</v>
      </c>
      <c r="J771" s="47">
        <f t="shared" ref="J771:J834" si="60">(H771-G771)/ABS(G771)</f>
        <v>-1</v>
      </c>
      <c r="K771" s="47" t="e">
        <f t="shared" ref="K771:K834" si="61">(I771-H771)/ABS(H771)</f>
        <v>#DIV/0!</v>
      </c>
      <c r="O771" s="17">
        <f t="shared" ref="O771:O834" si="62">M771/(J771*100)</f>
        <v>0</v>
      </c>
      <c r="P771" s="17" t="e">
        <f t="shared" ref="P771:P834" si="63">N771/(K771*100)</f>
        <v>#DIV/0!</v>
      </c>
      <c r="T771" s="9">
        <v>12705.799800000001</v>
      </c>
      <c r="U771" s="9">
        <v>11905</v>
      </c>
      <c r="V771" s="45">
        <f t="shared" ref="V771:V834" si="64">(T771-U771)/U771</f>
        <v>6.7265837883242391E-2</v>
      </c>
      <c r="X771" s="12">
        <v>4.71</v>
      </c>
    </row>
    <row r="772" spans="1:25" x14ac:dyDescent="0.45">
      <c r="A772" s="3" t="s">
        <v>4127</v>
      </c>
      <c r="B772" s="3" t="s">
        <v>4128</v>
      </c>
      <c r="C772" s="6" t="s">
        <v>518</v>
      </c>
      <c r="D772" s="6" t="s">
        <v>175</v>
      </c>
      <c r="E772" s="6" t="s">
        <v>224</v>
      </c>
      <c r="F772" s="6">
        <v>3141.99</v>
      </c>
      <c r="G772" s="2">
        <v>2.04</v>
      </c>
      <c r="H772" s="2">
        <v>2.3199999999999998</v>
      </c>
      <c r="I772" s="2">
        <v>2.5299999999999998</v>
      </c>
      <c r="J772" s="47">
        <f t="shared" si="60"/>
        <v>0.13725490196078421</v>
      </c>
      <c r="K772" s="47">
        <f t="shared" si="61"/>
        <v>9.0517241379310331E-2</v>
      </c>
      <c r="L772" s="8">
        <v>19.440000000000001</v>
      </c>
      <c r="M772" s="8">
        <v>18.8</v>
      </c>
      <c r="N772" s="8">
        <v>17.2</v>
      </c>
      <c r="O772" s="17">
        <f t="shared" si="62"/>
        <v>1.3697142857142868</v>
      </c>
      <c r="P772" s="17">
        <f t="shared" si="63"/>
        <v>1.9001904761904762</v>
      </c>
      <c r="R772" s="9">
        <v>47.06</v>
      </c>
      <c r="S772" s="9">
        <v>7.3</v>
      </c>
      <c r="T772" s="9">
        <v>551.95097999999996</v>
      </c>
      <c r="U772" s="9">
        <v>510.59</v>
      </c>
      <c r="V772" s="45">
        <f t="shared" si="64"/>
        <v>8.1006247674259166E-2</v>
      </c>
      <c r="W772" s="12">
        <v>14.81</v>
      </c>
      <c r="X772" s="12">
        <v>0.46</v>
      </c>
      <c r="Y772" s="12">
        <v>20210803</v>
      </c>
    </row>
    <row r="773" spans="1:25" x14ac:dyDescent="0.45">
      <c r="A773" s="3" t="s">
        <v>4615</v>
      </c>
      <c r="B773" s="3" t="s">
        <v>4616</v>
      </c>
      <c r="C773" s="6" t="s">
        <v>520</v>
      </c>
      <c r="D773" s="6" t="s">
        <v>279</v>
      </c>
      <c r="E773" s="6" t="s">
        <v>258</v>
      </c>
      <c r="F773" s="6">
        <v>7196.03</v>
      </c>
      <c r="J773" s="47" t="e">
        <f t="shared" si="60"/>
        <v>#DIV/0!</v>
      </c>
      <c r="K773" s="47" t="e">
        <f t="shared" si="61"/>
        <v>#DIV/0!</v>
      </c>
      <c r="L773" s="8">
        <v>145.75</v>
      </c>
      <c r="O773" s="17" t="e">
        <f t="shared" si="62"/>
        <v>#DIV/0!</v>
      </c>
      <c r="P773" s="17" t="e">
        <f t="shared" si="63"/>
        <v>#DIV/0!</v>
      </c>
      <c r="R773" s="9">
        <v>7.21</v>
      </c>
      <c r="S773" s="9">
        <v>33.44</v>
      </c>
      <c r="U773" s="9">
        <v>572.16</v>
      </c>
      <c r="V773" s="45">
        <f t="shared" si="64"/>
        <v>-1</v>
      </c>
      <c r="X773" s="12">
        <v>0</v>
      </c>
      <c r="Y773" s="12">
        <v>20210811</v>
      </c>
    </row>
    <row r="774" spans="1:25" x14ac:dyDescent="0.45">
      <c r="A774" s="3" t="s">
        <v>1645</v>
      </c>
      <c r="B774" s="3" t="s">
        <v>1646</v>
      </c>
      <c r="C774" s="6" t="s">
        <v>518</v>
      </c>
      <c r="D774" s="6" t="s">
        <v>279</v>
      </c>
      <c r="E774" s="6" t="s">
        <v>262</v>
      </c>
      <c r="F774" s="6">
        <v>60348.5</v>
      </c>
      <c r="G774" s="2">
        <v>1.89</v>
      </c>
      <c r="H774" s="2">
        <v>2.2000000000000002</v>
      </c>
      <c r="I774" s="2">
        <v>2.52</v>
      </c>
      <c r="J774" s="47">
        <f t="shared" si="60"/>
        <v>0.16402116402116418</v>
      </c>
      <c r="K774" s="47">
        <f t="shared" si="61"/>
        <v>0.14545454545454536</v>
      </c>
      <c r="L774" s="8">
        <v>51.37</v>
      </c>
      <c r="M774" s="8">
        <v>44.04</v>
      </c>
      <c r="N774" s="8">
        <v>38.6</v>
      </c>
      <c r="O774" s="17">
        <f t="shared" si="62"/>
        <v>2.6850193548387069</v>
      </c>
      <c r="P774" s="17">
        <f t="shared" si="63"/>
        <v>2.6537500000000018</v>
      </c>
      <c r="Q774" s="5">
        <v>2.8</v>
      </c>
      <c r="R774" s="9">
        <v>27.63</v>
      </c>
      <c r="S774" s="9">
        <v>11.02</v>
      </c>
      <c r="T774" s="9">
        <v>5180.7949200000003</v>
      </c>
      <c r="U774" s="9">
        <v>4386.3</v>
      </c>
      <c r="V774" s="45">
        <f t="shared" si="64"/>
        <v>0.18113100335134397</v>
      </c>
      <c r="W774" s="12">
        <v>14.89</v>
      </c>
      <c r="X774" s="12">
        <v>0</v>
      </c>
      <c r="Y774" s="12">
        <v>20210722</v>
      </c>
    </row>
    <row r="775" spans="1:25" x14ac:dyDescent="0.45">
      <c r="A775" s="3" t="s">
        <v>1647</v>
      </c>
      <c r="B775" s="3" t="s">
        <v>1648</v>
      </c>
      <c r="C775" s="6" t="s">
        <v>519</v>
      </c>
      <c r="D775" s="6" t="s">
        <v>234</v>
      </c>
      <c r="E775" s="6" t="s">
        <v>181</v>
      </c>
      <c r="F775" s="6">
        <v>10358.86</v>
      </c>
      <c r="G775" s="2">
        <v>3.85</v>
      </c>
      <c r="H775" s="2">
        <v>5.61</v>
      </c>
      <c r="I775" s="2">
        <v>5.56</v>
      </c>
      <c r="J775" s="47">
        <f t="shared" si="60"/>
        <v>0.45714285714285718</v>
      </c>
      <c r="K775" s="47">
        <f t="shared" si="61"/>
        <v>-8.9126559714796279E-3</v>
      </c>
      <c r="L775" s="8">
        <v>16.559999999999999</v>
      </c>
      <c r="M775" s="8">
        <v>13.02</v>
      </c>
      <c r="N775" s="8">
        <v>13.14</v>
      </c>
      <c r="O775" s="17">
        <f t="shared" si="62"/>
        <v>0.28481249999999997</v>
      </c>
      <c r="P775" s="17">
        <f t="shared" si="63"/>
        <v>-14.743079999999789</v>
      </c>
      <c r="Q775" s="5">
        <v>1.3</v>
      </c>
      <c r="R775" s="9">
        <v>12.15</v>
      </c>
      <c r="S775" s="9">
        <v>10.25</v>
      </c>
      <c r="T775" s="9">
        <v>1725.1619800000001</v>
      </c>
      <c r="U775" s="9">
        <v>1830.59</v>
      </c>
      <c r="V775" s="45">
        <f t="shared" si="64"/>
        <v>-5.7592371858253263E-2</v>
      </c>
      <c r="W775" s="12">
        <v>17.07</v>
      </c>
      <c r="X775" s="12">
        <v>1.81</v>
      </c>
      <c r="Y775" s="12">
        <v>20210722</v>
      </c>
    </row>
    <row r="776" spans="1:25" x14ac:dyDescent="0.45">
      <c r="A776" s="3" t="s">
        <v>4617</v>
      </c>
      <c r="B776" s="3" t="s">
        <v>4618</v>
      </c>
      <c r="C776" s="6" t="s">
        <v>518</v>
      </c>
      <c r="D776" s="6" t="s">
        <v>234</v>
      </c>
      <c r="E776" s="6" t="s">
        <v>904</v>
      </c>
      <c r="F776" s="6">
        <v>3173.19</v>
      </c>
      <c r="J776" s="47" t="e">
        <f t="shared" si="60"/>
        <v>#DIV/0!</v>
      </c>
      <c r="K776" s="47" t="e">
        <f t="shared" si="61"/>
        <v>#DIV/0!</v>
      </c>
      <c r="O776" s="17" t="e">
        <f t="shared" si="62"/>
        <v>#DIV/0!</v>
      </c>
      <c r="P776" s="17" t="e">
        <f t="shared" si="63"/>
        <v>#DIV/0!</v>
      </c>
      <c r="V776" s="45" t="e">
        <f t="shared" si="64"/>
        <v>#DIV/0!</v>
      </c>
      <c r="X776" s="12">
        <v>1.1599999999999999</v>
      </c>
    </row>
    <row r="777" spans="1:25" x14ac:dyDescent="0.45">
      <c r="A777" s="3" t="s">
        <v>4619</v>
      </c>
      <c r="B777" s="3" t="s">
        <v>4620</v>
      </c>
      <c r="C777" s="6" t="s">
        <v>518</v>
      </c>
      <c r="D777" s="6" t="s">
        <v>234</v>
      </c>
      <c r="E777" s="6" t="s">
        <v>904</v>
      </c>
      <c r="F777" s="6">
        <v>11869.73</v>
      </c>
      <c r="J777" s="47" t="e">
        <f t="shared" si="60"/>
        <v>#DIV/0!</v>
      </c>
      <c r="K777" s="47" t="e">
        <f t="shared" si="61"/>
        <v>#DIV/0!</v>
      </c>
      <c r="O777" s="17" t="e">
        <f t="shared" si="62"/>
        <v>#DIV/0!</v>
      </c>
      <c r="P777" s="17" t="e">
        <f t="shared" si="63"/>
        <v>#DIV/0!</v>
      </c>
      <c r="V777" s="45" t="e">
        <f t="shared" si="64"/>
        <v>#DIV/0!</v>
      </c>
      <c r="X777" s="12">
        <v>1.01</v>
      </c>
    </row>
    <row r="778" spans="1:25" x14ac:dyDescent="0.45">
      <c r="A778" s="3" t="s">
        <v>4621</v>
      </c>
      <c r="B778" s="3" t="s">
        <v>4622</v>
      </c>
      <c r="C778" s="6" t="s">
        <v>518</v>
      </c>
      <c r="D778" s="6" t="s">
        <v>234</v>
      </c>
      <c r="E778" s="6" t="s">
        <v>904</v>
      </c>
      <c r="F778" s="6">
        <v>3822.77</v>
      </c>
      <c r="J778" s="47" t="e">
        <f t="shared" si="60"/>
        <v>#DIV/0!</v>
      </c>
      <c r="K778" s="47" t="e">
        <f t="shared" si="61"/>
        <v>#DIV/0!</v>
      </c>
      <c r="O778" s="17" t="e">
        <f t="shared" si="62"/>
        <v>#DIV/0!</v>
      </c>
      <c r="P778" s="17" t="e">
        <f t="shared" si="63"/>
        <v>#DIV/0!</v>
      </c>
      <c r="V778" s="45" t="e">
        <f t="shared" si="64"/>
        <v>#DIV/0!</v>
      </c>
      <c r="X778" s="12">
        <v>2.14</v>
      </c>
    </row>
    <row r="779" spans="1:25" x14ac:dyDescent="0.45">
      <c r="A779" s="3" t="s">
        <v>4623</v>
      </c>
      <c r="B779" s="3" t="s">
        <v>4624</v>
      </c>
      <c r="C779" s="6" t="s">
        <v>518</v>
      </c>
      <c r="D779" s="6" t="s">
        <v>234</v>
      </c>
      <c r="E779" s="6" t="s">
        <v>904</v>
      </c>
      <c r="F779" s="6">
        <v>6770.12</v>
      </c>
      <c r="J779" s="47" t="e">
        <f t="shared" si="60"/>
        <v>#DIV/0!</v>
      </c>
      <c r="K779" s="47" t="e">
        <f t="shared" si="61"/>
        <v>#DIV/0!</v>
      </c>
      <c r="O779" s="17" t="e">
        <f t="shared" si="62"/>
        <v>#DIV/0!</v>
      </c>
      <c r="P779" s="17" t="e">
        <f t="shared" si="63"/>
        <v>#DIV/0!</v>
      </c>
      <c r="V779" s="45" t="e">
        <f t="shared" si="64"/>
        <v>#DIV/0!</v>
      </c>
      <c r="X779" s="12">
        <v>0.69</v>
      </c>
    </row>
    <row r="780" spans="1:25" x14ac:dyDescent="0.45">
      <c r="A780" s="3" t="s">
        <v>4625</v>
      </c>
      <c r="B780" s="3" t="s">
        <v>4626</v>
      </c>
      <c r="C780" s="6" t="s">
        <v>518</v>
      </c>
      <c r="D780" s="6" t="s">
        <v>234</v>
      </c>
      <c r="E780" s="6" t="s">
        <v>904</v>
      </c>
      <c r="F780" s="6">
        <v>6949.38</v>
      </c>
      <c r="J780" s="47" t="e">
        <f t="shared" si="60"/>
        <v>#DIV/0!</v>
      </c>
      <c r="K780" s="47" t="e">
        <f t="shared" si="61"/>
        <v>#DIV/0!</v>
      </c>
      <c r="O780" s="17" t="e">
        <f t="shared" si="62"/>
        <v>#DIV/0!</v>
      </c>
      <c r="P780" s="17" t="e">
        <f t="shared" si="63"/>
        <v>#DIV/0!</v>
      </c>
      <c r="V780" s="45" t="e">
        <f t="shared" si="64"/>
        <v>#DIV/0!</v>
      </c>
      <c r="X780" s="12">
        <v>1.53</v>
      </c>
    </row>
    <row r="781" spans="1:25" x14ac:dyDescent="0.45">
      <c r="A781" s="3" t="s">
        <v>1649</v>
      </c>
      <c r="B781" s="3" t="s">
        <v>1650</v>
      </c>
      <c r="C781" s="6" t="s">
        <v>519</v>
      </c>
      <c r="D781" s="6" t="s">
        <v>279</v>
      </c>
      <c r="E781" s="6" t="s">
        <v>256</v>
      </c>
      <c r="F781" s="6">
        <v>20448.84</v>
      </c>
      <c r="G781" s="2">
        <v>-2.75</v>
      </c>
      <c r="H781" s="2">
        <v>-2.65</v>
      </c>
      <c r="I781" s="2">
        <v>-2.4700000000000002</v>
      </c>
      <c r="J781" s="47">
        <f t="shared" si="60"/>
        <v>3.6363636363636397E-2</v>
      </c>
      <c r="K781" s="47">
        <f t="shared" si="61"/>
        <v>6.7924528301886694E-2</v>
      </c>
      <c r="O781" s="17">
        <f t="shared" si="62"/>
        <v>0</v>
      </c>
      <c r="P781" s="17">
        <f t="shared" si="63"/>
        <v>0</v>
      </c>
      <c r="R781" s="9">
        <v>-6.55</v>
      </c>
      <c r="S781" s="9">
        <v>95.09</v>
      </c>
      <c r="T781" s="9">
        <v>1721.7690399999999</v>
      </c>
      <c r="U781" s="9">
        <v>1491.39</v>
      </c>
      <c r="V781" s="45">
        <f t="shared" si="64"/>
        <v>0.15447269996446253</v>
      </c>
      <c r="W781" s="12">
        <v>82.69</v>
      </c>
      <c r="X781" s="12">
        <v>0</v>
      </c>
      <c r="Y781" s="12">
        <v>20210729</v>
      </c>
    </row>
    <row r="782" spans="1:25" x14ac:dyDescent="0.45">
      <c r="A782" s="3" t="s">
        <v>1651</v>
      </c>
      <c r="B782" s="3" t="s">
        <v>1652</v>
      </c>
      <c r="C782" s="6" t="s">
        <v>519</v>
      </c>
      <c r="D782" s="6" t="s">
        <v>327</v>
      </c>
      <c r="E782" s="6" t="s">
        <v>321</v>
      </c>
      <c r="F782" s="6">
        <v>45301.84</v>
      </c>
      <c r="G782" s="2">
        <v>3.16</v>
      </c>
      <c r="H782" s="2">
        <v>2.78</v>
      </c>
      <c r="I782" s="2">
        <v>3.07</v>
      </c>
      <c r="J782" s="47">
        <f t="shared" si="60"/>
        <v>-0.12025316455696212</v>
      </c>
      <c r="K782" s="47">
        <f t="shared" si="61"/>
        <v>0.10431654676258995</v>
      </c>
      <c r="L782" s="8">
        <v>20.25</v>
      </c>
      <c r="M782" s="8">
        <v>16.7</v>
      </c>
      <c r="N782" s="8">
        <v>15.09</v>
      </c>
      <c r="O782" s="17">
        <f t="shared" si="62"/>
        <v>-1.3887368421052619</v>
      </c>
      <c r="P782" s="17">
        <f t="shared" si="63"/>
        <v>1.446558620689655</v>
      </c>
      <c r="Q782" s="5">
        <v>5.24</v>
      </c>
      <c r="R782" s="9">
        <v>6.44</v>
      </c>
      <c r="S782" s="9">
        <v>2.17</v>
      </c>
      <c r="T782" s="9">
        <v>28823.345700000002</v>
      </c>
      <c r="U782" s="9">
        <v>33039</v>
      </c>
      <c r="V782" s="45">
        <f t="shared" si="64"/>
        <v>-0.12759630436756556</v>
      </c>
      <c r="W782" s="12">
        <v>-117.65</v>
      </c>
      <c r="X782" s="12">
        <v>3.3</v>
      </c>
      <c r="Y782" s="12">
        <v>20210803</v>
      </c>
    </row>
    <row r="783" spans="1:25" x14ac:dyDescent="0.45">
      <c r="A783" s="3" t="s">
        <v>1653</v>
      </c>
      <c r="B783" s="3" t="s">
        <v>1654</v>
      </c>
      <c r="C783" s="6" t="s">
        <v>519</v>
      </c>
      <c r="D783" s="6" t="s">
        <v>279</v>
      </c>
      <c r="E783" s="6" t="s">
        <v>256</v>
      </c>
      <c r="F783" s="6">
        <v>7138.96</v>
      </c>
      <c r="G783" s="2">
        <v>0.28999999999999998</v>
      </c>
      <c r="H783" s="2">
        <v>0.33</v>
      </c>
      <c r="I783" s="2">
        <v>0.92</v>
      </c>
      <c r="J783" s="47">
        <f t="shared" si="60"/>
        <v>0.13793103448275876</v>
      </c>
      <c r="K783" s="47">
        <f t="shared" si="61"/>
        <v>1.7878787878787881</v>
      </c>
      <c r="L783" s="8">
        <v>113.9</v>
      </c>
      <c r="M783" s="8">
        <v>68.61</v>
      </c>
      <c r="N783" s="8">
        <v>24.65</v>
      </c>
      <c r="O783" s="17">
        <f t="shared" si="62"/>
        <v>4.9742249999999952</v>
      </c>
      <c r="P783" s="17">
        <f t="shared" si="63"/>
        <v>0.13787288135593218</v>
      </c>
      <c r="Q783" s="5">
        <v>1.49</v>
      </c>
      <c r="R783" s="9">
        <v>3.47</v>
      </c>
      <c r="S783" s="9">
        <v>59.95</v>
      </c>
      <c r="T783" s="9">
        <v>1242.5040200000001</v>
      </c>
      <c r="U783" s="9">
        <v>987.54</v>
      </c>
      <c r="V783" s="45">
        <f t="shared" si="64"/>
        <v>0.25818095469550612</v>
      </c>
      <c r="W783" s="12">
        <v>-100</v>
      </c>
      <c r="X783" s="12">
        <v>0</v>
      </c>
      <c r="Y783" s="12">
        <v>20210805</v>
      </c>
    </row>
    <row r="784" spans="1:25" x14ac:dyDescent="0.45">
      <c r="A784" s="3" t="s">
        <v>4129</v>
      </c>
      <c r="B784" s="3" t="s">
        <v>4130</v>
      </c>
      <c r="C784" s="6" t="s">
        <v>519</v>
      </c>
      <c r="D784" s="6" t="s">
        <v>175</v>
      </c>
      <c r="E784" s="6" t="s">
        <v>281</v>
      </c>
      <c r="F784" s="6">
        <v>3479.6</v>
      </c>
      <c r="G784" s="2">
        <v>3.45</v>
      </c>
      <c r="H784" s="2">
        <v>4.1900000000000004</v>
      </c>
      <c r="I784" s="2">
        <v>4.4400000000000004</v>
      </c>
      <c r="J784" s="47">
        <f t="shared" si="60"/>
        <v>0.21449275362318845</v>
      </c>
      <c r="K784" s="47">
        <f t="shared" si="61"/>
        <v>5.9665871121718374E-2</v>
      </c>
      <c r="L784" s="8">
        <v>26.74</v>
      </c>
      <c r="M784" s="8">
        <v>24.82</v>
      </c>
      <c r="N784" s="8">
        <v>23.44</v>
      </c>
      <c r="O784" s="17">
        <f t="shared" si="62"/>
        <v>1.1571486486486484</v>
      </c>
      <c r="P784" s="17">
        <f t="shared" si="63"/>
        <v>3.928544</v>
      </c>
      <c r="Q784" s="5">
        <v>2.31</v>
      </c>
      <c r="R784" s="9">
        <v>15.57</v>
      </c>
      <c r="S784" s="9">
        <v>10.050000000000001</v>
      </c>
      <c r="T784" s="9">
        <v>1058.182</v>
      </c>
      <c r="U784" s="9">
        <v>958.43</v>
      </c>
      <c r="V784" s="45">
        <f t="shared" si="64"/>
        <v>0.10407854512066617</v>
      </c>
      <c r="W784" s="12">
        <v>19.190000000000001</v>
      </c>
      <c r="X784" s="12">
        <v>0</v>
      </c>
      <c r="Y784" s="12">
        <v>20210805</v>
      </c>
    </row>
    <row r="785" spans="1:25" x14ac:dyDescent="0.45">
      <c r="A785" s="3" t="s">
        <v>1655</v>
      </c>
      <c r="B785" s="3" t="s">
        <v>1656</v>
      </c>
      <c r="C785" s="6" t="s">
        <v>518</v>
      </c>
      <c r="D785" s="6" t="s">
        <v>210</v>
      </c>
      <c r="E785" s="6" t="s">
        <v>188</v>
      </c>
      <c r="F785" s="6">
        <v>6460.88</v>
      </c>
      <c r="G785" s="2">
        <v>6.75</v>
      </c>
      <c r="H785" s="2">
        <v>8.5</v>
      </c>
      <c r="I785" s="2">
        <v>9.7899999999999991</v>
      </c>
      <c r="J785" s="47">
        <f t="shared" si="60"/>
        <v>0.25925925925925924</v>
      </c>
      <c r="K785" s="47">
        <f t="shared" si="61"/>
        <v>0.15176470588235283</v>
      </c>
      <c r="L785" s="8">
        <v>21.5</v>
      </c>
      <c r="M785" s="8">
        <v>17.93</v>
      </c>
      <c r="N785" s="8">
        <v>15.57</v>
      </c>
      <c r="O785" s="17">
        <f t="shared" si="62"/>
        <v>0.69158571428571436</v>
      </c>
      <c r="P785" s="17">
        <f t="shared" si="63"/>
        <v>1.0259302325581403</v>
      </c>
      <c r="R785" s="9">
        <v>24.4</v>
      </c>
      <c r="S785" s="9">
        <v>6.42</v>
      </c>
      <c r="T785" s="9">
        <v>1771.5040200000001</v>
      </c>
      <c r="U785" s="9">
        <v>1622.64</v>
      </c>
      <c r="V785" s="45">
        <f t="shared" si="64"/>
        <v>9.1741865108711712E-2</v>
      </c>
      <c r="W785" s="12">
        <v>19.079999999999998</v>
      </c>
      <c r="X785" s="12">
        <v>0</v>
      </c>
      <c r="Y785" s="12">
        <v>20210729</v>
      </c>
    </row>
    <row r="786" spans="1:25" x14ac:dyDescent="0.45">
      <c r="A786" s="3" t="s">
        <v>1657</v>
      </c>
      <c r="B786" s="3" t="s">
        <v>1658</v>
      </c>
      <c r="C786" s="6" t="s">
        <v>519</v>
      </c>
      <c r="D786" s="6" t="s">
        <v>309</v>
      </c>
      <c r="E786" s="6" t="s">
        <v>312</v>
      </c>
      <c r="F786" s="6">
        <v>20897.93</v>
      </c>
      <c r="G786" s="2">
        <v>3.98</v>
      </c>
      <c r="H786" s="2">
        <v>5.0999999999999996</v>
      </c>
      <c r="I786" s="2">
        <v>4.75</v>
      </c>
      <c r="J786" s="47">
        <f t="shared" si="60"/>
        <v>0.28140703517587934</v>
      </c>
      <c r="K786" s="47">
        <f t="shared" si="61"/>
        <v>-6.8627450980392093E-2</v>
      </c>
      <c r="L786" s="8">
        <v>24.55</v>
      </c>
      <c r="M786" s="8">
        <v>24.25</v>
      </c>
      <c r="N786" s="8">
        <v>26.07</v>
      </c>
      <c r="O786" s="17">
        <f t="shared" si="62"/>
        <v>0.86174107142857159</v>
      </c>
      <c r="P786" s="17">
        <f t="shared" si="63"/>
        <v>-3.7987714285714325</v>
      </c>
      <c r="R786" s="9">
        <v>33.74</v>
      </c>
      <c r="S786" s="9">
        <v>11.95</v>
      </c>
      <c r="T786" s="9">
        <v>10532.45703</v>
      </c>
      <c r="U786" s="9">
        <v>10116.48</v>
      </c>
      <c r="V786" s="45">
        <f t="shared" si="64"/>
        <v>4.1118751779275008E-2</v>
      </c>
      <c r="W786" s="12">
        <v>67</v>
      </c>
      <c r="X786" s="12">
        <v>0.94</v>
      </c>
      <c r="Y786" s="12">
        <v>20210803</v>
      </c>
    </row>
    <row r="787" spans="1:25" x14ac:dyDescent="0.45">
      <c r="A787" s="3" t="s">
        <v>1659</v>
      </c>
      <c r="B787" s="3" t="s">
        <v>1660</v>
      </c>
      <c r="C787" s="6" t="s">
        <v>519</v>
      </c>
      <c r="D787" s="6" t="s">
        <v>303</v>
      </c>
      <c r="E787" s="6" t="s">
        <v>245</v>
      </c>
      <c r="F787" s="6">
        <v>25396.52</v>
      </c>
      <c r="G787" s="2">
        <v>-7.98</v>
      </c>
      <c r="H787" s="2">
        <v>-0.56000000000000005</v>
      </c>
      <c r="I787" s="2">
        <v>5.74</v>
      </c>
      <c r="J787" s="47">
        <f t="shared" si="60"/>
        <v>0.92982456140350866</v>
      </c>
      <c r="K787" s="47">
        <f t="shared" si="61"/>
        <v>11.25</v>
      </c>
      <c r="N787" s="8">
        <v>30.09</v>
      </c>
      <c r="O787" s="17">
        <f t="shared" si="62"/>
        <v>0</v>
      </c>
      <c r="P787" s="17">
        <f t="shared" si="63"/>
        <v>2.6746666666666665E-2</v>
      </c>
      <c r="R787" s="9">
        <v>-46.52</v>
      </c>
      <c r="S787" s="9">
        <v>-4.92</v>
      </c>
      <c r="T787" s="9">
        <v>8181.6318300000003</v>
      </c>
      <c r="U787" s="9">
        <v>5199</v>
      </c>
      <c r="V787" s="45">
        <f t="shared" si="64"/>
        <v>0.57369336987882291</v>
      </c>
      <c r="W787" s="12">
        <v>19.84</v>
      </c>
      <c r="X787" s="12">
        <v>0</v>
      </c>
      <c r="Y787" s="12">
        <v>20210729</v>
      </c>
    </row>
    <row r="788" spans="1:25" x14ac:dyDescent="0.45">
      <c r="A788" s="3" t="s">
        <v>1661</v>
      </c>
      <c r="B788" s="3" t="s">
        <v>1662</v>
      </c>
      <c r="C788" s="6" t="s">
        <v>520</v>
      </c>
      <c r="D788" s="6" t="s">
        <v>175</v>
      </c>
      <c r="E788" s="6" t="s">
        <v>193</v>
      </c>
      <c r="F788" s="6">
        <v>35184.76</v>
      </c>
      <c r="G788" s="2">
        <v>1.01</v>
      </c>
      <c r="H788" s="2">
        <v>1.19</v>
      </c>
      <c r="I788" s="2">
        <v>1.33</v>
      </c>
      <c r="J788" s="47">
        <f t="shared" si="60"/>
        <v>0.17821782178217815</v>
      </c>
      <c r="K788" s="47">
        <f t="shared" si="61"/>
        <v>0.11764705882352952</v>
      </c>
      <c r="M788" s="8">
        <v>32.03</v>
      </c>
      <c r="N788" s="8">
        <v>28.58</v>
      </c>
      <c r="O788" s="17">
        <f t="shared" si="62"/>
        <v>1.7972388888888895</v>
      </c>
      <c r="P788" s="17">
        <f t="shared" si="63"/>
        <v>2.4292999999999974</v>
      </c>
      <c r="Q788" s="5">
        <v>2.67</v>
      </c>
      <c r="T788" s="9">
        <v>6079.2148399999996</v>
      </c>
      <c r="U788" s="9">
        <v>5372</v>
      </c>
      <c r="V788" s="45">
        <f t="shared" si="64"/>
        <v>0.13164833209233054</v>
      </c>
      <c r="X788" s="12">
        <v>0.67</v>
      </c>
    </row>
    <row r="789" spans="1:25" x14ac:dyDescent="0.45">
      <c r="A789" s="3" t="s">
        <v>1663</v>
      </c>
      <c r="B789" s="3" t="s">
        <v>1664</v>
      </c>
      <c r="C789" s="6" t="s">
        <v>519</v>
      </c>
      <c r="D789" s="6" t="s">
        <v>234</v>
      </c>
      <c r="E789" s="6" t="s">
        <v>284</v>
      </c>
      <c r="F789" s="6">
        <v>5689.75</v>
      </c>
      <c r="G789" s="2">
        <v>0.22</v>
      </c>
      <c r="H789" s="2">
        <v>0.22</v>
      </c>
      <c r="I789" s="2">
        <v>0.32</v>
      </c>
      <c r="J789" s="47">
        <f t="shared" si="60"/>
        <v>0</v>
      </c>
      <c r="K789" s="47">
        <f t="shared" si="61"/>
        <v>0.45454545454545459</v>
      </c>
      <c r="L789" s="8">
        <v>100.77</v>
      </c>
      <c r="M789" s="8">
        <v>178.64</v>
      </c>
      <c r="N789" s="8">
        <v>122.81</v>
      </c>
      <c r="O789" s="17" t="e">
        <f t="shared" si="62"/>
        <v>#DIV/0!</v>
      </c>
      <c r="P789" s="17">
        <f t="shared" si="63"/>
        <v>2.7018199999999997</v>
      </c>
      <c r="R789" s="9">
        <v>30.11</v>
      </c>
      <c r="S789" s="9">
        <v>142.61000000000001</v>
      </c>
      <c r="T789" s="9">
        <v>2604.8000400000001</v>
      </c>
      <c r="U789" s="9">
        <v>1798.29</v>
      </c>
      <c r="V789" s="45">
        <f t="shared" si="64"/>
        <v>0.44848719616969462</v>
      </c>
      <c r="W789" s="12">
        <v>-40</v>
      </c>
      <c r="X789" s="12">
        <v>0</v>
      </c>
      <c r="Y789" s="12">
        <v>20210804</v>
      </c>
    </row>
    <row r="790" spans="1:25" x14ac:dyDescent="0.45">
      <c r="A790" s="3" t="s">
        <v>1665</v>
      </c>
      <c r="B790" s="3" t="s">
        <v>1666</v>
      </c>
      <c r="C790" s="6" t="s">
        <v>519</v>
      </c>
      <c r="D790" s="6" t="s">
        <v>175</v>
      </c>
      <c r="E790" s="6" t="s">
        <v>205</v>
      </c>
      <c r="F790" s="6">
        <v>4622.26</v>
      </c>
      <c r="G790" s="2">
        <v>1.42</v>
      </c>
      <c r="H790" s="2">
        <v>1.72</v>
      </c>
      <c r="I790" s="2">
        <v>1.87</v>
      </c>
      <c r="J790" s="47">
        <f t="shared" si="60"/>
        <v>0.21126760563380287</v>
      </c>
      <c r="K790" s="47">
        <f t="shared" si="61"/>
        <v>8.7209302325581481E-2</v>
      </c>
      <c r="L790" s="8">
        <v>54.07</v>
      </c>
      <c r="M790" s="8">
        <v>51.56</v>
      </c>
      <c r="N790" s="8">
        <v>47.55</v>
      </c>
      <c r="O790" s="17">
        <f t="shared" si="62"/>
        <v>2.4405066666666659</v>
      </c>
      <c r="P790" s="17">
        <f t="shared" si="63"/>
        <v>5.4523999999999946</v>
      </c>
      <c r="R790" s="9">
        <v>24.63</v>
      </c>
      <c r="S790" s="9">
        <v>7.13</v>
      </c>
      <c r="T790" s="9">
        <v>417.73498000000001</v>
      </c>
      <c r="U790" s="9">
        <v>399.9</v>
      </c>
      <c r="V790" s="45">
        <f t="shared" si="64"/>
        <v>4.4598599649912557E-2</v>
      </c>
      <c r="W790" s="12">
        <v>34.880000000000003</v>
      </c>
      <c r="X790" s="12">
        <v>0.9</v>
      </c>
      <c r="Y790" s="12">
        <v>20210729</v>
      </c>
    </row>
    <row r="791" spans="1:25" x14ac:dyDescent="0.45">
      <c r="A791" s="3" t="s">
        <v>1667</v>
      </c>
      <c r="B791" s="3" t="s">
        <v>1668</v>
      </c>
      <c r="C791" s="6" t="s">
        <v>518</v>
      </c>
      <c r="D791" s="6" t="s">
        <v>234</v>
      </c>
      <c r="E791" s="6" t="s">
        <v>286</v>
      </c>
      <c r="F791" s="6">
        <v>21205.32</v>
      </c>
      <c r="G791" s="2">
        <v>5.1100000000000003</v>
      </c>
      <c r="H791" s="2">
        <v>6.1</v>
      </c>
      <c r="I791" s="2">
        <v>6.28</v>
      </c>
      <c r="J791" s="47">
        <f t="shared" si="60"/>
        <v>0.19373776908023468</v>
      </c>
      <c r="K791" s="47">
        <f t="shared" si="61"/>
        <v>2.9508196721311577E-2</v>
      </c>
      <c r="L791" s="8">
        <v>28.73</v>
      </c>
      <c r="M791" s="8">
        <v>26.01</v>
      </c>
      <c r="N791" s="8">
        <v>25.24</v>
      </c>
      <c r="O791" s="17">
        <f t="shared" si="62"/>
        <v>1.3425363636363647</v>
      </c>
      <c r="P791" s="17">
        <f t="shared" si="63"/>
        <v>8.5535555555555263</v>
      </c>
      <c r="Q791" s="5">
        <v>4.8600000000000003</v>
      </c>
      <c r="R791" s="9">
        <v>20.7</v>
      </c>
      <c r="S791" s="9">
        <v>8.7899999999999991</v>
      </c>
      <c r="T791" s="9">
        <v>1457.1330499999999</v>
      </c>
      <c r="U791" s="9">
        <v>1356.21</v>
      </c>
      <c r="V791" s="45">
        <f t="shared" si="64"/>
        <v>7.44155034987206E-2</v>
      </c>
      <c r="W791" s="12">
        <v>0.67</v>
      </c>
      <c r="X791" s="12">
        <v>2.52</v>
      </c>
      <c r="Y791" s="12">
        <v>20210803</v>
      </c>
    </row>
    <row r="792" spans="1:25" x14ac:dyDescent="0.45">
      <c r="A792" s="3" t="s">
        <v>1669</v>
      </c>
      <c r="B792" s="3" t="s">
        <v>1670</v>
      </c>
      <c r="C792" s="6" t="s">
        <v>519</v>
      </c>
      <c r="D792" s="6" t="s">
        <v>279</v>
      </c>
      <c r="E792" s="6" t="s">
        <v>264</v>
      </c>
      <c r="F792" s="6">
        <v>3952.32</v>
      </c>
      <c r="G792" s="2">
        <v>0.54</v>
      </c>
      <c r="H792" s="2">
        <v>1.0900000000000001</v>
      </c>
      <c r="I792" s="2">
        <v>1.18</v>
      </c>
      <c r="J792" s="47">
        <f t="shared" si="60"/>
        <v>1.0185185185185186</v>
      </c>
      <c r="K792" s="47">
        <f t="shared" si="61"/>
        <v>8.2568807339449407E-2</v>
      </c>
      <c r="L792" s="8">
        <v>45.79</v>
      </c>
      <c r="M792" s="8">
        <v>44.67</v>
      </c>
      <c r="N792" s="8">
        <v>41.02</v>
      </c>
      <c r="O792" s="17">
        <f t="shared" si="62"/>
        <v>0.43857818181818181</v>
      </c>
      <c r="P792" s="17">
        <f t="shared" si="63"/>
        <v>4.9679777777777856</v>
      </c>
      <c r="Q792" s="5">
        <v>1.94</v>
      </c>
      <c r="R792" s="9">
        <v>9.8699999999999992</v>
      </c>
      <c r="S792" s="9">
        <v>6.81</v>
      </c>
      <c r="T792" s="9">
        <v>2012.8229899999999</v>
      </c>
      <c r="U792" s="9">
        <v>1711.76</v>
      </c>
      <c r="V792" s="45">
        <f t="shared" si="64"/>
        <v>0.17587920619713038</v>
      </c>
      <c r="W792" s="12">
        <v>45.45</v>
      </c>
      <c r="X792" s="12">
        <v>0</v>
      </c>
      <c r="Y792" s="12">
        <v>20210805</v>
      </c>
    </row>
    <row r="793" spans="1:25" x14ac:dyDescent="0.45">
      <c r="A793" s="3" t="s">
        <v>4627</v>
      </c>
      <c r="B793" s="3" t="s">
        <v>4628</v>
      </c>
      <c r="C793" s="6" t="s">
        <v>1003</v>
      </c>
      <c r="D793" s="6" t="s">
        <v>234</v>
      </c>
      <c r="E793" s="6" t="s">
        <v>904</v>
      </c>
      <c r="F793" s="6">
        <v>8102.24</v>
      </c>
      <c r="J793" s="47" t="e">
        <f t="shared" si="60"/>
        <v>#DIV/0!</v>
      </c>
      <c r="K793" s="47" t="e">
        <f t="shared" si="61"/>
        <v>#DIV/0!</v>
      </c>
      <c r="O793" s="17" t="e">
        <f t="shared" si="62"/>
        <v>#DIV/0!</v>
      </c>
      <c r="P793" s="17" t="e">
        <f t="shared" si="63"/>
        <v>#DIV/0!</v>
      </c>
      <c r="V793" s="45" t="e">
        <f t="shared" si="64"/>
        <v>#DIV/0!</v>
      </c>
      <c r="X793" s="12">
        <v>1.84</v>
      </c>
    </row>
    <row r="794" spans="1:25" x14ac:dyDescent="0.45">
      <c r="A794" s="3" t="s">
        <v>1671</v>
      </c>
      <c r="B794" s="3" t="s">
        <v>1672</v>
      </c>
      <c r="C794" s="6" t="s">
        <v>518</v>
      </c>
      <c r="D794" s="6" t="s">
        <v>46</v>
      </c>
      <c r="E794" s="6" t="s">
        <v>63</v>
      </c>
      <c r="F794" s="6">
        <v>61790.65</v>
      </c>
      <c r="G794" s="2">
        <v>0.01</v>
      </c>
      <c r="H794" s="2">
        <v>1</v>
      </c>
      <c r="I794" s="2">
        <v>1.65</v>
      </c>
      <c r="J794" s="47">
        <f t="shared" si="60"/>
        <v>99</v>
      </c>
      <c r="K794" s="47">
        <f t="shared" si="61"/>
        <v>0.64999999999999991</v>
      </c>
      <c r="L794" s="8">
        <v>10.119999999999999</v>
      </c>
      <c r="M794" s="8">
        <v>15.4</v>
      </c>
      <c r="N794" s="8">
        <v>9.35</v>
      </c>
      <c r="O794" s="17">
        <f t="shared" si="62"/>
        <v>1.5555555555555557E-3</v>
      </c>
      <c r="P794" s="17">
        <f t="shared" si="63"/>
        <v>0.14384615384615387</v>
      </c>
      <c r="Q794" s="5">
        <v>0.71</v>
      </c>
      <c r="R794" s="9">
        <v>19.04</v>
      </c>
      <c r="S794" s="9">
        <v>-2.9</v>
      </c>
      <c r="T794" s="9">
        <v>125888.35156</v>
      </c>
      <c r="U794" s="9">
        <v>127144</v>
      </c>
      <c r="V794" s="45">
        <f t="shared" si="64"/>
        <v>-9.8757978355251096E-3</v>
      </c>
      <c r="W794" s="12">
        <v>456.25</v>
      </c>
      <c r="X794" s="12">
        <v>0</v>
      </c>
      <c r="Y794" s="12">
        <v>20210729</v>
      </c>
    </row>
    <row r="795" spans="1:25" x14ac:dyDescent="0.45">
      <c r="A795" s="3" t="s">
        <v>1673</v>
      </c>
      <c r="B795" s="3" t="s">
        <v>1674</v>
      </c>
      <c r="C795" s="6" t="s">
        <v>518</v>
      </c>
      <c r="D795" s="6" t="s">
        <v>234</v>
      </c>
      <c r="E795" s="6" t="s">
        <v>244</v>
      </c>
      <c r="F795" s="6">
        <v>7150.73</v>
      </c>
      <c r="G795" s="2">
        <v>5.62</v>
      </c>
      <c r="H795" s="2">
        <v>6.53</v>
      </c>
      <c r="I795" s="2">
        <v>6.01</v>
      </c>
      <c r="J795" s="47">
        <f t="shared" si="60"/>
        <v>0.16192170818505341</v>
      </c>
      <c r="K795" s="47">
        <f t="shared" si="61"/>
        <v>-7.9632465543644781E-2</v>
      </c>
      <c r="L795" s="8">
        <v>10.66</v>
      </c>
      <c r="M795" s="8">
        <v>9.9700000000000006</v>
      </c>
      <c r="N795" s="8">
        <v>10.83</v>
      </c>
      <c r="O795" s="17">
        <f t="shared" si="62"/>
        <v>0.61572967032967019</v>
      </c>
      <c r="P795" s="17">
        <f t="shared" si="63"/>
        <v>-1.3599980769230759</v>
      </c>
      <c r="R795" s="9">
        <v>14.3</v>
      </c>
      <c r="S795" s="9">
        <v>5.42</v>
      </c>
      <c r="T795" s="9">
        <v>7480</v>
      </c>
      <c r="U795" s="9">
        <v>7086.67</v>
      </c>
      <c r="V795" s="45">
        <f t="shared" si="64"/>
        <v>5.5502796094639643E-2</v>
      </c>
      <c r="W795" s="12">
        <v>27.13</v>
      </c>
      <c r="X795" s="12">
        <v>2.82</v>
      </c>
      <c r="Y795" s="12">
        <v>20210722</v>
      </c>
    </row>
    <row r="796" spans="1:25" x14ac:dyDescent="0.45">
      <c r="A796" s="3" t="s">
        <v>1675</v>
      </c>
      <c r="B796" s="3" t="s">
        <v>1676</v>
      </c>
      <c r="C796" s="6" t="s">
        <v>519</v>
      </c>
      <c r="D796" s="6" t="s">
        <v>289</v>
      </c>
      <c r="E796" s="6" t="s">
        <v>271</v>
      </c>
      <c r="F796" s="6">
        <v>15978.45</v>
      </c>
      <c r="G796" s="2">
        <v>3.07</v>
      </c>
      <c r="H796" s="2">
        <v>8.61</v>
      </c>
      <c r="I796" s="2">
        <v>10.55</v>
      </c>
      <c r="J796" s="47">
        <f t="shared" si="60"/>
        <v>1.8045602605863191</v>
      </c>
      <c r="K796" s="47">
        <f t="shared" si="61"/>
        <v>0.22531939605110354</v>
      </c>
      <c r="L796" s="8">
        <v>22.69</v>
      </c>
      <c r="M796" s="8">
        <v>10.26</v>
      </c>
      <c r="N796" s="8">
        <v>8.3699999999999992</v>
      </c>
      <c r="O796" s="17">
        <f t="shared" si="62"/>
        <v>5.6855956678700359E-2</v>
      </c>
      <c r="P796" s="17">
        <f t="shared" si="63"/>
        <v>0.3714726804123708</v>
      </c>
      <c r="R796" s="9">
        <v>5.73</v>
      </c>
      <c r="S796" s="9">
        <v>61.17</v>
      </c>
      <c r="T796" s="9">
        <v>4860.8627900000001</v>
      </c>
      <c r="U796" s="9">
        <v>2813</v>
      </c>
      <c r="V796" s="45">
        <f t="shared" si="64"/>
        <v>0.72799956985424819</v>
      </c>
      <c r="W796" s="12">
        <v>32.950000000000003</v>
      </c>
      <c r="X796" s="12">
        <v>1.81</v>
      </c>
      <c r="Y796" s="12">
        <v>20210802</v>
      </c>
    </row>
    <row r="797" spans="1:25" x14ac:dyDescent="0.45">
      <c r="A797" s="3" t="s">
        <v>1677</v>
      </c>
      <c r="B797" s="3" t="s">
        <v>1678</v>
      </c>
      <c r="C797" s="6" t="s">
        <v>520</v>
      </c>
      <c r="D797" s="6" t="s">
        <v>272</v>
      </c>
      <c r="E797" s="6" t="s">
        <v>1679</v>
      </c>
      <c r="F797" s="6">
        <v>47492.08</v>
      </c>
      <c r="G797" s="2">
        <v>0.45</v>
      </c>
      <c r="H797" s="2">
        <v>0.72</v>
      </c>
      <c r="I797" s="2">
        <v>0.79</v>
      </c>
      <c r="J797" s="47">
        <f t="shared" si="60"/>
        <v>0.59999999999999987</v>
      </c>
      <c r="K797" s="47">
        <f t="shared" si="61"/>
        <v>9.7222222222222307E-2</v>
      </c>
      <c r="L797" s="8">
        <v>51.13</v>
      </c>
      <c r="M797" s="8">
        <v>32.67</v>
      </c>
      <c r="N797" s="8">
        <v>29.9</v>
      </c>
      <c r="O797" s="17">
        <f t="shared" si="62"/>
        <v>0.54450000000000021</v>
      </c>
      <c r="P797" s="17">
        <f t="shared" si="63"/>
        <v>3.0754285714285685</v>
      </c>
      <c r="Q797" s="5">
        <v>1.34</v>
      </c>
      <c r="R797" s="9">
        <v>6.83</v>
      </c>
      <c r="S797" s="9">
        <v>-2.09</v>
      </c>
      <c r="T797" s="9">
        <v>6520.9501899999996</v>
      </c>
      <c r="U797" s="9">
        <v>5200.84</v>
      </c>
      <c r="V797" s="45">
        <f t="shared" si="64"/>
        <v>0.25382634151406297</v>
      </c>
      <c r="W797" s="12">
        <v>11.76</v>
      </c>
      <c r="X797" s="12">
        <v>0.25</v>
      </c>
      <c r="Y797" s="12">
        <v>20210727</v>
      </c>
    </row>
    <row r="798" spans="1:25" x14ac:dyDescent="0.45">
      <c r="A798" s="3" t="s">
        <v>4629</v>
      </c>
      <c r="B798" s="3" t="s">
        <v>4630</v>
      </c>
      <c r="C798" s="6" t="s">
        <v>518</v>
      </c>
      <c r="D798" s="6" t="s">
        <v>234</v>
      </c>
      <c r="E798" s="6" t="s">
        <v>904</v>
      </c>
      <c r="F798" s="6">
        <v>3473.72</v>
      </c>
      <c r="J798" s="47" t="e">
        <f t="shared" si="60"/>
        <v>#DIV/0!</v>
      </c>
      <c r="K798" s="47" t="e">
        <f t="shared" si="61"/>
        <v>#DIV/0!</v>
      </c>
      <c r="O798" s="17" t="e">
        <f t="shared" si="62"/>
        <v>#DIV/0!</v>
      </c>
      <c r="P798" s="17" t="e">
        <f t="shared" si="63"/>
        <v>#DIV/0!</v>
      </c>
      <c r="V798" s="45" t="e">
        <f t="shared" si="64"/>
        <v>#DIV/0!</v>
      </c>
      <c r="X798" s="12">
        <v>0.24</v>
      </c>
    </row>
    <row r="799" spans="1:25" x14ac:dyDescent="0.45">
      <c r="A799" s="3" t="s">
        <v>1680</v>
      </c>
      <c r="B799" s="3" t="s">
        <v>1681</v>
      </c>
      <c r="C799" s="6" t="s">
        <v>519</v>
      </c>
      <c r="D799" s="6" t="s">
        <v>303</v>
      </c>
      <c r="E799" s="6" t="s">
        <v>928</v>
      </c>
      <c r="F799" s="6">
        <v>30222.47</v>
      </c>
      <c r="G799" s="2">
        <v>1.48</v>
      </c>
      <c r="H799" s="2">
        <v>1.55</v>
      </c>
      <c r="I799" s="2">
        <v>1.7</v>
      </c>
      <c r="J799" s="47">
        <f t="shared" si="60"/>
        <v>4.7297297297297342E-2</v>
      </c>
      <c r="K799" s="47">
        <f t="shared" si="61"/>
        <v>9.6774193548387039E-2</v>
      </c>
      <c r="L799" s="8">
        <v>34.840000000000003</v>
      </c>
      <c r="M799" s="8">
        <v>33.92</v>
      </c>
      <c r="N799" s="8">
        <v>30.93</v>
      </c>
      <c r="O799" s="17">
        <f t="shared" si="62"/>
        <v>7.1716571428571365</v>
      </c>
      <c r="P799" s="17">
        <f t="shared" si="63"/>
        <v>3.1961000000000017</v>
      </c>
      <c r="Q799" s="5">
        <v>3.77</v>
      </c>
      <c r="R799" s="9">
        <v>31</v>
      </c>
      <c r="S799" s="9">
        <v>9.35</v>
      </c>
      <c r="T799" s="9">
        <v>5856.9140600000001</v>
      </c>
      <c r="U799" s="9">
        <v>5647.3</v>
      </c>
      <c r="V799" s="45">
        <f t="shared" si="64"/>
        <v>3.7117571228728753E-2</v>
      </c>
      <c r="W799" s="12">
        <v>0</v>
      </c>
      <c r="X799" s="12">
        <v>2.13</v>
      </c>
      <c r="Y799" s="12">
        <v>20210713</v>
      </c>
    </row>
    <row r="800" spans="1:25" x14ac:dyDescent="0.45">
      <c r="A800" s="3" t="s">
        <v>1682</v>
      </c>
      <c r="B800" s="3" t="s">
        <v>1683</v>
      </c>
      <c r="C800" s="6" t="s">
        <v>519</v>
      </c>
      <c r="D800" s="6" t="s">
        <v>279</v>
      </c>
      <c r="E800" s="6" t="s">
        <v>256</v>
      </c>
      <c r="F800" s="6">
        <v>7792.74</v>
      </c>
      <c r="G800" s="2">
        <v>-1.88</v>
      </c>
      <c r="H800" s="2">
        <v>-2.13</v>
      </c>
      <c r="I800" s="2">
        <v>-2.4900000000000002</v>
      </c>
      <c r="J800" s="47">
        <f t="shared" si="60"/>
        <v>-0.13297872340425532</v>
      </c>
      <c r="K800" s="47">
        <f t="shared" si="61"/>
        <v>-0.16901408450704242</v>
      </c>
      <c r="O800" s="17">
        <f t="shared" si="62"/>
        <v>0</v>
      </c>
      <c r="P800" s="17">
        <f t="shared" si="63"/>
        <v>0</v>
      </c>
      <c r="R800" s="9">
        <v>-26.48</v>
      </c>
      <c r="S800" s="9">
        <v>52.97</v>
      </c>
      <c r="T800" s="9">
        <v>33.96799</v>
      </c>
      <c r="U800" s="9">
        <v>31.43</v>
      </c>
      <c r="V800" s="45">
        <f t="shared" si="64"/>
        <v>8.0750556792873074E-2</v>
      </c>
      <c r="W800" s="12">
        <v>-14.29</v>
      </c>
      <c r="X800" s="12">
        <v>0</v>
      </c>
      <c r="Y800" s="12">
        <v>20210804</v>
      </c>
    </row>
    <row r="801" spans="1:25" x14ac:dyDescent="0.45">
      <c r="A801" s="3" t="s">
        <v>1684</v>
      </c>
      <c r="B801" s="3" t="s">
        <v>1685</v>
      </c>
      <c r="C801" s="6" t="s">
        <v>519</v>
      </c>
      <c r="D801" s="6" t="s">
        <v>189</v>
      </c>
      <c r="E801" s="6" t="s">
        <v>247</v>
      </c>
      <c r="F801" s="6">
        <v>936412.25</v>
      </c>
      <c r="G801" s="2">
        <v>9.4499999999999993</v>
      </c>
      <c r="H801" s="2">
        <v>13.18</v>
      </c>
      <c r="I801" s="2">
        <v>15.52</v>
      </c>
      <c r="J801" s="47">
        <f t="shared" si="60"/>
        <v>0.39470899470899479</v>
      </c>
      <c r="K801" s="47">
        <f t="shared" si="61"/>
        <v>0.17754172989377845</v>
      </c>
      <c r="L801" s="8">
        <v>28.25</v>
      </c>
      <c r="M801" s="8">
        <v>25.05</v>
      </c>
      <c r="N801" s="8">
        <v>21.28</v>
      </c>
      <c r="O801" s="17">
        <f t="shared" si="62"/>
        <v>0.63464477211796233</v>
      </c>
      <c r="P801" s="17">
        <f t="shared" si="63"/>
        <v>1.198591452991453</v>
      </c>
      <c r="Q801" s="5">
        <v>1.24</v>
      </c>
      <c r="R801" s="9">
        <v>27.54</v>
      </c>
      <c r="S801" s="9">
        <v>33.799999999999997</v>
      </c>
      <c r="T801" s="9">
        <v>116293.17187000001</v>
      </c>
      <c r="U801" s="9">
        <v>85965</v>
      </c>
      <c r="V801" s="45">
        <f t="shared" si="64"/>
        <v>0.3527967413482232</v>
      </c>
      <c r="W801" s="12">
        <v>39.83</v>
      </c>
      <c r="X801" s="12">
        <v>0</v>
      </c>
      <c r="Y801" s="12">
        <v>20210729</v>
      </c>
    </row>
    <row r="802" spans="1:25" x14ac:dyDescent="0.45">
      <c r="A802" s="3" t="s">
        <v>1686</v>
      </c>
      <c r="B802" s="3" t="s">
        <v>1687</v>
      </c>
      <c r="C802" s="6" t="s">
        <v>518</v>
      </c>
      <c r="D802" s="6" t="s">
        <v>303</v>
      </c>
      <c r="E802" s="6" t="s">
        <v>621</v>
      </c>
      <c r="F802" s="6">
        <v>13893.1</v>
      </c>
      <c r="G802" s="2">
        <v>4.0999999999999996</v>
      </c>
      <c r="H802" s="2">
        <v>5.63</v>
      </c>
      <c r="I802" s="2">
        <v>6.25</v>
      </c>
      <c r="J802" s="47">
        <f t="shared" si="60"/>
        <v>0.37317073170731718</v>
      </c>
      <c r="K802" s="47">
        <f t="shared" si="61"/>
        <v>0.11012433392539966</v>
      </c>
      <c r="L802" s="8">
        <v>21.15</v>
      </c>
      <c r="M802" s="8">
        <v>17.809999999999999</v>
      </c>
      <c r="N802" s="8">
        <v>16.05</v>
      </c>
      <c r="O802" s="17">
        <f t="shared" si="62"/>
        <v>0.47726143790849657</v>
      </c>
      <c r="P802" s="17">
        <f t="shared" si="63"/>
        <v>1.4574435483870967</v>
      </c>
      <c r="R802" s="9">
        <v>24.65</v>
      </c>
      <c r="S802" s="9">
        <v>5.04</v>
      </c>
      <c r="T802" s="9">
        <v>7288.7460899999996</v>
      </c>
      <c r="U802" s="9">
        <v>6090.3</v>
      </c>
      <c r="V802" s="45">
        <f t="shared" si="64"/>
        <v>0.19677948376927235</v>
      </c>
      <c r="W802" s="12">
        <v>30.77</v>
      </c>
      <c r="X802" s="12">
        <v>1.04</v>
      </c>
      <c r="Y802" s="12">
        <v>20210804</v>
      </c>
    </row>
    <row r="803" spans="1:25" x14ac:dyDescent="0.45">
      <c r="A803" s="3" t="s">
        <v>1688</v>
      </c>
      <c r="B803" s="3" t="s">
        <v>1689</v>
      </c>
      <c r="C803" s="6" t="s">
        <v>519</v>
      </c>
      <c r="D803" s="6" t="s">
        <v>289</v>
      </c>
      <c r="E803" s="6" t="s">
        <v>430</v>
      </c>
      <c r="F803" s="6">
        <v>3633.78</v>
      </c>
      <c r="G803" s="2">
        <v>-0.42</v>
      </c>
      <c r="H803" s="2">
        <v>-0.28999999999999998</v>
      </c>
      <c r="I803" s="2">
        <v>-0.17</v>
      </c>
      <c r="J803" s="47">
        <f t="shared" si="60"/>
        <v>0.30952380952380953</v>
      </c>
      <c r="K803" s="47">
        <f t="shared" si="61"/>
        <v>0.4137931034482758</v>
      </c>
      <c r="O803" s="17">
        <f t="shared" si="62"/>
        <v>0</v>
      </c>
      <c r="P803" s="17">
        <f t="shared" si="63"/>
        <v>0</v>
      </c>
      <c r="R803" s="9">
        <v>-39.99</v>
      </c>
      <c r="S803" s="9">
        <v>-14.2</v>
      </c>
      <c r="T803" s="9">
        <v>79.373999999999995</v>
      </c>
      <c r="U803" s="9">
        <v>70.87</v>
      </c>
      <c r="V803" s="45">
        <f t="shared" si="64"/>
        <v>0.11999435586284733</v>
      </c>
      <c r="W803" s="12">
        <v>-50</v>
      </c>
      <c r="X803" s="12">
        <v>0</v>
      </c>
      <c r="Y803" s="12">
        <v>20210610</v>
      </c>
    </row>
    <row r="804" spans="1:25" x14ac:dyDescent="0.45">
      <c r="A804" s="3" t="s">
        <v>4131</v>
      </c>
      <c r="B804" s="3" t="s">
        <v>4132</v>
      </c>
      <c r="C804" s="6" t="s">
        <v>519</v>
      </c>
      <c r="D804" s="6" t="s">
        <v>234</v>
      </c>
      <c r="E804" s="6" t="s">
        <v>218</v>
      </c>
      <c r="F804" s="6">
        <v>3390.51</v>
      </c>
      <c r="G804" s="2">
        <v>2.99</v>
      </c>
      <c r="H804" s="2">
        <v>2.91</v>
      </c>
      <c r="I804" s="2">
        <v>3.48</v>
      </c>
      <c r="J804" s="47">
        <f t="shared" si="60"/>
        <v>-2.6755852842809385E-2</v>
      </c>
      <c r="K804" s="47">
        <f t="shared" si="61"/>
        <v>0.19587628865979376</v>
      </c>
      <c r="L804" s="8">
        <v>28.5</v>
      </c>
      <c r="M804" s="8">
        <v>28.42</v>
      </c>
      <c r="N804" s="8">
        <v>23.75</v>
      </c>
      <c r="O804" s="17">
        <f t="shared" si="62"/>
        <v>-10.621974999999992</v>
      </c>
      <c r="P804" s="17">
        <f t="shared" si="63"/>
        <v>1.2125000000000004</v>
      </c>
      <c r="R804" s="9">
        <v>9.48</v>
      </c>
      <c r="S804" s="9">
        <v>12.8</v>
      </c>
      <c r="T804" s="9">
        <v>1572.0169599999999</v>
      </c>
      <c r="U804" s="9">
        <v>1631.28</v>
      </c>
      <c r="V804" s="45">
        <f t="shared" si="64"/>
        <v>-3.632916482762006E-2</v>
      </c>
      <c r="W804" s="12">
        <v>34.92</v>
      </c>
      <c r="X804" s="12">
        <v>1.45</v>
      </c>
      <c r="Y804" s="12">
        <v>20210728</v>
      </c>
    </row>
    <row r="805" spans="1:25" x14ac:dyDescent="0.45">
      <c r="A805" s="3" t="s">
        <v>1690</v>
      </c>
      <c r="B805" s="3" t="s">
        <v>1691</v>
      </c>
      <c r="C805" s="6" t="s">
        <v>518</v>
      </c>
      <c r="D805" s="6" t="s">
        <v>175</v>
      </c>
      <c r="E805" s="6" t="s">
        <v>205</v>
      </c>
      <c r="F805" s="6">
        <v>4729.04</v>
      </c>
      <c r="G805" s="2">
        <v>5.5</v>
      </c>
      <c r="H805" s="2">
        <v>6.16</v>
      </c>
      <c r="I805" s="2">
        <v>7.27</v>
      </c>
      <c r="J805" s="47">
        <f t="shared" si="60"/>
        <v>0.12000000000000002</v>
      </c>
      <c r="K805" s="47">
        <f t="shared" si="61"/>
        <v>0.1801948051948051</v>
      </c>
      <c r="L805" s="8">
        <v>21.73</v>
      </c>
      <c r="M805" s="8">
        <v>22.42</v>
      </c>
      <c r="N805" s="8">
        <v>19.010000000000002</v>
      </c>
      <c r="O805" s="17">
        <f t="shared" si="62"/>
        <v>1.8683333333333332</v>
      </c>
      <c r="P805" s="17">
        <f t="shared" si="63"/>
        <v>1.05496936936937</v>
      </c>
      <c r="R805" s="9">
        <v>15.98</v>
      </c>
      <c r="S805" s="9">
        <v>8.8800000000000008</v>
      </c>
      <c r="T805" s="9">
        <v>2635.5200100000002</v>
      </c>
      <c r="U805" s="9">
        <v>2461.27</v>
      </c>
      <c r="V805" s="45">
        <f t="shared" si="64"/>
        <v>7.079678783717358E-2</v>
      </c>
      <c r="W805" s="12">
        <v>60.17</v>
      </c>
      <c r="X805" s="12">
        <v>0</v>
      </c>
      <c r="Y805" s="12">
        <v>20210729</v>
      </c>
    </row>
    <row r="806" spans="1:25" x14ac:dyDescent="0.45">
      <c r="A806" s="3" t="s">
        <v>4133</v>
      </c>
      <c r="B806" s="3" t="s">
        <v>4134</v>
      </c>
      <c r="C806" s="6" t="s">
        <v>519</v>
      </c>
      <c r="D806" s="6" t="s">
        <v>234</v>
      </c>
      <c r="E806" s="6" t="s">
        <v>172</v>
      </c>
      <c r="F806" s="6">
        <v>8507.98</v>
      </c>
      <c r="H806" s="2">
        <v>46.08</v>
      </c>
      <c r="I806" s="2">
        <v>80.55</v>
      </c>
      <c r="J806" s="47" t="e">
        <f t="shared" si="60"/>
        <v>#DIV/0!</v>
      </c>
      <c r="K806" s="47">
        <f t="shared" si="61"/>
        <v>0.748046875</v>
      </c>
      <c r="L806" s="8">
        <v>15.23</v>
      </c>
      <c r="M806" s="8">
        <v>18.809999999999999</v>
      </c>
      <c r="N806" s="8">
        <v>10.76</v>
      </c>
      <c r="O806" s="17" t="e">
        <f t="shared" si="62"/>
        <v>#DIV/0!</v>
      </c>
      <c r="P806" s="17">
        <f t="shared" si="63"/>
        <v>0.14384125326370756</v>
      </c>
      <c r="R806" s="9">
        <v>15.01</v>
      </c>
      <c r="S806" s="9">
        <v>7.16</v>
      </c>
      <c r="U806" s="9">
        <v>1960.78</v>
      </c>
      <c r="V806" s="45">
        <f t="shared" si="64"/>
        <v>-1</v>
      </c>
      <c r="X806" s="12">
        <v>0.22</v>
      </c>
      <c r="Y806" s="12">
        <v>20210727</v>
      </c>
    </row>
    <row r="807" spans="1:25" x14ac:dyDescent="0.45">
      <c r="A807" s="3" t="s">
        <v>1692</v>
      </c>
      <c r="B807" s="3" t="s">
        <v>1693</v>
      </c>
      <c r="C807" s="6" t="s">
        <v>518</v>
      </c>
      <c r="D807" s="6" t="s">
        <v>90</v>
      </c>
      <c r="E807" s="6" t="s">
        <v>269</v>
      </c>
      <c r="F807" s="6">
        <v>59646.94</v>
      </c>
      <c r="G807" s="2">
        <v>0.56000000000000005</v>
      </c>
      <c r="H807" s="2">
        <v>3.11</v>
      </c>
      <c r="I807" s="2">
        <v>4.09</v>
      </c>
      <c r="J807" s="47">
        <f t="shared" si="60"/>
        <v>4.5535714285714279</v>
      </c>
      <c r="K807" s="47">
        <f t="shared" si="61"/>
        <v>0.31511254019292606</v>
      </c>
      <c r="L807" s="8">
        <v>33.64</v>
      </c>
      <c r="M807" s="8">
        <v>13.09</v>
      </c>
      <c r="N807" s="8">
        <v>9.9499999999999993</v>
      </c>
      <c r="O807" s="17">
        <f t="shared" si="62"/>
        <v>2.874666666666667E-2</v>
      </c>
      <c r="P807" s="17">
        <f t="shared" si="63"/>
        <v>0.31576020408163258</v>
      </c>
      <c r="Q807" s="5">
        <v>0.46</v>
      </c>
      <c r="R807" s="9">
        <v>9.85</v>
      </c>
      <c r="S807" s="9">
        <v>-1.57</v>
      </c>
      <c r="T807" s="9">
        <v>22402.765619999998</v>
      </c>
      <c r="U807" s="9">
        <v>14198</v>
      </c>
      <c r="V807" s="45">
        <f t="shared" si="64"/>
        <v>0.57788178757571473</v>
      </c>
      <c r="W807" s="12">
        <v>0</v>
      </c>
      <c r="X807" s="12">
        <v>0.74</v>
      </c>
      <c r="Y807" s="12">
        <v>20210722</v>
      </c>
    </row>
    <row r="808" spans="1:25" x14ac:dyDescent="0.45">
      <c r="A808" s="3" t="s">
        <v>4631</v>
      </c>
      <c r="B808" s="3" t="s">
        <v>4632</v>
      </c>
      <c r="C808" s="6" t="s">
        <v>518</v>
      </c>
      <c r="D808" s="6" t="s">
        <v>234</v>
      </c>
      <c r="E808" s="6" t="s">
        <v>904</v>
      </c>
      <c r="F808" s="6">
        <v>10065.56</v>
      </c>
      <c r="J808" s="47" t="e">
        <f t="shared" si="60"/>
        <v>#DIV/0!</v>
      </c>
      <c r="K808" s="47" t="e">
        <f t="shared" si="61"/>
        <v>#DIV/0!</v>
      </c>
      <c r="O808" s="17" t="e">
        <f t="shared" si="62"/>
        <v>#DIV/0!</v>
      </c>
      <c r="P808" s="17" t="e">
        <f t="shared" si="63"/>
        <v>#DIV/0!</v>
      </c>
      <c r="V808" s="45" t="e">
        <f t="shared" si="64"/>
        <v>#DIV/0!</v>
      </c>
      <c r="X808" s="12">
        <v>0</v>
      </c>
    </row>
    <row r="809" spans="1:25" x14ac:dyDescent="0.45">
      <c r="A809" s="3" t="s">
        <v>1694</v>
      </c>
      <c r="B809" s="3" t="s">
        <v>1695</v>
      </c>
      <c r="C809" s="6" t="s">
        <v>518</v>
      </c>
      <c r="D809" s="6" t="s">
        <v>175</v>
      </c>
      <c r="E809" s="6" t="s">
        <v>193</v>
      </c>
      <c r="F809" s="6">
        <v>12180.07</v>
      </c>
      <c r="G809" s="2">
        <v>10.54</v>
      </c>
      <c r="H809" s="2">
        <v>11.13</v>
      </c>
      <c r="I809" s="2">
        <v>11.83</v>
      </c>
      <c r="J809" s="47">
        <f t="shared" si="60"/>
        <v>5.5977229601518186E-2</v>
      </c>
      <c r="K809" s="47">
        <f t="shared" si="61"/>
        <v>6.289308176100622E-2</v>
      </c>
      <c r="L809" s="8">
        <v>28.38</v>
      </c>
      <c r="M809" s="8">
        <v>28.91</v>
      </c>
      <c r="N809" s="8">
        <v>27.2</v>
      </c>
      <c r="O809" s="17">
        <f t="shared" si="62"/>
        <v>5.164599999999985</v>
      </c>
      <c r="P809" s="17">
        <f t="shared" si="63"/>
        <v>4.3248000000000042</v>
      </c>
      <c r="Q809" s="5">
        <v>3.61</v>
      </c>
      <c r="R809" s="9">
        <v>48.42</v>
      </c>
      <c r="S809" s="9">
        <v>7.45</v>
      </c>
      <c r="T809" s="9">
        <v>1581.35095</v>
      </c>
      <c r="U809" s="9">
        <v>1494.11</v>
      </c>
      <c r="V809" s="45">
        <f t="shared" si="64"/>
        <v>5.8389911050725926E-2</v>
      </c>
      <c r="W809" s="12">
        <v>-0.73</v>
      </c>
      <c r="X809" s="12">
        <v>1.02</v>
      </c>
      <c r="Y809" s="12">
        <v>20210629</v>
      </c>
    </row>
    <row r="810" spans="1:25" x14ac:dyDescent="0.45">
      <c r="A810" s="3" t="s">
        <v>1696</v>
      </c>
      <c r="B810" s="3" t="s">
        <v>1697</v>
      </c>
      <c r="C810" s="6" t="s">
        <v>518</v>
      </c>
      <c r="D810" s="6" t="s">
        <v>309</v>
      </c>
      <c r="E810" s="6" t="s">
        <v>1698</v>
      </c>
      <c r="F810" s="6">
        <v>77774.41</v>
      </c>
      <c r="G810" s="2">
        <v>18.07</v>
      </c>
      <c r="H810" s="2">
        <v>20.6</v>
      </c>
      <c r="I810" s="2">
        <v>21.92</v>
      </c>
      <c r="J810" s="47">
        <f t="shared" si="60"/>
        <v>0.1400110680686221</v>
      </c>
      <c r="K810" s="47">
        <f t="shared" si="61"/>
        <v>6.4077669902912637E-2</v>
      </c>
      <c r="L810" s="8">
        <v>18.670000000000002</v>
      </c>
      <c r="M810" s="8">
        <v>14.23</v>
      </c>
      <c r="N810" s="8">
        <v>13.37</v>
      </c>
      <c r="O810" s="17">
        <f t="shared" si="62"/>
        <v>1.016348221343873</v>
      </c>
      <c r="P810" s="17">
        <f t="shared" si="63"/>
        <v>2.0865303030303024</v>
      </c>
      <c r="Q810" s="5">
        <v>1.19</v>
      </c>
      <c r="R810" s="9">
        <v>20.74</v>
      </c>
      <c r="S810" s="9">
        <v>7.73</v>
      </c>
      <c r="T810" s="9">
        <v>86925.421870000006</v>
      </c>
      <c r="U810" s="9">
        <v>69217</v>
      </c>
      <c r="V810" s="45">
        <f t="shared" si="64"/>
        <v>0.25583919947411771</v>
      </c>
      <c r="W810" s="12">
        <v>8.1</v>
      </c>
      <c r="X810" s="12">
        <v>0.89</v>
      </c>
      <c r="Y810" s="12">
        <v>20210624</v>
      </c>
    </row>
    <row r="811" spans="1:25" x14ac:dyDescent="0.45">
      <c r="A811" s="3" t="s">
        <v>1699</v>
      </c>
      <c r="B811" s="3" t="s">
        <v>1700</v>
      </c>
      <c r="C811" s="6" t="s">
        <v>518</v>
      </c>
      <c r="D811" s="6" t="s">
        <v>327</v>
      </c>
      <c r="E811" s="6" t="s">
        <v>321</v>
      </c>
      <c r="F811" s="6">
        <v>20938.810000000001</v>
      </c>
      <c r="G811" s="2">
        <v>2.54</v>
      </c>
      <c r="H811" s="2">
        <v>2.52</v>
      </c>
      <c r="I811" s="2">
        <v>2.62</v>
      </c>
      <c r="J811" s="47">
        <f t="shared" si="60"/>
        <v>-7.8740157480315029E-3</v>
      </c>
      <c r="K811" s="47">
        <f t="shared" si="61"/>
        <v>3.9682539682539715E-2</v>
      </c>
      <c r="L811" s="8">
        <v>15.9</v>
      </c>
      <c r="M811" s="8">
        <v>15.25</v>
      </c>
      <c r="N811" s="8">
        <v>14.69</v>
      </c>
      <c r="O811" s="17">
        <f t="shared" si="62"/>
        <v>-19.367499999999982</v>
      </c>
      <c r="P811" s="17">
        <f t="shared" si="63"/>
        <v>3.701879999999997</v>
      </c>
      <c r="R811" s="9">
        <v>18.170000000000002</v>
      </c>
      <c r="S811" s="9">
        <v>-7.88</v>
      </c>
      <c r="T811" s="9">
        <v>11136.309569999999</v>
      </c>
      <c r="U811" s="9">
        <v>10790</v>
      </c>
      <c r="V811" s="45">
        <f t="shared" si="64"/>
        <v>3.2095418906394758E-2</v>
      </c>
      <c r="W811" s="12">
        <v>1.47</v>
      </c>
      <c r="X811" s="12">
        <v>4.05</v>
      </c>
      <c r="Y811" s="12">
        <v>20210722</v>
      </c>
    </row>
    <row r="812" spans="1:25" x14ac:dyDescent="0.45">
      <c r="A812" s="3" t="s">
        <v>1701</v>
      </c>
      <c r="B812" s="3" t="s">
        <v>1702</v>
      </c>
      <c r="C812" s="6" t="s">
        <v>519</v>
      </c>
      <c r="D812" s="6" t="s">
        <v>272</v>
      </c>
      <c r="E812" s="6" t="s">
        <v>252</v>
      </c>
      <c r="F812" s="6">
        <v>3780.57</v>
      </c>
      <c r="G812" s="2">
        <v>2.12</v>
      </c>
      <c r="H812" s="2">
        <v>3.01</v>
      </c>
      <c r="I812" s="2">
        <v>3.14</v>
      </c>
      <c r="J812" s="47">
        <f t="shared" si="60"/>
        <v>0.41981132075471683</v>
      </c>
      <c r="K812" s="47">
        <f t="shared" si="61"/>
        <v>4.3189368770764236E-2</v>
      </c>
      <c r="L812" s="8">
        <v>32.15</v>
      </c>
      <c r="M812" s="8">
        <v>27.02</v>
      </c>
      <c r="N812" s="8">
        <v>25.93</v>
      </c>
      <c r="O812" s="17">
        <f t="shared" si="62"/>
        <v>0.64362247191011257</v>
      </c>
      <c r="P812" s="17">
        <f t="shared" si="63"/>
        <v>6.003792307692291</v>
      </c>
      <c r="R812" s="9">
        <v>14.37</v>
      </c>
      <c r="S812" s="9">
        <v>7.96</v>
      </c>
      <c r="T812" s="9">
        <v>1447.04504</v>
      </c>
      <c r="U812" s="9">
        <v>1247.33</v>
      </c>
      <c r="V812" s="45">
        <f t="shared" si="64"/>
        <v>0.16011403557999893</v>
      </c>
      <c r="W812" s="12">
        <v>51.28</v>
      </c>
      <c r="X812" s="12">
        <v>0.86</v>
      </c>
      <c r="Y812" s="12">
        <v>20210727</v>
      </c>
    </row>
    <row r="813" spans="1:25" x14ac:dyDescent="0.45">
      <c r="A813" s="3" t="s">
        <v>1703</v>
      </c>
      <c r="B813" s="3" t="s">
        <v>4135</v>
      </c>
      <c r="C813" s="6" t="s">
        <v>518</v>
      </c>
      <c r="D813" s="6" t="s">
        <v>272</v>
      </c>
      <c r="E813" s="6" t="s">
        <v>254</v>
      </c>
      <c r="F813" s="6">
        <v>31006.639999999999</v>
      </c>
      <c r="G813" s="2">
        <v>4.88</v>
      </c>
      <c r="H813" s="2">
        <v>6.55</v>
      </c>
      <c r="I813" s="2">
        <v>6.98</v>
      </c>
      <c r="J813" s="47">
        <f t="shared" si="60"/>
        <v>0.34221311475409838</v>
      </c>
      <c r="K813" s="47">
        <f t="shared" si="61"/>
        <v>6.5648854961832148E-2</v>
      </c>
      <c r="M813" s="8">
        <v>21.03</v>
      </c>
      <c r="N813" s="8">
        <v>19.73</v>
      </c>
      <c r="O813" s="17">
        <f t="shared" si="62"/>
        <v>0.61452934131736525</v>
      </c>
      <c r="P813" s="17">
        <f t="shared" si="63"/>
        <v>3.0053837209302285</v>
      </c>
      <c r="Q813" s="5">
        <v>1.42</v>
      </c>
      <c r="T813" s="9">
        <v>22908.876950000002</v>
      </c>
      <c r="U813" s="9">
        <v>27544.84</v>
      </c>
      <c r="V813" s="45">
        <f t="shared" si="64"/>
        <v>-0.16830604389061612</v>
      </c>
      <c r="X813" s="12">
        <v>1.06</v>
      </c>
    </row>
    <row r="814" spans="1:25" x14ac:dyDescent="0.45">
      <c r="A814" s="3" t="s">
        <v>1704</v>
      </c>
      <c r="B814" s="3" t="s">
        <v>1705</v>
      </c>
      <c r="C814" s="6" t="s">
        <v>519</v>
      </c>
      <c r="D814" s="6" t="s">
        <v>189</v>
      </c>
      <c r="E814" s="6" t="s">
        <v>433</v>
      </c>
      <c r="F814" s="6">
        <v>4771.29</v>
      </c>
      <c r="G814" s="2">
        <v>0.28999999999999998</v>
      </c>
      <c r="H814" s="2">
        <v>0.4</v>
      </c>
      <c r="I814" s="2">
        <v>0.44</v>
      </c>
      <c r="J814" s="47">
        <f t="shared" si="60"/>
        <v>0.37931034482758635</v>
      </c>
      <c r="K814" s="47">
        <f t="shared" si="61"/>
        <v>9.999999999999995E-2</v>
      </c>
      <c r="L814" s="8">
        <v>50.03</v>
      </c>
      <c r="M814" s="8">
        <v>50.2</v>
      </c>
      <c r="N814" s="8">
        <v>45.48</v>
      </c>
      <c r="O814" s="17">
        <f t="shared" si="62"/>
        <v>1.323454545454545</v>
      </c>
      <c r="P814" s="17">
        <f t="shared" si="63"/>
        <v>4.5480000000000018</v>
      </c>
      <c r="Q814" s="5">
        <v>3.32</v>
      </c>
      <c r="R814" s="9">
        <v>-9.48</v>
      </c>
      <c r="S814" s="9">
        <v>7.41</v>
      </c>
      <c r="T814" s="9">
        <v>1018.00701</v>
      </c>
      <c r="U814" s="9">
        <v>940.58</v>
      </c>
      <c r="V814" s="45">
        <f t="shared" si="64"/>
        <v>8.2318367390333616E-2</v>
      </c>
      <c r="W814" s="12">
        <v>14.29</v>
      </c>
      <c r="X814" s="12">
        <v>0</v>
      </c>
      <c r="Y814" s="12">
        <v>20210727</v>
      </c>
    </row>
    <row r="815" spans="1:25" x14ac:dyDescent="0.45">
      <c r="A815" s="3" t="s">
        <v>1706</v>
      </c>
      <c r="B815" s="3" t="s">
        <v>1707</v>
      </c>
      <c r="C815" s="6" t="s">
        <v>519</v>
      </c>
      <c r="D815" s="6" t="s">
        <v>234</v>
      </c>
      <c r="E815" s="6" t="s">
        <v>965</v>
      </c>
      <c r="F815" s="6">
        <v>7341.94</v>
      </c>
      <c r="G815" s="2">
        <v>1.4</v>
      </c>
      <c r="H815" s="2">
        <v>1.53</v>
      </c>
      <c r="I815" s="2">
        <v>1.39</v>
      </c>
      <c r="J815" s="47">
        <f t="shared" si="60"/>
        <v>9.2857142857142944E-2</v>
      </c>
      <c r="K815" s="47">
        <f t="shared" si="61"/>
        <v>-9.1503267973856287E-2</v>
      </c>
      <c r="L815" s="8">
        <v>33.08</v>
      </c>
      <c r="M815" s="8">
        <v>33.72</v>
      </c>
      <c r="N815" s="8">
        <v>37.21</v>
      </c>
      <c r="O815" s="17">
        <f t="shared" si="62"/>
        <v>3.6313846153846123</v>
      </c>
      <c r="P815" s="17">
        <f t="shared" si="63"/>
        <v>-4.0665214285714253</v>
      </c>
      <c r="R815" s="9">
        <v>13.55</v>
      </c>
      <c r="S815" s="9">
        <v>11.75</v>
      </c>
      <c r="T815" s="9">
        <v>512.54998000000001</v>
      </c>
      <c r="U815" s="9">
        <v>504.06</v>
      </c>
      <c r="V815" s="45">
        <f t="shared" si="64"/>
        <v>1.684319327064239E-2</v>
      </c>
      <c r="W815" s="12">
        <v>8.11</v>
      </c>
      <c r="X815" s="12">
        <v>1.01</v>
      </c>
      <c r="Y815" s="12">
        <v>20210722</v>
      </c>
    </row>
    <row r="816" spans="1:25" x14ac:dyDescent="0.45">
      <c r="A816" s="3" t="s">
        <v>1708</v>
      </c>
      <c r="B816" s="3" t="s">
        <v>1709</v>
      </c>
      <c r="C816" s="6" t="s">
        <v>519</v>
      </c>
      <c r="D816" s="6" t="s">
        <v>189</v>
      </c>
      <c r="E816" s="6" t="s">
        <v>248</v>
      </c>
      <c r="F816" s="6">
        <v>11192.1</v>
      </c>
      <c r="G816" s="2">
        <v>9.33</v>
      </c>
      <c r="H816" s="2">
        <v>10.25</v>
      </c>
      <c r="I816" s="2">
        <v>11.68</v>
      </c>
      <c r="J816" s="47">
        <f t="shared" si="60"/>
        <v>9.8606645230439438E-2</v>
      </c>
      <c r="K816" s="47">
        <f t="shared" si="61"/>
        <v>0.1395121951219512</v>
      </c>
      <c r="L816" s="8">
        <v>19.350000000000001</v>
      </c>
      <c r="M816" s="8">
        <v>18.32</v>
      </c>
      <c r="N816" s="8">
        <v>16.07</v>
      </c>
      <c r="O816" s="17">
        <f t="shared" si="62"/>
        <v>1.8578869565217393</v>
      </c>
      <c r="P816" s="17">
        <f t="shared" si="63"/>
        <v>1.1518706293706296</v>
      </c>
      <c r="Q816" s="5">
        <v>1.32</v>
      </c>
      <c r="R816" s="9">
        <v>18.600000000000001</v>
      </c>
      <c r="S816" s="9">
        <v>4.3</v>
      </c>
      <c r="T816" s="9">
        <v>2571.16894</v>
      </c>
      <c r="U816" s="9">
        <v>2350.8200000000002</v>
      </c>
      <c r="V816" s="45">
        <f t="shared" si="64"/>
        <v>9.3732799618856333E-2</v>
      </c>
      <c r="W816" s="12">
        <v>4.5999999999999996</v>
      </c>
      <c r="X816" s="12">
        <v>0</v>
      </c>
      <c r="Y816" s="12">
        <v>20210726</v>
      </c>
    </row>
    <row r="817" spans="1:25" x14ac:dyDescent="0.45">
      <c r="A817" s="3" t="s">
        <v>4136</v>
      </c>
      <c r="B817" s="3" t="s">
        <v>4137</v>
      </c>
      <c r="C817" s="6" t="s">
        <v>519</v>
      </c>
      <c r="D817" s="6" t="s">
        <v>234</v>
      </c>
      <c r="E817" s="6" t="s">
        <v>181</v>
      </c>
      <c r="F817" s="6">
        <v>3718.19</v>
      </c>
      <c r="G817" s="2">
        <v>1.37</v>
      </c>
      <c r="H817" s="2">
        <v>1.85</v>
      </c>
      <c r="I817" s="2">
        <v>1.78</v>
      </c>
      <c r="J817" s="47">
        <f t="shared" si="60"/>
        <v>0.3503649635036496</v>
      </c>
      <c r="K817" s="47">
        <f t="shared" si="61"/>
        <v>-3.7837837837837868E-2</v>
      </c>
      <c r="L817" s="8">
        <v>17.829999999999998</v>
      </c>
      <c r="M817" s="8">
        <v>15.44</v>
      </c>
      <c r="N817" s="8">
        <v>16.05</v>
      </c>
      <c r="O817" s="17">
        <f t="shared" si="62"/>
        <v>0.44068333333333343</v>
      </c>
      <c r="P817" s="17">
        <f t="shared" si="63"/>
        <v>-4.2417857142857107</v>
      </c>
      <c r="Q817" s="5">
        <v>1.33</v>
      </c>
      <c r="R817" s="9">
        <v>7.67</v>
      </c>
      <c r="S817" s="9">
        <v>2.2400000000000002</v>
      </c>
      <c r="T817" s="9">
        <v>712.40997000000004</v>
      </c>
      <c r="U817" s="9">
        <v>780.14</v>
      </c>
      <c r="V817" s="45">
        <f t="shared" si="64"/>
        <v>-8.6817789114774196E-2</v>
      </c>
      <c r="W817" s="12">
        <v>-4.3499999999999996</v>
      </c>
      <c r="X817" s="12">
        <v>3.65</v>
      </c>
      <c r="Y817" s="12">
        <v>20210723</v>
      </c>
    </row>
    <row r="818" spans="1:25" x14ac:dyDescent="0.45">
      <c r="A818" s="3" t="s">
        <v>4138</v>
      </c>
      <c r="B818" s="3" t="s">
        <v>4139</v>
      </c>
      <c r="C818" s="6" t="s">
        <v>518</v>
      </c>
      <c r="D818" s="6" t="s">
        <v>234</v>
      </c>
      <c r="E818" s="6" t="s">
        <v>220</v>
      </c>
      <c r="F818" s="6">
        <v>3182.11</v>
      </c>
      <c r="G818" s="2">
        <v>3.09</v>
      </c>
      <c r="H818" s="2">
        <v>2.9</v>
      </c>
      <c r="I818" s="2">
        <v>3.04</v>
      </c>
      <c r="J818" s="47">
        <f t="shared" si="60"/>
        <v>-6.148867313915856E-2</v>
      </c>
      <c r="K818" s="47">
        <f t="shared" si="61"/>
        <v>4.8275862068965558E-2</v>
      </c>
      <c r="L818" s="8">
        <v>9.6999999999999993</v>
      </c>
      <c r="M818" s="8">
        <v>11.12</v>
      </c>
      <c r="N818" s="8">
        <v>10.65</v>
      </c>
      <c r="O818" s="17">
        <f t="shared" si="62"/>
        <v>-1.8084631578947372</v>
      </c>
      <c r="P818" s="17">
        <f t="shared" si="63"/>
        <v>2.2060714285714265</v>
      </c>
      <c r="R818" s="9">
        <v>29.73</v>
      </c>
      <c r="S818" s="9">
        <v>7.1</v>
      </c>
      <c r="T818" s="9">
        <v>1344.9449400000001</v>
      </c>
      <c r="U818" s="9">
        <v>1448.27</v>
      </c>
      <c r="V818" s="45">
        <f t="shared" si="64"/>
        <v>-7.1343782581977044E-2</v>
      </c>
      <c r="W818" s="12">
        <v>-2.6</v>
      </c>
      <c r="X818" s="12">
        <v>3.34</v>
      </c>
      <c r="Y818" s="12">
        <v>20210729</v>
      </c>
    </row>
    <row r="819" spans="1:25" x14ac:dyDescent="0.45">
      <c r="A819" s="3" t="s">
        <v>1710</v>
      </c>
      <c r="B819" s="3" t="s">
        <v>1711</v>
      </c>
      <c r="C819" s="6" t="s">
        <v>518</v>
      </c>
      <c r="D819" s="6" t="s">
        <v>234</v>
      </c>
      <c r="E819" s="6" t="s">
        <v>965</v>
      </c>
      <c r="F819" s="6">
        <v>10379.120000000001</v>
      </c>
      <c r="G819" s="2">
        <v>0.94</v>
      </c>
      <c r="H819" s="2">
        <v>1.78</v>
      </c>
      <c r="I819" s="2">
        <v>1.66</v>
      </c>
      <c r="J819" s="47">
        <f t="shared" si="60"/>
        <v>0.89361702127659592</v>
      </c>
      <c r="K819" s="47">
        <f t="shared" si="61"/>
        <v>-6.7415730337078705E-2</v>
      </c>
      <c r="L819" s="8">
        <v>12.36</v>
      </c>
      <c r="M819" s="8">
        <v>10.55</v>
      </c>
      <c r="N819" s="8">
        <v>11.33</v>
      </c>
      <c r="O819" s="17">
        <f t="shared" si="62"/>
        <v>0.11805952380952378</v>
      </c>
      <c r="P819" s="17">
        <f t="shared" si="63"/>
        <v>-1.6806166666666653</v>
      </c>
      <c r="R819" s="9">
        <v>11.68</v>
      </c>
      <c r="S819" s="9">
        <v>23.25</v>
      </c>
      <c r="T819" s="9">
        <v>3105.2949199999998</v>
      </c>
      <c r="U819" s="9">
        <v>3390</v>
      </c>
      <c r="V819" s="45">
        <f t="shared" si="64"/>
        <v>-8.398379941002955E-2</v>
      </c>
      <c r="W819" s="12">
        <v>37.840000000000003</v>
      </c>
      <c r="X819" s="12">
        <v>3.19</v>
      </c>
      <c r="Y819" s="12">
        <v>20210716</v>
      </c>
    </row>
    <row r="820" spans="1:25" x14ac:dyDescent="0.45">
      <c r="A820" s="3" t="s">
        <v>1712</v>
      </c>
      <c r="B820" s="3" t="s">
        <v>1713</v>
      </c>
      <c r="C820" s="6" t="s">
        <v>518</v>
      </c>
      <c r="D820" s="6" t="s">
        <v>189</v>
      </c>
      <c r="E820" s="6" t="s">
        <v>204</v>
      </c>
      <c r="F820" s="6">
        <v>14134.91</v>
      </c>
      <c r="G820" s="2">
        <v>8.7799999999999994</v>
      </c>
      <c r="H820" s="2">
        <v>11.81</v>
      </c>
      <c r="I820" s="2">
        <v>13.47</v>
      </c>
      <c r="J820" s="47">
        <f t="shared" si="60"/>
        <v>0.34510250569476097</v>
      </c>
      <c r="K820" s="47">
        <f t="shared" si="61"/>
        <v>0.14055884843353092</v>
      </c>
      <c r="L820" s="8">
        <v>42.24</v>
      </c>
      <c r="M820" s="8">
        <v>41.57</v>
      </c>
      <c r="N820" s="8">
        <v>36.47</v>
      </c>
      <c r="O820" s="17">
        <f t="shared" si="62"/>
        <v>1.2045696369636958</v>
      </c>
      <c r="P820" s="17">
        <f t="shared" si="63"/>
        <v>2.5946427710843372</v>
      </c>
      <c r="R820" s="9">
        <v>96.79</v>
      </c>
      <c r="S820" s="9">
        <v>9.98</v>
      </c>
      <c r="T820" s="9">
        <v>1336.21594</v>
      </c>
      <c r="U820" s="9">
        <v>1294.56</v>
      </c>
      <c r="V820" s="45">
        <f t="shared" si="64"/>
        <v>3.2177681992337247E-2</v>
      </c>
      <c r="W820" s="12">
        <v>10.87</v>
      </c>
      <c r="X820" s="12">
        <v>0</v>
      </c>
      <c r="Y820" s="12">
        <v>20210804</v>
      </c>
    </row>
    <row r="821" spans="1:25" x14ac:dyDescent="0.45">
      <c r="A821" s="3" t="s">
        <v>4633</v>
      </c>
      <c r="B821" s="3" t="s">
        <v>4634</v>
      </c>
      <c r="C821" s="6" t="s">
        <v>518</v>
      </c>
      <c r="D821" s="6" t="s">
        <v>303</v>
      </c>
      <c r="E821" s="6" t="s">
        <v>290</v>
      </c>
      <c r="F821" s="6">
        <v>5305.7</v>
      </c>
      <c r="J821" s="47" t="e">
        <f t="shared" si="60"/>
        <v>#DIV/0!</v>
      </c>
      <c r="K821" s="47" t="e">
        <f t="shared" si="61"/>
        <v>#DIV/0!</v>
      </c>
      <c r="O821" s="17" t="e">
        <f t="shared" si="62"/>
        <v>#DIV/0!</v>
      </c>
      <c r="P821" s="17" t="e">
        <f t="shared" si="63"/>
        <v>#DIV/0!</v>
      </c>
      <c r="V821" s="45" t="e">
        <f t="shared" si="64"/>
        <v>#DIV/0!</v>
      </c>
      <c r="X821" s="12">
        <v>0</v>
      </c>
    </row>
    <row r="822" spans="1:25" x14ac:dyDescent="0.45">
      <c r="A822" s="3" t="s">
        <v>4635</v>
      </c>
      <c r="B822" s="3" t="s">
        <v>4636</v>
      </c>
      <c r="C822" s="6" t="s">
        <v>520</v>
      </c>
      <c r="D822" s="6" t="s">
        <v>10</v>
      </c>
      <c r="E822" s="6" t="s">
        <v>17</v>
      </c>
      <c r="F822" s="6">
        <v>5041.47</v>
      </c>
      <c r="J822" s="47" t="e">
        <f t="shared" si="60"/>
        <v>#DIV/0!</v>
      </c>
      <c r="K822" s="47" t="e">
        <f t="shared" si="61"/>
        <v>#DIV/0!</v>
      </c>
      <c r="O822" s="17" t="e">
        <f t="shared" si="62"/>
        <v>#DIV/0!</v>
      </c>
      <c r="P822" s="17" t="e">
        <f t="shared" si="63"/>
        <v>#DIV/0!</v>
      </c>
      <c r="U822" s="9">
        <v>15318.24</v>
      </c>
      <c r="V822" s="45">
        <f t="shared" si="64"/>
        <v>-1</v>
      </c>
      <c r="X822" s="12">
        <v>1.17</v>
      </c>
    </row>
    <row r="823" spans="1:25" x14ac:dyDescent="0.45">
      <c r="A823" s="3" t="s">
        <v>4637</v>
      </c>
      <c r="B823" s="3" t="s">
        <v>4638</v>
      </c>
      <c r="C823" s="6" t="s">
        <v>520</v>
      </c>
      <c r="D823" s="6" t="s">
        <v>234</v>
      </c>
      <c r="E823" s="6" t="s">
        <v>181</v>
      </c>
      <c r="F823" s="6">
        <v>3669.6</v>
      </c>
      <c r="J823" s="47" t="e">
        <f t="shared" si="60"/>
        <v>#DIV/0!</v>
      </c>
      <c r="K823" s="47" t="e">
        <f t="shared" si="61"/>
        <v>#DIV/0!</v>
      </c>
      <c r="O823" s="17" t="e">
        <f t="shared" si="62"/>
        <v>#DIV/0!</v>
      </c>
      <c r="P823" s="17" t="e">
        <f t="shared" si="63"/>
        <v>#DIV/0!</v>
      </c>
      <c r="V823" s="45" t="e">
        <f t="shared" si="64"/>
        <v>#DIV/0!</v>
      </c>
      <c r="X823" s="12">
        <v>0.91</v>
      </c>
    </row>
    <row r="824" spans="1:25" x14ac:dyDescent="0.45">
      <c r="A824" s="3" t="s">
        <v>1714</v>
      </c>
      <c r="B824" s="3" t="s">
        <v>1715</v>
      </c>
      <c r="C824" s="6" t="s">
        <v>518</v>
      </c>
      <c r="D824" s="6" t="s">
        <v>175</v>
      </c>
      <c r="E824" s="6" t="s">
        <v>224</v>
      </c>
      <c r="F824" s="6">
        <v>89998.82</v>
      </c>
      <c r="G824" s="2">
        <v>5.41</v>
      </c>
      <c r="H824" s="2">
        <v>6.47</v>
      </c>
      <c r="I824" s="2">
        <v>7.48</v>
      </c>
      <c r="J824" s="47">
        <f t="shared" si="60"/>
        <v>0.19593345656192229</v>
      </c>
      <c r="K824" s="47">
        <f t="shared" si="61"/>
        <v>0.15610510046367862</v>
      </c>
      <c r="L824" s="8">
        <v>26.43</v>
      </c>
      <c r="M824" s="8">
        <v>22.44</v>
      </c>
      <c r="N824" s="8">
        <v>19.41</v>
      </c>
      <c r="O824" s="17">
        <f t="shared" si="62"/>
        <v>1.1452867924528307</v>
      </c>
      <c r="P824" s="17">
        <f t="shared" si="63"/>
        <v>1.2433930693069299</v>
      </c>
      <c r="Q824" s="5">
        <v>1.23</v>
      </c>
      <c r="R824" s="9">
        <v>7.01</v>
      </c>
      <c r="S824" s="9">
        <v>8.17</v>
      </c>
      <c r="T824" s="9">
        <v>13711.10742</v>
      </c>
      <c r="U824" s="9">
        <v>12552</v>
      </c>
      <c r="V824" s="45">
        <f t="shared" si="64"/>
        <v>9.2344440726577465E-2</v>
      </c>
      <c r="W824" s="12">
        <v>4</v>
      </c>
      <c r="X824" s="12">
        <v>1.07</v>
      </c>
      <c r="Y824" s="12">
        <v>20210803</v>
      </c>
    </row>
    <row r="825" spans="1:25" x14ac:dyDescent="0.45">
      <c r="A825" s="3" t="s">
        <v>1716</v>
      </c>
      <c r="B825" s="3" t="s">
        <v>1717</v>
      </c>
      <c r="C825" s="6" t="s">
        <v>519</v>
      </c>
      <c r="D825" s="6" t="s">
        <v>175</v>
      </c>
      <c r="E825" s="6" t="s">
        <v>224</v>
      </c>
      <c r="F825" s="6">
        <v>74084.75</v>
      </c>
      <c r="G825" s="2">
        <v>4.41</v>
      </c>
      <c r="H825" s="2">
        <v>5.44</v>
      </c>
      <c r="I825" s="2">
        <v>6.38</v>
      </c>
      <c r="J825" s="47">
        <f t="shared" si="60"/>
        <v>0.23356009070294789</v>
      </c>
      <c r="K825" s="47">
        <f t="shared" si="61"/>
        <v>0.17279411764705871</v>
      </c>
      <c r="L825" s="8">
        <v>24.15</v>
      </c>
      <c r="M825" s="8">
        <v>20.420000000000002</v>
      </c>
      <c r="N825" s="8">
        <v>17.43</v>
      </c>
      <c r="O825" s="17">
        <f t="shared" si="62"/>
        <v>0.87429320388349507</v>
      </c>
      <c r="P825" s="17">
        <f t="shared" si="63"/>
        <v>1.008714893617022</v>
      </c>
      <c r="Q825" s="5">
        <v>1.29</v>
      </c>
      <c r="R825" s="9">
        <v>9.56</v>
      </c>
      <c r="S825" s="9">
        <v>27.34</v>
      </c>
      <c r="T825" s="9">
        <v>15174.35937</v>
      </c>
      <c r="U825" s="9">
        <v>14852</v>
      </c>
      <c r="V825" s="45">
        <f t="shared" si="64"/>
        <v>2.1704778481012668E-2</v>
      </c>
      <c r="W825" s="12">
        <v>3.54</v>
      </c>
      <c r="X825" s="12">
        <v>0</v>
      </c>
      <c r="Y825" s="12">
        <v>20210804</v>
      </c>
    </row>
    <row r="826" spans="1:25" x14ac:dyDescent="0.45">
      <c r="A826" s="3" t="s">
        <v>1718</v>
      </c>
      <c r="B826" s="3" t="s">
        <v>1719</v>
      </c>
      <c r="C826" s="6" t="s">
        <v>519</v>
      </c>
      <c r="D826" s="6" t="s">
        <v>234</v>
      </c>
      <c r="E826" s="6" t="s">
        <v>154</v>
      </c>
      <c r="F826" s="6">
        <v>28968.21</v>
      </c>
      <c r="G826" s="2">
        <v>1.91</v>
      </c>
      <c r="H826" s="2">
        <v>3.45</v>
      </c>
      <c r="I826" s="2">
        <v>3.27</v>
      </c>
      <c r="J826" s="47">
        <f t="shared" si="60"/>
        <v>0.80628272251308919</v>
      </c>
      <c r="K826" s="47">
        <f t="shared" si="61"/>
        <v>-5.2173913043478307E-2</v>
      </c>
      <c r="L826" s="8">
        <v>13.9</v>
      </c>
      <c r="M826" s="8">
        <v>11.92</v>
      </c>
      <c r="N826" s="8">
        <v>12.6</v>
      </c>
      <c r="O826" s="17">
        <f t="shared" si="62"/>
        <v>0.14783896103896102</v>
      </c>
      <c r="P826" s="17">
        <f t="shared" si="63"/>
        <v>-2.4149999999999978</v>
      </c>
      <c r="Q826" s="5">
        <v>1.44</v>
      </c>
      <c r="R826" s="9">
        <v>10.84</v>
      </c>
      <c r="S826" s="9">
        <v>5.57</v>
      </c>
      <c r="T826" s="9">
        <v>7767.1938399999999</v>
      </c>
      <c r="U826" s="9">
        <v>8402</v>
      </c>
      <c r="V826" s="45">
        <f t="shared" si="64"/>
        <v>-7.5554172815996204E-2</v>
      </c>
      <c r="W826" s="12">
        <v>34.78</v>
      </c>
      <c r="X826" s="12">
        <v>2.62</v>
      </c>
      <c r="Y826" s="12">
        <v>20210722</v>
      </c>
    </row>
    <row r="827" spans="1:25" x14ac:dyDescent="0.45">
      <c r="A827" s="3" t="s">
        <v>1720</v>
      </c>
      <c r="B827" s="3" t="s">
        <v>1721</v>
      </c>
      <c r="C827" s="6" t="s">
        <v>519</v>
      </c>
      <c r="D827" s="6" t="s">
        <v>303</v>
      </c>
      <c r="E827" s="6" t="s">
        <v>292</v>
      </c>
      <c r="F827" s="6">
        <v>10396.85</v>
      </c>
      <c r="G827" s="2">
        <v>2.11</v>
      </c>
      <c r="H827" s="2">
        <v>4.57</v>
      </c>
      <c r="I827" s="2">
        <v>5.43</v>
      </c>
      <c r="J827" s="47">
        <f t="shared" si="60"/>
        <v>1.1658767772511851</v>
      </c>
      <c r="K827" s="47">
        <f t="shared" si="61"/>
        <v>0.1881838074398248</v>
      </c>
      <c r="L827" s="8">
        <v>47.13</v>
      </c>
      <c r="M827" s="8">
        <v>40.61</v>
      </c>
      <c r="N827" s="8">
        <v>34.22</v>
      </c>
      <c r="O827" s="17">
        <f t="shared" si="62"/>
        <v>0.34832154471544707</v>
      </c>
      <c r="P827" s="17">
        <f t="shared" si="63"/>
        <v>1.8184348837209314</v>
      </c>
      <c r="Q827" s="5">
        <v>1.25</v>
      </c>
      <c r="R827" s="9">
        <v>27.01</v>
      </c>
      <c r="S827" s="9">
        <v>19.22</v>
      </c>
      <c r="T827" s="9">
        <v>2757.6420800000001</v>
      </c>
      <c r="U827" s="9">
        <v>1962.14</v>
      </c>
      <c r="V827" s="45">
        <f t="shared" si="64"/>
        <v>0.40542574943683934</v>
      </c>
      <c r="W827" s="12">
        <v>33.33</v>
      </c>
      <c r="X827" s="12">
        <v>0</v>
      </c>
      <c r="Y827" s="12">
        <v>20210901</v>
      </c>
    </row>
    <row r="828" spans="1:25" x14ac:dyDescent="0.45">
      <c r="A828" s="3" t="s">
        <v>1722</v>
      </c>
      <c r="B828" s="3" t="s">
        <v>1723</v>
      </c>
      <c r="C828" s="6" t="s">
        <v>519</v>
      </c>
      <c r="D828" s="6" t="s">
        <v>189</v>
      </c>
      <c r="E828" s="6" t="s">
        <v>248</v>
      </c>
      <c r="F828" s="6">
        <v>10863.65</v>
      </c>
      <c r="G828" s="2">
        <v>0.88</v>
      </c>
      <c r="H828" s="2">
        <v>0.89</v>
      </c>
      <c r="I828" s="2">
        <v>1.1599999999999999</v>
      </c>
      <c r="J828" s="47">
        <f t="shared" si="60"/>
        <v>1.1363636363636374E-2</v>
      </c>
      <c r="K828" s="47">
        <f t="shared" si="61"/>
        <v>0.30337078651685384</v>
      </c>
      <c r="L828" s="8">
        <v>154.32</v>
      </c>
      <c r="M828" s="8">
        <v>181.39</v>
      </c>
      <c r="N828" s="8">
        <v>139.41999999999999</v>
      </c>
      <c r="O828" s="17">
        <f t="shared" si="62"/>
        <v>159.62319999999985</v>
      </c>
      <c r="P828" s="17">
        <f t="shared" si="63"/>
        <v>4.5956962962962971</v>
      </c>
      <c r="Q828" s="5">
        <v>11.03</v>
      </c>
      <c r="R828" s="9">
        <v>0.23</v>
      </c>
      <c r="S828" s="9">
        <v>27.71</v>
      </c>
      <c r="T828" s="9">
        <v>547.26396999999997</v>
      </c>
      <c r="U828" s="9">
        <v>434.91</v>
      </c>
      <c r="V828" s="45">
        <f t="shared" si="64"/>
        <v>0.25833843783771343</v>
      </c>
      <c r="W828" s="12">
        <v>76.92</v>
      </c>
      <c r="X828" s="12">
        <v>0</v>
      </c>
      <c r="Y828" s="12">
        <v>20210802</v>
      </c>
    </row>
    <row r="829" spans="1:25" x14ac:dyDescent="0.45">
      <c r="A829" s="3" t="s">
        <v>4140</v>
      </c>
      <c r="B829" s="3" t="s">
        <v>4141</v>
      </c>
      <c r="C829" s="6" t="s">
        <v>518</v>
      </c>
      <c r="D829" s="6" t="s">
        <v>210</v>
      </c>
      <c r="E829" s="6" t="s">
        <v>187</v>
      </c>
      <c r="F829" s="6">
        <v>3098.41</v>
      </c>
      <c r="G829" s="2">
        <v>3.74</v>
      </c>
      <c r="H829" s="2">
        <v>3.86</v>
      </c>
      <c r="I829" s="2">
        <v>4.1100000000000003</v>
      </c>
      <c r="J829" s="47">
        <f t="shared" si="60"/>
        <v>3.2085561497326109E-2</v>
      </c>
      <c r="K829" s="47">
        <f t="shared" si="61"/>
        <v>6.4766839378238461E-2</v>
      </c>
      <c r="L829" s="8">
        <v>21.4</v>
      </c>
      <c r="M829" s="8">
        <v>22.15</v>
      </c>
      <c r="N829" s="8">
        <v>20.78</v>
      </c>
      <c r="O829" s="17">
        <f t="shared" si="62"/>
        <v>6.9034166666666863</v>
      </c>
      <c r="P829" s="17">
        <f t="shared" si="63"/>
        <v>3.208431999999994</v>
      </c>
      <c r="R829" s="9">
        <v>21.51</v>
      </c>
      <c r="S829" s="9">
        <v>16.059999999999999</v>
      </c>
      <c r="T829" s="9">
        <v>2905.8000400000001</v>
      </c>
      <c r="U829" s="9">
        <v>2856.66</v>
      </c>
      <c r="V829" s="45">
        <f t="shared" si="64"/>
        <v>1.7201921124670148E-2</v>
      </c>
      <c r="W829" s="12">
        <v>30.36</v>
      </c>
      <c r="X829" s="12">
        <v>0.54</v>
      </c>
      <c r="Y829" s="12">
        <v>20210726</v>
      </c>
    </row>
    <row r="830" spans="1:25" x14ac:dyDescent="0.45">
      <c r="A830" s="3" t="s">
        <v>1724</v>
      </c>
      <c r="B830" s="3" t="s">
        <v>1725</v>
      </c>
      <c r="C830" s="6" t="s">
        <v>519</v>
      </c>
      <c r="D830" s="6" t="s">
        <v>225</v>
      </c>
      <c r="E830" s="6" t="s">
        <v>1091</v>
      </c>
      <c r="F830" s="6">
        <v>4659.46</v>
      </c>
      <c r="G830" s="2">
        <v>1.86</v>
      </c>
      <c r="H830" s="2">
        <v>1.93</v>
      </c>
      <c r="I830" s="2">
        <v>2.08</v>
      </c>
      <c r="J830" s="47">
        <f t="shared" si="60"/>
        <v>3.7634408602150449E-2</v>
      </c>
      <c r="K830" s="47">
        <f t="shared" si="61"/>
        <v>7.7720207253886078E-2</v>
      </c>
      <c r="L830" s="8">
        <v>15.32</v>
      </c>
      <c r="M830" s="8">
        <v>25.88</v>
      </c>
      <c r="N830" s="8">
        <v>24.01</v>
      </c>
      <c r="O830" s="17">
        <f t="shared" si="62"/>
        <v>6.8766857142857303</v>
      </c>
      <c r="P830" s="17">
        <f t="shared" si="63"/>
        <v>3.0892866666666641</v>
      </c>
      <c r="R830" s="9">
        <v>37.33</v>
      </c>
      <c r="S830" s="9">
        <v>7.98</v>
      </c>
      <c r="T830" s="9">
        <v>1148.90002</v>
      </c>
      <c r="U830" s="9">
        <v>1000.39</v>
      </c>
      <c r="V830" s="45">
        <f t="shared" si="64"/>
        <v>0.14845212367176808</v>
      </c>
      <c r="W830" s="12">
        <v>18.18</v>
      </c>
      <c r="X830" s="12">
        <v>0</v>
      </c>
      <c r="Y830" s="12">
        <v>20210707</v>
      </c>
    </row>
    <row r="831" spans="1:25" x14ac:dyDescent="0.45">
      <c r="A831" s="3" t="s">
        <v>4639</v>
      </c>
      <c r="B831" s="3" t="s">
        <v>4640</v>
      </c>
      <c r="C831" s="6" t="s">
        <v>520</v>
      </c>
      <c r="D831" s="6" t="s">
        <v>189</v>
      </c>
      <c r="E831" s="6" t="s">
        <v>204</v>
      </c>
      <c r="F831" s="6">
        <v>34445.81</v>
      </c>
      <c r="H831" s="2">
        <v>9.5399999999999991</v>
      </c>
      <c r="J831" s="47" t="e">
        <f t="shared" si="60"/>
        <v>#DIV/0!</v>
      </c>
      <c r="K831" s="47">
        <f t="shared" si="61"/>
        <v>-1</v>
      </c>
      <c r="L831" s="8">
        <v>17.8</v>
      </c>
      <c r="M831" s="8">
        <v>3.56</v>
      </c>
      <c r="O831" s="17" t="e">
        <f t="shared" si="62"/>
        <v>#DIV/0!</v>
      </c>
      <c r="P831" s="17">
        <f t="shared" si="63"/>
        <v>0</v>
      </c>
      <c r="R831" s="9">
        <v>14.34</v>
      </c>
      <c r="S831" s="9">
        <v>-4.3</v>
      </c>
      <c r="U831" s="9">
        <v>33864.949999999997</v>
      </c>
      <c r="V831" s="45">
        <f t="shared" si="64"/>
        <v>-1</v>
      </c>
      <c r="X831" s="12">
        <v>0.68</v>
      </c>
      <c r="Y831" s="12">
        <v>20210729</v>
      </c>
    </row>
    <row r="832" spans="1:25" x14ac:dyDescent="0.45">
      <c r="A832" s="3" t="s">
        <v>1726</v>
      </c>
      <c r="B832" s="3" t="s">
        <v>1727</v>
      </c>
      <c r="C832" s="6" t="s">
        <v>518</v>
      </c>
      <c r="D832" s="6" t="s">
        <v>303</v>
      </c>
      <c r="E832" s="6" t="s">
        <v>290</v>
      </c>
      <c r="F832" s="6">
        <v>6405.31</v>
      </c>
      <c r="G832" s="2">
        <v>2.62</v>
      </c>
      <c r="H832" s="2">
        <v>5.31</v>
      </c>
      <c r="I832" s="2">
        <v>5.48</v>
      </c>
      <c r="J832" s="47">
        <f t="shared" si="60"/>
        <v>1.0267175572519083</v>
      </c>
      <c r="K832" s="47">
        <f t="shared" si="61"/>
        <v>3.2015065913371152E-2</v>
      </c>
      <c r="L832" s="8">
        <v>11.42</v>
      </c>
      <c r="M832" s="8">
        <v>11.68</v>
      </c>
      <c r="N832" s="8">
        <v>11.33</v>
      </c>
      <c r="O832" s="17">
        <f t="shared" si="62"/>
        <v>0.11376059479553906</v>
      </c>
      <c r="P832" s="17">
        <f t="shared" si="63"/>
        <v>3.5389588235293949</v>
      </c>
      <c r="Q832" s="5">
        <v>2.93</v>
      </c>
      <c r="R832" s="9">
        <v>21.23</v>
      </c>
      <c r="S832" s="9">
        <v>0.27</v>
      </c>
      <c r="T832" s="9">
        <v>8396.0185500000007</v>
      </c>
      <c r="U832" s="9">
        <v>7548</v>
      </c>
      <c r="V832" s="45">
        <f t="shared" si="64"/>
        <v>0.11235009936407005</v>
      </c>
      <c r="W832" s="12">
        <v>71.930000000000007</v>
      </c>
      <c r="X832" s="12">
        <v>1.29</v>
      </c>
      <c r="Y832" s="12">
        <v>20210820</v>
      </c>
    </row>
    <row r="833" spans="1:25" x14ac:dyDescent="0.45">
      <c r="A833" s="3" t="s">
        <v>1728</v>
      </c>
      <c r="B833" s="3" t="s">
        <v>1729</v>
      </c>
      <c r="C833" s="6" t="s">
        <v>519</v>
      </c>
      <c r="D833" s="6" t="s">
        <v>189</v>
      </c>
      <c r="E833" s="6" t="s">
        <v>908</v>
      </c>
      <c r="F833" s="6">
        <v>8941.32</v>
      </c>
      <c r="G833" s="2">
        <v>1.44</v>
      </c>
      <c r="H833" s="2">
        <v>1.7</v>
      </c>
      <c r="I833" s="2">
        <v>1.88</v>
      </c>
      <c r="J833" s="47">
        <f t="shared" si="60"/>
        <v>0.18055555555555558</v>
      </c>
      <c r="K833" s="47">
        <f t="shared" si="61"/>
        <v>0.10588235294117644</v>
      </c>
      <c r="L833" s="8">
        <v>11.6</v>
      </c>
      <c r="M833" s="8">
        <v>10.75</v>
      </c>
      <c r="N833" s="8">
        <v>9.7200000000000006</v>
      </c>
      <c r="O833" s="17">
        <f t="shared" si="62"/>
        <v>0.59538461538461529</v>
      </c>
      <c r="P833" s="17">
        <f t="shared" si="63"/>
        <v>0.91800000000000026</v>
      </c>
      <c r="Q833" s="5">
        <v>0.94</v>
      </c>
      <c r="R833" s="9">
        <v>19.04</v>
      </c>
      <c r="S833" s="9">
        <v>-0.41</v>
      </c>
      <c r="T833" s="9">
        <v>25582.867180000001</v>
      </c>
      <c r="U833" s="9">
        <v>24124</v>
      </c>
      <c r="V833" s="45">
        <f t="shared" si="64"/>
        <v>6.047368512684468E-2</v>
      </c>
      <c r="W833" s="12">
        <v>36.11</v>
      </c>
      <c r="X833" s="12">
        <v>0</v>
      </c>
      <c r="Y833" s="12">
        <v>20210729</v>
      </c>
    </row>
    <row r="834" spans="1:25" x14ac:dyDescent="0.45">
      <c r="A834" s="3" t="s">
        <v>1730</v>
      </c>
      <c r="B834" s="3" t="s">
        <v>1731</v>
      </c>
      <c r="C834" s="6" t="s">
        <v>518</v>
      </c>
      <c r="D834" s="6" t="s">
        <v>225</v>
      </c>
      <c r="E834" s="6" t="s">
        <v>226</v>
      </c>
      <c r="F834" s="6">
        <v>5193.46</v>
      </c>
      <c r="G834" s="2">
        <v>1.27</v>
      </c>
      <c r="H834" s="2">
        <v>1.1399999999999999</v>
      </c>
      <c r="I834" s="2">
        <v>1.19</v>
      </c>
      <c r="J834" s="47">
        <f t="shared" si="60"/>
        <v>-0.10236220472440954</v>
      </c>
      <c r="K834" s="47">
        <f t="shared" si="61"/>
        <v>4.3859649122807064E-2</v>
      </c>
      <c r="L834" s="8">
        <v>18.73</v>
      </c>
      <c r="M834" s="8">
        <v>21.47</v>
      </c>
      <c r="N834" s="8">
        <v>20.61</v>
      </c>
      <c r="O834" s="17">
        <f t="shared" si="62"/>
        <v>-2.0974538461538441</v>
      </c>
      <c r="P834" s="17">
        <f t="shared" si="63"/>
        <v>4.699079999999995</v>
      </c>
      <c r="R834" s="9">
        <v>20.32</v>
      </c>
      <c r="S834" s="9">
        <v>2.5099999999999998</v>
      </c>
      <c r="T834" s="9">
        <v>4263.8232399999997</v>
      </c>
      <c r="U834" s="9">
        <v>4387.99</v>
      </c>
      <c r="V834" s="45">
        <f t="shared" si="64"/>
        <v>-2.8296956009471325E-2</v>
      </c>
      <c r="W834" s="12">
        <v>10.81</v>
      </c>
      <c r="X834" s="12">
        <v>3.42</v>
      </c>
      <c r="Y834" s="12">
        <v>20210805</v>
      </c>
    </row>
    <row r="835" spans="1:25" x14ac:dyDescent="0.45">
      <c r="A835" s="3" t="s">
        <v>1732</v>
      </c>
      <c r="B835" s="3" t="s">
        <v>613</v>
      </c>
      <c r="C835" s="6" t="s">
        <v>518</v>
      </c>
      <c r="D835" s="6" t="s">
        <v>272</v>
      </c>
      <c r="E835" s="6" t="s">
        <v>254</v>
      </c>
      <c r="F835" s="6">
        <v>5651.77</v>
      </c>
      <c r="G835" s="2">
        <v>1.79</v>
      </c>
      <c r="H835" s="2">
        <v>1.6</v>
      </c>
      <c r="I835" s="2">
        <v>1.99</v>
      </c>
      <c r="J835" s="47">
        <f t="shared" ref="J835:J898" si="65">(H835-G835)/ABS(G835)</f>
        <v>-0.10614525139664802</v>
      </c>
      <c r="K835" s="47">
        <f t="shared" ref="K835:K898" si="66">(I835-H835)/ABS(H835)</f>
        <v>0.24374999999999994</v>
      </c>
      <c r="L835" s="8">
        <v>23.57</v>
      </c>
      <c r="M835" s="8">
        <v>27.16</v>
      </c>
      <c r="N835" s="8">
        <v>21.84</v>
      </c>
      <c r="O835" s="17">
        <f t="shared" ref="O835:O898" si="67">M835/(J835*100)</f>
        <v>-2.5587578947368428</v>
      </c>
      <c r="P835" s="17">
        <f t="shared" ref="P835:P898" si="68">N835/(K835*100)</f>
        <v>0.89600000000000024</v>
      </c>
      <c r="Q835" s="5">
        <v>2.2200000000000002</v>
      </c>
      <c r="R835" s="9">
        <v>13.96</v>
      </c>
      <c r="S835" s="9">
        <v>-1.29</v>
      </c>
      <c r="T835" s="9">
        <v>3593.7260700000002</v>
      </c>
      <c r="U835" s="9">
        <v>3728.13</v>
      </c>
      <c r="V835" s="45">
        <f t="shared" ref="V835:V898" si="69">(T835-U835)/U835</f>
        <v>-3.6051299176799077E-2</v>
      </c>
      <c r="W835" s="12">
        <v>40</v>
      </c>
      <c r="X835" s="12">
        <v>1.84</v>
      </c>
      <c r="Y835" s="12">
        <v>20210729</v>
      </c>
    </row>
    <row r="836" spans="1:25" x14ac:dyDescent="0.45">
      <c r="A836" s="3" t="s">
        <v>1733</v>
      </c>
      <c r="B836" s="3" t="s">
        <v>1734</v>
      </c>
      <c r="C836" s="6" t="s">
        <v>518</v>
      </c>
      <c r="D836" s="6" t="s">
        <v>175</v>
      </c>
      <c r="E836" s="6" t="s">
        <v>224</v>
      </c>
      <c r="F836" s="6">
        <v>22606.9</v>
      </c>
      <c r="G836" s="2">
        <v>10.9</v>
      </c>
      <c r="H836" s="2">
        <v>12.45</v>
      </c>
      <c r="I836" s="2">
        <v>14.62</v>
      </c>
      <c r="J836" s="47">
        <f t="shared" si="65"/>
        <v>0.14220183486238522</v>
      </c>
      <c r="K836" s="47">
        <f t="shared" si="66"/>
        <v>0.17429718875502009</v>
      </c>
      <c r="L836" s="8">
        <v>24.86</v>
      </c>
      <c r="M836" s="8">
        <v>21.79</v>
      </c>
      <c r="N836" s="8">
        <v>18.559999999999999</v>
      </c>
      <c r="O836" s="17">
        <f t="shared" si="67"/>
        <v>1.5323290322580656</v>
      </c>
      <c r="P836" s="17">
        <f t="shared" si="68"/>
        <v>1.064847926267281</v>
      </c>
      <c r="Q836" s="5">
        <v>1.36</v>
      </c>
      <c r="R836" s="9">
        <v>28.76</v>
      </c>
      <c r="S836" s="9">
        <v>8.0399999999999991</v>
      </c>
      <c r="T836" s="9">
        <v>2651.6039999999998</v>
      </c>
      <c r="U836" s="9">
        <v>2388.85</v>
      </c>
      <c r="V836" s="45">
        <f t="shared" si="69"/>
        <v>0.10999183707641749</v>
      </c>
      <c r="W836" s="12">
        <v>4.4400000000000004</v>
      </c>
      <c r="X836" s="12">
        <v>0</v>
      </c>
      <c r="Y836" s="12">
        <v>20210805</v>
      </c>
    </row>
    <row r="837" spans="1:25" x14ac:dyDescent="0.45">
      <c r="A837" s="3" t="s">
        <v>1735</v>
      </c>
      <c r="B837" s="3" t="s">
        <v>1736</v>
      </c>
      <c r="C837" s="6" t="s">
        <v>518</v>
      </c>
      <c r="D837" s="6" t="s">
        <v>90</v>
      </c>
      <c r="E837" s="6" t="s">
        <v>196</v>
      </c>
      <c r="F837" s="6">
        <v>15247.39</v>
      </c>
      <c r="G837" s="2">
        <v>6.18</v>
      </c>
      <c r="H837" s="2">
        <v>7.16</v>
      </c>
      <c r="I837" s="2">
        <v>8.1</v>
      </c>
      <c r="J837" s="47">
        <f t="shared" si="65"/>
        <v>0.15857605177993536</v>
      </c>
      <c r="K837" s="47">
        <f t="shared" si="66"/>
        <v>0.13128491620111724</v>
      </c>
      <c r="L837" s="8">
        <v>20.09</v>
      </c>
      <c r="M837" s="8">
        <v>16.52</v>
      </c>
      <c r="N837" s="8">
        <v>14.61</v>
      </c>
      <c r="O837" s="17">
        <f t="shared" si="67"/>
        <v>1.0417714285714279</v>
      </c>
      <c r="P837" s="17">
        <f t="shared" si="68"/>
        <v>1.1128468085106389</v>
      </c>
      <c r="Q837" s="5">
        <v>1.5</v>
      </c>
      <c r="R837" s="9">
        <v>26</v>
      </c>
      <c r="S837" s="9">
        <v>11.88</v>
      </c>
      <c r="T837" s="9">
        <v>5019.8569299999999</v>
      </c>
      <c r="U837" s="9">
        <v>4642.1000000000004</v>
      </c>
      <c r="V837" s="45">
        <f t="shared" si="69"/>
        <v>8.1376301673811324E-2</v>
      </c>
      <c r="W837" s="12">
        <v>0.66</v>
      </c>
      <c r="X837" s="12">
        <v>1.62</v>
      </c>
      <c r="Y837" s="12">
        <v>20210803</v>
      </c>
    </row>
    <row r="838" spans="1:25" x14ac:dyDescent="0.45">
      <c r="A838" s="3" t="s">
        <v>1737</v>
      </c>
      <c r="B838" s="3" t="s">
        <v>1738</v>
      </c>
      <c r="C838" s="6" t="s">
        <v>518</v>
      </c>
      <c r="D838" s="6" t="s">
        <v>279</v>
      </c>
      <c r="E838" s="6" t="s">
        <v>262</v>
      </c>
      <c r="F838" s="6">
        <v>24357.919999999998</v>
      </c>
      <c r="G838" s="2">
        <v>2.69</v>
      </c>
      <c r="H838" s="2">
        <v>2.14</v>
      </c>
      <c r="I838" s="2">
        <v>2.4700000000000002</v>
      </c>
      <c r="J838" s="47">
        <f t="shared" si="65"/>
        <v>-0.20446096654275087</v>
      </c>
      <c r="K838" s="47">
        <f t="shared" si="66"/>
        <v>0.15420560747663553</v>
      </c>
      <c r="L838" s="8">
        <v>15.75</v>
      </c>
      <c r="M838" s="8">
        <v>19.399999999999999</v>
      </c>
      <c r="N838" s="8">
        <v>16.84</v>
      </c>
      <c r="O838" s="17">
        <f t="shared" si="67"/>
        <v>-0.94883636363636381</v>
      </c>
      <c r="P838" s="17">
        <f t="shared" si="68"/>
        <v>1.0920484848484848</v>
      </c>
      <c r="Q838" s="5">
        <v>7.35</v>
      </c>
      <c r="R838" s="9">
        <v>10.38</v>
      </c>
      <c r="S838" s="9">
        <v>2.57</v>
      </c>
      <c r="T838" s="9">
        <v>21680.64257</v>
      </c>
      <c r="U838" s="9">
        <v>20398.599999999999</v>
      </c>
      <c r="V838" s="45">
        <f t="shared" si="69"/>
        <v>6.2849537223142835E-2</v>
      </c>
      <c r="W838" s="12">
        <v>13.33</v>
      </c>
      <c r="X838" s="12">
        <v>1.38</v>
      </c>
      <c r="Y838" s="12">
        <v>20210729</v>
      </c>
    </row>
    <row r="839" spans="1:25" x14ac:dyDescent="0.45">
      <c r="A839" s="3" t="s">
        <v>1739</v>
      </c>
      <c r="B839" s="3" t="s">
        <v>1740</v>
      </c>
      <c r="C839" s="6" t="s">
        <v>518</v>
      </c>
      <c r="D839" s="6" t="s">
        <v>189</v>
      </c>
      <c r="E839" s="6" t="s">
        <v>211</v>
      </c>
      <c r="F839" s="6">
        <v>3479.6</v>
      </c>
      <c r="G839" s="2">
        <v>3.64</v>
      </c>
      <c r="H839" s="2">
        <v>4.58</v>
      </c>
      <c r="I839" s="2">
        <v>5.12</v>
      </c>
      <c r="J839" s="47">
        <f t="shared" si="65"/>
        <v>0.25824175824175821</v>
      </c>
      <c r="K839" s="47">
        <f t="shared" si="66"/>
        <v>0.11790393013100438</v>
      </c>
      <c r="L839" s="8">
        <v>21.84</v>
      </c>
      <c r="M839" s="8">
        <v>20.6</v>
      </c>
      <c r="N839" s="8">
        <v>18.43</v>
      </c>
      <c r="O839" s="17">
        <f t="shared" si="67"/>
        <v>0.7977021276595746</v>
      </c>
      <c r="P839" s="17">
        <f t="shared" si="68"/>
        <v>1.5631370370370368</v>
      </c>
      <c r="R839" s="9">
        <v>13.78</v>
      </c>
      <c r="S839" s="9">
        <v>9.8000000000000007</v>
      </c>
      <c r="T839" s="9">
        <v>1857.63195</v>
      </c>
      <c r="U839" s="9">
        <v>1641.84</v>
      </c>
      <c r="V839" s="45">
        <f t="shared" si="69"/>
        <v>0.13143299590703117</v>
      </c>
      <c r="W839" s="12">
        <v>5.22</v>
      </c>
      <c r="X839" s="12">
        <v>0</v>
      </c>
      <c r="Y839" s="12">
        <v>20210816</v>
      </c>
    </row>
    <row r="840" spans="1:25" x14ac:dyDescent="0.45">
      <c r="A840" s="3" t="s">
        <v>1741</v>
      </c>
      <c r="B840" s="3" t="s">
        <v>1742</v>
      </c>
      <c r="C840" s="6" t="s">
        <v>518</v>
      </c>
      <c r="D840" s="6" t="s">
        <v>234</v>
      </c>
      <c r="E840" s="6" t="s">
        <v>172</v>
      </c>
      <c r="F840" s="6">
        <v>4203.1099999999997</v>
      </c>
      <c r="G840" s="2">
        <v>0.92</v>
      </c>
      <c r="H840" s="2">
        <v>1.08</v>
      </c>
      <c r="I840" s="2">
        <v>1.04</v>
      </c>
      <c r="J840" s="47">
        <f t="shared" si="65"/>
        <v>0.17391304347826089</v>
      </c>
      <c r="K840" s="47">
        <f t="shared" si="66"/>
        <v>-3.703703703703707E-2</v>
      </c>
      <c r="L840" s="8">
        <v>12.19</v>
      </c>
      <c r="M840" s="8">
        <v>12.19</v>
      </c>
      <c r="N840" s="8">
        <v>12.62</v>
      </c>
      <c r="O840" s="17">
        <f t="shared" si="67"/>
        <v>0.70092499999999991</v>
      </c>
      <c r="P840" s="17">
        <f t="shared" si="68"/>
        <v>-3.4073999999999969</v>
      </c>
      <c r="R840" s="9">
        <v>7.44</v>
      </c>
      <c r="S840" s="9">
        <v>13.99</v>
      </c>
      <c r="T840" s="9">
        <v>1216.91894</v>
      </c>
      <c r="U840" s="9">
        <v>1424.86</v>
      </c>
      <c r="V840" s="45">
        <f t="shared" si="69"/>
        <v>-0.1459378886346728</v>
      </c>
      <c r="W840" s="12">
        <v>7.69</v>
      </c>
      <c r="X840" s="12">
        <v>3.65</v>
      </c>
      <c r="Y840" s="12">
        <v>20210715</v>
      </c>
    </row>
    <row r="841" spans="1:25" x14ac:dyDescent="0.45">
      <c r="A841" s="3" t="s">
        <v>1743</v>
      </c>
      <c r="B841" s="3" t="s">
        <v>1744</v>
      </c>
      <c r="C841" s="6" t="s">
        <v>518</v>
      </c>
      <c r="D841" s="6" t="s">
        <v>210</v>
      </c>
      <c r="E841" s="6" t="s">
        <v>192</v>
      </c>
      <c r="F841" s="6">
        <v>10344.299999999999</v>
      </c>
      <c r="G841" s="2">
        <v>1.47</v>
      </c>
      <c r="H841" s="2">
        <v>2.3199999999999998</v>
      </c>
      <c r="I841" s="2">
        <v>2.72</v>
      </c>
      <c r="J841" s="47">
        <f t="shared" si="65"/>
        <v>0.57823129251700667</v>
      </c>
      <c r="K841" s="47">
        <f t="shared" si="66"/>
        <v>0.17241379310344845</v>
      </c>
      <c r="L841" s="8">
        <v>53.59</v>
      </c>
      <c r="M841" s="8">
        <v>42.54</v>
      </c>
      <c r="N841" s="8">
        <v>36.28</v>
      </c>
      <c r="O841" s="17">
        <f t="shared" si="67"/>
        <v>0.7356917647058826</v>
      </c>
      <c r="P841" s="17">
        <f t="shared" si="68"/>
        <v>2.1042399999999977</v>
      </c>
      <c r="Q841" s="5">
        <v>1.59</v>
      </c>
      <c r="R841" s="9">
        <v>20.28</v>
      </c>
      <c r="S841" s="9">
        <v>22.05</v>
      </c>
      <c r="T841" s="9">
        <v>3262.8869599999998</v>
      </c>
      <c r="U841" s="9">
        <v>2425.79</v>
      </c>
      <c r="V841" s="45">
        <f t="shared" si="69"/>
        <v>0.34508220414792701</v>
      </c>
      <c r="W841" s="12">
        <v>28.3</v>
      </c>
      <c r="X841" s="12">
        <v>0</v>
      </c>
      <c r="Y841" s="12">
        <v>20210729</v>
      </c>
    </row>
    <row r="842" spans="1:25" x14ac:dyDescent="0.45">
      <c r="A842" s="3" t="s">
        <v>1228</v>
      </c>
      <c r="B842" s="3" t="s">
        <v>1745</v>
      </c>
      <c r="C842" s="6" t="s">
        <v>518</v>
      </c>
      <c r="D842" s="6" t="s">
        <v>234</v>
      </c>
      <c r="E842" s="6" t="s">
        <v>244</v>
      </c>
      <c r="F842" s="6">
        <v>13686.64</v>
      </c>
      <c r="G842" s="2">
        <v>4.47</v>
      </c>
      <c r="H842" s="2">
        <v>5.47</v>
      </c>
      <c r="I842" s="2">
        <v>4.88</v>
      </c>
      <c r="J842" s="47">
        <f t="shared" si="65"/>
        <v>0.2237136465324385</v>
      </c>
      <c r="K842" s="47">
        <f t="shared" si="66"/>
        <v>-0.10786106032906762</v>
      </c>
      <c r="L842" s="8">
        <v>7.71</v>
      </c>
      <c r="M842" s="8">
        <v>8.66</v>
      </c>
      <c r="N842" s="8">
        <v>9.6999999999999993</v>
      </c>
      <c r="O842" s="17">
        <f t="shared" si="67"/>
        <v>0.387102</v>
      </c>
      <c r="P842" s="17">
        <f t="shared" si="68"/>
        <v>-0.89930508474576287</v>
      </c>
      <c r="R842" s="9">
        <v>23.66</v>
      </c>
      <c r="S842" s="9">
        <v>4.1399999999999997</v>
      </c>
      <c r="T842" s="9">
        <v>11710</v>
      </c>
      <c r="U842" s="9">
        <v>10778</v>
      </c>
      <c r="V842" s="45">
        <f t="shared" si="69"/>
        <v>8.6472443867136761E-2</v>
      </c>
      <c r="W842" s="12">
        <v>21.88</v>
      </c>
      <c r="X842" s="12">
        <v>3.04</v>
      </c>
      <c r="Y842" s="12">
        <v>20210803</v>
      </c>
    </row>
    <row r="843" spans="1:25" x14ac:dyDescent="0.45">
      <c r="A843" s="3" t="s">
        <v>4142</v>
      </c>
      <c r="B843" s="3" t="s">
        <v>4143</v>
      </c>
      <c r="C843" s="6" t="s">
        <v>520</v>
      </c>
      <c r="D843" s="6" t="s">
        <v>90</v>
      </c>
      <c r="E843" s="6" t="s">
        <v>2824</v>
      </c>
      <c r="F843" s="6">
        <v>9041.64</v>
      </c>
      <c r="G843" s="2">
        <v>0.45</v>
      </c>
      <c r="H843" s="2">
        <v>0.82</v>
      </c>
      <c r="I843" s="2">
        <v>1.21</v>
      </c>
      <c r="J843" s="47">
        <f t="shared" si="65"/>
        <v>0.82222222222222208</v>
      </c>
      <c r="K843" s="47">
        <f t="shared" si="66"/>
        <v>0.47560975609756101</v>
      </c>
      <c r="M843" s="8">
        <v>14.87</v>
      </c>
      <c r="N843" s="8">
        <v>10.18</v>
      </c>
      <c r="O843" s="17">
        <f t="shared" si="67"/>
        <v>0.18085135135135136</v>
      </c>
      <c r="P843" s="17">
        <f t="shared" si="68"/>
        <v>0.21404102564102562</v>
      </c>
      <c r="T843" s="9">
        <v>2822.2299800000001</v>
      </c>
      <c r="U843" s="9">
        <v>2430.0500000000002</v>
      </c>
      <c r="V843" s="45">
        <f t="shared" si="69"/>
        <v>0.16138761753873371</v>
      </c>
      <c r="X843" s="12">
        <v>3.83</v>
      </c>
      <c r="Y843" s="12">
        <v>20210615</v>
      </c>
    </row>
    <row r="844" spans="1:25" x14ac:dyDescent="0.45">
      <c r="A844" s="3" t="s">
        <v>3802</v>
      </c>
      <c r="B844" s="3" t="s">
        <v>3803</v>
      </c>
      <c r="C844" s="6" t="s">
        <v>518</v>
      </c>
      <c r="D844" s="6" t="s">
        <v>90</v>
      </c>
      <c r="E844" s="6" t="s">
        <v>267</v>
      </c>
      <c r="F844" s="6">
        <v>29312.54</v>
      </c>
      <c r="G844" s="2">
        <v>2.54</v>
      </c>
      <c r="H844" s="2">
        <v>3.35</v>
      </c>
      <c r="I844" s="2">
        <v>3.47</v>
      </c>
      <c r="J844" s="47">
        <f t="shared" si="65"/>
        <v>0.31889763779527563</v>
      </c>
      <c r="K844" s="47">
        <f t="shared" si="66"/>
        <v>3.582089552238809E-2</v>
      </c>
      <c r="L844" s="8">
        <v>51.67</v>
      </c>
      <c r="M844" s="8">
        <v>45.78</v>
      </c>
      <c r="N844" s="8">
        <v>44.22</v>
      </c>
      <c r="O844" s="17">
        <f t="shared" si="67"/>
        <v>1.4355703703703702</v>
      </c>
      <c r="P844" s="17">
        <f t="shared" si="68"/>
        <v>12.344749999999991</v>
      </c>
      <c r="Q844" s="5">
        <v>11.44</v>
      </c>
      <c r="R844" s="9">
        <v>10.64</v>
      </c>
      <c r="S844" s="9">
        <v>13.42</v>
      </c>
      <c r="T844" s="9">
        <v>1229.83996</v>
      </c>
      <c r="U844" s="9">
        <v>1020.2</v>
      </c>
      <c r="V844" s="45">
        <f t="shared" si="69"/>
        <v>0.20548908057243676</v>
      </c>
      <c r="W844" s="12">
        <v>6.33</v>
      </c>
      <c r="X844" s="12">
        <v>0.51</v>
      </c>
      <c r="Y844" s="12">
        <v>20210804</v>
      </c>
    </row>
    <row r="845" spans="1:25" x14ac:dyDescent="0.45">
      <c r="A845" s="3" t="s">
        <v>1746</v>
      </c>
      <c r="B845" s="3" t="s">
        <v>1747</v>
      </c>
      <c r="C845" s="6" t="s">
        <v>519</v>
      </c>
      <c r="D845" s="6" t="s">
        <v>234</v>
      </c>
      <c r="E845" s="6" t="s">
        <v>220</v>
      </c>
      <c r="F845" s="6">
        <v>3815.04</v>
      </c>
      <c r="G845" s="2">
        <v>2.98</v>
      </c>
      <c r="H845" s="2">
        <v>3.79</v>
      </c>
      <c r="I845" s="2">
        <v>4.12</v>
      </c>
      <c r="J845" s="47">
        <f t="shared" si="65"/>
        <v>0.27181208053691275</v>
      </c>
      <c r="K845" s="47">
        <f t="shared" si="66"/>
        <v>8.7071240105540917E-2</v>
      </c>
      <c r="L845" s="8">
        <v>16.440000000000001</v>
      </c>
      <c r="M845" s="8">
        <v>14</v>
      </c>
      <c r="N845" s="8">
        <v>12.89</v>
      </c>
      <c r="O845" s="17">
        <f t="shared" si="67"/>
        <v>0.5150617283950617</v>
      </c>
      <c r="P845" s="17">
        <f t="shared" si="68"/>
        <v>1.4803969696969694</v>
      </c>
      <c r="Q845" s="5">
        <v>0.84</v>
      </c>
      <c r="R845" s="9">
        <v>26.56</v>
      </c>
      <c r="S845" s="9">
        <v>26.65</v>
      </c>
      <c r="T845" s="9">
        <v>1643.93505</v>
      </c>
      <c r="U845" s="9">
        <v>1361.32</v>
      </c>
      <c r="V845" s="45">
        <f t="shared" si="69"/>
        <v>0.20760368612816982</v>
      </c>
      <c r="W845" s="12">
        <v>8.14</v>
      </c>
      <c r="X845" s="12">
        <v>0</v>
      </c>
      <c r="Y845" s="12">
        <v>20210805</v>
      </c>
    </row>
    <row r="846" spans="1:25" x14ac:dyDescent="0.45">
      <c r="A846" s="3" t="s">
        <v>1748</v>
      </c>
      <c r="B846" s="3" t="s">
        <v>1749</v>
      </c>
      <c r="C846" s="6" t="s">
        <v>518</v>
      </c>
      <c r="D846" s="6" t="s">
        <v>175</v>
      </c>
      <c r="E846" s="6" t="s">
        <v>224</v>
      </c>
      <c r="F846" s="6">
        <v>7652.2</v>
      </c>
      <c r="G846" s="2">
        <v>-0.49</v>
      </c>
      <c r="H846" s="2">
        <v>0.44</v>
      </c>
      <c r="I846" s="2">
        <v>1.28</v>
      </c>
      <c r="J846" s="47">
        <f t="shared" si="65"/>
        <v>1.8979591836734693</v>
      </c>
      <c r="K846" s="47">
        <f t="shared" si="66"/>
        <v>1.9090909090909092</v>
      </c>
      <c r="M846" s="8">
        <v>214.91</v>
      </c>
      <c r="N846" s="8">
        <v>73.88</v>
      </c>
      <c r="O846" s="17">
        <f t="shared" si="67"/>
        <v>1.1323215053763442</v>
      </c>
      <c r="P846" s="17">
        <f t="shared" si="68"/>
        <v>0.38699047619047616</v>
      </c>
      <c r="R846" s="9">
        <v>-18.73</v>
      </c>
      <c r="T846" s="9">
        <v>483.29998000000001</v>
      </c>
      <c r="U846" s="9">
        <v>766.9</v>
      </c>
      <c r="V846" s="45">
        <f t="shared" si="69"/>
        <v>-0.36980052158038856</v>
      </c>
      <c r="W846" s="12">
        <v>-437.5</v>
      </c>
      <c r="X846" s="12">
        <v>0</v>
      </c>
      <c r="Y846" s="12">
        <v>20210805</v>
      </c>
    </row>
    <row r="847" spans="1:25" x14ac:dyDescent="0.45">
      <c r="A847" s="3" t="s">
        <v>1750</v>
      </c>
      <c r="B847" s="3" t="s">
        <v>4641</v>
      </c>
      <c r="C847" s="6" t="s">
        <v>519</v>
      </c>
      <c r="D847" s="6" t="s">
        <v>216</v>
      </c>
      <c r="E847" s="6" t="s">
        <v>1449</v>
      </c>
      <c r="F847" s="6">
        <v>20904.88</v>
      </c>
      <c r="J847" s="47" t="e">
        <f t="shared" si="65"/>
        <v>#DIV/0!</v>
      </c>
      <c r="K847" s="47" t="e">
        <f t="shared" si="66"/>
        <v>#DIV/0!</v>
      </c>
      <c r="L847" s="8">
        <v>12.69</v>
      </c>
      <c r="O847" s="17" t="e">
        <f t="shared" si="67"/>
        <v>#DIV/0!</v>
      </c>
      <c r="P847" s="17" t="e">
        <f t="shared" si="68"/>
        <v>#DIV/0!</v>
      </c>
      <c r="R847" s="9">
        <v>15.91</v>
      </c>
      <c r="U847" s="9">
        <v>12303</v>
      </c>
      <c r="V847" s="45">
        <f t="shared" si="69"/>
        <v>-1</v>
      </c>
      <c r="X847" s="12">
        <v>1.28</v>
      </c>
      <c r="Y847" s="12">
        <v>20210803</v>
      </c>
    </row>
    <row r="848" spans="1:25" x14ac:dyDescent="0.45">
      <c r="A848" s="3" t="s">
        <v>1750</v>
      </c>
      <c r="B848" s="3" t="s">
        <v>1751</v>
      </c>
      <c r="C848" s="6" t="s">
        <v>519</v>
      </c>
      <c r="D848" s="6" t="s">
        <v>216</v>
      </c>
      <c r="E848" s="6" t="s">
        <v>1449</v>
      </c>
      <c r="F848" s="6">
        <v>21839.02</v>
      </c>
      <c r="G848" s="2">
        <v>2.42</v>
      </c>
      <c r="H848" s="2">
        <v>2.78</v>
      </c>
      <c r="I848" s="2">
        <v>2.87</v>
      </c>
      <c r="J848" s="47">
        <f t="shared" si="65"/>
        <v>0.14876033057851235</v>
      </c>
      <c r="K848" s="47">
        <f t="shared" si="66"/>
        <v>3.2374100719424571E-2</v>
      </c>
      <c r="L848" s="8">
        <v>13.25</v>
      </c>
      <c r="M848" s="8">
        <v>13.52</v>
      </c>
      <c r="N848" s="8">
        <v>13.11</v>
      </c>
      <c r="O848" s="17">
        <f t="shared" si="67"/>
        <v>0.90884444444444468</v>
      </c>
      <c r="P848" s="17">
        <f t="shared" si="68"/>
        <v>4.0495333333333194</v>
      </c>
      <c r="Q848" s="5">
        <v>1.1499999999999999</v>
      </c>
      <c r="R848" s="9">
        <v>15.91</v>
      </c>
      <c r="T848" s="9">
        <v>12751.79492</v>
      </c>
      <c r="U848" s="9">
        <v>12303</v>
      </c>
      <c r="V848" s="45">
        <f t="shared" si="69"/>
        <v>3.6478494676095284E-2</v>
      </c>
      <c r="W848" s="12">
        <v>51.72</v>
      </c>
      <c r="X848" s="12">
        <v>1.22</v>
      </c>
      <c r="Y848" s="12">
        <v>20210803</v>
      </c>
    </row>
    <row r="849" spans="1:25" x14ac:dyDescent="0.45">
      <c r="A849" s="3" t="s">
        <v>1752</v>
      </c>
      <c r="B849" s="3" t="s">
        <v>1753</v>
      </c>
      <c r="C849" s="6" t="s">
        <v>519</v>
      </c>
      <c r="D849" s="6" t="s">
        <v>46</v>
      </c>
      <c r="E849" s="6" t="s">
        <v>63</v>
      </c>
      <c r="F849" s="6">
        <v>6071.39</v>
      </c>
      <c r="G849" s="2">
        <v>2.92</v>
      </c>
      <c r="H849" s="2">
        <v>3.94</v>
      </c>
      <c r="I849" s="2">
        <v>4.4400000000000004</v>
      </c>
      <c r="J849" s="47">
        <f t="shared" si="65"/>
        <v>0.34931506849315069</v>
      </c>
      <c r="K849" s="47">
        <f t="shared" si="66"/>
        <v>0.12690355329949249</v>
      </c>
      <c r="L849" s="8">
        <v>41.1</v>
      </c>
      <c r="M849" s="8">
        <v>36.75</v>
      </c>
      <c r="N849" s="8">
        <v>32.56</v>
      </c>
      <c r="O849" s="17">
        <f t="shared" si="67"/>
        <v>1.0520588235294117</v>
      </c>
      <c r="P849" s="17">
        <f t="shared" si="68"/>
        <v>2.5657279999999982</v>
      </c>
      <c r="Q849" s="5">
        <v>2.09</v>
      </c>
      <c r="R849" s="9">
        <v>21.13</v>
      </c>
      <c r="S849" s="9">
        <v>21.81</v>
      </c>
      <c r="T849" s="9">
        <v>1142.86096</v>
      </c>
      <c r="U849" s="9">
        <v>890.55</v>
      </c>
      <c r="V849" s="45">
        <f t="shared" si="69"/>
        <v>0.28332037504912699</v>
      </c>
      <c r="W849" s="12">
        <v>26.51</v>
      </c>
      <c r="X849" s="12">
        <v>0</v>
      </c>
      <c r="Y849" s="12">
        <v>20210804</v>
      </c>
    </row>
    <row r="850" spans="1:25" x14ac:dyDescent="0.45">
      <c r="A850" s="3" t="s">
        <v>4642</v>
      </c>
      <c r="B850" s="3" t="s">
        <v>4643</v>
      </c>
      <c r="C850" s="6" t="s">
        <v>520</v>
      </c>
      <c r="D850" s="6" t="s">
        <v>90</v>
      </c>
      <c r="E850" s="6" t="s">
        <v>269</v>
      </c>
      <c r="F850" s="6">
        <v>16266.17</v>
      </c>
      <c r="J850" s="47" t="e">
        <f t="shared" si="65"/>
        <v>#DIV/0!</v>
      </c>
      <c r="K850" s="47" t="e">
        <f t="shared" si="66"/>
        <v>#DIV/0!</v>
      </c>
      <c r="L850" s="8">
        <v>90.61</v>
      </c>
      <c r="O850" s="17" t="e">
        <f t="shared" si="67"/>
        <v>#DIV/0!</v>
      </c>
      <c r="P850" s="17" t="e">
        <f t="shared" si="68"/>
        <v>#DIV/0!</v>
      </c>
      <c r="R850" s="9">
        <v>1.72</v>
      </c>
      <c r="S850" s="9">
        <v>15.78</v>
      </c>
      <c r="U850" s="9">
        <v>5199</v>
      </c>
      <c r="V850" s="45">
        <f t="shared" si="69"/>
        <v>-1</v>
      </c>
      <c r="X850" s="12">
        <v>0.02</v>
      </c>
      <c r="Y850" s="12">
        <v>20210727</v>
      </c>
    </row>
    <row r="851" spans="1:25" x14ac:dyDescent="0.45">
      <c r="A851" s="3" t="s">
        <v>1754</v>
      </c>
      <c r="B851" s="3" t="s">
        <v>1755</v>
      </c>
      <c r="C851" s="6" t="s">
        <v>518</v>
      </c>
      <c r="D851" s="6" t="s">
        <v>234</v>
      </c>
      <c r="E851" s="6" t="s">
        <v>286</v>
      </c>
      <c r="F851" s="6">
        <v>6861.84</v>
      </c>
      <c r="G851" s="2">
        <v>1.85</v>
      </c>
      <c r="H851" s="2">
        <v>1.91</v>
      </c>
      <c r="I851" s="2">
        <v>2.04</v>
      </c>
      <c r="J851" s="47">
        <f t="shared" si="65"/>
        <v>3.2432432432432337E-2</v>
      </c>
      <c r="K851" s="47">
        <f t="shared" si="66"/>
        <v>6.8062827225130948E-2</v>
      </c>
      <c r="L851" s="8">
        <v>28.72</v>
      </c>
      <c r="M851" s="8">
        <v>27.82</v>
      </c>
      <c r="N851" s="8">
        <v>25.99</v>
      </c>
      <c r="O851" s="17">
        <f t="shared" si="67"/>
        <v>8.5778333333333592</v>
      </c>
      <c r="P851" s="17">
        <f t="shared" si="68"/>
        <v>3.8185307692307657</v>
      </c>
      <c r="R851" s="9">
        <v>11.43</v>
      </c>
      <c r="S851" s="9">
        <v>4.2300000000000004</v>
      </c>
      <c r="T851" s="9">
        <v>468.76501000000002</v>
      </c>
      <c r="U851" s="9">
        <v>448.03</v>
      </c>
      <c r="V851" s="45">
        <f t="shared" si="69"/>
        <v>4.6280405330000329E-2</v>
      </c>
      <c r="W851" s="12">
        <v>0</v>
      </c>
      <c r="X851" s="12">
        <v>2.0299999999999998</v>
      </c>
      <c r="Y851" s="12">
        <v>20210728</v>
      </c>
    </row>
    <row r="852" spans="1:25" x14ac:dyDescent="0.45">
      <c r="A852" s="3" t="s">
        <v>1756</v>
      </c>
      <c r="B852" s="3" t="s">
        <v>1757</v>
      </c>
      <c r="C852" s="6" t="s">
        <v>518</v>
      </c>
      <c r="D852" s="6" t="s">
        <v>234</v>
      </c>
      <c r="E852" s="6" t="s">
        <v>181</v>
      </c>
      <c r="F852" s="6">
        <v>33516.39</v>
      </c>
      <c r="G852" s="2">
        <v>5.7</v>
      </c>
      <c r="H852" s="2">
        <v>7.05</v>
      </c>
      <c r="I852" s="2">
        <v>7.62</v>
      </c>
      <c r="J852" s="47">
        <f t="shared" si="65"/>
        <v>0.23684210526315783</v>
      </c>
      <c r="K852" s="47">
        <f t="shared" si="66"/>
        <v>8.0851063829787281E-2</v>
      </c>
      <c r="L852" s="8">
        <v>30.41</v>
      </c>
      <c r="M852" s="8">
        <v>27.6</v>
      </c>
      <c r="N852" s="8">
        <v>25.56</v>
      </c>
      <c r="O852" s="17">
        <f t="shared" si="67"/>
        <v>1.1653333333333336</v>
      </c>
      <c r="P852" s="17">
        <f t="shared" si="68"/>
        <v>3.1613684210526296</v>
      </c>
      <c r="Q852" s="5">
        <v>1.76</v>
      </c>
      <c r="R852" s="9">
        <v>11.76</v>
      </c>
      <c r="S852" s="9">
        <v>18.27</v>
      </c>
      <c r="T852" s="9">
        <v>4821.7861300000004</v>
      </c>
      <c r="U852" s="9">
        <v>4506.91</v>
      </c>
      <c r="V852" s="45">
        <f t="shared" si="69"/>
        <v>6.9865191450461744E-2</v>
      </c>
      <c r="W852" s="12">
        <v>16.23</v>
      </c>
      <c r="X852" s="12">
        <v>0.45</v>
      </c>
      <c r="Y852" s="12">
        <v>20210713</v>
      </c>
    </row>
    <row r="853" spans="1:25" x14ac:dyDescent="0.45">
      <c r="A853" s="3" t="s">
        <v>4644</v>
      </c>
      <c r="B853" s="3" t="s">
        <v>4645</v>
      </c>
      <c r="C853" s="6" t="s">
        <v>520</v>
      </c>
      <c r="D853" s="6" t="s">
        <v>234</v>
      </c>
      <c r="E853" s="6" t="s">
        <v>244</v>
      </c>
      <c r="F853" s="6">
        <v>12560.44</v>
      </c>
      <c r="J853" s="47" t="e">
        <f t="shared" si="65"/>
        <v>#DIV/0!</v>
      </c>
      <c r="K853" s="47" t="e">
        <f t="shared" si="66"/>
        <v>#DIV/0!</v>
      </c>
      <c r="L853" s="8">
        <v>5.42</v>
      </c>
      <c r="O853" s="17" t="e">
        <f t="shared" si="67"/>
        <v>#DIV/0!</v>
      </c>
      <c r="P853" s="17" t="e">
        <f t="shared" si="68"/>
        <v>#DIV/0!</v>
      </c>
      <c r="R853" s="9">
        <v>15.2</v>
      </c>
      <c r="S853" s="9">
        <v>19.16</v>
      </c>
      <c r="U853" s="9">
        <v>19794.900000000001</v>
      </c>
      <c r="V853" s="45">
        <f t="shared" si="69"/>
        <v>-1</v>
      </c>
      <c r="X853" s="12">
        <v>2.15</v>
      </c>
      <c r="Y853" s="12">
        <v>20210729</v>
      </c>
    </row>
    <row r="854" spans="1:25" x14ac:dyDescent="0.45">
      <c r="A854" s="3" t="s">
        <v>4646</v>
      </c>
      <c r="B854" s="3" t="s">
        <v>4647</v>
      </c>
      <c r="C854" s="6" t="s">
        <v>519</v>
      </c>
      <c r="D854" s="6" t="s">
        <v>234</v>
      </c>
      <c r="E854" s="6" t="s">
        <v>221</v>
      </c>
      <c r="F854" s="6">
        <v>3293.27</v>
      </c>
      <c r="G854" s="2">
        <v>2.25</v>
      </c>
      <c r="H854" s="2">
        <v>3.88</v>
      </c>
      <c r="J854" s="47">
        <f t="shared" si="65"/>
        <v>0.72444444444444445</v>
      </c>
      <c r="K854" s="47">
        <f t="shared" si="66"/>
        <v>-1</v>
      </c>
      <c r="L854" s="8">
        <v>36.119999999999997</v>
      </c>
      <c r="M854" s="8">
        <v>14.52</v>
      </c>
      <c r="O854" s="17">
        <f t="shared" si="67"/>
        <v>0.20042944785276073</v>
      </c>
      <c r="P854" s="17">
        <f t="shared" si="68"/>
        <v>0</v>
      </c>
      <c r="R854" s="9">
        <v>53.54</v>
      </c>
      <c r="T854" s="9">
        <v>588.45001000000002</v>
      </c>
      <c r="U854" s="9">
        <v>121.9</v>
      </c>
      <c r="V854" s="45">
        <f t="shared" si="69"/>
        <v>3.827317555373257</v>
      </c>
      <c r="X854" s="12">
        <v>0</v>
      </c>
      <c r="Y854" s="12">
        <v>20210712</v>
      </c>
    </row>
    <row r="855" spans="1:25" x14ac:dyDescent="0.45">
      <c r="A855" s="3" t="s">
        <v>1758</v>
      </c>
      <c r="B855" s="3" t="s">
        <v>1759</v>
      </c>
      <c r="C855" s="6" t="s">
        <v>519</v>
      </c>
      <c r="D855" s="6" t="s">
        <v>189</v>
      </c>
      <c r="E855" s="6" t="s">
        <v>248</v>
      </c>
      <c r="F855" s="6">
        <v>4143.74</v>
      </c>
      <c r="G855" s="2">
        <v>0.13</v>
      </c>
      <c r="H855" s="2">
        <v>0.06</v>
      </c>
      <c r="I855" s="2">
        <v>0.1</v>
      </c>
      <c r="J855" s="47">
        <f t="shared" si="65"/>
        <v>-0.53846153846153855</v>
      </c>
      <c r="K855" s="47">
        <f t="shared" si="66"/>
        <v>0.66666666666666685</v>
      </c>
      <c r="M855" s="8">
        <v>734.04</v>
      </c>
      <c r="N855" s="8">
        <v>467.12</v>
      </c>
      <c r="O855" s="17">
        <f t="shared" si="67"/>
        <v>-13.632171428571427</v>
      </c>
      <c r="P855" s="17">
        <f t="shared" si="68"/>
        <v>7.0067999999999984</v>
      </c>
      <c r="T855" s="9">
        <v>202.33599000000001</v>
      </c>
      <c r="U855" s="9">
        <v>150.83000000000001</v>
      </c>
      <c r="V855" s="45">
        <f t="shared" si="69"/>
        <v>0.34148372339720212</v>
      </c>
      <c r="W855" s="12">
        <v>100</v>
      </c>
      <c r="X855" s="12">
        <v>0</v>
      </c>
      <c r="Y855" s="12">
        <v>20210805</v>
      </c>
    </row>
    <row r="856" spans="1:25" x14ac:dyDescent="0.45">
      <c r="A856" s="3" t="s">
        <v>1760</v>
      </c>
      <c r="B856" s="3" t="s">
        <v>1761</v>
      </c>
      <c r="C856" s="6" t="s">
        <v>519</v>
      </c>
      <c r="D856" s="6" t="s">
        <v>225</v>
      </c>
      <c r="E856" s="6" t="s">
        <v>226</v>
      </c>
      <c r="F856" s="6">
        <v>7291.69</v>
      </c>
      <c r="G856" s="2">
        <v>0.08</v>
      </c>
      <c r="H856" s="2">
        <v>0.06</v>
      </c>
      <c r="I856" s="2">
        <v>0.69</v>
      </c>
      <c r="J856" s="47">
        <f t="shared" si="65"/>
        <v>-0.25000000000000006</v>
      </c>
      <c r="K856" s="47">
        <f t="shared" si="66"/>
        <v>10.499999999999998</v>
      </c>
      <c r="M856" s="8">
        <v>2877.85</v>
      </c>
      <c r="N856" s="8">
        <v>245.31</v>
      </c>
      <c r="O856" s="17">
        <f t="shared" si="67"/>
        <v>-115.11399999999996</v>
      </c>
      <c r="P856" s="17">
        <f t="shared" si="68"/>
        <v>0.23362857142857149</v>
      </c>
      <c r="R856" s="9">
        <v>-2.21</v>
      </c>
      <c r="S856" s="9">
        <v>24.12</v>
      </c>
      <c r="T856" s="9">
        <v>432.99498999999997</v>
      </c>
      <c r="U856" s="9">
        <v>318.79000000000002</v>
      </c>
      <c r="V856" s="45">
        <f t="shared" si="69"/>
        <v>0.35824520844443031</v>
      </c>
      <c r="W856" s="12">
        <v>-1200</v>
      </c>
      <c r="X856" s="12">
        <v>0</v>
      </c>
      <c r="Y856" s="12">
        <v>20210802</v>
      </c>
    </row>
    <row r="857" spans="1:25" x14ac:dyDescent="0.45">
      <c r="A857" s="3" t="s">
        <v>4648</v>
      </c>
      <c r="B857" s="3" t="s">
        <v>4649</v>
      </c>
      <c r="C857" s="6" t="s">
        <v>520</v>
      </c>
      <c r="D857" s="6" t="s">
        <v>210</v>
      </c>
      <c r="E857" s="6" t="s">
        <v>215</v>
      </c>
      <c r="F857" s="6">
        <v>22694.240000000002</v>
      </c>
      <c r="J857" s="47" t="e">
        <f t="shared" si="65"/>
        <v>#DIV/0!</v>
      </c>
      <c r="K857" s="47" t="e">
        <f t="shared" si="66"/>
        <v>#DIV/0!</v>
      </c>
      <c r="O857" s="17" t="e">
        <f t="shared" si="67"/>
        <v>#DIV/0!</v>
      </c>
      <c r="P857" s="17" t="e">
        <f t="shared" si="68"/>
        <v>#DIV/0!</v>
      </c>
      <c r="U857" s="9">
        <v>6776.58</v>
      </c>
      <c r="V857" s="45">
        <f t="shared" si="69"/>
        <v>-1</v>
      </c>
      <c r="X857" s="12">
        <v>0</v>
      </c>
    </row>
    <row r="858" spans="1:25" x14ac:dyDescent="0.45">
      <c r="A858" s="3" t="s">
        <v>1762</v>
      </c>
      <c r="B858" s="3" t="s">
        <v>1763</v>
      </c>
      <c r="C858" s="6" t="s">
        <v>518</v>
      </c>
      <c r="D858" s="6" t="s">
        <v>234</v>
      </c>
      <c r="E858" s="6" t="s">
        <v>288</v>
      </c>
      <c r="F858" s="6">
        <v>9521.93</v>
      </c>
      <c r="G858" s="2">
        <v>4.46</v>
      </c>
      <c r="H858" s="2">
        <v>4.63</v>
      </c>
      <c r="I858" s="2">
        <v>5.14</v>
      </c>
      <c r="J858" s="47">
        <f t="shared" si="65"/>
        <v>3.8116591928251106E-2</v>
      </c>
      <c r="K858" s="47">
        <f t="shared" si="66"/>
        <v>0.11015118790496756</v>
      </c>
      <c r="L858" s="8">
        <v>29.16</v>
      </c>
      <c r="M858" s="8">
        <v>26.47</v>
      </c>
      <c r="N858" s="8">
        <v>23.81</v>
      </c>
      <c r="O858" s="17">
        <f t="shared" si="67"/>
        <v>6.9444823529411792</v>
      </c>
      <c r="P858" s="17">
        <f t="shared" si="68"/>
        <v>2.1615745098039225</v>
      </c>
      <c r="Q858" s="5">
        <v>3.8</v>
      </c>
      <c r="R858" s="9">
        <v>5.29</v>
      </c>
      <c r="S858" s="9">
        <v>2.2999999999999998</v>
      </c>
      <c r="T858" s="9">
        <v>875.17296999999996</v>
      </c>
      <c r="U858" s="9">
        <v>835.49</v>
      </c>
      <c r="V858" s="45">
        <f t="shared" si="69"/>
        <v>4.7496642688721537E-2</v>
      </c>
      <c r="W858" s="12">
        <v>14.71</v>
      </c>
      <c r="X858" s="12">
        <v>3.46</v>
      </c>
      <c r="Y858" s="12">
        <v>20210804</v>
      </c>
    </row>
    <row r="859" spans="1:25" x14ac:dyDescent="0.45">
      <c r="A859" s="3" t="s">
        <v>4144</v>
      </c>
      <c r="B859" s="3" t="s">
        <v>4145</v>
      </c>
      <c r="C859" s="6" t="s">
        <v>520</v>
      </c>
      <c r="D859" s="6" t="s">
        <v>189</v>
      </c>
      <c r="E859" s="6" t="s">
        <v>4146</v>
      </c>
      <c r="F859" s="6">
        <v>3047.83</v>
      </c>
      <c r="G859" s="2">
        <v>4.84</v>
      </c>
      <c r="H859" s="2">
        <v>2.2000000000000002</v>
      </c>
      <c r="I859" s="2">
        <v>2.2799999999999998</v>
      </c>
      <c r="J859" s="47">
        <f t="shared" si="65"/>
        <v>-0.54545454545454541</v>
      </c>
      <c r="K859" s="47">
        <f t="shared" si="66"/>
        <v>3.6363636363636188E-2</v>
      </c>
      <c r="L859" s="8">
        <v>14.88</v>
      </c>
      <c r="M859" s="8">
        <v>10.82</v>
      </c>
      <c r="N859" s="8">
        <v>10.44</v>
      </c>
      <c r="O859" s="17">
        <f t="shared" si="67"/>
        <v>-0.19836666666666669</v>
      </c>
      <c r="P859" s="17">
        <f t="shared" si="68"/>
        <v>2.8710000000000138</v>
      </c>
      <c r="T859" s="9">
        <v>3103.8000400000001</v>
      </c>
      <c r="U859" s="9">
        <v>3284.83</v>
      </c>
      <c r="V859" s="45">
        <f t="shared" si="69"/>
        <v>-5.5110906804918321E-2</v>
      </c>
      <c r="X859" s="12">
        <v>0</v>
      </c>
      <c r="Y859" s="12">
        <v>20210614</v>
      </c>
    </row>
    <row r="860" spans="1:25" x14ac:dyDescent="0.45">
      <c r="A860" s="3" t="s">
        <v>3804</v>
      </c>
      <c r="B860" s="3" t="s">
        <v>3805</v>
      </c>
      <c r="C860" s="6" t="s">
        <v>518</v>
      </c>
      <c r="D860" s="6" t="s">
        <v>234</v>
      </c>
      <c r="E860" s="6" t="s">
        <v>223</v>
      </c>
      <c r="F860" s="6">
        <v>3742.97</v>
      </c>
      <c r="H860" s="2">
        <v>2.2599999999999998</v>
      </c>
      <c r="I860" s="2">
        <v>2.2999999999999998</v>
      </c>
      <c r="J860" s="47" t="e">
        <f t="shared" si="65"/>
        <v>#DIV/0!</v>
      </c>
      <c r="K860" s="47">
        <f t="shared" si="66"/>
        <v>1.7699115044247805E-2</v>
      </c>
      <c r="L860" s="8">
        <v>10.11</v>
      </c>
      <c r="M860" s="8">
        <v>9.75</v>
      </c>
      <c r="N860" s="8">
        <v>9.58</v>
      </c>
      <c r="O860" s="17" t="e">
        <f t="shared" si="67"/>
        <v>#DIV/0!</v>
      </c>
      <c r="P860" s="17">
        <f t="shared" si="68"/>
        <v>5.4126999999999947</v>
      </c>
      <c r="R860" s="9">
        <v>8.76</v>
      </c>
      <c r="T860" s="9">
        <v>730.89000999999996</v>
      </c>
      <c r="U860" s="9">
        <v>731</v>
      </c>
      <c r="V860" s="45">
        <f t="shared" si="69"/>
        <v>-1.5046511627912296E-4</v>
      </c>
      <c r="W860" s="12">
        <v>1.79</v>
      </c>
      <c r="X860" s="12">
        <v>9.99</v>
      </c>
      <c r="Y860" s="12">
        <v>20210809</v>
      </c>
    </row>
    <row r="861" spans="1:25" x14ac:dyDescent="0.45">
      <c r="A861" s="3" t="s">
        <v>1764</v>
      </c>
      <c r="B861" s="3" t="s">
        <v>1765</v>
      </c>
      <c r="C861" s="6" t="s">
        <v>519</v>
      </c>
      <c r="D861" s="6" t="s">
        <v>289</v>
      </c>
      <c r="E861" s="6" t="s">
        <v>400</v>
      </c>
      <c r="F861" s="6">
        <v>8165.81</v>
      </c>
      <c r="G861" s="2">
        <v>3.94</v>
      </c>
      <c r="H861" s="2">
        <v>4.49</v>
      </c>
      <c r="I861" s="2">
        <v>3.48</v>
      </c>
      <c r="J861" s="47">
        <f t="shared" si="65"/>
        <v>0.13959390862944168</v>
      </c>
      <c r="K861" s="47">
        <f t="shared" si="66"/>
        <v>-0.22494432071269491</v>
      </c>
      <c r="L861" s="8">
        <v>15.87</v>
      </c>
      <c r="M861" s="8">
        <v>17.11</v>
      </c>
      <c r="N861" s="8">
        <v>22.07</v>
      </c>
      <c r="O861" s="17">
        <f t="shared" si="67"/>
        <v>1.2256981818181811</v>
      </c>
      <c r="P861" s="17">
        <f t="shared" si="68"/>
        <v>-0.98113168316831678</v>
      </c>
      <c r="R861" s="9">
        <v>9.48</v>
      </c>
      <c r="S861" s="9">
        <v>-2.0099999999999998</v>
      </c>
      <c r="T861" s="9">
        <v>2938.2019</v>
      </c>
      <c r="U861" s="9">
        <v>2711.33</v>
      </c>
      <c r="V861" s="45">
        <f t="shared" si="69"/>
        <v>8.3675502428697396E-2</v>
      </c>
      <c r="W861" s="12">
        <v>96</v>
      </c>
      <c r="X861" s="12">
        <v>0</v>
      </c>
      <c r="Y861" s="12">
        <v>20210805</v>
      </c>
    </row>
    <row r="862" spans="1:25" x14ac:dyDescent="0.45">
      <c r="A862" s="3" t="s">
        <v>1766</v>
      </c>
      <c r="B862" s="3" t="s">
        <v>1767</v>
      </c>
      <c r="C862" s="6" t="s">
        <v>518</v>
      </c>
      <c r="D862" s="6" t="s">
        <v>189</v>
      </c>
      <c r="E862" s="6" t="s">
        <v>248</v>
      </c>
      <c r="F862" s="6">
        <v>5786.2</v>
      </c>
      <c r="G862" s="2">
        <v>-0.18</v>
      </c>
      <c r="H862" s="2">
        <v>-0.41</v>
      </c>
      <c r="I862" s="2">
        <v>-0.23</v>
      </c>
      <c r="J862" s="47">
        <f t="shared" si="65"/>
        <v>-1.2777777777777777</v>
      </c>
      <c r="K862" s="47">
        <f t="shared" si="66"/>
        <v>0.43902439024390238</v>
      </c>
      <c r="O862" s="17">
        <f t="shared" si="67"/>
        <v>0</v>
      </c>
      <c r="P862" s="17">
        <f t="shared" si="68"/>
        <v>0</v>
      </c>
      <c r="R862" s="9">
        <v>-14.53</v>
      </c>
      <c r="T862" s="9">
        <v>383.53500000000003</v>
      </c>
      <c r="U862" s="9">
        <v>290.87</v>
      </c>
      <c r="V862" s="45">
        <f t="shared" si="69"/>
        <v>0.31857874651906354</v>
      </c>
      <c r="W862" s="12">
        <v>-9.09</v>
      </c>
      <c r="X862" s="12">
        <v>0</v>
      </c>
      <c r="Y862" s="12">
        <v>20210804</v>
      </c>
    </row>
    <row r="863" spans="1:25" x14ac:dyDescent="0.45">
      <c r="A863" s="3" t="s">
        <v>1768</v>
      </c>
      <c r="B863" s="3" t="s">
        <v>1769</v>
      </c>
      <c r="C863" s="6" t="s">
        <v>520</v>
      </c>
      <c r="D863" s="6" t="s">
        <v>279</v>
      </c>
      <c r="E863" s="6" t="s">
        <v>263</v>
      </c>
      <c r="F863" s="6">
        <v>30530.98</v>
      </c>
      <c r="G863" s="2">
        <v>0.96</v>
      </c>
      <c r="H863" s="2">
        <v>0.94</v>
      </c>
      <c r="I863" s="2">
        <v>1.1100000000000001</v>
      </c>
      <c r="J863" s="47">
        <f t="shared" si="65"/>
        <v>-2.0833333333333353E-2</v>
      </c>
      <c r="K863" s="47">
        <f t="shared" si="66"/>
        <v>0.18085106382978741</v>
      </c>
      <c r="L863" s="8">
        <v>14.91</v>
      </c>
      <c r="M863" s="8">
        <v>14.6</v>
      </c>
      <c r="N863" s="8">
        <v>12.36</v>
      </c>
      <c r="O863" s="17">
        <f t="shared" si="67"/>
        <v>-7.0079999999999938</v>
      </c>
      <c r="P863" s="17">
        <f t="shared" si="68"/>
        <v>0.68343529411764636</v>
      </c>
      <c r="R863" s="9">
        <v>6.69</v>
      </c>
      <c r="S863" s="9">
        <v>5.24</v>
      </c>
      <c r="T863" s="9">
        <v>44742.414060000003</v>
      </c>
      <c r="U863" s="9">
        <v>41435.699999999997</v>
      </c>
      <c r="V863" s="45">
        <f t="shared" si="69"/>
        <v>7.9803504224618044E-2</v>
      </c>
      <c r="X863" s="12">
        <v>1.33</v>
      </c>
      <c r="Y863" s="12">
        <v>20210729</v>
      </c>
    </row>
    <row r="864" spans="1:25" x14ac:dyDescent="0.45">
      <c r="A864" s="3" t="s">
        <v>4147</v>
      </c>
      <c r="B864" s="3" t="s">
        <v>4148</v>
      </c>
      <c r="C864" s="6" t="s">
        <v>518</v>
      </c>
      <c r="D864" s="6" t="s">
        <v>46</v>
      </c>
      <c r="E864" s="6" t="s">
        <v>63</v>
      </c>
      <c r="F864" s="6">
        <v>5512.12</v>
      </c>
      <c r="G864" s="2">
        <v>-0.3</v>
      </c>
      <c r="H864" s="2">
        <v>-0.85</v>
      </c>
      <c r="I864" s="2">
        <v>-0.88</v>
      </c>
      <c r="J864" s="47">
        <f t="shared" si="65"/>
        <v>-1.8333333333333335</v>
      </c>
      <c r="K864" s="47">
        <f t="shared" si="66"/>
        <v>-3.5294117647058858E-2</v>
      </c>
      <c r="O864" s="17">
        <f t="shared" si="67"/>
        <v>0</v>
      </c>
      <c r="P864" s="17">
        <f t="shared" si="68"/>
        <v>0</v>
      </c>
      <c r="R864" s="9">
        <v>-9.6199999999999992</v>
      </c>
      <c r="T864" s="9">
        <v>1.9990000000000001E-2</v>
      </c>
      <c r="V864" s="45" t="e">
        <f t="shared" si="69"/>
        <v>#DIV/0!</v>
      </c>
      <c r="W864" s="12">
        <v>42.11</v>
      </c>
      <c r="X864" s="12">
        <v>0</v>
      </c>
      <c r="Y864" s="12">
        <v>20210730</v>
      </c>
    </row>
    <row r="865" spans="1:25" x14ac:dyDescent="0.45">
      <c r="A865" s="3" t="s">
        <v>1770</v>
      </c>
      <c r="B865" s="3" t="s">
        <v>1771</v>
      </c>
      <c r="C865" s="6" t="s">
        <v>520</v>
      </c>
      <c r="D865" s="6" t="s">
        <v>90</v>
      </c>
      <c r="E865" s="6" t="s">
        <v>1772</v>
      </c>
      <c r="F865" s="6">
        <v>53774.13</v>
      </c>
      <c r="G865" s="2">
        <v>2.97</v>
      </c>
      <c r="H865" s="2">
        <v>6.14</v>
      </c>
      <c r="I865" s="2">
        <v>5.61</v>
      </c>
      <c r="J865" s="47">
        <f t="shared" si="65"/>
        <v>1.067340067340067</v>
      </c>
      <c r="K865" s="47">
        <f t="shared" si="66"/>
        <v>-8.6319218241042245E-2</v>
      </c>
      <c r="M865" s="8">
        <v>5.69</v>
      </c>
      <c r="N865" s="8">
        <v>6.23</v>
      </c>
      <c r="O865" s="17">
        <f t="shared" si="67"/>
        <v>5.3310094637223998E-2</v>
      </c>
      <c r="P865" s="17">
        <f t="shared" si="68"/>
        <v>-0.72173962264151026</v>
      </c>
      <c r="T865" s="9">
        <v>20617.539059999999</v>
      </c>
      <c r="U865" s="9">
        <v>12820</v>
      </c>
      <c r="V865" s="45">
        <f t="shared" si="69"/>
        <v>0.60823237597503899</v>
      </c>
      <c r="X865" s="12">
        <v>12.71</v>
      </c>
    </row>
    <row r="866" spans="1:25" x14ac:dyDescent="0.45">
      <c r="A866" s="3" t="s">
        <v>1773</v>
      </c>
      <c r="B866" s="3" t="s">
        <v>1774</v>
      </c>
      <c r="C866" s="6" t="s">
        <v>519</v>
      </c>
      <c r="D866" s="6" t="s">
        <v>234</v>
      </c>
      <c r="E866" s="6" t="s">
        <v>284</v>
      </c>
      <c r="F866" s="6">
        <v>7436.06</v>
      </c>
      <c r="G866" s="2">
        <v>3.27</v>
      </c>
      <c r="H866" s="2">
        <v>3.86</v>
      </c>
      <c r="I866" s="2">
        <v>4.3</v>
      </c>
      <c r="J866" s="47">
        <f t="shared" si="65"/>
        <v>0.18042813455657489</v>
      </c>
      <c r="K866" s="47">
        <f t="shared" si="66"/>
        <v>0.11398963730569947</v>
      </c>
      <c r="L866" s="8">
        <v>45.5</v>
      </c>
      <c r="M866" s="8">
        <v>43.97</v>
      </c>
      <c r="N866" s="8">
        <v>39.47</v>
      </c>
      <c r="O866" s="17">
        <f t="shared" si="67"/>
        <v>2.436981355932204</v>
      </c>
      <c r="P866" s="17">
        <f t="shared" si="68"/>
        <v>3.4625954545454545</v>
      </c>
      <c r="R866" s="9">
        <v>16.05</v>
      </c>
      <c r="S866" s="9">
        <v>17.149999999999999</v>
      </c>
      <c r="T866" s="9">
        <v>3003.8000400000001</v>
      </c>
      <c r="U866" s="9">
        <v>2772.42</v>
      </c>
      <c r="V866" s="45">
        <f t="shared" si="69"/>
        <v>8.3457787781072129E-2</v>
      </c>
      <c r="W866" s="12">
        <v>32</v>
      </c>
      <c r="X866" s="12">
        <v>0.28999999999999998</v>
      </c>
      <c r="Y866" s="12">
        <v>20210722</v>
      </c>
    </row>
    <row r="867" spans="1:25" x14ac:dyDescent="0.45">
      <c r="A867" s="3" t="s">
        <v>3806</v>
      </c>
      <c r="B867" s="3" t="s">
        <v>3807</v>
      </c>
      <c r="C867" s="6" t="s">
        <v>518</v>
      </c>
      <c r="D867" s="6" t="s">
        <v>303</v>
      </c>
      <c r="E867" s="6" t="s">
        <v>290</v>
      </c>
      <c r="F867" s="6">
        <v>16134.27</v>
      </c>
      <c r="G867" s="2">
        <v>-3.42</v>
      </c>
      <c r="H867" s="2">
        <v>-0.87</v>
      </c>
      <c r="I867" s="2">
        <v>-1.36</v>
      </c>
      <c r="J867" s="47">
        <f t="shared" si="65"/>
        <v>0.74561403508771928</v>
      </c>
      <c r="K867" s="47">
        <f t="shared" si="66"/>
        <v>-0.56321839080459779</v>
      </c>
      <c r="O867" s="17">
        <f t="shared" si="67"/>
        <v>0</v>
      </c>
      <c r="P867" s="17">
        <f t="shared" si="68"/>
        <v>0</v>
      </c>
      <c r="R867" s="9">
        <v>-1281.44</v>
      </c>
      <c r="T867" s="9">
        <v>2264.9641099999999</v>
      </c>
      <c r="U867" s="9">
        <v>1673.92</v>
      </c>
      <c r="V867" s="45">
        <f t="shared" si="69"/>
        <v>0.35308981910724513</v>
      </c>
      <c r="W867" s="12">
        <v>41.67</v>
      </c>
      <c r="X867" s="12">
        <v>0</v>
      </c>
      <c r="Y867" s="12">
        <v>20210812</v>
      </c>
    </row>
    <row r="868" spans="1:25" x14ac:dyDescent="0.45">
      <c r="A868" s="3" t="s">
        <v>1775</v>
      </c>
      <c r="B868" s="3" t="s">
        <v>1776</v>
      </c>
      <c r="C868" s="6" t="s">
        <v>519</v>
      </c>
      <c r="D868" s="6" t="s">
        <v>210</v>
      </c>
      <c r="E868" s="6" t="s">
        <v>191</v>
      </c>
      <c r="F868" s="6">
        <v>4397.3599999999997</v>
      </c>
      <c r="G868" s="2">
        <v>1.51</v>
      </c>
      <c r="H868" s="2">
        <v>1.71</v>
      </c>
      <c r="I868" s="2">
        <v>2.14</v>
      </c>
      <c r="J868" s="47">
        <f t="shared" si="65"/>
        <v>0.1324503311258278</v>
      </c>
      <c r="K868" s="47">
        <f t="shared" si="66"/>
        <v>0.25146198830409366</v>
      </c>
      <c r="L868" s="8">
        <v>35.89</v>
      </c>
      <c r="M868" s="8">
        <v>30.1</v>
      </c>
      <c r="N868" s="8">
        <v>24.01</v>
      </c>
      <c r="O868" s="17">
        <f t="shared" si="67"/>
        <v>2.2725500000000003</v>
      </c>
      <c r="P868" s="17">
        <f t="shared" si="68"/>
        <v>0.95481627906976707</v>
      </c>
      <c r="Q868" s="5">
        <v>2.1800000000000002</v>
      </c>
      <c r="R868" s="9">
        <v>-161.06</v>
      </c>
      <c r="T868" s="9">
        <v>1643.41003</v>
      </c>
      <c r="U868" s="9">
        <v>1474</v>
      </c>
      <c r="V868" s="45">
        <f t="shared" si="69"/>
        <v>0.11493217774762551</v>
      </c>
      <c r="W868" s="12">
        <v>11.11</v>
      </c>
      <c r="X868" s="12">
        <v>0</v>
      </c>
      <c r="Y868" s="12">
        <v>20210804</v>
      </c>
    </row>
    <row r="869" spans="1:25" x14ac:dyDescent="0.45">
      <c r="A869" s="3" t="s">
        <v>1777</v>
      </c>
      <c r="B869" s="3" t="s">
        <v>1778</v>
      </c>
      <c r="C869" s="6" t="s">
        <v>518</v>
      </c>
      <c r="D869" s="6" t="s">
        <v>289</v>
      </c>
      <c r="E869" s="6" t="s">
        <v>917</v>
      </c>
      <c r="F869" s="6">
        <v>4723.0200000000004</v>
      </c>
      <c r="G869" s="2">
        <v>0.34</v>
      </c>
      <c r="H869" s="2">
        <v>-0.13</v>
      </c>
      <c r="I869" s="2">
        <v>0.16</v>
      </c>
      <c r="J869" s="47">
        <f t="shared" si="65"/>
        <v>-1.3823529411764706</v>
      </c>
      <c r="K869" s="47">
        <f t="shared" si="66"/>
        <v>2.2307692307692308</v>
      </c>
      <c r="L869" s="8">
        <v>38.81</v>
      </c>
      <c r="N869" s="8">
        <v>67.27</v>
      </c>
      <c r="O869" s="17">
        <f t="shared" si="67"/>
        <v>0</v>
      </c>
      <c r="P869" s="17">
        <f t="shared" si="68"/>
        <v>0.30155517241379304</v>
      </c>
      <c r="R869" s="9">
        <v>3.02</v>
      </c>
      <c r="S869" s="9">
        <v>17.21</v>
      </c>
      <c r="T869" s="9">
        <v>6343.8540000000003</v>
      </c>
      <c r="U869" s="9">
        <v>13050.6</v>
      </c>
      <c r="V869" s="45">
        <f t="shared" si="69"/>
        <v>-0.51390326881522685</v>
      </c>
      <c r="W869" s="12">
        <v>70</v>
      </c>
      <c r="X869" s="12">
        <v>0</v>
      </c>
      <c r="Y869" s="12">
        <v>20210804</v>
      </c>
    </row>
    <row r="870" spans="1:25" x14ac:dyDescent="0.45">
      <c r="A870" s="3" t="s">
        <v>1779</v>
      </c>
      <c r="B870" s="3" t="s">
        <v>1780</v>
      </c>
      <c r="C870" s="6" t="s">
        <v>519</v>
      </c>
      <c r="D870" s="6" t="s">
        <v>189</v>
      </c>
      <c r="E870" s="6" t="s">
        <v>433</v>
      </c>
      <c r="F870" s="6">
        <v>36831.39</v>
      </c>
      <c r="G870" s="2">
        <v>3.25</v>
      </c>
      <c r="H870" s="2">
        <v>3.74</v>
      </c>
      <c r="I870" s="2">
        <v>4.28</v>
      </c>
      <c r="J870" s="47">
        <f t="shared" si="65"/>
        <v>0.15076923076923082</v>
      </c>
      <c r="K870" s="47">
        <f t="shared" si="66"/>
        <v>0.14438502673796791</v>
      </c>
      <c r="L870" s="8">
        <v>63.17</v>
      </c>
      <c r="M870" s="8">
        <v>60.35</v>
      </c>
      <c r="N870" s="8">
        <v>52.74</v>
      </c>
      <c r="O870" s="17">
        <f t="shared" si="67"/>
        <v>4.0028061224489786</v>
      </c>
      <c r="P870" s="17">
        <f t="shared" si="68"/>
        <v>3.6527333333333338</v>
      </c>
      <c r="Q870" s="5">
        <v>4.24</v>
      </c>
      <c r="R870" s="9">
        <v>54.85</v>
      </c>
      <c r="S870" s="9">
        <v>19.559999999999999</v>
      </c>
      <c r="T870" s="9">
        <v>3103.3820799999999</v>
      </c>
      <c r="U870" s="9">
        <v>2594.4</v>
      </c>
      <c r="V870" s="45">
        <f t="shared" si="69"/>
        <v>0.19618489053345659</v>
      </c>
      <c r="W870" s="12">
        <v>9.4600000000000009</v>
      </c>
      <c r="X870" s="12">
        <v>0</v>
      </c>
      <c r="Y870" s="12">
        <v>20210805</v>
      </c>
    </row>
    <row r="871" spans="1:25" x14ac:dyDescent="0.45">
      <c r="A871" s="3" t="s">
        <v>1781</v>
      </c>
      <c r="B871" s="3" t="s">
        <v>1782</v>
      </c>
      <c r="C871" s="6" t="s">
        <v>518</v>
      </c>
      <c r="D871" s="6" t="s">
        <v>327</v>
      </c>
      <c r="E871" s="6" t="s">
        <v>321</v>
      </c>
      <c r="F871" s="6">
        <v>21700.880000000001</v>
      </c>
      <c r="G871" s="2">
        <v>2</v>
      </c>
      <c r="H871" s="2">
        <v>2.2400000000000002</v>
      </c>
      <c r="I871" s="2">
        <v>2.39</v>
      </c>
      <c r="J871" s="47">
        <f t="shared" si="65"/>
        <v>0.12000000000000011</v>
      </c>
      <c r="K871" s="47">
        <f t="shared" si="66"/>
        <v>6.6964285714285671E-2</v>
      </c>
      <c r="L871" s="8">
        <v>23</v>
      </c>
      <c r="M871" s="8">
        <v>20.62</v>
      </c>
      <c r="N871" s="8">
        <v>19.309999999999999</v>
      </c>
      <c r="O871" s="17">
        <f t="shared" si="67"/>
        <v>1.7183333333333319</v>
      </c>
      <c r="P871" s="17">
        <f t="shared" si="68"/>
        <v>2.8836266666666686</v>
      </c>
      <c r="Q871" s="5">
        <v>3.3</v>
      </c>
      <c r="R871" s="9">
        <v>6.54</v>
      </c>
      <c r="S871" s="9">
        <v>6.47</v>
      </c>
      <c r="T871" s="9">
        <v>7638.18505</v>
      </c>
      <c r="U871" s="9">
        <v>6856.5</v>
      </c>
      <c r="V871" s="45">
        <f t="shared" si="69"/>
        <v>0.11400642456063589</v>
      </c>
      <c r="W871" s="12">
        <v>-1.67</v>
      </c>
      <c r="X871" s="12">
        <v>3.34</v>
      </c>
      <c r="Y871" s="12">
        <v>20210729</v>
      </c>
    </row>
    <row r="872" spans="1:25" x14ac:dyDescent="0.45">
      <c r="A872" s="3" t="s">
        <v>1783</v>
      </c>
      <c r="B872" s="3" t="s">
        <v>1784</v>
      </c>
      <c r="C872" s="6" t="s">
        <v>518</v>
      </c>
      <c r="D872" s="6" t="s">
        <v>189</v>
      </c>
      <c r="E872" s="6" t="s">
        <v>214</v>
      </c>
      <c r="F872" s="6">
        <v>24059.01</v>
      </c>
      <c r="G872" s="2">
        <v>2.97</v>
      </c>
      <c r="H872" s="2">
        <v>2.61</v>
      </c>
      <c r="I872" s="2">
        <v>2.86</v>
      </c>
      <c r="J872" s="47">
        <f t="shared" si="65"/>
        <v>-0.12121212121212131</v>
      </c>
      <c r="K872" s="47">
        <f t="shared" si="66"/>
        <v>9.5785440613026823E-2</v>
      </c>
      <c r="L872" s="8">
        <v>24.09</v>
      </c>
      <c r="M872" s="8">
        <v>27.27</v>
      </c>
      <c r="N872" s="8">
        <v>24.85</v>
      </c>
      <c r="O872" s="17">
        <f t="shared" si="67"/>
        <v>-2.2497749999999979</v>
      </c>
      <c r="P872" s="17">
        <f t="shared" si="68"/>
        <v>2.5943399999999999</v>
      </c>
      <c r="Q872" s="5">
        <v>4.7</v>
      </c>
      <c r="R872" s="9">
        <v>12.85</v>
      </c>
      <c r="S872" s="9">
        <v>2.4</v>
      </c>
      <c r="T872" s="9">
        <v>5156.2290000000003</v>
      </c>
      <c r="U872" s="9">
        <v>4634.3999999999996</v>
      </c>
      <c r="V872" s="45">
        <f t="shared" si="69"/>
        <v>0.11259904194717778</v>
      </c>
      <c r="W872" s="12">
        <v>5</v>
      </c>
      <c r="X872" s="12">
        <v>0.39</v>
      </c>
      <c r="Y872" s="12">
        <v>20210727</v>
      </c>
    </row>
    <row r="873" spans="1:25" x14ac:dyDescent="0.45">
      <c r="A873" s="3" t="s">
        <v>4149</v>
      </c>
      <c r="B873" s="3" t="s">
        <v>4150</v>
      </c>
      <c r="C873" s="6" t="s">
        <v>518</v>
      </c>
      <c r="D873" s="6" t="s">
        <v>216</v>
      </c>
      <c r="E873" s="6" t="s">
        <v>1449</v>
      </c>
      <c r="F873" s="6">
        <v>4073.51</v>
      </c>
      <c r="G873" s="2">
        <v>-5.55</v>
      </c>
      <c r="H873" s="2">
        <v>-2.0699999999999998</v>
      </c>
      <c r="I873" s="2">
        <v>-1.69</v>
      </c>
      <c r="J873" s="47">
        <f t="shared" si="65"/>
        <v>0.62702702702702706</v>
      </c>
      <c r="K873" s="47">
        <f t="shared" si="66"/>
        <v>0.18357487922705309</v>
      </c>
      <c r="O873" s="17">
        <f t="shared" si="67"/>
        <v>0</v>
      </c>
      <c r="P873" s="17">
        <f t="shared" si="68"/>
        <v>0</v>
      </c>
      <c r="R873" s="9">
        <v>-110.2</v>
      </c>
      <c r="T873" s="9">
        <v>529.80200000000002</v>
      </c>
      <c r="U873" s="9">
        <v>217.75</v>
      </c>
      <c r="V873" s="45">
        <f t="shared" si="69"/>
        <v>1.4330746268656718</v>
      </c>
      <c r="W873" s="12">
        <v>-25</v>
      </c>
      <c r="X873" s="12">
        <v>0</v>
      </c>
      <c r="Y873" s="12">
        <v>20210812</v>
      </c>
    </row>
    <row r="874" spans="1:25" x14ac:dyDescent="0.45">
      <c r="A874" s="3" t="s">
        <v>1785</v>
      </c>
      <c r="B874" s="3" t="s">
        <v>1786</v>
      </c>
      <c r="C874" s="6" t="s">
        <v>520</v>
      </c>
      <c r="D874" s="6" t="s">
        <v>46</v>
      </c>
      <c r="E874" s="6" t="s">
        <v>66</v>
      </c>
      <c r="F874" s="6">
        <v>15891.16</v>
      </c>
      <c r="G874" s="2">
        <v>0.53</v>
      </c>
      <c r="H874" s="2">
        <v>0.93</v>
      </c>
      <c r="I874" s="2">
        <v>1.1000000000000001</v>
      </c>
      <c r="J874" s="47">
        <f t="shared" si="65"/>
        <v>0.75471698113207553</v>
      </c>
      <c r="K874" s="47">
        <f t="shared" si="66"/>
        <v>0.18279569892473121</v>
      </c>
      <c r="L874" s="8">
        <v>14.76</v>
      </c>
      <c r="M874" s="8">
        <v>11.15</v>
      </c>
      <c r="N874" s="8">
        <v>9.42</v>
      </c>
      <c r="O874" s="17">
        <f t="shared" si="67"/>
        <v>0.14773749999999999</v>
      </c>
      <c r="P874" s="17">
        <f t="shared" si="68"/>
        <v>0.51532941176470581</v>
      </c>
      <c r="R874" s="9">
        <v>6.75</v>
      </c>
      <c r="S874" s="9">
        <v>-0.54</v>
      </c>
      <c r="T874" s="9">
        <v>30660.359369999998</v>
      </c>
      <c r="U874" s="9">
        <v>30765.8</v>
      </c>
      <c r="V874" s="45">
        <f t="shared" si="69"/>
        <v>-3.4272026080908336E-3</v>
      </c>
      <c r="W874" s="12">
        <v>-3.03</v>
      </c>
      <c r="X874" s="12">
        <v>0.88</v>
      </c>
      <c r="Y874" s="12">
        <v>20210614</v>
      </c>
    </row>
    <row r="875" spans="1:25" x14ac:dyDescent="0.45">
      <c r="A875" s="3" t="s">
        <v>1787</v>
      </c>
      <c r="B875" s="3" t="s">
        <v>1788</v>
      </c>
      <c r="C875" s="6" t="s">
        <v>520</v>
      </c>
      <c r="D875" s="6" t="s">
        <v>189</v>
      </c>
      <c r="E875" s="6" t="s">
        <v>1789</v>
      </c>
      <c r="F875" s="6">
        <v>28566.44</v>
      </c>
      <c r="G875" s="2">
        <v>3.61</v>
      </c>
      <c r="H875" s="2">
        <v>3.46</v>
      </c>
      <c r="I875" s="2">
        <v>4.1100000000000003</v>
      </c>
      <c r="J875" s="47">
        <f t="shared" si="65"/>
        <v>-4.15512465373961E-2</v>
      </c>
      <c r="K875" s="47">
        <f t="shared" si="66"/>
        <v>0.18786127167630068</v>
      </c>
      <c r="L875" s="8">
        <v>16.309999999999999</v>
      </c>
      <c r="M875" s="8">
        <v>20.149999999999999</v>
      </c>
      <c r="N875" s="8">
        <v>16.97</v>
      </c>
      <c r="O875" s="17">
        <f t="shared" si="67"/>
        <v>-4.8494333333333355</v>
      </c>
      <c r="P875" s="17">
        <f t="shared" si="68"/>
        <v>0.90332615384615333</v>
      </c>
      <c r="Q875" s="5">
        <v>3.38</v>
      </c>
      <c r="R875" s="9">
        <v>8.6199999999999992</v>
      </c>
      <c r="S875" s="9">
        <v>-0.88</v>
      </c>
      <c r="T875" s="9">
        <v>22541.664059999999</v>
      </c>
      <c r="U875" s="9">
        <v>20684.04</v>
      </c>
      <c r="V875" s="45">
        <f t="shared" si="69"/>
        <v>8.9809537208398266E-2</v>
      </c>
      <c r="W875" s="12">
        <v>53.57</v>
      </c>
      <c r="X875" s="12">
        <v>0.47</v>
      </c>
      <c r="Y875" s="12">
        <v>20210812</v>
      </c>
    </row>
    <row r="876" spans="1:25" x14ac:dyDescent="0.45">
      <c r="A876" s="3" t="s">
        <v>4151</v>
      </c>
      <c r="B876" s="3" t="s">
        <v>4152</v>
      </c>
      <c r="C876" s="6" t="s">
        <v>518</v>
      </c>
      <c r="D876" s="6" t="s">
        <v>90</v>
      </c>
      <c r="E876" s="6" t="s">
        <v>198</v>
      </c>
      <c r="F876" s="6">
        <v>3622.85</v>
      </c>
      <c r="G876" s="2">
        <v>2.64</v>
      </c>
      <c r="H876" s="2">
        <v>3.58</v>
      </c>
      <c r="I876" s="2">
        <v>4.08</v>
      </c>
      <c r="J876" s="47">
        <f t="shared" si="65"/>
        <v>0.35606060606060602</v>
      </c>
      <c r="K876" s="47">
        <f t="shared" si="66"/>
        <v>0.13966480446927373</v>
      </c>
      <c r="L876" s="8">
        <v>21.94</v>
      </c>
      <c r="M876" s="8">
        <v>19.39</v>
      </c>
      <c r="N876" s="8">
        <v>17</v>
      </c>
      <c r="O876" s="17">
        <f t="shared" si="67"/>
        <v>0.54457021276595752</v>
      </c>
      <c r="P876" s="17">
        <f t="shared" si="68"/>
        <v>1.2172000000000001</v>
      </c>
      <c r="R876" s="9">
        <v>12.41</v>
      </c>
      <c r="S876" s="9">
        <v>8.5500000000000007</v>
      </c>
      <c r="T876" s="9">
        <v>3073.6979900000001</v>
      </c>
      <c r="U876" s="9">
        <v>2790.27</v>
      </c>
      <c r="V876" s="45">
        <f t="shared" si="69"/>
        <v>0.10157726313224173</v>
      </c>
      <c r="W876" s="12">
        <v>43.48</v>
      </c>
      <c r="X876" s="12">
        <v>0.97</v>
      </c>
      <c r="Y876" s="12">
        <v>20210623</v>
      </c>
    </row>
    <row r="877" spans="1:25" x14ac:dyDescent="0.45">
      <c r="A877" s="3" t="s">
        <v>1790</v>
      </c>
      <c r="B877" s="3" t="s">
        <v>1791</v>
      </c>
      <c r="C877" s="6" t="s">
        <v>520</v>
      </c>
      <c r="D877" s="6" t="s">
        <v>289</v>
      </c>
      <c r="E877" s="6" t="s">
        <v>275</v>
      </c>
      <c r="F877" s="6">
        <v>6988.92</v>
      </c>
      <c r="G877" s="2">
        <v>0.41</v>
      </c>
      <c r="H877" s="2">
        <v>0.51</v>
      </c>
      <c r="I877" s="2">
        <v>0.53</v>
      </c>
      <c r="J877" s="47">
        <f t="shared" si="65"/>
        <v>0.24390243902439035</v>
      </c>
      <c r="K877" s="47">
        <f t="shared" si="66"/>
        <v>3.9215686274509838E-2</v>
      </c>
      <c r="M877" s="8">
        <v>24.65</v>
      </c>
      <c r="N877" s="8">
        <v>23.72</v>
      </c>
      <c r="O877" s="17">
        <f t="shared" si="67"/>
        <v>1.0106499999999994</v>
      </c>
      <c r="P877" s="17">
        <f t="shared" si="68"/>
        <v>6.0485999999999942</v>
      </c>
      <c r="Q877" s="5">
        <v>5.46</v>
      </c>
      <c r="V877" s="45" t="e">
        <f t="shared" si="69"/>
        <v>#DIV/0!</v>
      </c>
      <c r="X877" s="12">
        <v>1.55</v>
      </c>
    </row>
    <row r="878" spans="1:25" x14ac:dyDescent="0.45">
      <c r="A878" s="3" t="s">
        <v>3808</v>
      </c>
      <c r="B878" s="3" t="s">
        <v>3809</v>
      </c>
      <c r="C878" s="6" t="s">
        <v>519</v>
      </c>
      <c r="D878" s="6" t="s">
        <v>175</v>
      </c>
      <c r="E878" s="6" t="s">
        <v>305</v>
      </c>
      <c r="F878" s="6">
        <v>21161.1</v>
      </c>
      <c r="G878" s="2">
        <v>1.29</v>
      </c>
      <c r="H878" s="2">
        <v>3.69</v>
      </c>
      <c r="I878" s="2">
        <v>5.14</v>
      </c>
      <c r="J878" s="47">
        <f t="shared" si="65"/>
        <v>1.8604651162790697</v>
      </c>
      <c r="K878" s="47">
        <f t="shared" si="66"/>
        <v>0.39295392953929531</v>
      </c>
      <c r="L878" s="8">
        <v>66.53</v>
      </c>
      <c r="M878" s="8">
        <v>39.479999999999997</v>
      </c>
      <c r="N878" s="8">
        <v>28.34</v>
      </c>
      <c r="O878" s="17">
        <f t="shared" si="67"/>
        <v>0.212205</v>
      </c>
      <c r="P878" s="17">
        <f t="shared" si="68"/>
        <v>0.72120413793103466</v>
      </c>
      <c r="R878" s="9">
        <v>26.29</v>
      </c>
      <c r="T878" s="9">
        <v>1104.0849599999999</v>
      </c>
      <c r="U878" s="9">
        <v>427.02</v>
      </c>
      <c r="V878" s="45">
        <f t="shared" si="69"/>
        <v>1.5855579598145284</v>
      </c>
      <c r="X878" s="12">
        <v>0</v>
      </c>
      <c r="Y878" s="12">
        <v>20210812</v>
      </c>
    </row>
    <row r="879" spans="1:25" x14ac:dyDescent="0.45">
      <c r="A879" s="3" t="s">
        <v>3810</v>
      </c>
      <c r="B879" s="3" t="s">
        <v>1792</v>
      </c>
      <c r="C879" s="6" t="s">
        <v>518</v>
      </c>
      <c r="D879" s="6" t="s">
        <v>303</v>
      </c>
      <c r="E879" s="6" t="s">
        <v>245</v>
      </c>
      <c r="F879" s="6">
        <v>7264.41</v>
      </c>
      <c r="G879" s="2">
        <v>0.27</v>
      </c>
      <c r="H879" s="2">
        <v>0.43</v>
      </c>
      <c r="I879" s="2">
        <v>1.37</v>
      </c>
      <c r="J879" s="47">
        <f t="shared" si="65"/>
        <v>0.59259259259259245</v>
      </c>
      <c r="K879" s="47">
        <f t="shared" si="66"/>
        <v>2.1860465116279073</v>
      </c>
      <c r="L879" s="8">
        <v>614.21</v>
      </c>
      <c r="M879" s="8">
        <v>467.75</v>
      </c>
      <c r="N879" s="8">
        <v>147.94999999999999</v>
      </c>
      <c r="O879" s="17">
        <f t="shared" si="67"/>
        <v>7.893281250000002</v>
      </c>
      <c r="P879" s="17">
        <f t="shared" si="68"/>
        <v>0.67679255319148923</v>
      </c>
      <c r="R879" s="9">
        <v>-3.4</v>
      </c>
      <c r="T879" s="9">
        <v>307.01501000000002</v>
      </c>
      <c r="U879" s="9">
        <v>189.51</v>
      </c>
      <c r="V879" s="45">
        <f t="shared" si="69"/>
        <v>0.62004648831196263</v>
      </c>
      <c r="W879" s="12">
        <v>85.71</v>
      </c>
      <c r="X879" s="12">
        <v>0</v>
      </c>
      <c r="Y879" s="12">
        <v>20210804</v>
      </c>
    </row>
    <row r="880" spans="1:25" x14ac:dyDescent="0.45">
      <c r="A880" s="3" t="s">
        <v>1793</v>
      </c>
      <c r="B880" s="3" t="s">
        <v>4650</v>
      </c>
      <c r="C880" s="6" t="s">
        <v>519</v>
      </c>
      <c r="D880" s="6" t="s">
        <v>216</v>
      </c>
      <c r="E880" s="6" t="s">
        <v>1446</v>
      </c>
      <c r="F880" s="6">
        <v>9462.0400000000009</v>
      </c>
      <c r="G880" s="2">
        <v>-4.9400000000000004</v>
      </c>
      <c r="J880" s="47">
        <f t="shared" si="65"/>
        <v>1</v>
      </c>
      <c r="K880" s="47" t="e">
        <f t="shared" si="66"/>
        <v>#DIV/0!</v>
      </c>
      <c r="O880" s="17">
        <f t="shared" si="67"/>
        <v>0</v>
      </c>
      <c r="P880" s="17" t="e">
        <f t="shared" si="68"/>
        <v>#DIV/0!</v>
      </c>
      <c r="R880" s="9">
        <v>-1.46</v>
      </c>
      <c r="S880" s="9">
        <v>-23.15</v>
      </c>
      <c r="T880" s="9">
        <v>1979.1199899999999</v>
      </c>
      <c r="U880" s="9">
        <v>1145</v>
      </c>
      <c r="V880" s="45">
        <f t="shared" si="69"/>
        <v>0.72848907423580778</v>
      </c>
      <c r="X880" s="12">
        <v>0</v>
      </c>
      <c r="Y880" s="12">
        <v>20210809</v>
      </c>
    </row>
    <row r="881" spans="1:25" x14ac:dyDescent="0.45">
      <c r="A881" s="3" t="s">
        <v>4651</v>
      </c>
      <c r="B881" s="3" t="s">
        <v>4652</v>
      </c>
      <c r="C881" s="6" t="s">
        <v>520</v>
      </c>
      <c r="D881" s="6" t="s">
        <v>216</v>
      </c>
      <c r="E881" s="6" t="s">
        <v>1446</v>
      </c>
      <c r="F881" s="6">
        <v>9014.56</v>
      </c>
      <c r="J881" s="47" t="e">
        <f t="shared" si="65"/>
        <v>#DIV/0!</v>
      </c>
      <c r="K881" s="47" t="e">
        <f t="shared" si="66"/>
        <v>#DIV/0!</v>
      </c>
      <c r="O881" s="17" t="e">
        <f t="shared" si="67"/>
        <v>#DIV/0!</v>
      </c>
      <c r="P881" s="17" t="e">
        <f t="shared" si="68"/>
        <v>#DIV/0!</v>
      </c>
      <c r="R881" s="9">
        <v>-1.46</v>
      </c>
      <c r="S881" s="9">
        <v>-23.15</v>
      </c>
      <c r="U881" s="9">
        <v>1145</v>
      </c>
      <c r="V881" s="45">
        <f t="shared" si="69"/>
        <v>-1</v>
      </c>
      <c r="X881" s="12">
        <v>0</v>
      </c>
      <c r="Y881" s="12">
        <v>20210809</v>
      </c>
    </row>
    <row r="882" spans="1:25" x14ac:dyDescent="0.45">
      <c r="A882" s="3" t="s">
        <v>1793</v>
      </c>
      <c r="B882" s="3" t="s">
        <v>1794</v>
      </c>
      <c r="C882" s="6" t="s">
        <v>519</v>
      </c>
      <c r="D882" s="6" t="s">
        <v>216</v>
      </c>
      <c r="E882" s="6" t="s">
        <v>1446</v>
      </c>
      <c r="F882" s="6">
        <v>10500.75</v>
      </c>
      <c r="G882" s="2">
        <v>-2.59</v>
      </c>
      <c r="H882" s="2">
        <v>-0.11</v>
      </c>
      <c r="I882" s="2">
        <v>0.05</v>
      </c>
      <c r="J882" s="47">
        <f t="shared" si="65"/>
        <v>0.95752895752895761</v>
      </c>
      <c r="K882" s="47">
        <f t="shared" si="66"/>
        <v>1.4545454545454546</v>
      </c>
      <c r="N882" s="8">
        <v>1006.45</v>
      </c>
      <c r="O882" s="17">
        <f t="shared" si="67"/>
        <v>0</v>
      </c>
      <c r="P882" s="17">
        <f t="shared" si="68"/>
        <v>6.9193437499999995</v>
      </c>
      <c r="R882" s="9">
        <v>-1.46</v>
      </c>
      <c r="S882" s="9">
        <v>-23.15</v>
      </c>
      <c r="T882" s="9">
        <v>2149.6450100000002</v>
      </c>
      <c r="U882" s="9">
        <v>1145</v>
      </c>
      <c r="V882" s="45">
        <f t="shared" si="69"/>
        <v>0.87741922270742378</v>
      </c>
      <c r="W882" s="12">
        <v>41.18</v>
      </c>
      <c r="X882" s="12">
        <v>0</v>
      </c>
      <c r="Y882" s="12">
        <v>20210809</v>
      </c>
    </row>
    <row r="883" spans="1:25" x14ac:dyDescent="0.45">
      <c r="A883" s="3" t="s">
        <v>4653</v>
      </c>
      <c r="B883" s="3" t="s">
        <v>4654</v>
      </c>
      <c r="C883" s="6" t="s">
        <v>518</v>
      </c>
      <c r="D883" s="6" t="s">
        <v>234</v>
      </c>
      <c r="E883" s="6" t="s">
        <v>904</v>
      </c>
      <c r="F883" s="6">
        <v>4886.78</v>
      </c>
      <c r="J883" s="47" t="e">
        <f t="shared" si="65"/>
        <v>#DIV/0!</v>
      </c>
      <c r="K883" s="47" t="e">
        <f t="shared" si="66"/>
        <v>#DIV/0!</v>
      </c>
      <c r="O883" s="17" t="e">
        <f t="shared" si="67"/>
        <v>#DIV/0!</v>
      </c>
      <c r="P883" s="17" t="e">
        <f t="shared" si="68"/>
        <v>#DIV/0!</v>
      </c>
      <c r="V883" s="45" t="e">
        <f t="shared" si="69"/>
        <v>#DIV/0!</v>
      </c>
      <c r="X883" s="12">
        <v>2.21</v>
      </c>
    </row>
    <row r="884" spans="1:25" x14ac:dyDescent="0.45">
      <c r="A884" s="3" t="s">
        <v>1795</v>
      </c>
      <c r="B884" s="3" t="s">
        <v>1796</v>
      </c>
      <c r="C884" s="6" t="s">
        <v>518</v>
      </c>
      <c r="D884" s="6" t="s">
        <v>175</v>
      </c>
      <c r="E884" s="6" t="s">
        <v>281</v>
      </c>
      <c r="F884" s="6">
        <v>8539.75</v>
      </c>
      <c r="G884" s="2">
        <v>2.11</v>
      </c>
      <c r="H884" s="2">
        <v>2.2999999999999998</v>
      </c>
      <c r="I884" s="2">
        <v>2.6</v>
      </c>
      <c r="J884" s="47">
        <f t="shared" si="65"/>
        <v>9.0047393364928896E-2</v>
      </c>
      <c r="K884" s="47">
        <f t="shared" si="66"/>
        <v>0.13043478260869579</v>
      </c>
      <c r="L884" s="8">
        <v>20.91</v>
      </c>
      <c r="M884" s="8">
        <v>19.850000000000001</v>
      </c>
      <c r="N884" s="8">
        <v>17.559999999999999</v>
      </c>
      <c r="O884" s="17">
        <f t="shared" si="67"/>
        <v>2.2043947368421057</v>
      </c>
      <c r="P884" s="17">
        <f t="shared" si="68"/>
        <v>1.3462666666666652</v>
      </c>
      <c r="Q884" s="5">
        <v>1.55</v>
      </c>
      <c r="R884" s="9">
        <v>20.88</v>
      </c>
      <c r="S884" s="9">
        <v>10.32</v>
      </c>
      <c r="T884" s="9">
        <v>3971.8998999999999</v>
      </c>
      <c r="U884" s="9">
        <v>3709.38</v>
      </c>
      <c r="V884" s="45">
        <f t="shared" si="69"/>
        <v>7.0771907973839226E-2</v>
      </c>
      <c r="W884" s="12">
        <v>20.41</v>
      </c>
      <c r="X884" s="12">
        <v>0.94</v>
      </c>
      <c r="Y884" s="12">
        <v>20210805</v>
      </c>
    </row>
    <row r="885" spans="1:25" x14ac:dyDescent="0.45">
      <c r="A885" s="3" t="s">
        <v>1797</v>
      </c>
      <c r="B885" s="3" t="s">
        <v>1798</v>
      </c>
      <c r="C885" s="6" t="s">
        <v>518</v>
      </c>
      <c r="D885" s="6" t="s">
        <v>309</v>
      </c>
      <c r="E885" s="6" t="s">
        <v>310</v>
      </c>
      <c r="F885" s="6">
        <v>3416.45</v>
      </c>
      <c r="G885" s="2">
        <v>4.49</v>
      </c>
      <c r="H885" s="2">
        <v>4.07</v>
      </c>
      <c r="I885" s="2">
        <v>5.2</v>
      </c>
      <c r="J885" s="47">
        <f t="shared" si="65"/>
        <v>-9.3541202672605767E-2</v>
      </c>
      <c r="K885" s="47">
        <f t="shared" si="66"/>
        <v>0.27764127764127761</v>
      </c>
      <c r="L885" s="8">
        <v>26.81</v>
      </c>
      <c r="M885" s="8">
        <v>23.68</v>
      </c>
      <c r="N885" s="8">
        <v>18.559999999999999</v>
      </c>
      <c r="O885" s="17">
        <f t="shared" si="67"/>
        <v>-2.5315047619047628</v>
      </c>
      <c r="P885" s="17">
        <f t="shared" si="68"/>
        <v>0.66848849557522128</v>
      </c>
      <c r="R885" s="9">
        <v>6.62</v>
      </c>
      <c r="S885" s="9">
        <v>-2.5</v>
      </c>
      <c r="U885" s="9">
        <v>1209.2</v>
      </c>
      <c r="V885" s="45">
        <f t="shared" si="69"/>
        <v>-1</v>
      </c>
      <c r="W885" s="12">
        <v>18.600000000000001</v>
      </c>
      <c r="X885" s="12">
        <v>2.0699999999999998</v>
      </c>
      <c r="Y885" s="12">
        <v>20210720</v>
      </c>
    </row>
    <row r="886" spans="1:25" x14ac:dyDescent="0.45">
      <c r="A886" s="3" t="s">
        <v>1799</v>
      </c>
      <c r="B886" s="3" t="s">
        <v>1800</v>
      </c>
      <c r="C886" s="6" t="s">
        <v>519</v>
      </c>
      <c r="D886" s="6" t="s">
        <v>234</v>
      </c>
      <c r="E886" s="6" t="s">
        <v>181</v>
      </c>
      <c r="F886" s="6">
        <v>5547.91</v>
      </c>
      <c r="G886" s="2">
        <v>2.69</v>
      </c>
      <c r="H886" s="2">
        <v>2.67</v>
      </c>
      <c r="I886" s="2">
        <v>2.83</v>
      </c>
      <c r="J886" s="47">
        <f t="shared" si="65"/>
        <v>-7.4349442379182222E-3</v>
      </c>
      <c r="K886" s="47">
        <f t="shared" si="66"/>
        <v>5.9925093632958858E-2</v>
      </c>
      <c r="L886" s="8">
        <v>18.27</v>
      </c>
      <c r="M886" s="8">
        <v>21.72</v>
      </c>
      <c r="N886" s="8">
        <v>20.51</v>
      </c>
      <c r="O886" s="17">
        <f t="shared" si="67"/>
        <v>-29.213399999999975</v>
      </c>
      <c r="P886" s="17">
        <f t="shared" si="68"/>
        <v>3.4226062499999972</v>
      </c>
      <c r="R886" s="9">
        <v>13.41</v>
      </c>
      <c r="S886" s="9">
        <v>15.31</v>
      </c>
      <c r="T886" s="9">
        <v>782.13298999999995</v>
      </c>
      <c r="U886" s="9">
        <v>799.93</v>
      </c>
      <c r="V886" s="45">
        <f t="shared" si="69"/>
        <v>-2.2248209218306603E-2</v>
      </c>
      <c r="W886" s="12">
        <v>13.33</v>
      </c>
      <c r="X886" s="12">
        <v>2.13</v>
      </c>
      <c r="Y886" s="12">
        <v>20210722</v>
      </c>
    </row>
    <row r="887" spans="1:25" x14ac:dyDescent="0.45">
      <c r="A887" s="3" t="s">
        <v>4655</v>
      </c>
      <c r="B887" s="3" t="s">
        <v>4656</v>
      </c>
      <c r="C887" s="6" t="s">
        <v>520</v>
      </c>
      <c r="D887" s="6" t="s">
        <v>289</v>
      </c>
      <c r="E887" s="6" t="s">
        <v>1357</v>
      </c>
      <c r="F887" s="6">
        <v>3073.15</v>
      </c>
      <c r="J887" s="47" t="e">
        <f t="shared" si="65"/>
        <v>#DIV/0!</v>
      </c>
      <c r="K887" s="47" t="e">
        <f t="shared" si="66"/>
        <v>#DIV/0!</v>
      </c>
      <c r="L887" s="8">
        <v>41.14</v>
      </c>
      <c r="O887" s="17" t="e">
        <f t="shared" si="67"/>
        <v>#DIV/0!</v>
      </c>
      <c r="P887" s="17" t="e">
        <f t="shared" si="68"/>
        <v>#DIV/0!</v>
      </c>
      <c r="R887" s="9">
        <v>14.62</v>
      </c>
      <c r="U887" s="9">
        <v>3686.36</v>
      </c>
      <c r="V887" s="45">
        <f t="shared" si="69"/>
        <v>-1</v>
      </c>
      <c r="X887" s="12">
        <v>3.66</v>
      </c>
      <c r="Y887" s="12">
        <v>20210803</v>
      </c>
    </row>
    <row r="888" spans="1:25" x14ac:dyDescent="0.45">
      <c r="A888" s="3" t="s">
        <v>4657</v>
      </c>
      <c r="B888" s="3" t="s">
        <v>4658</v>
      </c>
      <c r="C888" s="6" t="s">
        <v>520</v>
      </c>
      <c r="D888" s="6" t="s">
        <v>234</v>
      </c>
      <c r="E888" s="6" t="s">
        <v>221</v>
      </c>
      <c r="F888" s="6">
        <v>19330.689999999999</v>
      </c>
      <c r="J888" s="47" t="e">
        <f t="shared" si="65"/>
        <v>#DIV/0!</v>
      </c>
      <c r="K888" s="47" t="e">
        <f t="shared" si="66"/>
        <v>#DIV/0!</v>
      </c>
      <c r="O888" s="17" t="e">
        <f t="shared" si="67"/>
        <v>#DIV/0!</v>
      </c>
      <c r="P888" s="17" t="e">
        <f t="shared" si="68"/>
        <v>#DIV/0!</v>
      </c>
      <c r="U888" s="9">
        <v>8677.9699999999993</v>
      </c>
      <c r="V888" s="45">
        <f t="shared" si="69"/>
        <v>-1</v>
      </c>
      <c r="X888" s="12">
        <v>2.27</v>
      </c>
    </row>
    <row r="889" spans="1:25" x14ac:dyDescent="0.45">
      <c r="A889" s="3" t="s">
        <v>1801</v>
      </c>
      <c r="B889" s="3" t="s">
        <v>1802</v>
      </c>
      <c r="C889" s="6" t="s">
        <v>518</v>
      </c>
      <c r="D889" s="6" t="s">
        <v>10</v>
      </c>
      <c r="E889" s="6" t="s">
        <v>17</v>
      </c>
      <c r="F889" s="6">
        <v>54222.04</v>
      </c>
      <c r="G889" s="2">
        <v>11.06</v>
      </c>
      <c r="H889" s="2">
        <v>11.18</v>
      </c>
      <c r="I889" s="2">
        <v>12.2</v>
      </c>
      <c r="J889" s="47">
        <f t="shared" si="65"/>
        <v>1.0849909584086728E-2</v>
      </c>
      <c r="K889" s="47">
        <f t="shared" si="66"/>
        <v>9.1234347048300496E-2</v>
      </c>
      <c r="L889" s="8">
        <v>17.36</v>
      </c>
      <c r="M889" s="8">
        <v>17.16</v>
      </c>
      <c r="N889" s="8">
        <v>15.73</v>
      </c>
      <c r="O889" s="17">
        <f t="shared" si="67"/>
        <v>15.815800000000104</v>
      </c>
      <c r="P889" s="17">
        <f t="shared" si="68"/>
        <v>1.7241313725490204</v>
      </c>
      <c r="Q889" s="5">
        <v>2.39</v>
      </c>
      <c r="R889" s="9">
        <v>21.27</v>
      </c>
      <c r="S889" s="9">
        <v>6.54</v>
      </c>
      <c r="T889" s="9">
        <v>39017.246090000001</v>
      </c>
      <c r="U889" s="9">
        <v>37925</v>
      </c>
      <c r="V889" s="45">
        <f t="shared" si="69"/>
        <v>2.8800160580092302E-2</v>
      </c>
      <c r="W889" s="12">
        <v>7.36</v>
      </c>
      <c r="X889" s="12">
        <v>2.48</v>
      </c>
      <c r="Y889" s="12">
        <v>20210804</v>
      </c>
    </row>
    <row r="890" spans="1:25" x14ac:dyDescent="0.45">
      <c r="A890" s="3" t="s">
        <v>1803</v>
      </c>
      <c r="B890" s="3" t="s">
        <v>1804</v>
      </c>
      <c r="C890" s="6" t="s">
        <v>518</v>
      </c>
      <c r="D890" s="6" t="s">
        <v>189</v>
      </c>
      <c r="E890" s="6" t="s">
        <v>1805</v>
      </c>
      <c r="F890" s="6">
        <v>13644.16</v>
      </c>
      <c r="G890" s="2">
        <v>-2.99</v>
      </c>
      <c r="H890" s="2">
        <v>1.04</v>
      </c>
      <c r="I890" s="2">
        <v>1.86</v>
      </c>
      <c r="J890" s="47">
        <f t="shared" si="65"/>
        <v>1.3478260869565217</v>
      </c>
      <c r="K890" s="47">
        <f t="shared" si="66"/>
        <v>0.78846153846153855</v>
      </c>
      <c r="L890" s="8">
        <v>77.28</v>
      </c>
      <c r="M890" s="8">
        <v>77.739999999999995</v>
      </c>
      <c r="N890" s="8">
        <v>43.54</v>
      </c>
      <c r="O890" s="17">
        <f t="shared" si="67"/>
        <v>0.57678064516129024</v>
      </c>
      <c r="P890" s="17">
        <f t="shared" si="68"/>
        <v>0.55221463414634142</v>
      </c>
      <c r="Q890" s="5">
        <v>2.2200000000000002</v>
      </c>
      <c r="R890" s="9">
        <v>-142.59</v>
      </c>
      <c r="S890" s="9">
        <v>15.95</v>
      </c>
      <c r="T890" s="9">
        <v>3745.9479900000001</v>
      </c>
      <c r="U890" s="9">
        <v>3316.7</v>
      </c>
      <c r="V890" s="45">
        <f t="shared" si="69"/>
        <v>0.12942020381704716</v>
      </c>
      <c r="W890" s="12">
        <v>-80.650000000000006</v>
      </c>
      <c r="X890" s="12">
        <v>0</v>
      </c>
      <c r="Y890" s="12">
        <v>20210804</v>
      </c>
    </row>
    <row r="891" spans="1:25" x14ac:dyDescent="0.45">
      <c r="A891" s="3" t="s">
        <v>1806</v>
      </c>
      <c r="B891" s="3" t="s">
        <v>1807</v>
      </c>
      <c r="C891" s="6" t="s">
        <v>519</v>
      </c>
      <c r="D891" s="6" t="s">
        <v>279</v>
      </c>
      <c r="E891" s="6" t="s">
        <v>266</v>
      </c>
      <c r="F891" s="6">
        <v>15061.59</v>
      </c>
      <c r="G891" s="2">
        <v>0.33</v>
      </c>
      <c r="H891" s="2">
        <v>0.37</v>
      </c>
      <c r="I891" s="2">
        <v>0.54</v>
      </c>
      <c r="J891" s="47">
        <f t="shared" si="65"/>
        <v>0.12121212121212115</v>
      </c>
      <c r="K891" s="47">
        <f t="shared" si="66"/>
        <v>0.4594594594594596</v>
      </c>
      <c r="M891" s="8">
        <v>103.04</v>
      </c>
      <c r="N891" s="8">
        <v>71.25</v>
      </c>
      <c r="O891" s="17">
        <f t="shared" si="67"/>
        <v>8.5008000000000052</v>
      </c>
      <c r="P891" s="17">
        <f t="shared" si="68"/>
        <v>1.5507352941176467</v>
      </c>
      <c r="Q891" s="5">
        <v>3.09</v>
      </c>
      <c r="T891" s="9">
        <v>747.34496999999999</v>
      </c>
      <c r="U891" s="9">
        <v>550.70000000000005</v>
      </c>
      <c r="V891" s="45">
        <f t="shared" si="69"/>
        <v>0.35708184129289983</v>
      </c>
      <c r="W891" s="12">
        <v>-12.5</v>
      </c>
      <c r="X891" s="12">
        <v>0</v>
      </c>
      <c r="Y891" s="12">
        <v>20210812</v>
      </c>
    </row>
    <row r="892" spans="1:25" x14ac:dyDescent="0.45">
      <c r="A892" s="3" t="s">
        <v>1808</v>
      </c>
      <c r="B892" s="3" t="s">
        <v>1809</v>
      </c>
      <c r="C892" s="6" t="s">
        <v>519</v>
      </c>
      <c r="D892" s="6" t="s">
        <v>175</v>
      </c>
      <c r="E892" s="6" t="s">
        <v>305</v>
      </c>
      <c r="F892" s="6">
        <v>13994.89</v>
      </c>
      <c r="G892" s="2">
        <v>-0.56000000000000005</v>
      </c>
      <c r="H892" s="2">
        <v>-0.53</v>
      </c>
      <c r="I892" s="2">
        <v>-0.03</v>
      </c>
      <c r="J892" s="47">
        <f t="shared" si="65"/>
        <v>5.3571428571428617E-2</v>
      </c>
      <c r="K892" s="47">
        <f t="shared" si="66"/>
        <v>0.94339622641509424</v>
      </c>
      <c r="O892" s="17">
        <f t="shared" si="67"/>
        <v>0</v>
      </c>
      <c r="P892" s="17">
        <f t="shared" si="68"/>
        <v>0</v>
      </c>
      <c r="R892" s="9">
        <v>-5.18</v>
      </c>
      <c r="S892" s="9">
        <v>52.57</v>
      </c>
      <c r="T892" s="9">
        <v>1219.5939900000001</v>
      </c>
      <c r="U892" s="9">
        <v>879.54</v>
      </c>
      <c r="V892" s="45">
        <f t="shared" si="69"/>
        <v>0.38662708916024302</v>
      </c>
      <c r="W892" s="12">
        <v>-47.06</v>
      </c>
      <c r="X892" s="12">
        <v>0</v>
      </c>
      <c r="Y892" s="12">
        <v>20210817</v>
      </c>
    </row>
    <row r="893" spans="1:25" x14ac:dyDescent="0.45">
      <c r="A893" s="3" t="s">
        <v>1810</v>
      </c>
      <c r="B893" s="3" t="s">
        <v>1811</v>
      </c>
      <c r="C893" s="6" t="s">
        <v>518</v>
      </c>
      <c r="D893" s="6" t="s">
        <v>1042</v>
      </c>
      <c r="E893" s="6" t="s">
        <v>1043</v>
      </c>
      <c r="F893" s="6">
        <v>120530.74</v>
      </c>
      <c r="G893" s="2">
        <v>0.04</v>
      </c>
      <c r="H893" s="2">
        <v>0.26</v>
      </c>
      <c r="I893" s="2">
        <v>0.52</v>
      </c>
      <c r="J893" s="47">
        <f t="shared" si="65"/>
        <v>5.5</v>
      </c>
      <c r="K893" s="47">
        <f t="shared" si="66"/>
        <v>1</v>
      </c>
      <c r="L893" s="8">
        <v>686.5</v>
      </c>
      <c r="M893" s="8">
        <v>53.32</v>
      </c>
      <c r="N893" s="8">
        <v>26.26</v>
      </c>
      <c r="O893" s="17">
        <f t="shared" si="67"/>
        <v>9.6945454545454543E-2</v>
      </c>
      <c r="P893" s="17">
        <f t="shared" si="68"/>
        <v>0.2626</v>
      </c>
      <c r="Q893" s="5">
        <v>12.55</v>
      </c>
      <c r="R893" s="9">
        <v>1.53</v>
      </c>
      <c r="S893" s="9">
        <v>-9.1300000000000008</v>
      </c>
      <c r="T893" s="9">
        <v>77958.46875</v>
      </c>
      <c r="U893" s="9">
        <v>79619</v>
      </c>
      <c r="V893" s="45">
        <f t="shared" si="69"/>
        <v>-2.085596716864065E-2</v>
      </c>
      <c r="W893" s="12">
        <v>50</v>
      </c>
      <c r="X893" s="12">
        <v>0.28999999999999998</v>
      </c>
      <c r="Y893" s="12">
        <v>20210804</v>
      </c>
    </row>
    <row r="894" spans="1:25" x14ac:dyDescent="0.45">
      <c r="A894" s="3" t="s">
        <v>4153</v>
      </c>
      <c r="B894" s="3" t="s">
        <v>4154</v>
      </c>
      <c r="C894" s="6" t="s">
        <v>520</v>
      </c>
      <c r="D894" s="6" t="s">
        <v>272</v>
      </c>
      <c r="E894" s="6" t="s">
        <v>254</v>
      </c>
      <c r="F894" s="6">
        <v>7941.66</v>
      </c>
      <c r="H894" s="2">
        <v>1.68</v>
      </c>
      <c r="I894" s="2">
        <v>1.82</v>
      </c>
      <c r="J894" s="47" t="e">
        <f t="shared" si="65"/>
        <v>#DIV/0!</v>
      </c>
      <c r="K894" s="47">
        <f t="shared" si="66"/>
        <v>8.3333333333333412E-2</v>
      </c>
      <c r="M894" s="8">
        <v>26.19</v>
      </c>
      <c r="N894" s="8">
        <v>24.18</v>
      </c>
      <c r="O894" s="17" t="e">
        <f t="shared" si="67"/>
        <v>#DIV/0!</v>
      </c>
      <c r="P894" s="17">
        <f t="shared" si="68"/>
        <v>2.9015999999999971</v>
      </c>
      <c r="R894" s="9">
        <v>-8.39</v>
      </c>
      <c r="T894" s="9">
        <v>5599.9702100000004</v>
      </c>
      <c r="U894" s="9">
        <v>5465.27</v>
      </c>
      <c r="V894" s="45">
        <f t="shared" si="69"/>
        <v>2.4646579217495194E-2</v>
      </c>
      <c r="X894" s="12">
        <v>1.1299999999999999</v>
      </c>
      <c r="Y894" s="12">
        <v>20210616</v>
      </c>
    </row>
    <row r="895" spans="1:25" x14ac:dyDescent="0.45">
      <c r="A895" s="3" t="s">
        <v>1812</v>
      </c>
      <c r="B895" s="3" t="s">
        <v>1813</v>
      </c>
      <c r="C895" s="6" t="s">
        <v>520</v>
      </c>
      <c r="D895" s="6" t="s">
        <v>234</v>
      </c>
      <c r="E895" s="6" t="s">
        <v>286</v>
      </c>
      <c r="F895" s="6">
        <v>11798.08</v>
      </c>
      <c r="G895" s="2">
        <v>6.59</v>
      </c>
      <c r="H895" s="2">
        <v>6.67</v>
      </c>
      <c r="I895" s="2">
        <v>6.96</v>
      </c>
      <c r="J895" s="47">
        <f t="shared" si="65"/>
        <v>1.2139605462822469E-2</v>
      </c>
      <c r="K895" s="47">
        <f t="shared" si="66"/>
        <v>4.3478260869565223E-2</v>
      </c>
      <c r="M895" s="8">
        <v>24.14</v>
      </c>
      <c r="N895" s="8">
        <v>23.13</v>
      </c>
      <c r="O895" s="17">
        <f t="shared" si="67"/>
        <v>19.885324999999984</v>
      </c>
      <c r="P895" s="17">
        <f t="shared" si="68"/>
        <v>5.3198999999999987</v>
      </c>
      <c r="T895" s="9">
        <v>714.91497000000004</v>
      </c>
      <c r="U895" s="9">
        <v>754.39</v>
      </c>
      <c r="V895" s="45">
        <f t="shared" si="69"/>
        <v>-5.232708545977538E-2</v>
      </c>
      <c r="X895" s="12">
        <v>0</v>
      </c>
    </row>
    <row r="896" spans="1:25" x14ac:dyDescent="0.45">
      <c r="A896" s="3" t="s">
        <v>1814</v>
      </c>
      <c r="B896" s="3" t="s">
        <v>1815</v>
      </c>
      <c r="C896" s="6" t="s">
        <v>520</v>
      </c>
      <c r="D896" s="6" t="s">
        <v>46</v>
      </c>
      <c r="E896" s="6" t="s">
        <v>66</v>
      </c>
      <c r="F896" s="6">
        <v>27623.95</v>
      </c>
      <c r="G896" s="2">
        <v>2.11</v>
      </c>
      <c r="H896" s="2">
        <v>2.5499999999999998</v>
      </c>
      <c r="I896" s="2">
        <v>3.39</v>
      </c>
      <c r="J896" s="47">
        <f t="shared" si="65"/>
        <v>0.20853080568720378</v>
      </c>
      <c r="K896" s="47">
        <f t="shared" si="66"/>
        <v>0.32941176470588251</v>
      </c>
      <c r="M896" s="8">
        <v>22.06</v>
      </c>
      <c r="N896" s="8">
        <v>16.600000000000001</v>
      </c>
      <c r="O896" s="17">
        <f t="shared" si="67"/>
        <v>1.0578772727272727</v>
      </c>
      <c r="P896" s="17">
        <f t="shared" si="68"/>
        <v>0.50392857142857117</v>
      </c>
      <c r="T896" s="9">
        <v>16042.884760000001</v>
      </c>
      <c r="U896" s="9">
        <v>13349.7</v>
      </c>
      <c r="V896" s="45">
        <f t="shared" si="69"/>
        <v>0.20174121965287609</v>
      </c>
      <c r="X896" s="12">
        <v>0.83</v>
      </c>
    </row>
    <row r="897" spans="1:25" x14ac:dyDescent="0.45">
      <c r="A897" s="3" t="s">
        <v>4155</v>
      </c>
      <c r="B897" s="3" t="s">
        <v>4156</v>
      </c>
      <c r="C897" s="6" t="s">
        <v>518</v>
      </c>
      <c r="D897" s="6" t="s">
        <v>189</v>
      </c>
      <c r="E897" s="6" t="s">
        <v>246</v>
      </c>
      <c r="F897" s="6">
        <v>3849.62</v>
      </c>
      <c r="H897" s="2">
        <v>-1.42</v>
      </c>
      <c r="I897" s="2">
        <v>-0.23</v>
      </c>
      <c r="J897" s="47" t="e">
        <f t="shared" si="65"/>
        <v>#DIV/0!</v>
      </c>
      <c r="K897" s="47">
        <f t="shared" si="66"/>
        <v>0.8380281690140845</v>
      </c>
      <c r="O897" s="17" t="e">
        <f t="shared" si="67"/>
        <v>#DIV/0!</v>
      </c>
      <c r="P897" s="17">
        <f t="shared" si="68"/>
        <v>0</v>
      </c>
      <c r="R897" s="9">
        <v>-2177.56</v>
      </c>
      <c r="T897" s="9">
        <v>256</v>
      </c>
      <c r="U897" s="9">
        <v>114.62</v>
      </c>
      <c r="V897" s="45">
        <f t="shared" si="69"/>
        <v>1.2334671087070319</v>
      </c>
      <c r="W897" s="12">
        <v>-380</v>
      </c>
      <c r="X897" s="12">
        <v>0</v>
      </c>
      <c r="Y897" s="12">
        <v>20210819</v>
      </c>
    </row>
    <row r="898" spans="1:25" x14ac:dyDescent="0.45">
      <c r="A898" s="3" t="s">
        <v>4659</v>
      </c>
      <c r="B898" s="3" t="s">
        <v>4660</v>
      </c>
      <c r="C898" s="6" t="s">
        <v>520</v>
      </c>
      <c r="D898" s="6" t="s">
        <v>216</v>
      </c>
      <c r="E898" s="6" t="s">
        <v>217</v>
      </c>
      <c r="F898" s="6">
        <v>4502.2299999999996</v>
      </c>
      <c r="J898" s="47" t="e">
        <f t="shared" si="65"/>
        <v>#DIV/0!</v>
      </c>
      <c r="K898" s="47" t="e">
        <f t="shared" si="66"/>
        <v>#DIV/0!</v>
      </c>
      <c r="L898" s="8">
        <v>25</v>
      </c>
      <c r="O898" s="17" t="e">
        <f t="shared" si="67"/>
        <v>#DIV/0!</v>
      </c>
      <c r="P898" s="17" t="e">
        <f t="shared" si="68"/>
        <v>#DIV/0!</v>
      </c>
      <c r="U898" s="9">
        <v>943.5</v>
      </c>
      <c r="V898" s="45">
        <f t="shared" si="69"/>
        <v>-1</v>
      </c>
      <c r="X898" s="12">
        <v>0</v>
      </c>
      <c r="Y898" s="12">
        <v>20210908</v>
      </c>
    </row>
    <row r="899" spans="1:25" x14ac:dyDescent="0.45">
      <c r="A899" s="3" t="s">
        <v>1816</v>
      </c>
      <c r="B899" s="3" t="s">
        <v>1817</v>
      </c>
      <c r="C899" s="6" t="s">
        <v>518</v>
      </c>
      <c r="D899" s="6" t="s">
        <v>90</v>
      </c>
      <c r="E899" s="6" t="s">
        <v>267</v>
      </c>
      <c r="F899" s="6">
        <v>9676.1200000000008</v>
      </c>
      <c r="G899" s="2">
        <v>0.69</v>
      </c>
      <c r="H899" s="2">
        <v>1.1399999999999999</v>
      </c>
      <c r="I899" s="2">
        <v>1.1299999999999999</v>
      </c>
      <c r="J899" s="47">
        <f t="shared" ref="J899:J962" si="70">(H899-G899)/ABS(G899)</f>
        <v>0.65217391304347827</v>
      </c>
      <c r="K899" s="47">
        <f t="shared" ref="K899:K962" si="71">(I899-H899)/ABS(H899)</f>
        <v>-8.7719298245614117E-3</v>
      </c>
      <c r="M899" s="8">
        <v>9.56</v>
      </c>
      <c r="N899" s="8">
        <v>9.6</v>
      </c>
      <c r="O899" s="17">
        <f t="shared" ref="O899:O962" si="72">M899/(J899*100)</f>
        <v>0.14658666666666667</v>
      </c>
      <c r="P899" s="17">
        <f t="shared" ref="P899:P962" si="73">N899/(K899*100)</f>
        <v>-10.943999999999988</v>
      </c>
      <c r="Q899" s="5">
        <v>0.54</v>
      </c>
      <c r="T899" s="9">
        <v>4066.73999</v>
      </c>
      <c r="U899" s="9">
        <v>3892.1</v>
      </c>
      <c r="V899" s="45">
        <f t="shared" ref="V899:V962" si="74">(T899-U899)/U899</f>
        <v>4.4870375889622602E-2</v>
      </c>
      <c r="X899" s="12">
        <v>3.13</v>
      </c>
    </row>
    <row r="900" spans="1:25" x14ac:dyDescent="0.45">
      <c r="A900" s="3" t="s">
        <v>1818</v>
      </c>
      <c r="B900" s="3" t="s">
        <v>1819</v>
      </c>
      <c r="C900" s="6" t="s">
        <v>518</v>
      </c>
      <c r="D900" s="6" t="s">
        <v>175</v>
      </c>
      <c r="E900" s="6" t="s">
        <v>366</v>
      </c>
      <c r="F900" s="6">
        <v>10505.64</v>
      </c>
      <c r="G900" s="2">
        <v>0.04</v>
      </c>
      <c r="H900" s="2">
        <v>-0.08</v>
      </c>
      <c r="I900" s="2">
        <v>0.05</v>
      </c>
      <c r="J900" s="47">
        <f t="shared" si="70"/>
        <v>-3</v>
      </c>
      <c r="K900" s="47">
        <f t="shared" si="71"/>
        <v>1.625</v>
      </c>
      <c r="L900" s="8">
        <v>178.83</v>
      </c>
      <c r="M900" s="8">
        <v>3219</v>
      </c>
      <c r="N900" s="8">
        <v>689.79</v>
      </c>
      <c r="O900" s="17">
        <f t="shared" si="72"/>
        <v>-10.73</v>
      </c>
      <c r="P900" s="17">
        <f t="shared" si="73"/>
        <v>4.2448615384615378</v>
      </c>
      <c r="Q900" s="5">
        <v>55.2</v>
      </c>
      <c r="R900" s="9">
        <v>1.5</v>
      </c>
      <c r="T900" s="9">
        <v>4213.6801699999996</v>
      </c>
      <c r="U900" s="9">
        <v>3220.06</v>
      </c>
      <c r="V900" s="45">
        <f t="shared" si="74"/>
        <v>0.30857194275883049</v>
      </c>
      <c r="W900" s="12">
        <v>115</v>
      </c>
      <c r="X900" s="12">
        <v>0.12</v>
      </c>
      <c r="Y900" s="12">
        <v>20210804</v>
      </c>
    </row>
    <row r="901" spans="1:25" x14ac:dyDescent="0.45">
      <c r="A901" s="3" t="s">
        <v>4661</v>
      </c>
      <c r="B901" s="3" t="s">
        <v>4662</v>
      </c>
      <c r="C901" s="6" t="s">
        <v>520</v>
      </c>
      <c r="D901" s="6" t="s">
        <v>272</v>
      </c>
      <c r="E901" s="6" t="s">
        <v>297</v>
      </c>
      <c r="F901" s="6">
        <v>5250.72</v>
      </c>
      <c r="J901" s="47" t="e">
        <f t="shared" si="70"/>
        <v>#DIV/0!</v>
      </c>
      <c r="K901" s="47" t="e">
        <f t="shared" si="71"/>
        <v>#DIV/0!</v>
      </c>
      <c r="O901" s="17" t="e">
        <f t="shared" si="72"/>
        <v>#DIV/0!</v>
      </c>
      <c r="P901" s="17" t="e">
        <f t="shared" si="73"/>
        <v>#DIV/0!</v>
      </c>
      <c r="U901" s="9">
        <v>9906.4500000000007</v>
      </c>
      <c r="V901" s="45">
        <f t="shared" si="74"/>
        <v>-1</v>
      </c>
      <c r="X901" s="12">
        <v>0</v>
      </c>
    </row>
    <row r="902" spans="1:25" x14ac:dyDescent="0.45">
      <c r="A902" s="3" t="s">
        <v>1820</v>
      </c>
      <c r="B902" s="3" t="s">
        <v>1821</v>
      </c>
      <c r="C902" s="6" t="s">
        <v>518</v>
      </c>
      <c r="D902" s="6" t="s">
        <v>90</v>
      </c>
      <c r="E902" s="6" t="s">
        <v>304</v>
      </c>
      <c r="F902" s="6">
        <v>10833.85</v>
      </c>
      <c r="G902" s="2">
        <v>0.31</v>
      </c>
      <c r="H902" s="2">
        <v>1.0900000000000001</v>
      </c>
      <c r="I902" s="2">
        <v>0.81</v>
      </c>
      <c r="J902" s="47">
        <f t="shared" si="70"/>
        <v>2.5161290322580645</v>
      </c>
      <c r="K902" s="47">
        <f t="shared" si="71"/>
        <v>-0.25688073394495414</v>
      </c>
      <c r="L902" s="8">
        <v>7.24</v>
      </c>
      <c r="M902" s="8">
        <v>5.78</v>
      </c>
      <c r="N902" s="8">
        <v>7.73</v>
      </c>
      <c r="O902" s="17">
        <f t="shared" si="72"/>
        <v>2.2971794871794873E-2</v>
      </c>
      <c r="P902" s="17">
        <f t="shared" si="73"/>
        <v>-0.30091785714285713</v>
      </c>
      <c r="Q902" s="5">
        <v>0.33</v>
      </c>
      <c r="R902" s="9">
        <v>25</v>
      </c>
      <c r="S902" s="9">
        <v>-5.43</v>
      </c>
      <c r="T902" s="9">
        <v>12165.66992</v>
      </c>
      <c r="U902" s="9">
        <v>8506.0499999999993</v>
      </c>
      <c r="V902" s="45">
        <f t="shared" si="74"/>
        <v>0.43023729228020074</v>
      </c>
      <c r="W902" s="12">
        <v>13.04</v>
      </c>
      <c r="X902" s="12">
        <v>2.1800000000000002</v>
      </c>
      <c r="Y902" s="12">
        <v>20210804</v>
      </c>
    </row>
    <row r="903" spans="1:25" x14ac:dyDescent="0.45">
      <c r="A903" s="3" t="s">
        <v>1822</v>
      </c>
      <c r="B903" s="3" t="s">
        <v>219</v>
      </c>
      <c r="C903" s="6" t="s">
        <v>518</v>
      </c>
      <c r="D903" s="6" t="s">
        <v>272</v>
      </c>
      <c r="E903" s="6" t="s">
        <v>254</v>
      </c>
      <c r="F903" s="6">
        <v>12487.36</v>
      </c>
      <c r="G903" s="2">
        <v>1.85</v>
      </c>
      <c r="H903" s="2">
        <v>2.4700000000000002</v>
      </c>
      <c r="I903" s="2">
        <v>2.66</v>
      </c>
      <c r="J903" s="47">
        <f t="shared" si="70"/>
        <v>0.33513513513513515</v>
      </c>
      <c r="K903" s="47">
        <f t="shared" si="71"/>
        <v>7.69230769230769E-2</v>
      </c>
      <c r="L903" s="8">
        <v>34.28</v>
      </c>
      <c r="M903" s="8">
        <v>29.82</v>
      </c>
      <c r="N903" s="8">
        <v>27.74</v>
      </c>
      <c r="O903" s="17">
        <f t="shared" si="72"/>
        <v>0.88979032258064505</v>
      </c>
      <c r="P903" s="17">
        <f t="shared" si="73"/>
        <v>3.6062000000000007</v>
      </c>
      <c r="Q903" s="5">
        <v>3.73</v>
      </c>
      <c r="R903" s="9">
        <v>30.6</v>
      </c>
      <c r="S903" s="9">
        <v>5.51</v>
      </c>
      <c r="T903" s="9">
        <v>1907.7879600000001</v>
      </c>
      <c r="U903" s="9">
        <v>1650.11</v>
      </c>
      <c r="V903" s="45">
        <f t="shared" si="74"/>
        <v>0.15615805006938946</v>
      </c>
      <c r="W903" s="12">
        <v>16</v>
      </c>
      <c r="X903" s="12">
        <v>1.02</v>
      </c>
      <c r="Y903" s="12">
        <v>20210728</v>
      </c>
    </row>
    <row r="904" spans="1:25" x14ac:dyDescent="0.45">
      <c r="A904" s="3" t="s">
        <v>1823</v>
      </c>
      <c r="B904" s="3" t="s">
        <v>1824</v>
      </c>
      <c r="C904" s="6" t="s">
        <v>519</v>
      </c>
      <c r="D904" s="6" t="s">
        <v>279</v>
      </c>
      <c r="E904" s="6" t="s">
        <v>256</v>
      </c>
      <c r="F904" s="6">
        <v>11550.07</v>
      </c>
      <c r="G904" s="2">
        <v>-2.09</v>
      </c>
      <c r="H904" s="2">
        <v>-3.66</v>
      </c>
      <c r="I904" s="2">
        <v>-2.73</v>
      </c>
      <c r="J904" s="47">
        <f t="shared" si="70"/>
        <v>-0.75119617224880397</v>
      </c>
      <c r="K904" s="47">
        <f t="shared" si="71"/>
        <v>0.25409836065573776</v>
      </c>
      <c r="O904" s="17">
        <f t="shared" si="72"/>
        <v>0</v>
      </c>
      <c r="P904" s="17">
        <f t="shared" si="73"/>
        <v>0</v>
      </c>
      <c r="R904" s="9">
        <v>-30.6</v>
      </c>
      <c r="T904" s="9">
        <v>366.77301</v>
      </c>
      <c r="U904" s="9">
        <v>286.73</v>
      </c>
      <c r="V904" s="45">
        <f t="shared" si="74"/>
        <v>0.27915812785547373</v>
      </c>
      <c r="W904" s="12">
        <v>40.24</v>
      </c>
      <c r="X904" s="12">
        <v>0</v>
      </c>
      <c r="Y904" s="12">
        <v>20210805</v>
      </c>
    </row>
    <row r="905" spans="1:25" x14ac:dyDescent="0.45">
      <c r="A905" s="3" t="s">
        <v>4663</v>
      </c>
      <c r="B905" s="3" t="s">
        <v>4664</v>
      </c>
      <c r="C905" s="6" t="s">
        <v>518</v>
      </c>
      <c r="D905" s="6" t="s">
        <v>216</v>
      </c>
      <c r="E905" s="6" t="s">
        <v>296</v>
      </c>
      <c r="F905" s="6">
        <v>3305.21</v>
      </c>
      <c r="J905" s="47" t="e">
        <f t="shared" si="70"/>
        <v>#DIV/0!</v>
      </c>
      <c r="K905" s="47" t="e">
        <f t="shared" si="71"/>
        <v>#DIV/0!</v>
      </c>
      <c r="L905" s="8">
        <v>15.61</v>
      </c>
      <c r="O905" s="17" t="e">
        <f t="shared" si="72"/>
        <v>#DIV/0!</v>
      </c>
      <c r="P905" s="17" t="e">
        <f t="shared" si="73"/>
        <v>#DIV/0!</v>
      </c>
      <c r="R905" s="9">
        <v>6.05</v>
      </c>
      <c r="S905" s="9">
        <v>4.21</v>
      </c>
      <c r="U905" s="9">
        <v>2889.12</v>
      </c>
      <c r="V905" s="45">
        <f t="shared" si="74"/>
        <v>-1</v>
      </c>
      <c r="X905" s="12">
        <v>0.91</v>
      </c>
      <c r="Y905" s="12">
        <v>20210804</v>
      </c>
    </row>
    <row r="906" spans="1:25" x14ac:dyDescent="0.45">
      <c r="A906" s="3" t="s">
        <v>1825</v>
      </c>
      <c r="B906" s="3" t="s">
        <v>1826</v>
      </c>
      <c r="C906" s="6" t="s">
        <v>518</v>
      </c>
      <c r="D906" s="6" t="s">
        <v>189</v>
      </c>
      <c r="E906" s="6" t="s">
        <v>1057</v>
      </c>
      <c r="F906" s="6">
        <v>22771.39</v>
      </c>
      <c r="G906" s="2">
        <v>3.66</v>
      </c>
      <c r="H906" s="2">
        <v>4.43</v>
      </c>
      <c r="I906" s="2">
        <v>4.79</v>
      </c>
      <c r="J906" s="47">
        <f t="shared" si="70"/>
        <v>0.21038251366120206</v>
      </c>
      <c r="K906" s="47">
        <f t="shared" si="71"/>
        <v>8.1264108352144551E-2</v>
      </c>
      <c r="L906" s="8">
        <v>23.25</v>
      </c>
      <c r="M906" s="8">
        <v>20.260000000000002</v>
      </c>
      <c r="N906" s="8">
        <v>18.73</v>
      </c>
      <c r="O906" s="17">
        <f t="shared" si="72"/>
        <v>0.96300779220779287</v>
      </c>
      <c r="P906" s="17">
        <f t="shared" si="73"/>
        <v>2.3048305555555531</v>
      </c>
      <c r="Q906" s="5">
        <v>2.41</v>
      </c>
      <c r="R906" s="9">
        <v>18.91</v>
      </c>
      <c r="S906" s="9">
        <v>3.23</v>
      </c>
      <c r="T906" s="9">
        <v>9835.8398400000005</v>
      </c>
      <c r="U906" s="9">
        <v>9035.4500000000007</v>
      </c>
      <c r="V906" s="45">
        <f t="shared" si="74"/>
        <v>8.8583284728486103E-2</v>
      </c>
      <c r="W906" s="12">
        <v>3.88</v>
      </c>
      <c r="X906" s="12">
        <v>0</v>
      </c>
      <c r="Y906" s="12">
        <v>20210804</v>
      </c>
    </row>
    <row r="907" spans="1:25" x14ac:dyDescent="0.45">
      <c r="A907" s="3" t="s">
        <v>1827</v>
      </c>
      <c r="B907" s="3" t="s">
        <v>1828</v>
      </c>
      <c r="C907" s="6" t="s">
        <v>518</v>
      </c>
      <c r="D907" s="6" t="s">
        <v>216</v>
      </c>
      <c r="E907" s="6" t="s">
        <v>1256</v>
      </c>
      <c r="F907" s="6">
        <v>7125.62</v>
      </c>
      <c r="G907" s="2">
        <v>-0.43</v>
      </c>
      <c r="H907" s="2">
        <v>1.87</v>
      </c>
      <c r="I907" s="2">
        <v>2.11</v>
      </c>
      <c r="J907" s="47">
        <f t="shared" si="70"/>
        <v>5.3488372093023262</v>
      </c>
      <c r="K907" s="47">
        <f t="shared" si="71"/>
        <v>0.12834224598930469</v>
      </c>
      <c r="L907" s="8">
        <v>149.63</v>
      </c>
      <c r="M907" s="8">
        <v>19.2</v>
      </c>
      <c r="N907" s="8">
        <v>17</v>
      </c>
      <c r="O907" s="17">
        <f t="shared" si="72"/>
        <v>3.5895652173913044E-2</v>
      </c>
      <c r="P907" s="17">
        <f t="shared" si="73"/>
        <v>1.3245833333333346</v>
      </c>
      <c r="Q907" s="5">
        <v>0.67</v>
      </c>
      <c r="R907" s="9">
        <v>3.11</v>
      </c>
      <c r="S907" s="9">
        <v>-4.01</v>
      </c>
      <c r="T907" s="9">
        <v>2671.96704</v>
      </c>
      <c r="U907" s="9">
        <v>1981.28</v>
      </c>
      <c r="V907" s="45">
        <f t="shared" si="74"/>
        <v>0.34860647662117422</v>
      </c>
      <c r="W907" s="12">
        <v>166.67</v>
      </c>
      <c r="X907" s="12">
        <v>0</v>
      </c>
      <c r="Y907" s="12">
        <v>20210729</v>
      </c>
    </row>
    <row r="908" spans="1:25" x14ac:dyDescent="0.45">
      <c r="A908" s="3" t="s">
        <v>1829</v>
      </c>
      <c r="B908" s="3" t="s">
        <v>1830</v>
      </c>
      <c r="C908" s="6" t="s">
        <v>519</v>
      </c>
      <c r="D908" s="6" t="s">
        <v>279</v>
      </c>
      <c r="E908" s="6" t="s">
        <v>256</v>
      </c>
      <c r="F908" s="6">
        <v>86099.34</v>
      </c>
      <c r="G908" s="2">
        <v>7.04</v>
      </c>
      <c r="H908" s="2">
        <v>7.07</v>
      </c>
      <c r="I908" s="2">
        <v>6.85</v>
      </c>
      <c r="J908" s="47">
        <f t="shared" si="70"/>
        <v>4.2613636363636716E-3</v>
      </c>
      <c r="K908" s="47">
        <f t="shared" si="71"/>
        <v>-3.1117397454031206E-2</v>
      </c>
      <c r="L908" s="8">
        <v>9.17</v>
      </c>
      <c r="M908" s="8">
        <v>9.6999999999999993</v>
      </c>
      <c r="N908" s="8">
        <v>10.02</v>
      </c>
      <c r="O908" s="17">
        <f t="shared" si="72"/>
        <v>22.762666666666476</v>
      </c>
      <c r="P908" s="17">
        <f t="shared" si="73"/>
        <v>-3.2200636363636272</v>
      </c>
      <c r="Q908" s="5">
        <v>0.63</v>
      </c>
      <c r="R908" s="9">
        <v>51.91</v>
      </c>
      <c r="S908" s="9">
        <v>-6.48</v>
      </c>
      <c r="T908" s="9">
        <v>24811.962889999999</v>
      </c>
      <c r="U908" s="9">
        <v>24689</v>
      </c>
      <c r="V908" s="45">
        <f t="shared" si="74"/>
        <v>4.9804726801409077E-3</v>
      </c>
      <c r="W908" s="12">
        <v>0.97</v>
      </c>
      <c r="X908" s="12">
        <v>4.1399999999999997</v>
      </c>
      <c r="Y908" s="12">
        <v>20210729</v>
      </c>
    </row>
    <row r="909" spans="1:25" x14ac:dyDescent="0.45">
      <c r="A909" s="3" t="s">
        <v>1831</v>
      </c>
      <c r="B909" s="3" t="s">
        <v>1832</v>
      </c>
      <c r="C909" s="6" t="s">
        <v>518</v>
      </c>
      <c r="D909" s="6" t="s">
        <v>225</v>
      </c>
      <c r="E909" s="6" t="s">
        <v>226</v>
      </c>
      <c r="F909" s="6">
        <v>37891.410000000003</v>
      </c>
      <c r="G909" s="2">
        <v>3.71</v>
      </c>
      <c r="H909" s="2">
        <v>3.65</v>
      </c>
      <c r="I909" s="2">
        <v>3.83</v>
      </c>
      <c r="J909" s="47">
        <f t="shared" si="70"/>
        <v>-1.6172506738544489E-2</v>
      </c>
      <c r="K909" s="47">
        <f t="shared" si="71"/>
        <v>4.9315068493150732E-2</v>
      </c>
      <c r="L909" s="8">
        <v>15.61</v>
      </c>
      <c r="M909" s="8">
        <v>17</v>
      </c>
      <c r="N909" s="8">
        <v>16.239999999999998</v>
      </c>
      <c r="O909" s="17">
        <f t="shared" si="72"/>
        <v>-10.511666666666656</v>
      </c>
      <c r="P909" s="17">
        <f t="shared" si="73"/>
        <v>3.2931111111111075</v>
      </c>
      <c r="Q909" s="5">
        <v>2.27</v>
      </c>
      <c r="R909" s="9">
        <v>27.9</v>
      </c>
      <c r="S909" s="9">
        <v>3.07</v>
      </c>
      <c r="T909" s="9">
        <v>17581.707030000001</v>
      </c>
      <c r="U909" s="9">
        <v>17626.599999999999</v>
      </c>
      <c r="V909" s="45">
        <f t="shared" si="74"/>
        <v>-2.5468876584251727E-3</v>
      </c>
      <c r="W909" s="12">
        <v>-2.38</v>
      </c>
      <c r="X909" s="12">
        <v>3.28</v>
      </c>
      <c r="Y909" s="12">
        <v>20210630</v>
      </c>
    </row>
    <row r="910" spans="1:25" x14ac:dyDescent="0.45">
      <c r="A910" s="3" t="s">
        <v>1833</v>
      </c>
      <c r="B910" s="3" t="s">
        <v>1834</v>
      </c>
      <c r="C910" s="6" t="s">
        <v>518</v>
      </c>
      <c r="D910" s="6" t="s">
        <v>279</v>
      </c>
      <c r="E910" s="6" t="s">
        <v>262</v>
      </c>
      <c r="F910" s="6">
        <v>3634.96</v>
      </c>
      <c r="G910" s="2">
        <v>-1.41</v>
      </c>
      <c r="H910" s="2">
        <v>-0.87</v>
      </c>
      <c r="I910" s="2">
        <v>-0.6</v>
      </c>
      <c r="J910" s="47">
        <f t="shared" si="70"/>
        <v>0.38297872340425526</v>
      </c>
      <c r="K910" s="47">
        <f t="shared" si="71"/>
        <v>0.31034482758620691</v>
      </c>
      <c r="O910" s="17">
        <f t="shared" si="72"/>
        <v>0</v>
      </c>
      <c r="P910" s="17">
        <f t="shared" si="73"/>
        <v>0</v>
      </c>
      <c r="R910" s="9">
        <v>-6.44</v>
      </c>
      <c r="S910" s="9">
        <v>20.57</v>
      </c>
      <c r="T910" s="9">
        <v>295.62700999999998</v>
      </c>
      <c r="U910" s="9">
        <v>224.96</v>
      </c>
      <c r="V910" s="45">
        <f t="shared" si="74"/>
        <v>0.31413144559032707</v>
      </c>
      <c r="W910" s="12">
        <v>30</v>
      </c>
      <c r="X910" s="12">
        <v>0</v>
      </c>
      <c r="Y910" s="12">
        <v>20210805</v>
      </c>
    </row>
    <row r="911" spans="1:25" x14ac:dyDescent="0.45">
      <c r="A911" s="3" t="s">
        <v>1835</v>
      </c>
      <c r="B911" s="3" t="s">
        <v>1836</v>
      </c>
      <c r="C911" s="6" t="s">
        <v>518</v>
      </c>
      <c r="D911" s="6" t="s">
        <v>234</v>
      </c>
      <c r="E911" s="6" t="s">
        <v>221</v>
      </c>
      <c r="F911" s="6">
        <v>10802.05</v>
      </c>
      <c r="G911" s="2">
        <v>6.86</v>
      </c>
      <c r="H911" s="2">
        <v>7.28</v>
      </c>
      <c r="I911" s="2">
        <v>8.18</v>
      </c>
      <c r="J911" s="47">
        <f t="shared" si="70"/>
        <v>6.1224489795918352E-2</v>
      </c>
      <c r="K911" s="47">
        <f t="shared" si="71"/>
        <v>0.12362637362637355</v>
      </c>
      <c r="L911" s="8">
        <v>15.72</v>
      </c>
      <c r="M911" s="8">
        <v>14.39</v>
      </c>
      <c r="N911" s="8">
        <v>12.82</v>
      </c>
      <c r="O911" s="17">
        <f t="shared" si="72"/>
        <v>2.3503666666666674</v>
      </c>
      <c r="P911" s="17">
        <f t="shared" si="73"/>
        <v>1.0369955555555563</v>
      </c>
      <c r="R911" s="9">
        <v>8.69</v>
      </c>
      <c r="S911" s="9">
        <v>4.6100000000000003</v>
      </c>
      <c r="T911" s="9">
        <v>4971.7011700000003</v>
      </c>
      <c r="U911" s="9">
        <v>4737.92</v>
      </c>
      <c r="V911" s="45">
        <f t="shared" si="74"/>
        <v>4.9342574378630329E-2</v>
      </c>
      <c r="W911" s="12">
        <v>-7.27</v>
      </c>
      <c r="X911" s="12">
        <v>0.75</v>
      </c>
      <c r="Y911" s="12">
        <v>20210728</v>
      </c>
    </row>
    <row r="912" spans="1:25" x14ac:dyDescent="0.45">
      <c r="A912" s="3" t="s">
        <v>1837</v>
      </c>
      <c r="B912" s="3" t="s">
        <v>1838</v>
      </c>
      <c r="C912" s="6" t="s">
        <v>520</v>
      </c>
      <c r="D912" s="6" t="s">
        <v>225</v>
      </c>
      <c r="E912" s="6" t="s">
        <v>1175</v>
      </c>
      <c r="F912" s="6">
        <v>4659.5600000000004</v>
      </c>
      <c r="G912" s="2">
        <v>4.2</v>
      </c>
      <c r="H912" s="2">
        <v>4.1399999999999997</v>
      </c>
      <c r="I912" s="2">
        <v>4.71</v>
      </c>
      <c r="J912" s="47">
        <f t="shared" si="70"/>
        <v>-1.4285714285714403E-2</v>
      </c>
      <c r="K912" s="47">
        <f t="shared" si="71"/>
        <v>0.13768115942028994</v>
      </c>
      <c r="M912" s="8">
        <v>19.32</v>
      </c>
      <c r="N912" s="8">
        <v>16.98</v>
      </c>
      <c r="O912" s="17">
        <f t="shared" si="72"/>
        <v>-13.523999999999889</v>
      </c>
      <c r="P912" s="17">
        <f t="shared" si="73"/>
        <v>1.2332842105263151</v>
      </c>
      <c r="T912" s="9">
        <v>5021.5</v>
      </c>
      <c r="U912" s="9">
        <v>4366.76</v>
      </c>
      <c r="V912" s="45">
        <f t="shared" si="74"/>
        <v>0.14993725324954882</v>
      </c>
      <c r="X912" s="12">
        <v>1.76</v>
      </c>
    </row>
    <row r="913" spans="1:25" x14ac:dyDescent="0.45">
      <c r="A913" s="3" t="s">
        <v>4157</v>
      </c>
      <c r="B913" s="3" t="s">
        <v>4158</v>
      </c>
      <c r="C913" s="6" t="s">
        <v>519</v>
      </c>
      <c r="D913" s="6" t="s">
        <v>303</v>
      </c>
      <c r="E913" s="6" t="s">
        <v>245</v>
      </c>
      <c r="F913" s="6">
        <v>5726.46</v>
      </c>
      <c r="H913" s="2">
        <v>-0.59</v>
      </c>
      <c r="I913" s="2">
        <v>-0.53</v>
      </c>
      <c r="J913" s="47" t="e">
        <f t="shared" si="70"/>
        <v>#DIV/0!</v>
      </c>
      <c r="K913" s="47">
        <f t="shared" si="71"/>
        <v>0.1016949152542372</v>
      </c>
      <c r="O913" s="17" t="e">
        <f t="shared" si="72"/>
        <v>#DIV/0!</v>
      </c>
      <c r="P913" s="17">
        <f t="shared" si="73"/>
        <v>0</v>
      </c>
      <c r="T913" s="9">
        <v>210.554</v>
      </c>
      <c r="V913" s="45" t="e">
        <f t="shared" si="74"/>
        <v>#DIV/0!</v>
      </c>
      <c r="X913" s="12">
        <v>0</v>
      </c>
    </row>
    <row r="914" spans="1:25" x14ac:dyDescent="0.45">
      <c r="A914" s="3" t="s">
        <v>4665</v>
      </c>
      <c r="B914" s="3" t="s">
        <v>4666</v>
      </c>
      <c r="C914" s="6" t="s">
        <v>518</v>
      </c>
      <c r="D914" s="6" t="s">
        <v>234</v>
      </c>
      <c r="E914" s="6" t="s">
        <v>904</v>
      </c>
      <c r="F914" s="6">
        <v>63040.28</v>
      </c>
      <c r="J914" s="47" t="e">
        <f t="shared" si="70"/>
        <v>#DIV/0!</v>
      </c>
      <c r="K914" s="47" t="e">
        <f t="shared" si="71"/>
        <v>#DIV/0!</v>
      </c>
      <c r="O914" s="17" t="e">
        <f t="shared" si="72"/>
        <v>#DIV/0!</v>
      </c>
      <c r="P914" s="17" t="e">
        <f t="shared" si="73"/>
        <v>#DIV/0!</v>
      </c>
      <c r="V914" s="45" t="e">
        <f t="shared" si="74"/>
        <v>#DIV/0!</v>
      </c>
      <c r="X914" s="12">
        <v>0</v>
      </c>
    </row>
    <row r="915" spans="1:25" x14ac:dyDescent="0.45">
      <c r="A915" s="3" t="s">
        <v>1839</v>
      </c>
      <c r="B915" s="3" t="s">
        <v>1840</v>
      </c>
      <c r="C915" s="6" t="s">
        <v>520</v>
      </c>
      <c r="D915" s="6" t="s">
        <v>90</v>
      </c>
      <c r="E915" s="6" t="s">
        <v>268</v>
      </c>
      <c r="F915" s="6">
        <v>59626.3</v>
      </c>
      <c r="G915" s="2">
        <v>-0.03</v>
      </c>
      <c r="H915" s="2">
        <v>0.91</v>
      </c>
      <c r="I915" s="2">
        <v>1</v>
      </c>
      <c r="J915" s="47">
        <f t="shared" si="70"/>
        <v>31.333333333333336</v>
      </c>
      <c r="K915" s="47">
        <f t="shared" si="71"/>
        <v>9.8901098901098869E-2</v>
      </c>
      <c r="M915" s="8">
        <v>9.8000000000000007</v>
      </c>
      <c r="N915" s="8">
        <v>8.98</v>
      </c>
      <c r="O915" s="17">
        <f t="shared" si="72"/>
        <v>3.1276595744680852E-3</v>
      </c>
      <c r="P915" s="17">
        <f t="shared" si="73"/>
        <v>0.90797777777777811</v>
      </c>
      <c r="T915" s="9">
        <v>208750.90625</v>
      </c>
      <c r="U915" s="9">
        <v>142338</v>
      </c>
      <c r="V915" s="45">
        <f t="shared" si="74"/>
        <v>0.46658591697227725</v>
      </c>
      <c r="X915" s="12">
        <v>1.1599999999999999</v>
      </c>
    </row>
    <row r="916" spans="1:25" x14ac:dyDescent="0.45">
      <c r="A916" s="3" t="s">
        <v>1841</v>
      </c>
      <c r="B916" s="3" t="s">
        <v>1842</v>
      </c>
      <c r="C916" s="6" t="s">
        <v>518</v>
      </c>
      <c r="D916" s="6" t="s">
        <v>189</v>
      </c>
      <c r="E916" s="6" t="s">
        <v>249</v>
      </c>
      <c r="F916" s="6">
        <v>8359.59</v>
      </c>
      <c r="G916" s="2">
        <v>2.4300000000000002</v>
      </c>
      <c r="H916" s="2">
        <v>3.38</v>
      </c>
      <c r="I916" s="2">
        <v>4.04</v>
      </c>
      <c r="J916" s="47">
        <f t="shared" si="70"/>
        <v>0.39094650205761305</v>
      </c>
      <c r="K916" s="47">
        <f t="shared" si="71"/>
        <v>0.19526627218934917</v>
      </c>
      <c r="L916" s="8">
        <v>79.12</v>
      </c>
      <c r="M916" s="8">
        <v>61.77</v>
      </c>
      <c r="N916" s="8">
        <v>51.66</v>
      </c>
      <c r="O916" s="17">
        <f t="shared" si="72"/>
        <v>1.580011578947369</v>
      </c>
      <c r="P916" s="17">
        <f t="shared" si="73"/>
        <v>2.6456181818181812</v>
      </c>
      <c r="R916" s="9">
        <v>9.7100000000000009</v>
      </c>
      <c r="S916" s="9">
        <v>26.3</v>
      </c>
      <c r="T916" s="9">
        <v>1145.31005</v>
      </c>
      <c r="U916" s="9">
        <v>814.14</v>
      </c>
      <c r="V916" s="45">
        <f t="shared" si="74"/>
        <v>0.40677285233497934</v>
      </c>
      <c r="W916" s="12">
        <v>2.4700000000000002</v>
      </c>
      <c r="X916" s="12">
        <v>0</v>
      </c>
      <c r="Y916" s="12">
        <v>20210812</v>
      </c>
    </row>
    <row r="917" spans="1:25" x14ac:dyDescent="0.45">
      <c r="A917" s="3" t="s">
        <v>1843</v>
      </c>
      <c r="B917" s="3" t="s">
        <v>1844</v>
      </c>
      <c r="C917" s="6" t="s">
        <v>520</v>
      </c>
      <c r="D917" s="6" t="s">
        <v>289</v>
      </c>
      <c r="E917" s="6" t="s">
        <v>278</v>
      </c>
      <c r="F917" s="6">
        <v>9635.8799999999992</v>
      </c>
      <c r="G917" s="2">
        <v>0</v>
      </c>
      <c r="H917" s="2">
        <v>0.28999999999999998</v>
      </c>
      <c r="I917" s="2">
        <v>0.43</v>
      </c>
      <c r="J917" s="47" t="e">
        <f t="shared" si="70"/>
        <v>#DIV/0!</v>
      </c>
      <c r="K917" s="47">
        <f t="shared" si="71"/>
        <v>0.48275862068965525</v>
      </c>
      <c r="M917" s="8">
        <v>19.690000000000001</v>
      </c>
      <c r="N917" s="8">
        <v>13.51</v>
      </c>
      <c r="O917" s="17" t="e">
        <f t="shared" si="72"/>
        <v>#DIV/0!</v>
      </c>
      <c r="P917" s="17">
        <f t="shared" si="73"/>
        <v>0.27984999999999999</v>
      </c>
      <c r="R917" s="9">
        <v>-5.51</v>
      </c>
      <c r="S917" s="9">
        <v>-0.7</v>
      </c>
      <c r="T917" s="9">
        <v>22206.929680000001</v>
      </c>
      <c r="U917" s="9">
        <v>12302.67</v>
      </c>
      <c r="V917" s="45">
        <f t="shared" si="74"/>
        <v>0.80504960955629967</v>
      </c>
      <c r="W917" s="12">
        <v>-80</v>
      </c>
      <c r="X917" s="12">
        <v>2.36</v>
      </c>
      <c r="Y917" s="12">
        <v>20210726</v>
      </c>
    </row>
    <row r="918" spans="1:25" x14ac:dyDescent="0.45">
      <c r="A918" s="3" t="s">
        <v>1845</v>
      </c>
      <c r="B918" s="3" t="s">
        <v>1846</v>
      </c>
      <c r="C918" s="6" t="s">
        <v>519</v>
      </c>
      <c r="D918" s="6" t="s">
        <v>279</v>
      </c>
      <c r="E918" s="6" t="s">
        <v>256</v>
      </c>
      <c r="F918" s="6">
        <v>5212.76</v>
      </c>
      <c r="G918" s="2">
        <v>-5.96</v>
      </c>
      <c r="H918" s="2">
        <v>-4.0599999999999996</v>
      </c>
      <c r="I918" s="2">
        <v>-4.63</v>
      </c>
      <c r="J918" s="47">
        <f t="shared" si="70"/>
        <v>0.31879194630872487</v>
      </c>
      <c r="K918" s="47">
        <f t="shared" si="71"/>
        <v>-0.14039408866995082</v>
      </c>
      <c r="O918" s="17">
        <f t="shared" si="72"/>
        <v>0</v>
      </c>
      <c r="P918" s="17">
        <f t="shared" si="73"/>
        <v>0</v>
      </c>
      <c r="R918" s="9">
        <v>-10.050000000000001</v>
      </c>
      <c r="S918" s="9">
        <v>65.14</v>
      </c>
      <c r="T918" s="9">
        <v>528.97997999999995</v>
      </c>
      <c r="U918" s="9">
        <v>605.66</v>
      </c>
      <c r="V918" s="45">
        <f t="shared" si="74"/>
        <v>-0.12660571938051055</v>
      </c>
      <c r="W918" s="12">
        <v>85.96</v>
      </c>
      <c r="X918" s="12">
        <v>0</v>
      </c>
      <c r="Y918" s="12">
        <v>20210805</v>
      </c>
    </row>
    <row r="919" spans="1:25" x14ac:dyDescent="0.45">
      <c r="A919" s="3" t="s">
        <v>1847</v>
      </c>
      <c r="B919" s="3" t="s">
        <v>1848</v>
      </c>
      <c r="C919" s="6" t="s">
        <v>519</v>
      </c>
      <c r="D919" s="6" t="s">
        <v>234</v>
      </c>
      <c r="E919" s="6" t="s">
        <v>286</v>
      </c>
      <c r="F919" s="6">
        <v>11278.69</v>
      </c>
      <c r="G919" s="2">
        <v>3.45</v>
      </c>
      <c r="H919" s="2">
        <v>3.4</v>
      </c>
      <c r="I919" s="2">
        <v>3.52</v>
      </c>
      <c r="J919" s="47">
        <f t="shared" si="70"/>
        <v>-1.4492753623188482E-2</v>
      </c>
      <c r="K919" s="47">
        <f t="shared" si="71"/>
        <v>3.5294117647058858E-2</v>
      </c>
      <c r="L919" s="8">
        <v>14.17</v>
      </c>
      <c r="M919" s="8">
        <v>14.27</v>
      </c>
      <c r="N919" s="8">
        <v>13.75</v>
      </c>
      <c r="O919" s="17">
        <f t="shared" si="72"/>
        <v>-9.8462999999999479</v>
      </c>
      <c r="P919" s="17">
        <f t="shared" si="73"/>
        <v>3.8958333333333295</v>
      </c>
      <c r="Q919" s="5">
        <v>3.14</v>
      </c>
      <c r="R919" s="9">
        <v>22.25</v>
      </c>
      <c r="S919" s="9">
        <v>10.48</v>
      </c>
      <c r="T919" s="9">
        <v>1161.82897</v>
      </c>
      <c r="U919" s="9">
        <v>1153.17</v>
      </c>
      <c r="V919" s="45">
        <f t="shared" si="74"/>
        <v>7.5088408474032042E-3</v>
      </c>
      <c r="W919" s="12">
        <v>1.2</v>
      </c>
      <c r="X919" s="12">
        <v>5.37</v>
      </c>
      <c r="Y919" s="12">
        <v>20210729</v>
      </c>
    </row>
    <row r="920" spans="1:25" x14ac:dyDescent="0.45">
      <c r="A920" s="3" t="s">
        <v>1849</v>
      </c>
      <c r="B920" s="3" t="s">
        <v>1850</v>
      </c>
      <c r="C920" s="6" t="s">
        <v>518</v>
      </c>
      <c r="D920" s="6" t="s">
        <v>189</v>
      </c>
      <c r="E920" s="6" t="s">
        <v>199</v>
      </c>
      <c r="F920" s="6">
        <v>36404.019999999997</v>
      </c>
      <c r="G920" s="2">
        <v>1.36</v>
      </c>
      <c r="H920" s="2">
        <v>2.11</v>
      </c>
      <c r="I920" s="2">
        <v>2.37</v>
      </c>
      <c r="J920" s="47">
        <f t="shared" si="70"/>
        <v>0.55147058823529393</v>
      </c>
      <c r="K920" s="47">
        <f t="shared" si="71"/>
        <v>0.123222748815166</v>
      </c>
      <c r="L920" s="8">
        <v>25.92</v>
      </c>
      <c r="M920" s="8">
        <v>20.260000000000002</v>
      </c>
      <c r="N920" s="8">
        <v>18.010000000000002</v>
      </c>
      <c r="O920" s="17">
        <f t="shared" si="72"/>
        <v>0.3673813333333335</v>
      </c>
      <c r="P920" s="17">
        <f t="shared" si="73"/>
        <v>1.4615807692307679</v>
      </c>
      <c r="Q920" s="5">
        <v>1.1499999999999999</v>
      </c>
      <c r="R920" s="9">
        <v>13.66</v>
      </c>
      <c r="S920" s="9">
        <v>5.42</v>
      </c>
      <c r="T920" s="9">
        <v>13850.264639999999</v>
      </c>
      <c r="U920" s="9">
        <v>11303</v>
      </c>
      <c r="V920" s="45">
        <f t="shared" si="74"/>
        <v>0.22536181898610982</v>
      </c>
      <c r="W920" s="12">
        <v>7.14</v>
      </c>
      <c r="X920" s="12">
        <v>2.25</v>
      </c>
      <c r="Y920" s="12">
        <v>20210727</v>
      </c>
    </row>
    <row r="921" spans="1:25" x14ac:dyDescent="0.45">
      <c r="A921" s="3" t="s">
        <v>1851</v>
      </c>
      <c r="B921" s="3" t="s">
        <v>1852</v>
      </c>
      <c r="C921" s="6" t="s">
        <v>518</v>
      </c>
      <c r="D921" s="6" t="s">
        <v>46</v>
      </c>
      <c r="E921" s="6" t="s">
        <v>63</v>
      </c>
      <c r="F921" s="6">
        <v>91058.61</v>
      </c>
      <c r="G921" s="2">
        <v>4.53</v>
      </c>
      <c r="H921" s="2">
        <v>5.41</v>
      </c>
      <c r="I921" s="2">
        <v>6.57</v>
      </c>
      <c r="J921" s="47">
        <f t="shared" si="70"/>
        <v>0.19426048565121409</v>
      </c>
      <c r="K921" s="47">
        <f t="shared" si="71"/>
        <v>0.21441774491682072</v>
      </c>
      <c r="L921" s="8">
        <v>9.64</v>
      </c>
      <c r="M921" s="8">
        <v>11.6</v>
      </c>
      <c r="N921" s="8">
        <v>9.56</v>
      </c>
      <c r="O921" s="17">
        <f t="shared" si="72"/>
        <v>0.59713636363636369</v>
      </c>
      <c r="P921" s="17">
        <f t="shared" si="73"/>
        <v>0.44585862068965515</v>
      </c>
      <c r="Q921" s="5">
        <v>1.18</v>
      </c>
      <c r="R921" s="9">
        <v>19.59</v>
      </c>
      <c r="S921" s="9">
        <v>-6.85</v>
      </c>
      <c r="T921" s="9">
        <v>135539.625</v>
      </c>
      <c r="U921" s="9">
        <v>122485</v>
      </c>
      <c r="V921" s="45">
        <f t="shared" si="74"/>
        <v>0.10658141813283259</v>
      </c>
      <c r="W921" s="12">
        <v>120.59</v>
      </c>
      <c r="X921" s="12">
        <v>0</v>
      </c>
      <c r="Y921" s="12">
        <v>20210804</v>
      </c>
    </row>
    <row r="922" spans="1:25" x14ac:dyDescent="0.45">
      <c r="A922" s="3" t="s">
        <v>1853</v>
      </c>
      <c r="B922" s="3" t="s">
        <v>1854</v>
      </c>
      <c r="C922" s="6" t="s">
        <v>519</v>
      </c>
      <c r="D922" s="6" t="s">
        <v>279</v>
      </c>
      <c r="E922" s="6" t="s">
        <v>256</v>
      </c>
      <c r="F922" s="6">
        <v>28039.74</v>
      </c>
      <c r="G922" s="2">
        <v>1.1000000000000001</v>
      </c>
      <c r="H922" s="2">
        <v>0.56999999999999995</v>
      </c>
      <c r="I922" s="2">
        <v>0.73</v>
      </c>
      <c r="J922" s="47">
        <f t="shared" si="70"/>
        <v>-0.48181818181818192</v>
      </c>
      <c r="K922" s="47">
        <f t="shared" si="71"/>
        <v>0.28070175438596501</v>
      </c>
      <c r="L922" s="8">
        <v>32.869999999999997</v>
      </c>
      <c r="M922" s="8">
        <v>74.959999999999994</v>
      </c>
      <c r="N922" s="8">
        <v>58.4</v>
      </c>
      <c r="O922" s="17">
        <f t="shared" si="72"/>
        <v>-1.5557735849056598</v>
      </c>
      <c r="P922" s="17">
        <f t="shared" si="73"/>
        <v>2.0804999999999993</v>
      </c>
      <c r="Q922" s="5">
        <v>2.78</v>
      </c>
      <c r="R922" s="9">
        <v>29.11</v>
      </c>
      <c r="T922" s="9">
        <v>1236.88696</v>
      </c>
      <c r="U922" s="9">
        <v>1549.04</v>
      </c>
      <c r="V922" s="45">
        <f t="shared" si="74"/>
        <v>-0.20151386665289464</v>
      </c>
      <c r="W922" s="12">
        <v>575</v>
      </c>
      <c r="X922" s="12">
        <v>0</v>
      </c>
      <c r="Y922" s="12">
        <v>20210811</v>
      </c>
    </row>
    <row r="923" spans="1:25" x14ac:dyDescent="0.45">
      <c r="A923" s="3" t="s">
        <v>3811</v>
      </c>
      <c r="B923" s="3" t="s">
        <v>3812</v>
      </c>
      <c r="C923" s="6" t="s">
        <v>518</v>
      </c>
      <c r="D923" s="6" t="s">
        <v>303</v>
      </c>
      <c r="E923" s="6" t="s">
        <v>291</v>
      </c>
      <c r="F923" s="6">
        <v>21412.71</v>
      </c>
      <c r="G923" s="2">
        <v>-2.0699999999999998</v>
      </c>
      <c r="H923" s="2">
        <v>-0.95</v>
      </c>
      <c r="I923" s="2">
        <v>-0.64</v>
      </c>
      <c r="J923" s="47">
        <f t="shared" si="70"/>
        <v>0.54106280193236711</v>
      </c>
      <c r="K923" s="47">
        <f t="shared" si="71"/>
        <v>0.32631578947368417</v>
      </c>
      <c r="O923" s="17">
        <f t="shared" si="72"/>
        <v>0</v>
      </c>
      <c r="P923" s="17">
        <f t="shared" si="73"/>
        <v>0</v>
      </c>
      <c r="R923" s="9">
        <v>-17.100000000000001</v>
      </c>
      <c r="S923" s="9">
        <v>-11.15</v>
      </c>
      <c r="T923" s="9">
        <v>5643.2587800000001</v>
      </c>
      <c r="U923" s="9">
        <v>5089.8</v>
      </c>
      <c r="V923" s="45">
        <f t="shared" si="74"/>
        <v>0.10873880702581633</v>
      </c>
      <c r="W923" s="12">
        <v>32.840000000000003</v>
      </c>
      <c r="X923" s="12">
        <v>0</v>
      </c>
      <c r="Y923" s="12">
        <v>20210908</v>
      </c>
    </row>
    <row r="924" spans="1:25" x14ac:dyDescent="0.45">
      <c r="A924" s="3" t="s">
        <v>1855</v>
      </c>
      <c r="B924" s="3" t="s">
        <v>1856</v>
      </c>
      <c r="C924" s="6" t="s">
        <v>518</v>
      </c>
      <c r="D924" s="6" t="s">
        <v>279</v>
      </c>
      <c r="E924" s="6" t="s">
        <v>262</v>
      </c>
      <c r="F924" s="6">
        <v>7118.58</v>
      </c>
      <c r="G924" s="2">
        <v>1.35</v>
      </c>
      <c r="H924" s="2">
        <v>1.89</v>
      </c>
      <c r="I924" s="2">
        <v>2.16</v>
      </c>
      <c r="J924" s="47">
        <f t="shared" si="70"/>
        <v>0.39999999999999986</v>
      </c>
      <c r="K924" s="47">
        <f t="shared" si="71"/>
        <v>0.14285714285714299</v>
      </c>
      <c r="L924" s="8">
        <v>43.51</v>
      </c>
      <c r="M924" s="8">
        <v>37.58</v>
      </c>
      <c r="N924" s="8">
        <v>32.82</v>
      </c>
      <c r="O924" s="17">
        <f t="shared" si="72"/>
        <v>0.93950000000000033</v>
      </c>
      <c r="P924" s="17">
        <f t="shared" si="73"/>
        <v>2.2973999999999979</v>
      </c>
      <c r="Q924" s="5">
        <v>3.78</v>
      </c>
      <c r="R924" s="9">
        <v>11.33</v>
      </c>
      <c r="S924" s="9">
        <v>9.11</v>
      </c>
      <c r="T924" s="9">
        <v>927.76396999999997</v>
      </c>
      <c r="U924" s="9">
        <v>789.04</v>
      </c>
      <c r="V924" s="45">
        <f t="shared" si="74"/>
        <v>0.17581360894251244</v>
      </c>
      <c r="W924" s="12">
        <v>36.11</v>
      </c>
      <c r="X924" s="12">
        <v>0</v>
      </c>
      <c r="Y924" s="12">
        <v>20210804</v>
      </c>
    </row>
    <row r="925" spans="1:25" x14ac:dyDescent="0.45">
      <c r="A925" s="3" t="s">
        <v>4667</v>
      </c>
      <c r="B925" s="3" t="s">
        <v>4668</v>
      </c>
      <c r="C925" s="6" t="s">
        <v>520</v>
      </c>
      <c r="D925" s="6" t="s">
        <v>303</v>
      </c>
      <c r="E925" s="6" t="s">
        <v>291</v>
      </c>
      <c r="F925" s="6">
        <v>4952.42</v>
      </c>
      <c r="J925" s="47" t="e">
        <f t="shared" si="70"/>
        <v>#DIV/0!</v>
      </c>
      <c r="K925" s="47" t="e">
        <f t="shared" si="71"/>
        <v>#DIV/0!</v>
      </c>
      <c r="O925" s="17" t="e">
        <f t="shared" si="72"/>
        <v>#DIV/0!</v>
      </c>
      <c r="P925" s="17" t="e">
        <f t="shared" si="73"/>
        <v>#DIV/0!</v>
      </c>
      <c r="U925" s="9">
        <v>8607.17</v>
      </c>
      <c r="V925" s="45">
        <f t="shared" si="74"/>
        <v>-1</v>
      </c>
      <c r="X925" s="12">
        <v>0</v>
      </c>
    </row>
    <row r="926" spans="1:25" x14ac:dyDescent="0.45">
      <c r="A926" s="3" t="s">
        <v>4159</v>
      </c>
      <c r="B926" s="3" t="s">
        <v>4160</v>
      </c>
      <c r="C926" s="6" t="s">
        <v>520</v>
      </c>
      <c r="D926" s="6" t="s">
        <v>279</v>
      </c>
      <c r="E926" s="6" t="s">
        <v>266</v>
      </c>
      <c r="F926" s="6">
        <v>9515.4500000000007</v>
      </c>
      <c r="H926" s="2">
        <v>1.33</v>
      </c>
      <c r="I926" s="2">
        <v>1.56</v>
      </c>
      <c r="J926" s="47" t="e">
        <f t="shared" si="70"/>
        <v>#DIV/0!</v>
      </c>
      <c r="K926" s="47">
        <f t="shared" si="71"/>
        <v>0.17293233082706766</v>
      </c>
      <c r="L926" s="8">
        <v>23.4</v>
      </c>
      <c r="M926" s="8">
        <v>28.15</v>
      </c>
      <c r="N926" s="8">
        <v>24</v>
      </c>
      <c r="O926" s="17" t="e">
        <f t="shared" si="72"/>
        <v>#DIV/0!</v>
      </c>
      <c r="P926" s="17">
        <f t="shared" si="73"/>
        <v>1.3878260869565218</v>
      </c>
      <c r="R926" s="9">
        <v>18.66</v>
      </c>
      <c r="S926" s="9">
        <v>-4.3899999999999997</v>
      </c>
      <c r="T926" s="9">
        <v>3354.3600999999999</v>
      </c>
      <c r="U926" s="9">
        <v>3250.39</v>
      </c>
      <c r="V926" s="45">
        <f t="shared" si="74"/>
        <v>3.1986961564612247E-2</v>
      </c>
      <c r="X926" s="12">
        <v>0.69</v>
      </c>
      <c r="Y926" s="12">
        <v>20210615</v>
      </c>
    </row>
    <row r="927" spans="1:25" x14ac:dyDescent="0.45">
      <c r="A927" s="3" t="s">
        <v>4669</v>
      </c>
      <c r="B927" s="3" t="s">
        <v>4670</v>
      </c>
      <c r="C927" s="6" t="s">
        <v>520</v>
      </c>
      <c r="D927" s="6" t="s">
        <v>279</v>
      </c>
      <c r="E927" s="6" t="s">
        <v>256</v>
      </c>
      <c r="F927" s="6">
        <v>26882.65</v>
      </c>
      <c r="J927" s="47" t="e">
        <f t="shared" si="70"/>
        <v>#DIV/0!</v>
      </c>
      <c r="K927" s="47" t="e">
        <f t="shared" si="71"/>
        <v>#DIV/0!</v>
      </c>
      <c r="L927" s="8">
        <v>6.18</v>
      </c>
      <c r="O927" s="17" t="e">
        <f t="shared" si="72"/>
        <v>#DIV/0!</v>
      </c>
      <c r="P927" s="17" t="e">
        <f t="shared" si="73"/>
        <v>#DIV/0!</v>
      </c>
      <c r="R927" s="9">
        <v>29.09</v>
      </c>
      <c r="S927" s="9">
        <v>54.19</v>
      </c>
      <c r="U927" s="9">
        <v>1549.04</v>
      </c>
      <c r="V927" s="45">
        <f t="shared" si="74"/>
        <v>-1</v>
      </c>
      <c r="X927" s="12">
        <v>0</v>
      </c>
      <c r="Y927" s="12">
        <v>20210811</v>
      </c>
    </row>
    <row r="928" spans="1:25" x14ac:dyDescent="0.45">
      <c r="A928" s="3" t="s">
        <v>1857</v>
      </c>
      <c r="B928" s="3" t="s">
        <v>1858</v>
      </c>
      <c r="C928" s="6" t="s">
        <v>520</v>
      </c>
      <c r="D928" s="6" t="s">
        <v>279</v>
      </c>
      <c r="E928" s="6" t="s">
        <v>264</v>
      </c>
      <c r="F928" s="6">
        <v>12348.79</v>
      </c>
      <c r="G928" s="2">
        <v>4.7</v>
      </c>
      <c r="H928" s="2">
        <v>9.06</v>
      </c>
      <c r="I928" s="2">
        <v>11.28</v>
      </c>
      <c r="J928" s="47">
        <f t="shared" si="70"/>
        <v>0.92765957446808511</v>
      </c>
      <c r="K928" s="47">
        <f t="shared" si="71"/>
        <v>0.24503311258278132</v>
      </c>
      <c r="L928" s="8">
        <v>44.76</v>
      </c>
      <c r="M928" s="8">
        <v>29.61</v>
      </c>
      <c r="N928" s="8">
        <v>23.77</v>
      </c>
      <c r="O928" s="17">
        <f t="shared" si="72"/>
        <v>0.31919036697247705</v>
      </c>
      <c r="P928" s="17">
        <f t="shared" si="73"/>
        <v>0.97007297297297357</v>
      </c>
      <c r="R928" s="9">
        <v>32.6</v>
      </c>
      <c r="S928" s="9">
        <v>12.17</v>
      </c>
      <c r="T928" s="9">
        <v>2755.1450100000002</v>
      </c>
      <c r="U928" s="9">
        <v>2060.4299999999998</v>
      </c>
      <c r="V928" s="45">
        <f t="shared" si="74"/>
        <v>0.3371699159884104</v>
      </c>
      <c r="X928" s="12">
        <v>0.17</v>
      </c>
      <c r="Y928" s="12">
        <v>20210818</v>
      </c>
    </row>
    <row r="929" spans="1:25" x14ac:dyDescent="0.45">
      <c r="A929" s="3" t="s">
        <v>1859</v>
      </c>
      <c r="B929" s="3" t="s">
        <v>1860</v>
      </c>
      <c r="C929" s="6" t="s">
        <v>518</v>
      </c>
      <c r="D929" s="6" t="s">
        <v>189</v>
      </c>
      <c r="E929" s="6" t="s">
        <v>1861</v>
      </c>
      <c r="F929" s="6">
        <v>21638.11</v>
      </c>
      <c r="G929" s="2">
        <v>6.3</v>
      </c>
      <c r="H929" s="2">
        <v>9.9600000000000009</v>
      </c>
      <c r="I929" s="2">
        <v>11</v>
      </c>
      <c r="J929" s="47">
        <f t="shared" si="70"/>
        <v>0.58095238095238111</v>
      </c>
      <c r="K929" s="47">
        <f t="shared" si="71"/>
        <v>0.10441767068273083</v>
      </c>
      <c r="L929" s="8">
        <v>43.07</v>
      </c>
      <c r="M929" s="8">
        <v>34.51</v>
      </c>
      <c r="N929" s="8">
        <v>31.24</v>
      </c>
      <c r="O929" s="17">
        <f t="shared" si="72"/>
        <v>0.59402459016393427</v>
      </c>
      <c r="P929" s="17">
        <f t="shared" si="73"/>
        <v>2.9918307692307717</v>
      </c>
      <c r="Q929" s="5">
        <v>5.31</v>
      </c>
      <c r="R929" s="9">
        <v>38.9</v>
      </c>
      <c r="S929" s="9">
        <v>14.89</v>
      </c>
      <c r="T929" s="9">
        <v>3543.3869599999998</v>
      </c>
      <c r="U929" s="9">
        <v>2485.1999999999998</v>
      </c>
      <c r="V929" s="45">
        <f t="shared" si="74"/>
        <v>0.42579549332045713</v>
      </c>
      <c r="W929" s="12">
        <v>25.26</v>
      </c>
      <c r="X929" s="12">
        <v>0</v>
      </c>
      <c r="Y929" s="12">
        <v>20210729</v>
      </c>
    </row>
    <row r="930" spans="1:25" x14ac:dyDescent="0.45">
      <c r="A930" s="3" t="s">
        <v>1862</v>
      </c>
      <c r="B930" s="3" t="s">
        <v>1863</v>
      </c>
      <c r="C930" s="6" t="s">
        <v>519</v>
      </c>
      <c r="D930" s="6" t="s">
        <v>46</v>
      </c>
      <c r="E930" s="6" t="s">
        <v>80</v>
      </c>
      <c r="F930" s="6">
        <v>8226.77</v>
      </c>
      <c r="G930" s="2">
        <v>1.36</v>
      </c>
      <c r="H930" s="2">
        <v>1.99</v>
      </c>
      <c r="I930" s="2">
        <v>2.31</v>
      </c>
      <c r="J930" s="47">
        <f t="shared" si="70"/>
        <v>0.46323529411764697</v>
      </c>
      <c r="K930" s="47">
        <f t="shared" si="71"/>
        <v>0.16080402010050254</v>
      </c>
      <c r="L930" s="8">
        <v>22.12</v>
      </c>
      <c r="M930" s="8">
        <v>17.12</v>
      </c>
      <c r="N930" s="8">
        <v>14.74</v>
      </c>
      <c r="O930" s="17">
        <f t="shared" si="72"/>
        <v>0.36957460317460328</v>
      </c>
      <c r="P930" s="17">
        <f t="shared" si="73"/>
        <v>0.91664374999999987</v>
      </c>
      <c r="Q930" s="5">
        <v>1.7</v>
      </c>
      <c r="R930" s="9">
        <v>19.809999999999999</v>
      </c>
      <c r="S930" s="9">
        <v>0.36</v>
      </c>
      <c r="T930" s="9">
        <v>1978.635</v>
      </c>
      <c r="U930" s="9">
        <v>1688.19</v>
      </c>
      <c r="V930" s="45">
        <f t="shared" si="74"/>
        <v>0.17204520818154351</v>
      </c>
      <c r="W930" s="12">
        <v>-6.12</v>
      </c>
      <c r="X930" s="12">
        <v>1.41</v>
      </c>
      <c r="Y930" s="12">
        <v>20210723</v>
      </c>
    </row>
    <row r="931" spans="1:25" x14ac:dyDescent="0.45">
      <c r="A931" s="3" t="s">
        <v>1864</v>
      </c>
      <c r="B931" s="3" t="s">
        <v>1865</v>
      </c>
      <c r="C931" s="6" t="s">
        <v>519</v>
      </c>
      <c r="D931" s="6" t="s">
        <v>225</v>
      </c>
      <c r="E931" s="6" t="s">
        <v>206</v>
      </c>
      <c r="F931" s="6">
        <v>3230.13</v>
      </c>
      <c r="G931" s="2">
        <v>1.48</v>
      </c>
      <c r="H931" s="2">
        <v>0.95</v>
      </c>
      <c r="I931" s="2">
        <v>1.0900000000000001</v>
      </c>
      <c r="J931" s="47">
        <f t="shared" si="70"/>
        <v>-0.35810810810810811</v>
      </c>
      <c r="K931" s="47">
        <f t="shared" si="71"/>
        <v>0.1473684210526317</v>
      </c>
      <c r="L931" s="8">
        <v>24.28</v>
      </c>
      <c r="M931" s="8">
        <v>35.47</v>
      </c>
      <c r="N931" s="8">
        <v>30.88</v>
      </c>
      <c r="O931" s="17">
        <f t="shared" si="72"/>
        <v>-0.99048301886792445</v>
      </c>
      <c r="P931" s="17">
        <f t="shared" si="73"/>
        <v>2.0954285714285699</v>
      </c>
      <c r="Q931" s="5">
        <v>5</v>
      </c>
      <c r="R931" s="9">
        <v>15.49</v>
      </c>
      <c r="T931" s="9">
        <v>3117.1699199999998</v>
      </c>
      <c r="U931" s="9">
        <v>3134.64</v>
      </c>
      <c r="V931" s="45">
        <f t="shared" si="74"/>
        <v>-5.5732332899471881E-3</v>
      </c>
      <c r="W931" s="12">
        <v>4.55</v>
      </c>
      <c r="X931" s="12">
        <v>0</v>
      </c>
      <c r="Y931" s="12">
        <v>20210809</v>
      </c>
    </row>
    <row r="932" spans="1:25" x14ac:dyDescent="0.45">
      <c r="A932" s="3" t="s">
        <v>1866</v>
      </c>
      <c r="B932" s="3" t="s">
        <v>1867</v>
      </c>
      <c r="C932" s="6" t="s">
        <v>519</v>
      </c>
      <c r="D932" s="6" t="s">
        <v>234</v>
      </c>
      <c r="E932" s="6" t="s">
        <v>241</v>
      </c>
      <c r="F932" s="6">
        <v>3677.01</v>
      </c>
      <c r="G932" s="2">
        <v>-0.28000000000000003</v>
      </c>
      <c r="H932" s="2">
        <v>0.69</v>
      </c>
      <c r="I932" s="2">
        <v>1.07</v>
      </c>
      <c r="J932" s="47">
        <f t="shared" si="70"/>
        <v>3.464285714285714</v>
      </c>
      <c r="K932" s="47">
        <f t="shared" si="71"/>
        <v>0.55072463768115965</v>
      </c>
      <c r="L932" s="8">
        <v>5.35</v>
      </c>
      <c r="M932" s="8">
        <v>16.55</v>
      </c>
      <c r="N932" s="8">
        <v>10.66</v>
      </c>
      <c r="O932" s="17">
        <f t="shared" si="72"/>
        <v>4.7773195876288664E-2</v>
      </c>
      <c r="P932" s="17">
        <f t="shared" si="73"/>
        <v>0.19356315789473677</v>
      </c>
      <c r="R932" s="9">
        <v>13.15</v>
      </c>
      <c r="T932" s="9">
        <v>1239.5159900000001</v>
      </c>
      <c r="U932" s="9">
        <v>877.35</v>
      </c>
      <c r="V932" s="45">
        <f t="shared" si="74"/>
        <v>0.41279533823445613</v>
      </c>
      <c r="W932" s="12">
        <v>0</v>
      </c>
      <c r="X932" s="12">
        <v>0</v>
      </c>
      <c r="Y932" s="12">
        <v>20210819</v>
      </c>
    </row>
    <row r="933" spans="1:25" x14ac:dyDescent="0.45">
      <c r="A933" s="3" t="s">
        <v>1868</v>
      </c>
      <c r="B933" s="3" t="s">
        <v>1869</v>
      </c>
      <c r="C933" s="6" t="s">
        <v>518</v>
      </c>
      <c r="D933" s="6" t="s">
        <v>90</v>
      </c>
      <c r="E933" s="6" t="s">
        <v>267</v>
      </c>
      <c r="F933" s="6">
        <v>40920.32</v>
      </c>
      <c r="G933" s="2">
        <v>1.1200000000000001</v>
      </c>
      <c r="H933" s="2">
        <v>1.21</v>
      </c>
      <c r="I933" s="2">
        <v>1.29</v>
      </c>
      <c r="J933" s="47">
        <f t="shared" si="70"/>
        <v>8.0357142857142724E-2</v>
      </c>
      <c r="K933" s="47">
        <f t="shared" si="71"/>
        <v>6.61157024793389E-2</v>
      </c>
      <c r="L933" s="8">
        <v>17.98</v>
      </c>
      <c r="M933" s="8">
        <v>18.95</v>
      </c>
      <c r="N933" s="8">
        <v>17.82</v>
      </c>
      <c r="O933" s="17">
        <f t="shared" si="72"/>
        <v>2.358222222222226</v>
      </c>
      <c r="P933" s="17">
        <f t="shared" si="73"/>
        <v>2.6952749999999979</v>
      </c>
      <c r="Q933" s="5">
        <v>9.4700000000000006</v>
      </c>
      <c r="R933" s="9">
        <v>7.18</v>
      </c>
      <c r="S933" s="9">
        <v>8.3000000000000007</v>
      </c>
      <c r="T933" s="9">
        <v>12298.153319999999</v>
      </c>
      <c r="U933" s="9">
        <v>12595</v>
      </c>
      <c r="V933" s="45">
        <f t="shared" si="74"/>
        <v>-2.3568612941643554E-2</v>
      </c>
      <c r="W933" s="12">
        <v>11.54</v>
      </c>
      <c r="X933" s="12">
        <v>0.74</v>
      </c>
      <c r="Y933" s="12">
        <v>20210809</v>
      </c>
    </row>
    <row r="934" spans="1:25" x14ac:dyDescent="0.45">
      <c r="A934" s="3" t="s">
        <v>4161</v>
      </c>
      <c r="B934" s="3" t="s">
        <v>4162</v>
      </c>
      <c r="C934" s="6" t="s">
        <v>518</v>
      </c>
      <c r="D934" s="6" t="s">
        <v>216</v>
      </c>
      <c r="E934" s="6" t="s">
        <v>251</v>
      </c>
      <c r="F934" s="6">
        <v>3809.1</v>
      </c>
      <c r="G934" s="2">
        <v>1.1200000000000001</v>
      </c>
      <c r="H934" s="2">
        <v>2.0099999999999998</v>
      </c>
      <c r="I934" s="2">
        <v>2.13</v>
      </c>
      <c r="J934" s="47">
        <f t="shared" si="70"/>
        <v>0.79464285714285676</v>
      </c>
      <c r="K934" s="47">
        <f t="shared" si="71"/>
        <v>5.9701492537313494E-2</v>
      </c>
      <c r="L934" s="8">
        <v>21.52</v>
      </c>
      <c r="M934" s="8">
        <v>25.57</v>
      </c>
      <c r="N934" s="8">
        <v>24.2</v>
      </c>
      <c r="O934" s="17">
        <f t="shared" si="72"/>
        <v>0.32177977528089902</v>
      </c>
      <c r="P934" s="17">
        <f t="shared" si="73"/>
        <v>4.0534999999999952</v>
      </c>
      <c r="R934" s="9">
        <v>17.82</v>
      </c>
      <c r="S934" s="9">
        <v>1.53</v>
      </c>
      <c r="T934" s="9">
        <v>1864.0870299999999</v>
      </c>
      <c r="U934" s="9">
        <v>1612.17</v>
      </c>
      <c r="V934" s="45">
        <f t="shared" si="74"/>
        <v>0.15625959421152846</v>
      </c>
      <c r="W934" s="12">
        <v>66.180000000000007</v>
      </c>
      <c r="X934" s="12">
        <v>1.28</v>
      </c>
      <c r="Y934" s="12">
        <v>20210804</v>
      </c>
    </row>
    <row r="935" spans="1:25" x14ac:dyDescent="0.45">
      <c r="A935" s="3" t="s">
        <v>1870</v>
      </c>
      <c r="B935" s="3" t="s">
        <v>1871</v>
      </c>
      <c r="C935" s="6" t="s">
        <v>519</v>
      </c>
      <c r="D935" s="6" t="s">
        <v>189</v>
      </c>
      <c r="E935" s="6" t="s">
        <v>247</v>
      </c>
      <c r="F935" s="6">
        <v>1669645.88</v>
      </c>
      <c r="G935" s="2">
        <v>52.31</v>
      </c>
      <c r="H935" s="2">
        <v>89.46</v>
      </c>
      <c r="I935" s="2">
        <v>98.27</v>
      </c>
      <c r="J935" s="47">
        <f t="shared" si="70"/>
        <v>0.71018925635633701</v>
      </c>
      <c r="K935" s="47">
        <f t="shared" si="71"/>
        <v>9.8479767493852038E-2</v>
      </c>
      <c r="L935" s="8">
        <v>33.17</v>
      </c>
      <c r="M935" s="8">
        <v>27.85</v>
      </c>
      <c r="N935" s="8">
        <v>25.35</v>
      </c>
      <c r="O935" s="17">
        <f t="shared" si="72"/>
        <v>0.39214899057873498</v>
      </c>
      <c r="P935" s="17">
        <f t="shared" si="73"/>
        <v>2.5741328036322351</v>
      </c>
      <c r="Q935" s="5">
        <v>1.54</v>
      </c>
      <c r="R935" s="9">
        <v>23.54</v>
      </c>
      <c r="S935" s="9">
        <v>19.82</v>
      </c>
      <c r="T935" s="9">
        <v>194392</v>
      </c>
      <c r="U935" s="9">
        <v>182527</v>
      </c>
      <c r="V935" s="45">
        <f t="shared" si="74"/>
        <v>6.500408158792946E-2</v>
      </c>
      <c r="W935" s="12">
        <v>67.88</v>
      </c>
      <c r="X935" s="12">
        <v>0</v>
      </c>
      <c r="Y935" s="12">
        <v>20210729</v>
      </c>
    </row>
    <row r="936" spans="1:25" x14ac:dyDescent="0.45">
      <c r="A936" s="3" t="s">
        <v>1870</v>
      </c>
      <c r="B936" s="3" t="s">
        <v>1872</v>
      </c>
      <c r="C936" s="6" t="s">
        <v>519</v>
      </c>
      <c r="D936" s="6" t="s">
        <v>189</v>
      </c>
      <c r="E936" s="6" t="s">
        <v>247</v>
      </c>
      <c r="F936" s="6">
        <v>1613714.13</v>
      </c>
      <c r="G936" s="2">
        <v>52.31</v>
      </c>
      <c r="H936" s="2">
        <v>89.46</v>
      </c>
      <c r="I936" s="2">
        <v>98.27</v>
      </c>
      <c r="J936" s="47">
        <f t="shared" si="70"/>
        <v>0.71018925635633701</v>
      </c>
      <c r="K936" s="47">
        <f t="shared" si="71"/>
        <v>9.8479767493852038E-2</v>
      </c>
      <c r="L936" s="8">
        <v>32.06</v>
      </c>
      <c r="M936" s="8">
        <v>26.92</v>
      </c>
      <c r="N936" s="8">
        <v>24.5</v>
      </c>
      <c r="O936" s="17">
        <f t="shared" si="72"/>
        <v>0.37905388963660847</v>
      </c>
      <c r="P936" s="17">
        <f t="shared" si="73"/>
        <v>2.4878206583427915</v>
      </c>
      <c r="Q936" s="5">
        <v>1.48</v>
      </c>
      <c r="R936" s="9">
        <v>23.54</v>
      </c>
      <c r="S936" s="9">
        <v>19.82</v>
      </c>
      <c r="T936" s="9">
        <v>194391.98436999999</v>
      </c>
      <c r="U936" s="9">
        <v>182527</v>
      </c>
      <c r="V936" s="45">
        <f t="shared" si="74"/>
        <v>6.5003995956762511E-2</v>
      </c>
      <c r="W936" s="12">
        <v>67.88</v>
      </c>
      <c r="X936" s="12">
        <v>0</v>
      </c>
      <c r="Y936" s="12">
        <v>20210729</v>
      </c>
    </row>
    <row r="937" spans="1:25" x14ac:dyDescent="0.45">
      <c r="A937" s="3" t="s">
        <v>1873</v>
      </c>
      <c r="B937" s="3" t="s">
        <v>1874</v>
      </c>
      <c r="C937" s="6" t="s">
        <v>518</v>
      </c>
      <c r="D937" s="6" t="s">
        <v>303</v>
      </c>
      <c r="E937" s="6" t="s">
        <v>290</v>
      </c>
      <c r="F937" s="6">
        <v>4469.8100000000004</v>
      </c>
      <c r="G937" s="2">
        <v>0.51</v>
      </c>
      <c r="H937" s="2">
        <v>0.93</v>
      </c>
      <c r="I937" s="2">
        <v>1.23</v>
      </c>
      <c r="J937" s="47">
        <f t="shared" si="70"/>
        <v>0.82352941176470595</v>
      </c>
      <c r="K937" s="47">
        <f t="shared" si="71"/>
        <v>0.32258064516129026</v>
      </c>
      <c r="L937" s="8">
        <v>65.34</v>
      </c>
      <c r="M937" s="8">
        <v>43.56</v>
      </c>
      <c r="N937" s="8">
        <v>32.94</v>
      </c>
      <c r="O937" s="17">
        <f t="shared" si="72"/>
        <v>0.52894285714285716</v>
      </c>
      <c r="P937" s="17">
        <f t="shared" si="73"/>
        <v>1.0211400000000002</v>
      </c>
      <c r="Q937" s="5">
        <v>1.62</v>
      </c>
      <c r="R937" s="9">
        <v>16.649999999999999</v>
      </c>
      <c r="S937" s="9">
        <v>14.97</v>
      </c>
      <c r="T937" s="9">
        <v>897.78002000000004</v>
      </c>
      <c r="U937" s="9">
        <v>713.64</v>
      </c>
      <c r="V937" s="45">
        <f t="shared" si="74"/>
        <v>0.25802928647497347</v>
      </c>
      <c r="W937" s="12">
        <v>125</v>
      </c>
      <c r="X937" s="12">
        <v>0</v>
      </c>
      <c r="Y937" s="12">
        <v>20210810</v>
      </c>
    </row>
    <row r="938" spans="1:25" x14ac:dyDescent="0.45">
      <c r="A938" s="3" t="s">
        <v>4163</v>
      </c>
      <c r="B938" s="3" t="s">
        <v>4164</v>
      </c>
      <c r="C938" s="6" t="s">
        <v>518</v>
      </c>
      <c r="D938" s="6" t="s">
        <v>175</v>
      </c>
      <c r="E938" s="6" t="s">
        <v>305</v>
      </c>
      <c r="F938" s="6">
        <v>3950.9</v>
      </c>
      <c r="G938" s="2">
        <v>-0.67</v>
      </c>
      <c r="H938" s="2">
        <v>-0.41</v>
      </c>
      <c r="I938" s="2">
        <v>-0.1</v>
      </c>
      <c r="J938" s="47">
        <f t="shared" si="70"/>
        <v>0.38805970149253738</v>
      </c>
      <c r="K938" s="47">
        <f t="shared" si="71"/>
        <v>0.75609756097560965</v>
      </c>
      <c r="O938" s="17">
        <f t="shared" si="72"/>
        <v>0</v>
      </c>
      <c r="P938" s="17">
        <f t="shared" si="73"/>
        <v>0</v>
      </c>
      <c r="R938" s="9">
        <v>-96.41</v>
      </c>
      <c r="T938" s="9">
        <v>1807.5500400000001</v>
      </c>
      <c r="U938" s="9">
        <v>1091.92</v>
      </c>
      <c r="V938" s="45">
        <f t="shared" si="74"/>
        <v>0.65538687815957208</v>
      </c>
      <c r="X938" s="12">
        <v>0</v>
      </c>
      <c r="Y938" s="12">
        <v>20210901</v>
      </c>
    </row>
    <row r="939" spans="1:25" x14ac:dyDescent="0.45">
      <c r="A939" s="3" t="s">
        <v>1875</v>
      </c>
      <c r="B939" s="3" t="s">
        <v>1876</v>
      </c>
      <c r="C939" s="6" t="s">
        <v>518</v>
      </c>
      <c r="D939" s="6" t="s">
        <v>46</v>
      </c>
      <c r="E939" s="6" t="s">
        <v>1066</v>
      </c>
      <c r="F939" s="6">
        <v>18548.79</v>
      </c>
      <c r="G939" s="2">
        <v>5.0999999999999996</v>
      </c>
      <c r="H939" s="2">
        <v>6.05</v>
      </c>
      <c r="I939" s="2">
        <v>6.44</v>
      </c>
      <c r="J939" s="47">
        <f t="shared" si="70"/>
        <v>0.18627450980392163</v>
      </c>
      <c r="K939" s="47">
        <f t="shared" si="71"/>
        <v>6.4462809917355465E-2</v>
      </c>
      <c r="L939" s="8">
        <v>21.51</v>
      </c>
      <c r="M939" s="8">
        <v>21.22</v>
      </c>
      <c r="N939" s="8">
        <v>19.93</v>
      </c>
      <c r="O939" s="17">
        <f t="shared" si="72"/>
        <v>1.1391789473684206</v>
      </c>
      <c r="P939" s="17">
        <f t="shared" si="73"/>
        <v>3.0917051282051236</v>
      </c>
      <c r="Q939" s="5">
        <v>4.66</v>
      </c>
      <c r="R939" s="9">
        <v>27.8</v>
      </c>
      <c r="S939" s="9">
        <v>4.22</v>
      </c>
      <c r="T939" s="9">
        <v>17740.5</v>
      </c>
      <c r="U939" s="9">
        <v>16537.43</v>
      </c>
      <c r="V939" s="45">
        <f t="shared" si="74"/>
        <v>7.2748304905901326E-2</v>
      </c>
      <c r="W939" s="12">
        <v>23.97</v>
      </c>
      <c r="X939" s="12">
        <v>2.54</v>
      </c>
      <c r="Y939" s="12">
        <v>20210729</v>
      </c>
    </row>
    <row r="940" spans="1:25" x14ac:dyDescent="0.45">
      <c r="A940" s="3" t="s">
        <v>4671</v>
      </c>
      <c r="B940" s="3" t="s">
        <v>4672</v>
      </c>
      <c r="C940" s="6" t="s">
        <v>520</v>
      </c>
      <c r="D940" s="6" t="s">
        <v>234</v>
      </c>
      <c r="E940" s="6" t="s">
        <v>105</v>
      </c>
      <c r="F940" s="6">
        <v>6298.94</v>
      </c>
      <c r="J940" s="47" t="e">
        <f t="shared" si="70"/>
        <v>#DIV/0!</v>
      </c>
      <c r="K940" s="47" t="e">
        <f t="shared" si="71"/>
        <v>#DIV/0!</v>
      </c>
      <c r="O940" s="17" t="e">
        <f t="shared" si="72"/>
        <v>#DIV/0!</v>
      </c>
      <c r="P940" s="17" t="e">
        <f t="shared" si="73"/>
        <v>#DIV/0!</v>
      </c>
      <c r="V940" s="45" t="e">
        <f t="shared" si="74"/>
        <v>#DIV/0!</v>
      </c>
      <c r="X940" s="12">
        <v>0</v>
      </c>
    </row>
    <row r="941" spans="1:25" x14ac:dyDescent="0.45">
      <c r="A941" s="3" t="s">
        <v>1877</v>
      </c>
      <c r="B941" s="3" t="s">
        <v>1878</v>
      </c>
      <c r="C941" s="6" t="s">
        <v>518</v>
      </c>
      <c r="D941" s="6" t="s">
        <v>272</v>
      </c>
      <c r="E941" s="6" t="s">
        <v>207</v>
      </c>
      <c r="F941" s="6">
        <v>4984.8999999999996</v>
      </c>
      <c r="G941" s="2">
        <v>1.1000000000000001</v>
      </c>
      <c r="H941" s="2">
        <v>1.3</v>
      </c>
      <c r="I941" s="2">
        <v>1.59</v>
      </c>
      <c r="J941" s="47">
        <f t="shared" si="70"/>
        <v>0.18181818181818177</v>
      </c>
      <c r="K941" s="47">
        <f t="shared" si="71"/>
        <v>0.22307692307692309</v>
      </c>
      <c r="L941" s="8">
        <v>17.03</v>
      </c>
      <c r="M941" s="8">
        <v>13.46</v>
      </c>
      <c r="N941" s="8">
        <v>11.05</v>
      </c>
      <c r="O941" s="17">
        <f t="shared" si="72"/>
        <v>0.74030000000000029</v>
      </c>
      <c r="P941" s="17">
        <f t="shared" si="73"/>
        <v>0.49534482758620685</v>
      </c>
      <c r="R941" s="9">
        <v>15.35</v>
      </c>
      <c r="S941" s="9">
        <v>12.09</v>
      </c>
      <c r="T941" s="9">
        <v>6831.2548800000004</v>
      </c>
      <c r="U941" s="9">
        <v>6559.9</v>
      </c>
      <c r="V941" s="45">
        <f t="shared" si="74"/>
        <v>4.1365703745484046E-2</v>
      </c>
      <c r="W941" s="12">
        <v>-8</v>
      </c>
      <c r="X941" s="12">
        <v>1.71</v>
      </c>
      <c r="Y941" s="12">
        <v>20210720</v>
      </c>
    </row>
    <row r="942" spans="1:25" x14ac:dyDescent="0.45">
      <c r="A942" s="3" t="s">
        <v>1879</v>
      </c>
      <c r="B942" s="3" t="s">
        <v>1880</v>
      </c>
      <c r="C942" s="6" t="s">
        <v>518</v>
      </c>
      <c r="D942" s="6" t="s">
        <v>175</v>
      </c>
      <c r="E942" s="6" t="s">
        <v>224</v>
      </c>
      <c r="F942" s="6">
        <v>56666.65</v>
      </c>
      <c r="G942" s="2">
        <v>6.37</v>
      </c>
      <c r="H942" s="2">
        <v>8.02</v>
      </c>
      <c r="I942" s="2">
        <v>9.35</v>
      </c>
      <c r="J942" s="47">
        <f t="shared" si="70"/>
        <v>0.25902668759811609</v>
      </c>
      <c r="K942" s="47">
        <f t="shared" si="71"/>
        <v>0.16583541147132172</v>
      </c>
      <c r="L942" s="8">
        <v>28.91</v>
      </c>
      <c r="M942" s="8">
        <v>23.92</v>
      </c>
      <c r="N942" s="8">
        <v>20.52</v>
      </c>
      <c r="O942" s="17">
        <f t="shared" si="72"/>
        <v>0.92345696969697011</v>
      </c>
      <c r="P942" s="17">
        <f t="shared" si="73"/>
        <v>1.2373714285714283</v>
      </c>
      <c r="Q942" s="5">
        <v>1.25</v>
      </c>
      <c r="R942" s="9">
        <v>6.91</v>
      </c>
      <c r="S942" s="9">
        <v>19.64</v>
      </c>
      <c r="T942" s="9">
        <v>7607.9750899999999</v>
      </c>
      <c r="U942" s="9">
        <v>7423.56</v>
      </c>
      <c r="V942" s="45">
        <f t="shared" si="74"/>
        <v>2.4841866974874522E-2</v>
      </c>
      <c r="W942" s="12">
        <v>2.82</v>
      </c>
      <c r="X942" s="12">
        <v>0.41</v>
      </c>
      <c r="Y942" s="12">
        <v>20210802</v>
      </c>
    </row>
    <row r="943" spans="1:25" x14ac:dyDescent="0.45">
      <c r="A943" s="3" t="s">
        <v>4673</v>
      </c>
      <c r="B943" s="3" t="s">
        <v>4674</v>
      </c>
      <c r="C943" s="6" t="s">
        <v>518</v>
      </c>
      <c r="D943" s="6" t="s">
        <v>289</v>
      </c>
      <c r="E943" s="6" t="s">
        <v>271</v>
      </c>
      <c r="F943" s="6">
        <v>10131.4</v>
      </c>
      <c r="J943" s="47" t="e">
        <f t="shared" si="70"/>
        <v>#DIV/0!</v>
      </c>
      <c r="K943" s="47" t="e">
        <f t="shared" si="71"/>
        <v>#DIV/0!</v>
      </c>
      <c r="O943" s="17" t="e">
        <f t="shared" si="72"/>
        <v>#DIV/0!</v>
      </c>
      <c r="P943" s="17" t="e">
        <f t="shared" si="73"/>
        <v>#DIV/0!</v>
      </c>
      <c r="V943" s="45" t="e">
        <f t="shared" si="74"/>
        <v>#DIV/0!</v>
      </c>
      <c r="X943" s="12">
        <v>0</v>
      </c>
    </row>
    <row r="944" spans="1:25" x14ac:dyDescent="0.45">
      <c r="A944" s="3" t="s">
        <v>1881</v>
      </c>
      <c r="B944" s="3" t="s">
        <v>1882</v>
      </c>
      <c r="C944" s="6" t="s">
        <v>518</v>
      </c>
      <c r="D944" s="6" t="s">
        <v>303</v>
      </c>
      <c r="E944" s="6" t="s">
        <v>290</v>
      </c>
      <c r="F944" s="6">
        <v>11932.23</v>
      </c>
      <c r="G944" s="2">
        <v>-2.2000000000000002</v>
      </c>
      <c r="H944" s="2">
        <v>1.67</v>
      </c>
      <c r="I944" s="2">
        <v>2.13</v>
      </c>
      <c r="J944" s="47">
        <f t="shared" si="70"/>
        <v>1.759090909090909</v>
      </c>
      <c r="K944" s="47">
        <f t="shared" si="71"/>
        <v>0.27544910179640719</v>
      </c>
      <c r="L944" s="8">
        <v>32.92</v>
      </c>
      <c r="M944" s="8">
        <v>18.97</v>
      </c>
      <c r="N944" s="8">
        <v>14.81</v>
      </c>
      <c r="O944" s="17">
        <f t="shared" si="72"/>
        <v>0.10783979328165375</v>
      </c>
      <c r="P944" s="17">
        <f t="shared" si="73"/>
        <v>0.53766739130434782</v>
      </c>
      <c r="Q944" s="5">
        <v>1.58</v>
      </c>
      <c r="R944" s="9">
        <v>14.85</v>
      </c>
      <c r="S944" s="9">
        <v>-1.27</v>
      </c>
      <c r="T944" s="9">
        <v>17024.726559999999</v>
      </c>
      <c r="U944" s="9">
        <v>13800</v>
      </c>
      <c r="V944" s="45">
        <f t="shared" si="74"/>
        <v>0.23367583768115935</v>
      </c>
      <c r="W944" s="12">
        <v>2500</v>
      </c>
      <c r="X944" s="12">
        <v>3.07</v>
      </c>
      <c r="Y944" s="12">
        <v>20210826</v>
      </c>
    </row>
    <row r="945" spans="1:25" x14ac:dyDescent="0.45">
      <c r="A945" s="3" t="s">
        <v>1883</v>
      </c>
      <c r="B945" s="3" t="s">
        <v>1884</v>
      </c>
      <c r="C945" s="6" t="s">
        <v>518</v>
      </c>
      <c r="D945" s="6" t="s">
        <v>90</v>
      </c>
      <c r="E945" s="6" t="s">
        <v>198</v>
      </c>
      <c r="F945" s="6">
        <v>4558.7700000000004</v>
      </c>
      <c r="G945" s="2">
        <v>2.61</v>
      </c>
      <c r="H945" s="2">
        <v>3.77</v>
      </c>
      <c r="I945" s="2">
        <v>4.47</v>
      </c>
      <c r="J945" s="47">
        <f t="shared" si="70"/>
        <v>0.44444444444444453</v>
      </c>
      <c r="K945" s="47">
        <f t="shared" si="71"/>
        <v>0.18567639257294422</v>
      </c>
      <c r="L945" s="8">
        <v>25.87</v>
      </c>
      <c r="M945" s="8">
        <v>18.27</v>
      </c>
      <c r="N945" s="8">
        <v>15.4</v>
      </c>
      <c r="O945" s="17">
        <f t="shared" si="72"/>
        <v>0.41107499999999991</v>
      </c>
      <c r="P945" s="17">
        <f t="shared" si="73"/>
        <v>0.82940000000000047</v>
      </c>
      <c r="R945" s="9">
        <v>57.85</v>
      </c>
      <c r="S945" s="9">
        <v>0.22</v>
      </c>
      <c r="T945" s="9">
        <v>1934.06701</v>
      </c>
      <c r="U945" s="9">
        <v>1729.8</v>
      </c>
      <c r="V945" s="45">
        <f t="shared" si="74"/>
        <v>0.11808706786911784</v>
      </c>
      <c r="W945" s="12">
        <v>0</v>
      </c>
      <c r="X945" s="12">
        <v>1.92</v>
      </c>
      <c r="Y945" s="12">
        <v>20210729</v>
      </c>
    </row>
    <row r="946" spans="1:25" x14ac:dyDescent="0.45">
      <c r="A946" s="3" t="s">
        <v>1885</v>
      </c>
      <c r="B946" s="3" t="s">
        <v>1886</v>
      </c>
      <c r="C946" s="6" t="s">
        <v>519</v>
      </c>
      <c r="D946" s="6" t="s">
        <v>279</v>
      </c>
      <c r="E946" s="6" t="s">
        <v>258</v>
      </c>
      <c r="F946" s="6">
        <v>11977.12</v>
      </c>
      <c r="G946" s="2">
        <v>1.36</v>
      </c>
      <c r="H946" s="2">
        <v>1.28</v>
      </c>
      <c r="I946" s="2">
        <v>1.55</v>
      </c>
      <c r="J946" s="47">
        <f t="shared" si="70"/>
        <v>-5.8823529411764754E-2</v>
      </c>
      <c r="K946" s="47">
        <f t="shared" si="71"/>
        <v>0.2109375</v>
      </c>
      <c r="L946" s="8">
        <v>14.4</v>
      </c>
      <c r="M946" s="8">
        <v>13.56</v>
      </c>
      <c r="N946" s="8">
        <v>11.2</v>
      </c>
      <c r="O946" s="17">
        <f t="shared" si="72"/>
        <v>-2.3051999999999984</v>
      </c>
      <c r="P946" s="17">
        <f t="shared" si="73"/>
        <v>0.53096296296296297</v>
      </c>
      <c r="Q946" s="5">
        <v>1.1299999999999999</v>
      </c>
      <c r="R946" s="9">
        <v>9.92</v>
      </c>
      <c r="S946" s="9">
        <v>7.65</v>
      </c>
      <c r="T946" s="9">
        <v>6332.6201099999998</v>
      </c>
      <c r="U946" s="9">
        <v>6099.41</v>
      </c>
      <c r="V946" s="45">
        <f t="shared" si="74"/>
        <v>3.8234863699931634E-2</v>
      </c>
      <c r="W946" s="12">
        <v>-23.68</v>
      </c>
      <c r="X946" s="12">
        <v>4.13</v>
      </c>
      <c r="Y946" s="12">
        <v>20210729</v>
      </c>
    </row>
    <row r="947" spans="1:25" x14ac:dyDescent="0.45">
      <c r="A947" s="3" t="s">
        <v>1887</v>
      </c>
      <c r="B947" s="3" t="s">
        <v>1888</v>
      </c>
      <c r="C947" s="6" t="s">
        <v>519</v>
      </c>
      <c r="D947" s="6" t="s">
        <v>189</v>
      </c>
      <c r="E947" s="6" t="s">
        <v>908</v>
      </c>
      <c r="F947" s="6">
        <v>27317.21</v>
      </c>
      <c r="G947" s="2">
        <v>4.78</v>
      </c>
      <c r="H947" s="2">
        <v>5.27</v>
      </c>
      <c r="I947" s="2">
        <v>5.79</v>
      </c>
      <c r="J947" s="47">
        <f t="shared" si="70"/>
        <v>0.10251046025104588</v>
      </c>
      <c r="K947" s="47">
        <f t="shared" si="71"/>
        <v>9.8671726755218306E-2</v>
      </c>
      <c r="L947" s="8">
        <v>26.33</v>
      </c>
      <c r="M947" s="8">
        <v>27</v>
      </c>
      <c r="N947" s="8">
        <v>24.54</v>
      </c>
      <c r="O947" s="17">
        <f t="shared" si="72"/>
        <v>2.633877551020412</v>
      </c>
      <c r="P947" s="17">
        <f t="shared" si="73"/>
        <v>2.487034615384613</v>
      </c>
      <c r="Q947" s="5">
        <v>3.97</v>
      </c>
      <c r="R947" s="9">
        <v>19.71</v>
      </c>
      <c r="S947" s="9">
        <v>8.42</v>
      </c>
      <c r="T947" s="9">
        <v>4657.9282199999998</v>
      </c>
      <c r="U947" s="9">
        <v>4186.57</v>
      </c>
      <c r="V947" s="45">
        <f t="shared" si="74"/>
        <v>0.11258816166933794</v>
      </c>
      <c r="W947" s="12">
        <v>34.090000000000003</v>
      </c>
      <c r="X947" s="12">
        <v>1.72</v>
      </c>
      <c r="Y947" s="12">
        <v>20210804</v>
      </c>
    </row>
    <row r="948" spans="1:25" x14ac:dyDescent="0.45">
      <c r="A948" s="3" t="s">
        <v>4165</v>
      </c>
      <c r="B948" s="3" t="s">
        <v>4166</v>
      </c>
      <c r="C948" s="6" t="s">
        <v>520</v>
      </c>
      <c r="D948" s="6" t="s">
        <v>210</v>
      </c>
      <c r="E948" s="6" t="s">
        <v>191</v>
      </c>
      <c r="F948" s="6">
        <v>3395.11</v>
      </c>
      <c r="G948" s="2">
        <v>0.62</v>
      </c>
      <c r="H948" s="2">
        <v>1</v>
      </c>
      <c r="I948" s="2">
        <v>0.99</v>
      </c>
      <c r="J948" s="47">
        <f t="shared" si="70"/>
        <v>0.61290322580645162</v>
      </c>
      <c r="K948" s="47">
        <f t="shared" si="71"/>
        <v>-1.0000000000000009E-2</v>
      </c>
      <c r="M948" s="8">
        <v>14.3</v>
      </c>
      <c r="N948" s="8">
        <v>14.44</v>
      </c>
      <c r="O948" s="17">
        <f t="shared" si="72"/>
        <v>0.23331578947368423</v>
      </c>
      <c r="P948" s="17">
        <f t="shared" si="73"/>
        <v>-14.439999999999987</v>
      </c>
      <c r="T948" s="9">
        <v>3973.0400300000001</v>
      </c>
      <c r="V948" s="45" t="e">
        <f t="shared" si="74"/>
        <v>#DIV/0!</v>
      </c>
      <c r="X948" s="12">
        <v>0</v>
      </c>
    </row>
    <row r="949" spans="1:25" x14ac:dyDescent="0.45">
      <c r="A949" s="3" t="s">
        <v>1889</v>
      </c>
      <c r="B949" s="3" t="s">
        <v>1890</v>
      </c>
      <c r="C949" s="6" t="s">
        <v>518</v>
      </c>
      <c r="D949" s="6" t="s">
        <v>234</v>
      </c>
      <c r="E949" s="6" t="s">
        <v>286</v>
      </c>
      <c r="F949" s="6">
        <v>4138.59</v>
      </c>
      <c r="G949" s="2">
        <v>3.11</v>
      </c>
      <c r="H949" s="2">
        <v>3.33</v>
      </c>
      <c r="I949" s="2">
        <v>3.52</v>
      </c>
      <c r="J949" s="47">
        <f t="shared" si="70"/>
        <v>7.0739549839228366E-2</v>
      </c>
      <c r="K949" s="47">
        <f t="shared" si="71"/>
        <v>5.7057057057057041E-2</v>
      </c>
      <c r="L949" s="8">
        <v>23.21</v>
      </c>
      <c r="M949" s="8">
        <v>20.16</v>
      </c>
      <c r="N949" s="8">
        <v>19.04</v>
      </c>
      <c r="O949" s="17">
        <f t="shared" si="72"/>
        <v>2.8498909090909059</v>
      </c>
      <c r="P949" s="17">
        <f t="shared" si="73"/>
        <v>3.3370105263157903</v>
      </c>
      <c r="R949" s="9">
        <v>15.52</v>
      </c>
      <c r="S949" s="9">
        <v>9.7899999999999991</v>
      </c>
      <c r="T949" s="9">
        <v>328.85</v>
      </c>
      <c r="U949" s="9">
        <v>253.97</v>
      </c>
      <c r="V949" s="45">
        <f t="shared" si="74"/>
        <v>0.29483797298893577</v>
      </c>
      <c r="W949" s="12">
        <v>-11.57</v>
      </c>
      <c r="X949" s="12">
        <v>1.81</v>
      </c>
      <c r="Y949" s="12">
        <v>20210810</v>
      </c>
    </row>
    <row r="950" spans="1:25" x14ac:dyDescent="0.45">
      <c r="A950" s="3" t="s">
        <v>4675</v>
      </c>
      <c r="B950" s="3" t="s">
        <v>4676</v>
      </c>
      <c r="C950" s="6" t="s">
        <v>520</v>
      </c>
      <c r="D950" s="6" t="s">
        <v>216</v>
      </c>
      <c r="E950" s="6" t="s">
        <v>1256</v>
      </c>
      <c r="F950" s="6">
        <v>9212.6299999999992</v>
      </c>
      <c r="J950" s="47" t="e">
        <f t="shared" si="70"/>
        <v>#DIV/0!</v>
      </c>
      <c r="K950" s="47" t="e">
        <f t="shared" si="71"/>
        <v>#DIV/0!</v>
      </c>
      <c r="L950" s="8">
        <v>14.58</v>
      </c>
      <c r="O950" s="17" t="e">
        <f t="shared" si="72"/>
        <v>#DIV/0!</v>
      </c>
      <c r="P950" s="17" t="e">
        <f t="shared" si="73"/>
        <v>#DIV/0!</v>
      </c>
      <c r="U950" s="9">
        <v>11081.43</v>
      </c>
      <c r="V950" s="45">
        <f t="shared" si="74"/>
        <v>-1</v>
      </c>
      <c r="X950" s="12">
        <v>0.31</v>
      </c>
      <c r="Y950" s="12">
        <v>20210611</v>
      </c>
    </row>
    <row r="951" spans="1:25" x14ac:dyDescent="0.45">
      <c r="A951" s="3" t="s">
        <v>1891</v>
      </c>
      <c r="B951" s="3" t="s">
        <v>1892</v>
      </c>
      <c r="C951" s="6" t="s">
        <v>518</v>
      </c>
      <c r="D951" s="6" t="s">
        <v>189</v>
      </c>
      <c r="E951" s="6" t="s">
        <v>1805</v>
      </c>
      <c r="F951" s="6">
        <v>5813.71</v>
      </c>
      <c r="G951" s="2">
        <v>0.04</v>
      </c>
      <c r="H951" s="2">
        <v>-0.26</v>
      </c>
      <c r="I951" s="2">
        <v>0.39</v>
      </c>
      <c r="J951" s="47">
        <f t="shared" si="70"/>
        <v>-7.5</v>
      </c>
      <c r="K951" s="47">
        <f t="shared" si="71"/>
        <v>2.5</v>
      </c>
      <c r="N951" s="8">
        <v>159.69</v>
      </c>
      <c r="O951" s="17">
        <f t="shared" si="72"/>
        <v>0</v>
      </c>
      <c r="P951" s="17">
        <f t="shared" si="73"/>
        <v>0.63875999999999999</v>
      </c>
      <c r="R951" s="9">
        <v>-10.82</v>
      </c>
      <c r="S951" s="9">
        <v>38.51</v>
      </c>
      <c r="T951" s="9">
        <v>2241.61499</v>
      </c>
      <c r="U951" s="9">
        <v>1819.98</v>
      </c>
      <c r="V951" s="45">
        <f t="shared" si="74"/>
        <v>0.23167012274860163</v>
      </c>
      <c r="W951" s="12">
        <v>-1966.67</v>
      </c>
      <c r="X951" s="12">
        <v>0</v>
      </c>
      <c r="Y951" s="12">
        <v>20210729</v>
      </c>
    </row>
    <row r="952" spans="1:25" x14ac:dyDescent="0.45">
      <c r="A952" s="3" t="s">
        <v>1893</v>
      </c>
      <c r="B952" s="3" t="s">
        <v>1894</v>
      </c>
      <c r="C952" s="6" t="s">
        <v>518</v>
      </c>
      <c r="D952" s="6" t="s">
        <v>234</v>
      </c>
      <c r="E952" s="6" t="s">
        <v>1642</v>
      </c>
      <c r="F952" s="6">
        <v>130054.18</v>
      </c>
      <c r="G952" s="2">
        <v>20.53</v>
      </c>
      <c r="H952" s="2">
        <v>43.7</v>
      </c>
      <c r="I952" s="2">
        <v>35.15</v>
      </c>
      <c r="J952" s="47">
        <f t="shared" si="70"/>
        <v>1.1285923039454457</v>
      </c>
      <c r="K952" s="47">
        <f t="shared" si="71"/>
        <v>-0.19565217391304357</v>
      </c>
      <c r="L952" s="8">
        <v>8.2100000000000009</v>
      </c>
      <c r="M952" s="8">
        <v>8.76</v>
      </c>
      <c r="N952" s="8">
        <v>10.89</v>
      </c>
      <c r="O952" s="17">
        <f t="shared" si="72"/>
        <v>7.7618817436340096E-2</v>
      </c>
      <c r="P952" s="17">
        <f t="shared" si="73"/>
        <v>-0.55659999999999976</v>
      </c>
      <c r="Q952" s="5">
        <v>0.34</v>
      </c>
      <c r="R952" s="9">
        <v>20.64</v>
      </c>
      <c r="S952" s="9">
        <v>17.670000000000002</v>
      </c>
      <c r="T952" s="9">
        <v>49214.140619999998</v>
      </c>
      <c r="U952" s="9">
        <v>53498</v>
      </c>
      <c r="V952" s="45">
        <f t="shared" si="74"/>
        <v>-8.0075131406781588E-2</v>
      </c>
      <c r="W952" s="12">
        <v>89.99</v>
      </c>
      <c r="X952" s="12">
        <v>1.31</v>
      </c>
      <c r="Y952" s="12">
        <v>20210721</v>
      </c>
    </row>
    <row r="953" spans="1:25" x14ac:dyDescent="0.45">
      <c r="A953" s="3" t="s">
        <v>1895</v>
      </c>
      <c r="B953" s="3" t="s">
        <v>1896</v>
      </c>
      <c r="C953" s="6" t="s">
        <v>519</v>
      </c>
      <c r="D953" s="6" t="s">
        <v>234</v>
      </c>
      <c r="E953" s="6" t="s">
        <v>243</v>
      </c>
      <c r="F953" s="6">
        <v>3377.7</v>
      </c>
      <c r="G953" s="2">
        <v>0.68</v>
      </c>
      <c r="H953" s="2">
        <v>0.7</v>
      </c>
      <c r="I953" s="2">
        <v>1.27</v>
      </c>
      <c r="J953" s="47">
        <f t="shared" si="70"/>
        <v>2.9411764705882214E-2</v>
      </c>
      <c r="K953" s="47">
        <f t="shared" si="71"/>
        <v>0.81428571428571439</v>
      </c>
      <c r="L953" s="8">
        <v>135.12</v>
      </c>
      <c r="M953" s="8">
        <v>131.88</v>
      </c>
      <c r="N953" s="8">
        <v>72.349999999999994</v>
      </c>
      <c r="O953" s="17">
        <f t="shared" si="72"/>
        <v>44.839200000000211</v>
      </c>
      <c r="P953" s="17">
        <f t="shared" si="73"/>
        <v>0.88850877192982436</v>
      </c>
      <c r="Q953" s="5">
        <v>2.58</v>
      </c>
      <c r="R953" s="9">
        <v>-25.5</v>
      </c>
      <c r="T953" s="9">
        <v>152.19999000000001</v>
      </c>
      <c r="U953" s="9">
        <v>117.01</v>
      </c>
      <c r="V953" s="45">
        <f t="shared" si="74"/>
        <v>0.30074344073156145</v>
      </c>
      <c r="W953" s="12">
        <v>-50</v>
      </c>
      <c r="X953" s="12">
        <v>0</v>
      </c>
      <c r="Y953" s="12">
        <v>20210729</v>
      </c>
    </row>
    <row r="954" spans="1:25" x14ac:dyDescent="0.45">
      <c r="A954" s="3" t="s">
        <v>1897</v>
      </c>
      <c r="B954" s="3" t="s">
        <v>1898</v>
      </c>
      <c r="C954" s="6" t="s">
        <v>518</v>
      </c>
      <c r="D954" s="6" t="s">
        <v>279</v>
      </c>
      <c r="E954" s="6" t="s">
        <v>250</v>
      </c>
      <c r="F954" s="6">
        <v>106492.12</v>
      </c>
      <c r="G954" s="2">
        <v>3.12</v>
      </c>
      <c r="H954" s="2">
        <v>2.71</v>
      </c>
      <c r="I954" s="2">
        <v>3.02</v>
      </c>
      <c r="J954" s="47">
        <f t="shared" si="70"/>
        <v>-0.13141025641025644</v>
      </c>
      <c r="K954" s="47">
        <f t="shared" si="71"/>
        <v>0.11439114391143913</v>
      </c>
      <c r="L954" s="8">
        <v>14.93</v>
      </c>
      <c r="M954" s="8">
        <v>14.59</v>
      </c>
      <c r="N954" s="8">
        <v>13.1</v>
      </c>
      <c r="O954" s="17">
        <f t="shared" si="72"/>
        <v>-1.1102634146341461</v>
      </c>
      <c r="P954" s="17">
        <f t="shared" si="73"/>
        <v>1.1451935483870965</v>
      </c>
      <c r="Q954" s="5">
        <v>4.16</v>
      </c>
      <c r="R954" s="9">
        <v>24.57</v>
      </c>
      <c r="S954" s="9">
        <v>3.98</v>
      </c>
      <c r="T954" s="9">
        <v>45291.324209999999</v>
      </c>
      <c r="U954" s="9">
        <v>43788.06</v>
      </c>
      <c r="V954" s="45">
        <f t="shared" si="74"/>
        <v>3.4330459262182457E-2</v>
      </c>
      <c r="W954" s="12">
        <v>0</v>
      </c>
      <c r="X954" s="12">
        <v>5.25</v>
      </c>
      <c r="Y954" s="12">
        <v>20210804</v>
      </c>
    </row>
    <row r="955" spans="1:25" x14ac:dyDescent="0.45">
      <c r="A955" s="3" t="s">
        <v>3813</v>
      </c>
      <c r="B955" s="3" t="s">
        <v>3814</v>
      </c>
      <c r="C955" s="6" t="s">
        <v>519</v>
      </c>
      <c r="D955" s="6" t="s">
        <v>46</v>
      </c>
      <c r="E955" s="6" t="s">
        <v>976</v>
      </c>
      <c r="F955" s="6">
        <v>4344.78</v>
      </c>
      <c r="G955" s="2">
        <v>-2.2000000000000002</v>
      </c>
      <c r="H955" s="2">
        <v>1.1399999999999999</v>
      </c>
      <c r="I955" s="2">
        <v>2.1800000000000002</v>
      </c>
      <c r="J955" s="47">
        <f t="shared" si="70"/>
        <v>1.5181818181818181</v>
      </c>
      <c r="K955" s="47">
        <f t="shared" si="71"/>
        <v>0.91228070175438625</v>
      </c>
      <c r="M955" s="8">
        <v>16.18</v>
      </c>
      <c r="N955" s="8">
        <v>8.5</v>
      </c>
      <c r="O955" s="17">
        <f t="shared" si="72"/>
        <v>0.1065748502994012</v>
      </c>
      <c r="P955" s="17">
        <f t="shared" si="73"/>
        <v>9.3173076923076886E-2</v>
      </c>
      <c r="R955" s="9">
        <v>-6.6</v>
      </c>
      <c r="S955" s="9">
        <v>-4.2699999999999996</v>
      </c>
      <c r="T955" s="9">
        <v>14967.95019</v>
      </c>
      <c r="U955" s="9">
        <v>12321</v>
      </c>
      <c r="V955" s="45">
        <f t="shared" si="74"/>
        <v>0.21483241538836129</v>
      </c>
      <c r="W955" s="12">
        <v>437.5</v>
      </c>
      <c r="X955" s="12">
        <v>0</v>
      </c>
      <c r="Y955" s="12">
        <v>20210730</v>
      </c>
    </row>
    <row r="956" spans="1:25" x14ac:dyDescent="0.45">
      <c r="A956" s="3" t="s">
        <v>1899</v>
      </c>
      <c r="B956" s="3" t="s">
        <v>1900</v>
      </c>
      <c r="C956" s="6" t="s">
        <v>518</v>
      </c>
      <c r="D956" s="6" t="s">
        <v>210</v>
      </c>
      <c r="E956" s="6" t="s">
        <v>215</v>
      </c>
      <c r="F956" s="6">
        <v>5268.58</v>
      </c>
      <c r="G956" s="2">
        <v>0.68</v>
      </c>
      <c r="H956" s="2">
        <v>1.27</v>
      </c>
      <c r="I956" s="2">
        <v>1.44</v>
      </c>
      <c r="J956" s="47">
        <f t="shared" si="70"/>
        <v>0.86764705882352933</v>
      </c>
      <c r="K956" s="47">
        <f t="shared" si="71"/>
        <v>0.13385826771653536</v>
      </c>
      <c r="L956" s="8">
        <v>22.15</v>
      </c>
      <c r="M956" s="8">
        <v>14.24</v>
      </c>
      <c r="N956" s="8">
        <v>12.61</v>
      </c>
      <c r="O956" s="17">
        <f t="shared" si="72"/>
        <v>0.16412203389830513</v>
      </c>
      <c r="P956" s="17">
        <f t="shared" si="73"/>
        <v>0.94204117647058871</v>
      </c>
      <c r="R956" s="9">
        <v>7.88</v>
      </c>
      <c r="S956" s="9">
        <v>-4.6900000000000004</v>
      </c>
      <c r="T956" s="9">
        <v>3432.1450100000002</v>
      </c>
      <c r="U956" s="9">
        <v>2793</v>
      </c>
      <c r="V956" s="45">
        <f t="shared" si="74"/>
        <v>0.22883817042606522</v>
      </c>
      <c r="W956" s="12">
        <v>3.13</v>
      </c>
      <c r="X956" s="12">
        <v>0</v>
      </c>
      <c r="Y956" s="12">
        <v>20210803</v>
      </c>
    </row>
    <row r="957" spans="1:25" x14ac:dyDescent="0.45">
      <c r="A957" s="3" t="s">
        <v>1901</v>
      </c>
      <c r="B957" s="3" t="s">
        <v>728</v>
      </c>
      <c r="C957" s="6" t="s">
        <v>518</v>
      </c>
      <c r="D957" s="6" t="s">
        <v>272</v>
      </c>
      <c r="E957" s="6" t="s">
        <v>254</v>
      </c>
      <c r="F957" s="6">
        <v>5377.4</v>
      </c>
      <c r="G957" s="2">
        <v>2.61</v>
      </c>
      <c r="H957" s="2">
        <v>3.92</v>
      </c>
      <c r="I957" s="2">
        <v>5.49</v>
      </c>
      <c r="J957" s="47">
        <f t="shared" si="70"/>
        <v>0.50191570881226055</v>
      </c>
      <c r="K957" s="47">
        <f t="shared" si="71"/>
        <v>0.40051020408163274</v>
      </c>
      <c r="L957" s="8">
        <v>45.24</v>
      </c>
      <c r="M957" s="8">
        <v>37.74</v>
      </c>
      <c r="N957" s="8">
        <v>26.95</v>
      </c>
      <c r="O957" s="17">
        <f t="shared" si="72"/>
        <v>0.75191908396946561</v>
      </c>
      <c r="P957" s="17">
        <f t="shared" si="73"/>
        <v>0.67289171974522277</v>
      </c>
      <c r="R957" s="9">
        <v>5.76</v>
      </c>
      <c r="S957" s="9">
        <v>9.5299999999999994</v>
      </c>
      <c r="T957" s="9">
        <v>1383.43298</v>
      </c>
      <c r="U957" s="9">
        <v>1177.0999999999999</v>
      </c>
      <c r="V957" s="45">
        <f t="shared" si="74"/>
        <v>0.17528925324951164</v>
      </c>
      <c r="W957" s="12">
        <v>8.82</v>
      </c>
      <c r="X957" s="12">
        <v>0</v>
      </c>
      <c r="Y957" s="12">
        <v>20210722</v>
      </c>
    </row>
    <row r="958" spans="1:25" x14ac:dyDescent="0.45">
      <c r="A958" s="3" t="s">
        <v>1902</v>
      </c>
      <c r="B958" s="3" t="s">
        <v>1903</v>
      </c>
      <c r="C958" s="6" t="s">
        <v>520</v>
      </c>
      <c r="D958" s="6" t="s">
        <v>90</v>
      </c>
      <c r="E958" s="6" t="s">
        <v>198</v>
      </c>
      <c r="F958" s="6">
        <v>43019.25</v>
      </c>
      <c r="G958" s="2">
        <v>1.84</v>
      </c>
      <c r="H958" s="2">
        <v>1.94</v>
      </c>
      <c r="I958" s="2">
        <v>2.3199999999999998</v>
      </c>
      <c r="J958" s="47">
        <f t="shared" si="70"/>
        <v>5.4347826086956444E-2</v>
      </c>
      <c r="K958" s="47">
        <f t="shared" si="71"/>
        <v>0.19587628865979376</v>
      </c>
      <c r="M958" s="8">
        <v>48.03</v>
      </c>
      <c r="N958" s="8">
        <v>40.159999999999997</v>
      </c>
      <c r="O958" s="17">
        <f t="shared" si="72"/>
        <v>8.8375200000000138</v>
      </c>
      <c r="P958" s="17">
        <f t="shared" si="73"/>
        <v>2.0502736842105267</v>
      </c>
      <c r="T958" s="9">
        <v>7225.2001899999996</v>
      </c>
      <c r="U958" s="9">
        <v>7056.44</v>
      </c>
      <c r="V958" s="45">
        <f t="shared" si="74"/>
        <v>2.3915769141380071E-2</v>
      </c>
      <c r="X958" s="12">
        <v>0.89</v>
      </c>
      <c r="Y958" s="12">
        <v>20210611</v>
      </c>
    </row>
    <row r="959" spans="1:25" x14ac:dyDescent="0.45">
      <c r="A959" s="3" t="s">
        <v>1904</v>
      </c>
      <c r="B959" s="3" t="s">
        <v>1905</v>
      </c>
      <c r="C959" s="6" t="s">
        <v>518</v>
      </c>
      <c r="D959" s="6" t="s">
        <v>189</v>
      </c>
      <c r="E959" s="6" t="s">
        <v>195</v>
      </c>
      <c r="F959" s="6">
        <v>8860.9699999999993</v>
      </c>
      <c r="G959" s="2">
        <v>0.88</v>
      </c>
      <c r="H959" s="2">
        <v>0.4</v>
      </c>
      <c r="I959" s="2">
        <v>0.01</v>
      </c>
      <c r="J959" s="47">
        <f t="shared" si="70"/>
        <v>-0.54545454545454541</v>
      </c>
      <c r="K959" s="47">
        <f t="shared" si="71"/>
        <v>-0.97499999999999998</v>
      </c>
      <c r="L959" s="8">
        <v>112.17</v>
      </c>
      <c r="M959" s="8">
        <v>266.39999999999998</v>
      </c>
      <c r="N959" s="8">
        <v>10656</v>
      </c>
      <c r="O959" s="17">
        <f t="shared" si="72"/>
        <v>-4.8840000000000003</v>
      </c>
      <c r="P959" s="17">
        <f t="shared" si="73"/>
        <v>-109.29230769230769</v>
      </c>
      <c r="R959" s="9">
        <v>-0.65</v>
      </c>
      <c r="S959" s="9">
        <v>13.75</v>
      </c>
      <c r="T959" s="9">
        <v>734.88598000000002</v>
      </c>
      <c r="U959" s="9">
        <v>742.31</v>
      </c>
      <c r="V959" s="45">
        <f t="shared" si="74"/>
        <v>-1.0001239374385268E-2</v>
      </c>
      <c r="W959" s="12">
        <v>33.33</v>
      </c>
      <c r="X959" s="12">
        <v>0</v>
      </c>
      <c r="Y959" s="12">
        <v>20210901</v>
      </c>
    </row>
    <row r="960" spans="1:25" x14ac:dyDescent="0.45">
      <c r="A960" s="3" t="s">
        <v>1906</v>
      </c>
      <c r="B960" s="3" t="s">
        <v>1907</v>
      </c>
      <c r="C960" s="6" t="s">
        <v>518</v>
      </c>
      <c r="D960" s="6" t="s">
        <v>272</v>
      </c>
      <c r="E960" s="6" t="s">
        <v>233</v>
      </c>
      <c r="F960" s="6">
        <v>23895.11</v>
      </c>
      <c r="G960" s="2">
        <v>16.38</v>
      </c>
      <c r="H960" s="2">
        <v>19.739999999999998</v>
      </c>
      <c r="I960" s="2">
        <v>22.66</v>
      </c>
      <c r="J960" s="47">
        <f t="shared" si="70"/>
        <v>0.20512820512820509</v>
      </c>
      <c r="K960" s="47">
        <f t="shared" si="71"/>
        <v>0.14792299898682887</v>
      </c>
      <c r="L960" s="8">
        <v>27.94</v>
      </c>
      <c r="M960" s="8">
        <v>23.24</v>
      </c>
      <c r="N960" s="8">
        <v>20.23</v>
      </c>
      <c r="O960" s="17">
        <f t="shared" si="72"/>
        <v>1.1329500000000001</v>
      </c>
      <c r="P960" s="17">
        <f t="shared" si="73"/>
        <v>1.3676034246575335</v>
      </c>
      <c r="Q960" s="5">
        <v>1.72</v>
      </c>
      <c r="R960" s="9">
        <v>40.6</v>
      </c>
      <c r="S960" s="9">
        <v>4.0199999999999996</v>
      </c>
      <c r="T960" s="9">
        <v>12797.60644</v>
      </c>
      <c r="U960" s="9">
        <v>11797</v>
      </c>
      <c r="V960" s="45">
        <f t="shared" si="74"/>
        <v>8.4818720013562734E-2</v>
      </c>
      <c r="W960" s="12">
        <v>3.94</v>
      </c>
      <c r="X960" s="12">
        <v>1.41</v>
      </c>
      <c r="Y960" s="12">
        <v>20210730</v>
      </c>
    </row>
    <row r="961" spans="1:25" x14ac:dyDescent="0.45">
      <c r="A961" s="3" t="s">
        <v>4167</v>
      </c>
      <c r="B961" s="3" t="s">
        <v>4168</v>
      </c>
      <c r="C961" s="6" t="s">
        <v>520</v>
      </c>
      <c r="D961" s="6" t="s">
        <v>289</v>
      </c>
      <c r="E961" s="6" t="s">
        <v>275</v>
      </c>
      <c r="F961" s="6">
        <v>26742.83</v>
      </c>
      <c r="G961" s="2">
        <v>0.53</v>
      </c>
      <c r="H961" s="2">
        <v>8.11</v>
      </c>
      <c r="I961" s="2">
        <v>8.74</v>
      </c>
      <c r="J961" s="47">
        <f t="shared" si="70"/>
        <v>14.301886792452828</v>
      </c>
      <c r="K961" s="47">
        <f t="shared" si="71"/>
        <v>7.7681874229346581E-2</v>
      </c>
      <c r="L961" s="8">
        <v>17.2</v>
      </c>
      <c r="M961" s="8">
        <v>3.48</v>
      </c>
      <c r="N961" s="8">
        <v>3.23</v>
      </c>
      <c r="O961" s="17">
        <f t="shared" si="72"/>
        <v>2.4332453825857523E-3</v>
      </c>
      <c r="P961" s="17">
        <f t="shared" si="73"/>
        <v>0.41579841269841217</v>
      </c>
      <c r="R961" s="9">
        <v>4.95</v>
      </c>
      <c r="S961" s="9">
        <v>7.4</v>
      </c>
      <c r="T961" s="9">
        <v>119054.60156</v>
      </c>
      <c r="U961" s="9">
        <v>27656.74</v>
      </c>
      <c r="V961" s="45">
        <f t="shared" si="74"/>
        <v>3.3047228834634881</v>
      </c>
      <c r="X961" s="12">
        <v>1.85</v>
      </c>
      <c r="Y961" s="12">
        <v>20210610</v>
      </c>
    </row>
    <row r="962" spans="1:25" x14ac:dyDescent="0.45">
      <c r="A962" s="3" t="s">
        <v>1908</v>
      </c>
      <c r="B962" s="3" t="s">
        <v>1909</v>
      </c>
      <c r="C962" s="6" t="s">
        <v>518</v>
      </c>
      <c r="D962" s="6" t="s">
        <v>216</v>
      </c>
      <c r="E962" s="6" t="s">
        <v>231</v>
      </c>
      <c r="F962" s="6">
        <v>8247.7999999999993</v>
      </c>
      <c r="G962" s="2">
        <v>-4.99</v>
      </c>
      <c r="H962" s="2">
        <v>-5.12</v>
      </c>
      <c r="I962" s="2">
        <v>-0.24</v>
      </c>
      <c r="J962" s="47">
        <f t="shared" si="70"/>
        <v>-2.6052104208416811E-2</v>
      </c>
      <c r="K962" s="47">
        <f t="shared" si="71"/>
        <v>0.953125</v>
      </c>
      <c r="O962" s="17">
        <f t="shared" si="72"/>
        <v>0</v>
      </c>
      <c r="P962" s="17">
        <f t="shared" si="73"/>
        <v>0</v>
      </c>
      <c r="R962" s="9">
        <v>-27.03</v>
      </c>
      <c r="S962" s="9">
        <v>-11.45</v>
      </c>
      <c r="T962" s="9">
        <v>3081.2539000000002</v>
      </c>
      <c r="U962" s="9">
        <v>2066</v>
      </c>
      <c r="V962" s="45">
        <f t="shared" si="74"/>
        <v>0.49141040658276869</v>
      </c>
      <c r="W962" s="12">
        <v>-168.42</v>
      </c>
      <c r="X962" s="12">
        <v>0</v>
      </c>
      <c r="Y962" s="12">
        <v>20210802</v>
      </c>
    </row>
    <row r="963" spans="1:25" x14ac:dyDescent="0.45">
      <c r="A963" s="3" t="s">
        <v>1910</v>
      </c>
      <c r="B963" s="3" t="s">
        <v>1911</v>
      </c>
      <c r="C963" s="6" t="s">
        <v>519</v>
      </c>
      <c r="D963" s="6" t="s">
        <v>225</v>
      </c>
      <c r="E963" s="6" t="s">
        <v>226</v>
      </c>
      <c r="F963" s="6">
        <v>4066.59</v>
      </c>
      <c r="G963" s="2">
        <v>0.79</v>
      </c>
      <c r="H963" s="2">
        <v>1.45</v>
      </c>
      <c r="I963" s="2">
        <v>1.65</v>
      </c>
      <c r="J963" s="47">
        <f t="shared" ref="J963:J1026" si="75">(H963-G963)/ABS(G963)</f>
        <v>0.83544303797468344</v>
      </c>
      <c r="K963" s="47">
        <f t="shared" ref="K963:K1026" si="76">(I963-H963)/ABS(H963)</f>
        <v>0.13793103448275859</v>
      </c>
      <c r="L963" s="8">
        <v>29.77</v>
      </c>
      <c r="M963" s="8">
        <v>28.09</v>
      </c>
      <c r="N963" s="8">
        <v>24.69</v>
      </c>
      <c r="O963" s="17">
        <f t="shared" ref="O963:O1026" si="77">M963/(J963*100)</f>
        <v>0.3362287878787879</v>
      </c>
      <c r="P963" s="17">
        <f t="shared" ref="P963:P1026" si="78">N963/(K963*100)</f>
        <v>1.7900250000000004</v>
      </c>
      <c r="R963" s="9">
        <v>9.5399999999999991</v>
      </c>
      <c r="S963" s="9">
        <v>-9.0500000000000007</v>
      </c>
      <c r="T963" s="9">
        <v>1980.26196</v>
      </c>
      <c r="U963" s="9">
        <v>2053.9</v>
      </c>
      <c r="V963" s="45">
        <f t="shared" ref="V963:V1026" si="79">(T963-U963)/U963</f>
        <v>-3.5852787380106159E-2</v>
      </c>
      <c r="W963" s="12">
        <v>15.79</v>
      </c>
      <c r="X963" s="12">
        <v>0</v>
      </c>
      <c r="Y963" s="12">
        <v>20210824</v>
      </c>
    </row>
    <row r="964" spans="1:25" x14ac:dyDescent="0.45">
      <c r="A964" s="3" t="s">
        <v>1912</v>
      </c>
      <c r="B964" s="3" t="s">
        <v>1913</v>
      </c>
      <c r="C964" s="6" t="s">
        <v>518</v>
      </c>
      <c r="D964" s="6" t="s">
        <v>289</v>
      </c>
      <c r="E964" s="6" t="s">
        <v>917</v>
      </c>
      <c r="F964" s="6">
        <v>21584.58</v>
      </c>
      <c r="G964" s="2">
        <v>0.62</v>
      </c>
      <c r="H964" s="2">
        <v>0.98</v>
      </c>
      <c r="I964" s="2">
        <v>1.43</v>
      </c>
      <c r="J964" s="47">
        <f t="shared" si="75"/>
        <v>0.58064516129032251</v>
      </c>
      <c r="K964" s="47">
        <f t="shared" si="76"/>
        <v>0.45918367346938771</v>
      </c>
      <c r="L964" s="8">
        <v>45.77</v>
      </c>
      <c r="M964" s="8">
        <v>24.8</v>
      </c>
      <c r="N964" s="8">
        <v>16.95</v>
      </c>
      <c r="O964" s="17">
        <f t="shared" si="77"/>
        <v>0.42711111111111116</v>
      </c>
      <c r="P964" s="17">
        <f t="shared" si="78"/>
        <v>0.36913333333333331</v>
      </c>
      <c r="R964" s="9">
        <v>9.26</v>
      </c>
      <c r="S964" s="9">
        <v>-0.47</v>
      </c>
      <c r="T964" s="9">
        <v>15123.48242</v>
      </c>
      <c r="U964" s="9">
        <v>14445</v>
      </c>
      <c r="V964" s="45">
        <f t="shared" si="79"/>
        <v>4.6970053305642107E-2</v>
      </c>
      <c r="W964" s="12">
        <v>11.76</v>
      </c>
      <c r="X964" s="12">
        <v>0.74</v>
      </c>
      <c r="Y964" s="12">
        <v>20210720</v>
      </c>
    </row>
    <row r="965" spans="1:25" x14ac:dyDescent="0.45">
      <c r="A965" s="3" t="s">
        <v>1914</v>
      </c>
      <c r="B965" s="3" t="s">
        <v>1915</v>
      </c>
      <c r="C965" s="6" t="s">
        <v>519</v>
      </c>
      <c r="D965" s="6" t="s">
        <v>279</v>
      </c>
      <c r="E965" s="6" t="s">
        <v>256</v>
      </c>
      <c r="F965" s="6">
        <v>5607.16</v>
      </c>
      <c r="G965" s="2">
        <v>0.93</v>
      </c>
      <c r="H965" s="2">
        <v>1.53</v>
      </c>
      <c r="I965" s="2">
        <v>2.5299999999999998</v>
      </c>
      <c r="J965" s="47">
        <f t="shared" si="75"/>
        <v>0.64516129032258063</v>
      </c>
      <c r="K965" s="47">
        <f t="shared" si="76"/>
        <v>0.65359477124182996</v>
      </c>
      <c r="L965" s="8">
        <v>30.06</v>
      </c>
      <c r="M965" s="8">
        <v>25.78</v>
      </c>
      <c r="N965" s="8">
        <v>15.54</v>
      </c>
      <c r="O965" s="17">
        <f t="shared" si="77"/>
        <v>0.39959</v>
      </c>
      <c r="P965" s="17">
        <f t="shared" si="78"/>
        <v>0.237762</v>
      </c>
      <c r="R965" s="9">
        <v>174.48</v>
      </c>
      <c r="S965" s="9">
        <v>8.75</v>
      </c>
      <c r="T965" s="9">
        <v>415.05898999999999</v>
      </c>
      <c r="U965" s="9">
        <v>267.58999999999997</v>
      </c>
      <c r="V965" s="45">
        <f t="shared" si="79"/>
        <v>0.55110052692552047</v>
      </c>
      <c r="W965" s="12">
        <v>19.350000000000001</v>
      </c>
      <c r="X965" s="12">
        <v>0</v>
      </c>
      <c r="Y965" s="12">
        <v>20210809</v>
      </c>
    </row>
    <row r="966" spans="1:25" x14ac:dyDescent="0.45">
      <c r="A966" s="3" t="s">
        <v>1916</v>
      </c>
      <c r="B966" s="3" t="s">
        <v>1917</v>
      </c>
      <c r="C966" s="6" t="s">
        <v>519</v>
      </c>
      <c r="D966" s="6" t="s">
        <v>216</v>
      </c>
      <c r="E966" s="6" t="s">
        <v>306</v>
      </c>
      <c r="F966" s="6">
        <v>13124.05</v>
      </c>
      <c r="G966" s="2">
        <v>3.6</v>
      </c>
      <c r="H966" s="2">
        <v>4.51</v>
      </c>
      <c r="I966" s="2">
        <v>5.03</v>
      </c>
      <c r="J966" s="47">
        <f t="shared" si="75"/>
        <v>0.25277777777777771</v>
      </c>
      <c r="K966" s="47">
        <f t="shared" si="76"/>
        <v>0.11529933481153004</v>
      </c>
      <c r="L966" s="8">
        <v>22.88</v>
      </c>
      <c r="M966" s="8">
        <v>21.14</v>
      </c>
      <c r="N966" s="8">
        <v>18.98</v>
      </c>
      <c r="O966" s="17">
        <f t="shared" si="77"/>
        <v>0.83630769230769253</v>
      </c>
      <c r="P966" s="17">
        <f t="shared" si="78"/>
        <v>1.6461499999999987</v>
      </c>
      <c r="Q966" s="5">
        <v>1.25</v>
      </c>
      <c r="R966" s="9">
        <v>20.28</v>
      </c>
      <c r="S966" s="9">
        <v>0.88</v>
      </c>
      <c r="T966" s="9">
        <v>6113.27783</v>
      </c>
      <c r="U966" s="9">
        <v>5465.44</v>
      </c>
      <c r="V966" s="45">
        <f t="shared" si="79"/>
        <v>0.11853351788694057</v>
      </c>
      <c r="W966" s="12">
        <v>56.25</v>
      </c>
      <c r="X966" s="12">
        <v>2.85</v>
      </c>
      <c r="Y966" s="12">
        <v>20210726</v>
      </c>
    </row>
    <row r="967" spans="1:25" x14ac:dyDescent="0.45">
      <c r="A967" s="3" t="s">
        <v>1918</v>
      </c>
      <c r="B967" s="3" t="s">
        <v>1919</v>
      </c>
      <c r="C967" s="6" t="s">
        <v>518</v>
      </c>
      <c r="D967" s="6" t="s">
        <v>234</v>
      </c>
      <c r="E967" s="6" t="s">
        <v>285</v>
      </c>
      <c r="F967" s="6">
        <v>4142.75</v>
      </c>
      <c r="G967" s="2">
        <v>1.52</v>
      </c>
      <c r="H967" s="2">
        <v>1.69</v>
      </c>
      <c r="I967" s="2">
        <v>1.83</v>
      </c>
      <c r="J967" s="47">
        <f t="shared" si="75"/>
        <v>0.11184210526315784</v>
      </c>
      <c r="K967" s="47">
        <f t="shared" si="76"/>
        <v>8.2840236686390609E-2</v>
      </c>
      <c r="L967" s="8">
        <v>35.340000000000003</v>
      </c>
      <c r="M967" s="8">
        <v>31.11</v>
      </c>
      <c r="N967" s="8">
        <v>28.82</v>
      </c>
      <c r="O967" s="17">
        <f t="shared" si="77"/>
        <v>2.7816000000000014</v>
      </c>
      <c r="P967" s="17">
        <f t="shared" si="78"/>
        <v>3.4789857142857117</v>
      </c>
      <c r="Q967" s="5">
        <v>3.97</v>
      </c>
      <c r="R967" s="9">
        <v>8.42</v>
      </c>
      <c r="S967" s="9">
        <v>32.950000000000003</v>
      </c>
      <c r="T967" s="9">
        <v>94.33399</v>
      </c>
      <c r="U967" s="9">
        <v>186.91</v>
      </c>
      <c r="V967" s="45">
        <f t="shared" si="79"/>
        <v>-0.49529725536354396</v>
      </c>
      <c r="W967" s="12">
        <v>7.5</v>
      </c>
      <c r="X967" s="12">
        <v>2.66</v>
      </c>
      <c r="Y967" s="12">
        <v>20210805</v>
      </c>
    </row>
    <row r="968" spans="1:25" x14ac:dyDescent="0.45">
      <c r="A968" s="3" t="s">
        <v>4677</v>
      </c>
      <c r="B968" s="3" t="s">
        <v>4678</v>
      </c>
      <c r="C968" s="6" t="s">
        <v>520</v>
      </c>
      <c r="D968" s="6" t="s">
        <v>175</v>
      </c>
      <c r="E968" s="6" t="s">
        <v>9</v>
      </c>
      <c r="F968" s="6">
        <v>4549.9399999999996</v>
      </c>
      <c r="J968" s="47" t="e">
        <f t="shared" si="75"/>
        <v>#DIV/0!</v>
      </c>
      <c r="K968" s="47" t="e">
        <f t="shared" si="76"/>
        <v>#DIV/0!</v>
      </c>
      <c r="O968" s="17" t="e">
        <f t="shared" si="77"/>
        <v>#DIV/0!</v>
      </c>
      <c r="P968" s="17" t="e">
        <f t="shared" si="78"/>
        <v>#DIV/0!</v>
      </c>
      <c r="V968" s="45" t="e">
        <f t="shared" si="79"/>
        <v>#DIV/0!</v>
      </c>
      <c r="X968" s="12">
        <v>0</v>
      </c>
    </row>
    <row r="969" spans="1:25" x14ac:dyDescent="0.45">
      <c r="A969" s="3" t="s">
        <v>1920</v>
      </c>
      <c r="B969" s="3" t="s">
        <v>1921</v>
      </c>
      <c r="C969" s="6" t="s">
        <v>520</v>
      </c>
      <c r="D969" s="6" t="s">
        <v>175</v>
      </c>
      <c r="E969" s="6" t="s">
        <v>1922</v>
      </c>
      <c r="F969" s="6">
        <v>3087.99</v>
      </c>
      <c r="G969" s="2">
        <v>0.72</v>
      </c>
      <c r="H969" s="2">
        <v>0.42</v>
      </c>
      <c r="I969" s="2">
        <v>0.84</v>
      </c>
      <c r="J969" s="47">
        <f t="shared" si="75"/>
        <v>-0.41666666666666669</v>
      </c>
      <c r="K969" s="47">
        <f t="shared" si="76"/>
        <v>1</v>
      </c>
      <c r="M969" s="8">
        <v>43.86</v>
      </c>
      <c r="N969" s="8">
        <v>21.93</v>
      </c>
      <c r="O969" s="17">
        <f t="shared" si="77"/>
        <v>-1.0526399999999998</v>
      </c>
      <c r="P969" s="17">
        <f t="shared" si="78"/>
        <v>0.21929999999999999</v>
      </c>
      <c r="T969" s="9">
        <v>9364.0097600000008</v>
      </c>
      <c r="U969" s="9">
        <v>7475.86</v>
      </c>
      <c r="V969" s="45">
        <f t="shared" si="79"/>
        <v>0.25256622783198202</v>
      </c>
      <c r="X969" s="12">
        <v>0</v>
      </c>
    </row>
    <row r="970" spans="1:25" x14ac:dyDescent="0.45">
      <c r="A970" s="3" t="s">
        <v>4169</v>
      </c>
      <c r="B970" s="3" t="s">
        <v>4170</v>
      </c>
      <c r="C970" s="6" t="s">
        <v>518</v>
      </c>
      <c r="D970" s="6" t="s">
        <v>189</v>
      </c>
      <c r="E970" s="6" t="s">
        <v>908</v>
      </c>
      <c r="F970" s="6">
        <v>5569.54</v>
      </c>
      <c r="H970" s="2">
        <v>1.81</v>
      </c>
      <c r="I970" s="2">
        <v>1.1000000000000001</v>
      </c>
      <c r="J970" s="47" t="e">
        <f t="shared" si="75"/>
        <v>#DIV/0!</v>
      </c>
      <c r="K970" s="47">
        <f t="shared" si="76"/>
        <v>-0.39226519337016569</v>
      </c>
      <c r="M970" s="8">
        <v>13.31</v>
      </c>
      <c r="N970" s="8">
        <v>21.91</v>
      </c>
      <c r="O970" s="17" t="e">
        <f t="shared" si="77"/>
        <v>#DIV/0!</v>
      </c>
      <c r="P970" s="17">
        <f t="shared" si="78"/>
        <v>-0.55855070422535225</v>
      </c>
      <c r="T970" s="9">
        <v>1197.6999499999999</v>
      </c>
      <c r="U970" s="9">
        <v>875.4</v>
      </c>
      <c r="V970" s="45">
        <f t="shared" si="79"/>
        <v>0.36817449166095495</v>
      </c>
      <c r="W970" s="12">
        <v>-323.52999999999997</v>
      </c>
      <c r="X970" s="12">
        <v>0</v>
      </c>
      <c r="Y970" s="12">
        <v>20210817</v>
      </c>
    </row>
    <row r="971" spans="1:25" x14ac:dyDescent="0.45">
      <c r="A971" s="3" t="s">
        <v>1923</v>
      </c>
      <c r="B971" s="3" t="s">
        <v>1924</v>
      </c>
      <c r="C971" s="6" t="s">
        <v>519</v>
      </c>
      <c r="D971" s="6" t="s">
        <v>234</v>
      </c>
      <c r="E971" s="6" t="s">
        <v>168</v>
      </c>
      <c r="F971" s="6">
        <v>15260.61</v>
      </c>
      <c r="G971" s="2">
        <v>0.72</v>
      </c>
      <c r="H971" s="2">
        <v>1.48</v>
      </c>
      <c r="I971" s="2">
        <v>1.39</v>
      </c>
      <c r="J971" s="47">
        <f t="shared" si="75"/>
        <v>1.0555555555555556</v>
      </c>
      <c r="K971" s="47">
        <f t="shared" si="76"/>
        <v>-6.0810810810810863E-2</v>
      </c>
      <c r="L971" s="8">
        <v>13.03</v>
      </c>
      <c r="M971" s="8">
        <v>10.14</v>
      </c>
      <c r="N971" s="8">
        <v>10.75</v>
      </c>
      <c r="O971" s="17">
        <f t="shared" si="77"/>
        <v>9.606315789473685E-2</v>
      </c>
      <c r="P971" s="17">
        <f t="shared" si="78"/>
        <v>-1.7677777777777763</v>
      </c>
      <c r="R971" s="9">
        <v>12.08</v>
      </c>
      <c r="S971" s="9">
        <v>9.86</v>
      </c>
      <c r="T971" s="9">
        <v>6051.5981400000001</v>
      </c>
      <c r="U971" s="9">
        <v>5238</v>
      </c>
      <c r="V971" s="45">
        <f t="shared" si="79"/>
        <v>0.15532610538373426</v>
      </c>
      <c r="W971" s="12">
        <v>45.45</v>
      </c>
      <c r="X971" s="12">
        <v>4</v>
      </c>
      <c r="Y971" s="12">
        <v>20210722</v>
      </c>
    </row>
    <row r="972" spans="1:25" x14ac:dyDescent="0.45">
      <c r="A972" s="3" t="s">
        <v>1925</v>
      </c>
      <c r="B972" s="3" t="s">
        <v>1926</v>
      </c>
      <c r="C972" s="6" t="s">
        <v>518</v>
      </c>
      <c r="D972" s="6" t="s">
        <v>216</v>
      </c>
      <c r="E972" s="6" t="s">
        <v>1256</v>
      </c>
      <c r="F972" s="6">
        <v>6737.93</v>
      </c>
      <c r="G972" s="2">
        <v>1.35</v>
      </c>
      <c r="H972" s="2">
        <v>1.6</v>
      </c>
      <c r="I972" s="2">
        <v>1.73</v>
      </c>
      <c r="J972" s="47">
        <f t="shared" si="75"/>
        <v>0.18518518518518517</v>
      </c>
      <c r="K972" s="47">
        <f t="shared" si="76"/>
        <v>8.1249999999999933E-2</v>
      </c>
      <c r="L972" s="8">
        <v>10.78</v>
      </c>
      <c r="M972" s="8">
        <v>12.1</v>
      </c>
      <c r="N972" s="8">
        <v>11.19</v>
      </c>
      <c r="O972" s="17">
        <f t="shared" si="77"/>
        <v>0.65339999999999998</v>
      </c>
      <c r="P972" s="17">
        <f t="shared" si="78"/>
        <v>1.3772307692307704</v>
      </c>
      <c r="Q972" s="5">
        <v>1.43</v>
      </c>
      <c r="R972" s="9">
        <v>71.510000000000005</v>
      </c>
      <c r="S972" s="9">
        <v>3.17</v>
      </c>
      <c r="T972" s="9">
        <v>6293.58007</v>
      </c>
      <c r="U972" s="9">
        <v>6664.35</v>
      </c>
      <c r="V972" s="45">
        <f t="shared" si="79"/>
        <v>-5.5634822600853853E-2</v>
      </c>
      <c r="W972" s="12">
        <v>50</v>
      </c>
      <c r="X972" s="12">
        <v>3.11</v>
      </c>
      <c r="Y972" s="12">
        <v>20210729</v>
      </c>
    </row>
    <row r="973" spans="1:25" x14ac:dyDescent="0.45">
      <c r="A973" s="3" t="s">
        <v>4171</v>
      </c>
      <c r="B973" s="3" t="s">
        <v>4172</v>
      </c>
      <c r="C973" s="6" t="s">
        <v>520</v>
      </c>
      <c r="D973" s="6" t="s">
        <v>289</v>
      </c>
      <c r="E973" s="6" t="s">
        <v>4173</v>
      </c>
      <c r="F973" s="6">
        <v>5830.85</v>
      </c>
      <c r="G973" s="2">
        <v>-0.62</v>
      </c>
      <c r="H973" s="2">
        <v>0.04</v>
      </c>
      <c r="I973" s="2">
        <v>0.03</v>
      </c>
      <c r="J973" s="47">
        <f t="shared" si="75"/>
        <v>1.0645161290322582</v>
      </c>
      <c r="K973" s="47">
        <f t="shared" si="76"/>
        <v>-0.25000000000000006</v>
      </c>
      <c r="M973" s="8">
        <v>7.88</v>
      </c>
      <c r="N973" s="8">
        <v>10.5</v>
      </c>
      <c r="O973" s="17">
        <f t="shared" si="77"/>
        <v>7.4024242424242409E-2</v>
      </c>
      <c r="P973" s="17">
        <f t="shared" si="78"/>
        <v>-0.41999999999999987</v>
      </c>
      <c r="T973" s="9">
        <v>995</v>
      </c>
      <c r="U973" s="9">
        <v>1584.7</v>
      </c>
      <c r="V973" s="45">
        <f t="shared" si="79"/>
        <v>-0.37212090616520477</v>
      </c>
      <c r="X973" s="12">
        <v>0</v>
      </c>
    </row>
    <row r="974" spans="1:25" x14ac:dyDescent="0.45">
      <c r="A974" s="3" t="s">
        <v>1927</v>
      </c>
      <c r="B974" s="3" t="s">
        <v>1928</v>
      </c>
      <c r="C974" s="6" t="s">
        <v>518</v>
      </c>
      <c r="D974" s="6" t="s">
        <v>279</v>
      </c>
      <c r="E974" s="6" t="s">
        <v>261</v>
      </c>
      <c r="F974" s="6">
        <v>68878.84</v>
      </c>
      <c r="G974" s="2">
        <v>10.77</v>
      </c>
      <c r="H974" s="2">
        <v>14.15</v>
      </c>
      <c r="I974" s="2">
        <v>15.18</v>
      </c>
      <c r="J974" s="47">
        <f t="shared" si="75"/>
        <v>0.31383472609099361</v>
      </c>
      <c r="K974" s="47">
        <f t="shared" si="76"/>
        <v>7.2791519434628929E-2</v>
      </c>
      <c r="L974" s="8">
        <v>17.82</v>
      </c>
      <c r="M974" s="8">
        <v>14.72</v>
      </c>
      <c r="N974" s="8">
        <v>13.73</v>
      </c>
      <c r="O974" s="17">
        <f t="shared" si="77"/>
        <v>0.46903668639053242</v>
      </c>
      <c r="P974" s="17">
        <f t="shared" si="78"/>
        <v>1.8862087378640788</v>
      </c>
      <c r="Q974" s="5">
        <v>1.19</v>
      </c>
      <c r="R974" s="9">
        <v>222.01</v>
      </c>
      <c r="S974" s="9">
        <v>5.44</v>
      </c>
      <c r="T974" s="9">
        <v>55297.160150000003</v>
      </c>
      <c r="U974" s="9">
        <v>51533</v>
      </c>
      <c r="V974" s="45">
        <f t="shared" si="79"/>
        <v>7.3043683659014674E-2</v>
      </c>
      <c r="W974" s="12">
        <v>23.58</v>
      </c>
      <c r="X974" s="12">
        <v>0.92</v>
      </c>
      <c r="Y974" s="12">
        <v>20210728</v>
      </c>
    </row>
    <row r="975" spans="1:25" x14ac:dyDescent="0.45">
      <c r="A975" s="3" t="s">
        <v>4174</v>
      </c>
      <c r="B975" s="3" t="s">
        <v>4175</v>
      </c>
      <c r="C975" s="6" t="s">
        <v>519</v>
      </c>
      <c r="D975" s="6" t="s">
        <v>279</v>
      </c>
      <c r="E975" s="6" t="s">
        <v>264</v>
      </c>
      <c r="F975" s="6">
        <v>4547.5</v>
      </c>
      <c r="G975" s="2">
        <v>-0.95</v>
      </c>
      <c r="H975" s="2">
        <v>-1.74</v>
      </c>
      <c r="I975" s="2">
        <v>-1.51</v>
      </c>
      <c r="J975" s="47">
        <f t="shared" si="75"/>
        <v>-0.83157894736842108</v>
      </c>
      <c r="K975" s="47">
        <f t="shared" si="76"/>
        <v>0.13218390804597699</v>
      </c>
      <c r="O975" s="17">
        <f t="shared" si="77"/>
        <v>0</v>
      </c>
      <c r="P975" s="17">
        <f t="shared" si="78"/>
        <v>0</v>
      </c>
      <c r="T975" s="9">
        <v>335.54</v>
      </c>
      <c r="U975" s="9">
        <v>227.98</v>
      </c>
      <c r="V975" s="45">
        <f t="shared" si="79"/>
        <v>0.47179577155890884</v>
      </c>
      <c r="X975" s="12">
        <v>0</v>
      </c>
    </row>
    <row r="976" spans="1:25" x14ac:dyDescent="0.45">
      <c r="A976" s="3" t="s">
        <v>1929</v>
      </c>
      <c r="B976" s="3" t="s">
        <v>1930</v>
      </c>
      <c r="C976" s="6" t="s">
        <v>520</v>
      </c>
      <c r="D976" s="6" t="s">
        <v>210</v>
      </c>
      <c r="E976" s="6" t="s">
        <v>188</v>
      </c>
      <c r="F976" s="6">
        <v>37879.64</v>
      </c>
      <c r="G976" s="2">
        <v>0.61</v>
      </c>
      <c r="H976" s="2">
        <v>0.76</v>
      </c>
      <c r="I976" s="2">
        <v>0.94</v>
      </c>
      <c r="J976" s="47">
        <f t="shared" si="75"/>
        <v>0.24590163934426235</v>
      </c>
      <c r="K976" s="47">
        <f t="shared" si="76"/>
        <v>0.2368421052631578</v>
      </c>
      <c r="M976" s="8">
        <v>16.18</v>
      </c>
      <c r="N976" s="8">
        <v>13.09</v>
      </c>
      <c r="O976" s="17">
        <f t="shared" si="77"/>
        <v>0.6579866666666665</v>
      </c>
      <c r="P976" s="17">
        <f t="shared" si="78"/>
        <v>0.55268888888888912</v>
      </c>
      <c r="T976" s="9">
        <v>28120.91015</v>
      </c>
      <c r="U976" s="9">
        <v>24680.06</v>
      </c>
      <c r="V976" s="45">
        <f t="shared" si="79"/>
        <v>0.13941822467206313</v>
      </c>
      <c r="X976" s="12">
        <v>0</v>
      </c>
    </row>
    <row r="977" spans="1:25" x14ac:dyDescent="0.45">
      <c r="A977" s="3" t="s">
        <v>1931</v>
      </c>
      <c r="B977" s="3" t="s">
        <v>1932</v>
      </c>
      <c r="C977" s="6" t="s">
        <v>518</v>
      </c>
      <c r="D977" s="6" t="s">
        <v>303</v>
      </c>
      <c r="E977" s="6" t="s">
        <v>928</v>
      </c>
      <c r="F977" s="6">
        <v>326781.84000000003</v>
      </c>
      <c r="G977" s="2">
        <v>11.89</v>
      </c>
      <c r="H977" s="2">
        <v>13.9</v>
      </c>
      <c r="I977" s="2">
        <v>14.71</v>
      </c>
      <c r="J977" s="47">
        <f t="shared" si="75"/>
        <v>0.16904962153069805</v>
      </c>
      <c r="K977" s="47">
        <f t="shared" si="76"/>
        <v>5.8273381294964066E-2</v>
      </c>
      <c r="L977" s="8">
        <v>22.27</v>
      </c>
      <c r="M977" s="8">
        <v>22.11</v>
      </c>
      <c r="N977" s="8">
        <v>20.89</v>
      </c>
      <c r="O977" s="17">
        <f t="shared" si="77"/>
        <v>1.3078999999999998</v>
      </c>
      <c r="P977" s="17">
        <f t="shared" si="78"/>
        <v>3.5848271604938251</v>
      </c>
      <c r="Q977" s="5">
        <v>1.93</v>
      </c>
      <c r="R977" s="9">
        <v>963.88</v>
      </c>
      <c r="S977" s="9">
        <v>7.77</v>
      </c>
      <c r="T977" s="9">
        <v>143147.59375</v>
      </c>
      <c r="U977" s="9">
        <v>132110</v>
      </c>
      <c r="V977" s="45">
        <f t="shared" si="79"/>
        <v>8.3548510710771323E-2</v>
      </c>
      <c r="W977" s="12">
        <v>26.97</v>
      </c>
      <c r="X977" s="12">
        <v>2.15</v>
      </c>
      <c r="Y977" s="12">
        <v>20210817</v>
      </c>
    </row>
    <row r="978" spans="1:25" x14ac:dyDescent="0.45">
      <c r="A978" s="3" t="s">
        <v>1933</v>
      </c>
      <c r="B978" s="3" t="s">
        <v>1934</v>
      </c>
      <c r="C978" s="6" t="s">
        <v>518</v>
      </c>
      <c r="D978" s="6" t="s">
        <v>234</v>
      </c>
      <c r="E978" s="6" t="s">
        <v>105</v>
      </c>
      <c r="F978" s="6">
        <v>141194.63</v>
      </c>
      <c r="G978" s="2">
        <v>2.36</v>
      </c>
      <c r="H978" s="2">
        <v>2.8</v>
      </c>
      <c r="I978" s="2">
        <v>3.36</v>
      </c>
      <c r="J978" s="47">
        <f t="shared" si="75"/>
        <v>0.18644067796610167</v>
      </c>
      <c r="K978" s="47">
        <f t="shared" si="76"/>
        <v>0.20000000000000004</v>
      </c>
      <c r="L978" s="8">
        <v>33.590000000000003</v>
      </c>
      <c r="M978" s="8">
        <v>27.59</v>
      </c>
      <c r="N978" s="8">
        <v>22.99</v>
      </c>
      <c r="O978" s="17">
        <f t="shared" si="77"/>
        <v>1.479827272727273</v>
      </c>
      <c r="P978" s="17">
        <f t="shared" si="78"/>
        <v>1.1494999999999997</v>
      </c>
      <c r="Q978" s="5">
        <v>1.27</v>
      </c>
      <c r="R978" s="9">
        <v>15.73</v>
      </c>
      <c r="S978" s="9">
        <v>14.85</v>
      </c>
      <c r="T978" s="9">
        <v>14107.603510000001</v>
      </c>
      <c r="U978" s="9">
        <v>21000.44</v>
      </c>
      <c r="V978" s="45">
        <f t="shared" si="79"/>
        <v>-0.32822343198523452</v>
      </c>
      <c r="W978" s="12">
        <v>3.28</v>
      </c>
      <c r="X978" s="12">
        <v>0</v>
      </c>
      <c r="Y978" s="12">
        <v>20210716</v>
      </c>
    </row>
    <row r="979" spans="1:25" x14ac:dyDescent="0.45">
      <c r="A979" s="3" t="s">
        <v>1935</v>
      </c>
      <c r="B979" s="3" t="s">
        <v>1936</v>
      </c>
      <c r="C979" s="6" t="s">
        <v>520</v>
      </c>
      <c r="D979" s="6" t="s">
        <v>210</v>
      </c>
      <c r="E979" s="6" t="s">
        <v>188</v>
      </c>
      <c r="F979" s="6">
        <v>17797.95</v>
      </c>
      <c r="G979" s="2">
        <v>-2.59</v>
      </c>
      <c r="H979" s="2">
        <v>1.88</v>
      </c>
      <c r="I979" s="2">
        <v>2.0099999999999998</v>
      </c>
      <c r="J979" s="47">
        <f t="shared" si="75"/>
        <v>1.725868725868726</v>
      </c>
      <c r="K979" s="47">
        <f t="shared" si="76"/>
        <v>6.9148936170212713E-2</v>
      </c>
      <c r="M979" s="8">
        <v>9.5399999999999991</v>
      </c>
      <c r="N979" s="8">
        <v>8.93</v>
      </c>
      <c r="O979" s="17">
        <f t="shared" si="77"/>
        <v>5.5276510067114086E-2</v>
      </c>
      <c r="P979" s="17">
        <f t="shared" si="78"/>
        <v>1.2914153846153855</v>
      </c>
      <c r="T979" s="9">
        <v>22130.03515</v>
      </c>
      <c r="U979" s="9">
        <v>20109.509999999998</v>
      </c>
      <c r="V979" s="45">
        <f t="shared" si="79"/>
        <v>0.10047610061110397</v>
      </c>
      <c r="X979" s="12">
        <v>1.93</v>
      </c>
    </row>
    <row r="980" spans="1:25" x14ac:dyDescent="0.45">
      <c r="A980" s="3" t="s">
        <v>1937</v>
      </c>
      <c r="B980" s="3" t="s">
        <v>1938</v>
      </c>
      <c r="C980" s="6" t="s">
        <v>518</v>
      </c>
      <c r="D980" s="6" t="s">
        <v>327</v>
      </c>
      <c r="E980" s="6" t="s">
        <v>321</v>
      </c>
      <c r="F980" s="6">
        <v>4842.2</v>
      </c>
      <c r="G980" s="2">
        <v>1.75</v>
      </c>
      <c r="H980" s="2">
        <v>1.97</v>
      </c>
      <c r="I980" s="2">
        <v>2.09</v>
      </c>
      <c r="J980" s="47">
        <f t="shared" si="75"/>
        <v>0.1257142857142857</v>
      </c>
      <c r="K980" s="47">
        <f t="shared" si="76"/>
        <v>6.0913705583756285E-2</v>
      </c>
      <c r="L980" s="8">
        <v>21.95</v>
      </c>
      <c r="M980" s="8">
        <v>22.51</v>
      </c>
      <c r="N980" s="8">
        <v>21.22</v>
      </c>
      <c r="O980" s="17">
        <f t="shared" si="77"/>
        <v>1.7905681818181822</v>
      </c>
      <c r="P980" s="17">
        <f t="shared" si="78"/>
        <v>3.4836166666666699</v>
      </c>
      <c r="Q980" s="5">
        <v>3.17</v>
      </c>
      <c r="R980" s="9">
        <v>9.6300000000000008</v>
      </c>
      <c r="S980" s="9">
        <v>3.05</v>
      </c>
      <c r="U980" s="9">
        <v>2579.77</v>
      </c>
      <c r="V980" s="45">
        <f t="shared" si="79"/>
        <v>-1</v>
      </c>
      <c r="X980" s="12">
        <v>3.07</v>
      </c>
      <c r="Y980" s="12">
        <v>20210805</v>
      </c>
    </row>
    <row r="981" spans="1:25" x14ac:dyDescent="0.45">
      <c r="A981" s="3" t="s">
        <v>4176</v>
      </c>
      <c r="B981" s="3" t="s">
        <v>4177</v>
      </c>
      <c r="C981" s="6" t="s">
        <v>520</v>
      </c>
      <c r="D981" s="6" t="s">
        <v>216</v>
      </c>
      <c r="E981" s="6" t="s">
        <v>946</v>
      </c>
      <c r="F981" s="6">
        <v>8096.75</v>
      </c>
      <c r="H981" s="2">
        <v>3.06</v>
      </c>
      <c r="I981" s="2">
        <v>3.15</v>
      </c>
      <c r="J981" s="47" t="e">
        <f t="shared" si="75"/>
        <v>#DIV/0!</v>
      </c>
      <c r="K981" s="47">
        <f t="shared" si="76"/>
        <v>2.9411764705882307E-2</v>
      </c>
      <c r="M981" s="8">
        <v>11.25</v>
      </c>
      <c r="N981" s="8">
        <v>10.9</v>
      </c>
      <c r="O981" s="17" t="e">
        <f t="shared" si="77"/>
        <v>#DIV/0!</v>
      </c>
      <c r="P981" s="17">
        <f t="shared" si="78"/>
        <v>3.7060000000000062</v>
      </c>
      <c r="T981" s="9">
        <v>3658.9499500000002</v>
      </c>
      <c r="U981" s="9">
        <v>3254.72</v>
      </c>
      <c r="V981" s="45">
        <f t="shared" si="79"/>
        <v>0.12419807233801998</v>
      </c>
      <c r="X981" s="12">
        <v>5.54</v>
      </c>
    </row>
    <row r="982" spans="1:25" x14ac:dyDescent="0.45">
      <c r="A982" s="3" t="s">
        <v>1939</v>
      </c>
      <c r="B982" s="3" t="s">
        <v>1940</v>
      </c>
      <c r="C982" s="6" t="s">
        <v>518</v>
      </c>
      <c r="D982" s="6" t="s">
        <v>10</v>
      </c>
      <c r="E982" s="6" t="s">
        <v>29</v>
      </c>
      <c r="F982" s="6">
        <v>19657.73</v>
      </c>
      <c r="G982" s="2">
        <v>2.2599999999999998</v>
      </c>
      <c r="H982" s="2">
        <v>2.2000000000000002</v>
      </c>
      <c r="I982" s="2">
        <v>2.68</v>
      </c>
      <c r="J982" s="47">
        <f t="shared" si="75"/>
        <v>-2.6548672566371511E-2</v>
      </c>
      <c r="K982" s="47">
        <f t="shared" si="76"/>
        <v>0.21818181818181814</v>
      </c>
      <c r="L982" s="8">
        <v>77.66</v>
      </c>
      <c r="M982" s="8">
        <v>65.95</v>
      </c>
      <c r="N982" s="8">
        <v>54.11</v>
      </c>
      <c r="O982" s="17">
        <f t="shared" si="77"/>
        <v>-24.84116666666683</v>
      </c>
      <c r="P982" s="17">
        <f t="shared" si="78"/>
        <v>2.4800416666666671</v>
      </c>
      <c r="Q982" s="5">
        <v>5.87</v>
      </c>
      <c r="R982" s="9">
        <v>12.58</v>
      </c>
      <c r="S982" s="9">
        <v>7.78</v>
      </c>
      <c r="T982" s="9">
        <v>1882.5870299999999</v>
      </c>
      <c r="U982" s="9">
        <v>1787.01</v>
      </c>
      <c r="V982" s="45">
        <f t="shared" si="79"/>
        <v>5.3484328571188705E-2</v>
      </c>
      <c r="W982" s="12">
        <v>4.08</v>
      </c>
      <c r="X982" s="12">
        <v>0.11</v>
      </c>
      <c r="Y982" s="12">
        <v>20210824</v>
      </c>
    </row>
    <row r="983" spans="1:25" x14ac:dyDescent="0.45">
      <c r="A983" s="3" t="s">
        <v>1939</v>
      </c>
      <c r="B983" s="3" t="s">
        <v>4679</v>
      </c>
      <c r="C983" s="6" t="s">
        <v>518</v>
      </c>
      <c r="D983" s="6" t="s">
        <v>10</v>
      </c>
      <c r="E983" s="6" t="s">
        <v>29</v>
      </c>
      <c r="F983" s="6">
        <v>18156.63</v>
      </c>
      <c r="J983" s="47" t="e">
        <f t="shared" si="75"/>
        <v>#DIV/0!</v>
      </c>
      <c r="K983" s="47" t="e">
        <f t="shared" si="76"/>
        <v>#DIV/0!</v>
      </c>
      <c r="L983" s="8">
        <v>71.73</v>
      </c>
      <c r="O983" s="17" t="e">
        <f t="shared" si="77"/>
        <v>#DIV/0!</v>
      </c>
      <c r="P983" s="17" t="e">
        <f t="shared" si="78"/>
        <v>#DIV/0!</v>
      </c>
      <c r="R983" s="9">
        <v>12.58</v>
      </c>
      <c r="S983" s="9">
        <v>7.78</v>
      </c>
      <c r="U983" s="9">
        <v>1787.01</v>
      </c>
      <c r="V983" s="45">
        <f t="shared" si="79"/>
        <v>-1</v>
      </c>
      <c r="X983" s="12">
        <v>0.12</v>
      </c>
      <c r="Y983" s="12">
        <v>20210824</v>
      </c>
    </row>
    <row r="984" spans="1:25" x14ac:dyDescent="0.45">
      <c r="A984" s="3" t="s">
        <v>4178</v>
      </c>
      <c r="B984" s="3" t="s">
        <v>4179</v>
      </c>
      <c r="C984" s="6" t="s">
        <v>520</v>
      </c>
      <c r="D984" s="6" t="s">
        <v>225</v>
      </c>
      <c r="E984" s="6" t="s">
        <v>186</v>
      </c>
      <c r="F984" s="6">
        <v>69270.080000000002</v>
      </c>
      <c r="G984" s="2">
        <v>1.27</v>
      </c>
      <c r="H984" s="2">
        <v>1.9</v>
      </c>
      <c r="I984" s="2">
        <v>2.4</v>
      </c>
      <c r="J984" s="47">
        <f t="shared" si="75"/>
        <v>0.49606299212598415</v>
      </c>
      <c r="K984" s="47">
        <f t="shared" si="76"/>
        <v>0.26315789473684209</v>
      </c>
      <c r="M984" s="8">
        <v>31.59</v>
      </c>
      <c r="N984" s="8">
        <v>25.05</v>
      </c>
      <c r="O984" s="17">
        <f t="shared" si="77"/>
        <v>0.63681428571428589</v>
      </c>
      <c r="P984" s="17">
        <f t="shared" si="78"/>
        <v>0.95190000000000008</v>
      </c>
      <c r="Q984" s="5">
        <v>9.1300000000000008</v>
      </c>
      <c r="T984" s="9">
        <v>25230.464840000001</v>
      </c>
      <c r="U984" s="9">
        <v>27150.17</v>
      </c>
      <c r="V984" s="45">
        <f t="shared" si="79"/>
        <v>-7.070692964353438E-2</v>
      </c>
      <c r="X984" s="12">
        <v>0.56000000000000005</v>
      </c>
    </row>
    <row r="985" spans="1:25" x14ac:dyDescent="0.45">
      <c r="A985" s="3" t="s">
        <v>1941</v>
      </c>
      <c r="B985" s="3" t="s">
        <v>1942</v>
      </c>
      <c r="C985" s="6" t="s">
        <v>519</v>
      </c>
      <c r="D985" s="6" t="s">
        <v>225</v>
      </c>
      <c r="E985" s="6" t="s">
        <v>1269</v>
      </c>
      <c r="F985" s="6">
        <v>5494.91</v>
      </c>
      <c r="G985" s="2">
        <v>11.64</v>
      </c>
      <c r="H985" s="2">
        <v>11.62</v>
      </c>
      <c r="I985" s="2">
        <v>12.64</v>
      </c>
      <c r="J985" s="47">
        <f t="shared" si="75"/>
        <v>-1.71821305841936E-3</v>
      </c>
      <c r="K985" s="47">
        <f t="shared" si="76"/>
        <v>8.7779690189328866E-2</v>
      </c>
      <c r="L985" s="8">
        <v>19.32</v>
      </c>
      <c r="M985" s="8">
        <v>19.350000000000001</v>
      </c>
      <c r="N985" s="8">
        <v>17.78</v>
      </c>
      <c r="O985" s="17">
        <f t="shared" si="77"/>
        <v>-112.6169999999924</v>
      </c>
      <c r="P985" s="17">
        <f t="shared" si="78"/>
        <v>2.0255254901960758</v>
      </c>
      <c r="Q985" s="5">
        <v>2.42</v>
      </c>
      <c r="R985" s="9">
        <v>23.17</v>
      </c>
      <c r="S985" s="9">
        <v>5.14</v>
      </c>
      <c r="T985" s="9">
        <v>2049.5100000000002</v>
      </c>
      <c r="U985" s="9">
        <v>2098.8000000000002</v>
      </c>
      <c r="V985" s="45">
        <f t="shared" si="79"/>
        <v>-2.3484848484848466E-2</v>
      </c>
      <c r="W985" s="12">
        <v>0.64</v>
      </c>
      <c r="X985" s="12">
        <v>0</v>
      </c>
      <c r="Y985" s="12">
        <v>20210708</v>
      </c>
    </row>
    <row r="986" spans="1:25" x14ac:dyDescent="0.45">
      <c r="A986" s="3" t="s">
        <v>1943</v>
      </c>
      <c r="B986" s="3" t="s">
        <v>1944</v>
      </c>
      <c r="C986" s="6" t="s">
        <v>520</v>
      </c>
      <c r="D986" s="6" t="s">
        <v>225</v>
      </c>
      <c r="E986" s="6" t="s">
        <v>1152</v>
      </c>
      <c r="F986" s="6">
        <v>42788.45</v>
      </c>
      <c r="G986" s="2">
        <v>1.27</v>
      </c>
      <c r="H986" s="2">
        <v>1.48</v>
      </c>
      <c r="I986" s="2">
        <v>1.61</v>
      </c>
      <c r="J986" s="47">
        <f t="shared" si="75"/>
        <v>0.16535433070866137</v>
      </c>
      <c r="K986" s="47">
        <f t="shared" si="76"/>
        <v>8.7837837837837912E-2</v>
      </c>
      <c r="M986" s="8">
        <v>16.5</v>
      </c>
      <c r="N986" s="8">
        <v>15.22</v>
      </c>
      <c r="O986" s="17">
        <f t="shared" si="77"/>
        <v>0.99785714285714311</v>
      </c>
      <c r="P986" s="17">
        <f t="shared" si="78"/>
        <v>1.7327384615384602</v>
      </c>
      <c r="T986" s="9">
        <v>24154.259760000001</v>
      </c>
      <c r="U986" s="9">
        <v>21987.41</v>
      </c>
      <c r="V986" s="45">
        <f t="shared" si="79"/>
        <v>9.8549568139221541E-2</v>
      </c>
      <c r="X986" s="12">
        <v>1.46</v>
      </c>
    </row>
    <row r="987" spans="1:25" x14ac:dyDescent="0.45">
      <c r="A987" s="3" t="s">
        <v>1945</v>
      </c>
      <c r="B987" s="3" t="s">
        <v>1946</v>
      </c>
      <c r="C987" s="6" t="s">
        <v>518</v>
      </c>
      <c r="D987" s="6" t="s">
        <v>289</v>
      </c>
      <c r="E987" s="6" t="s">
        <v>276</v>
      </c>
      <c r="F987" s="6">
        <v>27412.49</v>
      </c>
      <c r="G987" s="2">
        <v>-3.01</v>
      </c>
      <c r="H987" s="2">
        <v>1.52</v>
      </c>
      <c r="I987" s="2">
        <v>3.09</v>
      </c>
      <c r="J987" s="47">
        <f t="shared" si="75"/>
        <v>1.5049833887043189</v>
      </c>
      <c r="K987" s="47">
        <f t="shared" si="76"/>
        <v>1.0328947368421051</v>
      </c>
      <c r="M987" s="8">
        <v>58.28</v>
      </c>
      <c r="N987" s="8">
        <v>28.78</v>
      </c>
      <c r="O987" s="17">
        <f t="shared" si="77"/>
        <v>0.38724679911699778</v>
      </c>
      <c r="P987" s="17">
        <f t="shared" si="78"/>
        <v>0.27863439490445868</v>
      </c>
      <c r="R987" s="9">
        <v>-6.76</v>
      </c>
      <c r="S987" s="9">
        <v>2.36</v>
      </c>
      <c r="T987" s="9">
        <v>6196.8320299999996</v>
      </c>
      <c r="U987" s="9">
        <v>4804</v>
      </c>
      <c r="V987" s="45">
        <f t="shared" si="79"/>
        <v>0.28993172980849286</v>
      </c>
      <c r="W987" s="12">
        <v>86.36</v>
      </c>
      <c r="X987" s="12">
        <v>1.1299999999999999</v>
      </c>
      <c r="Y987" s="12">
        <v>20210804</v>
      </c>
    </row>
    <row r="988" spans="1:25" x14ac:dyDescent="0.45">
      <c r="A988" s="3" t="s">
        <v>3815</v>
      </c>
      <c r="B988" s="3" t="s">
        <v>3816</v>
      </c>
      <c r="C988" s="6" t="s">
        <v>518</v>
      </c>
      <c r="D988" s="6" t="s">
        <v>289</v>
      </c>
      <c r="E988" s="6" t="s">
        <v>278</v>
      </c>
      <c r="F988" s="6">
        <v>5732.61</v>
      </c>
      <c r="G988" s="2">
        <v>-0.86</v>
      </c>
      <c r="H988" s="2">
        <v>0.79</v>
      </c>
      <c r="I988" s="2">
        <v>3.73</v>
      </c>
      <c r="J988" s="47">
        <f t="shared" si="75"/>
        <v>1.9186046511627906</v>
      </c>
      <c r="K988" s="47">
        <f t="shared" si="76"/>
        <v>3.721518987341772</v>
      </c>
      <c r="M988" s="8">
        <v>44.78</v>
      </c>
      <c r="N988" s="8">
        <v>9.4499999999999993</v>
      </c>
      <c r="O988" s="17">
        <f t="shared" si="77"/>
        <v>0.23339878787878793</v>
      </c>
      <c r="P988" s="17">
        <f t="shared" si="78"/>
        <v>2.5392857142857141E-2</v>
      </c>
      <c r="R988" s="9">
        <v>-5.34</v>
      </c>
      <c r="S988" s="9">
        <v>4.6100000000000003</v>
      </c>
      <c r="T988" s="9">
        <v>13106.14453</v>
      </c>
      <c r="U988" s="9">
        <v>11183.64</v>
      </c>
      <c r="V988" s="45">
        <f t="shared" si="79"/>
        <v>0.17190329177262503</v>
      </c>
      <c r="W988" s="12">
        <v>-17.78</v>
      </c>
      <c r="X988" s="12">
        <v>3.97</v>
      </c>
      <c r="Y988" s="12">
        <v>20210805</v>
      </c>
    </row>
    <row r="989" spans="1:25" x14ac:dyDescent="0.45">
      <c r="A989" s="3" t="s">
        <v>4680</v>
      </c>
      <c r="B989" s="3" t="s">
        <v>4681</v>
      </c>
      <c r="C989" s="6" t="s">
        <v>520</v>
      </c>
      <c r="D989" s="6" t="s">
        <v>327</v>
      </c>
      <c r="E989" s="6" t="s">
        <v>321</v>
      </c>
      <c r="F989" s="6">
        <v>13104.36</v>
      </c>
      <c r="J989" s="47" t="e">
        <f t="shared" si="75"/>
        <v>#DIV/0!</v>
      </c>
      <c r="K989" s="47" t="e">
        <f t="shared" si="76"/>
        <v>#DIV/0!</v>
      </c>
      <c r="O989" s="17" t="e">
        <f t="shared" si="77"/>
        <v>#DIV/0!</v>
      </c>
      <c r="P989" s="17" t="e">
        <f t="shared" si="78"/>
        <v>#DIV/0!</v>
      </c>
      <c r="U989" s="9">
        <v>163.74</v>
      </c>
      <c r="V989" s="45">
        <f t="shared" si="79"/>
        <v>-1</v>
      </c>
      <c r="X989" s="12">
        <v>7.91</v>
      </c>
    </row>
    <row r="990" spans="1:25" x14ac:dyDescent="0.45">
      <c r="A990" s="3" t="s">
        <v>3817</v>
      </c>
      <c r="B990" s="3" t="s">
        <v>3818</v>
      </c>
      <c r="C990" s="6" t="s">
        <v>518</v>
      </c>
      <c r="D990" s="6" t="s">
        <v>216</v>
      </c>
      <c r="E990" s="6" t="s">
        <v>231</v>
      </c>
      <c r="F990" s="6">
        <v>3981.13</v>
      </c>
      <c r="G990" s="2">
        <v>-0.64</v>
      </c>
      <c r="H990" s="2">
        <v>1.1599999999999999</v>
      </c>
      <c r="I990" s="2">
        <v>3.06</v>
      </c>
      <c r="J990" s="47">
        <f t="shared" si="75"/>
        <v>2.8124999999999996</v>
      </c>
      <c r="K990" s="47">
        <f t="shared" si="76"/>
        <v>1.6379310344827589</v>
      </c>
      <c r="L990" s="8">
        <v>775.67</v>
      </c>
      <c r="M990" s="8">
        <v>40.119999999999997</v>
      </c>
      <c r="N990" s="8">
        <v>15.21</v>
      </c>
      <c r="O990" s="17">
        <f t="shared" si="77"/>
        <v>0.14264888888888891</v>
      </c>
      <c r="P990" s="17">
        <f t="shared" si="78"/>
        <v>9.2861052631578928E-2</v>
      </c>
      <c r="R990" s="9">
        <v>0.96</v>
      </c>
      <c r="S990" s="9">
        <v>-8.59</v>
      </c>
      <c r="T990" s="9">
        <v>1206.90002</v>
      </c>
      <c r="U990" s="9">
        <v>894</v>
      </c>
      <c r="V990" s="45">
        <f t="shared" si="79"/>
        <v>0.35000002237136468</v>
      </c>
      <c r="W990" s="12">
        <v>-100</v>
      </c>
      <c r="X990" s="12">
        <v>0</v>
      </c>
      <c r="Y990" s="12">
        <v>20210729</v>
      </c>
    </row>
    <row r="991" spans="1:25" x14ac:dyDescent="0.45">
      <c r="A991" s="3" t="s">
        <v>1947</v>
      </c>
      <c r="B991" s="3" t="s">
        <v>1948</v>
      </c>
      <c r="C991" s="6" t="s">
        <v>518</v>
      </c>
      <c r="D991" s="6" t="s">
        <v>234</v>
      </c>
      <c r="E991" s="6" t="s">
        <v>523</v>
      </c>
      <c r="F991" s="6">
        <v>5923.24</v>
      </c>
      <c r="G991" s="2">
        <v>-1.65</v>
      </c>
      <c r="H991" s="2">
        <v>-2.0099999999999998</v>
      </c>
      <c r="I991" s="2">
        <v>3.05</v>
      </c>
      <c r="J991" s="47">
        <f t="shared" si="75"/>
        <v>-0.21818181818181812</v>
      </c>
      <c r="K991" s="47">
        <f t="shared" si="76"/>
        <v>2.5174129353233829</v>
      </c>
      <c r="L991" s="8">
        <v>75.69</v>
      </c>
      <c r="N991" s="8">
        <v>35.24</v>
      </c>
      <c r="O991" s="17">
        <f t="shared" si="77"/>
        <v>0</v>
      </c>
      <c r="P991" s="17">
        <f t="shared" si="78"/>
        <v>0.13998498023715417</v>
      </c>
      <c r="R991" s="9">
        <v>2.12</v>
      </c>
      <c r="S991" s="9">
        <v>-3.09</v>
      </c>
      <c r="T991" s="9">
        <v>877.39000999999996</v>
      </c>
      <c r="U991" s="9">
        <v>699.49</v>
      </c>
      <c r="V991" s="45">
        <f t="shared" si="79"/>
        <v>0.25432816766501298</v>
      </c>
      <c r="W991" s="12">
        <v>3.51</v>
      </c>
      <c r="X991" s="12">
        <v>0</v>
      </c>
      <c r="Y991" s="12">
        <v>20210802</v>
      </c>
    </row>
    <row r="992" spans="1:25" x14ac:dyDescent="0.45">
      <c r="A992" s="3" t="s">
        <v>4180</v>
      </c>
      <c r="B992" s="3" t="s">
        <v>4181</v>
      </c>
      <c r="C992" s="6" t="s">
        <v>518</v>
      </c>
      <c r="D992" s="6" t="s">
        <v>225</v>
      </c>
      <c r="E992" s="6" t="s">
        <v>1949</v>
      </c>
      <c r="F992" s="6">
        <v>3432.83</v>
      </c>
      <c r="G992" s="2">
        <v>2.63</v>
      </c>
      <c r="H992" s="2">
        <v>3.55</v>
      </c>
      <c r="I992" s="2">
        <v>3.55</v>
      </c>
      <c r="J992" s="47">
        <f t="shared" si="75"/>
        <v>0.34980988593155893</v>
      </c>
      <c r="K992" s="47">
        <f t="shared" si="76"/>
        <v>0</v>
      </c>
      <c r="L992" s="8">
        <v>13</v>
      </c>
      <c r="M992" s="8">
        <v>12.85</v>
      </c>
      <c r="N992" s="8">
        <v>12.85</v>
      </c>
      <c r="O992" s="17">
        <f t="shared" si="77"/>
        <v>0.36734239130434782</v>
      </c>
      <c r="P992" s="17" t="e">
        <f t="shared" si="78"/>
        <v>#DIV/0!</v>
      </c>
      <c r="Q992" s="5">
        <v>1.07</v>
      </c>
      <c r="R992" s="9">
        <v>23.11</v>
      </c>
      <c r="S992" s="9">
        <v>12.58</v>
      </c>
      <c r="T992" s="9">
        <v>2779.3998999999999</v>
      </c>
      <c r="U992" s="9">
        <v>2517</v>
      </c>
      <c r="V992" s="45">
        <f t="shared" si="79"/>
        <v>0.10425105284068331</v>
      </c>
      <c r="W992" s="12">
        <v>6.52</v>
      </c>
      <c r="X992" s="12">
        <v>1.89</v>
      </c>
      <c r="Y992" s="12">
        <v>20210804</v>
      </c>
    </row>
    <row r="993" spans="1:25" x14ac:dyDescent="0.45">
      <c r="A993" s="3" t="s">
        <v>1950</v>
      </c>
      <c r="B993" s="3" t="s">
        <v>1951</v>
      </c>
      <c r="C993" s="6" t="s">
        <v>518</v>
      </c>
      <c r="D993" s="6" t="s">
        <v>234</v>
      </c>
      <c r="E993" s="6" t="s">
        <v>243</v>
      </c>
      <c r="F993" s="6">
        <v>23574.61</v>
      </c>
      <c r="G993" s="2">
        <v>5.33</v>
      </c>
      <c r="H993" s="2">
        <v>4.8</v>
      </c>
      <c r="I993" s="2">
        <v>6.69</v>
      </c>
      <c r="J993" s="47">
        <f t="shared" si="75"/>
        <v>-9.9437148217636065E-2</v>
      </c>
      <c r="K993" s="47">
        <f t="shared" si="76"/>
        <v>0.39375000000000016</v>
      </c>
      <c r="L993" s="8">
        <v>13.2</v>
      </c>
      <c r="M993" s="8">
        <v>13.76</v>
      </c>
      <c r="N993" s="8">
        <v>9.8699999999999992</v>
      </c>
      <c r="O993" s="17">
        <f t="shared" si="77"/>
        <v>-1.3837886792452825</v>
      </c>
      <c r="P993" s="17">
        <f t="shared" si="78"/>
        <v>0.25066666666666654</v>
      </c>
      <c r="Q993" s="5">
        <v>1.97</v>
      </c>
      <c r="R993" s="9">
        <v>10.43</v>
      </c>
      <c r="S993" s="9">
        <v>3.28</v>
      </c>
      <c r="T993" s="9">
        <v>13650</v>
      </c>
      <c r="U993" s="9">
        <v>20523</v>
      </c>
      <c r="V993" s="45">
        <f t="shared" si="79"/>
        <v>-0.33489255956731473</v>
      </c>
      <c r="W993" s="12">
        <v>-25.33</v>
      </c>
      <c r="X993" s="12">
        <v>2.12</v>
      </c>
      <c r="Y993" s="12">
        <v>20210729</v>
      </c>
    </row>
    <row r="994" spans="1:25" x14ac:dyDescent="0.45">
      <c r="A994" s="3" t="s">
        <v>1952</v>
      </c>
      <c r="B994" s="3" t="s">
        <v>1953</v>
      </c>
      <c r="C994" s="6" t="s">
        <v>518</v>
      </c>
      <c r="D994" s="6" t="s">
        <v>10</v>
      </c>
      <c r="E994" s="6" t="s">
        <v>17</v>
      </c>
      <c r="F994" s="6">
        <v>8892.5499999999993</v>
      </c>
      <c r="G994" s="2">
        <v>15.47</v>
      </c>
      <c r="H994" s="2">
        <v>12.9</v>
      </c>
      <c r="I994" s="2">
        <v>14.51</v>
      </c>
      <c r="J994" s="47">
        <f t="shared" si="75"/>
        <v>-0.16612798965740144</v>
      </c>
      <c r="K994" s="47">
        <f t="shared" si="76"/>
        <v>0.12480620155038755</v>
      </c>
      <c r="L994" s="8">
        <v>14.95</v>
      </c>
      <c r="M994" s="8">
        <v>17.13</v>
      </c>
      <c r="N994" s="8">
        <v>15.23</v>
      </c>
      <c r="O994" s="17">
        <f t="shared" si="77"/>
        <v>-1.0311326848249025</v>
      </c>
      <c r="P994" s="17">
        <f t="shared" si="78"/>
        <v>1.2202919254658391</v>
      </c>
      <c r="R994" s="9">
        <v>32.21</v>
      </c>
      <c r="S994" s="9">
        <v>7.12</v>
      </c>
      <c r="T994" s="9">
        <v>9324.5595699999994</v>
      </c>
      <c r="U994" s="9">
        <v>9361</v>
      </c>
      <c r="V994" s="45">
        <f t="shared" si="79"/>
        <v>-3.8927924367055402E-3</v>
      </c>
      <c r="W994" s="12">
        <v>46.03</v>
      </c>
      <c r="X994" s="12">
        <v>2.06</v>
      </c>
      <c r="Y994" s="12">
        <v>20210805</v>
      </c>
    </row>
    <row r="995" spans="1:25" x14ac:dyDescent="0.45">
      <c r="A995" s="3" t="s">
        <v>4682</v>
      </c>
      <c r="B995" s="3" t="s">
        <v>4683</v>
      </c>
      <c r="C995" s="6" t="s">
        <v>520</v>
      </c>
      <c r="D995" s="6" t="s">
        <v>46</v>
      </c>
      <c r="E995" s="6" t="s">
        <v>66</v>
      </c>
      <c r="F995" s="6">
        <v>5427.49</v>
      </c>
      <c r="J995" s="47" t="e">
        <f t="shared" si="75"/>
        <v>#DIV/0!</v>
      </c>
      <c r="K995" s="47" t="e">
        <f t="shared" si="76"/>
        <v>#DIV/0!</v>
      </c>
      <c r="L995" s="8">
        <v>76.8</v>
      </c>
      <c r="O995" s="17" t="e">
        <f t="shared" si="77"/>
        <v>#DIV/0!</v>
      </c>
      <c r="P995" s="17" t="e">
        <f t="shared" si="78"/>
        <v>#DIV/0!</v>
      </c>
      <c r="R995" s="9">
        <v>1.27</v>
      </c>
      <c r="S995" s="9">
        <v>-0.01</v>
      </c>
      <c r="U995" s="9">
        <v>14136.3</v>
      </c>
      <c r="V995" s="45">
        <f t="shared" si="79"/>
        <v>-1</v>
      </c>
      <c r="X995" s="12">
        <v>1.04</v>
      </c>
      <c r="Y995" s="12">
        <v>20210804</v>
      </c>
    </row>
    <row r="996" spans="1:25" x14ac:dyDescent="0.45">
      <c r="A996" s="3" t="s">
        <v>1954</v>
      </c>
      <c r="B996" s="3" t="s">
        <v>1955</v>
      </c>
      <c r="C996" s="6" t="s">
        <v>518</v>
      </c>
      <c r="D996" s="6" t="s">
        <v>234</v>
      </c>
      <c r="E996" s="6" t="s">
        <v>286</v>
      </c>
      <c r="F996" s="6">
        <v>5014.45</v>
      </c>
      <c r="G996" s="2">
        <v>3.6</v>
      </c>
      <c r="H996" s="2">
        <v>3.62</v>
      </c>
      <c r="I996" s="2">
        <v>3.81</v>
      </c>
      <c r="J996" s="47">
        <f t="shared" si="75"/>
        <v>5.5555555555555601E-3</v>
      </c>
      <c r="K996" s="47">
        <f t="shared" si="76"/>
        <v>5.2486187845303851E-2</v>
      </c>
      <c r="L996" s="8">
        <v>13.5</v>
      </c>
      <c r="M996" s="8">
        <v>13.3</v>
      </c>
      <c r="N996" s="8">
        <v>12.66</v>
      </c>
      <c r="O996" s="17">
        <f t="shared" si="77"/>
        <v>23.93999999999998</v>
      </c>
      <c r="P996" s="17">
        <f t="shared" si="78"/>
        <v>2.4120631578947376</v>
      </c>
      <c r="Q996" s="5">
        <v>3.92</v>
      </c>
      <c r="R996" s="9">
        <v>9.2799999999999994</v>
      </c>
      <c r="S996" s="9">
        <v>2.79</v>
      </c>
      <c r="T996" s="9">
        <v>749.09996999999998</v>
      </c>
      <c r="U996" s="9">
        <v>736.9</v>
      </c>
      <c r="V996" s="45">
        <f t="shared" si="79"/>
        <v>1.6555801329895519E-2</v>
      </c>
      <c r="W996" s="12">
        <v>4.5999999999999996</v>
      </c>
      <c r="X996" s="12">
        <v>3.98</v>
      </c>
      <c r="Y996" s="12">
        <v>20210727</v>
      </c>
    </row>
    <row r="997" spans="1:25" x14ac:dyDescent="0.45">
      <c r="A997" s="3" t="s">
        <v>1956</v>
      </c>
      <c r="B997" s="3" t="s">
        <v>1957</v>
      </c>
      <c r="C997" s="6" t="s">
        <v>520</v>
      </c>
      <c r="D997" s="6" t="s">
        <v>279</v>
      </c>
      <c r="E997" s="6" t="s">
        <v>258</v>
      </c>
      <c r="F997" s="6">
        <v>8299.4599999999991</v>
      </c>
      <c r="G997" s="2">
        <v>1.66</v>
      </c>
      <c r="H997" s="2">
        <v>1.82</v>
      </c>
      <c r="I997" s="2">
        <v>2.1</v>
      </c>
      <c r="J997" s="47">
        <f t="shared" si="75"/>
        <v>9.6385542168674787E-2</v>
      </c>
      <c r="K997" s="47">
        <f t="shared" si="76"/>
        <v>0.15384615384615385</v>
      </c>
      <c r="M997" s="8">
        <v>18.850000000000001</v>
      </c>
      <c r="N997" s="8">
        <v>16.329999999999998</v>
      </c>
      <c r="O997" s="17">
        <f t="shared" si="77"/>
        <v>1.9556874999999982</v>
      </c>
      <c r="P997" s="17">
        <f t="shared" si="78"/>
        <v>1.0614499999999998</v>
      </c>
      <c r="T997" s="9">
        <v>2499.7871</v>
      </c>
      <c r="U997" s="9">
        <v>2207</v>
      </c>
      <c r="V997" s="45">
        <f t="shared" si="79"/>
        <v>0.13266293611236973</v>
      </c>
      <c r="X997" s="12">
        <v>0</v>
      </c>
    </row>
    <row r="998" spans="1:25" x14ac:dyDescent="0.45">
      <c r="A998" s="3" t="s">
        <v>3819</v>
      </c>
      <c r="B998" s="3" t="s">
        <v>3820</v>
      </c>
      <c r="C998" s="6" t="s">
        <v>518</v>
      </c>
      <c r="D998" s="6" t="s">
        <v>90</v>
      </c>
      <c r="E998" s="6" t="s">
        <v>2824</v>
      </c>
      <c r="F998" s="6">
        <v>4761.05</v>
      </c>
      <c r="G998" s="2">
        <v>0.02</v>
      </c>
      <c r="H998" s="2">
        <v>0.19</v>
      </c>
      <c r="I998" s="2">
        <v>0.3</v>
      </c>
      <c r="J998" s="47">
        <f t="shared" si="75"/>
        <v>8.5</v>
      </c>
      <c r="K998" s="47">
        <f t="shared" si="76"/>
        <v>0.57894736842105254</v>
      </c>
      <c r="L998" s="8">
        <v>63.5</v>
      </c>
      <c r="M998" s="8">
        <v>47.41</v>
      </c>
      <c r="N998" s="8">
        <v>29.97</v>
      </c>
      <c r="O998" s="17">
        <f t="shared" si="77"/>
        <v>5.5776470588235288E-2</v>
      </c>
      <c r="P998" s="17">
        <f t="shared" si="78"/>
        <v>0.51766363636363644</v>
      </c>
      <c r="Q998" s="5">
        <v>47.41</v>
      </c>
      <c r="R998" s="9">
        <v>4.46</v>
      </c>
      <c r="S998" s="9">
        <v>4.32</v>
      </c>
      <c r="T998" s="9">
        <v>877.78997000000004</v>
      </c>
      <c r="U998" s="9">
        <v>691.87</v>
      </c>
      <c r="V998" s="45">
        <f t="shared" si="79"/>
        <v>0.26872095913972283</v>
      </c>
      <c r="W998" s="12">
        <v>20</v>
      </c>
      <c r="X998" s="12">
        <v>0.51</v>
      </c>
      <c r="Y998" s="12">
        <v>20210805</v>
      </c>
    </row>
    <row r="999" spans="1:25" x14ac:dyDescent="0.45">
      <c r="A999" s="3" t="s">
        <v>1958</v>
      </c>
      <c r="B999" s="3" t="s">
        <v>1959</v>
      </c>
      <c r="C999" s="6" t="s">
        <v>520</v>
      </c>
      <c r="D999" s="6" t="s">
        <v>234</v>
      </c>
      <c r="E999" s="6" t="s">
        <v>284</v>
      </c>
      <c r="F999" s="6">
        <v>23931.47</v>
      </c>
      <c r="G999" s="2">
        <v>0.43</v>
      </c>
      <c r="H999" s="2">
        <v>0.38</v>
      </c>
      <c r="I999" s="2">
        <v>0.38</v>
      </c>
      <c r="J999" s="47">
        <f t="shared" si="75"/>
        <v>-0.11627906976744183</v>
      </c>
      <c r="K999" s="47">
        <f t="shared" si="76"/>
        <v>0</v>
      </c>
      <c r="M999" s="8">
        <v>13.01</v>
      </c>
      <c r="N999" s="8">
        <v>13.01</v>
      </c>
      <c r="O999" s="17">
        <f t="shared" si="77"/>
        <v>-1.1188600000000002</v>
      </c>
      <c r="P999" s="17" t="e">
        <f t="shared" si="78"/>
        <v>#DIV/0!</v>
      </c>
      <c r="Q999" s="5">
        <v>4.21</v>
      </c>
      <c r="U999" s="9">
        <v>3225.8</v>
      </c>
      <c r="V999" s="45">
        <f t="shared" si="79"/>
        <v>-1</v>
      </c>
      <c r="X999" s="12">
        <v>5.96</v>
      </c>
    </row>
    <row r="1000" spans="1:25" x14ac:dyDescent="0.45">
      <c r="A1000" s="3" t="s">
        <v>1960</v>
      </c>
      <c r="B1000" s="3" t="s">
        <v>1961</v>
      </c>
      <c r="C1000" s="6" t="s">
        <v>518</v>
      </c>
      <c r="D1000" s="6" t="s">
        <v>303</v>
      </c>
      <c r="E1000" s="6" t="s">
        <v>293</v>
      </c>
      <c r="F1000" s="6">
        <v>6490.63</v>
      </c>
      <c r="G1000" s="2">
        <v>3.75</v>
      </c>
      <c r="H1000" s="2">
        <v>4.96</v>
      </c>
      <c r="I1000" s="2">
        <v>5.15</v>
      </c>
      <c r="J1000" s="47">
        <f t="shared" si="75"/>
        <v>0.32266666666666666</v>
      </c>
      <c r="K1000" s="47">
        <f t="shared" si="76"/>
        <v>3.8306451612903303E-2</v>
      </c>
      <c r="L1000" s="8">
        <v>13</v>
      </c>
      <c r="M1000" s="8">
        <v>11.09</v>
      </c>
      <c r="N1000" s="8">
        <v>10.68</v>
      </c>
      <c r="O1000" s="17">
        <f t="shared" si="77"/>
        <v>0.34369834710743802</v>
      </c>
      <c r="P1000" s="17">
        <f t="shared" si="78"/>
        <v>2.7880421052631523</v>
      </c>
      <c r="R1000" s="9">
        <v>-62.6</v>
      </c>
      <c r="S1000" s="9">
        <v>4.8499999999999996</v>
      </c>
      <c r="T1000" s="9">
        <v>6167.7997999999998</v>
      </c>
      <c r="U1000" s="9">
        <v>5541.8</v>
      </c>
      <c r="V1000" s="45">
        <f t="shared" si="79"/>
        <v>0.11295965209859604</v>
      </c>
      <c r="W1000" s="12">
        <v>33.96</v>
      </c>
      <c r="X1000" s="12">
        <v>0</v>
      </c>
      <c r="Y1000" s="12">
        <v>20210805</v>
      </c>
    </row>
    <row r="1001" spans="1:25" x14ac:dyDescent="0.45">
      <c r="A1001" s="3" t="s">
        <v>1962</v>
      </c>
      <c r="B1001" s="3" t="s">
        <v>1963</v>
      </c>
      <c r="C1001" s="6" t="s">
        <v>518</v>
      </c>
      <c r="D1001" s="6" t="s">
        <v>234</v>
      </c>
      <c r="E1001" s="6" t="s">
        <v>221</v>
      </c>
      <c r="F1001" s="6">
        <v>5244.33</v>
      </c>
      <c r="G1001" s="2">
        <v>4.22</v>
      </c>
      <c r="H1001" s="2">
        <v>4.26</v>
      </c>
      <c r="I1001" s="2">
        <v>4.3099999999999996</v>
      </c>
      <c r="J1001" s="47">
        <f t="shared" si="75"/>
        <v>9.4786729857819999E-3</v>
      </c>
      <c r="K1001" s="47">
        <f t="shared" si="76"/>
        <v>1.1737089201877894E-2</v>
      </c>
      <c r="L1001" s="8">
        <v>16.75</v>
      </c>
      <c r="M1001" s="8">
        <v>18.04</v>
      </c>
      <c r="N1001" s="8">
        <v>17.84</v>
      </c>
      <c r="O1001" s="17">
        <f t="shared" si="77"/>
        <v>19.032199999999982</v>
      </c>
      <c r="P1001" s="17">
        <f t="shared" si="78"/>
        <v>15.199680000000054</v>
      </c>
      <c r="R1001" s="9">
        <v>24.41</v>
      </c>
      <c r="S1001" s="9">
        <v>12.19</v>
      </c>
      <c r="T1001" s="9">
        <v>1486.67004</v>
      </c>
      <c r="U1001" s="9">
        <v>1525.45</v>
      </c>
      <c r="V1001" s="45">
        <f t="shared" si="79"/>
        <v>-2.5421980399226506E-2</v>
      </c>
      <c r="W1001" s="12">
        <v>34.82</v>
      </c>
      <c r="X1001" s="12">
        <v>2.2400000000000002</v>
      </c>
      <c r="Y1001" s="12">
        <v>20210727</v>
      </c>
    </row>
    <row r="1002" spans="1:25" x14ac:dyDescent="0.45">
      <c r="A1002" s="3" t="s">
        <v>1964</v>
      </c>
      <c r="B1002" s="3" t="s">
        <v>1965</v>
      </c>
      <c r="C1002" s="6" t="s">
        <v>520</v>
      </c>
      <c r="D1002" s="6" t="s">
        <v>272</v>
      </c>
      <c r="E1002" s="6" t="s">
        <v>297</v>
      </c>
      <c r="F1002" s="6">
        <v>14361.78</v>
      </c>
      <c r="G1002" s="2">
        <v>0.77</v>
      </c>
      <c r="H1002" s="2">
        <v>0.83</v>
      </c>
      <c r="I1002" s="2">
        <v>0.9</v>
      </c>
      <c r="J1002" s="47">
        <f t="shared" si="75"/>
        <v>7.7922077922077851E-2</v>
      </c>
      <c r="K1002" s="47">
        <f t="shared" si="76"/>
        <v>8.4337349397590439E-2</v>
      </c>
      <c r="M1002" s="8">
        <v>45.4</v>
      </c>
      <c r="N1002" s="8">
        <v>42.03</v>
      </c>
      <c r="O1002" s="17">
        <f t="shared" si="77"/>
        <v>5.8263333333333387</v>
      </c>
      <c r="P1002" s="17">
        <f t="shared" si="78"/>
        <v>4.9835571428571388</v>
      </c>
      <c r="T1002" s="9">
        <v>1895.5369800000001</v>
      </c>
      <c r="U1002" s="9">
        <v>1701.64</v>
      </c>
      <c r="V1002" s="45">
        <f t="shared" si="79"/>
        <v>0.11394712160033849</v>
      </c>
      <c r="X1002" s="12">
        <v>0</v>
      </c>
      <c r="Y1002" s="12">
        <v>20210713</v>
      </c>
    </row>
    <row r="1003" spans="1:25" x14ac:dyDescent="0.45">
      <c r="A1003" s="3" t="s">
        <v>1966</v>
      </c>
      <c r="B1003" s="3" t="s">
        <v>1967</v>
      </c>
      <c r="C1003" s="6" t="s">
        <v>519</v>
      </c>
      <c r="D1003" s="6" t="s">
        <v>234</v>
      </c>
      <c r="E1003" s="6" t="s">
        <v>220</v>
      </c>
      <c r="F1003" s="6">
        <v>4753.6099999999997</v>
      </c>
      <c r="G1003" s="2">
        <v>2.54</v>
      </c>
      <c r="H1003" s="2">
        <v>2.68</v>
      </c>
      <c r="I1003" s="2">
        <v>2.99</v>
      </c>
      <c r="J1003" s="47">
        <f t="shared" si="75"/>
        <v>5.511811023622052E-2</v>
      </c>
      <c r="K1003" s="47">
        <f t="shared" si="76"/>
        <v>0.11567164179104479</v>
      </c>
      <c r="L1003" s="8">
        <v>32.83</v>
      </c>
      <c r="M1003" s="8">
        <v>33.450000000000003</v>
      </c>
      <c r="N1003" s="8">
        <v>29.93</v>
      </c>
      <c r="O1003" s="17">
        <f t="shared" si="77"/>
        <v>6.0687857142857098</v>
      </c>
      <c r="P1003" s="17">
        <f t="shared" si="78"/>
        <v>2.5874967741935482</v>
      </c>
      <c r="R1003" s="9">
        <v>52.77</v>
      </c>
      <c r="S1003" s="9">
        <v>13.79</v>
      </c>
      <c r="T1003" s="9">
        <v>358.19699000000003</v>
      </c>
      <c r="U1003" s="9">
        <v>341.64</v>
      </c>
      <c r="V1003" s="45">
        <f t="shared" si="79"/>
        <v>4.8463265425594315E-2</v>
      </c>
      <c r="W1003" s="12">
        <v>26.67</v>
      </c>
      <c r="X1003" s="12">
        <v>1.39</v>
      </c>
      <c r="Y1003" s="12">
        <v>20210803</v>
      </c>
    </row>
    <row r="1004" spans="1:25" x14ac:dyDescent="0.45">
      <c r="A1004" s="3" t="s">
        <v>4684</v>
      </c>
      <c r="B1004" s="3" t="s">
        <v>4685</v>
      </c>
      <c r="C1004" s="6" t="s">
        <v>520</v>
      </c>
      <c r="D1004" s="6" t="s">
        <v>234</v>
      </c>
      <c r="E1004" s="6" t="s">
        <v>284</v>
      </c>
      <c r="F1004" s="6">
        <v>11445.69</v>
      </c>
      <c r="J1004" s="47" t="e">
        <f t="shared" si="75"/>
        <v>#DIV/0!</v>
      </c>
      <c r="K1004" s="47" t="e">
        <f t="shared" si="76"/>
        <v>#DIV/0!</v>
      </c>
      <c r="O1004" s="17" t="e">
        <f t="shared" si="77"/>
        <v>#DIV/0!</v>
      </c>
      <c r="P1004" s="17" t="e">
        <f t="shared" si="78"/>
        <v>#DIV/0!</v>
      </c>
      <c r="U1004" s="9">
        <v>1156.8800000000001</v>
      </c>
      <c r="V1004" s="45">
        <f t="shared" si="79"/>
        <v>-1</v>
      </c>
      <c r="X1004" s="12">
        <v>5.66</v>
      </c>
    </row>
    <row r="1005" spans="1:25" x14ac:dyDescent="0.45">
      <c r="A1005" s="3" t="s">
        <v>1968</v>
      </c>
      <c r="B1005" s="3" t="s">
        <v>1969</v>
      </c>
      <c r="C1005" s="6" t="s">
        <v>518</v>
      </c>
      <c r="D1005" s="6" t="s">
        <v>216</v>
      </c>
      <c r="E1005" s="6" t="s">
        <v>231</v>
      </c>
      <c r="F1005" s="6">
        <v>35220.589999999997</v>
      </c>
      <c r="G1005" s="2">
        <v>0.24</v>
      </c>
      <c r="H1005" s="2">
        <v>1.59</v>
      </c>
      <c r="I1005" s="2">
        <v>3.83</v>
      </c>
      <c r="J1005" s="47">
        <f t="shared" si="75"/>
        <v>5.6250000000000009</v>
      </c>
      <c r="K1005" s="47">
        <f t="shared" si="76"/>
        <v>1.408805031446541</v>
      </c>
      <c r="M1005" s="8">
        <v>79.400000000000006</v>
      </c>
      <c r="N1005" s="8">
        <v>32.99</v>
      </c>
      <c r="O1005" s="17">
        <f t="shared" si="77"/>
        <v>0.14115555555555553</v>
      </c>
      <c r="P1005" s="17">
        <f t="shared" si="78"/>
        <v>0.23417008928571426</v>
      </c>
      <c r="R1005" s="9">
        <v>-2.2400000000000002</v>
      </c>
      <c r="S1005" s="9">
        <v>-16.079999999999998</v>
      </c>
      <c r="T1005" s="9">
        <v>5508.3481400000001</v>
      </c>
      <c r="U1005" s="9">
        <v>4307</v>
      </c>
      <c r="V1005" s="45">
        <f t="shared" si="79"/>
        <v>0.27892921755282102</v>
      </c>
      <c r="W1005" s="12">
        <v>-60</v>
      </c>
      <c r="X1005" s="12">
        <v>0</v>
      </c>
      <c r="Y1005" s="12">
        <v>20210805</v>
      </c>
    </row>
    <row r="1006" spans="1:25" x14ac:dyDescent="0.45">
      <c r="A1006" s="3" t="s">
        <v>1970</v>
      </c>
      <c r="B1006" s="3" t="s">
        <v>1971</v>
      </c>
      <c r="C1006" s="6" t="s">
        <v>520</v>
      </c>
      <c r="D1006" s="6" t="s">
        <v>279</v>
      </c>
      <c r="E1006" s="6" t="s">
        <v>250</v>
      </c>
      <c r="F1006" s="6">
        <v>6456.38</v>
      </c>
      <c r="G1006" s="2">
        <v>2.87</v>
      </c>
      <c r="H1006" s="2">
        <v>1.85</v>
      </c>
      <c r="I1006" s="2">
        <v>2.2000000000000002</v>
      </c>
      <c r="J1006" s="47">
        <f t="shared" si="75"/>
        <v>-0.35540069686411146</v>
      </c>
      <c r="K1006" s="47">
        <f t="shared" si="76"/>
        <v>0.18918918918918923</v>
      </c>
      <c r="L1006" s="8">
        <v>11.1</v>
      </c>
      <c r="M1006" s="8">
        <v>17.489999999999998</v>
      </c>
      <c r="N1006" s="8">
        <v>14.76</v>
      </c>
      <c r="O1006" s="17">
        <f t="shared" si="77"/>
        <v>-0.49212058823529414</v>
      </c>
      <c r="P1006" s="17">
        <f t="shared" si="78"/>
        <v>0.7801714285714284</v>
      </c>
      <c r="R1006" s="9">
        <v>24.68</v>
      </c>
      <c r="S1006" s="9">
        <v>3.23</v>
      </c>
      <c r="T1006" s="9">
        <v>2634.35302</v>
      </c>
      <c r="U1006" s="9">
        <v>2707.4</v>
      </c>
      <c r="V1006" s="45">
        <f t="shared" si="79"/>
        <v>-2.6980490507497994E-2</v>
      </c>
      <c r="W1006" s="12">
        <v>11.94</v>
      </c>
      <c r="X1006" s="12">
        <v>0.83</v>
      </c>
      <c r="Y1006" s="12">
        <v>20210812</v>
      </c>
    </row>
    <row r="1007" spans="1:25" x14ac:dyDescent="0.45">
      <c r="A1007" s="3" t="s">
        <v>1972</v>
      </c>
      <c r="B1007" s="3" t="s">
        <v>1973</v>
      </c>
      <c r="C1007" s="6" t="s">
        <v>518</v>
      </c>
      <c r="D1007" s="6" t="s">
        <v>46</v>
      </c>
      <c r="E1007" s="6" t="s">
        <v>66</v>
      </c>
      <c r="F1007" s="6">
        <v>56684.61</v>
      </c>
      <c r="G1007" s="2">
        <v>2.88</v>
      </c>
      <c r="H1007" s="2">
        <v>3.5</v>
      </c>
      <c r="I1007" s="2">
        <v>4.32</v>
      </c>
      <c r="J1007" s="47">
        <f t="shared" si="75"/>
        <v>0.21527777777777782</v>
      </c>
      <c r="K1007" s="47">
        <f t="shared" si="76"/>
        <v>0.23428571428571437</v>
      </c>
      <c r="L1007" s="8">
        <v>9.07</v>
      </c>
      <c r="M1007" s="8">
        <v>9.3800000000000008</v>
      </c>
      <c r="N1007" s="8">
        <v>7.61</v>
      </c>
      <c r="O1007" s="17">
        <f t="shared" si="77"/>
        <v>0.43571612903225804</v>
      </c>
      <c r="P1007" s="17">
        <f t="shared" si="78"/>
        <v>0.32481707317073161</v>
      </c>
      <c r="Q1007" s="5">
        <v>0.8</v>
      </c>
      <c r="R1007" s="9">
        <v>7.72</v>
      </c>
      <c r="S1007" s="9">
        <v>-0.31</v>
      </c>
      <c r="T1007" s="9">
        <v>139825.5</v>
      </c>
      <c r="U1007" s="9">
        <v>124249.60000000001</v>
      </c>
      <c r="V1007" s="45">
        <f t="shared" si="79"/>
        <v>0.12535975970948796</v>
      </c>
      <c r="W1007" s="12">
        <v>172.09</v>
      </c>
      <c r="X1007" s="12">
        <v>4.78</v>
      </c>
      <c r="Y1007" s="12">
        <v>20210804</v>
      </c>
    </row>
    <row r="1008" spans="1:25" x14ac:dyDescent="0.45">
      <c r="A1008" s="3" t="s">
        <v>4686</v>
      </c>
      <c r="B1008" s="3" t="s">
        <v>4687</v>
      </c>
      <c r="C1008" s="6" t="s">
        <v>520</v>
      </c>
      <c r="D1008" s="6" t="s">
        <v>234</v>
      </c>
      <c r="E1008" s="6" t="s">
        <v>523</v>
      </c>
      <c r="F1008" s="6">
        <v>11436.25</v>
      </c>
      <c r="J1008" s="47" t="e">
        <f t="shared" si="75"/>
        <v>#DIV/0!</v>
      </c>
      <c r="K1008" s="47" t="e">
        <f t="shared" si="76"/>
        <v>#DIV/0!</v>
      </c>
      <c r="O1008" s="17" t="e">
        <f t="shared" si="77"/>
        <v>#DIV/0!</v>
      </c>
      <c r="P1008" s="17" t="e">
        <f t="shared" si="78"/>
        <v>#DIV/0!</v>
      </c>
      <c r="U1008" s="9">
        <v>2319.6999999999998</v>
      </c>
      <c r="V1008" s="45">
        <f t="shared" si="79"/>
        <v>-1</v>
      </c>
      <c r="X1008" s="12">
        <v>6.12</v>
      </c>
    </row>
    <row r="1009" spans="1:25" x14ac:dyDescent="0.45">
      <c r="A1009" s="3" t="s">
        <v>4688</v>
      </c>
      <c r="B1009" s="3" t="s">
        <v>4689</v>
      </c>
      <c r="C1009" s="6" t="s">
        <v>520</v>
      </c>
      <c r="D1009" s="6" t="s">
        <v>234</v>
      </c>
      <c r="E1009" s="6" t="s">
        <v>284</v>
      </c>
      <c r="F1009" s="6">
        <v>3376.81</v>
      </c>
      <c r="J1009" s="47" t="e">
        <f t="shared" si="75"/>
        <v>#DIV/0!</v>
      </c>
      <c r="K1009" s="47" t="e">
        <f t="shared" si="76"/>
        <v>#DIV/0!</v>
      </c>
      <c r="O1009" s="17" t="e">
        <f t="shared" si="77"/>
        <v>#DIV/0!</v>
      </c>
      <c r="P1009" s="17" t="e">
        <f t="shared" si="78"/>
        <v>#DIV/0!</v>
      </c>
      <c r="U1009" s="9">
        <v>1228.18</v>
      </c>
      <c r="V1009" s="45">
        <f t="shared" si="79"/>
        <v>-1</v>
      </c>
      <c r="X1009" s="12">
        <v>6.22</v>
      </c>
    </row>
    <row r="1010" spans="1:25" x14ac:dyDescent="0.45">
      <c r="A1010" s="3" t="s">
        <v>1974</v>
      </c>
      <c r="B1010" s="3" t="s">
        <v>1975</v>
      </c>
      <c r="C1010" s="6" t="s">
        <v>520</v>
      </c>
      <c r="D1010" s="6" t="s">
        <v>303</v>
      </c>
      <c r="E1010" s="6" t="s">
        <v>290</v>
      </c>
      <c r="F1010" s="6">
        <v>36881.97</v>
      </c>
      <c r="G1010" s="2">
        <v>0.01</v>
      </c>
      <c r="H1010" s="2">
        <v>0.15</v>
      </c>
      <c r="I1010" s="2">
        <v>0.21</v>
      </c>
      <c r="J1010" s="47">
        <f t="shared" si="75"/>
        <v>13.999999999999998</v>
      </c>
      <c r="K1010" s="47">
        <f t="shared" si="76"/>
        <v>0.4</v>
      </c>
      <c r="L1010" s="8">
        <v>505</v>
      </c>
      <c r="M1010" s="8">
        <v>34.43</v>
      </c>
      <c r="N1010" s="8">
        <v>23.67</v>
      </c>
      <c r="O1010" s="17">
        <f t="shared" si="77"/>
        <v>2.4592857142857145E-2</v>
      </c>
      <c r="P1010" s="17">
        <f t="shared" si="78"/>
        <v>0.59175</v>
      </c>
      <c r="R1010" s="9">
        <v>3.19</v>
      </c>
      <c r="T1010" s="9">
        <v>24934.835930000001</v>
      </c>
      <c r="U1010" s="9">
        <v>20387.13</v>
      </c>
      <c r="V1010" s="45">
        <f t="shared" si="79"/>
        <v>0.22306749061785547</v>
      </c>
      <c r="W1010" s="12">
        <v>0</v>
      </c>
      <c r="X1010" s="12">
        <v>1.34</v>
      </c>
      <c r="Y1010" s="12">
        <v>20210624</v>
      </c>
    </row>
    <row r="1011" spans="1:25" x14ac:dyDescent="0.45">
      <c r="A1011" s="3" t="s">
        <v>1976</v>
      </c>
      <c r="B1011" s="3" t="s">
        <v>1977</v>
      </c>
      <c r="C1011" s="6" t="s">
        <v>518</v>
      </c>
      <c r="D1011" s="6" t="s">
        <v>327</v>
      </c>
      <c r="E1011" s="6" t="s">
        <v>321</v>
      </c>
      <c r="F1011" s="6">
        <v>5871.09</v>
      </c>
      <c r="G1011" s="2">
        <v>0.94</v>
      </c>
      <c r="H1011" s="2">
        <v>1.56</v>
      </c>
      <c r="I1011" s="2">
        <v>1.95</v>
      </c>
      <c r="J1011" s="47">
        <f t="shared" si="75"/>
        <v>0.65957446808510656</v>
      </c>
      <c r="K1011" s="47">
        <f t="shared" si="76"/>
        <v>0.24999999999999992</v>
      </c>
      <c r="L1011" s="8">
        <v>11.16</v>
      </c>
      <c r="M1011" s="8">
        <v>9.59</v>
      </c>
      <c r="N1011" s="8">
        <v>7.67</v>
      </c>
      <c r="O1011" s="17">
        <f t="shared" si="77"/>
        <v>0.14539677419354835</v>
      </c>
      <c r="P1011" s="17">
        <f t="shared" si="78"/>
        <v>0.30680000000000007</v>
      </c>
      <c r="Q1011" s="5">
        <v>0.73</v>
      </c>
      <c r="R1011" s="9">
        <v>3.5</v>
      </c>
      <c r="T1011" s="9">
        <v>28655.41992</v>
      </c>
      <c r="U1011" s="9">
        <v>24552.77</v>
      </c>
      <c r="V1011" s="45">
        <f t="shared" si="79"/>
        <v>0.16709519618356705</v>
      </c>
      <c r="X1011" s="12">
        <v>4.53</v>
      </c>
      <c r="Y1011" s="12">
        <v>20210817</v>
      </c>
    </row>
    <row r="1012" spans="1:25" x14ac:dyDescent="0.45">
      <c r="A1012" s="3" t="s">
        <v>1978</v>
      </c>
      <c r="B1012" s="3" t="s">
        <v>1979</v>
      </c>
      <c r="C1012" s="6" t="s">
        <v>520</v>
      </c>
      <c r="D1012" s="6" t="s">
        <v>189</v>
      </c>
      <c r="E1012" s="6" t="s">
        <v>908</v>
      </c>
      <c r="F1012" s="6">
        <v>45746.19</v>
      </c>
      <c r="G1012" s="2">
        <v>3.3</v>
      </c>
      <c r="H1012" s="2">
        <v>3.77</v>
      </c>
      <c r="I1012" s="2">
        <v>4.2699999999999996</v>
      </c>
      <c r="J1012" s="47">
        <f t="shared" si="75"/>
        <v>0.14242424242424248</v>
      </c>
      <c r="K1012" s="47">
        <f t="shared" si="76"/>
        <v>0.13262599469496009</v>
      </c>
      <c r="L1012" s="8">
        <v>43.11</v>
      </c>
      <c r="M1012" s="8">
        <v>32.82</v>
      </c>
      <c r="N1012" s="8">
        <v>28.98</v>
      </c>
      <c r="O1012" s="17">
        <f t="shared" si="77"/>
        <v>2.3043829787234036</v>
      </c>
      <c r="P1012" s="17">
        <f t="shared" si="78"/>
        <v>2.1850920000000023</v>
      </c>
      <c r="R1012" s="9">
        <v>17.760000000000002</v>
      </c>
      <c r="S1012" s="9">
        <v>4.37</v>
      </c>
      <c r="T1012" s="9">
        <v>5754.2900300000001</v>
      </c>
      <c r="U1012" s="9">
        <v>5311.05</v>
      </c>
      <c r="V1012" s="45">
        <f t="shared" si="79"/>
        <v>8.3456196044096723E-2</v>
      </c>
      <c r="W1012" s="12">
        <v>11.9</v>
      </c>
      <c r="X1012" s="12">
        <v>0.52</v>
      </c>
      <c r="Y1012" s="12">
        <v>20210611</v>
      </c>
    </row>
    <row r="1013" spans="1:25" x14ac:dyDescent="0.45">
      <c r="A1013" s="3" t="s">
        <v>1980</v>
      </c>
      <c r="B1013" s="3" t="s">
        <v>1981</v>
      </c>
      <c r="C1013" s="6" t="s">
        <v>518</v>
      </c>
      <c r="D1013" s="6" t="s">
        <v>46</v>
      </c>
      <c r="E1013" s="6" t="s">
        <v>63</v>
      </c>
      <c r="F1013" s="6">
        <v>7317.55</v>
      </c>
      <c r="G1013" s="2">
        <v>0.74</v>
      </c>
      <c r="H1013" s="2">
        <v>3.1</v>
      </c>
      <c r="I1013" s="2">
        <v>3.27</v>
      </c>
      <c r="J1013" s="47">
        <f t="shared" si="75"/>
        <v>3.1891891891891895</v>
      </c>
      <c r="K1013" s="47">
        <f t="shared" si="76"/>
        <v>5.4838709677419328E-2</v>
      </c>
      <c r="L1013" s="8">
        <v>38.72</v>
      </c>
      <c r="M1013" s="8">
        <v>15.36</v>
      </c>
      <c r="N1013" s="8">
        <v>14.56</v>
      </c>
      <c r="O1013" s="17">
        <f t="shared" si="77"/>
        <v>4.8162711864406772E-2</v>
      </c>
      <c r="P1013" s="17">
        <f t="shared" si="78"/>
        <v>2.6550588235294135</v>
      </c>
      <c r="Q1013" s="5">
        <v>0.63</v>
      </c>
      <c r="R1013" s="9">
        <v>16.84</v>
      </c>
      <c r="S1013" s="9">
        <v>-6.8</v>
      </c>
      <c r="T1013" s="9">
        <v>4322.7997999999998</v>
      </c>
      <c r="U1013" s="9">
        <v>4054.38</v>
      </c>
      <c r="V1013" s="45">
        <f t="shared" si="79"/>
        <v>6.6204894459818683E-2</v>
      </c>
      <c r="W1013" s="12">
        <v>112.66</v>
      </c>
      <c r="X1013" s="12">
        <v>1.26</v>
      </c>
      <c r="Y1013" s="12">
        <v>20210727</v>
      </c>
    </row>
    <row r="1014" spans="1:25" x14ac:dyDescent="0.45">
      <c r="A1014" s="3" t="s">
        <v>4690</v>
      </c>
      <c r="B1014" s="3" t="s">
        <v>4691</v>
      </c>
      <c r="C1014" s="6" t="s">
        <v>520</v>
      </c>
      <c r="D1014" s="6" t="s">
        <v>327</v>
      </c>
      <c r="E1014" s="6" t="s">
        <v>354</v>
      </c>
      <c r="F1014" s="6">
        <v>29631.87</v>
      </c>
      <c r="J1014" s="47" t="e">
        <f t="shared" si="75"/>
        <v>#DIV/0!</v>
      </c>
      <c r="K1014" s="47" t="e">
        <f t="shared" si="76"/>
        <v>#DIV/0!</v>
      </c>
      <c r="O1014" s="17" t="e">
        <f t="shared" si="77"/>
        <v>#DIV/0!</v>
      </c>
      <c r="P1014" s="17" t="e">
        <f t="shared" si="78"/>
        <v>#DIV/0!</v>
      </c>
      <c r="U1014" s="9">
        <v>5276.68</v>
      </c>
      <c r="V1014" s="45">
        <f t="shared" si="79"/>
        <v>-1</v>
      </c>
      <c r="X1014" s="12">
        <v>2.98</v>
      </c>
    </row>
    <row r="1015" spans="1:25" x14ac:dyDescent="0.45">
      <c r="A1015" s="3" t="s">
        <v>1982</v>
      </c>
      <c r="B1015" s="3" t="s">
        <v>1983</v>
      </c>
      <c r="C1015" s="6" t="s">
        <v>519</v>
      </c>
      <c r="D1015" s="6" t="s">
        <v>279</v>
      </c>
      <c r="E1015" s="6" t="s">
        <v>262</v>
      </c>
      <c r="F1015" s="6">
        <v>15630.21</v>
      </c>
      <c r="G1015" s="2">
        <v>3.14</v>
      </c>
      <c r="H1015" s="2">
        <v>7.72</v>
      </c>
      <c r="I1015" s="2">
        <v>4.32</v>
      </c>
      <c r="J1015" s="47">
        <f t="shared" si="75"/>
        <v>1.4585987261146496</v>
      </c>
      <c r="K1015" s="47">
        <f t="shared" si="76"/>
        <v>-0.44041450777202068</v>
      </c>
      <c r="L1015" s="8">
        <v>7.38</v>
      </c>
      <c r="M1015" s="8">
        <v>7.9</v>
      </c>
      <c r="N1015" s="8">
        <v>14.11</v>
      </c>
      <c r="O1015" s="17">
        <f t="shared" si="77"/>
        <v>5.4161572052401748E-2</v>
      </c>
      <c r="P1015" s="17">
        <f t="shared" si="78"/>
        <v>-0.32038000000000005</v>
      </c>
      <c r="Q1015" s="5">
        <v>0.83</v>
      </c>
      <c r="R1015" s="9">
        <v>71.87</v>
      </c>
      <c r="S1015" s="9">
        <v>9.07</v>
      </c>
      <c r="T1015" s="9">
        <v>5147.8129799999997</v>
      </c>
      <c r="U1015" s="9">
        <v>3776.4</v>
      </c>
      <c r="V1015" s="45">
        <f t="shared" si="79"/>
        <v>0.363153527168732</v>
      </c>
      <c r="W1015" s="12">
        <v>-1.1499999999999999</v>
      </c>
      <c r="X1015" s="12">
        <v>0</v>
      </c>
      <c r="Y1015" s="12">
        <v>20210804</v>
      </c>
    </row>
    <row r="1016" spans="1:25" x14ac:dyDescent="0.45">
      <c r="A1016" s="3" t="s">
        <v>1984</v>
      </c>
      <c r="B1016" s="3" t="s">
        <v>1985</v>
      </c>
      <c r="C1016" s="6" t="s">
        <v>519</v>
      </c>
      <c r="D1016" s="6" t="s">
        <v>234</v>
      </c>
      <c r="E1016" s="6" t="s">
        <v>172</v>
      </c>
      <c r="F1016" s="6">
        <v>4450.74</v>
      </c>
      <c r="G1016" s="2">
        <v>1.2</v>
      </c>
      <c r="H1016" s="2">
        <v>1.9</v>
      </c>
      <c r="I1016" s="2">
        <v>1.64</v>
      </c>
      <c r="J1016" s="47">
        <f t="shared" si="75"/>
        <v>0.58333333333333337</v>
      </c>
      <c r="K1016" s="47">
        <f t="shared" si="76"/>
        <v>-0.1368421052631579</v>
      </c>
      <c r="L1016" s="8">
        <v>14.29</v>
      </c>
      <c r="M1016" s="8">
        <v>14.19</v>
      </c>
      <c r="N1016" s="8">
        <v>16.41</v>
      </c>
      <c r="O1016" s="17">
        <f t="shared" si="77"/>
        <v>0.24325714285714284</v>
      </c>
      <c r="P1016" s="17">
        <f t="shared" si="78"/>
        <v>-1.1991923076923074</v>
      </c>
      <c r="R1016" s="9">
        <v>12.15</v>
      </c>
      <c r="S1016" s="9">
        <v>12.31</v>
      </c>
      <c r="T1016" s="9">
        <v>704.86699999999996</v>
      </c>
      <c r="U1016" s="9">
        <v>787.75</v>
      </c>
      <c r="V1016" s="45">
        <f t="shared" si="79"/>
        <v>-0.10521485242780075</v>
      </c>
      <c r="W1016" s="12">
        <v>6.82</v>
      </c>
      <c r="X1016" s="12">
        <v>2.0699999999999998</v>
      </c>
      <c r="Y1016" s="12">
        <v>20210715</v>
      </c>
    </row>
    <row r="1017" spans="1:25" x14ac:dyDescent="0.45">
      <c r="A1017" s="3" t="s">
        <v>1986</v>
      </c>
      <c r="B1017" s="3" t="s">
        <v>1987</v>
      </c>
      <c r="C1017" s="6" t="s">
        <v>519</v>
      </c>
      <c r="D1017" s="6" t="s">
        <v>1042</v>
      </c>
      <c r="E1017" s="6" t="s">
        <v>1043</v>
      </c>
      <c r="F1017" s="6">
        <v>158226.70000000001</v>
      </c>
      <c r="G1017" s="2">
        <v>7.03</v>
      </c>
      <c r="H1017" s="2">
        <v>8.01</v>
      </c>
      <c r="I1017" s="2">
        <v>9.1199999999999992</v>
      </c>
      <c r="J1017" s="47">
        <f t="shared" si="75"/>
        <v>0.13940256045519198</v>
      </c>
      <c r="K1017" s="47">
        <f t="shared" si="76"/>
        <v>0.13857677902621715</v>
      </c>
      <c r="L1017" s="8">
        <v>33.450000000000003</v>
      </c>
      <c r="M1017" s="8">
        <v>28.42</v>
      </c>
      <c r="N1017" s="8">
        <v>24.99</v>
      </c>
      <c r="O1017" s="17">
        <f t="shared" si="77"/>
        <v>2.0387000000000008</v>
      </c>
      <c r="P1017" s="17">
        <f t="shared" si="78"/>
        <v>1.8033324324324334</v>
      </c>
      <c r="Q1017" s="5">
        <v>2.69</v>
      </c>
      <c r="R1017" s="9">
        <v>26.51</v>
      </c>
      <c r="S1017" s="9">
        <v>-3.99</v>
      </c>
      <c r="T1017" s="9">
        <v>34801.09375</v>
      </c>
      <c r="U1017" s="9">
        <v>32637</v>
      </c>
      <c r="V1017" s="45">
        <f t="shared" si="79"/>
        <v>6.6307986334528293E-2</v>
      </c>
      <c r="W1017" s="12">
        <v>6.67</v>
      </c>
      <c r="X1017" s="12">
        <v>1.63</v>
      </c>
      <c r="Y1017" s="12">
        <v>20210723</v>
      </c>
    </row>
    <row r="1018" spans="1:25" x14ac:dyDescent="0.45">
      <c r="A1018" s="3" t="s">
        <v>3821</v>
      </c>
      <c r="B1018" s="3" t="s">
        <v>3822</v>
      </c>
      <c r="C1018" s="6" t="s">
        <v>518</v>
      </c>
      <c r="D1018" s="6" t="s">
        <v>289</v>
      </c>
      <c r="E1018" s="6" t="s">
        <v>270</v>
      </c>
      <c r="F1018" s="6">
        <v>3547.55</v>
      </c>
      <c r="G1018" s="2">
        <v>-4.78</v>
      </c>
      <c r="H1018" s="2">
        <v>-2.56</v>
      </c>
      <c r="I1018" s="2">
        <v>-1.3</v>
      </c>
      <c r="J1018" s="47">
        <f t="shared" si="75"/>
        <v>0.46443514644351463</v>
      </c>
      <c r="K1018" s="47">
        <f t="shared" si="76"/>
        <v>0.4921875</v>
      </c>
      <c r="O1018" s="17">
        <f t="shared" si="77"/>
        <v>0</v>
      </c>
      <c r="P1018" s="17">
        <f t="shared" si="78"/>
        <v>0</v>
      </c>
      <c r="R1018" s="9">
        <v>-8.15</v>
      </c>
      <c r="S1018" s="9">
        <v>2.41</v>
      </c>
      <c r="T1018" s="9">
        <v>1192.96801</v>
      </c>
      <c r="U1018" s="9">
        <v>1773.93</v>
      </c>
      <c r="V1018" s="45">
        <f t="shared" si="79"/>
        <v>-0.32749995208379135</v>
      </c>
      <c r="W1018" s="12">
        <v>3.23</v>
      </c>
      <c r="X1018" s="12">
        <v>3.04</v>
      </c>
      <c r="Y1018" s="12">
        <v>20210727</v>
      </c>
    </row>
    <row r="1019" spans="1:25" x14ac:dyDescent="0.45">
      <c r="A1019" s="3" t="s">
        <v>1988</v>
      </c>
      <c r="B1019" s="3" t="s">
        <v>1989</v>
      </c>
      <c r="C1019" s="6" t="s">
        <v>518</v>
      </c>
      <c r="D1019" s="6" t="s">
        <v>189</v>
      </c>
      <c r="E1019" s="6" t="s">
        <v>200</v>
      </c>
      <c r="F1019" s="6">
        <v>20437.77</v>
      </c>
      <c r="G1019" s="2">
        <v>1.32</v>
      </c>
      <c r="H1019" s="2">
        <v>1.89</v>
      </c>
      <c r="I1019" s="2">
        <v>1.97</v>
      </c>
      <c r="J1019" s="47">
        <f t="shared" si="75"/>
        <v>0.43181818181818166</v>
      </c>
      <c r="K1019" s="47">
        <f t="shared" si="76"/>
        <v>4.2328042328042367E-2</v>
      </c>
      <c r="L1019" s="8">
        <v>9.3699999999999992</v>
      </c>
      <c r="M1019" s="8">
        <v>8.2899999999999991</v>
      </c>
      <c r="N1019" s="8">
        <v>7.95</v>
      </c>
      <c r="O1019" s="17">
        <f t="shared" si="77"/>
        <v>0.19197894736842111</v>
      </c>
      <c r="P1019" s="17">
        <f t="shared" si="78"/>
        <v>1.8781874999999981</v>
      </c>
      <c r="Q1019" s="5">
        <v>1.07</v>
      </c>
      <c r="R1019" s="9">
        <v>8.51</v>
      </c>
      <c r="S1019" s="9">
        <v>-13.03</v>
      </c>
      <c r="T1019" s="9">
        <v>27814.033200000002</v>
      </c>
      <c r="U1019" s="9">
        <v>26982</v>
      </c>
      <c r="V1019" s="45">
        <f t="shared" si="79"/>
        <v>3.0836602179230659E-2</v>
      </c>
      <c r="W1019" s="12">
        <v>9.52</v>
      </c>
      <c r="X1019" s="12">
        <v>3.07</v>
      </c>
      <c r="Y1019" s="12">
        <v>20210824</v>
      </c>
    </row>
    <row r="1020" spans="1:25" x14ac:dyDescent="0.45">
      <c r="A1020" s="3" t="s">
        <v>1990</v>
      </c>
      <c r="B1020" s="3" t="s">
        <v>1991</v>
      </c>
      <c r="C1020" s="6" t="s">
        <v>518</v>
      </c>
      <c r="D1020" s="6" t="s">
        <v>234</v>
      </c>
      <c r="E1020" s="6" t="s">
        <v>286</v>
      </c>
      <c r="F1020" s="6">
        <v>4471.18</v>
      </c>
      <c r="G1020" s="2">
        <v>1.87</v>
      </c>
      <c r="H1020" s="2">
        <v>1.89</v>
      </c>
      <c r="I1020" s="2">
        <v>2.06</v>
      </c>
      <c r="J1020" s="47">
        <f t="shared" si="75"/>
        <v>1.0695187165775291E-2</v>
      </c>
      <c r="K1020" s="47">
        <f t="shared" si="76"/>
        <v>8.9947089947090025E-2</v>
      </c>
      <c r="L1020" s="8">
        <v>16.010000000000002</v>
      </c>
      <c r="M1020" s="8">
        <v>15.67</v>
      </c>
      <c r="N1020" s="8">
        <v>14.39</v>
      </c>
      <c r="O1020" s="17">
        <f t="shared" si="77"/>
        <v>14.651450000000152</v>
      </c>
      <c r="P1020" s="17">
        <f t="shared" si="78"/>
        <v>1.5998294117647045</v>
      </c>
      <c r="Q1020" s="5">
        <v>3.28</v>
      </c>
      <c r="R1020" s="9">
        <v>-0.11</v>
      </c>
      <c r="S1020" s="9">
        <v>7.17</v>
      </c>
      <c r="T1020" s="9">
        <v>836.40002000000004</v>
      </c>
      <c r="U1020" s="9">
        <v>804.97</v>
      </c>
      <c r="V1020" s="45">
        <f t="shared" si="79"/>
        <v>3.9044958197199914E-2</v>
      </c>
      <c r="W1020" s="12">
        <v>6.67</v>
      </c>
      <c r="X1020" s="12">
        <v>3.38</v>
      </c>
      <c r="Y1020" s="12">
        <v>20210804</v>
      </c>
    </row>
    <row r="1021" spans="1:25" x14ac:dyDescent="0.45">
      <c r="A1021" s="3" t="s">
        <v>1992</v>
      </c>
      <c r="B1021" s="3" t="s">
        <v>1993</v>
      </c>
      <c r="C1021" s="6" t="s">
        <v>518</v>
      </c>
      <c r="D1021" s="6" t="s">
        <v>189</v>
      </c>
      <c r="E1021" s="6" t="s">
        <v>201</v>
      </c>
      <c r="F1021" s="6">
        <v>36097.730000000003</v>
      </c>
      <c r="G1021" s="2">
        <v>2.19</v>
      </c>
      <c r="H1021" s="2">
        <v>3.5</v>
      </c>
      <c r="I1021" s="2">
        <v>3.49</v>
      </c>
      <c r="J1021" s="47">
        <f t="shared" si="75"/>
        <v>0.59817351598173518</v>
      </c>
      <c r="K1021" s="47">
        <f t="shared" si="76"/>
        <v>-2.8571428571427964E-3</v>
      </c>
      <c r="L1021" s="8">
        <v>10.15</v>
      </c>
      <c r="M1021" s="8">
        <v>8.59</v>
      </c>
      <c r="N1021" s="8">
        <v>8.6</v>
      </c>
      <c r="O1021" s="17">
        <f t="shared" si="77"/>
        <v>0.14360381679389311</v>
      </c>
      <c r="P1021" s="17">
        <f t="shared" si="78"/>
        <v>-30.100000000000637</v>
      </c>
      <c r="Q1021" s="5">
        <v>1.01</v>
      </c>
      <c r="R1021" s="9">
        <v>-143.69999999999999</v>
      </c>
      <c r="S1021" s="9">
        <v>3.16</v>
      </c>
      <c r="T1021" s="9">
        <v>63319.363279999998</v>
      </c>
      <c r="U1021" s="9">
        <v>56639</v>
      </c>
      <c r="V1021" s="45">
        <f t="shared" si="79"/>
        <v>0.11794634933526364</v>
      </c>
      <c r="W1021" s="12">
        <v>4.49</v>
      </c>
      <c r="X1021" s="12">
        <v>2.58</v>
      </c>
      <c r="Y1021" s="12">
        <v>20210826</v>
      </c>
    </row>
    <row r="1022" spans="1:25" x14ac:dyDescent="0.45">
      <c r="A1022" s="3" t="s">
        <v>1994</v>
      </c>
      <c r="B1022" s="3" t="s">
        <v>1995</v>
      </c>
      <c r="C1022" s="6" t="s">
        <v>519</v>
      </c>
      <c r="D1022" s="6" t="s">
        <v>279</v>
      </c>
      <c r="E1022" s="6" t="s">
        <v>266</v>
      </c>
      <c r="F1022" s="6">
        <v>6501.03</v>
      </c>
      <c r="G1022" s="2">
        <v>1.67</v>
      </c>
      <c r="H1022" s="2">
        <v>1.44</v>
      </c>
      <c r="I1022" s="2">
        <v>1.74</v>
      </c>
      <c r="J1022" s="47">
        <f t="shared" si="75"/>
        <v>-0.1377245508982036</v>
      </c>
      <c r="K1022" s="47">
        <f t="shared" si="76"/>
        <v>0.20833333333333337</v>
      </c>
      <c r="L1022" s="8">
        <v>47.83</v>
      </c>
      <c r="M1022" s="8">
        <v>54.22</v>
      </c>
      <c r="N1022" s="8">
        <v>44.84</v>
      </c>
      <c r="O1022" s="17">
        <f t="shared" si="77"/>
        <v>-3.9368434782608692</v>
      </c>
      <c r="P1022" s="17">
        <f t="shared" si="78"/>
        <v>2.15232</v>
      </c>
      <c r="Q1022" s="5">
        <v>3.73</v>
      </c>
      <c r="R1022" s="9">
        <v>5.95</v>
      </c>
      <c r="S1022" s="9">
        <v>42.99</v>
      </c>
      <c r="T1022" s="9">
        <v>760.85900000000004</v>
      </c>
      <c r="U1022" s="9">
        <v>733.57</v>
      </c>
      <c r="V1022" s="45">
        <f t="shared" si="79"/>
        <v>3.7200267186498881E-2</v>
      </c>
      <c r="W1022" s="12">
        <v>22.58</v>
      </c>
      <c r="X1022" s="12">
        <v>0</v>
      </c>
      <c r="Y1022" s="12">
        <v>20210914</v>
      </c>
    </row>
    <row r="1023" spans="1:25" x14ac:dyDescent="0.45">
      <c r="A1023" s="3" t="s">
        <v>1996</v>
      </c>
      <c r="B1023" s="3" t="s">
        <v>1997</v>
      </c>
      <c r="C1023" s="6" t="s">
        <v>518</v>
      </c>
      <c r="D1023" s="6" t="s">
        <v>234</v>
      </c>
      <c r="E1023" s="6" t="s">
        <v>286</v>
      </c>
      <c r="F1023" s="6">
        <v>4545.87</v>
      </c>
      <c r="G1023" s="2">
        <v>1.64</v>
      </c>
      <c r="H1023" s="2">
        <v>1.73</v>
      </c>
      <c r="I1023" s="2">
        <v>1.8</v>
      </c>
      <c r="J1023" s="47">
        <f t="shared" si="75"/>
        <v>5.4878048780487854E-2</v>
      </c>
      <c r="K1023" s="47">
        <f t="shared" si="76"/>
        <v>4.0462427745664775E-2</v>
      </c>
      <c r="L1023" s="8">
        <v>19.22</v>
      </c>
      <c r="M1023" s="8">
        <v>18.579999999999998</v>
      </c>
      <c r="N1023" s="8">
        <v>17.78</v>
      </c>
      <c r="O1023" s="17">
        <f t="shared" si="77"/>
        <v>3.3856888888888856</v>
      </c>
      <c r="P1023" s="17">
        <f t="shared" si="78"/>
        <v>4.3941999999999961</v>
      </c>
      <c r="R1023" s="9">
        <v>4.7300000000000004</v>
      </c>
      <c r="S1023" s="9">
        <v>5.08</v>
      </c>
      <c r="T1023" s="9">
        <v>523.99797999999998</v>
      </c>
      <c r="U1023" s="9">
        <v>499.63</v>
      </c>
      <c r="V1023" s="45">
        <f t="shared" si="79"/>
        <v>4.8772051317975282E-2</v>
      </c>
      <c r="W1023" s="12">
        <v>0</v>
      </c>
      <c r="X1023" s="12">
        <v>3.77</v>
      </c>
      <c r="Y1023" s="12">
        <v>20210804</v>
      </c>
    </row>
    <row r="1024" spans="1:25" x14ac:dyDescent="0.45">
      <c r="A1024" s="3" t="s">
        <v>1998</v>
      </c>
      <c r="B1024" s="3" t="s">
        <v>1999</v>
      </c>
      <c r="C1024" s="6" t="s">
        <v>518</v>
      </c>
      <c r="D1024" s="6" t="s">
        <v>216</v>
      </c>
      <c r="E1024" s="6" t="s">
        <v>429</v>
      </c>
      <c r="F1024" s="6">
        <v>4682.74</v>
      </c>
      <c r="G1024" s="2">
        <v>3.38</v>
      </c>
      <c r="H1024" s="2">
        <v>3.06</v>
      </c>
      <c r="I1024" s="2">
        <v>2.7</v>
      </c>
      <c r="J1024" s="47">
        <f t="shared" si="75"/>
        <v>-9.4674556213017708E-2</v>
      </c>
      <c r="K1024" s="47">
        <f t="shared" si="76"/>
        <v>-0.11764705882352937</v>
      </c>
      <c r="L1024" s="8">
        <v>19.850000000000001</v>
      </c>
      <c r="M1024" s="8">
        <v>8.43</v>
      </c>
      <c r="N1024" s="8">
        <v>9.5399999999999991</v>
      </c>
      <c r="O1024" s="17">
        <f t="shared" si="77"/>
        <v>-0.89041875000000048</v>
      </c>
      <c r="P1024" s="17">
        <f t="shared" si="78"/>
        <v>-0.81090000000000029</v>
      </c>
      <c r="Q1024" s="5">
        <v>0.67</v>
      </c>
      <c r="R1024" s="9">
        <v>-178.12</v>
      </c>
      <c r="S1024" s="9">
        <v>-0.34</v>
      </c>
      <c r="T1024" s="9">
        <v>3346.84301</v>
      </c>
      <c r="U1024" s="9">
        <v>2639.72</v>
      </c>
      <c r="V1024" s="45">
        <f t="shared" si="79"/>
        <v>0.26787803630688117</v>
      </c>
      <c r="W1024" s="12">
        <v>6.4</v>
      </c>
      <c r="X1024" s="12">
        <v>4.03</v>
      </c>
      <c r="Y1024" s="12">
        <v>20210615</v>
      </c>
    </row>
    <row r="1025" spans="1:25" x14ac:dyDescent="0.45">
      <c r="A1025" s="3" t="s">
        <v>2000</v>
      </c>
      <c r="B1025" s="3" t="s">
        <v>2001</v>
      </c>
      <c r="C1025" s="6" t="s">
        <v>518</v>
      </c>
      <c r="D1025" s="6" t="s">
        <v>279</v>
      </c>
      <c r="E1025" s="6" t="s">
        <v>264</v>
      </c>
      <c r="F1025" s="6">
        <v>7381.01</v>
      </c>
      <c r="G1025" s="2">
        <v>5.44</v>
      </c>
      <c r="H1025" s="2">
        <v>6.05</v>
      </c>
      <c r="I1025" s="2">
        <v>6.36</v>
      </c>
      <c r="J1025" s="47">
        <f t="shared" si="75"/>
        <v>0.11213235294117636</v>
      </c>
      <c r="K1025" s="47">
        <f t="shared" si="76"/>
        <v>5.1239669421487687E-2</v>
      </c>
      <c r="L1025" s="8">
        <v>17.41</v>
      </c>
      <c r="M1025" s="8">
        <v>18.350000000000001</v>
      </c>
      <c r="N1025" s="8">
        <v>17.46</v>
      </c>
      <c r="O1025" s="17">
        <f t="shared" si="77"/>
        <v>1.6364590163934443</v>
      </c>
      <c r="P1025" s="17">
        <f t="shared" si="78"/>
        <v>3.4075161290322526</v>
      </c>
      <c r="Q1025" s="5">
        <v>2.3199999999999998</v>
      </c>
      <c r="R1025" s="9">
        <v>24.48</v>
      </c>
      <c r="S1025" s="9">
        <v>2.85</v>
      </c>
      <c r="T1025" s="9">
        <v>2928.23999</v>
      </c>
      <c r="U1025" s="9">
        <v>2881</v>
      </c>
      <c r="V1025" s="45">
        <f t="shared" si="79"/>
        <v>1.6397080874696299E-2</v>
      </c>
      <c r="W1025" s="12">
        <v>20.98</v>
      </c>
      <c r="X1025" s="12">
        <v>0.86</v>
      </c>
      <c r="Y1025" s="12">
        <v>20210730</v>
      </c>
    </row>
    <row r="1026" spans="1:25" x14ac:dyDescent="0.45">
      <c r="A1026" s="3" t="s">
        <v>2002</v>
      </c>
      <c r="B1026" s="3" t="s">
        <v>2003</v>
      </c>
      <c r="C1026" s="6" t="s">
        <v>520</v>
      </c>
      <c r="D1026" s="6" t="s">
        <v>234</v>
      </c>
      <c r="E1026" s="6" t="s">
        <v>220</v>
      </c>
      <c r="F1026" s="6">
        <v>10615.49</v>
      </c>
      <c r="G1026" s="2">
        <v>1.4</v>
      </c>
      <c r="H1026" s="2">
        <v>1.76</v>
      </c>
      <c r="I1026" s="2">
        <v>1.63</v>
      </c>
      <c r="J1026" s="47">
        <f t="shared" si="75"/>
        <v>0.25714285714285723</v>
      </c>
      <c r="K1026" s="47">
        <f t="shared" si="76"/>
        <v>-7.3863636363636423E-2</v>
      </c>
      <c r="M1026" s="8">
        <v>25.36</v>
      </c>
      <c r="N1026" s="8">
        <v>27.38</v>
      </c>
      <c r="O1026" s="17">
        <f t="shared" si="77"/>
        <v>0.98622222222222189</v>
      </c>
      <c r="P1026" s="17">
        <f t="shared" si="78"/>
        <v>-3.7068307692307663</v>
      </c>
      <c r="T1026" s="9">
        <v>854.58501999999999</v>
      </c>
      <c r="U1026" s="9">
        <v>694.57</v>
      </c>
      <c r="V1026" s="45">
        <f t="shared" si="79"/>
        <v>0.23037997610032096</v>
      </c>
      <c r="X1026" s="12">
        <v>1.24</v>
      </c>
    </row>
    <row r="1027" spans="1:25" x14ac:dyDescent="0.45">
      <c r="A1027" s="3" t="s">
        <v>4182</v>
      </c>
      <c r="B1027" s="3" t="s">
        <v>4183</v>
      </c>
      <c r="C1027" s="6" t="s">
        <v>518</v>
      </c>
      <c r="D1027" s="6" t="s">
        <v>309</v>
      </c>
      <c r="E1027" s="6" t="s">
        <v>310</v>
      </c>
      <c r="F1027" s="6">
        <v>3224.05</v>
      </c>
      <c r="G1027" s="2">
        <v>2.66</v>
      </c>
      <c r="H1027" s="2">
        <v>6.23</v>
      </c>
      <c r="I1027" s="2">
        <v>6.83</v>
      </c>
      <c r="J1027" s="47">
        <f t="shared" ref="J1027:J1090" si="80">(H1027-G1027)/ABS(G1027)</f>
        <v>1.3421052631578947</v>
      </c>
      <c r="K1027" s="47">
        <f t="shared" ref="K1027:K1090" si="81">(I1027-H1027)/ABS(H1027)</f>
        <v>9.6308186195826581E-2</v>
      </c>
      <c r="L1027" s="8">
        <v>26.89</v>
      </c>
      <c r="M1027" s="8">
        <v>17.47</v>
      </c>
      <c r="N1027" s="8">
        <v>15.94</v>
      </c>
      <c r="O1027" s="17">
        <f t="shared" ref="O1027:O1090" si="82">M1027/(J1027*100)</f>
        <v>0.13016862745098037</v>
      </c>
      <c r="P1027" s="17">
        <f t="shared" ref="P1027:P1090" si="83">N1027/(K1027*100)</f>
        <v>1.6551033333333343</v>
      </c>
      <c r="Q1027" s="5">
        <v>0.41</v>
      </c>
      <c r="R1027" s="9">
        <v>16.98</v>
      </c>
      <c r="S1027" s="9">
        <v>-13.99</v>
      </c>
      <c r="T1027" s="9">
        <v>1918.59997</v>
      </c>
      <c r="U1027" s="9">
        <v>1781.3</v>
      </c>
      <c r="V1027" s="45">
        <f t="shared" ref="V1027:V1090" si="84">(T1027-U1027)/U1027</f>
        <v>7.7078521304665151E-2</v>
      </c>
      <c r="W1027" s="12">
        <v>340</v>
      </c>
      <c r="X1027" s="12">
        <v>0</v>
      </c>
      <c r="Y1027" s="12">
        <v>20210722</v>
      </c>
    </row>
    <row r="1028" spans="1:25" x14ac:dyDescent="0.45">
      <c r="A1028" s="3" t="s">
        <v>2004</v>
      </c>
      <c r="B1028" s="3" t="s">
        <v>2005</v>
      </c>
      <c r="C1028" s="6" t="s">
        <v>518</v>
      </c>
      <c r="D1028" s="6" t="s">
        <v>225</v>
      </c>
      <c r="E1028" s="6" t="s">
        <v>1039</v>
      </c>
      <c r="F1028" s="6">
        <v>26171.38</v>
      </c>
      <c r="G1028" s="2">
        <v>1.67</v>
      </c>
      <c r="H1028" s="2">
        <v>1.74</v>
      </c>
      <c r="I1028" s="2">
        <v>1.9</v>
      </c>
      <c r="J1028" s="47">
        <f t="shared" si="80"/>
        <v>4.1916167664670698E-2</v>
      </c>
      <c r="K1028" s="47">
        <f t="shared" si="81"/>
        <v>9.1954022988505704E-2</v>
      </c>
      <c r="L1028" s="8">
        <v>29.62</v>
      </c>
      <c r="M1028" s="8">
        <v>27.82</v>
      </c>
      <c r="N1028" s="8">
        <v>25.35</v>
      </c>
      <c r="O1028" s="17">
        <f t="shared" si="82"/>
        <v>6.6370571428571363</v>
      </c>
      <c r="P1028" s="17">
        <f t="shared" si="83"/>
        <v>2.7568125000000014</v>
      </c>
      <c r="Q1028" s="5">
        <v>4.42</v>
      </c>
      <c r="R1028" s="9">
        <v>13.68</v>
      </c>
      <c r="S1028" s="9">
        <v>0.9</v>
      </c>
      <c r="T1028" s="9">
        <v>10560.5371</v>
      </c>
      <c r="U1028" s="9">
        <v>9608.4599999999991</v>
      </c>
      <c r="V1028" s="45">
        <f t="shared" si="84"/>
        <v>9.9087377165539586E-2</v>
      </c>
      <c r="W1028" s="12">
        <v>0</v>
      </c>
      <c r="X1028" s="12">
        <v>2.0299999999999998</v>
      </c>
      <c r="Y1028" s="12">
        <v>20210824</v>
      </c>
    </row>
    <row r="1029" spans="1:25" x14ac:dyDescent="0.45">
      <c r="A1029" s="3" t="s">
        <v>2006</v>
      </c>
      <c r="B1029" s="3" t="s">
        <v>2007</v>
      </c>
      <c r="C1029" s="6" t="s">
        <v>518</v>
      </c>
      <c r="D1029" s="6" t="s">
        <v>234</v>
      </c>
      <c r="E1029" s="6" t="s">
        <v>105</v>
      </c>
      <c r="F1029" s="6">
        <v>126055.96</v>
      </c>
      <c r="G1029" s="2">
        <v>1.3</v>
      </c>
      <c r="H1029" s="2">
        <v>2.72</v>
      </c>
      <c r="I1029" s="2">
        <v>3.04</v>
      </c>
      <c r="J1029" s="47">
        <f t="shared" si="80"/>
        <v>1.0923076923076924</v>
      </c>
      <c r="K1029" s="47">
        <f t="shared" si="81"/>
        <v>0.11764705882352934</v>
      </c>
      <c r="L1029" s="8">
        <v>20.57</v>
      </c>
      <c r="M1029" s="8">
        <v>11.36</v>
      </c>
      <c r="N1029" s="8">
        <v>10.15</v>
      </c>
      <c r="O1029" s="17">
        <f t="shared" si="82"/>
        <v>0.10399999999999998</v>
      </c>
      <c r="P1029" s="17">
        <f t="shared" si="83"/>
        <v>0.86275000000000046</v>
      </c>
      <c r="R1029" s="9">
        <v>2.97</v>
      </c>
      <c r="S1029" s="9">
        <v>-0.93</v>
      </c>
      <c r="T1029" s="9">
        <v>50347.851560000003</v>
      </c>
      <c r="U1029" s="9">
        <v>50429</v>
      </c>
      <c r="V1029" s="45">
        <f t="shared" si="84"/>
        <v>-1.6091621884232726E-3</v>
      </c>
      <c r="W1029" s="12">
        <v>26.67</v>
      </c>
      <c r="X1029" s="12">
        <v>2.41</v>
      </c>
      <c r="Y1029" s="12">
        <v>20210802</v>
      </c>
    </row>
    <row r="1030" spans="1:25" x14ac:dyDescent="0.45">
      <c r="A1030" s="3" t="s">
        <v>2008</v>
      </c>
      <c r="B1030" s="3" t="s">
        <v>2009</v>
      </c>
      <c r="C1030" s="6" t="s">
        <v>519</v>
      </c>
      <c r="D1030" s="6" t="s">
        <v>279</v>
      </c>
      <c r="E1030" s="6" t="s">
        <v>257</v>
      </c>
      <c r="F1030" s="6">
        <v>10918.02</v>
      </c>
      <c r="G1030" s="2">
        <v>2.94</v>
      </c>
      <c r="H1030" s="2">
        <v>3.99</v>
      </c>
      <c r="I1030" s="2">
        <v>4.2699999999999996</v>
      </c>
      <c r="J1030" s="47">
        <f t="shared" si="80"/>
        <v>0.35714285714285726</v>
      </c>
      <c r="K1030" s="47">
        <f t="shared" si="81"/>
        <v>7.0175438596491058E-2</v>
      </c>
      <c r="L1030" s="8">
        <v>23.73</v>
      </c>
      <c r="M1030" s="8">
        <v>19.45</v>
      </c>
      <c r="N1030" s="8">
        <v>18.16</v>
      </c>
      <c r="O1030" s="17">
        <f t="shared" si="82"/>
        <v>0.54459999999999975</v>
      </c>
      <c r="P1030" s="17">
        <f t="shared" si="83"/>
        <v>2.5878000000000063</v>
      </c>
      <c r="Q1030" s="5">
        <v>1.73</v>
      </c>
      <c r="R1030" s="9">
        <v>12.18</v>
      </c>
      <c r="S1030" s="9">
        <v>-4.17</v>
      </c>
      <c r="T1030" s="9">
        <v>11733.226559999999</v>
      </c>
      <c r="U1030" s="9">
        <v>10119.14</v>
      </c>
      <c r="V1030" s="45">
        <f t="shared" si="84"/>
        <v>0.15950827441857707</v>
      </c>
      <c r="W1030" s="12">
        <v>49.4</v>
      </c>
      <c r="X1030" s="12">
        <v>0</v>
      </c>
      <c r="Y1030" s="12">
        <v>20210803</v>
      </c>
    </row>
    <row r="1031" spans="1:25" x14ac:dyDescent="0.45">
      <c r="A1031" s="3" t="s">
        <v>2010</v>
      </c>
      <c r="B1031" s="3" t="s">
        <v>2011</v>
      </c>
      <c r="C1031" s="6" t="s">
        <v>519</v>
      </c>
      <c r="D1031" s="6" t="s">
        <v>234</v>
      </c>
      <c r="E1031" s="6" t="s">
        <v>286</v>
      </c>
      <c r="F1031" s="6">
        <v>12575.39</v>
      </c>
      <c r="G1031" s="2">
        <v>-0.36</v>
      </c>
      <c r="H1031" s="2">
        <v>0.2</v>
      </c>
      <c r="I1031" s="2">
        <v>1.1000000000000001</v>
      </c>
      <c r="J1031" s="47">
        <f t="shared" si="80"/>
        <v>1.5555555555555558</v>
      </c>
      <c r="K1031" s="47">
        <f t="shared" si="81"/>
        <v>4.5</v>
      </c>
      <c r="M1031" s="8">
        <v>89.95</v>
      </c>
      <c r="N1031" s="8">
        <v>16.22</v>
      </c>
      <c r="O1031" s="17">
        <f t="shared" si="82"/>
        <v>0.57824999999999993</v>
      </c>
      <c r="P1031" s="17">
        <f t="shared" si="83"/>
        <v>3.6044444444444441E-2</v>
      </c>
      <c r="R1031" s="9">
        <v>-13.76</v>
      </c>
      <c r="S1031" s="9">
        <v>-18.690000000000001</v>
      </c>
      <c r="T1031" s="9">
        <v>2455.5090300000002</v>
      </c>
      <c r="U1031" s="9">
        <v>1620</v>
      </c>
      <c r="V1031" s="45">
        <f t="shared" si="84"/>
        <v>0.51574631481481492</v>
      </c>
      <c r="W1031" s="12">
        <v>106.67</v>
      </c>
      <c r="X1031" s="12">
        <v>0</v>
      </c>
      <c r="Y1031" s="12">
        <v>20210729</v>
      </c>
    </row>
    <row r="1032" spans="1:25" x14ac:dyDescent="0.45">
      <c r="A1032" s="3" t="s">
        <v>2012</v>
      </c>
      <c r="B1032" s="3" t="s">
        <v>2013</v>
      </c>
      <c r="C1032" s="6" t="s">
        <v>518</v>
      </c>
      <c r="D1032" s="6" t="s">
        <v>225</v>
      </c>
      <c r="E1032" s="6" t="s">
        <v>2014</v>
      </c>
      <c r="F1032" s="6">
        <v>35781.410000000003</v>
      </c>
      <c r="G1032" s="2">
        <v>6.22</v>
      </c>
      <c r="H1032" s="2">
        <v>6.88</v>
      </c>
      <c r="I1032" s="2">
        <v>7.28</v>
      </c>
      <c r="J1032" s="47">
        <f t="shared" si="80"/>
        <v>0.10610932475884247</v>
      </c>
      <c r="K1032" s="47">
        <f t="shared" si="81"/>
        <v>5.8139534883720985E-2</v>
      </c>
      <c r="L1032" s="8">
        <v>26.27</v>
      </c>
      <c r="M1032" s="8">
        <v>25.11</v>
      </c>
      <c r="N1032" s="8">
        <v>23.74</v>
      </c>
      <c r="O1032" s="17">
        <f t="shared" si="82"/>
        <v>2.3664272727272722</v>
      </c>
      <c r="P1032" s="17">
        <f t="shared" si="83"/>
        <v>4.0832799999999958</v>
      </c>
      <c r="Q1032" s="5">
        <v>3.28</v>
      </c>
      <c r="R1032" s="9">
        <v>66</v>
      </c>
      <c r="S1032" s="9">
        <v>2.4300000000000002</v>
      </c>
      <c r="T1032" s="9">
        <v>8613.5830000000005</v>
      </c>
      <c r="U1032" s="9">
        <v>8149.72</v>
      </c>
      <c r="V1032" s="45">
        <f t="shared" si="84"/>
        <v>5.6917660974855608E-2</v>
      </c>
      <c r="W1032" s="12">
        <v>6.08</v>
      </c>
      <c r="X1032" s="12">
        <v>1.86</v>
      </c>
      <c r="Y1032" s="12">
        <v>20210722</v>
      </c>
    </row>
    <row r="1033" spans="1:25" x14ac:dyDescent="0.45">
      <c r="A1033" s="3" t="s">
        <v>2015</v>
      </c>
      <c r="B1033" s="3" t="s">
        <v>2016</v>
      </c>
      <c r="C1033" s="6" t="s">
        <v>518</v>
      </c>
      <c r="D1033" s="6" t="s">
        <v>234</v>
      </c>
      <c r="E1033" s="6" t="s">
        <v>286</v>
      </c>
      <c r="F1033" s="6">
        <v>6365.66</v>
      </c>
      <c r="G1033" s="2">
        <v>1.7</v>
      </c>
      <c r="H1033" s="2">
        <v>1.76</v>
      </c>
      <c r="I1033" s="2">
        <v>1.82</v>
      </c>
      <c r="J1033" s="47">
        <f t="shared" si="80"/>
        <v>3.5294117647058858E-2</v>
      </c>
      <c r="K1033" s="47">
        <f t="shared" si="81"/>
        <v>3.4090909090909123E-2</v>
      </c>
      <c r="L1033" s="8">
        <v>16.91</v>
      </c>
      <c r="M1033" s="8">
        <v>16.57</v>
      </c>
      <c r="N1033" s="8">
        <v>15.98</v>
      </c>
      <c r="O1033" s="17">
        <f t="shared" si="82"/>
        <v>4.694833333333329</v>
      </c>
      <c r="P1033" s="17">
        <f t="shared" si="83"/>
        <v>4.687466666666662</v>
      </c>
      <c r="R1033" s="9">
        <v>2.61</v>
      </c>
      <c r="S1033" s="9">
        <v>12.11</v>
      </c>
      <c r="T1033" s="9">
        <v>768.64598999999998</v>
      </c>
      <c r="U1033" s="9">
        <v>738.97</v>
      </c>
      <c r="V1033" s="45">
        <f t="shared" si="84"/>
        <v>4.0158585598874051E-2</v>
      </c>
      <c r="W1033" s="12">
        <v>2.33</v>
      </c>
      <c r="X1033" s="12">
        <v>4.4000000000000004</v>
      </c>
      <c r="Y1033" s="12">
        <v>20210805</v>
      </c>
    </row>
    <row r="1034" spans="1:25" x14ac:dyDescent="0.45">
      <c r="A1034" s="3" t="s">
        <v>2017</v>
      </c>
      <c r="B1034" s="3" t="s">
        <v>2018</v>
      </c>
      <c r="C1034" s="6" t="s">
        <v>520</v>
      </c>
      <c r="D1034" s="6" t="s">
        <v>272</v>
      </c>
      <c r="E1034" s="6" t="s">
        <v>1074</v>
      </c>
      <c r="F1034" s="6">
        <v>7249.38</v>
      </c>
      <c r="G1034" s="2">
        <v>1.8</v>
      </c>
      <c r="H1034" s="2">
        <v>3.43</v>
      </c>
      <c r="I1034" s="2">
        <v>4.2699999999999996</v>
      </c>
      <c r="J1034" s="47">
        <f t="shared" si="80"/>
        <v>0.90555555555555556</v>
      </c>
      <c r="K1034" s="47">
        <f t="shared" si="81"/>
        <v>0.2448979591836733</v>
      </c>
      <c r="L1034" s="8">
        <v>73.260000000000005</v>
      </c>
      <c r="M1034" s="8">
        <v>19.649999999999999</v>
      </c>
      <c r="N1034" s="8">
        <v>15.78</v>
      </c>
      <c r="O1034" s="17">
        <f t="shared" si="82"/>
        <v>0.21699386503067483</v>
      </c>
      <c r="P1034" s="17">
        <f t="shared" si="83"/>
        <v>0.64435000000000042</v>
      </c>
      <c r="R1034" s="9">
        <v>1.92</v>
      </c>
      <c r="S1034" s="9">
        <v>0.53</v>
      </c>
      <c r="T1034" s="9">
        <v>8571.4296799999993</v>
      </c>
      <c r="U1034" s="9">
        <v>7672.9</v>
      </c>
      <c r="V1034" s="45">
        <f t="shared" si="84"/>
        <v>0.11710431258064091</v>
      </c>
      <c r="W1034" s="12">
        <v>-57.89</v>
      </c>
      <c r="X1034" s="12">
        <v>0.4</v>
      </c>
      <c r="Y1034" s="12">
        <v>20210726</v>
      </c>
    </row>
    <row r="1035" spans="1:25" x14ac:dyDescent="0.45">
      <c r="A1035" s="3" t="s">
        <v>4184</v>
      </c>
      <c r="B1035" s="3" t="s">
        <v>4185</v>
      </c>
      <c r="C1035" s="6" t="s">
        <v>518</v>
      </c>
      <c r="D1035" s="6" t="s">
        <v>234</v>
      </c>
      <c r="E1035" s="6" t="s">
        <v>172</v>
      </c>
      <c r="F1035" s="6">
        <v>3166.25</v>
      </c>
      <c r="G1035" s="2">
        <v>4.68</v>
      </c>
      <c r="H1035" s="2">
        <v>3.64</v>
      </c>
      <c r="I1035" s="2">
        <v>2.61</v>
      </c>
      <c r="J1035" s="47">
        <f t="shared" si="80"/>
        <v>-0.22222222222222215</v>
      </c>
      <c r="K1035" s="47">
        <f t="shared" si="81"/>
        <v>-0.28296703296703302</v>
      </c>
      <c r="L1035" s="8">
        <v>6.95</v>
      </c>
      <c r="M1035" s="8">
        <v>10.55</v>
      </c>
      <c r="N1035" s="8">
        <v>14.75</v>
      </c>
      <c r="O1035" s="17">
        <f t="shared" si="82"/>
        <v>-0.47475000000000023</v>
      </c>
      <c r="P1035" s="17">
        <f t="shared" si="83"/>
        <v>-0.52126213592232995</v>
      </c>
      <c r="R1035" s="9">
        <v>20.29</v>
      </c>
      <c r="S1035" s="9">
        <v>5.25</v>
      </c>
      <c r="T1035" s="9">
        <v>1785.8000400000001</v>
      </c>
      <c r="U1035" s="9">
        <v>2236.98</v>
      </c>
      <c r="V1035" s="45">
        <f t="shared" si="84"/>
        <v>-0.20169154842689696</v>
      </c>
      <c r="W1035" s="12">
        <v>33.94</v>
      </c>
      <c r="X1035" s="12">
        <v>1.25</v>
      </c>
      <c r="Y1035" s="12">
        <v>20210729</v>
      </c>
    </row>
    <row r="1036" spans="1:25" x14ac:dyDescent="0.45">
      <c r="A1036" s="3" t="s">
        <v>3823</v>
      </c>
      <c r="B1036" s="3" t="s">
        <v>3824</v>
      </c>
      <c r="C1036" s="6" t="s">
        <v>519</v>
      </c>
      <c r="D1036" s="6" t="s">
        <v>216</v>
      </c>
      <c r="E1036" s="6" t="s">
        <v>231</v>
      </c>
      <c r="F1036" s="6">
        <v>18265.45</v>
      </c>
      <c r="G1036" s="2">
        <v>-0.84</v>
      </c>
      <c r="H1036" s="2">
        <v>0.76</v>
      </c>
      <c r="I1036" s="2">
        <v>1.67</v>
      </c>
      <c r="J1036" s="47">
        <f t="shared" si="80"/>
        <v>1.9047619047619049</v>
      </c>
      <c r="K1036" s="47">
        <f t="shared" si="81"/>
        <v>1.1973684210526314</v>
      </c>
      <c r="M1036" s="8">
        <v>74.2</v>
      </c>
      <c r="N1036" s="8">
        <v>33.89</v>
      </c>
      <c r="O1036" s="17">
        <f t="shared" si="82"/>
        <v>0.38955000000000001</v>
      </c>
      <c r="P1036" s="17">
        <f t="shared" si="83"/>
        <v>0.28303736263736268</v>
      </c>
      <c r="R1036" s="9">
        <v>-2.64</v>
      </c>
      <c r="S1036" s="9">
        <v>11.85</v>
      </c>
      <c r="T1036" s="9">
        <v>2294.41894</v>
      </c>
      <c r="U1036" s="9">
        <v>1563</v>
      </c>
      <c r="V1036" s="45">
        <f t="shared" si="84"/>
        <v>0.46795837492002562</v>
      </c>
      <c r="W1036" s="12">
        <v>36.840000000000003</v>
      </c>
      <c r="X1036" s="12">
        <v>0</v>
      </c>
      <c r="Y1036" s="12">
        <v>20210913</v>
      </c>
    </row>
    <row r="1037" spans="1:25" x14ac:dyDescent="0.45">
      <c r="A1037" s="3" t="s">
        <v>2019</v>
      </c>
      <c r="B1037" s="3" t="s">
        <v>2020</v>
      </c>
      <c r="C1037" s="6" t="s">
        <v>518</v>
      </c>
      <c r="D1037" s="6" t="s">
        <v>272</v>
      </c>
      <c r="E1037" s="6" t="s">
        <v>2021</v>
      </c>
      <c r="F1037" s="6">
        <v>10145.200000000001</v>
      </c>
      <c r="G1037" s="2">
        <v>7.58</v>
      </c>
      <c r="H1037" s="2">
        <v>8.4600000000000009</v>
      </c>
      <c r="I1037" s="2">
        <v>9.4499999999999993</v>
      </c>
      <c r="J1037" s="47">
        <f t="shared" si="80"/>
        <v>0.11609498680738796</v>
      </c>
      <c r="K1037" s="47">
        <f t="shared" si="81"/>
        <v>0.11702127659574449</v>
      </c>
      <c r="L1037" s="8">
        <v>24.42</v>
      </c>
      <c r="M1037" s="8">
        <v>22.08</v>
      </c>
      <c r="N1037" s="8">
        <v>19.77</v>
      </c>
      <c r="O1037" s="17">
        <f t="shared" si="82"/>
        <v>1.9018909090909075</v>
      </c>
      <c r="P1037" s="17">
        <f t="shared" si="83"/>
        <v>1.6894363636363663</v>
      </c>
      <c r="Q1037" s="5">
        <v>2.25</v>
      </c>
      <c r="R1037" s="9">
        <v>20.420000000000002</v>
      </c>
      <c r="S1037" s="9">
        <v>6.32</v>
      </c>
      <c r="T1037" s="9">
        <v>4596.18505</v>
      </c>
      <c r="U1037" s="9">
        <v>4186</v>
      </c>
      <c r="V1037" s="45">
        <f t="shared" si="84"/>
        <v>9.7989739608217885E-2</v>
      </c>
      <c r="W1037" s="12">
        <v>2.99</v>
      </c>
      <c r="X1037" s="12">
        <v>2.1</v>
      </c>
      <c r="Y1037" s="12">
        <v>20210729</v>
      </c>
    </row>
    <row r="1038" spans="1:25" x14ac:dyDescent="0.45">
      <c r="A1038" s="3" t="s">
        <v>2022</v>
      </c>
      <c r="B1038" s="3" t="s">
        <v>2023</v>
      </c>
      <c r="C1038" s="6" t="s">
        <v>518</v>
      </c>
      <c r="D1038" s="6" t="s">
        <v>189</v>
      </c>
      <c r="E1038" s="6" t="s">
        <v>248</v>
      </c>
      <c r="F1038" s="6">
        <v>23239.06</v>
      </c>
      <c r="G1038" s="2">
        <v>1.1399999999999999</v>
      </c>
      <c r="H1038" s="2">
        <v>1.65</v>
      </c>
      <c r="I1038" s="2">
        <v>2.31</v>
      </c>
      <c r="J1038" s="47">
        <f t="shared" si="80"/>
        <v>0.44736842105263164</v>
      </c>
      <c r="K1038" s="47">
        <f t="shared" si="81"/>
        <v>0.40000000000000013</v>
      </c>
      <c r="L1038" s="8">
        <v>373.95</v>
      </c>
      <c r="M1038" s="8">
        <v>301.42</v>
      </c>
      <c r="N1038" s="8">
        <v>215.23</v>
      </c>
      <c r="O1038" s="17">
        <f t="shared" si="82"/>
        <v>6.7376235294117643</v>
      </c>
      <c r="P1038" s="17">
        <f t="shared" si="83"/>
        <v>5.3807499999999981</v>
      </c>
      <c r="Q1038" s="5">
        <v>11.71</v>
      </c>
      <c r="R1038" s="9">
        <v>-6.19</v>
      </c>
      <c r="S1038" s="9">
        <v>34.89</v>
      </c>
      <c r="T1038" s="9">
        <v>1236.0749499999999</v>
      </c>
      <c r="U1038" s="9">
        <v>883.03</v>
      </c>
      <c r="V1038" s="45">
        <f t="shared" si="84"/>
        <v>0.39981082182938288</v>
      </c>
      <c r="W1038" s="12">
        <v>6.9</v>
      </c>
      <c r="X1038" s="12">
        <v>0</v>
      </c>
      <c r="Y1038" s="12">
        <v>20210804</v>
      </c>
    </row>
    <row r="1039" spans="1:25" x14ac:dyDescent="0.45">
      <c r="A1039" s="3" t="s">
        <v>4692</v>
      </c>
      <c r="B1039" s="3" t="s">
        <v>4693</v>
      </c>
      <c r="C1039" s="6" t="s">
        <v>520</v>
      </c>
      <c r="D1039" s="6" t="s">
        <v>90</v>
      </c>
      <c r="E1039" s="6" t="s">
        <v>198</v>
      </c>
      <c r="F1039" s="6">
        <v>5942.18</v>
      </c>
      <c r="J1039" s="47" t="e">
        <f t="shared" si="80"/>
        <v>#DIV/0!</v>
      </c>
      <c r="K1039" s="47" t="e">
        <f t="shared" si="81"/>
        <v>#DIV/0!</v>
      </c>
      <c r="O1039" s="17" t="e">
        <f t="shared" si="82"/>
        <v>#DIV/0!</v>
      </c>
      <c r="P1039" s="17" t="e">
        <f t="shared" si="83"/>
        <v>#DIV/0!</v>
      </c>
      <c r="U1039" s="9">
        <v>613.67999999999995</v>
      </c>
      <c r="V1039" s="45">
        <f t="shared" si="84"/>
        <v>-1</v>
      </c>
      <c r="X1039" s="12">
        <v>1.1100000000000001</v>
      </c>
    </row>
    <row r="1040" spans="1:25" x14ac:dyDescent="0.45">
      <c r="A1040" s="3" t="s">
        <v>2024</v>
      </c>
      <c r="B1040" s="3" t="s">
        <v>2025</v>
      </c>
      <c r="C1040" s="6" t="s">
        <v>518</v>
      </c>
      <c r="D1040" s="6" t="s">
        <v>279</v>
      </c>
      <c r="E1040" s="6" t="s">
        <v>260</v>
      </c>
      <c r="F1040" s="6">
        <v>54540.85</v>
      </c>
      <c r="G1040" s="2">
        <v>18.68</v>
      </c>
      <c r="H1040" s="2">
        <v>21.67</v>
      </c>
      <c r="I1040" s="2">
        <v>24.51</v>
      </c>
      <c r="J1040" s="47">
        <f t="shared" si="80"/>
        <v>0.16006423982869389</v>
      </c>
      <c r="K1040" s="47">
        <f t="shared" si="81"/>
        <v>0.13105676049838486</v>
      </c>
      <c r="L1040" s="8">
        <v>20.12</v>
      </c>
      <c r="M1040" s="8">
        <v>19.5</v>
      </c>
      <c r="N1040" s="8">
        <v>17.25</v>
      </c>
      <c r="O1040" s="17">
        <f t="shared" si="82"/>
        <v>1.2182608695652166</v>
      </c>
      <c r="P1040" s="17">
        <f t="shared" si="83"/>
        <v>1.3162235915492959</v>
      </c>
      <c r="Q1040" s="5">
        <v>1.48</v>
      </c>
      <c r="R1040" s="9">
        <v>19.079999999999998</v>
      </c>
      <c r="S1040" s="9">
        <v>8.4700000000000006</v>
      </c>
      <c r="T1040" s="9">
        <v>81317.453120000006</v>
      </c>
      <c r="U1040" s="9">
        <v>77155</v>
      </c>
      <c r="V1040" s="45">
        <f t="shared" si="84"/>
        <v>5.3949233620633863E-2</v>
      </c>
      <c r="W1040" s="12">
        <v>6.38</v>
      </c>
      <c r="X1040" s="12">
        <v>0.66</v>
      </c>
      <c r="Y1040" s="12">
        <v>20210728</v>
      </c>
    </row>
    <row r="1041" spans="1:25" x14ac:dyDescent="0.45">
      <c r="A1041" s="3" t="s">
        <v>2026</v>
      </c>
      <c r="B1041" s="3" t="s">
        <v>2027</v>
      </c>
      <c r="C1041" s="6" t="s">
        <v>518</v>
      </c>
      <c r="D1041" s="6" t="s">
        <v>90</v>
      </c>
      <c r="E1041" s="6" t="s">
        <v>196</v>
      </c>
      <c r="F1041" s="6">
        <v>6036.53</v>
      </c>
      <c r="G1041" s="2">
        <v>0.92</v>
      </c>
      <c r="H1041" s="2">
        <v>2.71</v>
      </c>
      <c r="I1041" s="2">
        <v>2.96</v>
      </c>
      <c r="J1041" s="47">
        <f t="shared" si="80"/>
        <v>1.9456521739130435</v>
      </c>
      <c r="K1041" s="47">
        <f t="shared" si="81"/>
        <v>9.2250922509225092E-2</v>
      </c>
      <c r="L1041" s="8">
        <v>20.170000000000002</v>
      </c>
      <c r="M1041" s="8">
        <v>10.039999999999999</v>
      </c>
      <c r="N1041" s="8">
        <v>9.2100000000000009</v>
      </c>
      <c r="O1041" s="17">
        <f t="shared" si="82"/>
        <v>5.1602234636871504E-2</v>
      </c>
      <c r="P1041" s="17">
        <f t="shared" si="83"/>
        <v>0.99836400000000003</v>
      </c>
      <c r="Q1041" s="5">
        <v>0.19</v>
      </c>
      <c r="R1041" s="9">
        <v>8.51</v>
      </c>
      <c r="S1041" s="9">
        <v>-10.42</v>
      </c>
      <c r="T1041" s="9">
        <v>7404.2768500000002</v>
      </c>
      <c r="U1041" s="9">
        <v>6018</v>
      </c>
      <c r="V1041" s="45">
        <f t="shared" si="84"/>
        <v>0.23035507643735464</v>
      </c>
      <c r="W1041" s="12">
        <v>11.86</v>
      </c>
      <c r="X1041" s="12">
        <v>2.39</v>
      </c>
      <c r="Y1041" s="12">
        <v>20210727</v>
      </c>
    </row>
    <row r="1042" spans="1:25" x14ac:dyDescent="0.45">
      <c r="A1042" s="3" t="s">
        <v>2028</v>
      </c>
      <c r="B1042" s="3" t="s">
        <v>2029</v>
      </c>
      <c r="C1042" s="6" t="s">
        <v>518</v>
      </c>
      <c r="D1042" s="6" t="s">
        <v>189</v>
      </c>
      <c r="E1042" s="6" t="s">
        <v>249</v>
      </c>
      <c r="F1042" s="6">
        <v>3778.29</v>
      </c>
      <c r="G1042" s="2">
        <v>0.77</v>
      </c>
      <c r="H1042" s="2">
        <v>0.46</v>
      </c>
      <c r="I1042" s="2">
        <v>0.67</v>
      </c>
      <c r="J1042" s="47">
        <f t="shared" si="80"/>
        <v>-0.40259740259740256</v>
      </c>
      <c r="K1042" s="47">
        <f t="shared" si="81"/>
        <v>0.45652173913043481</v>
      </c>
      <c r="L1042" s="8">
        <v>20.28</v>
      </c>
      <c r="M1042" s="8">
        <v>34.83</v>
      </c>
      <c r="N1042" s="8">
        <v>23.91</v>
      </c>
      <c r="O1042" s="17">
        <f t="shared" si="82"/>
        <v>-0.86513225806451621</v>
      </c>
      <c r="P1042" s="17">
        <f t="shared" si="83"/>
        <v>0.52374285714285707</v>
      </c>
      <c r="Q1042" s="5">
        <v>5.8</v>
      </c>
      <c r="R1042" s="9">
        <v>9.4</v>
      </c>
      <c r="T1042" s="9">
        <v>1855.375</v>
      </c>
      <c r="U1042" s="9">
        <v>1672.7</v>
      </c>
      <c r="V1042" s="45">
        <f t="shared" si="84"/>
        <v>0.10920966102708193</v>
      </c>
      <c r="W1042" s="12">
        <v>35.71</v>
      </c>
      <c r="X1042" s="12">
        <v>0</v>
      </c>
      <c r="Y1042" s="12">
        <v>20210810</v>
      </c>
    </row>
    <row r="1043" spans="1:25" x14ac:dyDescent="0.45">
      <c r="A1043" s="3" t="s">
        <v>2030</v>
      </c>
      <c r="B1043" s="3" t="s">
        <v>2031</v>
      </c>
      <c r="C1043" s="6" t="s">
        <v>520</v>
      </c>
      <c r="D1043" s="6" t="s">
        <v>234</v>
      </c>
      <c r="E1043" s="6" t="s">
        <v>240</v>
      </c>
      <c r="F1043" s="6">
        <v>20839.16</v>
      </c>
      <c r="G1043" s="2">
        <v>4.24</v>
      </c>
      <c r="H1043" s="2">
        <v>6.11</v>
      </c>
      <c r="I1043" s="2">
        <v>7.32</v>
      </c>
      <c r="J1043" s="47">
        <f t="shared" si="80"/>
        <v>0.44103773584905659</v>
      </c>
      <c r="K1043" s="47">
        <f t="shared" si="81"/>
        <v>0.19803600654664483</v>
      </c>
      <c r="L1043" s="8">
        <v>19.07</v>
      </c>
      <c r="M1043" s="8">
        <v>14.14</v>
      </c>
      <c r="N1043" s="8">
        <v>11.8</v>
      </c>
      <c r="O1043" s="17">
        <f t="shared" si="82"/>
        <v>0.32060748663101607</v>
      </c>
      <c r="P1043" s="17">
        <f t="shared" si="83"/>
        <v>0.59585123966942155</v>
      </c>
      <c r="R1043" s="9">
        <v>8.07</v>
      </c>
      <c r="S1043" s="9">
        <v>10.94</v>
      </c>
      <c r="T1043" s="9">
        <v>28421.240229999999</v>
      </c>
      <c r="U1043" s="9">
        <v>26320.99</v>
      </c>
      <c r="V1043" s="45">
        <f t="shared" si="84"/>
        <v>7.9793739901120653E-2</v>
      </c>
      <c r="X1043" s="12">
        <v>2.31</v>
      </c>
      <c r="Y1043" s="12">
        <v>20210730</v>
      </c>
    </row>
    <row r="1044" spans="1:25" x14ac:dyDescent="0.45">
      <c r="A1044" s="3" t="s">
        <v>2032</v>
      </c>
      <c r="B1044" s="3" t="s">
        <v>2033</v>
      </c>
      <c r="C1044" s="6" t="s">
        <v>519</v>
      </c>
      <c r="D1044" s="6" t="s">
        <v>234</v>
      </c>
      <c r="E1044" s="6" t="s">
        <v>172</v>
      </c>
      <c r="F1044" s="6">
        <v>4177.71</v>
      </c>
      <c r="G1044" s="2">
        <v>-0.82</v>
      </c>
      <c r="H1044" s="2">
        <v>4.63</v>
      </c>
      <c r="I1044" s="2">
        <v>4.24</v>
      </c>
      <c r="J1044" s="47">
        <f t="shared" si="80"/>
        <v>6.6463414634146352</v>
      </c>
      <c r="K1044" s="47">
        <f t="shared" si="81"/>
        <v>-8.4233261339092799E-2</v>
      </c>
      <c r="L1044" s="8">
        <v>28.15</v>
      </c>
      <c r="M1044" s="8">
        <v>10.39</v>
      </c>
      <c r="N1044" s="8">
        <v>11.34</v>
      </c>
      <c r="O1044" s="17">
        <f t="shared" si="82"/>
        <v>1.5632660550458713E-2</v>
      </c>
      <c r="P1044" s="17">
        <f t="shared" si="83"/>
        <v>-1.3462615384615397</v>
      </c>
      <c r="Q1044" s="5">
        <v>1.3</v>
      </c>
      <c r="R1044" s="9">
        <v>4.57</v>
      </c>
      <c r="S1044" s="9">
        <v>9.7200000000000006</v>
      </c>
      <c r="T1044" s="9">
        <v>1271.4799800000001</v>
      </c>
      <c r="U1044" s="9">
        <v>1382.41</v>
      </c>
      <c r="V1044" s="45">
        <f t="shared" si="84"/>
        <v>-8.0243936314118108E-2</v>
      </c>
      <c r="W1044" s="12">
        <v>24.74</v>
      </c>
      <c r="X1044" s="12">
        <v>2.2400000000000002</v>
      </c>
      <c r="Y1044" s="12">
        <v>20210720</v>
      </c>
    </row>
    <row r="1045" spans="1:25" x14ac:dyDescent="0.45">
      <c r="A1045" s="3" t="s">
        <v>2034</v>
      </c>
      <c r="B1045" s="3" t="s">
        <v>2035</v>
      </c>
      <c r="C1045" s="6" t="s">
        <v>520</v>
      </c>
      <c r="D1045" s="6" t="s">
        <v>216</v>
      </c>
      <c r="E1045" s="6" t="s">
        <v>232</v>
      </c>
      <c r="F1045" s="6">
        <v>6488.13</v>
      </c>
      <c r="G1045" s="2">
        <v>1.17</v>
      </c>
      <c r="H1045" s="2">
        <v>1.93</v>
      </c>
      <c r="I1045" s="2">
        <v>2.2599999999999998</v>
      </c>
      <c r="J1045" s="47">
        <f t="shared" si="80"/>
        <v>0.6495726495726496</v>
      </c>
      <c r="K1045" s="47">
        <f t="shared" si="81"/>
        <v>0.17098445595854914</v>
      </c>
      <c r="M1045" s="8">
        <v>22.45</v>
      </c>
      <c r="N1045" s="8">
        <v>19.23</v>
      </c>
      <c r="O1045" s="17">
        <f t="shared" si="82"/>
        <v>0.34561184210526319</v>
      </c>
      <c r="P1045" s="17">
        <f t="shared" si="83"/>
        <v>1.1246636363636371</v>
      </c>
      <c r="T1045" s="9">
        <v>2379.37988</v>
      </c>
      <c r="U1045" s="9">
        <v>2022.1</v>
      </c>
      <c r="V1045" s="45">
        <f t="shared" si="84"/>
        <v>0.17668754265367689</v>
      </c>
      <c r="X1045" s="12">
        <v>1.07</v>
      </c>
    </row>
    <row r="1046" spans="1:25" x14ac:dyDescent="0.45">
      <c r="A1046" s="3" t="s">
        <v>2036</v>
      </c>
      <c r="B1046" s="3" t="s">
        <v>2037</v>
      </c>
      <c r="C1046" s="6" t="s">
        <v>518</v>
      </c>
      <c r="D1046" s="6" t="s">
        <v>210</v>
      </c>
      <c r="E1046" s="6" t="s">
        <v>215</v>
      </c>
      <c r="F1046" s="6">
        <v>15214.4</v>
      </c>
      <c r="G1046" s="2">
        <v>0.73</v>
      </c>
      <c r="H1046" s="2">
        <v>0.98</v>
      </c>
      <c r="I1046" s="2">
        <v>1.53</v>
      </c>
      <c r="J1046" s="47">
        <f t="shared" si="80"/>
        <v>0.34246575342465752</v>
      </c>
      <c r="K1046" s="47">
        <f t="shared" si="81"/>
        <v>0.56122448979591844</v>
      </c>
      <c r="L1046" s="8">
        <v>44.91</v>
      </c>
      <c r="M1046" s="8">
        <v>35.619999999999997</v>
      </c>
      <c r="N1046" s="8">
        <v>22.85</v>
      </c>
      <c r="O1046" s="17">
        <f t="shared" si="82"/>
        <v>1.0401039999999999</v>
      </c>
      <c r="P1046" s="17">
        <f t="shared" si="83"/>
        <v>0.40714545454545453</v>
      </c>
      <c r="R1046" s="9">
        <v>9.9600000000000009</v>
      </c>
      <c r="S1046" s="9">
        <v>-16.72</v>
      </c>
      <c r="T1046" s="9">
        <v>5066.0698199999997</v>
      </c>
      <c r="U1046" s="9">
        <v>5259</v>
      </c>
      <c r="V1046" s="45">
        <f t="shared" si="84"/>
        <v>-3.6685715915573361E-2</v>
      </c>
      <c r="W1046" s="12">
        <v>10</v>
      </c>
      <c r="X1046" s="12">
        <v>0</v>
      </c>
      <c r="Y1046" s="12">
        <v>20210805</v>
      </c>
    </row>
    <row r="1047" spans="1:25" x14ac:dyDescent="0.45">
      <c r="A1047" s="3" t="s">
        <v>2038</v>
      </c>
      <c r="B1047" s="3" t="s">
        <v>2039</v>
      </c>
      <c r="C1047" s="6" t="s">
        <v>518</v>
      </c>
      <c r="D1047" s="6" t="s">
        <v>10</v>
      </c>
      <c r="E1047" s="6" t="s">
        <v>29</v>
      </c>
      <c r="F1047" s="6">
        <v>5131.07</v>
      </c>
      <c r="G1047" s="2">
        <v>0.25</v>
      </c>
      <c r="H1047" s="2">
        <v>0.23</v>
      </c>
      <c r="I1047" s="2">
        <v>1.64</v>
      </c>
      <c r="J1047" s="47">
        <f t="shared" si="80"/>
        <v>-7.999999999999996E-2</v>
      </c>
      <c r="K1047" s="47">
        <f t="shared" si="81"/>
        <v>6.1304347826086953</v>
      </c>
      <c r="M1047" s="8">
        <v>264.01</v>
      </c>
      <c r="N1047" s="8">
        <v>37.31</v>
      </c>
      <c r="O1047" s="17">
        <f t="shared" si="82"/>
        <v>-33.001250000000013</v>
      </c>
      <c r="P1047" s="17">
        <f t="shared" si="83"/>
        <v>6.0860283687943273E-2</v>
      </c>
      <c r="R1047" s="9">
        <v>-2.8</v>
      </c>
      <c r="S1047" s="9">
        <v>-2.5299999999999998</v>
      </c>
      <c r="T1047" s="9">
        <v>1378.5749499999999</v>
      </c>
      <c r="U1047" s="9">
        <v>1502.4</v>
      </c>
      <c r="V1047" s="45">
        <f t="shared" si="84"/>
        <v>-8.2418164270500624E-2</v>
      </c>
      <c r="W1047" s="12">
        <v>37.5</v>
      </c>
      <c r="X1047" s="12">
        <v>0</v>
      </c>
      <c r="Y1047" s="12">
        <v>20210726</v>
      </c>
    </row>
    <row r="1048" spans="1:25" x14ac:dyDescent="0.45">
      <c r="A1048" s="3" t="s">
        <v>4694</v>
      </c>
      <c r="B1048" s="3" t="s">
        <v>4695</v>
      </c>
      <c r="C1048" s="6" t="s">
        <v>518</v>
      </c>
      <c r="D1048" s="6" t="s">
        <v>234</v>
      </c>
      <c r="E1048" s="6" t="s">
        <v>904</v>
      </c>
      <c r="F1048" s="6">
        <v>21621.439999999999</v>
      </c>
      <c r="J1048" s="47" t="e">
        <f t="shared" si="80"/>
        <v>#DIV/0!</v>
      </c>
      <c r="K1048" s="47" t="e">
        <f t="shared" si="81"/>
        <v>#DIV/0!</v>
      </c>
      <c r="O1048" s="17" t="e">
        <f t="shared" si="82"/>
        <v>#DIV/0!</v>
      </c>
      <c r="P1048" s="17" t="e">
        <f t="shared" si="83"/>
        <v>#DIV/0!</v>
      </c>
      <c r="V1048" s="45" t="e">
        <f t="shared" si="84"/>
        <v>#DIV/0!</v>
      </c>
      <c r="X1048" s="12">
        <v>4.51</v>
      </c>
    </row>
    <row r="1049" spans="1:25" x14ac:dyDescent="0.45">
      <c r="A1049" s="3" t="s">
        <v>4696</v>
      </c>
      <c r="B1049" s="3" t="s">
        <v>4697</v>
      </c>
      <c r="C1049" s="6" t="s">
        <v>520</v>
      </c>
      <c r="D1049" s="6" t="s">
        <v>46</v>
      </c>
      <c r="E1049" s="6" t="s">
        <v>66</v>
      </c>
      <c r="F1049" s="6">
        <v>19016.45</v>
      </c>
      <c r="J1049" s="47" t="e">
        <f t="shared" si="80"/>
        <v>#DIV/0!</v>
      </c>
      <c r="K1049" s="47" t="e">
        <f t="shared" si="81"/>
        <v>#DIV/0!</v>
      </c>
      <c r="O1049" s="17" t="e">
        <f t="shared" si="82"/>
        <v>#DIV/0!</v>
      </c>
      <c r="P1049" s="17" t="e">
        <f t="shared" si="83"/>
        <v>#DIV/0!</v>
      </c>
      <c r="V1049" s="45" t="e">
        <f t="shared" si="84"/>
        <v>#DIV/0!</v>
      </c>
      <c r="X1049" s="12">
        <v>0</v>
      </c>
    </row>
    <row r="1050" spans="1:25" x14ac:dyDescent="0.45">
      <c r="A1050" s="3" t="s">
        <v>4698</v>
      </c>
      <c r="B1050" s="3" t="s">
        <v>4699</v>
      </c>
      <c r="C1050" s="6" t="s">
        <v>520</v>
      </c>
      <c r="D1050" s="6" t="s">
        <v>279</v>
      </c>
      <c r="E1050" s="6" t="s">
        <v>258</v>
      </c>
      <c r="F1050" s="6">
        <v>4402.34</v>
      </c>
      <c r="J1050" s="47" t="e">
        <f t="shared" si="80"/>
        <v>#DIV/0!</v>
      </c>
      <c r="K1050" s="47" t="e">
        <f t="shared" si="81"/>
        <v>#DIV/0!</v>
      </c>
      <c r="L1050" s="8">
        <v>17.38</v>
      </c>
      <c r="O1050" s="17" t="e">
        <f t="shared" si="82"/>
        <v>#DIV/0!</v>
      </c>
      <c r="P1050" s="17" t="e">
        <f t="shared" si="83"/>
        <v>#DIV/0!</v>
      </c>
      <c r="R1050" s="9">
        <v>14.8</v>
      </c>
      <c r="S1050" s="9">
        <v>-5.72</v>
      </c>
      <c r="U1050" s="9">
        <v>793.81</v>
      </c>
      <c r="V1050" s="45">
        <f t="shared" si="84"/>
        <v>-1</v>
      </c>
      <c r="X1050" s="12">
        <v>2.0499999999999998</v>
      </c>
      <c r="Y1050" s="12">
        <v>20210723</v>
      </c>
    </row>
    <row r="1051" spans="1:25" x14ac:dyDescent="0.45">
      <c r="A1051" s="3" t="s">
        <v>2040</v>
      </c>
      <c r="B1051" s="3" t="s">
        <v>2041</v>
      </c>
      <c r="C1051" s="6" t="s">
        <v>519</v>
      </c>
      <c r="D1051" s="6" t="s">
        <v>279</v>
      </c>
      <c r="E1051" s="6" t="s">
        <v>256</v>
      </c>
      <c r="F1051" s="6">
        <v>20415.73</v>
      </c>
      <c r="G1051" s="2">
        <v>3.64</v>
      </c>
      <c r="H1051" s="2">
        <v>3.62</v>
      </c>
      <c r="I1051" s="2">
        <v>5.18</v>
      </c>
      <c r="J1051" s="47">
        <f t="shared" si="80"/>
        <v>-5.4945054945054993E-3</v>
      </c>
      <c r="K1051" s="47">
        <f t="shared" si="81"/>
        <v>0.43093922651933692</v>
      </c>
      <c r="L1051" s="8">
        <v>26.1</v>
      </c>
      <c r="M1051" s="8">
        <v>25.08</v>
      </c>
      <c r="N1051" s="8">
        <v>17.54</v>
      </c>
      <c r="O1051" s="17">
        <f t="shared" si="82"/>
        <v>-45.645599999999959</v>
      </c>
      <c r="P1051" s="17">
        <f t="shared" si="83"/>
        <v>0.40701794871794883</v>
      </c>
      <c r="Q1051" s="5">
        <v>1.79</v>
      </c>
      <c r="R1051" s="9">
        <v>22.28</v>
      </c>
      <c r="S1051" s="9">
        <v>17.45</v>
      </c>
      <c r="T1051" s="9">
        <v>2825.2080000000001</v>
      </c>
      <c r="U1051" s="9">
        <v>2200.4299999999998</v>
      </c>
      <c r="V1051" s="45">
        <f t="shared" si="84"/>
        <v>0.2839345037106385</v>
      </c>
      <c r="W1051" s="12">
        <v>-57.14</v>
      </c>
      <c r="X1051" s="12">
        <v>0</v>
      </c>
      <c r="Y1051" s="12">
        <v>20210804</v>
      </c>
    </row>
    <row r="1052" spans="1:25" x14ac:dyDescent="0.45">
      <c r="A1052" s="3" t="s">
        <v>2042</v>
      </c>
      <c r="B1052" s="3" t="s">
        <v>2043</v>
      </c>
      <c r="C1052" s="6" t="s">
        <v>518</v>
      </c>
      <c r="D1052" s="6" t="s">
        <v>46</v>
      </c>
      <c r="E1052" s="6" t="s">
        <v>63</v>
      </c>
      <c r="F1052" s="6">
        <v>7551.69</v>
      </c>
      <c r="G1052" s="2">
        <v>1.49</v>
      </c>
      <c r="H1052" s="2">
        <v>2.08</v>
      </c>
      <c r="I1052" s="2">
        <v>2.33</v>
      </c>
      <c r="J1052" s="47">
        <f t="shared" si="80"/>
        <v>0.39597315436241615</v>
      </c>
      <c r="K1052" s="47">
        <f t="shared" si="81"/>
        <v>0.12019230769230768</v>
      </c>
      <c r="L1052" s="8">
        <v>32.21</v>
      </c>
      <c r="M1052" s="8">
        <v>26.89</v>
      </c>
      <c r="N1052" s="8">
        <v>24.07</v>
      </c>
      <c r="O1052" s="17">
        <f t="shared" si="82"/>
        <v>0.67908644067796609</v>
      </c>
      <c r="P1052" s="17">
        <f t="shared" si="83"/>
        <v>2.0026240000000004</v>
      </c>
      <c r="R1052" s="9">
        <v>669.99</v>
      </c>
      <c r="T1052" s="9">
        <v>1609</v>
      </c>
      <c r="U1052" s="9">
        <v>1384.9</v>
      </c>
      <c r="V1052" s="45">
        <f t="shared" si="84"/>
        <v>0.16181673767058985</v>
      </c>
      <c r="W1052" s="12">
        <v>26.09</v>
      </c>
      <c r="X1052" s="12">
        <v>0</v>
      </c>
      <c r="Y1052" s="12">
        <v>20210803</v>
      </c>
    </row>
    <row r="1053" spans="1:25" x14ac:dyDescent="0.45">
      <c r="A1053" s="3" t="s">
        <v>2044</v>
      </c>
      <c r="B1053" s="3" t="s">
        <v>2045</v>
      </c>
      <c r="C1053" s="6" t="s">
        <v>519</v>
      </c>
      <c r="D1053" s="6" t="s">
        <v>272</v>
      </c>
      <c r="E1053" s="6" t="s">
        <v>233</v>
      </c>
      <c r="F1053" s="6">
        <v>12821.35</v>
      </c>
      <c r="G1053" s="2">
        <v>-3.33</v>
      </c>
      <c r="H1053" s="2">
        <v>1.41</v>
      </c>
      <c r="I1053" s="2">
        <v>-0.05</v>
      </c>
      <c r="J1053" s="47">
        <f t="shared" si="80"/>
        <v>1.4234234234234235</v>
      </c>
      <c r="K1053" s="47">
        <f t="shared" si="81"/>
        <v>-1.0354609929078014</v>
      </c>
      <c r="M1053" s="8">
        <v>109.25</v>
      </c>
      <c r="O1053" s="17">
        <f t="shared" si="82"/>
        <v>0.76751582278481001</v>
      </c>
      <c r="P1053" s="17">
        <f t="shared" si="83"/>
        <v>0</v>
      </c>
      <c r="Q1053" s="5">
        <v>10.93</v>
      </c>
      <c r="T1053" s="9">
        <v>3670.2561000000001</v>
      </c>
      <c r="U1053" s="9">
        <v>3047.68</v>
      </c>
      <c r="V1053" s="45">
        <f t="shared" si="84"/>
        <v>0.20427869723855532</v>
      </c>
      <c r="W1053" s="12">
        <v>164.52</v>
      </c>
      <c r="X1053" s="12">
        <v>0</v>
      </c>
      <c r="Y1053" s="12">
        <v>20210809</v>
      </c>
    </row>
    <row r="1054" spans="1:25" x14ac:dyDescent="0.45">
      <c r="A1054" s="3" t="s">
        <v>2046</v>
      </c>
      <c r="B1054" s="3" t="s">
        <v>2047</v>
      </c>
      <c r="C1054" s="6" t="s">
        <v>519</v>
      </c>
      <c r="D1054" s="6" t="s">
        <v>279</v>
      </c>
      <c r="E1054" s="6" t="s">
        <v>262</v>
      </c>
      <c r="F1054" s="6">
        <v>5814.46</v>
      </c>
      <c r="G1054" s="2">
        <v>2.36</v>
      </c>
      <c r="H1054" s="2">
        <v>2.92</v>
      </c>
      <c r="I1054" s="2">
        <v>3.35</v>
      </c>
      <c r="J1054" s="47">
        <f t="shared" si="80"/>
        <v>0.23728813559322037</v>
      </c>
      <c r="K1054" s="47">
        <f t="shared" si="81"/>
        <v>0.1472602739726028</v>
      </c>
      <c r="L1054" s="8">
        <v>25.85</v>
      </c>
      <c r="M1054" s="8">
        <v>23.59</v>
      </c>
      <c r="N1054" s="8">
        <v>20.52</v>
      </c>
      <c r="O1054" s="17">
        <f t="shared" si="82"/>
        <v>0.99414999999999987</v>
      </c>
      <c r="P1054" s="17">
        <f t="shared" si="83"/>
        <v>1.3934511627906971</v>
      </c>
      <c r="Q1054" s="5">
        <v>1.68</v>
      </c>
      <c r="R1054" s="9">
        <v>15.63</v>
      </c>
      <c r="S1054" s="9">
        <v>9.9499999999999993</v>
      </c>
      <c r="T1054" s="9">
        <v>1532.3360499999999</v>
      </c>
      <c r="U1054" s="9">
        <v>1371.87</v>
      </c>
      <c r="V1054" s="45">
        <f t="shared" si="84"/>
        <v>0.11696884544453921</v>
      </c>
      <c r="W1054" s="12">
        <v>23.21</v>
      </c>
      <c r="X1054" s="12">
        <v>0</v>
      </c>
      <c r="Y1054" s="12">
        <v>20210809</v>
      </c>
    </row>
    <row r="1055" spans="1:25" x14ac:dyDescent="0.45">
      <c r="A1055" s="3" t="s">
        <v>4700</v>
      </c>
      <c r="B1055" s="3" t="s">
        <v>4701</v>
      </c>
      <c r="C1055" s="6" t="s">
        <v>518</v>
      </c>
      <c r="D1055" s="6" t="s">
        <v>234</v>
      </c>
      <c r="E1055" s="6" t="s">
        <v>904</v>
      </c>
      <c r="F1055" s="6">
        <v>30570.69</v>
      </c>
      <c r="J1055" s="47" t="e">
        <f t="shared" si="80"/>
        <v>#DIV/0!</v>
      </c>
      <c r="K1055" s="47" t="e">
        <f t="shared" si="81"/>
        <v>#DIV/0!</v>
      </c>
      <c r="O1055" s="17" t="e">
        <f t="shared" si="82"/>
        <v>#DIV/0!</v>
      </c>
      <c r="P1055" s="17" t="e">
        <f t="shared" si="83"/>
        <v>#DIV/0!</v>
      </c>
      <c r="R1055" s="9">
        <v>-13.44</v>
      </c>
      <c r="V1055" s="45" t="e">
        <f t="shared" si="84"/>
        <v>#DIV/0!</v>
      </c>
      <c r="X1055" s="12">
        <v>0</v>
      </c>
    </row>
    <row r="1056" spans="1:25" x14ac:dyDescent="0.45">
      <c r="A1056" s="3" t="s">
        <v>4702</v>
      </c>
      <c r="B1056" s="3" t="s">
        <v>4703</v>
      </c>
      <c r="C1056" s="6" t="s">
        <v>519</v>
      </c>
      <c r="D1056" s="6" t="s">
        <v>234</v>
      </c>
      <c r="E1056" s="6" t="s">
        <v>904</v>
      </c>
      <c r="F1056" s="6">
        <v>11027.04</v>
      </c>
      <c r="J1056" s="47" t="e">
        <f t="shared" si="80"/>
        <v>#DIV/0!</v>
      </c>
      <c r="K1056" s="47" t="e">
        <f t="shared" si="81"/>
        <v>#DIV/0!</v>
      </c>
      <c r="O1056" s="17" t="e">
        <f t="shared" si="82"/>
        <v>#DIV/0!</v>
      </c>
      <c r="P1056" s="17" t="e">
        <f t="shared" si="83"/>
        <v>#DIV/0!</v>
      </c>
      <c r="V1056" s="45" t="e">
        <f t="shared" si="84"/>
        <v>#DIV/0!</v>
      </c>
      <c r="X1056" s="12">
        <v>0.24</v>
      </c>
    </row>
    <row r="1057" spans="1:25" x14ac:dyDescent="0.45">
      <c r="A1057" s="3" t="s">
        <v>4186</v>
      </c>
      <c r="B1057" s="3" t="s">
        <v>4187</v>
      </c>
      <c r="C1057" s="6" t="s">
        <v>520</v>
      </c>
      <c r="D1057" s="6" t="s">
        <v>327</v>
      </c>
      <c r="E1057" s="6" t="s">
        <v>321</v>
      </c>
      <c r="F1057" s="6">
        <v>82868.3</v>
      </c>
      <c r="H1057" s="2">
        <v>2.61</v>
      </c>
      <c r="I1057" s="2">
        <v>3.34</v>
      </c>
      <c r="J1057" s="47" t="e">
        <f t="shared" si="80"/>
        <v>#DIV/0!</v>
      </c>
      <c r="K1057" s="47">
        <f t="shared" si="81"/>
        <v>0.27969348659003834</v>
      </c>
      <c r="L1057" s="8">
        <v>20.88</v>
      </c>
      <c r="M1057" s="8">
        <v>20</v>
      </c>
      <c r="N1057" s="8">
        <v>15.63</v>
      </c>
      <c r="O1057" s="17" t="e">
        <f t="shared" si="82"/>
        <v>#DIV/0!</v>
      </c>
      <c r="P1057" s="17">
        <f t="shared" si="83"/>
        <v>0.55882602739726028</v>
      </c>
      <c r="R1057" s="9">
        <v>7.96</v>
      </c>
      <c r="S1057" s="9">
        <v>6.31</v>
      </c>
      <c r="T1057" s="9">
        <v>42674.28125</v>
      </c>
      <c r="U1057" s="9">
        <v>37858.43</v>
      </c>
      <c r="V1057" s="45">
        <f t="shared" si="84"/>
        <v>0.12720684006177752</v>
      </c>
      <c r="X1057" s="12">
        <v>2.37</v>
      </c>
      <c r="Y1057" s="12">
        <v>20210728</v>
      </c>
    </row>
    <row r="1058" spans="1:25" x14ac:dyDescent="0.45">
      <c r="A1058" s="3" t="s">
        <v>2048</v>
      </c>
      <c r="B1058" s="3" t="s">
        <v>2049</v>
      </c>
      <c r="C1058" s="6" t="s">
        <v>519</v>
      </c>
      <c r="D1058" s="6" t="s">
        <v>234</v>
      </c>
      <c r="E1058" s="6" t="s">
        <v>1642</v>
      </c>
      <c r="F1058" s="6">
        <v>27191.41</v>
      </c>
      <c r="G1058" s="2">
        <v>2.37</v>
      </c>
      <c r="H1058" s="2">
        <v>3.04</v>
      </c>
      <c r="I1058" s="2">
        <v>3.04</v>
      </c>
      <c r="J1058" s="47">
        <f t="shared" si="80"/>
        <v>0.2827004219409282</v>
      </c>
      <c r="K1058" s="47">
        <f t="shared" si="81"/>
        <v>0</v>
      </c>
      <c r="L1058" s="8">
        <v>23.55</v>
      </c>
      <c r="M1058" s="8">
        <v>21.46</v>
      </c>
      <c r="N1058" s="8">
        <v>21.46</v>
      </c>
      <c r="O1058" s="17">
        <f t="shared" si="82"/>
        <v>0.75910746268656737</v>
      </c>
      <c r="P1058" s="17" t="e">
        <f t="shared" si="83"/>
        <v>#DIV/0!</v>
      </c>
      <c r="R1058" s="9">
        <v>2.68</v>
      </c>
      <c r="S1058" s="9">
        <v>15.35</v>
      </c>
      <c r="T1058" s="9">
        <v>2605.9499500000002</v>
      </c>
      <c r="U1058" s="9">
        <v>2479</v>
      </c>
      <c r="V1058" s="45">
        <f t="shared" si="84"/>
        <v>5.1210145219846778E-2</v>
      </c>
      <c r="W1058" s="12">
        <v>8.89</v>
      </c>
      <c r="X1058" s="12">
        <v>0.61</v>
      </c>
      <c r="Y1058" s="12">
        <v>20210720</v>
      </c>
    </row>
    <row r="1059" spans="1:25" x14ac:dyDescent="0.45">
      <c r="A1059" s="3" t="s">
        <v>2050</v>
      </c>
      <c r="B1059" s="3" t="s">
        <v>2051</v>
      </c>
      <c r="C1059" s="6" t="s">
        <v>518</v>
      </c>
      <c r="D1059" s="6" t="s">
        <v>189</v>
      </c>
      <c r="E1059" s="6" t="s">
        <v>200</v>
      </c>
      <c r="F1059" s="6">
        <v>134627.07999999999</v>
      </c>
      <c r="G1059" s="2">
        <v>8.36</v>
      </c>
      <c r="H1059" s="2">
        <v>10.86</v>
      </c>
      <c r="I1059" s="2">
        <v>11.94</v>
      </c>
      <c r="J1059" s="47">
        <f t="shared" si="80"/>
        <v>0.29904306220095694</v>
      </c>
      <c r="K1059" s="47">
        <f t="shared" si="81"/>
        <v>9.9447513812154706E-2</v>
      </c>
      <c r="L1059" s="8">
        <v>17.52</v>
      </c>
      <c r="M1059" s="8">
        <v>13.87</v>
      </c>
      <c r="N1059" s="8">
        <v>12.62</v>
      </c>
      <c r="O1059" s="17">
        <f t="shared" si="82"/>
        <v>0.46381279999999997</v>
      </c>
      <c r="P1059" s="17">
        <f t="shared" si="83"/>
        <v>1.2690111111111111</v>
      </c>
      <c r="Q1059" s="5">
        <v>1.72</v>
      </c>
      <c r="R1059" s="9">
        <v>36.67</v>
      </c>
      <c r="S1059" s="9">
        <v>-1.63</v>
      </c>
      <c r="T1059" s="9">
        <v>74225.25</v>
      </c>
      <c r="U1059" s="9">
        <v>73620</v>
      </c>
      <c r="V1059" s="45">
        <f t="shared" si="84"/>
        <v>8.2212713936430318E-3</v>
      </c>
      <c r="W1059" s="12">
        <v>5.99</v>
      </c>
      <c r="X1059" s="12">
        <v>4.3499999999999996</v>
      </c>
      <c r="Y1059" s="12">
        <v>20210719</v>
      </c>
    </row>
    <row r="1060" spans="1:25" x14ac:dyDescent="0.45">
      <c r="A1060" s="3" t="s">
        <v>2052</v>
      </c>
      <c r="B1060" s="3" t="s">
        <v>2053</v>
      </c>
      <c r="C1060" s="6" t="s">
        <v>518</v>
      </c>
      <c r="D1060" s="6" t="s">
        <v>234</v>
      </c>
      <c r="E1060" s="6" t="s">
        <v>105</v>
      </c>
      <c r="F1060" s="6">
        <v>60256.85</v>
      </c>
      <c r="G1060" s="2">
        <v>0.66</v>
      </c>
      <c r="H1060" s="2">
        <v>0.81</v>
      </c>
      <c r="I1060" s="2">
        <v>1</v>
      </c>
      <c r="J1060" s="47">
        <f t="shared" si="80"/>
        <v>0.22727272727272729</v>
      </c>
      <c r="K1060" s="47">
        <f t="shared" si="81"/>
        <v>0.23456790123456783</v>
      </c>
      <c r="L1060" s="8">
        <v>27.23</v>
      </c>
      <c r="M1060" s="8">
        <v>21.39</v>
      </c>
      <c r="N1060" s="8">
        <v>17.43</v>
      </c>
      <c r="O1060" s="17">
        <f t="shared" si="82"/>
        <v>0.94115999999999989</v>
      </c>
      <c r="P1060" s="17">
        <f t="shared" si="83"/>
        <v>0.74306842105263171</v>
      </c>
      <c r="Q1060" s="5">
        <v>0.45</v>
      </c>
      <c r="R1060" s="9">
        <v>10.52</v>
      </c>
      <c r="S1060" s="9">
        <v>4.7699999999999996</v>
      </c>
      <c r="T1060" s="9">
        <v>8418.2929600000007</v>
      </c>
      <c r="U1060" s="9">
        <v>13416.33</v>
      </c>
      <c r="V1060" s="45">
        <f t="shared" si="84"/>
        <v>-0.37253384793009708</v>
      </c>
      <c r="W1060" s="12">
        <v>-5.56</v>
      </c>
      <c r="X1060" s="12">
        <v>0</v>
      </c>
      <c r="Y1060" s="12">
        <v>20210723</v>
      </c>
    </row>
    <row r="1061" spans="1:25" x14ac:dyDescent="0.45">
      <c r="A1061" s="3" t="s">
        <v>2054</v>
      </c>
      <c r="B1061" s="3" t="s">
        <v>2055</v>
      </c>
      <c r="C1061" s="6" t="s">
        <v>518</v>
      </c>
      <c r="D1061" s="6" t="s">
        <v>210</v>
      </c>
      <c r="E1061" s="6" t="s">
        <v>191</v>
      </c>
      <c r="F1061" s="6">
        <v>3539.86</v>
      </c>
      <c r="G1061" s="2">
        <v>4.29</v>
      </c>
      <c r="H1061" s="2">
        <v>5.65</v>
      </c>
      <c r="I1061" s="2">
        <v>6.76</v>
      </c>
      <c r="J1061" s="47">
        <f t="shared" si="80"/>
        <v>0.31701631701631711</v>
      </c>
      <c r="K1061" s="47">
        <f t="shared" si="81"/>
        <v>0.19646017699115034</v>
      </c>
      <c r="L1061" s="8">
        <v>26.73</v>
      </c>
      <c r="M1061" s="8">
        <v>21.1</v>
      </c>
      <c r="N1061" s="8">
        <v>17.63</v>
      </c>
      <c r="O1061" s="17">
        <f t="shared" si="82"/>
        <v>0.66558088235294099</v>
      </c>
      <c r="P1061" s="17">
        <f t="shared" si="83"/>
        <v>0.89738288288288326</v>
      </c>
      <c r="R1061" s="9">
        <v>42.84</v>
      </c>
      <c r="S1061" s="9">
        <v>17.739999999999998</v>
      </c>
      <c r="T1061" s="9">
        <v>1924.9830300000001</v>
      </c>
      <c r="U1061" s="9">
        <v>1653.22</v>
      </c>
      <c r="V1061" s="45">
        <f t="shared" si="84"/>
        <v>0.16438406866599731</v>
      </c>
      <c r="W1061" s="12">
        <v>-12.62</v>
      </c>
      <c r="X1061" s="12">
        <v>1.01</v>
      </c>
      <c r="Y1061" s="12">
        <v>20210805</v>
      </c>
    </row>
    <row r="1062" spans="1:25" x14ac:dyDescent="0.45">
      <c r="A1062" s="3" t="s">
        <v>3825</v>
      </c>
      <c r="B1062" s="3" t="s">
        <v>3826</v>
      </c>
      <c r="C1062" s="6" t="s">
        <v>519</v>
      </c>
      <c r="D1062" s="6" t="s">
        <v>234</v>
      </c>
      <c r="E1062" s="6" t="s">
        <v>172</v>
      </c>
      <c r="F1062" s="6">
        <v>3392.34</v>
      </c>
      <c r="G1062" s="2">
        <v>4.66</v>
      </c>
      <c r="H1062" s="2">
        <v>5.18</v>
      </c>
      <c r="I1062" s="2">
        <v>5.03</v>
      </c>
      <c r="J1062" s="47">
        <f t="shared" si="80"/>
        <v>0.11158798283261794</v>
      </c>
      <c r="K1062" s="47">
        <f t="shared" si="81"/>
        <v>-2.8957528957528855E-2</v>
      </c>
      <c r="L1062" s="8">
        <v>14.96</v>
      </c>
      <c r="M1062" s="8">
        <v>15.15</v>
      </c>
      <c r="N1062" s="8">
        <v>15.6</v>
      </c>
      <c r="O1062" s="17">
        <f t="shared" si="82"/>
        <v>1.357673076923078</v>
      </c>
      <c r="P1062" s="17">
        <f t="shared" si="83"/>
        <v>-5.3872000000000186</v>
      </c>
      <c r="R1062" s="9">
        <v>9.15</v>
      </c>
      <c r="S1062" s="9">
        <v>35.049999999999997</v>
      </c>
      <c r="T1062" s="9">
        <v>594.90002000000004</v>
      </c>
      <c r="U1062" s="9">
        <v>696.57</v>
      </c>
      <c r="V1062" s="45">
        <f t="shared" si="84"/>
        <v>-0.145958022883558</v>
      </c>
      <c r="W1062" s="12">
        <v>6.92</v>
      </c>
      <c r="X1062" s="12">
        <v>1.63</v>
      </c>
      <c r="Y1062" s="12">
        <v>20210727</v>
      </c>
    </row>
    <row r="1063" spans="1:25" x14ac:dyDescent="0.45">
      <c r="A1063" s="3" t="s">
        <v>2056</v>
      </c>
      <c r="B1063" s="3" t="s">
        <v>2057</v>
      </c>
      <c r="C1063" s="6" t="s">
        <v>520</v>
      </c>
      <c r="D1063" s="6" t="s">
        <v>309</v>
      </c>
      <c r="E1063" s="6" t="s">
        <v>307</v>
      </c>
      <c r="F1063" s="6">
        <v>5705.71</v>
      </c>
      <c r="G1063" s="2">
        <v>-3.71</v>
      </c>
      <c r="H1063" s="2">
        <v>-0.93</v>
      </c>
      <c r="I1063" s="2">
        <v>0.54</v>
      </c>
      <c r="J1063" s="47">
        <f t="shared" si="80"/>
        <v>0.74932614555256061</v>
      </c>
      <c r="K1063" s="47">
        <f t="shared" si="81"/>
        <v>1.5806451612903227</v>
      </c>
      <c r="N1063" s="8">
        <v>10.63</v>
      </c>
      <c r="O1063" s="17">
        <f t="shared" si="82"/>
        <v>0</v>
      </c>
      <c r="P1063" s="17">
        <f t="shared" si="83"/>
        <v>6.7251020408163262E-2</v>
      </c>
      <c r="R1063" s="9">
        <v>-103.79</v>
      </c>
      <c r="T1063" s="9">
        <v>12369.83007</v>
      </c>
      <c r="U1063" s="9">
        <v>8916.0400000000009</v>
      </c>
      <c r="V1063" s="45">
        <f t="shared" si="84"/>
        <v>0.38736816680948033</v>
      </c>
      <c r="W1063" s="12">
        <v>-183.33</v>
      </c>
      <c r="X1063" s="12">
        <v>0</v>
      </c>
      <c r="Y1063" s="12">
        <v>20210730</v>
      </c>
    </row>
    <row r="1064" spans="1:25" x14ac:dyDescent="0.45">
      <c r="A1064" s="3" t="s">
        <v>2058</v>
      </c>
      <c r="B1064" s="3" t="s">
        <v>2059</v>
      </c>
      <c r="C1064" s="6" t="s">
        <v>518</v>
      </c>
      <c r="D1064" s="6" t="s">
        <v>234</v>
      </c>
      <c r="E1064" s="6" t="s">
        <v>1079</v>
      </c>
      <c r="F1064" s="6">
        <v>62382.58</v>
      </c>
      <c r="G1064" s="2">
        <v>4.46</v>
      </c>
      <c r="H1064" s="2">
        <v>5.0199999999999996</v>
      </c>
      <c r="I1064" s="2">
        <v>5.32</v>
      </c>
      <c r="J1064" s="47">
        <f t="shared" si="80"/>
        <v>0.12556053811659185</v>
      </c>
      <c r="K1064" s="47">
        <f t="shared" si="81"/>
        <v>5.9760956175298953E-2</v>
      </c>
      <c r="L1064" s="8">
        <v>24.26</v>
      </c>
      <c r="M1064" s="8">
        <v>22.09</v>
      </c>
      <c r="N1064" s="8">
        <v>20.83</v>
      </c>
      <c r="O1064" s="17">
        <f t="shared" si="82"/>
        <v>1.7593107142857154</v>
      </c>
      <c r="P1064" s="17">
        <f t="shared" si="83"/>
        <v>3.4855533333333244</v>
      </c>
      <c r="Q1064" s="5">
        <v>2.63</v>
      </c>
      <c r="R1064" s="9">
        <v>13.5</v>
      </c>
      <c r="S1064" s="9">
        <v>8.18</v>
      </c>
      <c r="T1064" s="9">
        <v>6950.25</v>
      </c>
      <c r="U1064" s="9">
        <v>8244</v>
      </c>
      <c r="V1064" s="45">
        <f t="shared" si="84"/>
        <v>-0.15693231441048036</v>
      </c>
      <c r="W1064" s="12">
        <v>3.08</v>
      </c>
      <c r="X1064" s="12">
        <v>1.19</v>
      </c>
      <c r="Y1064" s="12">
        <v>20210729</v>
      </c>
    </row>
    <row r="1065" spans="1:25" x14ac:dyDescent="0.45">
      <c r="A1065" s="3" t="s">
        <v>2060</v>
      </c>
      <c r="B1065" s="3" t="s">
        <v>2061</v>
      </c>
      <c r="C1065" s="6" t="s">
        <v>518</v>
      </c>
      <c r="D1065" s="6" t="s">
        <v>90</v>
      </c>
      <c r="E1065" s="6" t="s">
        <v>198</v>
      </c>
      <c r="F1065" s="6">
        <v>9408</v>
      </c>
      <c r="G1065" s="2">
        <v>0.18</v>
      </c>
      <c r="H1065" s="2">
        <v>0.4</v>
      </c>
      <c r="I1065" s="2">
        <v>0.44</v>
      </c>
      <c r="J1065" s="47">
        <f t="shared" si="80"/>
        <v>1.2222222222222223</v>
      </c>
      <c r="K1065" s="47">
        <f t="shared" si="81"/>
        <v>9.999999999999995E-2</v>
      </c>
      <c r="L1065" s="8">
        <v>27.22</v>
      </c>
      <c r="M1065" s="8">
        <v>18.61</v>
      </c>
      <c r="N1065" s="8">
        <v>16.7</v>
      </c>
      <c r="O1065" s="17">
        <f t="shared" si="82"/>
        <v>0.15226363636363635</v>
      </c>
      <c r="P1065" s="17">
        <f t="shared" si="83"/>
        <v>1.6700000000000008</v>
      </c>
      <c r="Q1065" s="5">
        <v>0.9</v>
      </c>
      <c r="R1065" s="9">
        <v>8.3000000000000007</v>
      </c>
      <c r="S1065" s="9">
        <v>-1.5</v>
      </c>
      <c r="T1065" s="9">
        <v>5638.9301699999996</v>
      </c>
      <c r="U1065" s="9">
        <v>5043</v>
      </c>
      <c r="V1065" s="45">
        <f t="shared" si="84"/>
        <v>0.11816977394408083</v>
      </c>
      <c r="W1065" s="12">
        <v>120</v>
      </c>
      <c r="X1065" s="12">
        <v>2.25</v>
      </c>
      <c r="Y1065" s="12">
        <v>20210729</v>
      </c>
    </row>
    <row r="1066" spans="1:25" x14ac:dyDescent="0.45">
      <c r="A1066" s="3" t="s">
        <v>2062</v>
      </c>
      <c r="B1066" s="3" t="s">
        <v>2063</v>
      </c>
      <c r="C1066" s="6" t="s">
        <v>519</v>
      </c>
      <c r="D1066" s="6" t="s">
        <v>279</v>
      </c>
      <c r="E1066" s="6" t="s">
        <v>266</v>
      </c>
      <c r="F1066" s="6">
        <v>11798.99</v>
      </c>
      <c r="G1066" s="2">
        <v>6.45</v>
      </c>
      <c r="H1066" s="2">
        <v>8.5399999999999991</v>
      </c>
      <c r="I1066" s="2">
        <v>9.26</v>
      </c>
      <c r="J1066" s="47">
        <f t="shared" si="80"/>
        <v>0.32403100775193783</v>
      </c>
      <c r="K1066" s="47">
        <f t="shared" si="81"/>
        <v>8.4309133489461438E-2</v>
      </c>
      <c r="L1066" s="8">
        <v>31.98</v>
      </c>
      <c r="M1066" s="8">
        <v>25.77</v>
      </c>
      <c r="N1066" s="8">
        <v>23.75</v>
      </c>
      <c r="O1066" s="17">
        <f t="shared" si="82"/>
        <v>0.79529425837320611</v>
      </c>
      <c r="P1066" s="17">
        <f t="shared" si="83"/>
        <v>2.8170138888888863</v>
      </c>
      <c r="Q1066" s="5">
        <v>2.2000000000000002</v>
      </c>
      <c r="R1066" s="9">
        <v>20.7</v>
      </c>
      <c r="S1066" s="9">
        <v>16.190000000000001</v>
      </c>
      <c r="T1066" s="9">
        <v>3428.4809500000001</v>
      </c>
      <c r="U1066" s="9">
        <v>2797.29</v>
      </c>
      <c r="V1066" s="45">
        <f t="shared" si="84"/>
        <v>0.22564373018171163</v>
      </c>
      <c r="W1066" s="12">
        <v>6.74</v>
      </c>
      <c r="X1066" s="12">
        <v>0</v>
      </c>
      <c r="Y1066" s="12">
        <v>20210728</v>
      </c>
    </row>
    <row r="1067" spans="1:25" x14ac:dyDescent="0.45">
      <c r="A1067" s="3" t="s">
        <v>2064</v>
      </c>
      <c r="B1067" s="3" t="s">
        <v>2065</v>
      </c>
      <c r="C1067" s="6" t="s">
        <v>519</v>
      </c>
      <c r="D1067" s="6" t="s">
        <v>279</v>
      </c>
      <c r="E1067" s="6" t="s">
        <v>264</v>
      </c>
      <c r="F1067" s="6">
        <v>4342</v>
      </c>
      <c r="G1067" s="2">
        <v>6.84</v>
      </c>
      <c r="H1067" s="2">
        <v>6.97</v>
      </c>
      <c r="I1067" s="2">
        <v>7.76</v>
      </c>
      <c r="J1067" s="47">
        <f t="shared" si="80"/>
        <v>1.9005847953216359E-2</v>
      </c>
      <c r="K1067" s="47">
        <f t="shared" si="81"/>
        <v>0.11334289813486371</v>
      </c>
      <c r="L1067" s="8">
        <v>29.49</v>
      </c>
      <c r="M1067" s="8">
        <v>29.34</v>
      </c>
      <c r="N1067" s="8">
        <v>26.35</v>
      </c>
      <c r="O1067" s="17">
        <f t="shared" si="82"/>
        <v>15.437353846153858</v>
      </c>
      <c r="P1067" s="17">
        <f t="shared" si="83"/>
        <v>2.3248037974683542</v>
      </c>
      <c r="R1067" s="9">
        <v>8.69</v>
      </c>
      <c r="S1067" s="9">
        <v>27.33</v>
      </c>
      <c r="T1067" s="9">
        <v>1240.75</v>
      </c>
      <c r="U1067" s="9">
        <v>1271</v>
      </c>
      <c r="V1067" s="45">
        <f t="shared" si="84"/>
        <v>-2.3800157356412274E-2</v>
      </c>
      <c r="W1067" s="12">
        <v>5.88</v>
      </c>
      <c r="X1067" s="12">
        <v>0</v>
      </c>
      <c r="Y1067" s="12">
        <v>20210809</v>
      </c>
    </row>
    <row r="1068" spans="1:25" x14ac:dyDescent="0.45">
      <c r="A1068" s="3" t="s">
        <v>2066</v>
      </c>
      <c r="B1068" s="3" t="s">
        <v>2067</v>
      </c>
      <c r="C1068" s="6" t="s">
        <v>518</v>
      </c>
      <c r="D1068" s="6" t="s">
        <v>327</v>
      </c>
      <c r="E1068" s="6" t="s">
        <v>321</v>
      </c>
      <c r="F1068" s="6">
        <v>5030.33</v>
      </c>
      <c r="G1068" s="2">
        <v>4.6500000000000004</v>
      </c>
      <c r="H1068" s="2">
        <v>4.79</v>
      </c>
      <c r="I1068" s="2">
        <v>4.97</v>
      </c>
      <c r="J1068" s="47">
        <f t="shared" si="80"/>
        <v>3.0107526881720359E-2</v>
      </c>
      <c r="K1068" s="47">
        <f t="shared" si="81"/>
        <v>3.7578288100208711E-2</v>
      </c>
      <c r="L1068" s="8">
        <v>20.57</v>
      </c>
      <c r="M1068" s="8">
        <v>20.79</v>
      </c>
      <c r="N1068" s="8">
        <v>20.02</v>
      </c>
      <c r="O1068" s="17">
        <f t="shared" si="82"/>
        <v>6.9052500000000157</v>
      </c>
      <c r="P1068" s="17">
        <f t="shared" si="83"/>
        <v>5.3275444444444524</v>
      </c>
      <c r="Q1068" s="5">
        <v>5.37</v>
      </c>
      <c r="R1068" s="9">
        <v>9.58</v>
      </c>
      <c r="S1068" s="9">
        <v>1.25</v>
      </c>
      <c r="U1068" s="9">
        <v>1350.73</v>
      </c>
      <c r="V1068" s="45">
        <f t="shared" si="84"/>
        <v>-1</v>
      </c>
      <c r="W1068" s="12">
        <v>7.23</v>
      </c>
      <c r="X1068" s="12">
        <v>2.85</v>
      </c>
      <c r="Y1068" s="12">
        <v>20210729</v>
      </c>
    </row>
    <row r="1069" spans="1:25" x14ac:dyDescent="0.45">
      <c r="A1069" s="3" t="s">
        <v>4188</v>
      </c>
      <c r="B1069" s="3" t="s">
        <v>4189</v>
      </c>
      <c r="C1069" s="6" t="s">
        <v>520</v>
      </c>
      <c r="D1069" s="6" t="s">
        <v>234</v>
      </c>
      <c r="E1069" s="6" t="s">
        <v>105</v>
      </c>
      <c r="F1069" s="6">
        <v>230416.67</v>
      </c>
      <c r="H1069" s="2">
        <v>2.92</v>
      </c>
      <c r="I1069" s="2">
        <v>3.17</v>
      </c>
      <c r="J1069" s="47" t="e">
        <f t="shared" si="80"/>
        <v>#DIV/0!</v>
      </c>
      <c r="K1069" s="47">
        <f t="shared" si="81"/>
        <v>8.5616438356164379E-2</v>
      </c>
      <c r="L1069" s="8">
        <v>5.19</v>
      </c>
      <c r="M1069" s="8">
        <v>4.43</v>
      </c>
      <c r="N1069" s="8">
        <v>4.08</v>
      </c>
      <c r="O1069" s="17" t="e">
        <f t="shared" si="82"/>
        <v>#DIV/0!</v>
      </c>
      <c r="P1069" s="17">
        <f t="shared" si="83"/>
        <v>0.47654400000000002</v>
      </c>
      <c r="R1069" s="9">
        <v>11.36</v>
      </c>
      <c r="S1069" s="9">
        <v>4.8600000000000003</v>
      </c>
      <c r="T1069" s="9">
        <v>135246.20311999999</v>
      </c>
      <c r="U1069" s="9">
        <v>179590.7</v>
      </c>
      <c r="V1069" s="45">
        <f t="shared" si="84"/>
        <v>-0.24691978415363389</v>
      </c>
      <c r="X1069" s="12">
        <v>4.78</v>
      </c>
      <c r="Y1069" s="12">
        <v>20210615</v>
      </c>
    </row>
    <row r="1070" spans="1:25" x14ac:dyDescent="0.45">
      <c r="A1070" s="3" t="s">
        <v>4704</v>
      </c>
      <c r="B1070" s="3" t="s">
        <v>4705</v>
      </c>
      <c r="C1070" s="6" t="s">
        <v>1003</v>
      </c>
      <c r="D1070" s="6" t="s">
        <v>234</v>
      </c>
      <c r="E1070" s="6" t="s">
        <v>904</v>
      </c>
      <c r="F1070" s="6">
        <v>4574.1400000000003</v>
      </c>
      <c r="J1070" s="47" t="e">
        <f t="shared" si="80"/>
        <v>#DIV/0!</v>
      </c>
      <c r="K1070" s="47" t="e">
        <f t="shared" si="81"/>
        <v>#DIV/0!</v>
      </c>
      <c r="O1070" s="17" t="e">
        <f t="shared" si="82"/>
        <v>#DIV/0!</v>
      </c>
      <c r="P1070" s="17" t="e">
        <f t="shared" si="83"/>
        <v>#DIV/0!</v>
      </c>
      <c r="V1070" s="45" t="e">
        <f t="shared" si="84"/>
        <v>#DIV/0!</v>
      </c>
      <c r="X1070" s="12">
        <v>3.76</v>
      </c>
    </row>
    <row r="1071" spans="1:25" x14ac:dyDescent="0.45">
      <c r="A1071" s="3" t="s">
        <v>2068</v>
      </c>
      <c r="B1071" s="3" t="s">
        <v>2069</v>
      </c>
      <c r="C1071" s="6" t="s">
        <v>519</v>
      </c>
      <c r="D1071" s="6" t="s">
        <v>279</v>
      </c>
      <c r="E1071" s="6" t="s">
        <v>262</v>
      </c>
      <c r="F1071" s="6">
        <v>48325.13</v>
      </c>
      <c r="G1071" s="2">
        <v>6.13</v>
      </c>
      <c r="H1071" s="2">
        <v>7.98</v>
      </c>
      <c r="I1071" s="2">
        <v>9.11</v>
      </c>
      <c r="J1071" s="47">
        <f t="shared" si="80"/>
        <v>0.30179445350734102</v>
      </c>
      <c r="K1071" s="47">
        <f t="shared" si="81"/>
        <v>0.14160401002506254</v>
      </c>
      <c r="L1071" s="8">
        <v>72.930000000000007</v>
      </c>
      <c r="M1071" s="8">
        <v>71.010000000000005</v>
      </c>
      <c r="N1071" s="8">
        <v>62.19</v>
      </c>
      <c r="O1071" s="17">
        <f t="shared" si="82"/>
        <v>2.3529259459459455</v>
      </c>
      <c r="P1071" s="17">
        <f t="shared" si="83"/>
        <v>4.391824778761066</v>
      </c>
      <c r="Q1071" s="5">
        <v>3.62</v>
      </c>
      <c r="R1071" s="9">
        <v>131.51</v>
      </c>
      <c r="S1071" s="9">
        <v>10.9</v>
      </c>
      <c r="T1071" s="9">
        <v>3010.0649400000002</v>
      </c>
      <c r="U1071" s="9">
        <v>2706.66</v>
      </c>
      <c r="V1071" s="45">
        <f t="shared" si="84"/>
        <v>0.11209569728004269</v>
      </c>
      <c r="W1071" s="12">
        <v>36.630000000000003</v>
      </c>
      <c r="X1071" s="12">
        <v>0</v>
      </c>
      <c r="Y1071" s="12">
        <v>20210730</v>
      </c>
    </row>
    <row r="1072" spans="1:25" x14ac:dyDescent="0.45">
      <c r="A1072" s="3" t="s">
        <v>4706</v>
      </c>
      <c r="B1072" s="3" t="s">
        <v>4707</v>
      </c>
      <c r="C1072" s="6" t="s">
        <v>519</v>
      </c>
      <c r="D1072" s="6" t="s">
        <v>234</v>
      </c>
      <c r="E1072" s="6" t="s">
        <v>904</v>
      </c>
      <c r="F1072" s="6">
        <v>13463.68</v>
      </c>
      <c r="J1072" s="47" t="e">
        <f t="shared" si="80"/>
        <v>#DIV/0!</v>
      </c>
      <c r="K1072" s="47" t="e">
        <f t="shared" si="81"/>
        <v>#DIV/0!</v>
      </c>
      <c r="O1072" s="17" t="e">
        <f t="shared" si="82"/>
        <v>#DIV/0!</v>
      </c>
      <c r="P1072" s="17" t="e">
        <f t="shared" si="83"/>
        <v>#DIV/0!</v>
      </c>
      <c r="V1072" s="45" t="e">
        <f t="shared" si="84"/>
        <v>#DIV/0!</v>
      </c>
      <c r="X1072" s="12">
        <v>0.85</v>
      </c>
    </row>
    <row r="1073" spans="1:25" x14ac:dyDescent="0.45">
      <c r="A1073" s="3" t="s">
        <v>4708</v>
      </c>
      <c r="B1073" s="3" t="s">
        <v>4709</v>
      </c>
      <c r="C1073" s="6" t="s">
        <v>519</v>
      </c>
      <c r="D1073" s="6" t="s">
        <v>1042</v>
      </c>
      <c r="E1073" s="6" t="s">
        <v>1043</v>
      </c>
      <c r="F1073" s="6">
        <v>14245.66</v>
      </c>
      <c r="G1073" s="2">
        <v>-8.52</v>
      </c>
      <c r="J1073" s="47">
        <f t="shared" si="80"/>
        <v>1</v>
      </c>
      <c r="K1073" s="47" t="e">
        <f t="shared" si="81"/>
        <v>#DIV/0!</v>
      </c>
      <c r="O1073" s="17">
        <f t="shared" si="82"/>
        <v>0</v>
      </c>
      <c r="P1073" s="17" t="e">
        <f t="shared" si="83"/>
        <v>#DIV/0!</v>
      </c>
      <c r="R1073" s="9">
        <v>-1.01</v>
      </c>
      <c r="S1073" s="9">
        <v>-18.43</v>
      </c>
      <c r="U1073" s="9">
        <v>6123</v>
      </c>
      <c r="V1073" s="45">
        <f t="shared" si="84"/>
        <v>-1</v>
      </c>
      <c r="W1073" s="12">
        <v>229.79</v>
      </c>
      <c r="X1073" s="12">
        <v>14.18</v>
      </c>
      <c r="Y1073" s="12">
        <v>20210806</v>
      </c>
    </row>
    <row r="1074" spans="1:25" x14ac:dyDescent="0.45">
      <c r="A1074" s="3" t="s">
        <v>2070</v>
      </c>
      <c r="B1074" s="3" t="s">
        <v>229</v>
      </c>
      <c r="C1074" s="6" t="s">
        <v>518</v>
      </c>
      <c r="D1074" s="6" t="s">
        <v>272</v>
      </c>
      <c r="E1074" s="6" t="s">
        <v>254</v>
      </c>
      <c r="F1074" s="6">
        <v>16781.52</v>
      </c>
      <c r="G1074" s="2">
        <v>5.15</v>
      </c>
      <c r="H1074" s="2">
        <v>6.16</v>
      </c>
      <c r="I1074" s="2">
        <v>6.71</v>
      </c>
      <c r="J1074" s="47">
        <f t="shared" si="80"/>
        <v>0.19611650485436888</v>
      </c>
      <c r="K1074" s="47">
        <f t="shared" si="81"/>
        <v>8.928571428571426E-2</v>
      </c>
      <c r="L1074" s="8">
        <v>41.08</v>
      </c>
      <c r="M1074" s="8">
        <v>35.85</v>
      </c>
      <c r="N1074" s="8">
        <v>32.96</v>
      </c>
      <c r="O1074" s="17">
        <f t="shared" si="82"/>
        <v>1.8279950495049513</v>
      </c>
      <c r="P1074" s="17">
        <f t="shared" si="83"/>
        <v>3.6915200000000015</v>
      </c>
      <c r="Q1074" s="5">
        <v>2.99</v>
      </c>
      <c r="R1074" s="9">
        <v>16.7</v>
      </c>
      <c r="S1074" s="9">
        <v>3.45</v>
      </c>
      <c r="T1074" s="9">
        <v>2664.01</v>
      </c>
      <c r="U1074" s="9">
        <v>2351.65</v>
      </c>
      <c r="V1074" s="45">
        <f t="shared" si="84"/>
        <v>0.13282588820615318</v>
      </c>
      <c r="W1074" s="12">
        <v>7.09</v>
      </c>
      <c r="X1074" s="12">
        <v>0.98</v>
      </c>
      <c r="Y1074" s="12">
        <v>20210722</v>
      </c>
    </row>
    <row r="1075" spans="1:25" x14ac:dyDescent="0.45">
      <c r="A1075" s="3" t="s">
        <v>2071</v>
      </c>
      <c r="B1075" s="3" t="s">
        <v>2072</v>
      </c>
      <c r="C1075" s="6" t="s">
        <v>518</v>
      </c>
      <c r="D1075" s="6" t="s">
        <v>225</v>
      </c>
      <c r="E1075" s="6" t="s">
        <v>206</v>
      </c>
      <c r="F1075" s="6">
        <v>36613.629999999997</v>
      </c>
      <c r="G1075" s="2">
        <v>5.6</v>
      </c>
      <c r="H1075" s="2">
        <v>5.98</v>
      </c>
      <c r="I1075" s="2">
        <v>6.69</v>
      </c>
      <c r="J1075" s="47">
        <f t="shared" si="80"/>
        <v>6.7857142857143005E-2</v>
      </c>
      <c r="K1075" s="47">
        <f t="shared" si="81"/>
        <v>0.11872909698996655</v>
      </c>
      <c r="L1075" s="8">
        <v>25.9</v>
      </c>
      <c r="M1075" s="8">
        <v>24.61</v>
      </c>
      <c r="N1075" s="8">
        <v>21.97</v>
      </c>
      <c r="O1075" s="17">
        <f t="shared" si="82"/>
        <v>3.626736842105255</v>
      </c>
      <c r="P1075" s="17">
        <f t="shared" si="83"/>
        <v>1.850430985915493</v>
      </c>
      <c r="Q1075" s="5">
        <v>2.52</v>
      </c>
      <c r="R1075" s="9">
        <v>7.94</v>
      </c>
      <c r="S1075" s="9">
        <v>16.170000000000002</v>
      </c>
      <c r="T1075" s="9">
        <v>11246.91503</v>
      </c>
      <c r="U1075" s="9">
        <v>5084.24</v>
      </c>
      <c r="V1075" s="45">
        <f t="shared" si="84"/>
        <v>1.2121133207716395</v>
      </c>
      <c r="W1075" s="12">
        <v>5.96</v>
      </c>
      <c r="X1075" s="12">
        <v>2.09</v>
      </c>
      <c r="Y1075" s="12">
        <v>20210809</v>
      </c>
    </row>
    <row r="1076" spans="1:25" x14ac:dyDescent="0.45">
      <c r="A1076" s="3" t="s">
        <v>2073</v>
      </c>
      <c r="B1076" s="3" t="s">
        <v>2074</v>
      </c>
      <c r="C1076" s="6" t="s">
        <v>520</v>
      </c>
      <c r="D1076" s="6" t="s">
        <v>189</v>
      </c>
      <c r="E1076" s="6" t="s">
        <v>213</v>
      </c>
      <c r="F1076" s="6">
        <v>52471.87</v>
      </c>
      <c r="G1076" s="2">
        <v>0.71</v>
      </c>
      <c r="H1076" s="2">
        <v>1.35</v>
      </c>
      <c r="I1076" s="2">
        <v>1.61</v>
      </c>
      <c r="J1076" s="47">
        <f t="shared" si="80"/>
        <v>0.90140845070422559</v>
      </c>
      <c r="K1076" s="47">
        <f t="shared" si="81"/>
        <v>0.19259259259259259</v>
      </c>
      <c r="L1076" s="8">
        <v>40.590000000000003</v>
      </c>
      <c r="M1076" s="8">
        <v>29.87</v>
      </c>
      <c r="N1076" s="8">
        <v>25.03</v>
      </c>
      <c r="O1076" s="17">
        <f t="shared" si="82"/>
        <v>0.33137031249999993</v>
      </c>
      <c r="P1076" s="17">
        <f t="shared" si="83"/>
        <v>1.2996346153846154</v>
      </c>
      <c r="Q1076" s="5">
        <v>0.78</v>
      </c>
      <c r="R1076" s="9">
        <v>10.84</v>
      </c>
      <c r="S1076" s="9">
        <v>8.52</v>
      </c>
      <c r="U1076" s="9">
        <v>9597.1</v>
      </c>
      <c r="V1076" s="45">
        <f t="shared" si="84"/>
        <v>-1</v>
      </c>
      <c r="W1076" s="12">
        <v>3.57</v>
      </c>
      <c r="X1076" s="12">
        <v>0.45</v>
      </c>
      <c r="Y1076" s="12">
        <v>20210803</v>
      </c>
    </row>
    <row r="1077" spans="1:25" x14ac:dyDescent="0.45">
      <c r="A1077" s="3" t="s">
        <v>4710</v>
      </c>
      <c r="B1077" s="3" t="s">
        <v>4711</v>
      </c>
      <c r="C1077" s="6" t="s">
        <v>519</v>
      </c>
      <c r="D1077" s="6" t="s">
        <v>234</v>
      </c>
      <c r="E1077" s="6" t="s">
        <v>904</v>
      </c>
      <c r="F1077" s="6">
        <v>11600.05</v>
      </c>
      <c r="J1077" s="47" t="e">
        <f t="shared" si="80"/>
        <v>#DIV/0!</v>
      </c>
      <c r="K1077" s="47" t="e">
        <f t="shared" si="81"/>
        <v>#DIV/0!</v>
      </c>
      <c r="O1077" s="17" t="e">
        <f t="shared" si="82"/>
        <v>#DIV/0!</v>
      </c>
      <c r="P1077" s="17" t="e">
        <f t="shared" si="83"/>
        <v>#DIV/0!</v>
      </c>
      <c r="V1077" s="45" t="e">
        <f t="shared" si="84"/>
        <v>#DIV/0!</v>
      </c>
      <c r="X1077" s="12">
        <v>2.4700000000000002</v>
      </c>
    </row>
    <row r="1078" spans="1:25" x14ac:dyDescent="0.45">
      <c r="A1078" s="3" t="s">
        <v>4712</v>
      </c>
      <c r="B1078" s="3" t="s">
        <v>4713</v>
      </c>
      <c r="C1078" s="6" t="s">
        <v>519</v>
      </c>
      <c r="D1078" s="6" t="s">
        <v>234</v>
      </c>
      <c r="E1078" s="6" t="s">
        <v>904</v>
      </c>
      <c r="F1078" s="6">
        <v>25690.46</v>
      </c>
      <c r="J1078" s="47" t="e">
        <f t="shared" si="80"/>
        <v>#DIV/0!</v>
      </c>
      <c r="K1078" s="47" t="e">
        <f t="shared" si="81"/>
        <v>#DIV/0!</v>
      </c>
      <c r="O1078" s="17" t="e">
        <f t="shared" si="82"/>
        <v>#DIV/0!</v>
      </c>
      <c r="P1078" s="17" t="e">
        <f t="shared" si="83"/>
        <v>#DIV/0!</v>
      </c>
      <c r="V1078" s="45" t="e">
        <f t="shared" si="84"/>
        <v>#DIV/0!</v>
      </c>
      <c r="X1078" s="12">
        <v>2.02</v>
      </c>
    </row>
    <row r="1079" spans="1:25" x14ac:dyDescent="0.45">
      <c r="A1079" s="3" t="s">
        <v>4190</v>
      </c>
      <c r="B1079" s="3" t="s">
        <v>4191</v>
      </c>
      <c r="C1079" s="6" t="s">
        <v>518</v>
      </c>
      <c r="D1079" s="6" t="s">
        <v>216</v>
      </c>
      <c r="E1079" s="6" t="s">
        <v>228</v>
      </c>
      <c r="F1079" s="6">
        <v>5232.04</v>
      </c>
      <c r="G1079" s="2">
        <v>-0.16</v>
      </c>
      <c r="H1079" s="2">
        <v>1.06</v>
      </c>
      <c r="I1079" s="2">
        <v>1.6</v>
      </c>
      <c r="J1079" s="47">
        <f t="shared" si="80"/>
        <v>7.625</v>
      </c>
      <c r="K1079" s="47">
        <f t="shared" si="81"/>
        <v>0.50943396226415094</v>
      </c>
      <c r="M1079" s="8">
        <v>24.09</v>
      </c>
      <c r="N1079" s="8">
        <v>16</v>
      </c>
      <c r="O1079" s="17">
        <f t="shared" si="82"/>
        <v>3.1593442622950822E-2</v>
      </c>
      <c r="P1079" s="17">
        <f t="shared" si="83"/>
        <v>0.31407407407407406</v>
      </c>
      <c r="R1079" s="9">
        <v>-5.0999999999999996</v>
      </c>
      <c r="S1079" s="9">
        <v>-6.8</v>
      </c>
      <c r="T1079" s="9">
        <v>3816.6831000000002</v>
      </c>
      <c r="U1079" s="9">
        <v>3115.46</v>
      </c>
      <c r="V1079" s="45">
        <f t="shared" si="84"/>
        <v>0.22507851168045814</v>
      </c>
      <c r="W1079" s="12">
        <v>442.86</v>
      </c>
      <c r="X1079" s="12">
        <v>0</v>
      </c>
      <c r="Y1079" s="12">
        <v>20210803</v>
      </c>
    </row>
    <row r="1080" spans="1:25" x14ac:dyDescent="0.45">
      <c r="A1080" s="3" t="s">
        <v>2075</v>
      </c>
      <c r="B1080" s="3" t="s">
        <v>2076</v>
      </c>
      <c r="C1080" s="6" t="s">
        <v>518</v>
      </c>
      <c r="D1080" s="6" t="s">
        <v>216</v>
      </c>
      <c r="E1080" s="6" t="s">
        <v>231</v>
      </c>
      <c r="F1080" s="6">
        <v>13409.6</v>
      </c>
      <c r="G1080" s="2">
        <v>0.22</v>
      </c>
      <c r="H1080" s="2">
        <v>0.99</v>
      </c>
      <c r="I1080" s="2">
        <v>2.37</v>
      </c>
      <c r="J1080" s="47">
        <f t="shared" si="80"/>
        <v>3.5</v>
      </c>
      <c r="K1080" s="47">
        <f t="shared" si="81"/>
        <v>1.393939393939394</v>
      </c>
      <c r="M1080" s="8">
        <v>73.680000000000007</v>
      </c>
      <c r="N1080" s="8">
        <v>30.84</v>
      </c>
      <c r="O1080" s="17">
        <f t="shared" si="82"/>
        <v>0.21051428571428574</v>
      </c>
      <c r="P1080" s="17">
        <f t="shared" si="83"/>
        <v>0.22124347826086954</v>
      </c>
      <c r="T1080" s="9">
        <v>1861.9300499999999</v>
      </c>
      <c r="U1080" s="9">
        <v>2394</v>
      </c>
      <c r="V1080" s="45">
        <f t="shared" si="84"/>
        <v>-0.22225144110275691</v>
      </c>
      <c r="X1080" s="12">
        <v>0</v>
      </c>
    </row>
    <row r="1081" spans="1:25" x14ac:dyDescent="0.45">
      <c r="A1081" s="3" t="s">
        <v>4192</v>
      </c>
      <c r="B1081" s="3" t="s">
        <v>4193</v>
      </c>
      <c r="C1081" s="6" t="s">
        <v>519</v>
      </c>
      <c r="D1081" s="6" t="s">
        <v>216</v>
      </c>
      <c r="E1081" s="6" t="s">
        <v>1449</v>
      </c>
      <c r="F1081" s="6">
        <v>3460.68</v>
      </c>
      <c r="G1081" s="2">
        <v>-12.87</v>
      </c>
      <c r="H1081" s="2">
        <v>-0.97</v>
      </c>
      <c r="I1081" s="2">
        <v>1.67</v>
      </c>
      <c r="J1081" s="47">
        <f t="shared" si="80"/>
        <v>0.92463092463092456</v>
      </c>
      <c r="K1081" s="47">
        <f t="shared" si="81"/>
        <v>2.7216494845360821</v>
      </c>
      <c r="N1081" s="8">
        <v>14.69</v>
      </c>
      <c r="O1081" s="17">
        <f t="shared" si="82"/>
        <v>0</v>
      </c>
      <c r="P1081" s="17">
        <f t="shared" si="83"/>
        <v>5.3974621212121224E-2</v>
      </c>
      <c r="T1081" s="9">
        <v>3378.9951099999998</v>
      </c>
      <c r="U1081" s="9">
        <v>2948.22</v>
      </c>
      <c r="V1081" s="45">
        <f t="shared" si="84"/>
        <v>0.14611362449206641</v>
      </c>
      <c r="W1081" s="12">
        <v>-178</v>
      </c>
      <c r="X1081" s="12">
        <v>0</v>
      </c>
      <c r="Y1081" s="12">
        <v>20210805</v>
      </c>
    </row>
    <row r="1082" spans="1:25" x14ac:dyDescent="0.45">
      <c r="A1082" s="3" t="s">
        <v>2077</v>
      </c>
      <c r="B1082" s="3" t="s">
        <v>2078</v>
      </c>
      <c r="C1082" s="6" t="s">
        <v>518</v>
      </c>
      <c r="D1082" s="6" t="s">
        <v>234</v>
      </c>
      <c r="E1082" s="6" t="s">
        <v>286</v>
      </c>
      <c r="F1082" s="6">
        <v>4521.6000000000004</v>
      </c>
      <c r="G1082" s="2">
        <v>5.0599999999999996</v>
      </c>
      <c r="H1082" s="2">
        <v>6.76</v>
      </c>
      <c r="I1082" s="2">
        <v>9.1300000000000008</v>
      </c>
      <c r="J1082" s="47">
        <f t="shared" si="80"/>
        <v>0.33596837944664038</v>
      </c>
      <c r="K1082" s="47">
        <f t="shared" si="81"/>
        <v>0.35059171597633154</v>
      </c>
      <c r="L1082" s="8">
        <v>36.130000000000003</v>
      </c>
      <c r="M1082" s="8">
        <v>27.96</v>
      </c>
      <c r="N1082" s="8">
        <v>20.7</v>
      </c>
      <c r="O1082" s="17">
        <f t="shared" si="82"/>
        <v>0.83222117647058813</v>
      </c>
      <c r="P1082" s="17">
        <f t="shared" si="83"/>
        <v>0.5904303797468351</v>
      </c>
      <c r="R1082" s="9">
        <v>6.11</v>
      </c>
      <c r="S1082" s="9">
        <v>169.76</v>
      </c>
      <c r="T1082" s="9">
        <v>189.64999</v>
      </c>
      <c r="U1082" s="9">
        <v>116.9</v>
      </c>
      <c r="V1082" s="45">
        <f t="shared" si="84"/>
        <v>0.62232668947818648</v>
      </c>
      <c r="W1082" s="12">
        <v>3.52</v>
      </c>
      <c r="X1082" s="12">
        <v>2.79</v>
      </c>
      <c r="Y1082" s="12">
        <v>20210804</v>
      </c>
    </row>
    <row r="1083" spans="1:25" x14ac:dyDescent="0.45">
      <c r="A1083" s="3" t="s">
        <v>2079</v>
      </c>
      <c r="B1083" s="3" t="s">
        <v>2080</v>
      </c>
      <c r="C1083" s="6" t="s">
        <v>519</v>
      </c>
      <c r="D1083" s="6" t="s">
        <v>272</v>
      </c>
      <c r="E1083" s="6" t="s">
        <v>252</v>
      </c>
      <c r="F1083" s="6">
        <v>7403.78</v>
      </c>
      <c r="G1083" s="2">
        <v>2.2000000000000002</v>
      </c>
      <c r="H1083" s="2">
        <v>3.61</v>
      </c>
      <c r="I1083" s="2">
        <v>3.89</v>
      </c>
      <c r="J1083" s="47">
        <f t="shared" si="80"/>
        <v>0.64090909090909076</v>
      </c>
      <c r="K1083" s="47">
        <f t="shared" si="81"/>
        <v>7.7562326869806172E-2</v>
      </c>
      <c r="L1083" s="8">
        <v>17.600000000000001</v>
      </c>
      <c r="M1083" s="8">
        <v>19.55</v>
      </c>
      <c r="N1083" s="8">
        <v>18.149999999999999</v>
      </c>
      <c r="O1083" s="17">
        <f t="shared" si="82"/>
        <v>0.30503546099290785</v>
      </c>
      <c r="P1083" s="17">
        <f t="shared" si="83"/>
        <v>2.3400535714285691</v>
      </c>
      <c r="Q1083" s="5">
        <v>0.98</v>
      </c>
      <c r="R1083" s="9">
        <v>11.78</v>
      </c>
      <c r="S1083" s="9">
        <v>31.19</v>
      </c>
      <c r="T1083" s="9">
        <v>3081.3769499999999</v>
      </c>
      <c r="U1083" s="9">
        <v>2380.0700000000002</v>
      </c>
      <c r="V1083" s="45">
        <f t="shared" si="84"/>
        <v>0.29465811929901209</v>
      </c>
      <c r="W1083" s="12">
        <v>3.41</v>
      </c>
      <c r="X1083" s="12">
        <v>0</v>
      </c>
      <c r="Y1083" s="12">
        <v>20210812</v>
      </c>
    </row>
    <row r="1084" spans="1:25" x14ac:dyDescent="0.45">
      <c r="A1084" s="3" t="s">
        <v>4714</v>
      </c>
      <c r="B1084" s="3" t="s">
        <v>4715</v>
      </c>
      <c r="C1084" s="6" t="s">
        <v>518</v>
      </c>
      <c r="D1084" s="6" t="s">
        <v>234</v>
      </c>
      <c r="E1084" s="6" t="s">
        <v>904</v>
      </c>
      <c r="F1084" s="6">
        <v>64206.31</v>
      </c>
      <c r="J1084" s="47" t="e">
        <f t="shared" si="80"/>
        <v>#DIV/0!</v>
      </c>
      <c r="K1084" s="47" t="e">
        <f t="shared" si="81"/>
        <v>#DIV/0!</v>
      </c>
      <c r="O1084" s="17" t="e">
        <f t="shared" si="82"/>
        <v>#DIV/0!</v>
      </c>
      <c r="P1084" s="17" t="e">
        <f t="shared" si="83"/>
        <v>#DIV/0!</v>
      </c>
      <c r="V1084" s="45" t="e">
        <f t="shared" si="84"/>
        <v>#DIV/0!</v>
      </c>
      <c r="X1084" s="12">
        <v>1.03</v>
      </c>
    </row>
    <row r="1085" spans="1:25" x14ac:dyDescent="0.45">
      <c r="A1085" s="3" t="s">
        <v>4716</v>
      </c>
      <c r="B1085" s="3" t="s">
        <v>4717</v>
      </c>
      <c r="C1085" s="6" t="s">
        <v>518</v>
      </c>
      <c r="D1085" s="6" t="s">
        <v>234</v>
      </c>
      <c r="E1085" s="6" t="s">
        <v>904</v>
      </c>
      <c r="F1085" s="6">
        <v>9098.49</v>
      </c>
      <c r="J1085" s="47" t="e">
        <f t="shared" si="80"/>
        <v>#DIV/0!</v>
      </c>
      <c r="K1085" s="47" t="e">
        <f t="shared" si="81"/>
        <v>#DIV/0!</v>
      </c>
      <c r="O1085" s="17" t="e">
        <f t="shared" si="82"/>
        <v>#DIV/0!</v>
      </c>
      <c r="P1085" s="17" t="e">
        <f t="shared" si="83"/>
        <v>#DIV/0!</v>
      </c>
      <c r="V1085" s="45" t="e">
        <f t="shared" si="84"/>
        <v>#DIV/0!</v>
      </c>
      <c r="X1085" s="12">
        <v>1.29</v>
      </c>
    </row>
    <row r="1086" spans="1:25" x14ac:dyDescent="0.45">
      <c r="A1086" s="3" t="s">
        <v>4718</v>
      </c>
      <c r="B1086" s="3" t="s">
        <v>4719</v>
      </c>
      <c r="C1086" s="6" t="s">
        <v>518</v>
      </c>
      <c r="D1086" s="6" t="s">
        <v>234</v>
      </c>
      <c r="E1086" s="6" t="s">
        <v>904</v>
      </c>
      <c r="F1086" s="6">
        <v>8169.18</v>
      </c>
      <c r="J1086" s="47" t="e">
        <f t="shared" si="80"/>
        <v>#DIV/0!</v>
      </c>
      <c r="K1086" s="47" t="e">
        <f t="shared" si="81"/>
        <v>#DIV/0!</v>
      </c>
      <c r="O1086" s="17" t="e">
        <f t="shared" si="82"/>
        <v>#DIV/0!</v>
      </c>
      <c r="P1086" s="17" t="e">
        <f t="shared" si="83"/>
        <v>#DIV/0!</v>
      </c>
      <c r="V1086" s="45" t="e">
        <f t="shared" si="84"/>
        <v>#DIV/0!</v>
      </c>
      <c r="X1086" s="12">
        <v>0.59</v>
      </c>
    </row>
    <row r="1087" spans="1:25" x14ac:dyDescent="0.45">
      <c r="A1087" s="3" t="s">
        <v>4720</v>
      </c>
      <c r="B1087" s="3" t="s">
        <v>4721</v>
      </c>
      <c r="C1087" s="6" t="s">
        <v>518</v>
      </c>
      <c r="D1087" s="6" t="s">
        <v>234</v>
      </c>
      <c r="E1087" s="6" t="s">
        <v>904</v>
      </c>
      <c r="F1087" s="6">
        <v>72888.820000000007</v>
      </c>
      <c r="J1087" s="47" t="e">
        <f t="shared" si="80"/>
        <v>#DIV/0!</v>
      </c>
      <c r="K1087" s="47" t="e">
        <f t="shared" si="81"/>
        <v>#DIV/0!</v>
      </c>
      <c r="O1087" s="17" t="e">
        <f t="shared" si="82"/>
        <v>#DIV/0!</v>
      </c>
      <c r="P1087" s="17" t="e">
        <f t="shared" si="83"/>
        <v>#DIV/0!</v>
      </c>
      <c r="V1087" s="45" t="e">
        <f t="shared" si="84"/>
        <v>#DIV/0!</v>
      </c>
      <c r="X1087" s="12">
        <v>0.9</v>
      </c>
    </row>
    <row r="1088" spans="1:25" x14ac:dyDescent="0.45">
      <c r="A1088" s="3" t="s">
        <v>4722</v>
      </c>
      <c r="B1088" s="3" t="s">
        <v>4723</v>
      </c>
      <c r="C1088" s="6" t="s">
        <v>518</v>
      </c>
      <c r="D1088" s="6" t="s">
        <v>234</v>
      </c>
      <c r="E1088" s="6" t="s">
        <v>904</v>
      </c>
      <c r="F1088" s="6">
        <v>9975.4500000000007</v>
      </c>
      <c r="J1088" s="47" t="e">
        <f t="shared" si="80"/>
        <v>#DIV/0!</v>
      </c>
      <c r="K1088" s="47" t="e">
        <f t="shared" si="81"/>
        <v>#DIV/0!</v>
      </c>
      <c r="O1088" s="17" t="e">
        <f t="shared" si="82"/>
        <v>#DIV/0!</v>
      </c>
      <c r="P1088" s="17" t="e">
        <f t="shared" si="83"/>
        <v>#DIV/0!</v>
      </c>
      <c r="V1088" s="45" t="e">
        <f t="shared" si="84"/>
        <v>#DIV/0!</v>
      </c>
      <c r="X1088" s="12">
        <v>0.81</v>
      </c>
    </row>
    <row r="1089" spans="1:25" x14ac:dyDescent="0.45">
      <c r="A1089" s="3" t="s">
        <v>4724</v>
      </c>
      <c r="B1089" s="3" t="s">
        <v>4725</v>
      </c>
      <c r="C1089" s="6" t="s">
        <v>519</v>
      </c>
      <c r="D1089" s="6" t="s">
        <v>234</v>
      </c>
      <c r="E1089" s="6" t="s">
        <v>904</v>
      </c>
      <c r="F1089" s="6">
        <v>6383.25</v>
      </c>
      <c r="J1089" s="47" t="e">
        <f t="shared" si="80"/>
        <v>#DIV/0!</v>
      </c>
      <c r="K1089" s="47" t="e">
        <f t="shared" si="81"/>
        <v>#DIV/0!</v>
      </c>
      <c r="O1089" s="17" t="e">
        <f t="shared" si="82"/>
        <v>#DIV/0!</v>
      </c>
      <c r="P1089" s="17" t="e">
        <f t="shared" si="83"/>
        <v>#DIV/0!</v>
      </c>
      <c r="V1089" s="45" t="e">
        <f t="shared" si="84"/>
        <v>#DIV/0!</v>
      </c>
      <c r="X1089" s="12">
        <v>0.56999999999999995</v>
      </c>
    </row>
    <row r="1090" spans="1:25" x14ac:dyDescent="0.45">
      <c r="A1090" s="3" t="s">
        <v>2081</v>
      </c>
      <c r="B1090" s="3" t="s">
        <v>2082</v>
      </c>
      <c r="C1090" s="6" t="s">
        <v>520</v>
      </c>
      <c r="D1090" s="6" t="s">
        <v>175</v>
      </c>
      <c r="E1090" s="6" t="s">
        <v>193</v>
      </c>
      <c r="F1090" s="6">
        <v>12395.8</v>
      </c>
      <c r="G1090" s="2">
        <v>2.12</v>
      </c>
      <c r="H1090" s="2">
        <v>2.7</v>
      </c>
      <c r="I1090" s="2">
        <v>2.99</v>
      </c>
      <c r="J1090" s="47">
        <f t="shared" si="80"/>
        <v>0.27358490566037735</v>
      </c>
      <c r="K1090" s="47">
        <f t="shared" si="81"/>
        <v>0.10740740740740741</v>
      </c>
      <c r="M1090" s="8">
        <v>28.45</v>
      </c>
      <c r="N1090" s="8">
        <v>25.64</v>
      </c>
      <c r="O1090" s="17">
        <f t="shared" si="82"/>
        <v>1.0398965517241381</v>
      </c>
      <c r="P1090" s="17">
        <f t="shared" si="83"/>
        <v>2.3871724137931034</v>
      </c>
      <c r="T1090" s="9">
        <v>3867.1450100000002</v>
      </c>
      <c r="U1090" s="9">
        <v>3520.74</v>
      </c>
      <c r="V1090" s="45">
        <f t="shared" si="84"/>
        <v>9.8389829978925009E-2</v>
      </c>
      <c r="X1090" s="12">
        <v>2.4900000000000002</v>
      </c>
    </row>
    <row r="1091" spans="1:25" x14ac:dyDescent="0.45">
      <c r="A1091" s="3" t="s">
        <v>2083</v>
      </c>
      <c r="B1091" s="3" t="s">
        <v>2084</v>
      </c>
      <c r="C1091" s="6" t="s">
        <v>519</v>
      </c>
      <c r="D1091" s="6" t="s">
        <v>279</v>
      </c>
      <c r="E1091" s="6" t="s">
        <v>256</v>
      </c>
      <c r="F1091" s="6">
        <v>63355.24</v>
      </c>
      <c r="G1091" s="2">
        <v>4.49</v>
      </c>
      <c r="H1091" s="2">
        <v>6.04</v>
      </c>
      <c r="I1091" s="2">
        <v>6.31</v>
      </c>
      <c r="J1091" s="47">
        <f t="shared" ref="J1091:J1154" si="85">(H1091-G1091)/ABS(G1091)</f>
        <v>0.34521158129175938</v>
      </c>
      <c r="K1091" s="47">
        <f t="shared" ref="K1091:K1154" si="86">(I1091-H1091)/ABS(H1091)</f>
        <v>4.4701986754966817E-2</v>
      </c>
      <c r="L1091" s="8">
        <v>91.36</v>
      </c>
      <c r="M1091" s="8">
        <v>71.87</v>
      </c>
      <c r="N1091" s="8">
        <v>68.760000000000005</v>
      </c>
      <c r="O1091" s="17">
        <f t="shared" ref="O1091:O1154" si="87">M1091/(J1091*100)</f>
        <v>2.0819116129032267</v>
      </c>
      <c r="P1091" s="17">
        <f t="shared" ref="P1091:P1154" si="88">N1091/(K1091*100)</f>
        <v>15.381866666666692</v>
      </c>
      <c r="R1091" s="9">
        <v>14.81</v>
      </c>
      <c r="S1091" s="9">
        <v>9.81</v>
      </c>
      <c r="T1091" s="9">
        <v>4147.7631799999999</v>
      </c>
      <c r="U1091" s="9">
        <v>3239</v>
      </c>
      <c r="V1091" s="45">
        <f t="shared" ref="V1091:V1154" si="89">(T1091-U1091)/U1091</f>
        <v>0.28056905835134299</v>
      </c>
      <c r="W1091" s="12">
        <v>38.97</v>
      </c>
      <c r="X1091" s="12">
        <v>0</v>
      </c>
      <c r="Y1091" s="12">
        <v>20210805</v>
      </c>
    </row>
    <row r="1092" spans="1:25" x14ac:dyDescent="0.45">
      <c r="A1092" s="3" t="s">
        <v>3827</v>
      </c>
      <c r="B1092" s="3" t="s">
        <v>3828</v>
      </c>
      <c r="C1092" s="6" t="s">
        <v>519</v>
      </c>
      <c r="D1092" s="6" t="s">
        <v>279</v>
      </c>
      <c r="E1092" s="6" t="s">
        <v>256</v>
      </c>
      <c r="F1092" s="6">
        <v>5504.97</v>
      </c>
      <c r="G1092" s="2">
        <v>0.84</v>
      </c>
      <c r="H1092" s="2">
        <v>-2.85</v>
      </c>
      <c r="I1092" s="2">
        <v>-1.82</v>
      </c>
      <c r="J1092" s="47">
        <f t="shared" si="85"/>
        <v>-4.3928571428571432</v>
      </c>
      <c r="K1092" s="47">
        <f t="shared" si="86"/>
        <v>0.36140350877192984</v>
      </c>
      <c r="O1092" s="17">
        <f t="shared" si="87"/>
        <v>0</v>
      </c>
      <c r="P1092" s="17">
        <f t="shared" si="88"/>
        <v>0</v>
      </c>
      <c r="T1092" s="9">
        <v>62.5</v>
      </c>
      <c r="U1092" s="9">
        <v>236.42</v>
      </c>
      <c r="V1092" s="45">
        <f t="shared" si="89"/>
        <v>-0.73563996277810673</v>
      </c>
      <c r="X1092" s="12">
        <v>0</v>
      </c>
    </row>
    <row r="1093" spans="1:25" x14ac:dyDescent="0.45">
      <c r="A1093" s="3" t="s">
        <v>2085</v>
      </c>
      <c r="B1093" s="3" t="s">
        <v>2086</v>
      </c>
      <c r="C1093" s="6" t="s">
        <v>520</v>
      </c>
      <c r="D1093" s="6" t="s">
        <v>225</v>
      </c>
      <c r="E1093" s="6" t="s">
        <v>1006</v>
      </c>
      <c r="F1093" s="6">
        <v>21966.13</v>
      </c>
      <c r="G1093" s="2">
        <v>3.32</v>
      </c>
      <c r="H1093" s="2">
        <v>3.42</v>
      </c>
      <c r="I1093" s="2">
        <v>3.48</v>
      </c>
      <c r="J1093" s="47">
        <f t="shared" si="85"/>
        <v>3.0120481927710871E-2</v>
      </c>
      <c r="K1093" s="47">
        <f t="shared" si="86"/>
        <v>1.7543859649122823E-2</v>
      </c>
      <c r="M1093" s="8">
        <v>6.78</v>
      </c>
      <c r="N1093" s="8">
        <v>6.67</v>
      </c>
      <c r="O1093" s="17">
        <f t="shared" si="87"/>
        <v>2.2509599999999979</v>
      </c>
      <c r="P1093" s="17">
        <f t="shared" si="88"/>
        <v>3.8018999999999963</v>
      </c>
      <c r="T1093" s="9">
        <v>12020.85644</v>
      </c>
      <c r="U1093" s="9">
        <v>41533.910000000003</v>
      </c>
      <c r="V1093" s="45">
        <f t="shared" si="89"/>
        <v>-0.71057729840508643</v>
      </c>
      <c r="X1093" s="12">
        <v>5</v>
      </c>
    </row>
    <row r="1094" spans="1:25" x14ac:dyDescent="0.45">
      <c r="A1094" s="3" t="s">
        <v>2087</v>
      </c>
      <c r="B1094" s="3" t="s">
        <v>2088</v>
      </c>
      <c r="C1094" s="6" t="s">
        <v>520</v>
      </c>
      <c r="D1094" s="6" t="s">
        <v>210</v>
      </c>
      <c r="E1094" s="6" t="s">
        <v>215</v>
      </c>
      <c r="F1094" s="6">
        <v>6556.8</v>
      </c>
      <c r="G1094" s="2">
        <v>2</v>
      </c>
      <c r="H1094" s="2">
        <v>2.37</v>
      </c>
      <c r="I1094" s="2">
        <v>2.66</v>
      </c>
      <c r="J1094" s="47">
        <f t="shared" si="85"/>
        <v>0.18500000000000005</v>
      </c>
      <c r="K1094" s="47">
        <f t="shared" si="86"/>
        <v>0.12236286919831224</v>
      </c>
      <c r="M1094" s="8">
        <v>20.52</v>
      </c>
      <c r="N1094" s="8">
        <v>18.239999999999998</v>
      </c>
      <c r="O1094" s="17">
        <f t="shared" si="87"/>
        <v>1.1091891891891887</v>
      </c>
      <c r="P1094" s="17">
        <f t="shared" si="88"/>
        <v>1.4906482758620687</v>
      </c>
      <c r="T1094" s="9">
        <v>2519.1069299999999</v>
      </c>
      <c r="U1094" s="9">
        <v>2343.56</v>
      </c>
      <c r="V1094" s="45">
        <f t="shared" si="89"/>
        <v>7.4906095854170573E-2</v>
      </c>
      <c r="X1094" s="12">
        <v>1.66</v>
      </c>
      <c r="Y1094" s="12">
        <v>20210611</v>
      </c>
    </row>
    <row r="1095" spans="1:25" x14ac:dyDescent="0.45">
      <c r="A1095" s="3" t="s">
        <v>4194</v>
      </c>
      <c r="B1095" s="3" t="s">
        <v>4195</v>
      </c>
      <c r="C1095" s="6" t="s">
        <v>1003</v>
      </c>
      <c r="D1095" s="6" t="s">
        <v>289</v>
      </c>
      <c r="E1095" s="6" t="s">
        <v>1357</v>
      </c>
      <c r="F1095" s="6">
        <v>25039.37</v>
      </c>
      <c r="G1095" s="2">
        <v>-0.68</v>
      </c>
      <c r="H1095" s="2">
        <v>2.34</v>
      </c>
      <c r="I1095" s="2">
        <v>1.85</v>
      </c>
      <c r="J1095" s="47">
        <f t="shared" si="85"/>
        <v>4.4411764705882346</v>
      </c>
      <c r="K1095" s="47">
        <f t="shared" si="86"/>
        <v>-0.20940170940170932</v>
      </c>
      <c r="M1095" s="8">
        <v>14.58</v>
      </c>
      <c r="N1095" s="8">
        <v>18.489999999999998</v>
      </c>
      <c r="O1095" s="17">
        <f t="shared" si="87"/>
        <v>3.2829139072847686E-2</v>
      </c>
      <c r="P1095" s="17">
        <f t="shared" si="88"/>
        <v>-0.88299183673469406</v>
      </c>
      <c r="R1095" s="9">
        <v>-0.28999999999999998</v>
      </c>
      <c r="S1095" s="9">
        <v>-0.9</v>
      </c>
      <c r="T1095" s="9">
        <v>27553.550780000001</v>
      </c>
      <c r="U1095" s="9">
        <v>16713.09</v>
      </c>
      <c r="V1095" s="45">
        <f t="shared" si="89"/>
        <v>0.64862097792807916</v>
      </c>
      <c r="W1095" s="12">
        <v>13.51</v>
      </c>
      <c r="X1095" s="12">
        <v>0.98</v>
      </c>
      <c r="Y1095" s="12">
        <v>20210730</v>
      </c>
    </row>
    <row r="1096" spans="1:25" x14ac:dyDescent="0.45">
      <c r="A1096" s="3" t="s">
        <v>2089</v>
      </c>
      <c r="B1096" s="3" t="s">
        <v>2090</v>
      </c>
      <c r="C1096" s="6" t="s">
        <v>520</v>
      </c>
      <c r="D1096" s="6" t="s">
        <v>90</v>
      </c>
      <c r="E1096" s="6" t="s">
        <v>268</v>
      </c>
      <c r="F1096" s="6">
        <v>14462.84</v>
      </c>
      <c r="G1096" s="2">
        <v>0.84</v>
      </c>
      <c r="H1096" s="2">
        <v>4</v>
      </c>
      <c r="I1096" s="2">
        <v>4.88</v>
      </c>
      <c r="J1096" s="47">
        <f t="shared" si="85"/>
        <v>3.7619047619047623</v>
      </c>
      <c r="K1096" s="47">
        <f t="shared" si="86"/>
        <v>0.21999999999999997</v>
      </c>
      <c r="M1096" s="8">
        <v>4.54</v>
      </c>
      <c r="N1096" s="8">
        <v>3.72</v>
      </c>
      <c r="O1096" s="17">
        <f t="shared" si="87"/>
        <v>1.2068354430379747E-2</v>
      </c>
      <c r="P1096" s="17">
        <f t="shared" si="88"/>
        <v>0.16909090909090913</v>
      </c>
      <c r="Q1096" s="5">
        <v>0.65</v>
      </c>
      <c r="U1096" s="9">
        <v>4494.24</v>
      </c>
      <c r="V1096" s="45">
        <f t="shared" si="89"/>
        <v>-1</v>
      </c>
      <c r="X1096" s="12">
        <v>5.96</v>
      </c>
    </row>
    <row r="1097" spans="1:25" x14ac:dyDescent="0.45">
      <c r="A1097" s="3" t="s">
        <v>2091</v>
      </c>
      <c r="B1097" s="3" t="s">
        <v>2092</v>
      </c>
      <c r="C1097" s="6" t="s">
        <v>519</v>
      </c>
      <c r="D1097" s="6" t="s">
        <v>279</v>
      </c>
      <c r="E1097" s="6" t="s">
        <v>256</v>
      </c>
      <c r="F1097" s="6">
        <v>18957.400000000001</v>
      </c>
      <c r="G1097" s="2">
        <v>-0.57999999999999996</v>
      </c>
      <c r="H1097" s="2">
        <v>2.96</v>
      </c>
      <c r="I1097" s="2">
        <v>4.4400000000000004</v>
      </c>
      <c r="J1097" s="47">
        <f t="shared" si="85"/>
        <v>6.1034482758620694</v>
      </c>
      <c r="K1097" s="47">
        <f t="shared" si="86"/>
        <v>0.50000000000000011</v>
      </c>
      <c r="L1097" s="8">
        <v>28.08</v>
      </c>
      <c r="M1097" s="8">
        <v>29.12</v>
      </c>
      <c r="N1097" s="8">
        <v>19.43</v>
      </c>
      <c r="O1097" s="17">
        <f t="shared" si="87"/>
        <v>4.7710734463276831E-2</v>
      </c>
      <c r="P1097" s="17">
        <f t="shared" si="88"/>
        <v>0.38859999999999989</v>
      </c>
      <c r="Q1097" s="5">
        <v>0.81</v>
      </c>
      <c r="R1097" s="9">
        <v>20.100000000000001</v>
      </c>
      <c r="S1097" s="9">
        <v>23.67</v>
      </c>
      <c r="T1097" s="9">
        <v>2845.8940400000001</v>
      </c>
      <c r="U1097" s="9">
        <v>2666.7</v>
      </c>
      <c r="V1097" s="45">
        <f t="shared" si="89"/>
        <v>6.7196925038437147E-2</v>
      </c>
      <c r="W1097" s="12">
        <v>3.08</v>
      </c>
      <c r="X1097" s="12">
        <v>0</v>
      </c>
      <c r="Y1097" s="12">
        <v>20210803</v>
      </c>
    </row>
    <row r="1098" spans="1:25" x14ac:dyDescent="0.45">
      <c r="A1098" s="3" t="s">
        <v>2093</v>
      </c>
      <c r="B1098" s="3" t="s">
        <v>2094</v>
      </c>
      <c r="C1098" s="6" t="s">
        <v>518</v>
      </c>
      <c r="D1098" s="6" t="s">
        <v>175</v>
      </c>
      <c r="E1098" s="6" t="s">
        <v>193</v>
      </c>
      <c r="F1098" s="6">
        <v>45230.46</v>
      </c>
      <c r="G1098" s="2">
        <v>2.79</v>
      </c>
      <c r="H1098" s="2">
        <v>3.15</v>
      </c>
      <c r="I1098" s="2">
        <v>3.52</v>
      </c>
      <c r="J1098" s="47">
        <f t="shared" si="85"/>
        <v>0.12903225806451607</v>
      </c>
      <c r="K1098" s="47">
        <f t="shared" si="86"/>
        <v>0.1174603174603175</v>
      </c>
      <c r="L1098" s="8">
        <v>36.93</v>
      </c>
      <c r="M1098" s="8">
        <v>33.85</v>
      </c>
      <c r="N1098" s="8">
        <v>30.31</v>
      </c>
      <c r="O1098" s="17">
        <f t="shared" si="87"/>
        <v>2.6233750000000016</v>
      </c>
      <c r="P1098" s="17">
        <f t="shared" si="88"/>
        <v>2.5804459459459448</v>
      </c>
      <c r="R1098" s="9">
        <v>11.3</v>
      </c>
      <c r="S1098" s="9">
        <v>18.059999999999999</v>
      </c>
      <c r="T1098" s="9">
        <v>4606.3930600000003</v>
      </c>
      <c r="U1098" s="9">
        <v>4287.8</v>
      </c>
      <c r="V1098" s="45">
        <f t="shared" si="89"/>
        <v>7.430222025281033E-2</v>
      </c>
      <c r="W1098" s="12">
        <v>1.43</v>
      </c>
      <c r="X1098" s="12">
        <v>0.75</v>
      </c>
      <c r="Y1098" s="12">
        <v>20210623</v>
      </c>
    </row>
    <row r="1099" spans="1:25" x14ac:dyDescent="0.45">
      <c r="A1099" s="3" t="s">
        <v>2095</v>
      </c>
      <c r="B1099" s="3" t="s">
        <v>2096</v>
      </c>
      <c r="C1099" s="6" t="s">
        <v>518</v>
      </c>
      <c r="D1099" s="6" t="s">
        <v>189</v>
      </c>
      <c r="E1099" s="6" t="s">
        <v>204</v>
      </c>
      <c r="F1099" s="6">
        <v>83407.66</v>
      </c>
      <c r="G1099" s="2">
        <v>0.62</v>
      </c>
      <c r="H1099" s="2">
        <v>0.7</v>
      </c>
      <c r="I1099" s="2">
        <v>0.77</v>
      </c>
      <c r="J1099" s="47">
        <f t="shared" si="85"/>
        <v>0.12903225806451607</v>
      </c>
      <c r="K1099" s="47">
        <f t="shared" si="86"/>
        <v>0.10000000000000009</v>
      </c>
      <c r="L1099" s="8">
        <v>32.229999999999997</v>
      </c>
      <c r="M1099" s="8">
        <v>28.26</v>
      </c>
      <c r="N1099" s="8">
        <v>25.57</v>
      </c>
      <c r="O1099" s="17">
        <f t="shared" si="87"/>
        <v>2.1901500000000014</v>
      </c>
      <c r="P1099" s="17">
        <f t="shared" si="88"/>
        <v>2.5569999999999977</v>
      </c>
      <c r="Q1099" s="5">
        <v>2.83</v>
      </c>
      <c r="R1099" s="9">
        <v>26.9</v>
      </c>
      <c r="S1099" s="9">
        <v>7.26</v>
      </c>
      <c r="T1099" s="9">
        <v>15604.706050000001</v>
      </c>
      <c r="U1099" s="9">
        <v>13561</v>
      </c>
      <c r="V1099" s="45">
        <f t="shared" si="89"/>
        <v>0.15070467148440386</v>
      </c>
      <c r="W1099" s="12">
        <v>0</v>
      </c>
      <c r="X1099" s="12">
        <v>1.72</v>
      </c>
      <c r="Y1099" s="12">
        <v>20210721</v>
      </c>
    </row>
    <row r="1100" spans="1:25" x14ac:dyDescent="0.45">
      <c r="A1100" s="3" t="s">
        <v>2097</v>
      </c>
      <c r="B1100" s="3" t="s">
        <v>2098</v>
      </c>
      <c r="C1100" s="6" t="s">
        <v>518</v>
      </c>
      <c r="D1100" s="6" t="s">
        <v>234</v>
      </c>
      <c r="E1100" s="6" t="s">
        <v>105</v>
      </c>
      <c r="F1100" s="6">
        <v>52255.15</v>
      </c>
      <c r="G1100" s="2">
        <v>0.68</v>
      </c>
      <c r="H1100" s="2">
        <v>1.35</v>
      </c>
      <c r="I1100" s="2">
        <v>1.42</v>
      </c>
      <c r="J1100" s="47">
        <f t="shared" si="85"/>
        <v>0.98529411764705876</v>
      </c>
      <c r="K1100" s="47">
        <f t="shared" si="86"/>
        <v>5.1851851851851732E-2</v>
      </c>
      <c r="L1100" s="8">
        <v>15.59</v>
      </c>
      <c r="M1100" s="8">
        <v>9.93</v>
      </c>
      <c r="N1100" s="8">
        <v>9.44</v>
      </c>
      <c r="O1100" s="17">
        <f t="shared" si="87"/>
        <v>0.10078208955223882</v>
      </c>
      <c r="P1100" s="17">
        <f t="shared" si="88"/>
        <v>1.8205714285714325</v>
      </c>
      <c r="Q1100" s="5">
        <v>0.41</v>
      </c>
      <c r="R1100" s="9">
        <v>5.33</v>
      </c>
      <c r="S1100" s="9">
        <v>1.64</v>
      </c>
      <c r="T1100" s="9">
        <v>21979.41015</v>
      </c>
      <c r="U1100" s="9">
        <v>20145.04</v>
      </c>
      <c r="V1100" s="45">
        <f t="shared" si="89"/>
        <v>9.1058153768868111E-2</v>
      </c>
      <c r="W1100" s="12">
        <v>187.5</v>
      </c>
      <c r="X1100" s="12">
        <v>0.92</v>
      </c>
      <c r="Y1100" s="12">
        <v>20210805</v>
      </c>
    </row>
    <row r="1101" spans="1:25" x14ac:dyDescent="0.45">
      <c r="A1101" s="3" t="s">
        <v>2099</v>
      </c>
      <c r="B1101" s="3" t="s">
        <v>2100</v>
      </c>
      <c r="C1101" s="6" t="s">
        <v>518</v>
      </c>
      <c r="D1101" s="6" t="s">
        <v>225</v>
      </c>
      <c r="E1101" s="6" t="s">
        <v>226</v>
      </c>
      <c r="F1101" s="6">
        <v>6397.5</v>
      </c>
      <c r="G1101" s="2">
        <v>5.97</v>
      </c>
      <c r="H1101" s="2">
        <v>6.49</v>
      </c>
      <c r="I1101" s="2">
        <v>6.99</v>
      </c>
      <c r="J1101" s="47">
        <f t="shared" si="85"/>
        <v>8.7102177554438942E-2</v>
      </c>
      <c r="K1101" s="47">
        <f t="shared" si="86"/>
        <v>7.7041602465331274E-2</v>
      </c>
      <c r="L1101" s="8">
        <v>14.72</v>
      </c>
      <c r="M1101" s="8">
        <v>14.72</v>
      </c>
      <c r="N1101" s="8">
        <v>13.66</v>
      </c>
      <c r="O1101" s="17">
        <f t="shared" si="87"/>
        <v>1.6899692307692293</v>
      </c>
      <c r="P1101" s="17">
        <f t="shared" si="88"/>
        <v>1.7730680000000001</v>
      </c>
      <c r="R1101" s="9">
        <v>15.9</v>
      </c>
      <c r="S1101" s="9">
        <v>0.63</v>
      </c>
      <c r="U1101" s="9">
        <v>5987</v>
      </c>
      <c r="V1101" s="45">
        <f t="shared" si="89"/>
        <v>-1</v>
      </c>
      <c r="X1101" s="12">
        <v>2.68</v>
      </c>
      <c r="Y1101" s="12">
        <v>20210803</v>
      </c>
    </row>
    <row r="1102" spans="1:25" x14ac:dyDescent="0.45">
      <c r="A1102" s="3" t="s">
        <v>2101</v>
      </c>
      <c r="B1102" s="3" t="s">
        <v>2102</v>
      </c>
      <c r="C1102" s="6" t="s">
        <v>519</v>
      </c>
      <c r="D1102" s="6" t="s">
        <v>189</v>
      </c>
      <c r="E1102" s="6" t="s">
        <v>204</v>
      </c>
      <c r="F1102" s="6">
        <v>5032.2299999999996</v>
      </c>
      <c r="G1102" s="2">
        <v>0.6</v>
      </c>
      <c r="H1102" s="2">
        <v>0.75</v>
      </c>
      <c r="I1102" s="2">
        <v>0.92</v>
      </c>
      <c r="J1102" s="47">
        <f t="shared" si="85"/>
        <v>0.25000000000000006</v>
      </c>
      <c r="K1102" s="47">
        <f t="shared" si="86"/>
        <v>0.22666666666666671</v>
      </c>
      <c r="L1102" s="8">
        <v>46.78</v>
      </c>
      <c r="M1102" s="8">
        <v>43.33</v>
      </c>
      <c r="N1102" s="8">
        <v>35.020000000000003</v>
      </c>
      <c r="O1102" s="17">
        <f t="shared" si="87"/>
        <v>1.7331999999999994</v>
      </c>
      <c r="P1102" s="17">
        <f t="shared" si="88"/>
        <v>1.5449999999999997</v>
      </c>
      <c r="Q1102" s="5">
        <v>2.06</v>
      </c>
      <c r="R1102" s="9">
        <v>11.31</v>
      </c>
      <c r="S1102" s="9">
        <v>12.44</v>
      </c>
      <c r="T1102" s="9">
        <v>760.26500999999996</v>
      </c>
      <c r="U1102" s="9">
        <v>667.52</v>
      </c>
      <c r="V1102" s="45">
        <f t="shared" si="89"/>
        <v>0.13893967221955894</v>
      </c>
      <c r="W1102" s="12">
        <v>21.43</v>
      </c>
      <c r="X1102" s="12">
        <v>0</v>
      </c>
      <c r="Y1102" s="12">
        <v>20210804</v>
      </c>
    </row>
    <row r="1103" spans="1:25" x14ac:dyDescent="0.45">
      <c r="A1103" s="3" t="s">
        <v>2103</v>
      </c>
      <c r="B1103" s="3" t="s">
        <v>2104</v>
      </c>
      <c r="C1103" s="6" t="s">
        <v>518</v>
      </c>
      <c r="D1103" s="6" t="s">
        <v>279</v>
      </c>
      <c r="E1103" s="6" t="s">
        <v>265</v>
      </c>
      <c r="F1103" s="6">
        <v>4551.46</v>
      </c>
      <c r="G1103" s="2">
        <v>-2.37</v>
      </c>
      <c r="H1103" s="2">
        <v>-2.17</v>
      </c>
      <c r="I1103" s="2">
        <v>-1.43</v>
      </c>
      <c r="J1103" s="47">
        <f t="shared" si="85"/>
        <v>8.4388185654008505E-2</v>
      </c>
      <c r="K1103" s="47">
        <f t="shared" si="86"/>
        <v>0.34101382488479265</v>
      </c>
      <c r="O1103" s="17">
        <f t="shared" si="87"/>
        <v>0</v>
      </c>
      <c r="P1103" s="17">
        <f t="shared" si="88"/>
        <v>0</v>
      </c>
      <c r="R1103" s="9">
        <v>-24.99</v>
      </c>
      <c r="S1103" s="9">
        <v>55.68</v>
      </c>
      <c r="T1103" s="9">
        <v>193.876</v>
      </c>
      <c r="U1103" s="9">
        <v>115.38</v>
      </c>
      <c r="V1103" s="45">
        <f t="shared" si="89"/>
        <v>0.68032587970185487</v>
      </c>
      <c r="W1103" s="12">
        <v>7.69</v>
      </c>
      <c r="X1103" s="12">
        <v>0</v>
      </c>
      <c r="Y1103" s="12">
        <v>20210803</v>
      </c>
    </row>
    <row r="1104" spans="1:25" x14ac:dyDescent="0.45">
      <c r="A1104" s="3" t="s">
        <v>2105</v>
      </c>
      <c r="B1104" s="3" t="s">
        <v>2106</v>
      </c>
      <c r="C1104" s="6" t="s">
        <v>519</v>
      </c>
      <c r="D1104" s="6" t="s">
        <v>189</v>
      </c>
      <c r="E1104" s="6" t="s">
        <v>2107</v>
      </c>
      <c r="F1104" s="6">
        <v>230166</v>
      </c>
      <c r="G1104" s="2">
        <v>4.8899999999999997</v>
      </c>
      <c r="H1104" s="2">
        <v>4.62</v>
      </c>
      <c r="I1104" s="2">
        <v>4.62</v>
      </c>
      <c r="J1104" s="47">
        <f t="shared" si="85"/>
        <v>-5.5214723926380285E-2</v>
      </c>
      <c r="K1104" s="47">
        <f t="shared" si="86"/>
        <v>0</v>
      </c>
      <c r="L1104" s="8">
        <v>10.86</v>
      </c>
      <c r="M1104" s="8">
        <v>12.34</v>
      </c>
      <c r="N1104" s="8">
        <v>12.34</v>
      </c>
      <c r="O1104" s="17">
        <f t="shared" si="87"/>
        <v>-2.2349111111111144</v>
      </c>
      <c r="P1104" s="17" t="e">
        <f t="shared" si="88"/>
        <v>#DIV/0!</v>
      </c>
      <c r="Q1104" s="5">
        <v>1.65</v>
      </c>
      <c r="R1104" s="9">
        <v>27.59</v>
      </c>
      <c r="S1104" s="9">
        <v>7.39</v>
      </c>
      <c r="T1104" s="9">
        <v>74061.539059999996</v>
      </c>
      <c r="U1104" s="9">
        <v>77867</v>
      </c>
      <c r="V1104" s="45">
        <f t="shared" si="89"/>
        <v>-4.8871292588644796E-2</v>
      </c>
      <c r="W1104" s="12">
        <v>20.87</v>
      </c>
      <c r="X1104" s="12">
        <v>2.44</v>
      </c>
      <c r="Y1104" s="12">
        <v>20210722</v>
      </c>
    </row>
    <row r="1105" spans="1:25" x14ac:dyDescent="0.45">
      <c r="A1105" s="3" t="s">
        <v>2108</v>
      </c>
      <c r="B1105" s="3" t="s">
        <v>2109</v>
      </c>
      <c r="C1105" s="6" t="s">
        <v>519</v>
      </c>
      <c r="D1105" s="6" t="s">
        <v>189</v>
      </c>
      <c r="E1105" s="6" t="s">
        <v>202</v>
      </c>
      <c r="F1105" s="6">
        <v>127975.52</v>
      </c>
      <c r="G1105" s="2">
        <v>7.27</v>
      </c>
      <c r="H1105" s="2">
        <v>9.35</v>
      </c>
      <c r="I1105" s="2">
        <v>10.84</v>
      </c>
      <c r="J1105" s="47">
        <f t="shared" si="85"/>
        <v>0.28610729023383774</v>
      </c>
      <c r="K1105" s="47">
        <f t="shared" si="86"/>
        <v>0.15935828877005351</v>
      </c>
      <c r="L1105" s="8">
        <v>49.3</v>
      </c>
      <c r="M1105" s="8">
        <v>50.08</v>
      </c>
      <c r="N1105" s="8">
        <v>43.22</v>
      </c>
      <c r="O1105" s="17">
        <f t="shared" si="87"/>
        <v>1.7503923076923071</v>
      </c>
      <c r="P1105" s="17">
        <f t="shared" si="88"/>
        <v>2.7121275167785228</v>
      </c>
      <c r="Q1105" s="5">
        <v>3.38</v>
      </c>
      <c r="R1105" s="9">
        <v>28.76</v>
      </c>
      <c r="S1105" s="9">
        <v>13.32</v>
      </c>
      <c r="T1105" s="9">
        <v>9389.7060500000007</v>
      </c>
      <c r="U1105" s="9">
        <v>7679</v>
      </c>
      <c r="V1105" s="45">
        <f t="shared" si="89"/>
        <v>0.22277719104050014</v>
      </c>
      <c r="W1105" s="12">
        <v>0.5</v>
      </c>
      <c r="X1105" s="12">
        <v>0.5</v>
      </c>
      <c r="Y1105" s="12">
        <v>20210824</v>
      </c>
    </row>
    <row r="1106" spans="1:25" x14ac:dyDescent="0.45">
      <c r="A1106" s="3" t="s">
        <v>2110</v>
      </c>
      <c r="B1106" s="3" t="s">
        <v>2111</v>
      </c>
      <c r="C1106" s="6" t="s">
        <v>518</v>
      </c>
      <c r="D1106" s="6" t="s">
        <v>234</v>
      </c>
      <c r="E1106" s="6" t="s">
        <v>287</v>
      </c>
      <c r="F1106" s="6">
        <v>21258.51</v>
      </c>
      <c r="G1106" s="2">
        <v>1.28</v>
      </c>
      <c r="H1106" s="2">
        <v>1.41</v>
      </c>
      <c r="I1106" s="2">
        <v>1.52</v>
      </c>
      <c r="J1106" s="47">
        <f t="shared" si="85"/>
        <v>0.10156249999999992</v>
      </c>
      <c r="K1106" s="47">
        <f t="shared" si="86"/>
        <v>7.8014184397163192E-2</v>
      </c>
      <c r="L1106" s="8">
        <v>28.81</v>
      </c>
      <c r="M1106" s="8">
        <v>26.62</v>
      </c>
      <c r="N1106" s="8">
        <v>24.64</v>
      </c>
      <c r="O1106" s="17">
        <f t="shared" si="87"/>
        <v>2.621046153846156</v>
      </c>
      <c r="P1106" s="17">
        <f t="shared" si="88"/>
        <v>3.1583999999999972</v>
      </c>
      <c r="Q1106" s="5">
        <v>6.88</v>
      </c>
      <c r="R1106" s="9">
        <v>2.4</v>
      </c>
      <c r="S1106" s="9">
        <v>20.62</v>
      </c>
      <c r="T1106" s="9">
        <v>1943.9489699999999</v>
      </c>
      <c r="U1106" s="9">
        <v>1822.83</v>
      </c>
      <c r="V1106" s="45">
        <f t="shared" si="89"/>
        <v>6.6445565412024163E-2</v>
      </c>
      <c r="W1106" s="12">
        <v>5.88</v>
      </c>
      <c r="X1106" s="12">
        <v>1.82</v>
      </c>
      <c r="Y1106" s="12">
        <v>20210802</v>
      </c>
    </row>
    <row r="1107" spans="1:25" x14ac:dyDescent="0.45">
      <c r="A1107" s="3" t="s">
        <v>2112</v>
      </c>
      <c r="B1107" s="3" t="s">
        <v>2113</v>
      </c>
      <c r="C1107" s="6" t="s">
        <v>519</v>
      </c>
      <c r="D1107" s="6" t="s">
        <v>279</v>
      </c>
      <c r="E1107" s="6" t="s">
        <v>258</v>
      </c>
      <c r="F1107" s="6">
        <v>5204.3500000000004</v>
      </c>
      <c r="G1107" s="2">
        <v>-0.52</v>
      </c>
      <c r="H1107" s="2">
        <v>-1.7</v>
      </c>
      <c r="I1107" s="2">
        <v>-1.45</v>
      </c>
      <c r="J1107" s="47">
        <f t="shared" si="85"/>
        <v>-2.2692307692307692</v>
      </c>
      <c r="K1107" s="47">
        <f t="shared" si="86"/>
        <v>0.14705882352941177</v>
      </c>
      <c r="O1107" s="17">
        <f t="shared" si="87"/>
        <v>0</v>
      </c>
      <c r="P1107" s="17">
        <f t="shared" si="88"/>
        <v>0</v>
      </c>
      <c r="R1107" s="9">
        <v>-41.74</v>
      </c>
      <c r="S1107" s="9">
        <v>31.84</v>
      </c>
      <c r="T1107" s="9">
        <v>623.15899000000002</v>
      </c>
      <c r="U1107" s="9">
        <v>729</v>
      </c>
      <c r="V1107" s="45">
        <f t="shared" si="89"/>
        <v>-0.14518657064471877</v>
      </c>
      <c r="W1107" s="12">
        <v>-33.33</v>
      </c>
      <c r="X1107" s="12">
        <v>0</v>
      </c>
      <c r="Y1107" s="12">
        <v>20210804</v>
      </c>
    </row>
    <row r="1108" spans="1:25" x14ac:dyDescent="0.45">
      <c r="A1108" s="3" t="s">
        <v>2114</v>
      </c>
      <c r="B1108" s="3" t="s">
        <v>2115</v>
      </c>
      <c r="C1108" s="6" t="s">
        <v>519</v>
      </c>
      <c r="D1108" s="6" t="s">
        <v>279</v>
      </c>
      <c r="E1108" s="6" t="s">
        <v>256</v>
      </c>
      <c r="F1108" s="6">
        <v>3154.81</v>
      </c>
      <c r="G1108" s="2">
        <v>-1.85</v>
      </c>
      <c r="H1108" s="2">
        <v>-2.0699999999999998</v>
      </c>
      <c r="I1108" s="2">
        <v>-2.16</v>
      </c>
      <c r="J1108" s="47">
        <f t="shared" si="85"/>
        <v>-0.11891891891891877</v>
      </c>
      <c r="K1108" s="47">
        <f t="shared" si="86"/>
        <v>-4.3478260869565369E-2</v>
      </c>
      <c r="O1108" s="17">
        <f t="shared" si="87"/>
        <v>0</v>
      </c>
      <c r="P1108" s="17">
        <f t="shared" si="88"/>
        <v>0</v>
      </c>
      <c r="R1108" s="9">
        <v>-38.270000000000003</v>
      </c>
      <c r="V1108" s="45" t="e">
        <f t="shared" si="89"/>
        <v>#DIV/0!</v>
      </c>
      <c r="W1108" s="12">
        <v>-6.25</v>
      </c>
      <c r="X1108" s="12">
        <v>0</v>
      </c>
      <c r="Y1108" s="12">
        <v>20210805</v>
      </c>
    </row>
    <row r="1109" spans="1:25" x14ac:dyDescent="0.45">
      <c r="A1109" s="3" t="s">
        <v>2116</v>
      </c>
      <c r="B1109" s="3" t="s">
        <v>2117</v>
      </c>
      <c r="C1109" s="6" t="s">
        <v>518</v>
      </c>
      <c r="D1109" s="6" t="s">
        <v>90</v>
      </c>
      <c r="E1109" s="6" t="s">
        <v>282</v>
      </c>
      <c r="F1109" s="6">
        <v>24789.26</v>
      </c>
      <c r="G1109" s="2">
        <v>2.88</v>
      </c>
      <c r="H1109" s="2">
        <v>4.84</v>
      </c>
      <c r="I1109" s="2">
        <v>5.56</v>
      </c>
      <c r="J1109" s="47">
        <f t="shared" si="85"/>
        <v>0.68055555555555558</v>
      </c>
      <c r="K1109" s="47">
        <f t="shared" si="86"/>
        <v>0.14876033057851235</v>
      </c>
      <c r="L1109" s="8">
        <v>21.16</v>
      </c>
      <c r="M1109" s="8">
        <v>13.09</v>
      </c>
      <c r="N1109" s="8">
        <v>11.38</v>
      </c>
      <c r="O1109" s="17">
        <f t="shared" si="87"/>
        <v>0.19234285714285715</v>
      </c>
      <c r="P1109" s="17">
        <f t="shared" si="88"/>
        <v>0.76498888888888916</v>
      </c>
      <c r="R1109" s="9">
        <v>15.84</v>
      </c>
      <c r="S1109" s="9">
        <v>-0.47</v>
      </c>
      <c r="T1109" s="9">
        <v>22397.103510000001</v>
      </c>
      <c r="U1109" s="9">
        <v>20580</v>
      </c>
      <c r="V1109" s="45">
        <f t="shared" si="89"/>
        <v>8.8294631195335316E-2</v>
      </c>
      <c r="W1109" s="12">
        <v>28.81</v>
      </c>
      <c r="X1109" s="12">
        <v>3.24</v>
      </c>
      <c r="Y1109" s="12">
        <v>20210729</v>
      </c>
    </row>
    <row r="1110" spans="1:25" x14ac:dyDescent="0.45">
      <c r="A1110" s="3" t="s">
        <v>2118</v>
      </c>
      <c r="B1110" s="3" t="s">
        <v>2119</v>
      </c>
      <c r="C1110" s="6" t="s">
        <v>518</v>
      </c>
      <c r="D1110" s="6" t="s">
        <v>175</v>
      </c>
      <c r="E1110" s="6" t="s">
        <v>9</v>
      </c>
      <c r="F1110" s="6">
        <v>13185.95</v>
      </c>
      <c r="G1110" s="2">
        <v>1.7</v>
      </c>
      <c r="H1110" s="2">
        <v>2.12</v>
      </c>
      <c r="I1110" s="2">
        <v>2.31</v>
      </c>
      <c r="J1110" s="47">
        <f t="shared" si="85"/>
        <v>0.24705882352941186</v>
      </c>
      <c r="K1110" s="47">
        <f t="shared" si="86"/>
        <v>8.9622641509433928E-2</v>
      </c>
      <c r="L1110" s="8">
        <v>16.190000000000001</v>
      </c>
      <c r="M1110" s="8">
        <v>15.79</v>
      </c>
      <c r="N1110" s="8">
        <v>14.53</v>
      </c>
      <c r="O1110" s="17">
        <f t="shared" si="87"/>
        <v>0.63911904761904736</v>
      </c>
      <c r="P1110" s="17">
        <f t="shared" si="88"/>
        <v>1.6212421052631585</v>
      </c>
      <c r="Q1110" s="5">
        <v>1.75</v>
      </c>
      <c r="R1110" s="9">
        <v>29.27</v>
      </c>
      <c r="S1110" s="9">
        <v>6.02</v>
      </c>
      <c r="T1110" s="9">
        <v>8638.8495999999996</v>
      </c>
      <c r="U1110" s="9">
        <v>9061</v>
      </c>
      <c r="V1110" s="45">
        <f t="shared" si="89"/>
        <v>-4.6589824522679665E-2</v>
      </c>
      <c r="W1110" s="12">
        <v>181.25</v>
      </c>
      <c r="X1110" s="12">
        <v>3.22</v>
      </c>
      <c r="Y1110" s="12">
        <v>20210804</v>
      </c>
    </row>
    <row r="1111" spans="1:25" x14ac:dyDescent="0.45">
      <c r="A1111" s="3" t="s">
        <v>2120</v>
      </c>
      <c r="B1111" s="3" t="s">
        <v>2121</v>
      </c>
      <c r="C1111" s="6" t="s">
        <v>519</v>
      </c>
      <c r="D1111" s="6" t="s">
        <v>189</v>
      </c>
      <c r="E1111" s="6" t="s">
        <v>2122</v>
      </c>
      <c r="F1111" s="6">
        <v>10887.17</v>
      </c>
      <c r="G1111" s="2">
        <v>3.02</v>
      </c>
      <c r="H1111" s="2">
        <v>5.49</v>
      </c>
      <c r="I1111" s="2">
        <v>6.7</v>
      </c>
      <c r="J1111" s="47">
        <f t="shared" si="85"/>
        <v>0.81788079470198682</v>
      </c>
      <c r="K1111" s="47">
        <f t="shared" si="86"/>
        <v>0.22040072859744989</v>
      </c>
      <c r="L1111" s="8">
        <v>44.56</v>
      </c>
      <c r="M1111" s="8">
        <v>37.03</v>
      </c>
      <c r="N1111" s="8">
        <v>30.34</v>
      </c>
      <c r="O1111" s="17">
        <f t="shared" si="87"/>
        <v>0.45275546558704449</v>
      </c>
      <c r="P1111" s="17">
        <f t="shared" si="88"/>
        <v>1.3765834710743803</v>
      </c>
      <c r="R1111" s="9">
        <v>9.69</v>
      </c>
      <c r="S1111" s="9">
        <v>4.01</v>
      </c>
      <c r="T1111" s="9">
        <v>1474.807</v>
      </c>
      <c r="U1111" s="9">
        <v>1200.72</v>
      </c>
      <c r="V1111" s="45">
        <f t="shared" si="89"/>
        <v>0.22826887201012724</v>
      </c>
      <c r="W1111" s="12">
        <v>9.35</v>
      </c>
      <c r="X1111" s="12">
        <v>0</v>
      </c>
      <c r="Y1111" s="12">
        <v>20210803</v>
      </c>
    </row>
    <row r="1112" spans="1:25" x14ac:dyDescent="0.45">
      <c r="A1112" s="3" t="s">
        <v>4726</v>
      </c>
      <c r="B1112" s="3" t="s">
        <v>4727</v>
      </c>
      <c r="C1112" s="6" t="s">
        <v>520</v>
      </c>
      <c r="D1112" s="6" t="s">
        <v>279</v>
      </c>
      <c r="E1112" s="6" t="s">
        <v>258</v>
      </c>
      <c r="F1112" s="6">
        <v>9253.1200000000008</v>
      </c>
      <c r="G1112" s="2">
        <v>2.14</v>
      </c>
      <c r="J1112" s="47">
        <f t="shared" si="85"/>
        <v>-1</v>
      </c>
      <c r="K1112" s="47" t="e">
        <f t="shared" si="86"/>
        <v>#DIV/0!</v>
      </c>
      <c r="O1112" s="17">
        <f t="shared" si="87"/>
        <v>0</v>
      </c>
      <c r="P1112" s="17" t="e">
        <f t="shared" si="88"/>
        <v>#DIV/0!</v>
      </c>
      <c r="T1112" s="9">
        <v>3372.57006</v>
      </c>
      <c r="U1112" s="9">
        <v>3068.19</v>
      </c>
      <c r="V1112" s="45">
        <f t="shared" si="89"/>
        <v>9.920508834198663E-2</v>
      </c>
      <c r="X1112" s="12">
        <v>0.7</v>
      </c>
    </row>
    <row r="1113" spans="1:25" x14ac:dyDescent="0.45">
      <c r="A1113" s="3" t="s">
        <v>4728</v>
      </c>
      <c r="B1113" s="3" t="s">
        <v>4729</v>
      </c>
      <c r="C1113" s="6" t="s">
        <v>520</v>
      </c>
      <c r="D1113" s="6" t="s">
        <v>289</v>
      </c>
      <c r="E1113" s="6" t="s">
        <v>4173</v>
      </c>
      <c r="F1113" s="6">
        <v>11055.14</v>
      </c>
      <c r="J1113" s="47" t="e">
        <f t="shared" si="85"/>
        <v>#DIV/0!</v>
      </c>
      <c r="K1113" s="47" t="e">
        <f t="shared" si="86"/>
        <v>#DIV/0!</v>
      </c>
      <c r="L1113" s="8">
        <v>15.12</v>
      </c>
      <c r="O1113" s="17" t="e">
        <f t="shared" si="87"/>
        <v>#DIV/0!</v>
      </c>
      <c r="P1113" s="17" t="e">
        <f t="shared" si="88"/>
        <v>#DIV/0!</v>
      </c>
      <c r="R1113" s="9">
        <v>2.5299999999999998</v>
      </c>
      <c r="S1113" s="9">
        <v>1.74</v>
      </c>
      <c r="U1113" s="9">
        <v>7273.98</v>
      </c>
      <c r="V1113" s="45">
        <f t="shared" si="89"/>
        <v>-1</v>
      </c>
      <c r="X1113" s="12">
        <v>2.0699999999999998</v>
      </c>
      <c r="Y1113" s="12">
        <v>20210511</v>
      </c>
    </row>
    <row r="1114" spans="1:25" x14ac:dyDescent="0.45">
      <c r="A1114" s="3" t="s">
        <v>2123</v>
      </c>
      <c r="B1114" s="3" t="s">
        <v>2124</v>
      </c>
      <c r="C1114" s="6" t="s">
        <v>519</v>
      </c>
      <c r="D1114" s="6" t="s">
        <v>216</v>
      </c>
      <c r="E1114" s="6" t="s">
        <v>217</v>
      </c>
      <c r="F1114" s="6">
        <v>11662.1</v>
      </c>
      <c r="G1114" s="2">
        <v>-1.17</v>
      </c>
      <c r="H1114" s="2">
        <v>-0.91</v>
      </c>
      <c r="I1114" s="2">
        <v>-0.35</v>
      </c>
      <c r="J1114" s="47">
        <f t="shared" si="85"/>
        <v>0.22222222222222215</v>
      </c>
      <c r="K1114" s="47">
        <f t="shared" si="86"/>
        <v>0.61538461538461542</v>
      </c>
      <c r="O1114" s="17">
        <f t="shared" si="87"/>
        <v>0</v>
      </c>
      <c r="P1114" s="17">
        <f t="shared" si="88"/>
        <v>0</v>
      </c>
      <c r="R1114" s="9">
        <v>-72.3</v>
      </c>
      <c r="T1114" s="9">
        <v>5001.4702100000004</v>
      </c>
      <c r="U1114" s="9">
        <v>4552.83</v>
      </c>
      <c r="V1114" s="45">
        <f t="shared" si="89"/>
        <v>9.8540953648609875E-2</v>
      </c>
      <c r="W1114" s="12">
        <v>0</v>
      </c>
      <c r="X1114" s="12">
        <v>0</v>
      </c>
      <c r="Y1114" s="12">
        <v>20210812</v>
      </c>
    </row>
    <row r="1115" spans="1:25" x14ac:dyDescent="0.45">
      <c r="A1115" s="3" t="s">
        <v>2125</v>
      </c>
      <c r="B1115" s="3" t="s">
        <v>2126</v>
      </c>
      <c r="C1115" s="6" t="s">
        <v>518</v>
      </c>
      <c r="D1115" s="6" t="s">
        <v>175</v>
      </c>
      <c r="E1115" s="6" t="s">
        <v>305</v>
      </c>
      <c r="F1115" s="6">
        <v>45879.85</v>
      </c>
      <c r="G1115" s="2">
        <v>6.32</v>
      </c>
      <c r="H1115" s="2">
        <v>8.69</v>
      </c>
      <c r="I1115" s="2">
        <v>9.9499999999999993</v>
      </c>
      <c r="J1115" s="47">
        <f t="shared" si="85"/>
        <v>0.37499999999999983</v>
      </c>
      <c r="K1115" s="47">
        <f t="shared" si="86"/>
        <v>0.14499424626006902</v>
      </c>
      <c r="L1115" s="8">
        <v>33.72</v>
      </c>
      <c r="M1115" s="8">
        <v>27.54</v>
      </c>
      <c r="N1115" s="8">
        <v>24.05</v>
      </c>
      <c r="O1115" s="17">
        <f t="shared" si="87"/>
        <v>0.73440000000000027</v>
      </c>
      <c r="P1115" s="17">
        <f t="shared" si="88"/>
        <v>1.6586865079365083</v>
      </c>
      <c r="Q1115" s="5">
        <v>2.14</v>
      </c>
      <c r="R1115" s="9">
        <v>20.96</v>
      </c>
      <c r="S1115" s="9">
        <v>13.13</v>
      </c>
      <c r="T1115" s="9">
        <v>13306.940420000001</v>
      </c>
      <c r="U1115" s="9">
        <v>11359</v>
      </c>
      <c r="V1115" s="45">
        <f t="shared" si="89"/>
        <v>0.17148872435953877</v>
      </c>
      <c r="W1115" s="12">
        <v>17.84</v>
      </c>
      <c r="X1115" s="12">
        <v>0</v>
      </c>
      <c r="Y1115" s="12">
        <v>20210728</v>
      </c>
    </row>
    <row r="1116" spans="1:25" x14ac:dyDescent="0.45">
      <c r="A1116" s="3" t="s">
        <v>2127</v>
      </c>
      <c r="B1116" s="3" t="s">
        <v>239</v>
      </c>
      <c r="C1116" s="6" t="s">
        <v>518</v>
      </c>
      <c r="D1116" s="6" t="s">
        <v>272</v>
      </c>
      <c r="E1116" s="6" t="s">
        <v>254</v>
      </c>
      <c r="F1116" s="6">
        <v>19995.310000000001</v>
      </c>
      <c r="G1116" s="2">
        <v>1.42</v>
      </c>
      <c r="H1116" s="2">
        <v>1.71</v>
      </c>
      <c r="I1116" s="2">
        <v>1.99</v>
      </c>
      <c r="J1116" s="47">
        <f t="shared" si="85"/>
        <v>0.20422535211267609</v>
      </c>
      <c r="K1116" s="47">
        <f t="shared" si="86"/>
        <v>0.16374269005847955</v>
      </c>
      <c r="L1116" s="8">
        <v>28.21</v>
      </c>
      <c r="M1116" s="8">
        <v>27.93</v>
      </c>
      <c r="N1116" s="8">
        <v>24.01</v>
      </c>
      <c r="O1116" s="17">
        <f t="shared" si="87"/>
        <v>1.3676068965517241</v>
      </c>
      <c r="P1116" s="17">
        <f t="shared" si="88"/>
        <v>1.4663249999999999</v>
      </c>
      <c r="R1116" s="9">
        <v>1.29</v>
      </c>
      <c r="S1116" s="9">
        <v>22.6</v>
      </c>
      <c r="T1116" s="9">
        <v>5100.6928699999999</v>
      </c>
      <c r="U1116" s="9">
        <v>4910.2</v>
      </c>
      <c r="V1116" s="45">
        <f t="shared" si="89"/>
        <v>3.8795338275426673E-2</v>
      </c>
      <c r="W1116" s="12">
        <v>25</v>
      </c>
      <c r="X1116" s="12">
        <v>0</v>
      </c>
      <c r="Y1116" s="12">
        <v>20210802</v>
      </c>
    </row>
    <row r="1117" spans="1:25" x14ac:dyDescent="0.45">
      <c r="A1117" s="3" t="s">
        <v>2128</v>
      </c>
      <c r="B1117" s="3" t="s">
        <v>2129</v>
      </c>
      <c r="C1117" s="6" t="s">
        <v>519</v>
      </c>
      <c r="D1117" s="6" t="s">
        <v>189</v>
      </c>
      <c r="E1117" s="6" t="s">
        <v>2130</v>
      </c>
      <c r="F1117" s="6">
        <v>5136.2700000000004</v>
      </c>
      <c r="G1117" s="2">
        <v>-0.46</v>
      </c>
      <c r="H1117" s="2">
        <v>-0.21</v>
      </c>
      <c r="I1117" s="2">
        <v>-0.08</v>
      </c>
      <c r="J1117" s="47">
        <f t="shared" si="85"/>
        <v>0.54347826086956519</v>
      </c>
      <c r="K1117" s="47">
        <f t="shared" si="86"/>
        <v>0.61904761904761907</v>
      </c>
      <c r="O1117" s="17">
        <f t="shared" si="87"/>
        <v>0</v>
      </c>
      <c r="P1117" s="17">
        <f t="shared" si="88"/>
        <v>0</v>
      </c>
      <c r="R1117" s="9">
        <v>-2.11</v>
      </c>
      <c r="S1117" s="9">
        <v>8.36</v>
      </c>
      <c r="T1117" s="9">
        <v>603.61602000000005</v>
      </c>
      <c r="U1117" s="9">
        <v>583.44000000000005</v>
      </c>
      <c r="V1117" s="45">
        <f t="shared" si="89"/>
        <v>3.4581139448786491E-2</v>
      </c>
      <c r="W1117" s="12">
        <v>20</v>
      </c>
      <c r="X1117" s="12">
        <v>0</v>
      </c>
      <c r="Y1117" s="12">
        <v>20210727</v>
      </c>
    </row>
    <row r="1118" spans="1:25" x14ac:dyDescent="0.45">
      <c r="A1118" s="3" t="s">
        <v>2131</v>
      </c>
      <c r="B1118" s="3" t="s">
        <v>2132</v>
      </c>
      <c r="C1118" s="6" t="s">
        <v>518</v>
      </c>
      <c r="D1118" s="6" t="s">
        <v>234</v>
      </c>
      <c r="E1118" s="6" t="s">
        <v>286</v>
      </c>
      <c r="F1118" s="6">
        <v>13576.14</v>
      </c>
      <c r="G1118" s="2">
        <v>2.2999999999999998</v>
      </c>
      <c r="H1118" s="2">
        <v>2.67</v>
      </c>
      <c r="I1118" s="2">
        <v>2.85</v>
      </c>
      <c r="J1118" s="47">
        <f t="shared" si="85"/>
        <v>0.16086956521739137</v>
      </c>
      <c r="K1118" s="47">
        <f t="shared" si="86"/>
        <v>6.7415730337078719E-2</v>
      </c>
      <c r="L1118" s="8">
        <v>18.010000000000002</v>
      </c>
      <c r="M1118" s="8">
        <v>17.62</v>
      </c>
      <c r="N1118" s="8">
        <v>16.53</v>
      </c>
      <c r="O1118" s="17">
        <f t="shared" si="87"/>
        <v>1.095297297297297</v>
      </c>
      <c r="P1118" s="17">
        <f t="shared" si="88"/>
        <v>2.4519499999999979</v>
      </c>
      <c r="Q1118" s="5">
        <v>10.19</v>
      </c>
      <c r="R1118" s="9">
        <v>48.47</v>
      </c>
      <c r="S1118" s="9">
        <v>5.24</v>
      </c>
      <c r="T1118" s="9">
        <v>4382.8320299999996</v>
      </c>
      <c r="U1118" s="9">
        <v>4147.2700000000004</v>
      </c>
      <c r="V1118" s="45">
        <f t="shared" si="89"/>
        <v>5.6799299298092264E-2</v>
      </c>
      <c r="W1118" s="12">
        <v>26.56</v>
      </c>
      <c r="X1118" s="12">
        <v>5.26</v>
      </c>
      <c r="Y1118" s="12">
        <v>20210805</v>
      </c>
    </row>
    <row r="1119" spans="1:25" x14ac:dyDescent="0.45">
      <c r="A1119" s="3" t="s">
        <v>3829</v>
      </c>
      <c r="B1119" s="3" t="s">
        <v>3830</v>
      </c>
      <c r="C1119" s="6" t="s">
        <v>519</v>
      </c>
      <c r="D1119" s="6" t="s">
        <v>234</v>
      </c>
      <c r="E1119" s="6" t="s">
        <v>1140</v>
      </c>
      <c r="F1119" s="6">
        <v>3685.33</v>
      </c>
      <c r="G1119" s="2">
        <v>0.87</v>
      </c>
      <c r="H1119" s="2">
        <v>1.24</v>
      </c>
      <c r="I1119" s="2">
        <v>1.32</v>
      </c>
      <c r="J1119" s="47">
        <f t="shared" si="85"/>
        <v>0.42528735632183906</v>
      </c>
      <c r="K1119" s="47">
        <f t="shared" si="86"/>
        <v>6.4516129032258118E-2</v>
      </c>
      <c r="L1119" s="8">
        <v>13.78</v>
      </c>
      <c r="M1119" s="8">
        <v>12</v>
      </c>
      <c r="N1119" s="8">
        <v>11.3</v>
      </c>
      <c r="O1119" s="17">
        <f t="shared" si="87"/>
        <v>0.28216216216216222</v>
      </c>
      <c r="P1119" s="17">
        <f t="shared" si="88"/>
        <v>1.7514999999999987</v>
      </c>
      <c r="R1119" s="9">
        <v>9.44</v>
      </c>
      <c r="S1119" s="9">
        <v>7.01</v>
      </c>
      <c r="T1119" s="9">
        <v>833.40002000000004</v>
      </c>
      <c r="U1119" s="9">
        <v>1071.4100000000001</v>
      </c>
      <c r="V1119" s="45">
        <f t="shared" si="89"/>
        <v>-0.22214649853930804</v>
      </c>
      <c r="W1119" s="12">
        <v>6.9</v>
      </c>
      <c r="X1119" s="12">
        <v>3.76</v>
      </c>
      <c r="Y1119" s="12">
        <v>20210804</v>
      </c>
    </row>
    <row r="1120" spans="1:25" x14ac:dyDescent="0.45">
      <c r="A1120" s="3" t="s">
        <v>2133</v>
      </c>
      <c r="B1120" s="3" t="s">
        <v>2134</v>
      </c>
      <c r="C1120" s="6" t="s">
        <v>520</v>
      </c>
      <c r="D1120" s="6" t="s">
        <v>234</v>
      </c>
      <c r="E1120" s="6" t="s">
        <v>105</v>
      </c>
      <c r="F1120" s="6">
        <v>57981.38</v>
      </c>
      <c r="G1120" s="2">
        <v>0.93</v>
      </c>
      <c r="H1120" s="2">
        <v>1.64</v>
      </c>
      <c r="I1120" s="2">
        <v>1.76</v>
      </c>
      <c r="J1120" s="47">
        <f t="shared" si="85"/>
        <v>0.76344086021505353</v>
      </c>
      <c r="K1120" s="47">
        <f t="shared" si="86"/>
        <v>7.3170731707317138E-2</v>
      </c>
      <c r="M1120" s="8">
        <v>10.89</v>
      </c>
      <c r="N1120" s="8">
        <v>10.15</v>
      </c>
      <c r="O1120" s="17">
        <f t="shared" si="87"/>
        <v>0.14264366197183104</v>
      </c>
      <c r="P1120" s="17">
        <f t="shared" si="88"/>
        <v>1.3871666666666655</v>
      </c>
      <c r="T1120" s="9">
        <v>25321.890619999998</v>
      </c>
      <c r="U1120" s="9">
        <v>52097.919999999998</v>
      </c>
      <c r="V1120" s="45">
        <f t="shared" si="89"/>
        <v>-0.51395582357222713</v>
      </c>
      <c r="X1120" s="12">
        <v>0.97</v>
      </c>
      <c r="Y1120" s="12">
        <v>20210615</v>
      </c>
    </row>
    <row r="1121" spans="1:25" x14ac:dyDescent="0.45">
      <c r="A1121" s="3" t="s">
        <v>2135</v>
      </c>
      <c r="B1121" s="3" t="s">
        <v>2136</v>
      </c>
      <c r="C1121" s="6" t="s">
        <v>519</v>
      </c>
      <c r="D1121" s="6" t="s">
        <v>279</v>
      </c>
      <c r="E1121" s="6" t="s">
        <v>262</v>
      </c>
      <c r="F1121" s="6">
        <v>99495.24</v>
      </c>
      <c r="G1121" s="2">
        <v>9.68</v>
      </c>
      <c r="H1121" s="2">
        <v>13.57</v>
      </c>
      <c r="I1121" s="2">
        <v>15.9</v>
      </c>
      <c r="J1121" s="47">
        <f t="shared" si="85"/>
        <v>0.40185950413223148</v>
      </c>
      <c r="K1121" s="47">
        <f t="shared" si="86"/>
        <v>0.17170228445099484</v>
      </c>
      <c r="L1121" s="8">
        <v>76.53</v>
      </c>
      <c r="M1121" s="8">
        <v>61.9</v>
      </c>
      <c r="N1121" s="8">
        <v>52.83</v>
      </c>
      <c r="O1121" s="17">
        <f t="shared" si="87"/>
        <v>1.5403393316195371</v>
      </c>
      <c r="P1121" s="17">
        <f t="shared" si="88"/>
        <v>3.0768373390557944</v>
      </c>
      <c r="Q1121" s="5">
        <v>6.6</v>
      </c>
      <c r="R1121" s="9">
        <v>12.35</v>
      </c>
      <c r="S1121" s="9">
        <v>14.46</v>
      </c>
      <c r="T1121" s="9">
        <v>5305.7412100000001</v>
      </c>
      <c r="U1121" s="9">
        <v>4358.3999999999996</v>
      </c>
      <c r="V1121" s="45">
        <f t="shared" si="89"/>
        <v>0.21735985912261394</v>
      </c>
      <c r="W1121" s="12">
        <v>34.869999999999997</v>
      </c>
      <c r="X1121" s="12">
        <v>0</v>
      </c>
      <c r="Y1121" s="12">
        <v>20210720</v>
      </c>
    </row>
    <row r="1122" spans="1:25" x14ac:dyDescent="0.45">
      <c r="A1122" s="3" t="s">
        <v>4730</v>
      </c>
      <c r="B1122" s="3" t="s">
        <v>4731</v>
      </c>
      <c r="C1122" s="6" t="s">
        <v>520</v>
      </c>
      <c r="D1122" s="6" t="s">
        <v>46</v>
      </c>
      <c r="E1122" s="6" t="s">
        <v>66</v>
      </c>
      <c r="F1122" s="6">
        <v>11039.68</v>
      </c>
      <c r="J1122" s="47" t="e">
        <f t="shared" si="85"/>
        <v>#DIV/0!</v>
      </c>
      <c r="K1122" s="47" t="e">
        <f t="shared" si="86"/>
        <v>#DIV/0!</v>
      </c>
      <c r="L1122" s="8">
        <v>18.440000000000001</v>
      </c>
      <c r="O1122" s="17" t="e">
        <f t="shared" si="87"/>
        <v>#DIV/0!</v>
      </c>
      <c r="P1122" s="17" t="e">
        <f t="shared" si="88"/>
        <v>#DIV/0!</v>
      </c>
      <c r="R1122" s="9">
        <v>5.27</v>
      </c>
      <c r="S1122" s="9">
        <v>1.2</v>
      </c>
      <c r="U1122" s="9">
        <v>18007.21</v>
      </c>
      <c r="V1122" s="45">
        <f t="shared" si="89"/>
        <v>-1</v>
      </c>
      <c r="X1122" s="12">
        <v>0</v>
      </c>
      <c r="Y1122" s="12">
        <v>20210804</v>
      </c>
    </row>
    <row r="1123" spans="1:25" x14ac:dyDescent="0.45">
      <c r="A1123" s="3" t="s">
        <v>2137</v>
      </c>
      <c r="B1123" s="3" t="s">
        <v>2138</v>
      </c>
      <c r="C1123" s="6" t="s">
        <v>518</v>
      </c>
      <c r="D1123" s="6" t="s">
        <v>175</v>
      </c>
      <c r="E1123" s="6" t="s">
        <v>205</v>
      </c>
      <c r="F1123" s="6">
        <v>19822.560000000001</v>
      </c>
      <c r="G1123" s="2">
        <v>4.13</v>
      </c>
      <c r="H1123" s="2">
        <v>5.99</v>
      </c>
      <c r="I1123" s="2">
        <v>5.96</v>
      </c>
      <c r="J1123" s="47">
        <f t="shared" si="85"/>
        <v>0.45036319612590808</v>
      </c>
      <c r="K1123" s="47">
        <f t="shared" si="86"/>
        <v>-5.0083472454090566E-3</v>
      </c>
      <c r="L1123" s="8">
        <v>40.4</v>
      </c>
      <c r="M1123" s="8">
        <v>38.43</v>
      </c>
      <c r="N1123" s="8">
        <v>38.630000000000003</v>
      </c>
      <c r="O1123" s="17">
        <f t="shared" si="87"/>
        <v>0.85331129032258046</v>
      </c>
      <c r="P1123" s="17">
        <f t="shared" si="88"/>
        <v>-77.131233333332702</v>
      </c>
      <c r="Q1123" s="5">
        <v>2.85</v>
      </c>
      <c r="R1123" s="9">
        <v>50.82</v>
      </c>
      <c r="S1123" s="9">
        <v>14.66</v>
      </c>
      <c r="T1123" s="9">
        <v>4498.83007</v>
      </c>
      <c r="U1123" s="9">
        <v>4099</v>
      </c>
      <c r="V1123" s="45">
        <f t="shared" si="89"/>
        <v>9.7543320322029753E-2</v>
      </c>
      <c r="W1123" s="12">
        <v>90.48</v>
      </c>
      <c r="X1123" s="12">
        <v>0</v>
      </c>
      <c r="Y1123" s="12">
        <v>20210803</v>
      </c>
    </row>
    <row r="1124" spans="1:25" x14ac:dyDescent="0.45">
      <c r="A1124" s="3" t="s">
        <v>4196</v>
      </c>
      <c r="B1124" s="3" t="s">
        <v>4197</v>
      </c>
      <c r="C1124" s="6" t="s">
        <v>519</v>
      </c>
      <c r="D1124" s="6" t="s">
        <v>279</v>
      </c>
      <c r="E1124" s="6" t="s">
        <v>256</v>
      </c>
      <c r="F1124" s="6">
        <v>3412.12</v>
      </c>
      <c r="G1124" s="2">
        <v>-3.29</v>
      </c>
      <c r="H1124" s="2">
        <v>-3.11</v>
      </c>
      <c r="I1124" s="2">
        <v>-2.17</v>
      </c>
      <c r="J1124" s="47">
        <f t="shared" si="85"/>
        <v>5.4711246200607952E-2</v>
      </c>
      <c r="K1124" s="47">
        <f t="shared" si="86"/>
        <v>0.30225080385852088</v>
      </c>
      <c r="O1124" s="17">
        <f t="shared" si="87"/>
        <v>0</v>
      </c>
      <c r="P1124" s="17">
        <f t="shared" si="88"/>
        <v>0</v>
      </c>
      <c r="R1124" s="9">
        <v>-39.409999999999997</v>
      </c>
      <c r="T1124" s="9">
        <v>96.782989999999998</v>
      </c>
      <c r="U1124" s="9">
        <v>22.81</v>
      </c>
      <c r="V1124" s="45">
        <f t="shared" si="89"/>
        <v>3.2430070144673389</v>
      </c>
      <c r="W1124" s="12">
        <v>19.75</v>
      </c>
      <c r="X1124" s="12">
        <v>0</v>
      </c>
      <c r="Y1124" s="12">
        <v>20210809</v>
      </c>
    </row>
    <row r="1125" spans="1:25" x14ac:dyDescent="0.45">
      <c r="A1125" s="3" t="s">
        <v>3831</v>
      </c>
      <c r="B1125" s="3" t="s">
        <v>3832</v>
      </c>
      <c r="C1125" s="6" t="s">
        <v>520</v>
      </c>
      <c r="D1125" s="6" t="s">
        <v>303</v>
      </c>
      <c r="E1125" s="6" t="s">
        <v>292</v>
      </c>
      <c r="F1125" s="6">
        <v>46109.14</v>
      </c>
      <c r="G1125" s="2">
        <v>5.78</v>
      </c>
      <c r="H1125" s="2">
        <v>7.2</v>
      </c>
      <c r="I1125" s="2">
        <v>7.36</v>
      </c>
      <c r="J1125" s="47">
        <f t="shared" si="85"/>
        <v>0.24567474048442905</v>
      </c>
      <c r="K1125" s="47">
        <f t="shared" si="86"/>
        <v>2.222222222222224E-2</v>
      </c>
      <c r="L1125" s="8">
        <v>11.99</v>
      </c>
      <c r="M1125" s="8">
        <v>8.59</v>
      </c>
      <c r="N1125" s="8">
        <v>8.41</v>
      </c>
      <c r="O1125" s="17">
        <f t="shared" si="87"/>
        <v>0.34964929577464793</v>
      </c>
      <c r="P1125" s="17">
        <f t="shared" si="88"/>
        <v>3.7844999999999969</v>
      </c>
      <c r="Q1125" s="5">
        <v>0.51</v>
      </c>
      <c r="R1125" s="9">
        <v>10.81</v>
      </c>
      <c r="S1125" s="9">
        <v>26.49</v>
      </c>
      <c r="T1125" s="9">
        <v>98916.359370000006</v>
      </c>
      <c r="U1125" s="9">
        <v>97760.17</v>
      </c>
      <c r="V1125" s="45">
        <f t="shared" si="89"/>
        <v>1.18267937750109E-2</v>
      </c>
      <c r="W1125" s="12">
        <v>0</v>
      </c>
      <c r="X1125" s="12">
        <v>1.07</v>
      </c>
      <c r="Y1125" s="12">
        <v>20210804</v>
      </c>
    </row>
    <row r="1126" spans="1:25" x14ac:dyDescent="0.45">
      <c r="A1126" s="3" t="s">
        <v>2139</v>
      </c>
      <c r="B1126" s="3" t="s">
        <v>2140</v>
      </c>
      <c r="C1126" s="6" t="s">
        <v>519</v>
      </c>
      <c r="D1126" s="6" t="s">
        <v>189</v>
      </c>
      <c r="E1126" s="6" t="s">
        <v>214</v>
      </c>
      <c r="F1126" s="6">
        <v>4343.1099999999997</v>
      </c>
      <c r="G1126" s="2">
        <v>1.48</v>
      </c>
      <c r="H1126" s="2">
        <v>2.48</v>
      </c>
      <c r="I1126" s="2">
        <v>3.3</v>
      </c>
      <c r="J1126" s="47">
        <f t="shared" si="85"/>
        <v>0.67567567567567566</v>
      </c>
      <c r="K1126" s="47">
        <f t="shared" si="86"/>
        <v>0.33064516129032251</v>
      </c>
      <c r="L1126" s="8">
        <v>53.17</v>
      </c>
      <c r="M1126" s="8">
        <v>38.82</v>
      </c>
      <c r="N1126" s="8">
        <v>29.13</v>
      </c>
      <c r="O1126" s="17">
        <f t="shared" si="87"/>
        <v>0.57453600000000005</v>
      </c>
      <c r="P1126" s="17">
        <f t="shared" si="88"/>
        <v>0.88100487804878069</v>
      </c>
      <c r="Q1126" s="5">
        <v>3.24</v>
      </c>
      <c r="R1126" s="9">
        <v>8.11</v>
      </c>
      <c r="S1126" s="9">
        <v>4.09</v>
      </c>
      <c r="T1126" s="9">
        <v>2261.44409</v>
      </c>
      <c r="U1126" s="9">
        <v>2173.35</v>
      </c>
      <c r="V1126" s="45">
        <f t="shared" si="89"/>
        <v>4.0533779648929097E-2</v>
      </c>
      <c r="W1126" s="12">
        <v>30</v>
      </c>
      <c r="X1126" s="12">
        <v>0</v>
      </c>
      <c r="Y1126" s="12">
        <v>20210802</v>
      </c>
    </row>
    <row r="1127" spans="1:25" x14ac:dyDescent="0.45">
      <c r="A1127" s="3" t="s">
        <v>2141</v>
      </c>
      <c r="B1127" s="3" t="s">
        <v>2142</v>
      </c>
      <c r="C1127" s="6" t="s">
        <v>518</v>
      </c>
      <c r="D1127" s="6" t="s">
        <v>1042</v>
      </c>
      <c r="E1127" s="6" t="s">
        <v>1043</v>
      </c>
      <c r="F1127" s="6">
        <v>8003.86</v>
      </c>
      <c r="G1127" s="2">
        <v>3.12</v>
      </c>
      <c r="H1127" s="2">
        <v>3.89</v>
      </c>
      <c r="I1127" s="2">
        <v>4.4800000000000004</v>
      </c>
      <c r="J1127" s="47">
        <f t="shared" si="85"/>
        <v>0.24679487179487178</v>
      </c>
      <c r="K1127" s="47">
        <f t="shared" si="86"/>
        <v>0.15167095115681242</v>
      </c>
      <c r="L1127" s="8">
        <v>26.87</v>
      </c>
      <c r="M1127" s="8">
        <v>23.89</v>
      </c>
      <c r="N1127" s="8">
        <v>20.74</v>
      </c>
      <c r="O1127" s="17">
        <f t="shared" si="87"/>
        <v>0.96801038961038965</v>
      </c>
      <c r="P1127" s="17">
        <f t="shared" si="88"/>
        <v>1.367433898305084</v>
      </c>
      <c r="Q1127" s="5">
        <v>1.6</v>
      </c>
      <c r="R1127" s="9">
        <v>14.48</v>
      </c>
      <c r="S1127" s="9">
        <v>1.57</v>
      </c>
      <c r="T1127" s="9">
        <v>2698.8600999999999</v>
      </c>
      <c r="U1127" s="9">
        <v>2477.8000000000002</v>
      </c>
      <c r="V1127" s="45">
        <f t="shared" si="89"/>
        <v>8.9216280571474571E-2</v>
      </c>
      <c r="W1127" s="12">
        <v>21.84</v>
      </c>
      <c r="X1127" s="12">
        <v>0.95</v>
      </c>
      <c r="Y1127" s="12">
        <v>20210730</v>
      </c>
    </row>
    <row r="1128" spans="1:25" x14ac:dyDescent="0.45">
      <c r="A1128" s="3" t="s">
        <v>2143</v>
      </c>
      <c r="B1128" s="3" t="s">
        <v>2144</v>
      </c>
      <c r="C1128" s="6" t="s">
        <v>518</v>
      </c>
      <c r="D1128" s="6" t="s">
        <v>234</v>
      </c>
      <c r="E1128" s="6" t="s">
        <v>105</v>
      </c>
      <c r="F1128" s="6">
        <v>63623.43</v>
      </c>
      <c r="G1128" s="2">
        <v>0.35</v>
      </c>
      <c r="H1128" s="2">
        <v>0.48</v>
      </c>
      <c r="I1128" s="2">
        <v>0.55000000000000004</v>
      </c>
      <c r="J1128" s="47">
        <f t="shared" si="85"/>
        <v>0.37142857142857144</v>
      </c>
      <c r="K1128" s="47">
        <f t="shared" si="86"/>
        <v>0.14583333333333348</v>
      </c>
      <c r="L1128" s="8">
        <v>14.2</v>
      </c>
      <c r="M1128" s="8">
        <v>13.7</v>
      </c>
      <c r="N1128" s="8">
        <v>11.8</v>
      </c>
      <c r="O1128" s="17">
        <f t="shared" si="87"/>
        <v>0.36884615384615382</v>
      </c>
      <c r="P1128" s="17">
        <f t="shared" si="88"/>
        <v>0.80914285714285639</v>
      </c>
      <c r="R1128" s="9">
        <v>15.87</v>
      </c>
      <c r="S1128" s="9">
        <v>4.01</v>
      </c>
      <c r="T1128" s="9">
        <v>21247.259760000001</v>
      </c>
      <c r="U1128" s="9">
        <v>33732.660000000003</v>
      </c>
      <c r="V1128" s="45">
        <f t="shared" si="89"/>
        <v>-0.37012794840371321</v>
      </c>
      <c r="W1128" s="12">
        <v>9.09</v>
      </c>
      <c r="X1128" s="12">
        <v>0.52</v>
      </c>
      <c r="Y1128" s="12">
        <v>20210802</v>
      </c>
    </row>
    <row r="1129" spans="1:25" x14ac:dyDescent="0.45">
      <c r="A1129" s="3" t="s">
        <v>4732</v>
      </c>
      <c r="B1129" s="3" t="s">
        <v>4733</v>
      </c>
      <c r="C1129" s="6" t="s">
        <v>520</v>
      </c>
      <c r="D1129" s="6" t="s">
        <v>216</v>
      </c>
      <c r="E1129" s="6" t="s">
        <v>1449</v>
      </c>
      <c r="F1129" s="6">
        <v>7374.55</v>
      </c>
      <c r="J1129" s="47" t="e">
        <f t="shared" si="85"/>
        <v>#DIV/0!</v>
      </c>
      <c r="K1129" s="47" t="e">
        <f t="shared" si="86"/>
        <v>#DIV/0!</v>
      </c>
      <c r="O1129" s="17" t="e">
        <f t="shared" si="87"/>
        <v>#DIV/0!</v>
      </c>
      <c r="P1129" s="17" t="e">
        <f t="shared" si="88"/>
        <v>#DIV/0!</v>
      </c>
      <c r="U1129" s="9">
        <v>3571.21</v>
      </c>
      <c r="V1129" s="45">
        <f t="shared" si="89"/>
        <v>-1</v>
      </c>
      <c r="X1129" s="12">
        <v>0</v>
      </c>
    </row>
    <row r="1130" spans="1:25" x14ac:dyDescent="0.45">
      <c r="A1130" s="3" t="s">
        <v>2145</v>
      </c>
      <c r="B1130" s="3" t="s">
        <v>242</v>
      </c>
      <c r="C1130" s="6" t="s">
        <v>518</v>
      </c>
      <c r="D1130" s="6" t="s">
        <v>272</v>
      </c>
      <c r="E1130" s="6" t="s">
        <v>254</v>
      </c>
      <c r="F1130" s="6">
        <v>73385.88</v>
      </c>
      <c r="G1130" s="2">
        <v>6.38</v>
      </c>
      <c r="H1130" s="2">
        <v>8.4</v>
      </c>
      <c r="I1130" s="2">
        <v>9.19</v>
      </c>
      <c r="J1130" s="47">
        <f t="shared" si="85"/>
        <v>0.31661442006269602</v>
      </c>
      <c r="K1130" s="47">
        <f t="shared" si="86"/>
        <v>9.4047619047618936E-2</v>
      </c>
      <c r="L1130" s="8">
        <v>32.54</v>
      </c>
      <c r="M1130" s="8">
        <v>27.66</v>
      </c>
      <c r="N1130" s="8">
        <v>25.29</v>
      </c>
      <c r="O1130" s="17">
        <f t="shared" si="87"/>
        <v>0.87361782178217795</v>
      </c>
      <c r="P1130" s="17">
        <f t="shared" si="88"/>
        <v>2.6890632911392434</v>
      </c>
      <c r="Q1130" s="5">
        <v>2.35</v>
      </c>
      <c r="R1130" s="9">
        <v>78.8</v>
      </c>
      <c r="S1130" s="9">
        <v>-1.3</v>
      </c>
      <c r="T1130" s="9">
        <v>14281.869140000001</v>
      </c>
      <c r="U1130" s="9">
        <v>12574</v>
      </c>
      <c r="V1130" s="45">
        <f t="shared" si="89"/>
        <v>0.13582544456815657</v>
      </c>
      <c r="W1130" s="12">
        <v>11.05</v>
      </c>
      <c r="X1130" s="12">
        <v>1.96</v>
      </c>
      <c r="Y1130" s="12">
        <v>20210730</v>
      </c>
    </row>
    <row r="1131" spans="1:25" x14ac:dyDescent="0.45">
      <c r="A1131" s="3" t="s">
        <v>4734</v>
      </c>
      <c r="B1131" s="3" t="s">
        <v>4735</v>
      </c>
      <c r="C1131" s="6" t="s">
        <v>518</v>
      </c>
      <c r="D1131" s="6" t="s">
        <v>234</v>
      </c>
      <c r="E1131" s="6" t="s">
        <v>904</v>
      </c>
      <c r="F1131" s="6">
        <v>279748.40999999997</v>
      </c>
      <c r="J1131" s="47" t="e">
        <f t="shared" si="85"/>
        <v>#DIV/0!</v>
      </c>
      <c r="K1131" s="47" t="e">
        <f t="shared" si="86"/>
        <v>#DIV/0!</v>
      </c>
      <c r="O1131" s="17" t="e">
        <f t="shared" si="87"/>
        <v>#DIV/0!</v>
      </c>
      <c r="P1131" s="17" t="e">
        <f t="shared" si="88"/>
        <v>#DIV/0!</v>
      </c>
      <c r="V1131" s="45" t="e">
        <f t="shared" si="89"/>
        <v>#DIV/0!</v>
      </c>
      <c r="X1131" s="12">
        <v>1.34</v>
      </c>
    </row>
    <row r="1132" spans="1:25" x14ac:dyDescent="0.45">
      <c r="A1132" s="3" t="s">
        <v>2146</v>
      </c>
      <c r="B1132" s="3" t="s">
        <v>2147</v>
      </c>
      <c r="C1132" s="6" t="s">
        <v>518</v>
      </c>
      <c r="D1132" s="6" t="s">
        <v>234</v>
      </c>
      <c r="E1132" s="6" t="s">
        <v>220</v>
      </c>
      <c r="F1132" s="6">
        <v>13243.65</v>
      </c>
      <c r="G1132" s="2">
        <v>1.78</v>
      </c>
      <c r="H1132" s="2">
        <v>2.88</v>
      </c>
      <c r="I1132" s="2">
        <v>3.03</v>
      </c>
      <c r="J1132" s="47">
        <f t="shared" si="85"/>
        <v>0.6179775280898876</v>
      </c>
      <c r="K1132" s="47">
        <f t="shared" si="86"/>
        <v>5.2083333333333301E-2</v>
      </c>
      <c r="L1132" s="8">
        <v>12.59</v>
      </c>
      <c r="M1132" s="8">
        <v>9.98</v>
      </c>
      <c r="N1132" s="8">
        <v>9.4700000000000006</v>
      </c>
      <c r="O1132" s="17">
        <f t="shared" si="87"/>
        <v>0.16149454545454547</v>
      </c>
      <c r="P1132" s="17">
        <f t="shared" si="88"/>
        <v>1.8182400000000012</v>
      </c>
      <c r="Q1132" s="5">
        <v>0.65</v>
      </c>
      <c r="R1132" s="9">
        <v>11.7</v>
      </c>
      <c r="S1132" s="9">
        <v>7.02</v>
      </c>
      <c r="T1132" s="9">
        <v>5229.2997999999998</v>
      </c>
      <c r="U1132" s="9">
        <v>6145.6</v>
      </c>
      <c r="V1132" s="45">
        <f t="shared" si="89"/>
        <v>-0.14909857458995063</v>
      </c>
      <c r="W1132" s="12">
        <v>9.68</v>
      </c>
      <c r="X1132" s="12">
        <v>2.37</v>
      </c>
      <c r="Y1132" s="12">
        <v>20210727</v>
      </c>
    </row>
    <row r="1133" spans="1:25" x14ac:dyDescent="0.45">
      <c r="A1133" s="3" t="s">
        <v>4736</v>
      </c>
      <c r="B1133" s="3" t="s">
        <v>4737</v>
      </c>
      <c r="C1133" s="6" t="s">
        <v>518</v>
      </c>
      <c r="D1133" s="6" t="s">
        <v>234</v>
      </c>
      <c r="E1133" s="6" t="s">
        <v>904</v>
      </c>
      <c r="F1133" s="6">
        <v>54564.91</v>
      </c>
      <c r="J1133" s="47" t="e">
        <f t="shared" si="85"/>
        <v>#DIV/0!</v>
      </c>
      <c r="K1133" s="47" t="e">
        <f t="shared" si="86"/>
        <v>#DIV/0!</v>
      </c>
      <c r="O1133" s="17" t="e">
        <f t="shared" si="87"/>
        <v>#DIV/0!</v>
      </c>
      <c r="P1133" s="17" t="e">
        <f t="shared" si="88"/>
        <v>#DIV/0!</v>
      </c>
      <c r="V1133" s="45" t="e">
        <f t="shared" si="89"/>
        <v>#DIV/0!</v>
      </c>
      <c r="X1133" s="12">
        <v>1.63</v>
      </c>
    </row>
    <row r="1134" spans="1:25" x14ac:dyDescent="0.45">
      <c r="A1134" s="3" t="s">
        <v>4738</v>
      </c>
      <c r="B1134" s="3" t="s">
        <v>4739</v>
      </c>
      <c r="C1134" s="6" t="s">
        <v>518</v>
      </c>
      <c r="D1134" s="6" t="s">
        <v>234</v>
      </c>
      <c r="E1134" s="6" t="s">
        <v>904</v>
      </c>
      <c r="F1134" s="6">
        <v>65111.06</v>
      </c>
      <c r="J1134" s="47" t="e">
        <f t="shared" si="85"/>
        <v>#DIV/0!</v>
      </c>
      <c r="K1134" s="47" t="e">
        <f t="shared" si="86"/>
        <v>#DIV/0!</v>
      </c>
      <c r="O1134" s="17" t="e">
        <f t="shared" si="87"/>
        <v>#DIV/0!</v>
      </c>
      <c r="P1134" s="17" t="e">
        <f t="shared" si="88"/>
        <v>#DIV/0!</v>
      </c>
      <c r="V1134" s="45" t="e">
        <f t="shared" si="89"/>
        <v>#DIV/0!</v>
      </c>
      <c r="X1134" s="12">
        <v>0.59</v>
      </c>
    </row>
    <row r="1135" spans="1:25" x14ac:dyDescent="0.45">
      <c r="A1135" s="3" t="s">
        <v>4740</v>
      </c>
      <c r="B1135" s="3" t="s">
        <v>4741</v>
      </c>
      <c r="C1135" s="6" t="s">
        <v>518</v>
      </c>
      <c r="D1135" s="6" t="s">
        <v>234</v>
      </c>
      <c r="E1135" s="6" t="s">
        <v>904</v>
      </c>
      <c r="F1135" s="6">
        <v>68939.320000000007</v>
      </c>
      <c r="J1135" s="47" t="e">
        <f t="shared" si="85"/>
        <v>#DIV/0!</v>
      </c>
      <c r="K1135" s="47" t="e">
        <f t="shared" si="86"/>
        <v>#DIV/0!</v>
      </c>
      <c r="O1135" s="17" t="e">
        <f t="shared" si="87"/>
        <v>#DIV/0!</v>
      </c>
      <c r="P1135" s="17" t="e">
        <f t="shared" si="88"/>
        <v>#DIV/0!</v>
      </c>
      <c r="V1135" s="45" t="e">
        <f t="shared" si="89"/>
        <v>#DIV/0!</v>
      </c>
      <c r="X1135" s="12">
        <v>0.87</v>
      </c>
    </row>
    <row r="1136" spans="1:25" x14ac:dyDescent="0.45">
      <c r="A1136" s="3" t="s">
        <v>4742</v>
      </c>
      <c r="B1136" s="3" t="s">
        <v>4743</v>
      </c>
      <c r="C1136" s="6" t="s">
        <v>518</v>
      </c>
      <c r="D1136" s="6" t="s">
        <v>234</v>
      </c>
      <c r="E1136" s="6" t="s">
        <v>904</v>
      </c>
      <c r="F1136" s="6">
        <v>17705.41</v>
      </c>
      <c r="J1136" s="47" t="e">
        <f t="shared" si="85"/>
        <v>#DIV/0!</v>
      </c>
      <c r="K1136" s="47" t="e">
        <f t="shared" si="86"/>
        <v>#DIV/0!</v>
      </c>
      <c r="O1136" s="17" t="e">
        <f t="shared" si="87"/>
        <v>#DIV/0!</v>
      </c>
      <c r="P1136" s="17" t="e">
        <f t="shared" si="88"/>
        <v>#DIV/0!</v>
      </c>
      <c r="V1136" s="45" t="e">
        <f t="shared" si="89"/>
        <v>#DIV/0!</v>
      </c>
      <c r="X1136" s="12">
        <v>1.19</v>
      </c>
    </row>
    <row r="1137" spans="1:25" x14ac:dyDescent="0.45">
      <c r="A1137" s="3" t="s">
        <v>4744</v>
      </c>
      <c r="B1137" s="3" t="s">
        <v>4745</v>
      </c>
      <c r="C1137" s="6" t="s">
        <v>518</v>
      </c>
      <c r="D1137" s="6" t="s">
        <v>234</v>
      </c>
      <c r="E1137" s="6" t="s">
        <v>904</v>
      </c>
      <c r="F1137" s="6">
        <v>11942.33</v>
      </c>
      <c r="J1137" s="47" t="e">
        <f t="shared" si="85"/>
        <v>#DIV/0!</v>
      </c>
      <c r="K1137" s="47" t="e">
        <f t="shared" si="86"/>
        <v>#DIV/0!</v>
      </c>
      <c r="O1137" s="17" t="e">
        <f t="shared" si="87"/>
        <v>#DIV/0!</v>
      </c>
      <c r="P1137" s="17" t="e">
        <f t="shared" si="88"/>
        <v>#DIV/0!</v>
      </c>
      <c r="V1137" s="45" t="e">
        <f t="shared" si="89"/>
        <v>#DIV/0!</v>
      </c>
      <c r="X1137" s="12">
        <v>0.39</v>
      </c>
    </row>
    <row r="1138" spans="1:25" x14ac:dyDescent="0.45">
      <c r="A1138" s="3" t="s">
        <v>4746</v>
      </c>
      <c r="B1138" s="3" t="s">
        <v>4747</v>
      </c>
      <c r="C1138" s="6" t="s">
        <v>518</v>
      </c>
      <c r="D1138" s="6" t="s">
        <v>234</v>
      </c>
      <c r="E1138" s="6" t="s">
        <v>904</v>
      </c>
      <c r="F1138" s="6">
        <v>14794.69</v>
      </c>
      <c r="J1138" s="47" t="e">
        <f t="shared" si="85"/>
        <v>#DIV/0!</v>
      </c>
      <c r="K1138" s="47" t="e">
        <f t="shared" si="86"/>
        <v>#DIV/0!</v>
      </c>
      <c r="O1138" s="17" t="e">
        <f t="shared" si="87"/>
        <v>#DIV/0!</v>
      </c>
      <c r="P1138" s="17" t="e">
        <f t="shared" si="88"/>
        <v>#DIV/0!</v>
      </c>
      <c r="V1138" s="45" t="e">
        <f t="shared" si="89"/>
        <v>#DIV/0!</v>
      </c>
      <c r="X1138" s="12">
        <v>0.31</v>
      </c>
    </row>
    <row r="1139" spans="1:25" x14ac:dyDescent="0.45">
      <c r="A1139" s="3" t="s">
        <v>4748</v>
      </c>
      <c r="B1139" s="3" t="s">
        <v>4749</v>
      </c>
      <c r="C1139" s="6" t="s">
        <v>518</v>
      </c>
      <c r="D1139" s="6" t="s">
        <v>234</v>
      </c>
      <c r="E1139" s="6" t="s">
        <v>904</v>
      </c>
      <c r="F1139" s="6">
        <v>29261.94</v>
      </c>
      <c r="J1139" s="47" t="e">
        <f t="shared" si="85"/>
        <v>#DIV/0!</v>
      </c>
      <c r="K1139" s="47" t="e">
        <f t="shared" si="86"/>
        <v>#DIV/0!</v>
      </c>
      <c r="O1139" s="17" t="e">
        <f t="shared" si="87"/>
        <v>#DIV/0!</v>
      </c>
      <c r="P1139" s="17" t="e">
        <f t="shared" si="88"/>
        <v>#DIV/0!</v>
      </c>
      <c r="V1139" s="45" t="e">
        <f t="shared" si="89"/>
        <v>#DIV/0!</v>
      </c>
      <c r="X1139" s="12">
        <v>1.02</v>
      </c>
    </row>
    <row r="1140" spans="1:25" x14ac:dyDescent="0.45">
      <c r="A1140" s="3" t="s">
        <v>4750</v>
      </c>
      <c r="B1140" s="3" t="s">
        <v>4751</v>
      </c>
      <c r="C1140" s="6" t="s">
        <v>518</v>
      </c>
      <c r="D1140" s="6" t="s">
        <v>234</v>
      </c>
      <c r="E1140" s="6" t="s">
        <v>904</v>
      </c>
      <c r="F1140" s="6">
        <v>14431.65</v>
      </c>
      <c r="J1140" s="47" t="e">
        <f t="shared" si="85"/>
        <v>#DIV/0!</v>
      </c>
      <c r="K1140" s="47" t="e">
        <f t="shared" si="86"/>
        <v>#DIV/0!</v>
      </c>
      <c r="O1140" s="17" t="e">
        <f t="shared" si="87"/>
        <v>#DIV/0!</v>
      </c>
      <c r="P1140" s="17" t="e">
        <f t="shared" si="88"/>
        <v>#DIV/0!</v>
      </c>
      <c r="V1140" s="45" t="e">
        <f t="shared" si="89"/>
        <v>#DIV/0!</v>
      </c>
      <c r="X1140" s="12">
        <v>1.37</v>
      </c>
    </row>
    <row r="1141" spans="1:25" x14ac:dyDescent="0.45">
      <c r="A1141" s="3" t="s">
        <v>2148</v>
      </c>
      <c r="B1141" s="3" t="s">
        <v>2149</v>
      </c>
      <c r="C1141" s="6" t="s">
        <v>518</v>
      </c>
      <c r="D1141" s="6" t="s">
        <v>234</v>
      </c>
      <c r="E1141" s="6" t="s">
        <v>221</v>
      </c>
      <c r="F1141" s="6">
        <v>22215.06</v>
      </c>
      <c r="G1141" s="2">
        <v>7.56</v>
      </c>
      <c r="H1141" s="2">
        <v>10.3</v>
      </c>
      <c r="I1141" s="2">
        <v>11.66</v>
      </c>
      <c r="J1141" s="47">
        <f t="shared" si="85"/>
        <v>0.36243386243386261</v>
      </c>
      <c r="K1141" s="47">
        <f t="shared" si="86"/>
        <v>0.13203883495145624</v>
      </c>
      <c r="L1141" s="8">
        <v>12.41</v>
      </c>
      <c r="M1141" s="8">
        <v>8.82</v>
      </c>
      <c r="N1141" s="8">
        <v>7.79</v>
      </c>
      <c r="O1141" s="17">
        <f t="shared" si="87"/>
        <v>0.24335474452554734</v>
      </c>
      <c r="P1141" s="17">
        <f t="shared" si="88"/>
        <v>0.58997794117647095</v>
      </c>
      <c r="Q1141" s="5">
        <v>0.66</v>
      </c>
      <c r="R1141" s="9">
        <v>6.34</v>
      </c>
      <c r="S1141" s="9">
        <v>-3.01</v>
      </c>
      <c r="T1141" s="9">
        <v>21532.890619999998</v>
      </c>
      <c r="U1141" s="9">
        <v>21629.22</v>
      </c>
      <c r="V1141" s="45">
        <f t="shared" si="89"/>
        <v>-4.4536686944791747E-3</v>
      </c>
      <c r="W1141" s="12">
        <v>-11.42</v>
      </c>
      <c r="X1141" s="12">
        <v>0</v>
      </c>
      <c r="Y1141" s="12">
        <v>20210803</v>
      </c>
    </row>
    <row r="1142" spans="1:25" x14ac:dyDescent="0.45">
      <c r="A1142" s="3" t="s">
        <v>4752</v>
      </c>
      <c r="B1142" s="3" t="s">
        <v>4753</v>
      </c>
      <c r="C1142" s="6" t="s">
        <v>518</v>
      </c>
      <c r="D1142" s="6" t="s">
        <v>234</v>
      </c>
      <c r="E1142" s="6" t="s">
        <v>904</v>
      </c>
      <c r="F1142" s="6">
        <v>6408.25</v>
      </c>
      <c r="J1142" s="47" t="e">
        <f t="shared" si="85"/>
        <v>#DIV/0!</v>
      </c>
      <c r="K1142" s="47" t="e">
        <f t="shared" si="86"/>
        <v>#DIV/0!</v>
      </c>
      <c r="O1142" s="17" t="e">
        <f t="shared" si="87"/>
        <v>#DIV/0!</v>
      </c>
      <c r="P1142" s="17" t="e">
        <f t="shared" si="88"/>
        <v>#DIV/0!</v>
      </c>
      <c r="V1142" s="45" t="e">
        <f t="shared" si="89"/>
        <v>#DIV/0!</v>
      </c>
      <c r="X1142" s="12">
        <v>1.97</v>
      </c>
    </row>
    <row r="1143" spans="1:25" x14ac:dyDescent="0.45">
      <c r="A1143" s="3" t="s">
        <v>4754</v>
      </c>
      <c r="B1143" s="3" t="s">
        <v>4755</v>
      </c>
      <c r="C1143" s="6" t="s">
        <v>518</v>
      </c>
      <c r="D1143" s="6" t="s">
        <v>234</v>
      </c>
      <c r="E1143" s="6" t="s">
        <v>904</v>
      </c>
      <c r="F1143" s="6">
        <v>7144.51</v>
      </c>
      <c r="J1143" s="47" t="e">
        <f t="shared" si="85"/>
        <v>#DIV/0!</v>
      </c>
      <c r="K1143" s="47" t="e">
        <f t="shared" si="86"/>
        <v>#DIV/0!</v>
      </c>
      <c r="O1143" s="17" t="e">
        <f t="shared" si="87"/>
        <v>#DIV/0!</v>
      </c>
      <c r="P1143" s="17" t="e">
        <f t="shared" si="88"/>
        <v>#DIV/0!</v>
      </c>
      <c r="V1143" s="45" t="e">
        <f t="shared" si="89"/>
        <v>#DIV/0!</v>
      </c>
      <c r="X1143" s="12">
        <v>0.41</v>
      </c>
    </row>
    <row r="1144" spans="1:25" x14ac:dyDescent="0.45">
      <c r="A1144" s="3" t="s">
        <v>2150</v>
      </c>
      <c r="B1144" s="3" t="s">
        <v>2151</v>
      </c>
      <c r="C1144" s="6" t="s">
        <v>518</v>
      </c>
      <c r="D1144" s="6" t="s">
        <v>210</v>
      </c>
      <c r="E1144" s="6" t="s">
        <v>215</v>
      </c>
      <c r="F1144" s="6">
        <v>18428.080000000002</v>
      </c>
      <c r="G1144" s="2">
        <v>5.19</v>
      </c>
      <c r="H1144" s="2">
        <v>6.12</v>
      </c>
      <c r="I1144" s="2">
        <v>7.07</v>
      </c>
      <c r="J1144" s="47">
        <f t="shared" si="85"/>
        <v>0.17919075144508664</v>
      </c>
      <c r="K1144" s="47">
        <f t="shared" si="86"/>
        <v>0.15522875816993467</v>
      </c>
      <c r="L1144" s="8">
        <v>23.75</v>
      </c>
      <c r="M1144" s="8">
        <v>23.12</v>
      </c>
      <c r="N1144" s="8">
        <v>20.010000000000002</v>
      </c>
      <c r="O1144" s="17">
        <f t="shared" si="87"/>
        <v>1.2902451612903232</v>
      </c>
      <c r="P1144" s="17">
        <f t="shared" si="88"/>
        <v>1.2890652631578945</v>
      </c>
      <c r="Q1144" s="5">
        <v>1.82</v>
      </c>
      <c r="R1144" s="9">
        <v>13.08</v>
      </c>
      <c r="S1144" s="9">
        <v>6.91</v>
      </c>
      <c r="T1144" s="9">
        <v>14251.83007</v>
      </c>
      <c r="U1144" s="9">
        <v>13566.97</v>
      </c>
      <c r="V1144" s="45">
        <f t="shared" si="89"/>
        <v>5.0479957573430226E-2</v>
      </c>
      <c r="W1144" s="12">
        <v>21.17</v>
      </c>
      <c r="X1144" s="12">
        <v>0.59</v>
      </c>
      <c r="Y1144" s="12">
        <v>20210802</v>
      </c>
    </row>
    <row r="1145" spans="1:25" x14ac:dyDescent="0.45">
      <c r="A1145" s="3" t="s">
        <v>2152</v>
      </c>
      <c r="B1145" s="3" t="s">
        <v>2153</v>
      </c>
      <c r="C1145" s="6" t="s">
        <v>519</v>
      </c>
      <c r="D1145" s="6" t="s">
        <v>175</v>
      </c>
      <c r="E1145" s="6" t="s">
        <v>305</v>
      </c>
      <c r="F1145" s="6">
        <v>3969.18</v>
      </c>
      <c r="G1145" s="2">
        <v>0.13</v>
      </c>
      <c r="H1145" s="2">
        <v>0.24</v>
      </c>
      <c r="I1145" s="2">
        <v>0.3</v>
      </c>
      <c r="J1145" s="47">
        <f t="shared" si="85"/>
        <v>0.84615384615384603</v>
      </c>
      <c r="K1145" s="47">
        <f t="shared" si="86"/>
        <v>0.25</v>
      </c>
      <c r="L1145" s="8">
        <v>153.04</v>
      </c>
      <c r="M1145" s="8">
        <v>140.29</v>
      </c>
      <c r="N1145" s="8">
        <v>111</v>
      </c>
      <c r="O1145" s="17">
        <f t="shared" si="87"/>
        <v>1.6579727272727276</v>
      </c>
      <c r="P1145" s="17">
        <f t="shared" si="88"/>
        <v>4.4400000000000004</v>
      </c>
      <c r="Q1145" s="5">
        <v>2.52</v>
      </c>
      <c r="R1145" s="9">
        <v>2.23</v>
      </c>
      <c r="T1145" s="9">
        <v>338.65701000000001</v>
      </c>
      <c r="U1145" s="9">
        <v>269.45</v>
      </c>
      <c r="V1145" s="45">
        <f t="shared" si="89"/>
        <v>0.25684546298014482</v>
      </c>
      <c r="W1145" s="12">
        <v>60</v>
      </c>
      <c r="X1145" s="12">
        <v>0</v>
      </c>
      <c r="Y1145" s="12">
        <v>20210907</v>
      </c>
    </row>
    <row r="1146" spans="1:25" x14ac:dyDescent="0.45">
      <c r="A1146" s="3" t="s">
        <v>4756</v>
      </c>
      <c r="B1146" s="3" t="s">
        <v>4757</v>
      </c>
      <c r="C1146" s="6" t="s">
        <v>520</v>
      </c>
      <c r="D1146" s="6" t="s">
        <v>309</v>
      </c>
      <c r="E1146" s="6" t="s">
        <v>307</v>
      </c>
      <c r="F1146" s="6">
        <v>8297.19</v>
      </c>
      <c r="J1146" s="47" t="e">
        <f t="shared" si="85"/>
        <v>#DIV/0!</v>
      </c>
      <c r="K1146" s="47" t="e">
        <f t="shared" si="86"/>
        <v>#DIV/0!</v>
      </c>
      <c r="O1146" s="17" t="e">
        <f t="shared" si="87"/>
        <v>#DIV/0!</v>
      </c>
      <c r="P1146" s="17" t="e">
        <f t="shared" si="88"/>
        <v>#DIV/0!</v>
      </c>
      <c r="R1146" s="9">
        <v>-29.31</v>
      </c>
      <c r="S1146" s="9">
        <v>-9.27</v>
      </c>
      <c r="U1146" s="9">
        <v>4539.84</v>
      </c>
      <c r="V1146" s="45">
        <f t="shared" si="89"/>
        <v>-1</v>
      </c>
      <c r="X1146" s="12">
        <v>0</v>
      </c>
      <c r="Y1146" s="12">
        <v>20210802</v>
      </c>
    </row>
    <row r="1147" spans="1:25" x14ac:dyDescent="0.45">
      <c r="A1147" s="3" t="s">
        <v>2154</v>
      </c>
      <c r="B1147" s="3" t="s">
        <v>2155</v>
      </c>
      <c r="C1147" s="6" t="s">
        <v>519</v>
      </c>
      <c r="D1147" s="6" t="s">
        <v>279</v>
      </c>
      <c r="E1147" s="6" t="s">
        <v>258</v>
      </c>
      <c r="F1147" s="6">
        <v>10345.959999999999</v>
      </c>
      <c r="G1147" s="2">
        <v>12.59</v>
      </c>
      <c r="H1147" s="2">
        <v>15.96</v>
      </c>
      <c r="I1147" s="2">
        <v>19.079999999999998</v>
      </c>
      <c r="J1147" s="47">
        <f t="shared" si="85"/>
        <v>0.2676727561556792</v>
      </c>
      <c r="K1147" s="47">
        <f t="shared" si="86"/>
        <v>0.1954887218045111</v>
      </c>
      <c r="L1147" s="8">
        <v>11.41</v>
      </c>
      <c r="M1147" s="8">
        <v>11.4</v>
      </c>
      <c r="N1147" s="8">
        <v>9.5299999999999994</v>
      </c>
      <c r="O1147" s="17">
        <f t="shared" si="87"/>
        <v>0.42589317507418384</v>
      </c>
      <c r="P1147" s="17">
        <f t="shared" si="88"/>
        <v>0.48749615384615425</v>
      </c>
      <c r="Q1147" s="5">
        <v>0.63</v>
      </c>
      <c r="R1147" s="9">
        <v>22.95</v>
      </c>
      <c r="S1147" s="9">
        <v>12.7</v>
      </c>
      <c r="T1147" s="9">
        <v>2883.1960399999998</v>
      </c>
      <c r="U1147" s="9">
        <v>2363.5700000000002</v>
      </c>
      <c r="V1147" s="45">
        <f t="shared" si="89"/>
        <v>0.21984795880807406</v>
      </c>
      <c r="W1147" s="12">
        <v>6.23</v>
      </c>
      <c r="X1147" s="12">
        <v>0</v>
      </c>
      <c r="Y1147" s="12">
        <v>20210803</v>
      </c>
    </row>
    <row r="1148" spans="1:25" x14ac:dyDescent="0.45">
      <c r="A1148" s="3" t="s">
        <v>2156</v>
      </c>
      <c r="B1148" s="3" t="s">
        <v>2157</v>
      </c>
      <c r="C1148" s="6" t="s">
        <v>518</v>
      </c>
      <c r="D1148" s="6" t="s">
        <v>234</v>
      </c>
      <c r="E1148" s="6" t="s">
        <v>286</v>
      </c>
      <c r="F1148" s="6">
        <v>4563.0200000000004</v>
      </c>
      <c r="G1148" s="2">
        <v>1.23</v>
      </c>
      <c r="H1148" s="2">
        <v>1.37</v>
      </c>
      <c r="I1148" s="2">
        <v>1.51</v>
      </c>
      <c r="J1148" s="47">
        <f t="shared" si="85"/>
        <v>0.11382113821138222</v>
      </c>
      <c r="K1148" s="47">
        <f t="shared" si="86"/>
        <v>0.10218978102189773</v>
      </c>
      <c r="L1148" s="8">
        <v>29.16</v>
      </c>
      <c r="M1148" s="8">
        <v>25.33</v>
      </c>
      <c r="N1148" s="8">
        <v>22.98</v>
      </c>
      <c r="O1148" s="17">
        <f t="shared" si="87"/>
        <v>2.2254214285714262</v>
      </c>
      <c r="P1148" s="17">
        <f t="shared" si="88"/>
        <v>2.2487571428571447</v>
      </c>
      <c r="Q1148" s="5">
        <v>3.02</v>
      </c>
      <c r="R1148" s="9">
        <v>-3.82</v>
      </c>
      <c r="S1148" s="9">
        <v>1.47</v>
      </c>
      <c r="U1148" s="9">
        <v>602.72</v>
      </c>
      <c r="V1148" s="45">
        <f t="shared" si="89"/>
        <v>-1</v>
      </c>
      <c r="W1148" s="12">
        <v>22.58</v>
      </c>
      <c r="X1148" s="12">
        <v>2.59</v>
      </c>
      <c r="Y1148" s="12">
        <v>20210803</v>
      </c>
    </row>
    <row r="1149" spans="1:25" x14ac:dyDescent="0.45">
      <c r="A1149" s="3" t="s">
        <v>2158</v>
      </c>
      <c r="B1149" s="3" t="s">
        <v>2159</v>
      </c>
      <c r="C1149" s="6" t="s">
        <v>519</v>
      </c>
      <c r="D1149" s="6" t="s">
        <v>309</v>
      </c>
      <c r="E1149" s="6" t="s">
        <v>2160</v>
      </c>
      <c r="F1149" s="6">
        <v>17497.009999999998</v>
      </c>
      <c r="G1149" s="2">
        <v>4.57</v>
      </c>
      <c r="H1149" s="2">
        <v>6.57</v>
      </c>
      <c r="I1149" s="2">
        <v>7.47</v>
      </c>
      <c r="J1149" s="47">
        <f t="shared" si="85"/>
        <v>0.43763676148796499</v>
      </c>
      <c r="K1149" s="47">
        <f t="shared" si="86"/>
        <v>0.13698630136986292</v>
      </c>
      <c r="L1149" s="8">
        <v>32.28</v>
      </c>
      <c r="M1149" s="8">
        <v>25.21</v>
      </c>
      <c r="N1149" s="8">
        <v>22.15</v>
      </c>
      <c r="O1149" s="17">
        <f t="shared" si="87"/>
        <v>0.57604850000000007</v>
      </c>
      <c r="P1149" s="17">
        <f t="shared" si="88"/>
        <v>1.616950000000001</v>
      </c>
      <c r="Q1149" s="5">
        <v>1.68</v>
      </c>
      <c r="R1149" s="9">
        <v>21.48</v>
      </c>
      <c r="S1149" s="9">
        <v>10.71</v>
      </c>
      <c r="T1149" s="9">
        <v>11165.726559999999</v>
      </c>
      <c r="U1149" s="9">
        <v>9636.57</v>
      </c>
      <c r="V1149" s="45">
        <f t="shared" si="89"/>
        <v>0.15868265990907549</v>
      </c>
      <c r="W1149" s="12">
        <v>16.100000000000001</v>
      </c>
      <c r="X1149" s="12">
        <v>0.72</v>
      </c>
      <c r="Y1149" s="12">
        <v>20210715</v>
      </c>
    </row>
    <row r="1150" spans="1:25" x14ac:dyDescent="0.45">
      <c r="A1150" s="3" t="s">
        <v>2161</v>
      </c>
      <c r="B1150" s="3" t="s">
        <v>2162</v>
      </c>
      <c r="C1150" s="6" t="s">
        <v>518</v>
      </c>
      <c r="D1150" s="6" t="s">
        <v>189</v>
      </c>
      <c r="E1150" s="6" t="s">
        <v>2163</v>
      </c>
      <c r="F1150" s="6">
        <v>8526.1200000000008</v>
      </c>
      <c r="G1150" s="2">
        <v>2.58</v>
      </c>
      <c r="H1150" s="2">
        <v>5.05</v>
      </c>
      <c r="I1150" s="2">
        <v>5.36</v>
      </c>
      <c r="J1150" s="47">
        <f t="shared" si="85"/>
        <v>0.95736434108527124</v>
      </c>
      <c r="K1150" s="47">
        <f t="shared" si="86"/>
        <v>6.1386138613861489E-2</v>
      </c>
      <c r="L1150" s="8">
        <v>13.58</v>
      </c>
      <c r="M1150" s="8">
        <v>11.35</v>
      </c>
      <c r="N1150" s="8">
        <v>10.69</v>
      </c>
      <c r="O1150" s="17">
        <f t="shared" si="87"/>
        <v>0.11855465587044535</v>
      </c>
      <c r="P1150" s="17">
        <f t="shared" si="88"/>
        <v>1.7414354838709649</v>
      </c>
      <c r="Q1150" s="5">
        <v>0.95</v>
      </c>
      <c r="R1150" s="9">
        <v>19.5</v>
      </c>
      <c r="S1150" s="9">
        <v>11.31</v>
      </c>
      <c r="T1150" s="9">
        <v>28530.042959999999</v>
      </c>
      <c r="U1150" s="9">
        <v>27266.44</v>
      </c>
      <c r="V1150" s="45">
        <f t="shared" si="89"/>
        <v>4.6342792091670207E-2</v>
      </c>
      <c r="W1150" s="12">
        <v>33.68</v>
      </c>
      <c r="X1150" s="12">
        <v>0.56000000000000005</v>
      </c>
      <c r="Y1150" s="12">
        <v>20210617</v>
      </c>
    </row>
    <row r="1151" spans="1:25" x14ac:dyDescent="0.45">
      <c r="A1151" s="3" t="s">
        <v>2164</v>
      </c>
      <c r="B1151" s="3" t="s">
        <v>2165</v>
      </c>
      <c r="C1151" s="6" t="s">
        <v>519</v>
      </c>
      <c r="D1151" s="6" t="s">
        <v>309</v>
      </c>
      <c r="E1151" s="6" t="s">
        <v>307</v>
      </c>
      <c r="F1151" s="6">
        <v>5962.27</v>
      </c>
      <c r="G1151" s="2">
        <v>-5.9</v>
      </c>
      <c r="H1151" s="2">
        <v>-2.42</v>
      </c>
      <c r="I1151" s="2">
        <v>1.31</v>
      </c>
      <c r="J1151" s="47">
        <f t="shared" si="85"/>
        <v>0.5898305084745763</v>
      </c>
      <c r="K1151" s="47">
        <f t="shared" si="86"/>
        <v>1.5413223140495869</v>
      </c>
      <c r="N1151" s="8">
        <v>14.4</v>
      </c>
      <c r="O1151" s="17">
        <f t="shared" si="87"/>
        <v>0</v>
      </c>
      <c r="P1151" s="17">
        <f t="shared" si="88"/>
        <v>9.342627345844505E-2</v>
      </c>
      <c r="R1151" s="9">
        <v>-49.78</v>
      </c>
      <c r="S1151" s="9">
        <v>-10.91</v>
      </c>
      <c r="T1151" s="9">
        <v>5635.1870099999996</v>
      </c>
      <c r="U1151" s="9">
        <v>2957</v>
      </c>
      <c r="V1151" s="45">
        <f t="shared" si="89"/>
        <v>0.90571085897869452</v>
      </c>
      <c r="W1151" s="12">
        <v>11.9</v>
      </c>
      <c r="X1151" s="12">
        <v>0</v>
      </c>
      <c r="Y1151" s="12">
        <v>20210727</v>
      </c>
    </row>
    <row r="1152" spans="1:25" x14ac:dyDescent="0.45">
      <c r="A1152" s="3" t="s">
        <v>4758</v>
      </c>
      <c r="B1152" s="3" t="s">
        <v>4759</v>
      </c>
      <c r="C1152" s="6" t="s">
        <v>520</v>
      </c>
      <c r="D1152" s="6" t="s">
        <v>225</v>
      </c>
      <c r="E1152" s="6" t="s">
        <v>1039</v>
      </c>
      <c r="F1152" s="6">
        <v>14702.7</v>
      </c>
      <c r="J1152" s="47" t="e">
        <f t="shared" si="85"/>
        <v>#DIV/0!</v>
      </c>
      <c r="K1152" s="47" t="e">
        <f t="shared" si="86"/>
        <v>#DIV/0!</v>
      </c>
      <c r="L1152" s="8">
        <v>7.91</v>
      </c>
      <c r="O1152" s="17" t="e">
        <f t="shared" si="87"/>
        <v>#DIV/0!</v>
      </c>
      <c r="P1152" s="17" t="e">
        <f t="shared" si="88"/>
        <v>#DIV/0!</v>
      </c>
      <c r="R1152" s="9">
        <v>25.7</v>
      </c>
      <c r="U1152" s="9">
        <v>49702.91</v>
      </c>
      <c r="V1152" s="45">
        <f t="shared" si="89"/>
        <v>-1</v>
      </c>
      <c r="X1152" s="12">
        <v>3.03</v>
      </c>
      <c r="Y1152" s="12">
        <v>20210610</v>
      </c>
    </row>
    <row r="1153" spans="1:25" x14ac:dyDescent="0.45">
      <c r="A1153" s="3" t="s">
        <v>2166</v>
      </c>
      <c r="B1153" s="3" t="s">
        <v>2167</v>
      </c>
      <c r="C1153" s="6" t="s">
        <v>518</v>
      </c>
      <c r="D1153" s="6" t="s">
        <v>272</v>
      </c>
      <c r="E1153" s="6" t="s">
        <v>255</v>
      </c>
      <c r="F1153" s="6">
        <v>4552.04</v>
      </c>
      <c r="G1153" s="2">
        <v>3.83</v>
      </c>
      <c r="H1153" s="2">
        <v>4.53</v>
      </c>
      <c r="I1153" s="2">
        <v>5.39</v>
      </c>
      <c r="J1153" s="47">
        <f t="shared" si="85"/>
        <v>0.18276762402088778</v>
      </c>
      <c r="K1153" s="47">
        <f t="shared" si="86"/>
        <v>0.18984547461368639</v>
      </c>
      <c r="L1153" s="8">
        <v>37.340000000000003</v>
      </c>
      <c r="M1153" s="8">
        <v>31.65</v>
      </c>
      <c r="N1153" s="8">
        <v>26.6</v>
      </c>
      <c r="O1153" s="17">
        <f t="shared" si="87"/>
        <v>1.7317071428571422</v>
      </c>
      <c r="P1153" s="17">
        <f t="shared" si="88"/>
        <v>1.4011395348837221</v>
      </c>
      <c r="Q1153" s="5">
        <v>2.23</v>
      </c>
      <c r="R1153" s="9">
        <v>19.53</v>
      </c>
      <c r="S1153" s="9">
        <v>8.31</v>
      </c>
      <c r="T1153" s="9">
        <v>1845.6999499999999</v>
      </c>
      <c r="U1153" s="9">
        <v>1727.8</v>
      </c>
      <c r="V1153" s="45">
        <f t="shared" si="89"/>
        <v>6.8237035536520427E-2</v>
      </c>
      <c r="W1153" s="12">
        <v>16.88</v>
      </c>
      <c r="X1153" s="12">
        <v>0.28000000000000003</v>
      </c>
      <c r="Y1153" s="12">
        <v>20210726</v>
      </c>
    </row>
    <row r="1154" spans="1:25" x14ac:dyDescent="0.45">
      <c r="A1154" s="3" t="s">
        <v>2168</v>
      </c>
      <c r="B1154" s="3" t="s">
        <v>2169</v>
      </c>
      <c r="C1154" s="6" t="s">
        <v>518</v>
      </c>
      <c r="D1154" s="6" t="s">
        <v>272</v>
      </c>
      <c r="E1154" s="6" t="s">
        <v>297</v>
      </c>
      <c r="F1154" s="6">
        <v>47919.57</v>
      </c>
      <c r="G1154" s="2">
        <v>2.21</v>
      </c>
      <c r="H1154" s="2">
        <v>2.63</v>
      </c>
      <c r="I1154" s="2">
        <v>3.14</v>
      </c>
      <c r="J1154" s="47">
        <f t="shared" si="85"/>
        <v>0.19004524886877824</v>
      </c>
      <c r="K1154" s="47">
        <f t="shared" si="86"/>
        <v>0.19391634980988603</v>
      </c>
      <c r="L1154" s="8">
        <v>28.09</v>
      </c>
      <c r="M1154" s="8">
        <v>25.4</v>
      </c>
      <c r="N1154" s="8">
        <v>21.27</v>
      </c>
      <c r="O1154" s="17">
        <f t="shared" si="87"/>
        <v>1.3365238095238097</v>
      </c>
      <c r="P1154" s="17">
        <f t="shared" si="88"/>
        <v>1.0968647058823524</v>
      </c>
      <c r="Q1154" s="5">
        <v>3.17</v>
      </c>
      <c r="R1154" s="9">
        <v>9.31</v>
      </c>
      <c r="S1154" s="9">
        <v>2.89</v>
      </c>
      <c r="T1154" s="9">
        <v>23531.396479999999</v>
      </c>
      <c r="U1154" s="9">
        <v>22317</v>
      </c>
      <c r="V1154" s="45">
        <f t="shared" si="89"/>
        <v>5.4415758390464641E-2</v>
      </c>
      <c r="W1154" s="12">
        <v>6.12</v>
      </c>
      <c r="X1154" s="12">
        <v>1.62</v>
      </c>
      <c r="Y1154" s="12">
        <v>20210730</v>
      </c>
    </row>
    <row r="1155" spans="1:25" x14ac:dyDescent="0.45">
      <c r="A1155" s="3" t="s">
        <v>2170</v>
      </c>
      <c r="B1155" s="3" t="s">
        <v>2171</v>
      </c>
      <c r="C1155" s="6" t="s">
        <v>519</v>
      </c>
      <c r="D1155" s="6" t="s">
        <v>189</v>
      </c>
      <c r="E1155" s="6" t="s">
        <v>248</v>
      </c>
      <c r="F1155" s="6">
        <v>5755.87</v>
      </c>
      <c r="G1155" s="2">
        <v>7.92</v>
      </c>
      <c r="H1155" s="2">
        <v>9.4</v>
      </c>
      <c r="I1155" s="2">
        <v>10.23</v>
      </c>
      <c r="J1155" s="47">
        <f t="shared" ref="J1155:J1218" si="90">(H1155-G1155)/ABS(G1155)</f>
        <v>0.18686868686868693</v>
      </c>
      <c r="K1155" s="47">
        <f t="shared" ref="K1155:K1218" si="91">(I1155-H1155)/ABS(H1155)</f>
        <v>8.8297872340425534E-2</v>
      </c>
      <c r="L1155" s="8">
        <v>14.15</v>
      </c>
      <c r="M1155" s="8">
        <v>13.58</v>
      </c>
      <c r="N1155" s="8">
        <v>12.47</v>
      </c>
      <c r="O1155" s="17">
        <f t="shared" ref="O1155:O1218" si="92">M1155/(J1155*100)</f>
        <v>0.72671351351351332</v>
      </c>
      <c r="P1155" s="17">
        <f t="shared" ref="P1155:P1218" si="93">N1155/(K1155*100)</f>
        <v>1.4122650602409639</v>
      </c>
      <c r="Q1155" s="5">
        <v>1.7</v>
      </c>
      <c r="R1155" s="9">
        <v>31.85</v>
      </c>
      <c r="S1155" s="9">
        <v>14</v>
      </c>
      <c r="T1155" s="9">
        <v>1685.6540500000001</v>
      </c>
      <c r="U1155" s="9">
        <v>1489.59</v>
      </c>
      <c r="V1155" s="45">
        <f t="shared" ref="V1155:V1218" si="94">(T1155-U1155)/U1155</f>
        <v>0.13162282910062514</v>
      </c>
      <c r="W1155" s="12">
        <v>32.119999999999997</v>
      </c>
      <c r="X1155" s="12">
        <v>0</v>
      </c>
      <c r="Y1155" s="12">
        <v>20210809</v>
      </c>
    </row>
    <row r="1156" spans="1:25" x14ac:dyDescent="0.45">
      <c r="A1156" s="3" t="s">
        <v>2172</v>
      </c>
      <c r="B1156" s="3" t="s">
        <v>2173</v>
      </c>
      <c r="C1156" s="6" t="s">
        <v>519</v>
      </c>
      <c r="D1156" s="6" t="s">
        <v>303</v>
      </c>
      <c r="E1156" s="6" t="s">
        <v>245</v>
      </c>
      <c r="F1156" s="6">
        <v>97298.12</v>
      </c>
      <c r="G1156" s="2">
        <v>1.64</v>
      </c>
      <c r="H1156" s="2">
        <v>1.53</v>
      </c>
      <c r="I1156" s="2">
        <v>2.2200000000000002</v>
      </c>
      <c r="J1156" s="47">
        <f t="shared" si="90"/>
        <v>-6.7073170731707252E-2</v>
      </c>
      <c r="K1156" s="47">
        <f t="shared" si="91"/>
        <v>0.45098039215686286</v>
      </c>
      <c r="L1156" s="8">
        <v>45.12</v>
      </c>
      <c r="M1156" s="8">
        <v>47.58</v>
      </c>
      <c r="N1156" s="8">
        <v>32.67</v>
      </c>
      <c r="O1156" s="17">
        <f t="shared" si="92"/>
        <v>-7.093745454545461</v>
      </c>
      <c r="P1156" s="17">
        <f t="shared" si="93"/>
        <v>0.72442173913043462</v>
      </c>
      <c r="Q1156" s="5">
        <v>1.77</v>
      </c>
      <c r="R1156" s="9">
        <v>7.14</v>
      </c>
      <c r="S1156" s="9">
        <v>28.54</v>
      </c>
      <c r="T1156" s="9">
        <v>147200.78125</v>
      </c>
      <c r="U1156" s="9">
        <v>114299.1</v>
      </c>
      <c r="V1156" s="45">
        <f t="shared" si="94"/>
        <v>0.2878559958039914</v>
      </c>
      <c r="W1156" s="12">
        <v>15.15</v>
      </c>
      <c r="X1156" s="12">
        <v>0</v>
      </c>
      <c r="Y1156" s="12">
        <v>20210816</v>
      </c>
    </row>
    <row r="1157" spans="1:25" x14ac:dyDescent="0.45">
      <c r="A1157" s="3" t="s">
        <v>2174</v>
      </c>
      <c r="B1157" s="3" t="s">
        <v>2175</v>
      </c>
      <c r="C1157" s="6" t="s">
        <v>518</v>
      </c>
      <c r="D1157" s="6" t="s">
        <v>234</v>
      </c>
      <c r="E1157" s="6" t="s">
        <v>221</v>
      </c>
      <c r="F1157" s="6">
        <v>7895.71</v>
      </c>
      <c r="G1157" s="2">
        <v>1.73</v>
      </c>
      <c r="H1157" s="2">
        <v>4.33</v>
      </c>
      <c r="I1157" s="2">
        <v>2.64</v>
      </c>
      <c r="J1157" s="47">
        <f t="shared" si="90"/>
        <v>1.5028901734104048</v>
      </c>
      <c r="K1157" s="47">
        <f t="shared" si="91"/>
        <v>-0.39030023094688221</v>
      </c>
      <c r="L1157" s="8">
        <v>7.14</v>
      </c>
      <c r="M1157" s="8">
        <v>7.38</v>
      </c>
      <c r="N1157" s="8">
        <v>12.11</v>
      </c>
      <c r="O1157" s="17">
        <f t="shared" si="92"/>
        <v>4.9105384615384613E-2</v>
      </c>
      <c r="P1157" s="17">
        <f t="shared" si="93"/>
        <v>-0.31027396449704142</v>
      </c>
      <c r="R1157" s="9">
        <v>13.12</v>
      </c>
      <c r="S1157" s="9">
        <v>-16.559999999999999</v>
      </c>
      <c r="T1157" s="9">
        <v>6781.6000899999999</v>
      </c>
      <c r="U1157" s="9">
        <v>6010.87</v>
      </c>
      <c r="V1157" s="45">
        <f t="shared" si="94"/>
        <v>0.12822271817557193</v>
      </c>
      <c r="W1157" s="12">
        <v>98.15</v>
      </c>
      <c r="X1157" s="12">
        <v>2.5</v>
      </c>
      <c r="Y1157" s="12">
        <v>20210705</v>
      </c>
    </row>
    <row r="1158" spans="1:25" x14ac:dyDescent="0.45">
      <c r="A1158" s="3" t="s">
        <v>4760</v>
      </c>
      <c r="B1158" s="3" t="s">
        <v>4761</v>
      </c>
      <c r="C1158" s="6" t="s">
        <v>520</v>
      </c>
      <c r="D1158" s="6" t="s">
        <v>210</v>
      </c>
      <c r="E1158" s="6" t="s">
        <v>912</v>
      </c>
      <c r="F1158" s="6">
        <v>5901.71</v>
      </c>
      <c r="J1158" s="47" t="e">
        <f t="shared" si="90"/>
        <v>#DIV/0!</v>
      </c>
      <c r="K1158" s="47" t="e">
        <f t="shared" si="91"/>
        <v>#DIV/0!</v>
      </c>
      <c r="L1158" s="8">
        <v>16.05</v>
      </c>
      <c r="O1158" s="17" t="e">
        <f t="shared" si="92"/>
        <v>#DIV/0!</v>
      </c>
      <c r="P1158" s="17" t="e">
        <f t="shared" si="93"/>
        <v>#DIV/0!</v>
      </c>
      <c r="R1158" s="9">
        <v>7.92</v>
      </c>
      <c r="U1158" s="9">
        <v>1430.61</v>
      </c>
      <c r="V1158" s="45">
        <f t="shared" si="94"/>
        <v>-1</v>
      </c>
      <c r="X1158" s="12">
        <v>4.9000000000000004</v>
      </c>
      <c r="Y1158" s="12">
        <v>20210611</v>
      </c>
    </row>
    <row r="1159" spans="1:25" x14ac:dyDescent="0.45">
      <c r="A1159" s="3" t="s">
        <v>4198</v>
      </c>
      <c r="B1159" s="3" t="s">
        <v>4199</v>
      </c>
      <c r="C1159" s="6" t="s">
        <v>520</v>
      </c>
      <c r="D1159" s="6" t="s">
        <v>90</v>
      </c>
      <c r="E1159" s="6" t="s">
        <v>304</v>
      </c>
      <c r="F1159" s="6">
        <v>7025.48</v>
      </c>
      <c r="G1159" s="2">
        <v>-0.46</v>
      </c>
      <c r="H1159" s="2">
        <v>1.92</v>
      </c>
      <c r="I1159" s="2">
        <v>2.88</v>
      </c>
      <c r="J1159" s="47">
        <f t="shared" si="90"/>
        <v>5.1739130434782608</v>
      </c>
      <c r="K1159" s="47">
        <f t="shared" si="91"/>
        <v>0.5</v>
      </c>
      <c r="M1159" s="8">
        <v>6.35</v>
      </c>
      <c r="N1159" s="8">
        <v>4.24</v>
      </c>
      <c r="O1159" s="17">
        <f t="shared" si="92"/>
        <v>1.2273109243697478E-2</v>
      </c>
      <c r="P1159" s="17">
        <f t="shared" si="93"/>
        <v>8.48E-2</v>
      </c>
      <c r="R1159" s="9">
        <v>-1.23</v>
      </c>
      <c r="S1159" s="9">
        <v>0.65</v>
      </c>
      <c r="T1159" s="9">
        <v>33952.378900000003</v>
      </c>
      <c r="U1159" s="9">
        <v>30336.48</v>
      </c>
      <c r="V1159" s="45">
        <f t="shared" si="94"/>
        <v>0.1191930935955656</v>
      </c>
      <c r="W1159" s="12">
        <v>13.04</v>
      </c>
      <c r="X1159" s="12">
        <v>0</v>
      </c>
      <c r="Y1159" s="12">
        <v>20210811</v>
      </c>
    </row>
    <row r="1160" spans="1:25" x14ac:dyDescent="0.45">
      <c r="A1160" s="3" t="s">
        <v>2176</v>
      </c>
      <c r="B1160" s="3" t="s">
        <v>2177</v>
      </c>
      <c r="C1160" s="6" t="s">
        <v>518</v>
      </c>
      <c r="D1160" s="6" t="s">
        <v>234</v>
      </c>
      <c r="E1160" s="6" t="s">
        <v>220</v>
      </c>
      <c r="F1160" s="6">
        <v>6669.94</v>
      </c>
      <c r="G1160" s="2">
        <v>2.75</v>
      </c>
      <c r="H1160" s="2">
        <v>3.7</v>
      </c>
      <c r="I1160" s="2">
        <v>3.72</v>
      </c>
      <c r="J1160" s="47">
        <f t="shared" si="90"/>
        <v>0.34545454545454551</v>
      </c>
      <c r="K1160" s="47">
        <f t="shared" si="91"/>
        <v>5.40540540540541E-3</v>
      </c>
      <c r="L1160" s="8">
        <v>11.66</v>
      </c>
      <c r="M1160" s="8">
        <v>10.47</v>
      </c>
      <c r="N1160" s="8">
        <v>10.4</v>
      </c>
      <c r="O1160" s="17">
        <f t="shared" si="92"/>
        <v>0.303078947368421</v>
      </c>
      <c r="P1160" s="17">
        <f t="shared" si="93"/>
        <v>19.239999999999984</v>
      </c>
      <c r="Q1160" s="5">
        <v>0.96</v>
      </c>
      <c r="R1160" s="9">
        <v>13.06</v>
      </c>
      <c r="S1160" s="9">
        <v>21.2</v>
      </c>
      <c r="T1160" s="9">
        <v>2622.1999500000002</v>
      </c>
      <c r="U1160" s="9">
        <v>2298.6</v>
      </c>
      <c r="V1160" s="45">
        <f t="shared" si="94"/>
        <v>0.14078132341425229</v>
      </c>
      <c r="W1160" s="12">
        <v>9.64</v>
      </c>
      <c r="X1160" s="12">
        <v>3.93</v>
      </c>
      <c r="Y1160" s="12">
        <v>20210804</v>
      </c>
    </row>
    <row r="1161" spans="1:25" x14ac:dyDescent="0.45">
      <c r="A1161" s="3" t="s">
        <v>2178</v>
      </c>
      <c r="B1161" s="3" t="s">
        <v>2179</v>
      </c>
      <c r="C1161" s="6" t="s">
        <v>518</v>
      </c>
      <c r="D1161" s="6" t="s">
        <v>210</v>
      </c>
      <c r="E1161" s="6" t="s">
        <v>191</v>
      </c>
      <c r="F1161" s="6">
        <v>14914.78</v>
      </c>
      <c r="G1161" s="2">
        <v>1.02</v>
      </c>
      <c r="H1161" s="2">
        <v>1.34</v>
      </c>
      <c r="I1161" s="2">
        <v>1.46</v>
      </c>
      <c r="J1161" s="47">
        <f t="shared" si="90"/>
        <v>0.31372549019607848</v>
      </c>
      <c r="K1161" s="47">
        <f t="shared" si="91"/>
        <v>8.9552238805970061E-2</v>
      </c>
      <c r="L1161" s="8">
        <v>32.590000000000003</v>
      </c>
      <c r="M1161" s="8">
        <v>25.05</v>
      </c>
      <c r="N1161" s="8">
        <v>22.99</v>
      </c>
      <c r="O1161" s="17">
        <f t="shared" si="92"/>
        <v>0.79846874999999984</v>
      </c>
      <c r="P1161" s="17">
        <f t="shared" si="93"/>
        <v>2.5672166666666691</v>
      </c>
      <c r="R1161" s="9">
        <v>39.89</v>
      </c>
      <c r="S1161" s="9">
        <v>10.8</v>
      </c>
      <c r="T1161" s="9">
        <v>3352</v>
      </c>
      <c r="U1161" s="9">
        <v>2908.7</v>
      </c>
      <c r="V1161" s="45">
        <f t="shared" si="94"/>
        <v>0.15240485440231039</v>
      </c>
      <c r="X1161" s="12">
        <v>0</v>
      </c>
      <c r="Y1161" s="12">
        <v>20210809</v>
      </c>
    </row>
    <row r="1162" spans="1:25" x14ac:dyDescent="0.45">
      <c r="A1162" s="3" t="s">
        <v>4200</v>
      </c>
      <c r="B1162" s="3" t="s">
        <v>4201</v>
      </c>
      <c r="C1162" s="6" t="s">
        <v>519</v>
      </c>
      <c r="D1162" s="6" t="s">
        <v>225</v>
      </c>
      <c r="E1162" s="6" t="s">
        <v>226</v>
      </c>
      <c r="F1162" s="6">
        <v>3353.57</v>
      </c>
      <c r="G1162" s="2">
        <v>0.97</v>
      </c>
      <c r="H1162" s="2">
        <v>2.37</v>
      </c>
      <c r="I1162" s="2">
        <v>4.4000000000000004</v>
      </c>
      <c r="J1162" s="47">
        <f t="shared" si="90"/>
        <v>1.4432989690721651</v>
      </c>
      <c r="K1162" s="47">
        <f t="shared" si="91"/>
        <v>0.85654008438818574</v>
      </c>
      <c r="L1162" s="8">
        <v>489.36</v>
      </c>
      <c r="M1162" s="8">
        <v>74.33</v>
      </c>
      <c r="N1162" s="8">
        <v>40.07</v>
      </c>
      <c r="O1162" s="17">
        <f t="shared" si="92"/>
        <v>0.51500071428571415</v>
      </c>
      <c r="P1162" s="17">
        <f t="shared" si="93"/>
        <v>0.46781231527093586</v>
      </c>
      <c r="R1162" s="9">
        <v>0.85</v>
      </c>
      <c r="S1162" s="9">
        <v>1.08</v>
      </c>
      <c r="T1162" s="9">
        <v>1118.3330000000001</v>
      </c>
      <c r="U1162" s="9">
        <v>1022.04</v>
      </c>
      <c r="V1162" s="45">
        <f t="shared" si="94"/>
        <v>9.4216469022738961E-2</v>
      </c>
      <c r="W1162" s="12">
        <v>146.15</v>
      </c>
      <c r="X1162" s="12">
        <v>1.31</v>
      </c>
      <c r="Y1162" s="12">
        <v>20210726</v>
      </c>
    </row>
    <row r="1163" spans="1:25" x14ac:dyDescent="0.45">
      <c r="A1163" s="3" t="s">
        <v>2180</v>
      </c>
      <c r="B1163" s="3" t="s">
        <v>2181</v>
      </c>
      <c r="C1163" s="6" t="s">
        <v>519</v>
      </c>
      <c r="D1163" s="6" t="s">
        <v>189</v>
      </c>
      <c r="E1163" s="6" t="s">
        <v>2182</v>
      </c>
      <c r="F1163" s="6">
        <v>11864.47</v>
      </c>
      <c r="G1163" s="2">
        <v>3.84</v>
      </c>
      <c r="H1163" s="2">
        <v>3.97</v>
      </c>
      <c r="I1163" s="2">
        <v>4.51</v>
      </c>
      <c r="J1163" s="47">
        <f t="shared" si="90"/>
        <v>3.3854166666666755E-2</v>
      </c>
      <c r="K1163" s="47">
        <f t="shared" si="91"/>
        <v>0.13602015113350116</v>
      </c>
      <c r="L1163" s="8">
        <v>41.17</v>
      </c>
      <c r="M1163" s="8">
        <v>40.229999999999997</v>
      </c>
      <c r="N1163" s="8">
        <v>35.43</v>
      </c>
      <c r="O1163" s="17">
        <f t="shared" si="92"/>
        <v>11.883323076923045</v>
      </c>
      <c r="P1163" s="17">
        <f t="shared" si="93"/>
        <v>2.6047611111111131</v>
      </c>
      <c r="Q1163" s="5">
        <v>2.87</v>
      </c>
      <c r="R1163" s="9">
        <v>19.88</v>
      </c>
      <c r="S1163" s="9">
        <v>5.35</v>
      </c>
      <c r="T1163" s="9">
        <v>1749.5300199999999</v>
      </c>
      <c r="U1163" s="9">
        <v>1697.07</v>
      </c>
      <c r="V1163" s="45">
        <f t="shared" si="94"/>
        <v>3.0912113230450122E-2</v>
      </c>
      <c r="W1163" s="12">
        <v>10.47</v>
      </c>
      <c r="X1163" s="12">
        <v>1.1499999999999999</v>
      </c>
      <c r="Y1163" s="12">
        <v>20210817</v>
      </c>
    </row>
    <row r="1164" spans="1:25" x14ac:dyDescent="0.45">
      <c r="A1164" s="3" t="s">
        <v>2183</v>
      </c>
      <c r="B1164" s="3" t="s">
        <v>2184</v>
      </c>
      <c r="C1164" s="6" t="s">
        <v>518</v>
      </c>
      <c r="D1164" s="6" t="s">
        <v>234</v>
      </c>
      <c r="E1164" s="6" t="s">
        <v>284</v>
      </c>
      <c r="F1164" s="6">
        <v>10785.28</v>
      </c>
      <c r="G1164" s="2">
        <v>7.89</v>
      </c>
      <c r="H1164" s="2">
        <v>12.25</v>
      </c>
      <c r="I1164" s="2">
        <v>13.46</v>
      </c>
      <c r="J1164" s="47">
        <f t="shared" si="90"/>
        <v>0.55259822560202798</v>
      </c>
      <c r="K1164" s="47">
        <f t="shared" si="91"/>
        <v>9.8775510204081707E-2</v>
      </c>
      <c r="L1164" s="8">
        <v>18.97</v>
      </c>
      <c r="M1164" s="8">
        <v>17.16</v>
      </c>
      <c r="N1164" s="8">
        <v>15.62</v>
      </c>
      <c r="O1164" s="17">
        <f t="shared" si="92"/>
        <v>0.31053302752293571</v>
      </c>
      <c r="P1164" s="17">
        <f t="shared" si="93"/>
        <v>1.5813636363636352</v>
      </c>
      <c r="Q1164" s="5">
        <v>1.91</v>
      </c>
      <c r="R1164" s="9">
        <v>10.66</v>
      </c>
      <c r="S1164" s="9">
        <v>29.93</v>
      </c>
      <c r="T1164" s="9">
        <v>17093.396479999999</v>
      </c>
      <c r="U1164" s="9">
        <v>16589.900000000001</v>
      </c>
      <c r="V1164" s="45">
        <f t="shared" si="94"/>
        <v>3.0349578960692826E-2</v>
      </c>
      <c r="W1164" s="12">
        <v>250</v>
      </c>
      <c r="X1164" s="12">
        <v>0</v>
      </c>
      <c r="Y1164" s="12">
        <v>20210805</v>
      </c>
    </row>
    <row r="1165" spans="1:25" x14ac:dyDescent="0.45">
      <c r="A1165" s="3" t="s">
        <v>4762</v>
      </c>
      <c r="B1165" s="3" t="s">
        <v>4763</v>
      </c>
      <c r="C1165" s="6" t="s">
        <v>520</v>
      </c>
      <c r="D1165" s="6" t="s">
        <v>1042</v>
      </c>
      <c r="E1165" s="6" t="s">
        <v>1043</v>
      </c>
      <c r="F1165" s="6">
        <v>46369.84</v>
      </c>
      <c r="J1165" s="47" t="e">
        <f t="shared" si="90"/>
        <v>#DIV/0!</v>
      </c>
      <c r="K1165" s="47" t="e">
        <f t="shared" si="91"/>
        <v>#DIV/0!</v>
      </c>
      <c r="O1165" s="17" t="e">
        <f t="shared" si="92"/>
        <v>#DIV/0!</v>
      </c>
      <c r="P1165" s="17" t="e">
        <f t="shared" si="93"/>
        <v>#DIV/0!</v>
      </c>
      <c r="U1165" s="9">
        <v>32647</v>
      </c>
      <c r="V1165" s="45">
        <f t="shared" si="94"/>
        <v>-1</v>
      </c>
      <c r="X1165" s="12">
        <v>3.9</v>
      </c>
    </row>
    <row r="1166" spans="1:25" x14ac:dyDescent="0.45">
      <c r="A1166" s="3" t="s">
        <v>2185</v>
      </c>
      <c r="B1166" s="3" t="s">
        <v>2186</v>
      </c>
      <c r="C1166" s="6" t="s">
        <v>518</v>
      </c>
      <c r="D1166" s="6" t="s">
        <v>303</v>
      </c>
      <c r="E1166" s="6" t="s">
        <v>245</v>
      </c>
      <c r="F1166" s="6">
        <v>3061.3</v>
      </c>
      <c r="G1166" s="2">
        <v>-2.21</v>
      </c>
      <c r="H1166" s="2">
        <v>-1.69</v>
      </c>
      <c r="I1166" s="2">
        <v>-1.79</v>
      </c>
      <c r="J1166" s="47">
        <f t="shared" si="90"/>
        <v>0.23529411764705885</v>
      </c>
      <c r="K1166" s="47">
        <f t="shared" si="91"/>
        <v>-5.9171597633136147E-2</v>
      </c>
      <c r="O1166" s="17">
        <f t="shared" si="92"/>
        <v>0</v>
      </c>
      <c r="P1166" s="17">
        <f t="shared" si="93"/>
        <v>0</v>
      </c>
      <c r="R1166" s="9">
        <v>-59.88</v>
      </c>
      <c r="T1166" s="9">
        <v>189.99699000000001</v>
      </c>
      <c r="U1166" s="9">
        <v>159.44999999999999</v>
      </c>
      <c r="V1166" s="45">
        <f t="shared" si="94"/>
        <v>0.19157723424270948</v>
      </c>
      <c r="W1166" s="12">
        <v>20</v>
      </c>
      <c r="X1166" s="12">
        <v>0</v>
      </c>
    </row>
    <row r="1167" spans="1:25" x14ac:dyDescent="0.45">
      <c r="A1167" s="3" t="s">
        <v>2187</v>
      </c>
      <c r="B1167" s="3" t="s">
        <v>2188</v>
      </c>
      <c r="C1167" s="6" t="s">
        <v>518</v>
      </c>
      <c r="D1167" s="6" t="s">
        <v>279</v>
      </c>
      <c r="E1167" s="6" t="s">
        <v>250</v>
      </c>
      <c r="F1167" s="6">
        <v>436064.03</v>
      </c>
      <c r="G1167" s="2">
        <v>7.98</v>
      </c>
      <c r="H1167" s="2">
        <v>9.51</v>
      </c>
      <c r="I1167" s="2">
        <v>10.31</v>
      </c>
      <c r="J1167" s="47">
        <f t="shared" si="90"/>
        <v>0.19172932330827058</v>
      </c>
      <c r="K1167" s="47">
        <f t="shared" si="91"/>
        <v>8.4121976866456435E-2</v>
      </c>
      <c r="L1167" s="8">
        <v>19.899999999999999</v>
      </c>
      <c r="M1167" s="8">
        <v>17.420000000000002</v>
      </c>
      <c r="N1167" s="8">
        <v>16.059999999999999</v>
      </c>
      <c r="O1167" s="17">
        <f t="shared" si="92"/>
        <v>0.90857254901960838</v>
      </c>
      <c r="P1167" s="17">
        <f t="shared" si="93"/>
        <v>1.9091324999999979</v>
      </c>
      <c r="Q1167" s="5">
        <v>2.66</v>
      </c>
      <c r="R1167" s="9">
        <v>34.619999999999997</v>
      </c>
      <c r="S1167" s="9">
        <v>3.64</v>
      </c>
      <c r="T1167" s="9">
        <v>91771.835930000001</v>
      </c>
      <c r="U1167" s="9">
        <v>82584</v>
      </c>
      <c r="V1167" s="45">
        <f t="shared" si="94"/>
        <v>0.11125443100358424</v>
      </c>
      <c r="W1167" s="12">
        <v>12.12</v>
      </c>
      <c r="X1167" s="12">
        <v>2.56</v>
      </c>
      <c r="Y1167" s="12">
        <v>20210721</v>
      </c>
    </row>
    <row r="1168" spans="1:25" x14ac:dyDescent="0.45">
      <c r="A1168" s="3" t="s">
        <v>4764</v>
      </c>
      <c r="B1168" s="3" t="s">
        <v>4765</v>
      </c>
      <c r="C1168" s="6" t="s">
        <v>518</v>
      </c>
      <c r="D1168" s="6" t="s">
        <v>234</v>
      </c>
      <c r="E1168" s="6" t="s">
        <v>904</v>
      </c>
      <c r="F1168" s="6">
        <v>9884.75</v>
      </c>
      <c r="J1168" s="47" t="e">
        <f t="shared" si="90"/>
        <v>#DIV/0!</v>
      </c>
      <c r="K1168" s="47" t="e">
        <f t="shared" si="91"/>
        <v>#DIV/0!</v>
      </c>
      <c r="O1168" s="17" t="e">
        <f t="shared" si="92"/>
        <v>#DIV/0!</v>
      </c>
      <c r="P1168" s="17" t="e">
        <f t="shared" si="93"/>
        <v>#DIV/0!</v>
      </c>
      <c r="V1168" s="45" t="e">
        <f t="shared" si="94"/>
        <v>#DIV/0!</v>
      </c>
      <c r="X1168" s="12">
        <v>4.68</v>
      </c>
    </row>
    <row r="1169" spans="1:25" x14ac:dyDescent="0.45">
      <c r="A1169" s="3" t="s">
        <v>2189</v>
      </c>
      <c r="B1169" s="3" t="s">
        <v>2190</v>
      </c>
      <c r="C1169" s="6" t="s">
        <v>518</v>
      </c>
      <c r="D1169" s="6" t="s">
        <v>189</v>
      </c>
      <c r="E1169" s="6" t="s">
        <v>1610</v>
      </c>
      <c r="F1169" s="6">
        <v>9334.0400000000009</v>
      </c>
      <c r="G1169" s="2">
        <v>1.54</v>
      </c>
      <c r="H1169" s="2">
        <v>1.7</v>
      </c>
      <c r="I1169" s="2">
        <v>1.89</v>
      </c>
      <c r="J1169" s="47">
        <f t="shared" si="90"/>
        <v>0.10389610389610385</v>
      </c>
      <c r="K1169" s="47">
        <f t="shared" si="91"/>
        <v>0.11176470588235292</v>
      </c>
      <c r="L1169" s="8">
        <v>17.47</v>
      </c>
      <c r="M1169" s="8">
        <v>16.73</v>
      </c>
      <c r="N1169" s="8">
        <v>15.05</v>
      </c>
      <c r="O1169" s="17">
        <f t="shared" si="92"/>
        <v>1.6102625000000008</v>
      </c>
      <c r="P1169" s="17">
        <f t="shared" si="93"/>
        <v>1.3465789473684213</v>
      </c>
      <c r="Q1169" s="5">
        <v>1.44</v>
      </c>
      <c r="R1169" s="9">
        <v>8.2899999999999991</v>
      </c>
      <c r="S1169" s="9">
        <v>-3.4</v>
      </c>
      <c r="T1169" s="9">
        <v>4639.4218700000001</v>
      </c>
      <c r="U1169" s="9">
        <v>4445.1000000000004</v>
      </c>
      <c r="V1169" s="45">
        <f t="shared" si="94"/>
        <v>4.3715972644034949E-2</v>
      </c>
      <c r="W1169" s="12">
        <v>20</v>
      </c>
      <c r="X1169" s="12">
        <v>2.81</v>
      </c>
      <c r="Y1169" s="12">
        <v>20210727</v>
      </c>
    </row>
    <row r="1170" spans="1:25" x14ac:dyDescent="0.45">
      <c r="A1170" s="3" t="s">
        <v>2191</v>
      </c>
      <c r="B1170" s="3" t="s">
        <v>2192</v>
      </c>
      <c r="C1170" s="6" t="s">
        <v>519</v>
      </c>
      <c r="D1170" s="6" t="s">
        <v>225</v>
      </c>
      <c r="E1170" s="6" t="s">
        <v>2193</v>
      </c>
      <c r="F1170" s="6">
        <v>4940.8100000000004</v>
      </c>
      <c r="G1170" s="2">
        <v>2.9</v>
      </c>
      <c r="H1170" s="2">
        <v>3.15</v>
      </c>
      <c r="I1170" s="2">
        <v>3.46</v>
      </c>
      <c r="J1170" s="47">
        <f t="shared" si="90"/>
        <v>8.6206896551724144E-2</v>
      </c>
      <c r="K1170" s="47">
        <f t="shared" si="91"/>
        <v>9.8412698412698438E-2</v>
      </c>
      <c r="L1170" s="8">
        <v>27.34</v>
      </c>
      <c r="M1170" s="8">
        <v>23.26</v>
      </c>
      <c r="N1170" s="8">
        <v>21.18</v>
      </c>
      <c r="O1170" s="17">
        <f t="shared" si="92"/>
        <v>2.6981600000000001</v>
      </c>
      <c r="P1170" s="17">
        <f t="shared" si="93"/>
        <v>2.1521612903225802</v>
      </c>
      <c r="R1170" s="9">
        <v>9.9600000000000009</v>
      </c>
      <c r="S1170" s="9">
        <v>16.95</v>
      </c>
      <c r="T1170" s="9">
        <v>627.53002000000004</v>
      </c>
      <c r="U1170" s="9">
        <v>565.36</v>
      </c>
      <c r="V1170" s="45">
        <f t="shared" si="94"/>
        <v>0.10996536719966044</v>
      </c>
      <c r="W1170" s="12">
        <v>-4.08</v>
      </c>
      <c r="X1170" s="12">
        <v>0</v>
      </c>
      <c r="Y1170" s="12">
        <v>20210610</v>
      </c>
    </row>
    <row r="1171" spans="1:25" x14ac:dyDescent="0.45">
      <c r="A1171" s="3" t="s">
        <v>2194</v>
      </c>
      <c r="B1171" s="3" t="s">
        <v>2195</v>
      </c>
      <c r="C1171" s="6" t="s">
        <v>518</v>
      </c>
      <c r="D1171" s="6" t="s">
        <v>234</v>
      </c>
      <c r="E1171" s="6" t="s">
        <v>154</v>
      </c>
      <c r="F1171" s="6">
        <v>493240.28</v>
      </c>
      <c r="G1171" s="2">
        <v>7.83</v>
      </c>
      <c r="H1171" s="2">
        <v>13.35</v>
      </c>
      <c r="I1171" s="2">
        <v>12.02</v>
      </c>
      <c r="J1171" s="47">
        <f t="shared" si="90"/>
        <v>0.70498084291187735</v>
      </c>
      <c r="K1171" s="47">
        <f t="shared" si="91"/>
        <v>-9.962546816479402E-2</v>
      </c>
      <c r="L1171" s="8">
        <v>12.94</v>
      </c>
      <c r="M1171" s="8">
        <v>12.2</v>
      </c>
      <c r="N1171" s="8">
        <v>13.56</v>
      </c>
      <c r="O1171" s="17">
        <f t="shared" si="92"/>
        <v>0.17305434782608695</v>
      </c>
      <c r="P1171" s="17">
        <f t="shared" si="93"/>
        <v>-1.361097744360902</v>
      </c>
      <c r="Q1171" s="5">
        <v>2.44</v>
      </c>
      <c r="R1171" s="9">
        <v>16.66</v>
      </c>
      <c r="S1171" s="9">
        <v>7.38</v>
      </c>
      <c r="T1171" s="9">
        <v>120450.75</v>
      </c>
      <c r="U1171" s="9">
        <v>129503</v>
      </c>
      <c r="V1171" s="45">
        <f t="shared" si="94"/>
        <v>-6.9899925098260277E-2</v>
      </c>
      <c r="W1171" s="12">
        <v>47.54</v>
      </c>
      <c r="X1171" s="12">
        <v>2.21</v>
      </c>
      <c r="Y1171" s="12">
        <v>20210714</v>
      </c>
    </row>
    <row r="1172" spans="1:25" x14ac:dyDescent="0.45">
      <c r="A1172" s="3" t="s">
        <v>2196</v>
      </c>
      <c r="B1172" s="3" t="s">
        <v>2197</v>
      </c>
      <c r="C1172" s="6" t="s">
        <v>520</v>
      </c>
      <c r="D1172" s="6" t="s">
        <v>303</v>
      </c>
      <c r="E1172" s="6" t="s">
        <v>295</v>
      </c>
      <c r="F1172" s="6">
        <v>8445.51</v>
      </c>
      <c r="G1172" s="2">
        <v>0.61</v>
      </c>
      <c r="H1172" s="2">
        <v>1.1000000000000001</v>
      </c>
      <c r="I1172" s="2">
        <v>1.18</v>
      </c>
      <c r="J1172" s="47">
        <f t="shared" si="90"/>
        <v>0.80327868852459039</v>
      </c>
      <c r="K1172" s="47">
        <f t="shared" si="91"/>
        <v>7.2727272727272585E-2</v>
      </c>
      <c r="M1172" s="8">
        <v>13.73</v>
      </c>
      <c r="N1172" s="8">
        <v>12.8</v>
      </c>
      <c r="O1172" s="17">
        <f t="shared" si="92"/>
        <v>0.17092448979591834</v>
      </c>
      <c r="P1172" s="17">
        <f t="shared" si="93"/>
        <v>1.7600000000000036</v>
      </c>
      <c r="Q1172" s="5">
        <v>2.38</v>
      </c>
      <c r="T1172" s="9">
        <v>39797.355459999999</v>
      </c>
      <c r="U1172" s="9">
        <v>38002.629999999997</v>
      </c>
      <c r="V1172" s="45">
        <f t="shared" si="94"/>
        <v>4.7226348807964121E-2</v>
      </c>
      <c r="X1172" s="12">
        <v>7.24</v>
      </c>
    </row>
    <row r="1173" spans="1:25" x14ac:dyDescent="0.45">
      <c r="A1173" s="3" t="s">
        <v>2198</v>
      </c>
      <c r="B1173" s="3" t="s">
        <v>2199</v>
      </c>
      <c r="C1173" s="6" t="s">
        <v>520</v>
      </c>
      <c r="D1173" s="6" t="s">
        <v>90</v>
      </c>
      <c r="E1173" s="6" t="s">
        <v>197</v>
      </c>
      <c r="F1173" s="6">
        <v>6388.06</v>
      </c>
      <c r="G1173" s="2">
        <v>1.1100000000000001</v>
      </c>
      <c r="H1173" s="2">
        <v>1.34</v>
      </c>
      <c r="I1173" s="2">
        <v>1.79</v>
      </c>
      <c r="J1173" s="47">
        <f t="shared" si="90"/>
        <v>0.20720720720720717</v>
      </c>
      <c r="K1173" s="47">
        <f t="shared" si="91"/>
        <v>0.33582089552238803</v>
      </c>
      <c r="M1173" s="8">
        <v>21.08</v>
      </c>
      <c r="N1173" s="8">
        <v>15.78</v>
      </c>
      <c r="O1173" s="17">
        <f t="shared" si="92"/>
        <v>1.0173391304347827</v>
      </c>
      <c r="P1173" s="17">
        <f t="shared" si="93"/>
        <v>0.46989333333333333</v>
      </c>
      <c r="T1173" s="9">
        <v>3100</v>
      </c>
      <c r="U1173" s="9">
        <v>4330.91</v>
      </c>
      <c r="V1173" s="45">
        <f t="shared" si="94"/>
        <v>-0.2842150956727339</v>
      </c>
      <c r="X1173" s="12">
        <v>0.75</v>
      </c>
      <c r="Y1173" s="12">
        <v>20210614</v>
      </c>
    </row>
    <row r="1174" spans="1:25" x14ac:dyDescent="0.45">
      <c r="A1174" s="3" t="s">
        <v>4766</v>
      </c>
      <c r="B1174" s="3" t="s">
        <v>4767</v>
      </c>
      <c r="C1174" s="6" t="s">
        <v>518</v>
      </c>
      <c r="D1174" s="6" t="s">
        <v>225</v>
      </c>
      <c r="E1174" s="6" t="s">
        <v>530</v>
      </c>
      <c r="F1174" s="6">
        <v>3606.48</v>
      </c>
      <c r="G1174" s="2">
        <v>2.67</v>
      </c>
      <c r="J1174" s="47">
        <f t="shared" si="90"/>
        <v>-1</v>
      </c>
      <c r="K1174" s="47" t="e">
        <f t="shared" si="91"/>
        <v>#DIV/0!</v>
      </c>
      <c r="L1174" s="8">
        <v>23.39</v>
      </c>
      <c r="O1174" s="17">
        <f t="shared" si="92"/>
        <v>0</v>
      </c>
      <c r="P1174" s="17" t="e">
        <f t="shared" si="93"/>
        <v>#DIV/0!</v>
      </c>
      <c r="R1174" s="9">
        <v>15.56</v>
      </c>
      <c r="S1174" s="9">
        <v>2.09</v>
      </c>
      <c r="U1174" s="9">
        <v>1831.48</v>
      </c>
      <c r="V1174" s="45">
        <f t="shared" si="94"/>
        <v>-1</v>
      </c>
      <c r="W1174" s="12">
        <v>600</v>
      </c>
      <c r="X1174" s="12">
        <v>2.12</v>
      </c>
      <c r="Y1174" s="12">
        <v>20210610</v>
      </c>
    </row>
    <row r="1175" spans="1:25" x14ac:dyDescent="0.45">
      <c r="A1175" s="3" t="s">
        <v>4766</v>
      </c>
      <c r="B1175" s="3" t="s">
        <v>4768</v>
      </c>
      <c r="C1175" s="6" t="s">
        <v>518</v>
      </c>
      <c r="D1175" s="6" t="s">
        <v>225</v>
      </c>
      <c r="E1175" s="6" t="s">
        <v>530</v>
      </c>
      <c r="F1175" s="6">
        <v>3582.46</v>
      </c>
      <c r="J1175" s="47" t="e">
        <f t="shared" si="90"/>
        <v>#DIV/0!</v>
      </c>
      <c r="K1175" s="47" t="e">
        <f t="shared" si="91"/>
        <v>#DIV/0!</v>
      </c>
      <c r="L1175" s="8">
        <v>23.23</v>
      </c>
      <c r="O1175" s="17" t="e">
        <f t="shared" si="92"/>
        <v>#DIV/0!</v>
      </c>
      <c r="P1175" s="17" t="e">
        <f t="shared" si="93"/>
        <v>#DIV/0!</v>
      </c>
      <c r="R1175" s="9">
        <v>15.56</v>
      </c>
      <c r="S1175" s="9">
        <v>2.09</v>
      </c>
      <c r="U1175" s="9">
        <v>1831.48</v>
      </c>
      <c r="V1175" s="45">
        <f t="shared" si="94"/>
        <v>-1</v>
      </c>
      <c r="X1175" s="12">
        <v>2.14</v>
      </c>
      <c r="Y1175" s="12">
        <v>20210610</v>
      </c>
    </row>
    <row r="1176" spans="1:25" x14ac:dyDescent="0.45">
      <c r="A1176" s="3" t="s">
        <v>2200</v>
      </c>
      <c r="B1176" s="3" t="s">
        <v>2201</v>
      </c>
      <c r="C1176" s="6" t="s">
        <v>518</v>
      </c>
      <c r="D1176" s="6" t="s">
        <v>303</v>
      </c>
      <c r="E1176" s="6" t="s">
        <v>290</v>
      </c>
      <c r="F1176" s="6">
        <v>5563.04</v>
      </c>
      <c r="G1176" s="2">
        <v>-4.45</v>
      </c>
      <c r="H1176" s="2">
        <v>1.17</v>
      </c>
      <c r="I1176" s="2">
        <v>2.33</v>
      </c>
      <c r="J1176" s="47">
        <f t="shared" si="90"/>
        <v>1.2629213483146067</v>
      </c>
      <c r="K1176" s="47">
        <f t="shared" si="91"/>
        <v>0.99145299145299159</v>
      </c>
      <c r="M1176" s="8">
        <v>29.92</v>
      </c>
      <c r="N1176" s="8">
        <v>15.05</v>
      </c>
      <c r="O1176" s="17">
        <f t="shared" si="92"/>
        <v>0.23691103202846978</v>
      </c>
      <c r="P1176" s="17">
        <f t="shared" si="93"/>
        <v>0.15179741379310344</v>
      </c>
      <c r="Q1176" s="5">
        <v>4.99</v>
      </c>
      <c r="R1176" s="9">
        <v>-128.87</v>
      </c>
      <c r="S1176" s="9">
        <v>-4.59</v>
      </c>
      <c r="T1176" s="9">
        <v>13643.36816</v>
      </c>
      <c r="U1176" s="9">
        <v>10715</v>
      </c>
      <c r="V1176" s="45">
        <f t="shared" si="94"/>
        <v>0.27329614185720952</v>
      </c>
      <c r="W1176" s="12">
        <v>-20.75</v>
      </c>
      <c r="X1176" s="12">
        <v>0</v>
      </c>
      <c r="Y1176" s="12">
        <v>20210824</v>
      </c>
    </row>
    <row r="1177" spans="1:25" x14ac:dyDescent="0.45">
      <c r="A1177" s="3" t="s">
        <v>2202</v>
      </c>
      <c r="B1177" s="3" t="s">
        <v>2203</v>
      </c>
      <c r="C1177" s="6" t="s">
        <v>518</v>
      </c>
      <c r="D1177" s="6" t="s">
        <v>225</v>
      </c>
      <c r="E1177" s="6" t="s">
        <v>226</v>
      </c>
      <c r="F1177" s="6">
        <v>22064.16</v>
      </c>
      <c r="G1177" s="2">
        <v>4.05</v>
      </c>
      <c r="H1177" s="2">
        <v>4.09</v>
      </c>
      <c r="I1177" s="2">
        <v>4.24</v>
      </c>
      <c r="J1177" s="47">
        <f t="shared" si="90"/>
        <v>9.8765432098765517E-3</v>
      </c>
      <c r="K1177" s="47">
        <f t="shared" si="91"/>
        <v>3.6674816625916956E-2</v>
      </c>
      <c r="L1177" s="8">
        <v>15.73</v>
      </c>
      <c r="M1177" s="8">
        <v>15.86</v>
      </c>
      <c r="N1177" s="8">
        <v>15.28</v>
      </c>
      <c r="O1177" s="17">
        <f t="shared" si="92"/>
        <v>16.058249999999987</v>
      </c>
      <c r="P1177" s="17">
        <f t="shared" si="93"/>
        <v>4.1663466666666569</v>
      </c>
      <c r="Q1177" s="5">
        <v>3.52</v>
      </c>
      <c r="R1177" s="9">
        <v>39.78</v>
      </c>
      <c r="S1177" s="9">
        <v>1.53</v>
      </c>
      <c r="T1177" s="9">
        <v>13879.29394</v>
      </c>
      <c r="U1177" s="9">
        <v>13770</v>
      </c>
      <c r="V1177" s="45">
        <f t="shared" si="94"/>
        <v>7.9371053013797804E-3</v>
      </c>
      <c r="W1177" s="12">
        <v>16.84</v>
      </c>
      <c r="X1177" s="12">
        <v>3.58</v>
      </c>
      <c r="Y1177" s="12">
        <v>20210729</v>
      </c>
    </row>
    <row r="1178" spans="1:25" x14ac:dyDescent="0.45">
      <c r="A1178" s="3" t="s">
        <v>4769</v>
      </c>
      <c r="B1178" s="3" t="s">
        <v>4770</v>
      </c>
      <c r="C1178" s="6" t="s">
        <v>518</v>
      </c>
      <c r="D1178" s="6" t="s">
        <v>234</v>
      </c>
      <c r="E1178" s="6" t="s">
        <v>105</v>
      </c>
      <c r="F1178" s="6">
        <v>21164.63</v>
      </c>
      <c r="G1178" s="2">
        <v>7.96</v>
      </c>
      <c r="H1178" s="2">
        <v>8.31</v>
      </c>
      <c r="J1178" s="47">
        <f t="shared" si="90"/>
        <v>4.3969849246231221E-2</v>
      </c>
      <c r="K1178" s="47">
        <f t="shared" si="91"/>
        <v>-1</v>
      </c>
      <c r="L1178" s="8">
        <v>5.99</v>
      </c>
      <c r="M1178" s="8">
        <v>6.13</v>
      </c>
      <c r="O1178" s="17">
        <f t="shared" si="92"/>
        <v>1.3941371428571407</v>
      </c>
      <c r="P1178" s="17">
        <f t="shared" si="93"/>
        <v>0</v>
      </c>
      <c r="Q1178" s="5">
        <v>1.2</v>
      </c>
      <c r="R1178" s="9">
        <v>9.33</v>
      </c>
      <c r="S1178" s="9">
        <v>10</v>
      </c>
      <c r="U1178" s="9">
        <v>16122.83</v>
      </c>
      <c r="V1178" s="45">
        <f t="shared" si="94"/>
        <v>-1</v>
      </c>
      <c r="X1178" s="12">
        <v>2.57</v>
      </c>
      <c r="Y1178" s="12">
        <v>20210720</v>
      </c>
    </row>
    <row r="1179" spans="1:25" x14ac:dyDescent="0.45">
      <c r="A1179" s="3" t="s">
        <v>2204</v>
      </c>
      <c r="B1179" s="3" t="s">
        <v>2205</v>
      </c>
      <c r="C1179" s="6" t="s">
        <v>520</v>
      </c>
      <c r="D1179" s="6" t="s">
        <v>234</v>
      </c>
      <c r="E1179" s="6" t="s">
        <v>105</v>
      </c>
      <c r="F1179" s="6">
        <v>34193.949999999997</v>
      </c>
      <c r="G1179" s="2">
        <v>1.82</v>
      </c>
      <c r="H1179" s="2">
        <v>3.09</v>
      </c>
      <c r="I1179" s="2">
        <v>3.2</v>
      </c>
      <c r="J1179" s="47">
        <f t="shared" si="90"/>
        <v>0.69780219780219765</v>
      </c>
      <c r="K1179" s="47">
        <f t="shared" si="91"/>
        <v>3.5598705501618227E-2</v>
      </c>
      <c r="L1179" s="8">
        <v>11.46</v>
      </c>
      <c r="M1179" s="8">
        <v>13.3</v>
      </c>
      <c r="N1179" s="8">
        <v>12.82</v>
      </c>
      <c r="O1179" s="17">
        <f t="shared" si="92"/>
        <v>0.19059842519685044</v>
      </c>
      <c r="P1179" s="17">
        <f t="shared" si="93"/>
        <v>3.6012545454545348</v>
      </c>
      <c r="R1179" s="9">
        <v>12.61</v>
      </c>
      <c r="S1179" s="9">
        <v>1.01</v>
      </c>
      <c r="T1179" s="9">
        <v>9124.75</v>
      </c>
      <c r="U1179" s="9">
        <v>10230.709999999999</v>
      </c>
      <c r="V1179" s="45">
        <f t="shared" si="94"/>
        <v>-0.10810197923702257</v>
      </c>
      <c r="W1179" s="12">
        <v>-6.25</v>
      </c>
      <c r="X1179" s="12">
        <v>0.4</v>
      </c>
      <c r="Y1179" s="12">
        <v>20210805</v>
      </c>
    </row>
    <row r="1180" spans="1:25" x14ac:dyDescent="0.45">
      <c r="A1180" s="3" t="s">
        <v>2206</v>
      </c>
      <c r="B1180" s="3" t="s">
        <v>2207</v>
      </c>
      <c r="C1180" s="6" t="s">
        <v>518</v>
      </c>
      <c r="D1180" s="6" t="s">
        <v>210</v>
      </c>
      <c r="E1180" s="6" t="s">
        <v>1439</v>
      </c>
      <c r="F1180" s="6">
        <v>4082.56</v>
      </c>
      <c r="G1180" s="2">
        <v>2.89</v>
      </c>
      <c r="H1180" s="2">
        <v>5.7</v>
      </c>
      <c r="I1180" s="2">
        <v>6.64</v>
      </c>
      <c r="J1180" s="47">
        <f t="shared" si="90"/>
        <v>0.97231833910034604</v>
      </c>
      <c r="K1180" s="47">
        <f t="shared" si="91"/>
        <v>0.16491228070175429</v>
      </c>
      <c r="L1180" s="8">
        <v>12.6</v>
      </c>
      <c r="M1180" s="8">
        <v>7.79</v>
      </c>
      <c r="N1180" s="8">
        <v>6.68</v>
      </c>
      <c r="O1180" s="17">
        <f t="shared" si="92"/>
        <v>8.0117793594306042E-2</v>
      </c>
      <c r="P1180" s="17">
        <f t="shared" si="93"/>
        <v>0.40506382978723432</v>
      </c>
      <c r="R1180" s="9">
        <v>12.74</v>
      </c>
      <c r="S1180" s="9">
        <v>5.5</v>
      </c>
      <c r="T1180" s="9">
        <v>6025.6699200000003</v>
      </c>
      <c r="U1180" s="9">
        <v>4183.17</v>
      </c>
      <c r="V1180" s="45">
        <f t="shared" si="94"/>
        <v>0.44045542495284679</v>
      </c>
      <c r="W1180" s="12">
        <v>17.239999999999998</v>
      </c>
      <c r="X1180" s="12">
        <v>1.35</v>
      </c>
      <c r="Y1180" s="12">
        <v>20210623</v>
      </c>
    </row>
    <row r="1181" spans="1:25" x14ac:dyDescent="0.45">
      <c r="A1181" s="3" t="s">
        <v>2208</v>
      </c>
      <c r="B1181" s="3" t="s">
        <v>2209</v>
      </c>
      <c r="C1181" s="6" t="s">
        <v>518</v>
      </c>
      <c r="D1181" s="6" t="s">
        <v>210</v>
      </c>
      <c r="E1181" s="6" t="s">
        <v>215</v>
      </c>
      <c r="F1181" s="6">
        <v>5584.59</v>
      </c>
      <c r="G1181" s="2">
        <v>1.71</v>
      </c>
      <c r="H1181" s="2">
        <v>2.11</v>
      </c>
      <c r="I1181" s="2">
        <v>2.38</v>
      </c>
      <c r="J1181" s="47">
        <f t="shared" si="90"/>
        <v>0.23391812865497072</v>
      </c>
      <c r="K1181" s="47">
        <f t="shared" si="91"/>
        <v>0.12796208530805689</v>
      </c>
      <c r="L1181" s="8">
        <v>21.71</v>
      </c>
      <c r="M1181" s="8">
        <v>18.77</v>
      </c>
      <c r="N1181" s="8">
        <v>16.62</v>
      </c>
      <c r="O1181" s="17">
        <f t="shared" si="92"/>
        <v>0.80241750000000012</v>
      </c>
      <c r="P1181" s="17">
        <f t="shared" si="93"/>
        <v>1.2988222222222221</v>
      </c>
      <c r="R1181" s="9">
        <v>15.71</v>
      </c>
      <c r="S1181" s="9">
        <v>8.85</v>
      </c>
      <c r="T1181" s="9">
        <v>5980</v>
      </c>
      <c r="U1181" s="9">
        <v>5767</v>
      </c>
      <c r="V1181" s="45">
        <f t="shared" si="94"/>
        <v>3.6934281255418762E-2</v>
      </c>
      <c r="W1181" s="12">
        <v>2.13</v>
      </c>
      <c r="X1181" s="12">
        <v>1.1100000000000001</v>
      </c>
      <c r="Y1181" s="12">
        <v>20210805</v>
      </c>
    </row>
    <row r="1182" spans="1:25" x14ac:dyDescent="0.45">
      <c r="A1182" s="3" t="s">
        <v>2210</v>
      </c>
      <c r="B1182" s="3" t="s">
        <v>2211</v>
      </c>
      <c r="C1182" s="6" t="s">
        <v>519</v>
      </c>
      <c r="D1182" s="6" t="s">
        <v>189</v>
      </c>
      <c r="E1182" s="6" t="s">
        <v>248</v>
      </c>
      <c r="F1182" s="6">
        <v>8899.4699999999993</v>
      </c>
      <c r="G1182" s="2">
        <v>-0.56000000000000005</v>
      </c>
      <c r="H1182" s="2">
        <v>-0.42</v>
      </c>
      <c r="I1182" s="2">
        <v>0.34</v>
      </c>
      <c r="J1182" s="47">
        <f t="shared" si="90"/>
        <v>0.25000000000000011</v>
      </c>
      <c r="K1182" s="47">
        <f t="shared" si="91"/>
        <v>1.8095238095238095</v>
      </c>
      <c r="N1182" s="8">
        <v>117.21</v>
      </c>
      <c r="O1182" s="17">
        <f t="shared" si="92"/>
        <v>0</v>
      </c>
      <c r="P1182" s="17">
        <f t="shared" si="93"/>
        <v>0.64773947368421048</v>
      </c>
      <c r="R1182" s="9">
        <v>-12.59</v>
      </c>
      <c r="T1182" s="9">
        <v>1525.7900299999999</v>
      </c>
      <c r="U1182" s="9">
        <v>1008.02</v>
      </c>
      <c r="V1182" s="45">
        <f t="shared" si="94"/>
        <v>0.51365055256840131</v>
      </c>
      <c r="W1182" s="12">
        <v>6.25</v>
      </c>
      <c r="X1182" s="12">
        <v>0</v>
      </c>
      <c r="Y1182" s="12">
        <v>20210817</v>
      </c>
    </row>
    <row r="1183" spans="1:25" x14ac:dyDescent="0.45">
      <c r="A1183" s="3" t="s">
        <v>2212</v>
      </c>
      <c r="B1183" s="3" t="s">
        <v>2213</v>
      </c>
      <c r="C1183" s="6" t="s">
        <v>520</v>
      </c>
      <c r="D1183" s="6" t="s">
        <v>189</v>
      </c>
      <c r="E1183" s="6" t="s">
        <v>378</v>
      </c>
      <c r="F1183" s="6">
        <v>77051.759999999995</v>
      </c>
      <c r="G1183" s="2">
        <v>1.38</v>
      </c>
      <c r="H1183" s="2">
        <v>1.33</v>
      </c>
      <c r="I1183" s="2">
        <v>1.37</v>
      </c>
      <c r="J1183" s="47">
        <f t="shared" si="90"/>
        <v>-3.6231884057970891E-2</v>
      </c>
      <c r="K1183" s="47">
        <f t="shared" si="91"/>
        <v>3.0075187969924838E-2</v>
      </c>
      <c r="L1183" s="8">
        <v>12.39</v>
      </c>
      <c r="M1183" s="8">
        <v>12.57</v>
      </c>
      <c r="N1183" s="8">
        <v>12.2</v>
      </c>
      <c r="O1183" s="17">
        <f t="shared" si="92"/>
        <v>-3.4693200000000117</v>
      </c>
      <c r="P1183" s="17">
        <f t="shared" si="93"/>
        <v>4.0564999999999962</v>
      </c>
      <c r="R1183" s="9">
        <v>13.19</v>
      </c>
      <c r="S1183" s="9">
        <v>3.42</v>
      </c>
      <c r="T1183" s="9">
        <v>50129.835930000001</v>
      </c>
      <c r="U1183" s="9">
        <v>48182.43</v>
      </c>
      <c r="V1183" s="45">
        <f t="shared" si="94"/>
        <v>4.0417345700497063E-2</v>
      </c>
      <c r="X1183" s="12">
        <v>1.22</v>
      </c>
      <c r="Y1183" s="12">
        <v>20210610</v>
      </c>
    </row>
    <row r="1184" spans="1:25" x14ac:dyDescent="0.45">
      <c r="A1184" s="3" t="s">
        <v>2214</v>
      </c>
      <c r="B1184" s="3" t="s">
        <v>2215</v>
      </c>
      <c r="C1184" s="6" t="s">
        <v>519</v>
      </c>
      <c r="D1184" s="6" t="s">
        <v>225</v>
      </c>
      <c r="E1184" s="6" t="s">
        <v>1091</v>
      </c>
      <c r="F1184" s="6">
        <v>49581.45</v>
      </c>
      <c r="G1184" s="2">
        <v>1.4</v>
      </c>
      <c r="H1184" s="2">
        <v>1.6</v>
      </c>
      <c r="I1184" s="2">
        <v>1.75</v>
      </c>
      <c r="J1184" s="47">
        <f t="shared" si="90"/>
        <v>0.14285714285714299</v>
      </c>
      <c r="K1184" s="47">
        <f t="shared" si="91"/>
        <v>9.3749999999999944E-2</v>
      </c>
      <c r="L1184" s="8">
        <v>24.29</v>
      </c>
      <c r="M1184" s="8">
        <v>21.84</v>
      </c>
      <c r="N1184" s="8">
        <v>19.96</v>
      </c>
      <c r="O1184" s="17">
        <f t="shared" si="92"/>
        <v>1.5287999999999986</v>
      </c>
      <c r="P1184" s="17">
        <f t="shared" si="93"/>
        <v>2.129066666666668</v>
      </c>
      <c r="Q1184" s="5">
        <v>2.5</v>
      </c>
      <c r="R1184" s="9">
        <v>8.74</v>
      </c>
      <c r="S1184" s="9">
        <v>18.13</v>
      </c>
      <c r="T1184" s="9">
        <v>12309.139639999999</v>
      </c>
      <c r="U1184" s="9">
        <v>11618</v>
      </c>
      <c r="V1184" s="45">
        <f t="shared" si="94"/>
        <v>5.9488693406782527E-2</v>
      </c>
      <c r="W1184" s="12">
        <v>6.45</v>
      </c>
      <c r="X1184" s="12">
        <v>1.72</v>
      </c>
      <c r="Y1184" s="12">
        <v>20210729</v>
      </c>
    </row>
    <row r="1185" spans="1:25" x14ac:dyDescent="0.45">
      <c r="A1185" s="3" t="s">
        <v>2216</v>
      </c>
      <c r="B1185" s="3" t="s">
        <v>2217</v>
      </c>
      <c r="C1185" s="6" t="s">
        <v>518</v>
      </c>
      <c r="D1185" s="6" t="s">
        <v>327</v>
      </c>
      <c r="E1185" s="6" t="s">
        <v>321</v>
      </c>
      <c r="F1185" s="6">
        <v>15021.98</v>
      </c>
      <c r="G1185" s="2">
        <v>1.4</v>
      </c>
      <c r="H1185" s="2">
        <v>1.43</v>
      </c>
      <c r="I1185" s="2">
        <v>1.46</v>
      </c>
      <c r="J1185" s="47">
        <f t="shared" si="90"/>
        <v>2.142857142857145E-2</v>
      </c>
      <c r="K1185" s="47">
        <f t="shared" si="91"/>
        <v>2.0979020979020997E-2</v>
      </c>
      <c r="L1185" s="8">
        <v>8.86</v>
      </c>
      <c r="M1185" s="8">
        <v>8.18</v>
      </c>
      <c r="N1185" s="8">
        <v>8.01</v>
      </c>
      <c r="O1185" s="17">
        <f t="shared" si="92"/>
        <v>3.8173333333333295</v>
      </c>
      <c r="P1185" s="17">
        <f t="shared" si="93"/>
        <v>3.8180999999999967</v>
      </c>
      <c r="Q1185" s="5">
        <v>1.64</v>
      </c>
      <c r="R1185" s="9">
        <v>2.95</v>
      </c>
      <c r="S1185" s="9">
        <v>-0.5</v>
      </c>
      <c r="U1185" s="9">
        <v>49666.78</v>
      </c>
      <c r="V1185" s="45">
        <f t="shared" si="94"/>
        <v>-1</v>
      </c>
      <c r="X1185" s="12">
        <v>4.41</v>
      </c>
      <c r="Y1185" s="12">
        <v>20210909</v>
      </c>
    </row>
    <row r="1186" spans="1:25" x14ac:dyDescent="0.45">
      <c r="A1186" s="3" t="s">
        <v>2218</v>
      </c>
      <c r="B1186" s="3" t="s">
        <v>2219</v>
      </c>
      <c r="C1186" s="6" t="s">
        <v>518</v>
      </c>
      <c r="D1186" s="6" t="s">
        <v>309</v>
      </c>
      <c r="E1186" s="6" t="s">
        <v>315</v>
      </c>
      <c r="F1186" s="6">
        <v>4057.69</v>
      </c>
      <c r="G1186" s="2">
        <v>1.7</v>
      </c>
      <c r="H1186" s="2">
        <v>1.01</v>
      </c>
      <c r="I1186" s="2">
        <v>2.4900000000000002</v>
      </c>
      <c r="J1186" s="47">
        <f t="shared" si="90"/>
        <v>-0.40588235294117647</v>
      </c>
      <c r="K1186" s="47">
        <f t="shared" si="91"/>
        <v>1.4653465346534655</v>
      </c>
      <c r="L1186" s="8">
        <v>56.73</v>
      </c>
      <c r="M1186" s="8">
        <v>66.709999999999994</v>
      </c>
      <c r="N1186" s="8">
        <v>27.11</v>
      </c>
      <c r="O1186" s="17">
        <f t="shared" si="92"/>
        <v>-1.6435797101449274</v>
      </c>
      <c r="P1186" s="17">
        <f t="shared" si="93"/>
        <v>0.18500743243243239</v>
      </c>
      <c r="Q1186" s="5">
        <v>4.63</v>
      </c>
      <c r="R1186" s="9">
        <v>2.3199999999999998</v>
      </c>
      <c r="S1186" s="9">
        <v>7.25</v>
      </c>
      <c r="T1186" s="9">
        <v>2217.58007</v>
      </c>
      <c r="U1186" s="9">
        <v>2171.41</v>
      </c>
      <c r="V1186" s="45">
        <f t="shared" si="94"/>
        <v>2.1262714089002134E-2</v>
      </c>
      <c r="W1186" s="12">
        <v>-154.55000000000001</v>
      </c>
      <c r="X1186" s="12">
        <v>0</v>
      </c>
      <c r="Y1186" s="12">
        <v>20210729</v>
      </c>
    </row>
    <row r="1187" spans="1:25" x14ac:dyDescent="0.45">
      <c r="A1187" s="3" t="s">
        <v>4202</v>
      </c>
      <c r="B1187" s="3" t="s">
        <v>4203</v>
      </c>
      <c r="C1187" s="6" t="s">
        <v>518</v>
      </c>
      <c r="D1187" s="6" t="s">
        <v>234</v>
      </c>
      <c r="E1187" s="6" t="s">
        <v>154</v>
      </c>
      <c r="F1187" s="6">
        <v>21603.759999999998</v>
      </c>
      <c r="G1187" s="2">
        <v>1.1399999999999999</v>
      </c>
      <c r="H1187" s="2">
        <v>2.25</v>
      </c>
      <c r="I1187" s="2">
        <v>1.97</v>
      </c>
      <c r="J1187" s="47">
        <f t="shared" si="90"/>
        <v>0.97368421052631593</v>
      </c>
      <c r="K1187" s="47">
        <f t="shared" si="91"/>
        <v>-0.12444444444444445</v>
      </c>
      <c r="L1187" s="8">
        <v>12.79</v>
      </c>
      <c r="M1187" s="8">
        <v>9.89</v>
      </c>
      <c r="N1187" s="8">
        <v>11.27</v>
      </c>
      <c r="O1187" s="17">
        <f t="shared" si="92"/>
        <v>0.10157297297297296</v>
      </c>
      <c r="P1187" s="17">
        <f t="shared" si="93"/>
        <v>-0.9056249999999999</v>
      </c>
      <c r="Q1187" s="5">
        <v>0.43</v>
      </c>
      <c r="R1187" s="9">
        <v>11.06</v>
      </c>
      <c r="S1187" s="9">
        <v>8.8699999999999992</v>
      </c>
      <c r="T1187" s="9">
        <v>6950.4960899999996</v>
      </c>
      <c r="U1187" s="9">
        <v>7337</v>
      </c>
      <c r="V1187" s="45">
        <f t="shared" si="94"/>
        <v>-5.2678739266730321E-2</v>
      </c>
      <c r="W1187" s="12">
        <v>24.49</v>
      </c>
      <c r="X1187" s="12">
        <v>3.32</v>
      </c>
      <c r="Y1187" s="12">
        <v>20210720</v>
      </c>
    </row>
    <row r="1188" spans="1:25" x14ac:dyDescent="0.45">
      <c r="A1188" s="3" t="s">
        <v>2220</v>
      </c>
      <c r="B1188" s="3" t="s">
        <v>2221</v>
      </c>
      <c r="C1188" s="6" t="s">
        <v>518</v>
      </c>
      <c r="D1188" s="6" t="s">
        <v>189</v>
      </c>
      <c r="E1188" s="6" t="s">
        <v>2222</v>
      </c>
      <c r="F1188" s="6">
        <v>27335.599999999999</v>
      </c>
      <c r="G1188" s="2">
        <v>4.7</v>
      </c>
      <c r="H1188" s="2">
        <v>5.9</v>
      </c>
      <c r="I1188" s="2">
        <v>6.47</v>
      </c>
      <c r="J1188" s="47">
        <f t="shared" si="90"/>
        <v>0.25531914893617025</v>
      </c>
      <c r="K1188" s="47">
        <f t="shared" si="91"/>
        <v>9.6610169491525316E-2</v>
      </c>
      <c r="L1188" s="8">
        <v>25.88</v>
      </c>
      <c r="M1188" s="8">
        <v>24.9</v>
      </c>
      <c r="N1188" s="8">
        <v>22.72</v>
      </c>
      <c r="O1188" s="17">
        <f t="shared" si="92"/>
        <v>0.97524999999999984</v>
      </c>
      <c r="P1188" s="17">
        <f t="shared" si="93"/>
        <v>2.3517192982456168</v>
      </c>
      <c r="Q1188" s="5">
        <v>2.27</v>
      </c>
      <c r="R1188" s="9">
        <v>28.46</v>
      </c>
      <c r="S1188" s="9">
        <v>11.08</v>
      </c>
      <c r="T1188" s="9">
        <v>4860.5497999999998</v>
      </c>
      <c r="U1188" s="9">
        <v>4221</v>
      </c>
      <c r="V1188" s="45">
        <f t="shared" si="94"/>
        <v>0.15151618099976305</v>
      </c>
      <c r="W1188" s="12">
        <v>7.46</v>
      </c>
      <c r="X1188" s="12">
        <v>0</v>
      </c>
      <c r="Y1188" s="12">
        <v>20210819</v>
      </c>
    </row>
    <row r="1189" spans="1:25" x14ac:dyDescent="0.45">
      <c r="A1189" s="3" t="s">
        <v>3833</v>
      </c>
      <c r="B1189" s="3" t="s">
        <v>3834</v>
      </c>
      <c r="C1189" s="6" t="s">
        <v>518</v>
      </c>
      <c r="D1189" s="6" t="s">
        <v>175</v>
      </c>
      <c r="E1189" s="6" t="s">
        <v>1922</v>
      </c>
      <c r="F1189" s="6">
        <v>3593.61</v>
      </c>
      <c r="G1189" s="2">
        <v>2.2999999999999998</v>
      </c>
      <c r="H1189" s="2">
        <v>3.39</v>
      </c>
      <c r="I1189" s="2">
        <v>3.81</v>
      </c>
      <c r="J1189" s="47">
        <f t="shared" si="90"/>
        <v>0.47391304347826102</v>
      </c>
      <c r="K1189" s="47">
        <f t="shared" si="91"/>
        <v>0.12389380530973448</v>
      </c>
      <c r="L1189" s="8">
        <v>35.020000000000003</v>
      </c>
      <c r="M1189" s="8">
        <v>19.649999999999999</v>
      </c>
      <c r="N1189" s="8">
        <v>17.47</v>
      </c>
      <c r="O1189" s="17">
        <f t="shared" si="92"/>
        <v>0.41463302752293563</v>
      </c>
      <c r="P1189" s="17">
        <f t="shared" si="93"/>
        <v>1.4100785714285717</v>
      </c>
      <c r="R1189" s="9">
        <v>8.3800000000000008</v>
      </c>
      <c r="S1189" s="9">
        <v>5.79</v>
      </c>
      <c r="T1189" s="9">
        <v>2014.63903</v>
      </c>
      <c r="U1189" s="9">
        <v>1977.33</v>
      </c>
      <c r="V1189" s="45">
        <f t="shared" si="94"/>
        <v>1.8868388180020595E-2</v>
      </c>
      <c r="W1189" s="12">
        <v>102.13</v>
      </c>
      <c r="X1189" s="12">
        <v>0.6</v>
      </c>
      <c r="Y1189" s="12">
        <v>20210701</v>
      </c>
    </row>
    <row r="1190" spans="1:25" x14ac:dyDescent="0.45">
      <c r="A1190" s="3" t="s">
        <v>2223</v>
      </c>
      <c r="B1190" s="3" t="s">
        <v>2224</v>
      </c>
      <c r="C1190" s="6" t="s">
        <v>518</v>
      </c>
      <c r="D1190" s="6" t="s">
        <v>90</v>
      </c>
      <c r="E1190" s="6" t="s">
        <v>267</v>
      </c>
      <c r="F1190" s="6">
        <v>9799.52</v>
      </c>
      <c r="G1190" s="2">
        <v>0.72</v>
      </c>
      <c r="H1190" s="2">
        <v>0.61</v>
      </c>
      <c r="I1190" s="2">
        <v>0.88</v>
      </c>
      <c r="J1190" s="47">
        <f t="shared" si="90"/>
        <v>-0.15277777777777776</v>
      </c>
      <c r="K1190" s="47">
        <f t="shared" si="91"/>
        <v>0.44262295081967218</v>
      </c>
      <c r="L1190" s="8">
        <v>9.48</v>
      </c>
      <c r="M1190" s="8">
        <v>12.66</v>
      </c>
      <c r="N1190" s="8">
        <v>8.82</v>
      </c>
      <c r="O1190" s="17">
        <f t="shared" si="92"/>
        <v>-0.82865454545454553</v>
      </c>
      <c r="P1190" s="17">
        <f t="shared" si="93"/>
        <v>0.19926666666666665</v>
      </c>
      <c r="R1190" s="9">
        <v>16.559999999999999</v>
      </c>
      <c r="S1190" s="9">
        <v>4.09</v>
      </c>
      <c r="T1190" s="9">
        <v>4181.7231400000001</v>
      </c>
      <c r="U1190" s="9">
        <v>4213.3999999999996</v>
      </c>
      <c r="V1190" s="45">
        <f t="shared" si="94"/>
        <v>-7.518123130963018E-3</v>
      </c>
      <c r="W1190" s="12">
        <v>-11.76</v>
      </c>
      <c r="X1190" s="12">
        <v>0.77</v>
      </c>
      <c r="Y1190" s="12">
        <v>20210728</v>
      </c>
    </row>
    <row r="1191" spans="1:25" x14ac:dyDescent="0.45">
      <c r="A1191" s="3" t="s">
        <v>3835</v>
      </c>
      <c r="B1191" s="3" t="s">
        <v>3836</v>
      </c>
      <c r="C1191" s="6" t="s">
        <v>520</v>
      </c>
      <c r="D1191" s="6" t="s">
        <v>189</v>
      </c>
      <c r="E1191" s="6" t="s">
        <v>248</v>
      </c>
      <c r="F1191" s="6">
        <v>13007.86</v>
      </c>
      <c r="G1191" s="2">
        <v>-1.2</v>
      </c>
      <c r="H1191" s="2">
        <v>-1.54</v>
      </c>
      <c r="I1191" s="2">
        <v>-1.08</v>
      </c>
      <c r="J1191" s="47">
        <f t="shared" si="90"/>
        <v>-0.28333333333333344</v>
      </c>
      <c r="K1191" s="47">
        <f t="shared" si="91"/>
        <v>0.29870129870129869</v>
      </c>
      <c r="O1191" s="17">
        <f t="shared" si="92"/>
        <v>0</v>
      </c>
      <c r="P1191" s="17">
        <f t="shared" si="93"/>
        <v>0</v>
      </c>
      <c r="T1191" s="9">
        <v>648.30998999999997</v>
      </c>
      <c r="U1191" s="9">
        <v>486.35</v>
      </c>
      <c r="V1191" s="45">
        <f t="shared" si="94"/>
        <v>0.33301118536033708</v>
      </c>
      <c r="X1191" s="12">
        <v>0.04</v>
      </c>
    </row>
    <row r="1192" spans="1:25" x14ac:dyDescent="0.45">
      <c r="A1192" s="3" t="s">
        <v>2225</v>
      </c>
      <c r="B1192" s="3" t="s">
        <v>2226</v>
      </c>
      <c r="C1192" s="6" t="s">
        <v>520</v>
      </c>
      <c r="D1192" s="6" t="s">
        <v>303</v>
      </c>
      <c r="E1192" s="6" t="s">
        <v>292</v>
      </c>
      <c r="F1192" s="6">
        <v>10086.379999999999</v>
      </c>
      <c r="G1192" s="2">
        <v>0.75</v>
      </c>
      <c r="H1192" s="2">
        <v>0.81</v>
      </c>
      <c r="I1192" s="2">
        <v>0.78</v>
      </c>
      <c r="J1192" s="47">
        <f t="shared" si="90"/>
        <v>8.0000000000000071E-2</v>
      </c>
      <c r="K1192" s="47">
        <f t="shared" si="91"/>
        <v>-3.703703703703707E-2</v>
      </c>
      <c r="M1192" s="8">
        <v>11.75</v>
      </c>
      <c r="N1192" s="8">
        <v>12.31</v>
      </c>
      <c r="O1192" s="17">
        <f t="shared" si="92"/>
        <v>1.4687499999999987</v>
      </c>
      <c r="P1192" s="17">
        <f t="shared" si="93"/>
        <v>-3.3236999999999974</v>
      </c>
      <c r="Q1192" s="5">
        <v>1.93</v>
      </c>
      <c r="T1192" s="9">
        <v>17019.324209999999</v>
      </c>
      <c r="U1192" s="9">
        <v>16570.89</v>
      </c>
      <c r="V1192" s="45">
        <f t="shared" si="94"/>
        <v>2.7061564587055942E-2</v>
      </c>
      <c r="X1192" s="12">
        <v>2.19</v>
      </c>
    </row>
    <row r="1193" spans="1:25" x14ac:dyDescent="0.45">
      <c r="A1193" s="3" t="s">
        <v>2227</v>
      </c>
      <c r="B1193" s="3" t="s">
        <v>2228</v>
      </c>
      <c r="C1193" s="6" t="s">
        <v>519</v>
      </c>
      <c r="D1193" s="6" t="s">
        <v>225</v>
      </c>
      <c r="E1193" s="6" t="s">
        <v>226</v>
      </c>
      <c r="F1193" s="6">
        <v>52644.26</v>
      </c>
      <c r="G1193" s="2">
        <v>2.81</v>
      </c>
      <c r="H1193" s="2">
        <v>2.66</v>
      </c>
      <c r="I1193" s="2">
        <v>2.63</v>
      </c>
      <c r="J1193" s="47">
        <f t="shared" si="90"/>
        <v>-5.3380782918149433E-2</v>
      </c>
      <c r="K1193" s="47">
        <f t="shared" si="91"/>
        <v>-1.1278195488721898E-2</v>
      </c>
      <c r="L1193" s="8">
        <v>14.25</v>
      </c>
      <c r="M1193" s="8">
        <v>16.170000000000002</v>
      </c>
      <c r="N1193" s="8">
        <v>16.350000000000001</v>
      </c>
      <c r="O1193" s="17">
        <f t="shared" si="92"/>
        <v>-3.0291800000000024</v>
      </c>
      <c r="P1193" s="17">
        <f t="shared" si="93"/>
        <v>-14.496999999999881</v>
      </c>
      <c r="Q1193" s="5">
        <v>3.23</v>
      </c>
      <c r="R1193" s="9">
        <v>7.43</v>
      </c>
      <c r="S1193" s="9">
        <v>-0.77</v>
      </c>
      <c r="T1193" s="9">
        <v>25246.210930000001</v>
      </c>
      <c r="U1193" s="9">
        <v>26185</v>
      </c>
      <c r="V1193" s="45">
        <f t="shared" si="94"/>
        <v>-3.5852169944624743E-2</v>
      </c>
      <c r="W1193" s="12">
        <v>20</v>
      </c>
      <c r="X1193" s="12">
        <v>3.72</v>
      </c>
      <c r="Y1193" s="12">
        <v>20210729</v>
      </c>
    </row>
    <row r="1194" spans="1:25" x14ac:dyDescent="0.45">
      <c r="A1194" s="3" t="s">
        <v>2229</v>
      </c>
      <c r="B1194" s="3" t="s">
        <v>2230</v>
      </c>
      <c r="C1194" s="6" t="s">
        <v>520</v>
      </c>
      <c r="D1194" s="6" t="s">
        <v>272</v>
      </c>
      <c r="E1194" s="6" t="s">
        <v>233</v>
      </c>
      <c r="F1194" s="6">
        <v>14500.08</v>
      </c>
      <c r="G1194" s="2">
        <v>0.72</v>
      </c>
      <c r="H1194" s="2">
        <v>1.1599999999999999</v>
      </c>
      <c r="I1194" s="2">
        <v>1.39</v>
      </c>
      <c r="J1194" s="47">
        <f t="shared" si="90"/>
        <v>0.61111111111111105</v>
      </c>
      <c r="K1194" s="47">
        <f t="shared" si="91"/>
        <v>0.19827586206896552</v>
      </c>
      <c r="L1194" s="8">
        <v>40.630000000000003</v>
      </c>
      <c r="M1194" s="8">
        <v>23.82</v>
      </c>
      <c r="N1194" s="8">
        <v>19.88</v>
      </c>
      <c r="O1194" s="17">
        <f t="shared" si="92"/>
        <v>0.38978181818181823</v>
      </c>
      <c r="P1194" s="17">
        <f t="shared" si="93"/>
        <v>1.0026434782608695</v>
      </c>
      <c r="R1194" s="9">
        <v>7.36</v>
      </c>
      <c r="S1194" s="9">
        <v>13.31</v>
      </c>
      <c r="T1194" s="9">
        <v>11548.570309999999</v>
      </c>
      <c r="U1194" s="9">
        <v>9527.7999999999993</v>
      </c>
      <c r="V1194" s="45">
        <f t="shared" si="94"/>
        <v>0.21209201599529798</v>
      </c>
      <c r="X1194" s="12">
        <v>0.28000000000000003</v>
      </c>
      <c r="Y1194" s="12">
        <v>20210804</v>
      </c>
    </row>
    <row r="1195" spans="1:25" x14ac:dyDescent="0.45">
      <c r="A1195" s="3" t="s">
        <v>2231</v>
      </c>
      <c r="B1195" s="3" t="s">
        <v>2232</v>
      </c>
      <c r="C1195" s="6" t="s">
        <v>518</v>
      </c>
      <c r="D1195" s="6" t="s">
        <v>234</v>
      </c>
      <c r="E1195" s="6" t="s">
        <v>288</v>
      </c>
      <c r="F1195" s="6">
        <v>9605.4599999999991</v>
      </c>
      <c r="G1195" s="2">
        <v>1.1599999999999999</v>
      </c>
      <c r="H1195" s="2">
        <v>1.25</v>
      </c>
      <c r="I1195" s="2">
        <v>1.34</v>
      </c>
      <c r="J1195" s="47">
        <f t="shared" si="90"/>
        <v>7.7586206896551796E-2</v>
      </c>
      <c r="K1195" s="47">
        <f t="shared" si="91"/>
        <v>7.2000000000000064E-2</v>
      </c>
      <c r="L1195" s="8">
        <v>19.61</v>
      </c>
      <c r="M1195" s="8">
        <v>17.73</v>
      </c>
      <c r="N1195" s="8">
        <v>16.510000000000002</v>
      </c>
      <c r="O1195" s="17">
        <f t="shared" si="92"/>
        <v>2.2851999999999979</v>
      </c>
      <c r="P1195" s="17">
        <f t="shared" si="93"/>
        <v>2.2930555555555538</v>
      </c>
      <c r="Q1195" s="5">
        <v>2.74</v>
      </c>
      <c r="R1195" s="9">
        <v>18.600000000000001</v>
      </c>
      <c r="S1195" s="9">
        <v>-2.0499999999999998</v>
      </c>
      <c r="T1195" s="9">
        <v>1110.61499</v>
      </c>
      <c r="U1195" s="9">
        <v>1057.8900000000001</v>
      </c>
      <c r="V1195" s="45">
        <f t="shared" si="94"/>
        <v>4.9839765949200698E-2</v>
      </c>
      <c r="W1195" s="12">
        <v>10</v>
      </c>
      <c r="X1195" s="12">
        <v>3.07</v>
      </c>
      <c r="Y1195" s="12">
        <v>20210729</v>
      </c>
    </row>
    <row r="1196" spans="1:25" x14ac:dyDescent="0.45">
      <c r="A1196" s="3" t="s">
        <v>4771</v>
      </c>
      <c r="B1196" s="3" t="s">
        <v>4772</v>
      </c>
      <c r="C1196" s="6" t="s">
        <v>520</v>
      </c>
      <c r="D1196" s="6" t="s">
        <v>90</v>
      </c>
      <c r="E1196" s="6" t="s">
        <v>1772</v>
      </c>
      <c r="F1196" s="6">
        <v>14300.62</v>
      </c>
      <c r="J1196" s="47" t="e">
        <f t="shared" si="90"/>
        <v>#DIV/0!</v>
      </c>
      <c r="K1196" s="47" t="e">
        <f t="shared" si="91"/>
        <v>#DIV/0!</v>
      </c>
      <c r="O1196" s="17" t="e">
        <f t="shared" si="92"/>
        <v>#DIV/0!</v>
      </c>
      <c r="P1196" s="17" t="e">
        <f t="shared" si="93"/>
        <v>#DIV/0!</v>
      </c>
      <c r="U1196" s="9">
        <v>4897.08</v>
      </c>
      <c r="V1196" s="45">
        <f t="shared" si="94"/>
        <v>-1</v>
      </c>
      <c r="X1196" s="12">
        <v>9.65</v>
      </c>
    </row>
    <row r="1197" spans="1:25" x14ac:dyDescent="0.45">
      <c r="A1197" s="3" t="s">
        <v>4204</v>
      </c>
      <c r="B1197" s="3" t="s">
        <v>4205</v>
      </c>
      <c r="C1197" s="6" t="s">
        <v>520</v>
      </c>
      <c r="D1197" s="6" t="s">
        <v>1042</v>
      </c>
      <c r="E1197" s="6" t="s">
        <v>1043</v>
      </c>
      <c r="F1197" s="6">
        <v>13566</v>
      </c>
      <c r="G1197" s="2">
        <v>0.16</v>
      </c>
      <c r="H1197" s="2">
        <v>0.15</v>
      </c>
      <c r="I1197" s="2">
        <v>0.17</v>
      </c>
      <c r="J1197" s="47">
        <f t="shared" si="90"/>
        <v>-6.2500000000000056E-2</v>
      </c>
      <c r="K1197" s="47">
        <f t="shared" si="91"/>
        <v>0.13333333333333347</v>
      </c>
      <c r="M1197" s="8">
        <v>21.53</v>
      </c>
      <c r="N1197" s="8">
        <v>19.579999999999998</v>
      </c>
      <c r="O1197" s="17">
        <f t="shared" si="92"/>
        <v>-3.4447999999999972</v>
      </c>
      <c r="P1197" s="17">
        <f t="shared" si="93"/>
        <v>1.4684999999999984</v>
      </c>
      <c r="T1197" s="9">
        <v>6308.8452100000004</v>
      </c>
      <c r="U1197" s="9">
        <v>6386.24</v>
      </c>
      <c r="V1197" s="45">
        <f t="shared" si="94"/>
        <v>-1.2118991769804983E-2</v>
      </c>
      <c r="X1197" s="12">
        <v>0</v>
      </c>
    </row>
    <row r="1198" spans="1:25" x14ac:dyDescent="0.45">
      <c r="A1198" s="3" t="s">
        <v>4204</v>
      </c>
      <c r="B1198" s="3" t="s">
        <v>4773</v>
      </c>
      <c r="C1198" s="6" t="s">
        <v>520</v>
      </c>
      <c r="D1198" s="6" t="s">
        <v>327</v>
      </c>
      <c r="E1198" s="6" t="s">
        <v>209</v>
      </c>
      <c r="F1198" s="6">
        <v>13491.12</v>
      </c>
      <c r="J1198" s="47" t="e">
        <f t="shared" si="90"/>
        <v>#DIV/0!</v>
      </c>
      <c r="K1198" s="47" t="e">
        <f t="shared" si="91"/>
        <v>#DIV/0!</v>
      </c>
      <c r="O1198" s="17" t="e">
        <f t="shared" si="92"/>
        <v>#DIV/0!</v>
      </c>
      <c r="P1198" s="17" t="e">
        <f t="shared" si="93"/>
        <v>#DIV/0!</v>
      </c>
      <c r="U1198" s="9">
        <v>6057.1</v>
      </c>
      <c r="V1198" s="45">
        <f t="shared" si="94"/>
        <v>-1</v>
      </c>
      <c r="X1198" s="12">
        <v>5.28</v>
      </c>
    </row>
    <row r="1199" spans="1:25" x14ac:dyDescent="0.45">
      <c r="A1199" s="3" t="s">
        <v>2233</v>
      </c>
      <c r="B1199" s="3" t="s">
        <v>2234</v>
      </c>
      <c r="C1199" s="6" t="s">
        <v>518</v>
      </c>
      <c r="D1199" s="6" t="s">
        <v>234</v>
      </c>
      <c r="E1199" s="6" t="s">
        <v>220</v>
      </c>
      <c r="F1199" s="6">
        <v>32160.73</v>
      </c>
      <c r="G1199" s="2">
        <v>1.68</v>
      </c>
      <c r="H1199" s="2">
        <v>3.13</v>
      </c>
      <c r="I1199" s="2">
        <v>3.48</v>
      </c>
      <c r="J1199" s="47">
        <f t="shared" si="90"/>
        <v>0.86309523809523814</v>
      </c>
      <c r="K1199" s="47">
        <f t="shared" si="91"/>
        <v>0.11182108626198087</v>
      </c>
      <c r="L1199" s="8">
        <v>26.2</v>
      </c>
      <c r="M1199" s="8">
        <v>17.670000000000002</v>
      </c>
      <c r="N1199" s="8">
        <v>15.88</v>
      </c>
      <c r="O1199" s="17">
        <f t="shared" si="92"/>
        <v>0.20472827586206899</v>
      </c>
      <c r="P1199" s="17">
        <f t="shared" si="93"/>
        <v>1.420125714285714</v>
      </c>
      <c r="Q1199" s="5">
        <v>0.62</v>
      </c>
      <c r="R1199" s="9">
        <v>4.3499999999999996</v>
      </c>
      <c r="S1199" s="9">
        <v>39.03</v>
      </c>
      <c r="T1199" s="9">
        <v>2600.8500899999999</v>
      </c>
      <c r="U1199" s="9">
        <v>4230.8900000000003</v>
      </c>
      <c r="V1199" s="45">
        <f t="shared" si="94"/>
        <v>-0.38527116280498908</v>
      </c>
      <c r="W1199" s="12">
        <v>20.97</v>
      </c>
      <c r="X1199" s="12">
        <v>1.05</v>
      </c>
      <c r="Y1199" s="12">
        <v>20210803</v>
      </c>
    </row>
    <row r="1200" spans="1:25" x14ac:dyDescent="0.45">
      <c r="A1200" s="3" t="s">
        <v>2235</v>
      </c>
      <c r="B1200" s="3" t="s">
        <v>2236</v>
      </c>
      <c r="C1200" s="6" t="s">
        <v>518</v>
      </c>
      <c r="D1200" s="6" t="s">
        <v>90</v>
      </c>
      <c r="E1200" s="6" t="s">
        <v>267</v>
      </c>
      <c r="F1200" s="6">
        <v>11439.16</v>
      </c>
      <c r="G1200" s="2">
        <v>3.43</v>
      </c>
      <c r="H1200" s="2">
        <v>3.02</v>
      </c>
      <c r="I1200" s="2">
        <v>3.14</v>
      </c>
      <c r="J1200" s="47">
        <f t="shared" si="90"/>
        <v>-0.11953352769679304</v>
      </c>
      <c r="K1200" s="47">
        <f t="shared" si="91"/>
        <v>3.9735099337748381E-2</v>
      </c>
      <c r="L1200" s="8">
        <v>12.94</v>
      </c>
      <c r="M1200" s="8">
        <v>14.18</v>
      </c>
      <c r="N1200" s="8">
        <v>13.64</v>
      </c>
      <c r="O1200" s="17">
        <f t="shared" si="92"/>
        <v>-1.1862780487804874</v>
      </c>
      <c r="P1200" s="17">
        <f t="shared" si="93"/>
        <v>3.4327333333333305</v>
      </c>
      <c r="Q1200" s="5">
        <v>4.7300000000000004</v>
      </c>
      <c r="R1200" s="9">
        <v>18.12</v>
      </c>
      <c r="S1200" s="9">
        <v>52.25</v>
      </c>
      <c r="T1200" s="9">
        <v>2473.0170800000001</v>
      </c>
      <c r="U1200" s="9">
        <v>2460.1</v>
      </c>
      <c r="V1200" s="45">
        <f t="shared" si="94"/>
        <v>5.2506320881265675E-3</v>
      </c>
      <c r="W1200" s="12">
        <v>-5.97</v>
      </c>
      <c r="X1200" s="12">
        <v>1.02</v>
      </c>
      <c r="Y1200" s="12">
        <v>20210729</v>
      </c>
    </row>
    <row r="1201" spans="1:25" x14ac:dyDescent="0.45">
      <c r="A1201" s="3" t="s">
        <v>2237</v>
      </c>
      <c r="B1201" s="3" t="s">
        <v>2238</v>
      </c>
      <c r="C1201" s="6" t="s">
        <v>519</v>
      </c>
      <c r="D1201" s="6" t="s">
        <v>189</v>
      </c>
      <c r="E1201" s="6" t="s">
        <v>908</v>
      </c>
      <c r="F1201" s="6">
        <v>48155</v>
      </c>
      <c r="G1201" s="2">
        <v>9.9700000000000006</v>
      </c>
      <c r="H1201" s="2">
        <v>14.07</v>
      </c>
      <c r="I1201" s="2">
        <v>17.149999999999999</v>
      </c>
      <c r="J1201" s="47">
        <f t="shared" si="90"/>
        <v>0.41123370110330987</v>
      </c>
      <c r="K1201" s="47">
        <f t="shared" si="91"/>
        <v>0.21890547263681578</v>
      </c>
      <c r="L1201" s="8">
        <v>24.45</v>
      </c>
      <c r="M1201" s="8">
        <v>22.33</v>
      </c>
      <c r="N1201" s="8">
        <v>18.32</v>
      </c>
      <c r="O1201" s="17">
        <f t="shared" si="92"/>
        <v>0.54300024390243906</v>
      </c>
      <c r="P1201" s="17">
        <f t="shared" si="93"/>
        <v>0.83689090909090957</v>
      </c>
      <c r="Q1201" s="5">
        <v>1.59</v>
      </c>
      <c r="R1201" s="9">
        <v>69.63</v>
      </c>
      <c r="S1201" s="9">
        <v>17.32</v>
      </c>
      <c r="T1201" s="9">
        <v>6848.6347599999999</v>
      </c>
      <c r="U1201" s="9">
        <v>5806.42</v>
      </c>
      <c r="V1201" s="45">
        <f t="shared" si="94"/>
        <v>0.17949351924249363</v>
      </c>
      <c r="W1201" s="12">
        <v>7.24</v>
      </c>
      <c r="X1201" s="12">
        <v>1.1499999999999999</v>
      </c>
      <c r="Y1201" s="12">
        <v>20210802</v>
      </c>
    </row>
    <row r="1202" spans="1:25" x14ac:dyDescent="0.45">
      <c r="A1202" s="3" t="s">
        <v>4774</v>
      </c>
      <c r="B1202" s="3" t="s">
        <v>4775</v>
      </c>
      <c r="C1202" s="6" t="s">
        <v>520</v>
      </c>
      <c r="D1202" s="6" t="s">
        <v>90</v>
      </c>
      <c r="E1202" s="6" t="s">
        <v>282</v>
      </c>
      <c r="F1202" s="6">
        <v>5375.63</v>
      </c>
      <c r="J1202" s="47" t="e">
        <f t="shared" si="90"/>
        <v>#DIV/0!</v>
      </c>
      <c r="K1202" s="47" t="e">
        <f t="shared" si="91"/>
        <v>#DIV/0!</v>
      </c>
      <c r="L1202" s="8">
        <v>53.68</v>
      </c>
      <c r="O1202" s="17" t="e">
        <f t="shared" si="92"/>
        <v>#DIV/0!</v>
      </c>
      <c r="P1202" s="17" t="e">
        <f t="shared" si="93"/>
        <v>#DIV/0!</v>
      </c>
      <c r="R1202" s="9">
        <v>8.14</v>
      </c>
      <c r="U1202" s="9">
        <v>2319.6999999999998</v>
      </c>
      <c r="V1202" s="45">
        <f t="shared" si="94"/>
        <v>-1</v>
      </c>
      <c r="X1202" s="12">
        <v>0</v>
      </c>
      <c r="Y1202" s="12">
        <v>20210804</v>
      </c>
    </row>
    <row r="1203" spans="1:25" x14ac:dyDescent="0.45">
      <c r="A1203" s="3" t="s">
        <v>4206</v>
      </c>
      <c r="B1203" s="3" t="s">
        <v>4207</v>
      </c>
      <c r="C1203" s="6" t="s">
        <v>519</v>
      </c>
      <c r="D1203" s="6" t="s">
        <v>189</v>
      </c>
      <c r="E1203" s="6" t="s">
        <v>914</v>
      </c>
      <c r="F1203" s="6">
        <v>3504.16</v>
      </c>
      <c r="G1203" s="2">
        <v>0.96</v>
      </c>
      <c r="H1203" s="2">
        <v>4.7</v>
      </c>
      <c r="I1203" s="2">
        <v>3.69</v>
      </c>
      <c r="J1203" s="47">
        <f t="shared" si="90"/>
        <v>3.8958333333333335</v>
      </c>
      <c r="K1203" s="47">
        <f t="shared" si="91"/>
        <v>-0.21489361702127663</v>
      </c>
      <c r="L1203" s="8">
        <v>21.55</v>
      </c>
      <c r="M1203" s="8">
        <v>12.02</v>
      </c>
      <c r="N1203" s="8">
        <v>15.29</v>
      </c>
      <c r="O1203" s="17">
        <f t="shared" si="92"/>
        <v>3.0853475935828874E-2</v>
      </c>
      <c r="P1203" s="17">
        <f t="shared" si="93"/>
        <v>-0.71151485148514837</v>
      </c>
      <c r="R1203" s="9">
        <v>20.62</v>
      </c>
      <c r="S1203" s="9">
        <v>-1.59</v>
      </c>
      <c r="T1203" s="9">
        <v>1350</v>
      </c>
      <c r="U1203" s="9">
        <v>623.17999999999995</v>
      </c>
      <c r="V1203" s="45">
        <f t="shared" si="94"/>
        <v>1.1663082897397223</v>
      </c>
      <c r="W1203" s="12">
        <v>5</v>
      </c>
      <c r="X1203" s="12">
        <v>0.99</v>
      </c>
      <c r="Y1203" s="12">
        <v>20210804</v>
      </c>
    </row>
    <row r="1204" spans="1:25" x14ac:dyDescent="0.45">
      <c r="A1204" s="3" t="s">
        <v>4208</v>
      </c>
      <c r="B1204" s="3" t="s">
        <v>4209</v>
      </c>
      <c r="C1204" s="6" t="s">
        <v>520</v>
      </c>
      <c r="D1204" s="6" t="s">
        <v>234</v>
      </c>
      <c r="E1204" s="6" t="s">
        <v>288</v>
      </c>
      <c r="F1204" s="6">
        <v>8921.68</v>
      </c>
      <c r="G1204" s="2">
        <v>2.92</v>
      </c>
      <c r="H1204" s="2">
        <v>2.33</v>
      </c>
      <c r="I1204" s="2">
        <v>2.79</v>
      </c>
      <c r="J1204" s="47">
        <f t="shared" si="90"/>
        <v>-0.20205479452054789</v>
      </c>
      <c r="K1204" s="47">
        <f t="shared" si="91"/>
        <v>0.19742489270386265</v>
      </c>
      <c r="M1204" s="8">
        <v>13.43</v>
      </c>
      <c r="N1204" s="8">
        <v>11.21</v>
      </c>
      <c r="O1204" s="17">
        <f t="shared" si="92"/>
        <v>-0.66467118644067813</v>
      </c>
      <c r="P1204" s="17">
        <f t="shared" si="93"/>
        <v>0.56781086956521742</v>
      </c>
      <c r="T1204" s="9">
        <v>1216.72497</v>
      </c>
      <c r="U1204" s="9">
        <v>1705.31</v>
      </c>
      <c r="V1204" s="45">
        <f t="shared" si="94"/>
        <v>-0.28650804252599232</v>
      </c>
      <c r="X1204" s="12">
        <v>0</v>
      </c>
    </row>
    <row r="1205" spans="1:25" x14ac:dyDescent="0.45">
      <c r="A1205" s="3" t="s">
        <v>4776</v>
      </c>
      <c r="B1205" s="3" t="s">
        <v>4777</v>
      </c>
      <c r="C1205" s="6" t="s">
        <v>520</v>
      </c>
      <c r="D1205" s="6" t="s">
        <v>289</v>
      </c>
      <c r="E1205" s="6" t="s">
        <v>4173</v>
      </c>
      <c r="F1205" s="6">
        <v>8251.84</v>
      </c>
      <c r="G1205" s="2">
        <v>0.95</v>
      </c>
      <c r="J1205" s="47">
        <f t="shared" si="90"/>
        <v>-1</v>
      </c>
      <c r="K1205" s="47" t="e">
        <f t="shared" si="91"/>
        <v>#DIV/0!</v>
      </c>
      <c r="O1205" s="17">
        <f t="shared" si="92"/>
        <v>0</v>
      </c>
      <c r="P1205" s="17" t="e">
        <f t="shared" si="93"/>
        <v>#DIV/0!</v>
      </c>
      <c r="U1205" s="9">
        <v>15833.31</v>
      </c>
      <c r="V1205" s="45">
        <f t="shared" si="94"/>
        <v>-1</v>
      </c>
      <c r="X1205" s="12">
        <v>8.8699999999999992</v>
      </c>
    </row>
    <row r="1206" spans="1:25" x14ac:dyDescent="0.45">
      <c r="A1206" s="3" t="s">
        <v>2239</v>
      </c>
      <c r="B1206" s="3" t="s">
        <v>2240</v>
      </c>
      <c r="C1206" s="6" t="s">
        <v>518</v>
      </c>
      <c r="D1206" s="6" t="s">
        <v>225</v>
      </c>
      <c r="E1206" s="6" t="s">
        <v>206</v>
      </c>
      <c r="F1206" s="6">
        <v>43629.9</v>
      </c>
      <c r="G1206" s="2">
        <v>7.67</v>
      </c>
      <c r="H1206" s="2">
        <v>7.41</v>
      </c>
      <c r="I1206" s="2">
        <v>7.85</v>
      </c>
      <c r="J1206" s="47">
        <f t="shared" si="90"/>
        <v>-3.3898305084745735E-2</v>
      </c>
      <c r="K1206" s="47">
        <f t="shared" si="91"/>
        <v>5.9379217273954045E-2</v>
      </c>
      <c r="L1206" s="8">
        <v>17.45</v>
      </c>
      <c r="M1206" s="8">
        <v>17.45</v>
      </c>
      <c r="N1206" s="8">
        <v>16.47</v>
      </c>
      <c r="O1206" s="17">
        <f t="shared" si="92"/>
        <v>-5.1477500000000038</v>
      </c>
      <c r="P1206" s="17">
        <f t="shared" si="93"/>
        <v>2.7736977272727303</v>
      </c>
      <c r="Q1206" s="5">
        <v>3.49</v>
      </c>
      <c r="R1206" s="9">
        <v>376.18</v>
      </c>
      <c r="S1206" s="9">
        <v>0.88</v>
      </c>
      <c r="T1206" s="9">
        <v>19801.542959999999</v>
      </c>
      <c r="U1206" s="9">
        <v>19140</v>
      </c>
      <c r="V1206" s="45">
        <f t="shared" si="94"/>
        <v>3.4563373040752292E-2</v>
      </c>
      <c r="W1206" s="12">
        <v>-5.26</v>
      </c>
      <c r="X1206" s="12">
        <v>3.53</v>
      </c>
      <c r="Y1206" s="12">
        <v>20210722</v>
      </c>
    </row>
    <row r="1207" spans="1:25" x14ac:dyDescent="0.45">
      <c r="A1207" s="3" t="s">
        <v>4210</v>
      </c>
      <c r="B1207" s="3" t="s">
        <v>4211</v>
      </c>
      <c r="C1207" s="6" t="s">
        <v>518</v>
      </c>
      <c r="D1207" s="6" t="s">
        <v>289</v>
      </c>
      <c r="E1207" s="6" t="s">
        <v>277</v>
      </c>
      <c r="F1207" s="6">
        <v>42642.09</v>
      </c>
      <c r="G1207" s="2">
        <v>0.87</v>
      </c>
      <c r="H1207" s="2">
        <v>1.22</v>
      </c>
      <c r="I1207" s="2">
        <v>0.9</v>
      </c>
      <c r="J1207" s="47">
        <f t="shared" si="90"/>
        <v>0.4022988505747126</v>
      </c>
      <c r="K1207" s="47">
        <f t="shared" si="91"/>
        <v>-0.26229508196721307</v>
      </c>
      <c r="L1207" s="8">
        <v>15.06</v>
      </c>
      <c r="M1207" s="8">
        <v>15.38</v>
      </c>
      <c r="N1207" s="8">
        <v>20.86</v>
      </c>
      <c r="O1207" s="17">
        <f t="shared" si="92"/>
        <v>0.38230285714285722</v>
      </c>
      <c r="P1207" s="17">
        <f t="shared" si="93"/>
        <v>-0.79528750000000004</v>
      </c>
      <c r="Q1207" s="5">
        <v>5.13</v>
      </c>
      <c r="R1207" s="9">
        <v>8.85</v>
      </c>
      <c r="S1207" s="9">
        <v>-1.49</v>
      </c>
      <c r="T1207" s="9">
        <v>14182.059569999999</v>
      </c>
      <c r="U1207" s="9">
        <v>11700</v>
      </c>
      <c r="V1207" s="45">
        <f t="shared" si="94"/>
        <v>0.21214184358974353</v>
      </c>
      <c r="W1207" s="12">
        <v>160.87</v>
      </c>
      <c r="X1207" s="12">
        <v>5.74</v>
      </c>
      <c r="Y1207" s="12">
        <v>20210728</v>
      </c>
    </row>
    <row r="1208" spans="1:25" x14ac:dyDescent="0.45">
      <c r="A1208" s="3" t="s">
        <v>2241</v>
      </c>
      <c r="B1208" s="3" t="s">
        <v>2242</v>
      </c>
      <c r="C1208" s="6" t="s">
        <v>518</v>
      </c>
      <c r="D1208" s="6" t="s">
        <v>234</v>
      </c>
      <c r="E1208" s="6" t="s">
        <v>243</v>
      </c>
      <c r="F1208" s="6">
        <v>4608.76</v>
      </c>
      <c r="G1208" s="2">
        <v>6.5</v>
      </c>
      <c r="H1208" s="2">
        <v>5.83</v>
      </c>
      <c r="I1208" s="2">
        <v>6.53</v>
      </c>
      <c r="J1208" s="47">
        <f t="shared" si="90"/>
        <v>-0.10307692307692307</v>
      </c>
      <c r="K1208" s="47">
        <f t="shared" si="91"/>
        <v>0.1200686106346484</v>
      </c>
      <c r="L1208" s="8">
        <v>13.07</v>
      </c>
      <c r="M1208" s="8">
        <v>12.24</v>
      </c>
      <c r="N1208" s="8">
        <v>10.93</v>
      </c>
      <c r="O1208" s="17">
        <f t="shared" si="92"/>
        <v>-1.1874626865671642</v>
      </c>
      <c r="P1208" s="17">
        <f t="shared" si="93"/>
        <v>0.91031285714285692</v>
      </c>
      <c r="R1208" s="9">
        <v>8.33</v>
      </c>
      <c r="S1208" s="9">
        <v>22.46</v>
      </c>
      <c r="T1208" s="9">
        <v>5427.2001899999996</v>
      </c>
      <c r="U1208" s="9">
        <v>5205.7</v>
      </c>
      <c r="V1208" s="45">
        <f t="shared" si="94"/>
        <v>4.2549549532243457E-2</v>
      </c>
      <c r="W1208" s="12">
        <v>6.5</v>
      </c>
      <c r="X1208" s="12">
        <v>1.74</v>
      </c>
      <c r="Y1208" s="12">
        <v>20210802</v>
      </c>
    </row>
    <row r="1209" spans="1:25" x14ac:dyDescent="0.45">
      <c r="A1209" s="3" t="s">
        <v>2243</v>
      </c>
      <c r="B1209" s="3" t="s">
        <v>2244</v>
      </c>
      <c r="C1209" s="6" t="s">
        <v>518</v>
      </c>
      <c r="D1209" s="6" t="s">
        <v>272</v>
      </c>
      <c r="E1209" s="6" t="s">
        <v>907</v>
      </c>
      <c r="F1209" s="6">
        <v>3100.67</v>
      </c>
      <c r="G1209" s="2">
        <v>0.91</v>
      </c>
      <c r="H1209" s="2">
        <v>0.9</v>
      </c>
      <c r="I1209" s="2">
        <v>1.74</v>
      </c>
      <c r="J1209" s="47">
        <f t="shared" si="90"/>
        <v>-1.0989010989010999E-2</v>
      </c>
      <c r="K1209" s="47">
        <f t="shared" si="91"/>
        <v>0.93333333333333324</v>
      </c>
      <c r="L1209" s="8">
        <v>56.2</v>
      </c>
      <c r="M1209" s="8">
        <v>41.13</v>
      </c>
      <c r="N1209" s="8">
        <v>21.32</v>
      </c>
      <c r="O1209" s="17">
        <f t="shared" si="92"/>
        <v>-37.428299999999972</v>
      </c>
      <c r="P1209" s="17">
        <f t="shared" si="93"/>
        <v>0.22842857142857145</v>
      </c>
      <c r="Q1209" s="5">
        <v>8.23</v>
      </c>
      <c r="R1209" s="9">
        <v>4.3</v>
      </c>
      <c r="S1209" s="9">
        <v>-2.4300000000000002</v>
      </c>
      <c r="T1209" s="9">
        <v>1838.35205</v>
      </c>
      <c r="U1209" s="9">
        <v>1885.31</v>
      </c>
      <c r="V1209" s="45">
        <f t="shared" si="94"/>
        <v>-2.4907283152372811E-2</v>
      </c>
      <c r="W1209" s="12">
        <v>52.38</v>
      </c>
      <c r="X1209" s="12">
        <v>2.16</v>
      </c>
      <c r="Y1209" s="12">
        <v>20210802</v>
      </c>
    </row>
    <row r="1210" spans="1:25" x14ac:dyDescent="0.45">
      <c r="A1210" s="3" t="s">
        <v>2245</v>
      </c>
      <c r="B1210" s="3" t="s">
        <v>2246</v>
      </c>
      <c r="C1210" s="6" t="s">
        <v>520</v>
      </c>
      <c r="D1210" s="6" t="s">
        <v>272</v>
      </c>
      <c r="E1210" s="6" t="s">
        <v>1074</v>
      </c>
      <c r="F1210" s="6">
        <v>27639.74</v>
      </c>
      <c r="G1210" s="2">
        <v>1.06</v>
      </c>
      <c r="H1210" s="2">
        <v>1.76</v>
      </c>
      <c r="I1210" s="2">
        <v>2.3199999999999998</v>
      </c>
      <c r="J1210" s="47">
        <f t="shared" si="90"/>
        <v>0.660377358490566</v>
      </c>
      <c r="K1210" s="47">
        <f t="shared" si="91"/>
        <v>0.31818181818181807</v>
      </c>
      <c r="L1210" s="8">
        <v>33.82</v>
      </c>
      <c r="M1210" s="8">
        <v>16.14</v>
      </c>
      <c r="N1210" s="8">
        <v>12.25</v>
      </c>
      <c r="O1210" s="17">
        <f t="shared" si="92"/>
        <v>0.24440571428571431</v>
      </c>
      <c r="P1210" s="17">
        <f t="shared" si="93"/>
        <v>0.38500000000000018</v>
      </c>
      <c r="Q1210" s="5">
        <v>1.73</v>
      </c>
      <c r="R1210" s="9">
        <v>4.54</v>
      </c>
      <c r="S1210" s="9">
        <v>8.59</v>
      </c>
      <c r="T1210" s="9">
        <v>23985.710930000001</v>
      </c>
      <c r="U1210" s="9">
        <v>22491.99</v>
      </c>
      <c r="V1210" s="45">
        <f t="shared" si="94"/>
        <v>6.6411239290076127E-2</v>
      </c>
      <c r="W1210" s="12">
        <v>61.11</v>
      </c>
      <c r="X1210" s="12">
        <v>0.44</v>
      </c>
      <c r="Y1210" s="12">
        <v>20210614</v>
      </c>
    </row>
    <row r="1211" spans="1:25" x14ac:dyDescent="0.45">
      <c r="A1211" s="3" t="s">
        <v>2247</v>
      </c>
      <c r="B1211" s="3" t="s">
        <v>2248</v>
      </c>
      <c r="C1211" s="6" t="s">
        <v>518</v>
      </c>
      <c r="D1211" s="6" t="s">
        <v>303</v>
      </c>
      <c r="E1211" s="6" t="s">
        <v>102</v>
      </c>
      <c r="F1211" s="6">
        <v>18762.38</v>
      </c>
      <c r="G1211" s="2">
        <v>4.4000000000000004</v>
      </c>
      <c r="H1211" s="2">
        <v>5.84</v>
      </c>
      <c r="I1211" s="2">
        <v>6.57</v>
      </c>
      <c r="J1211" s="47">
        <f t="shared" si="90"/>
        <v>0.32727272727272716</v>
      </c>
      <c r="K1211" s="47">
        <f t="shared" si="91"/>
        <v>0.12500000000000008</v>
      </c>
      <c r="L1211" s="8">
        <v>24.42</v>
      </c>
      <c r="M1211" s="8">
        <v>19.68</v>
      </c>
      <c r="N1211" s="8">
        <v>17.510000000000002</v>
      </c>
      <c r="O1211" s="17">
        <f t="shared" si="92"/>
        <v>0.6013333333333335</v>
      </c>
      <c r="P1211" s="17">
        <f t="shared" si="93"/>
        <v>1.4007999999999992</v>
      </c>
      <c r="Q1211" s="5">
        <v>1.3</v>
      </c>
      <c r="R1211" s="9">
        <v>19.420000000000002</v>
      </c>
      <c r="S1211" s="9">
        <v>5.27</v>
      </c>
      <c r="T1211" s="9">
        <v>22678.275389999999</v>
      </c>
      <c r="U1211" s="9">
        <v>18950.150000000001</v>
      </c>
      <c r="V1211" s="45">
        <f t="shared" si="94"/>
        <v>0.19673329182090893</v>
      </c>
      <c r="W1211" s="12">
        <v>2.42</v>
      </c>
      <c r="X1211" s="12">
        <v>0</v>
      </c>
      <c r="Y1211" s="12">
        <v>20210625</v>
      </c>
    </row>
    <row r="1212" spans="1:25" x14ac:dyDescent="0.45">
      <c r="A1212" s="3" t="s">
        <v>4212</v>
      </c>
      <c r="B1212" s="3" t="s">
        <v>4213</v>
      </c>
      <c r="C1212" s="6" t="s">
        <v>519</v>
      </c>
      <c r="D1212" s="6" t="s">
        <v>272</v>
      </c>
      <c r="E1212" s="6" t="s">
        <v>297</v>
      </c>
      <c r="F1212" s="6">
        <v>3142.33</v>
      </c>
      <c r="H1212" s="2">
        <v>0.04</v>
      </c>
      <c r="I1212" s="2">
        <v>0.08</v>
      </c>
      <c r="J1212" s="47" t="e">
        <f t="shared" si="90"/>
        <v>#DIV/0!</v>
      </c>
      <c r="K1212" s="47">
        <f t="shared" si="91"/>
        <v>1</v>
      </c>
      <c r="M1212" s="8">
        <v>529.14</v>
      </c>
      <c r="N1212" s="8">
        <v>238.97</v>
      </c>
      <c r="O1212" s="17" t="e">
        <f t="shared" si="92"/>
        <v>#DIV/0!</v>
      </c>
      <c r="P1212" s="17">
        <f t="shared" si="93"/>
        <v>2.3896999999999999</v>
      </c>
      <c r="T1212" s="9">
        <v>230.62799999999999</v>
      </c>
      <c r="V1212" s="45" t="e">
        <f t="shared" si="94"/>
        <v>#DIV/0!</v>
      </c>
      <c r="W1212" s="12">
        <v>200</v>
      </c>
      <c r="X1212" s="12">
        <v>0</v>
      </c>
      <c r="Y1212" s="12">
        <v>20210818</v>
      </c>
    </row>
    <row r="1213" spans="1:25" x14ac:dyDescent="0.45">
      <c r="A1213" s="3" t="s">
        <v>2249</v>
      </c>
      <c r="B1213" s="3" t="s">
        <v>2250</v>
      </c>
      <c r="C1213" s="6" t="s">
        <v>520</v>
      </c>
      <c r="D1213" s="6" t="s">
        <v>225</v>
      </c>
      <c r="E1213" s="6" t="s">
        <v>186</v>
      </c>
      <c r="F1213" s="6">
        <v>18510.349999999999</v>
      </c>
      <c r="G1213" s="2">
        <v>0.88</v>
      </c>
      <c r="H1213" s="2">
        <v>1.1100000000000001</v>
      </c>
      <c r="I1213" s="2">
        <v>1.43</v>
      </c>
      <c r="J1213" s="47">
        <f t="shared" si="90"/>
        <v>0.26136363636363646</v>
      </c>
      <c r="K1213" s="47">
        <f t="shared" si="91"/>
        <v>0.28828828828828812</v>
      </c>
      <c r="L1213" s="8">
        <v>27.38</v>
      </c>
      <c r="M1213" s="8">
        <v>18.989999999999998</v>
      </c>
      <c r="N1213" s="8">
        <v>14.74</v>
      </c>
      <c r="O1213" s="17">
        <f t="shared" si="92"/>
        <v>0.72657391304347785</v>
      </c>
      <c r="P1213" s="17">
        <f t="shared" si="93"/>
        <v>0.51129375000000032</v>
      </c>
      <c r="Q1213" s="5">
        <v>0.89</v>
      </c>
      <c r="R1213" s="9">
        <v>6.31</v>
      </c>
      <c r="S1213" s="9">
        <v>-2.0699999999999998</v>
      </c>
      <c r="U1213" s="9">
        <v>17711.240000000002</v>
      </c>
      <c r="V1213" s="45">
        <f t="shared" si="94"/>
        <v>-1</v>
      </c>
      <c r="W1213" s="12">
        <v>5.56</v>
      </c>
      <c r="X1213" s="12">
        <v>2.13</v>
      </c>
      <c r="Y1213" s="12">
        <v>20210806</v>
      </c>
    </row>
    <row r="1214" spans="1:25" x14ac:dyDescent="0.45">
      <c r="A1214" s="3" t="s">
        <v>2251</v>
      </c>
      <c r="B1214" s="3" t="s">
        <v>2252</v>
      </c>
      <c r="C1214" s="6" t="s">
        <v>519</v>
      </c>
      <c r="D1214" s="6" t="s">
        <v>234</v>
      </c>
      <c r="E1214" s="6" t="s">
        <v>244</v>
      </c>
      <c r="F1214" s="6">
        <v>3692.61</v>
      </c>
      <c r="G1214" s="2">
        <v>2.79</v>
      </c>
      <c r="H1214" s="2">
        <v>4.29</v>
      </c>
      <c r="I1214" s="2">
        <v>5.08</v>
      </c>
      <c r="J1214" s="47">
        <f t="shared" si="90"/>
        <v>0.5376344086021505</v>
      </c>
      <c r="K1214" s="47">
        <f t="shared" si="91"/>
        <v>0.18414918414918416</v>
      </c>
      <c r="L1214" s="8">
        <v>46.12</v>
      </c>
      <c r="M1214" s="8">
        <v>37.700000000000003</v>
      </c>
      <c r="N1214" s="8">
        <v>31.84</v>
      </c>
      <c r="O1214" s="17">
        <f t="shared" si="92"/>
        <v>0.70122000000000007</v>
      </c>
      <c r="P1214" s="17">
        <f t="shared" si="93"/>
        <v>1.729032911392405</v>
      </c>
      <c r="R1214" s="9">
        <v>14.97</v>
      </c>
      <c r="S1214" s="9">
        <v>33.76</v>
      </c>
      <c r="T1214" s="9">
        <v>575.39500999999996</v>
      </c>
      <c r="U1214" s="9">
        <v>459.89</v>
      </c>
      <c r="V1214" s="45">
        <f t="shared" si="94"/>
        <v>0.25115790732566479</v>
      </c>
      <c r="W1214" s="12">
        <v>27.59</v>
      </c>
      <c r="X1214" s="12">
        <v>0.27</v>
      </c>
      <c r="Y1214" s="12">
        <v>20210729</v>
      </c>
    </row>
    <row r="1215" spans="1:25" x14ac:dyDescent="0.45">
      <c r="A1215" s="3" t="s">
        <v>2253</v>
      </c>
      <c r="B1215" s="3" t="s">
        <v>2254</v>
      </c>
      <c r="C1215" s="6" t="s">
        <v>518</v>
      </c>
      <c r="D1215" s="6" t="s">
        <v>309</v>
      </c>
      <c r="E1215" s="6" t="s">
        <v>2160</v>
      </c>
      <c r="F1215" s="6">
        <v>7860.1</v>
      </c>
      <c r="G1215" s="2">
        <v>2.72</v>
      </c>
      <c r="H1215" s="2">
        <v>3.57</v>
      </c>
      <c r="I1215" s="2">
        <v>3.59</v>
      </c>
      <c r="J1215" s="47">
        <f t="shared" si="90"/>
        <v>0.31249999999999983</v>
      </c>
      <c r="K1215" s="47">
        <f t="shared" si="91"/>
        <v>5.6022408963585487E-3</v>
      </c>
      <c r="L1215" s="8">
        <v>15.17</v>
      </c>
      <c r="M1215" s="8">
        <v>13.29</v>
      </c>
      <c r="N1215" s="8">
        <v>13.22</v>
      </c>
      <c r="O1215" s="17">
        <f t="shared" si="92"/>
        <v>0.42528000000000021</v>
      </c>
      <c r="P1215" s="17">
        <f t="shared" si="93"/>
        <v>23.597699999999978</v>
      </c>
      <c r="Q1215" s="5">
        <v>0.89</v>
      </c>
      <c r="R1215" s="9">
        <v>9.02</v>
      </c>
      <c r="S1215" s="9">
        <v>5.23</v>
      </c>
      <c r="T1215" s="9">
        <v>5137.8120099999996</v>
      </c>
      <c r="U1215" s="9">
        <v>4673.8599999999997</v>
      </c>
      <c r="V1215" s="45">
        <f t="shared" si="94"/>
        <v>9.9265277522219322E-2</v>
      </c>
      <c r="W1215" s="12">
        <v>18.57</v>
      </c>
      <c r="X1215" s="12">
        <v>0.84</v>
      </c>
      <c r="Y1215" s="12">
        <v>20210728</v>
      </c>
    </row>
    <row r="1216" spans="1:25" x14ac:dyDescent="0.45">
      <c r="A1216" s="3" t="s">
        <v>4778</v>
      </c>
      <c r="B1216" s="3" t="s">
        <v>4779</v>
      </c>
      <c r="C1216" s="6" t="s">
        <v>520</v>
      </c>
      <c r="D1216" s="6" t="s">
        <v>272</v>
      </c>
      <c r="E1216" s="6" t="s">
        <v>252</v>
      </c>
      <c r="F1216" s="6">
        <v>42009.48</v>
      </c>
      <c r="J1216" s="47" t="e">
        <f t="shared" si="90"/>
        <v>#DIV/0!</v>
      </c>
      <c r="K1216" s="47" t="e">
        <f t="shared" si="91"/>
        <v>#DIV/0!</v>
      </c>
      <c r="L1216" s="8">
        <v>36.86</v>
      </c>
      <c r="O1216" s="17" t="e">
        <f t="shared" si="92"/>
        <v>#DIV/0!</v>
      </c>
      <c r="P1216" s="17" t="e">
        <f t="shared" si="93"/>
        <v>#DIV/0!</v>
      </c>
      <c r="R1216" s="9">
        <v>35.64</v>
      </c>
      <c r="T1216" s="9">
        <v>12397.66015</v>
      </c>
      <c r="U1216" s="9">
        <v>11351.78</v>
      </c>
      <c r="V1216" s="45">
        <f t="shared" si="94"/>
        <v>9.2133581693795943E-2</v>
      </c>
      <c r="X1216" s="12">
        <v>1.9</v>
      </c>
      <c r="Y1216" s="12">
        <v>20210716</v>
      </c>
    </row>
    <row r="1217" spans="1:25" x14ac:dyDescent="0.45">
      <c r="A1217" s="3" t="s">
        <v>2255</v>
      </c>
      <c r="B1217" s="3" t="s">
        <v>2256</v>
      </c>
      <c r="C1217" s="6" t="s">
        <v>518</v>
      </c>
      <c r="D1217" s="6" t="s">
        <v>225</v>
      </c>
      <c r="E1217" s="6" t="s">
        <v>1091</v>
      </c>
      <c r="F1217" s="6">
        <v>239212.05</v>
      </c>
      <c r="G1217" s="2">
        <v>1.89</v>
      </c>
      <c r="H1217" s="2">
        <v>2.19</v>
      </c>
      <c r="I1217" s="2">
        <v>2.33</v>
      </c>
      <c r="J1217" s="47">
        <f t="shared" si="90"/>
        <v>0.15873015873015875</v>
      </c>
      <c r="K1217" s="47">
        <f t="shared" si="91"/>
        <v>6.3926940639269458E-2</v>
      </c>
      <c r="L1217" s="8">
        <v>27.88</v>
      </c>
      <c r="M1217" s="8">
        <v>25.35</v>
      </c>
      <c r="N1217" s="8">
        <v>23.78</v>
      </c>
      <c r="O1217" s="17">
        <f t="shared" si="92"/>
        <v>1.5970499999999999</v>
      </c>
      <c r="P1217" s="17">
        <f t="shared" si="93"/>
        <v>3.7198714285714254</v>
      </c>
      <c r="Q1217" s="5">
        <v>3.34</v>
      </c>
      <c r="R1217" s="9">
        <v>41.48</v>
      </c>
      <c r="S1217" s="9">
        <v>-4.63</v>
      </c>
      <c r="T1217" s="9">
        <v>37142.910150000003</v>
      </c>
      <c r="U1217" s="9">
        <v>33014</v>
      </c>
      <c r="V1217" s="45">
        <f t="shared" si="94"/>
        <v>0.12506543133216222</v>
      </c>
      <c r="W1217" s="12">
        <v>10</v>
      </c>
      <c r="X1217" s="12">
        <v>3.03</v>
      </c>
      <c r="Y1217" s="12">
        <v>20210720</v>
      </c>
    </row>
    <row r="1218" spans="1:25" x14ac:dyDescent="0.45">
      <c r="A1218" s="3" t="s">
        <v>2257</v>
      </c>
      <c r="B1218" s="3" t="s">
        <v>2258</v>
      </c>
      <c r="C1218" s="6" t="s">
        <v>519</v>
      </c>
      <c r="D1218" s="6" t="s">
        <v>279</v>
      </c>
      <c r="E1218" s="6" t="s">
        <v>256</v>
      </c>
      <c r="F1218" s="6">
        <v>4028.92</v>
      </c>
      <c r="G1218" s="2">
        <v>-2.78</v>
      </c>
      <c r="H1218" s="2">
        <v>-3.84</v>
      </c>
      <c r="I1218" s="2">
        <v>-5.58</v>
      </c>
      <c r="J1218" s="47">
        <f t="shared" si="90"/>
        <v>-0.38129496402877705</v>
      </c>
      <c r="K1218" s="47">
        <f t="shared" si="91"/>
        <v>-0.45312500000000006</v>
      </c>
      <c r="O1218" s="17">
        <f t="shared" si="92"/>
        <v>0</v>
      </c>
      <c r="P1218" s="17">
        <f t="shared" si="93"/>
        <v>0</v>
      </c>
      <c r="R1218" s="9">
        <v>-28</v>
      </c>
      <c r="T1218" s="9">
        <v>125</v>
      </c>
      <c r="V1218" s="45" t="e">
        <f t="shared" si="94"/>
        <v>#DIV/0!</v>
      </c>
      <c r="W1218" s="12">
        <v>-4.26</v>
      </c>
      <c r="X1218" s="12">
        <v>0</v>
      </c>
      <c r="Y1218" s="12">
        <v>20210809</v>
      </c>
    </row>
    <row r="1219" spans="1:25" x14ac:dyDescent="0.45">
      <c r="A1219" s="3" t="s">
        <v>4780</v>
      </c>
      <c r="B1219" s="3" t="s">
        <v>4781</v>
      </c>
      <c r="C1219" s="6" t="s">
        <v>520</v>
      </c>
      <c r="D1219" s="6" t="s">
        <v>309</v>
      </c>
      <c r="E1219" s="6" t="s">
        <v>315</v>
      </c>
      <c r="F1219" s="6">
        <v>7210.02</v>
      </c>
      <c r="J1219" s="47" t="e">
        <f t="shared" ref="J1219:J1282" si="95">(H1219-G1219)/ABS(G1219)</f>
        <v>#DIV/0!</v>
      </c>
      <c r="K1219" s="47" t="e">
        <f t="shared" ref="K1219:K1282" si="96">(I1219-H1219)/ABS(H1219)</f>
        <v>#DIV/0!</v>
      </c>
      <c r="L1219" s="8">
        <v>22.01</v>
      </c>
      <c r="O1219" s="17" t="e">
        <f t="shared" ref="O1219:O1282" si="97">M1219/(J1219*100)</f>
        <v>#DIV/0!</v>
      </c>
      <c r="P1219" s="17" t="e">
        <f t="shared" ref="P1219:P1282" si="98">N1219/(K1219*100)</f>
        <v>#DIV/0!</v>
      </c>
      <c r="U1219" s="9">
        <v>4769.42</v>
      </c>
      <c r="V1219" s="45">
        <f t="shared" ref="V1219:V1282" si="99">(T1219-U1219)/U1219</f>
        <v>-1</v>
      </c>
      <c r="X1219" s="12">
        <v>2.66</v>
      </c>
      <c r="Y1219" s="12">
        <v>20210616</v>
      </c>
    </row>
    <row r="1220" spans="1:25" x14ac:dyDescent="0.45">
      <c r="A1220" s="3" t="s">
        <v>2259</v>
      </c>
      <c r="B1220" s="3" t="s">
        <v>2260</v>
      </c>
      <c r="C1220" s="6" t="s">
        <v>518</v>
      </c>
      <c r="D1220" s="6" t="s">
        <v>303</v>
      </c>
      <c r="E1220" s="6" t="s">
        <v>295</v>
      </c>
      <c r="F1220" s="6">
        <v>28981.82</v>
      </c>
      <c r="G1220" s="2">
        <v>3.36</v>
      </c>
      <c r="H1220" s="2">
        <v>2.83</v>
      </c>
      <c r="I1220" s="2">
        <v>2.95</v>
      </c>
      <c r="J1220" s="47">
        <f t="shared" si="95"/>
        <v>-0.15773809523809518</v>
      </c>
      <c r="K1220" s="47">
        <f t="shared" si="96"/>
        <v>4.2402826855123713E-2</v>
      </c>
      <c r="L1220" s="8">
        <v>11.03</v>
      </c>
      <c r="M1220" s="8">
        <v>13.54</v>
      </c>
      <c r="N1220" s="8">
        <v>12.98</v>
      </c>
      <c r="O1220" s="17">
        <f t="shared" si="97"/>
        <v>-0.85838490566037762</v>
      </c>
      <c r="P1220" s="17">
        <f t="shared" si="98"/>
        <v>3.0611166666666643</v>
      </c>
      <c r="Q1220" s="5">
        <v>2.13</v>
      </c>
      <c r="R1220" s="9">
        <v>28.31</v>
      </c>
      <c r="S1220" s="9">
        <v>2.94</v>
      </c>
      <c r="T1220" s="9">
        <v>129792.35156</v>
      </c>
      <c r="U1220" s="9">
        <v>132498</v>
      </c>
      <c r="V1220" s="45">
        <f t="shared" si="99"/>
        <v>-2.0420296457305049E-2</v>
      </c>
      <c r="W1220" s="12">
        <v>17.39</v>
      </c>
      <c r="X1220" s="12">
        <v>1.88</v>
      </c>
      <c r="Y1220" s="12">
        <v>20210617</v>
      </c>
    </row>
    <row r="1221" spans="1:25" x14ac:dyDescent="0.45">
      <c r="A1221" s="3" t="s">
        <v>2261</v>
      </c>
      <c r="B1221" s="3" t="s">
        <v>2262</v>
      </c>
      <c r="C1221" s="6" t="s">
        <v>518</v>
      </c>
      <c r="D1221" s="6" t="s">
        <v>234</v>
      </c>
      <c r="E1221" s="6" t="s">
        <v>286</v>
      </c>
      <c r="F1221" s="6">
        <v>8455.4599999999991</v>
      </c>
      <c r="G1221" s="2">
        <v>3.74</v>
      </c>
      <c r="H1221" s="2">
        <v>3.72</v>
      </c>
      <c r="I1221" s="2">
        <v>4.13</v>
      </c>
      <c r="J1221" s="47">
        <f t="shared" si="95"/>
        <v>-5.3475935828877046E-3</v>
      </c>
      <c r="K1221" s="47">
        <f t="shared" si="96"/>
        <v>0.11021505376344078</v>
      </c>
      <c r="L1221" s="8">
        <v>19.62</v>
      </c>
      <c r="M1221" s="8">
        <v>19.54</v>
      </c>
      <c r="N1221" s="8">
        <v>17.59</v>
      </c>
      <c r="O1221" s="17">
        <f t="shared" si="97"/>
        <v>-36.539799999999971</v>
      </c>
      <c r="P1221" s="17">
        <f t="shared" si="98"/>
        <v>1.5959707317073184</v>
      </c>
      <c r="Q1221" s="5">
        <v>3.89</v>
      </c>
      <c r="R1221" s="9">
        <v>12.01</v>
      </c>
      <c r="S1221" s="9">
        <v>8.7100000000000009</v>
      </c>
      <c r="T1221" s="9">
        <v>924.63702000000001</v>
      </c>
      <c r="U1221" s="9">
        <v>898.4</v>
      </c>
      <c r="V1221" s="45">
        <f t="shared" si="99"/>
        <v>2.9204162956366908E-2</v>
      </c>
      <c r="W1221" s="12">
        <v>-1.01</v>
      </c>
      <c r="X1221" s="12">
        <v>2.75</v>
      </c>
      <c r="Y1221" s="12">
        <v>20210804</v>
      </c>
    </row>
    <row r="1222" spans="1:25" x14ac:dyDescent="0.45">
      <c r="A1222" s="3" t="s">
        <v>4214</v>
      </c>
      <c r="B1222" s="3" t="s">
        <v>4215</v>
      </c>
      <c r="C1222" s="6" t="s">
        <v>520</v>
      </c>
      <c r="D1222" s="6" t="s">
        <v>234</v>
      </c>
      <c r="E1222" s="6" t="s">
        <v>286</v>
      </c>
      <c r="F1222" s="6">
        <v>3318.46</v>
      </c>
      <c r="H1222" s="2">
        <v>1.67</v>
      </c>
      <c r="I1222" s="2">
        <v>4.4800000000000004</v>
      </c>
      <c r="J1222" s="47" t="e">
        <f t="shared" si="95"/>
        <v>#DIV/0!</v>
      </c>
      <c r="K1222" s="47">
        <f t="shared" si="96"/>
        <v>1.6826347305389224</v>
      </c>
      <c r="M1222" s="8">
        <v>0.56000000000000005</v>
      </c>
      <c r="N1222" s="8">
        <v>0.21</v>
      </c>
      <c r="O1222" s="17" t="e">
        <f t="shared" si="97"/>
        <v>#DIV/0!</v>
      </c>
      <c r="P1222" s="17">
        <f t="shared" si="98"/>
        <v>1.2480427046263343E-3</v>
      </c>
      <c r="T1222" s="9">
        <v>155.39999</v>
      </c>
      <c r="V1222" s="45" t="e">
        <f t="shared" si="99"/>
        <v>#DIV/0!</v>
      </c>
      <c r="X1222" s="12">
        <v>0</v>
      </c>
    </row>
    <row r="1223" spans="1:25" x14ac:dyDescent="0.45">
      <c r="A1223" s="3" t="s">
        <v>2263</v>
      </c>
      <c r="B1223" s="3" t="s">
        <v>2264</v>
      </c>
      <c r="C1223" s="6" t="s">
        <v>519</v>
      </c>
      <c r="D1223" s="6" t="s">
        <v>272</v>
      </c>
      <c r="E1223" s="6" t="s">
        <v>913</v>
      </c>
      <c r="F1223" s="6">
        <v>5356.75</v>
      </c>
      <c r="G1223" s="2">
        <v>0.13</v>
      </c>
      <c r="H1223" s="2">
        <v>0.93</v>
      </c>
      <c r="I1223" s="2">
        <v>1.29</v>
      </c>
      <c r="J1223" s="47">
        <f t="shared" si="95"/>
        <v>6.1538461538461542</v>
      </c>
      <c r="K1223" s="47">
        <f t="shared" si="96"/>
        <v>0.38709677419354838</v>
      </c>
      <c r="L1223" s="8">
        <v>211.78</v>
      </c>
      <c r="M1223" s="8">
        <v>125.25</v>
      </c>
      <c r="N1223" s="8">
        <v>90.29</v>
      </c>
      <c r="O1223" s="17">
        <f t="shared" si="97"/>
        <v>0.20353124999999997</v>
      </c>
      <c r="P1223" s="17">
        <f t="shared" si="98"/>
        <v>2.3324916666666669</v>
      </c>
      <c r="R1223" s="9">
        <v>3.37</v>
      </c>
      <c r="S1223" s="9">
        <v>16.52</v>
      </c>
      <c r="T1223" s="9">
        <v>308.65499</v>
      </c>
      <c r="U1223" s="9">
        <v>193.33</v>
      </c>
      <c r="V1223" s="45">
        <f t="shared" si="99"/>
        <v>0.5965188537733408</v>
      </c>
      <c r="W1223" s="12">
        <v>14.29</v>
      </c>
      <c r="X1223" s="12">
        <v>0</v>
      </c>
      <c r="Y1223" s="12">
        <v>20210810</v>
      </c>
    </row>
    <row r="1224" spans="1:25" x14ac:dyDescent="0.45">
      <c r="A1224" s="3" t="s">
        <v>3837</v>
      </c>
      <c r="B1224" s="3" t="s">
        <v>3838</v>
      </c>
      <c r="C1224" s="6" t="s">
        <v>519</v>
      </c>
      <c r="D1224" s="6" t="s">
        <v>279</v>
      </c>
      <c r="E1224" s="6" t="s">
        <v>256</v>
      </c>
      <c r="F1224" s="6">
        <v>3517.27</v>
      </c>
      <c r="G1224" s="2">
        <v>-2.61</v>
      </c>
      <c r="H1224" s="2">
        <v>-5.94</v>
      </c>
      <c r="I1224" s="2">
        <v>-5.96</v>
      </c>
      <c r="J1224" s="47">
        <f t="shared" si="95"/>
        <v>-1.2758620689655176</v>
      </c>
      <c r="K1224" s="47">
        <f t="shared" si="96"/>
        <v>-3.3670033670032949E-3</v>
      </c>
      <c r="O1224" s="17">
        <f t="shared" si="97"/>
        <v>0</v>
      </c>
      <c r="P1224" s="17">
        <f t="shared" si="98"/>
        <v>0</v>
      </c>
      <c r="R1224" s="9">
        <v>-21.88</v>
      </c>
      <c r="V1224" s="45" t="e">
        <f t="shared" si="99"/>
        <v>#DIV/0!</v>
      </c>
      <c r="W1224" s="12">
        <v>-3.77</v>
      </c>
      <c r="X1224" s="12">
        <v>0</v>
      </c>
      <c r="Y1224" s="12">
        <v>20210804</v>
      </c>
    </row>
    <row r="1225" spans="1:25" x14ac:dyDescent="0.45">
      <c r="A1225" s="3" t="s">
        <v>2265</v>
      </c>
      <c r="B1225" s="3" t="s">
        <v>2266</v>
      </c>
      <c r="C1225" s="6" t="s">
        <v>520</v>
      </c>
      <c r="D1225" s="6" t="s">
        <v>225</v>
      </c>
      <c r="E1225" s="6" t="s">
        <v>226</v>
      </c>
      <c r="F1225" s="6">
        <v>23589.51</v>
      </c>
      <c r="G1225" s="2">
        <v>4.13</v>
      </c>
      <c r="H1225" s="2">
        <v>4.6900000000000004</v>
      </c>
      <c r="I1225" s="2">
        <v>5.19</v>
      </c>
      <c r="J1225" s="47">
        <f t="shared" si="95"/>
        <v>0.13559322033898316</v>
      </c>
      <c r="K1225" s="47">
        <f t="shared" si="96"/>
        <v>0.10660980810234541</v>
      </c>
      <c r="M1225" s="8">
        <v>28.45</v>
      </c>
      <c r="N1225" s="8">
        <v>25.71</v>
      </c>
      <c r="O1225" s="17">
        <f t="shared" si="97"/>
        <v>2.0981874999999981</v>
      </c>
      <c r="P1225" s="17">
        <f t="shared" si="98"/>
        <v>2.4115980000000001</v>
      </c>
      <c r="T1225" s="9">
        <v>8900.7597600000008</v>
      </c>
      <c r="U1225" s="9">
        <v>7942.19</v>
      </c>
      <c r="V1225" s="45">
        <f t="shared" si="99"/>
        <v>0.12069338054113554</v>
      </c>
      <c r="X1225" s="12">
        <v>0.8</v>
      </c>
    </row>
    <row r="1226" spans="1:25" x14ac:dyDescent="0.45">
      <c r="A1226" s="3" t="s">
        <v>2267</v>
      </c>
      <c r="B1226" s="3" t="s">
        <v>2268</v>
      </c>
      <c r="C1226" s="6" t="s">
        <v>518</v>
      </c>
      <c r="D1226" s="6" t="s">
        <v>303</v>
      </c>
      <c r="E1226" s="6" t="s">
        <v>2269</v>
      </c>
      <c r="F1226" s="6">
        <v>8505.33</v>
      </c>
      <c r="G1226" s="2">
        <v>-2.41</v>
      </c>
      <c r="H1226" s="2">
        <v>3.77</v>
      </c>
      <c r="I1226" s="2">
        <v>4.55</v>
      </c>
      <c r="J1226" s="47">
        <f t="shared" si="95"/>
        <v>2.5643153526970952</v>
      </c>
      <c r="K1226" s="47">
        <f t="shared" si="96"/>
        <v>0.20689655172413787</v>
      </c>
      <c r="L1226" s="8">
        <v>17.97</v>
      </c>
      <c r="M1226" s="8">
        <v>14.46</v>
      </c>
      <c r="N1226" s="8">
        <v>11.97</v>
      </c>
      <c r="O1226" s="17">
        <f t="shared" si="97"/>
        <v>5.6389320388349526E-2</v>
      </c>
      <c r="P1226" s="17">
        <f t="shared" si="98"/>
        <v>0.57855000000000023</v>
      </c>
      <c r="Q1226" s="5">
        <v>1.81</v>
      </c>
      <c r="R1226" s="9">
        <v>9.49</v>
      </c>
      <c r="S1226" s="9">
        <v>-1.82</v>
      </c>
      <c r="T1226" s="9">
        <v>18699.554680000001</v>
      </c>
      <c r="U1226" s="9">
        <v>15955</v>
      </c>
      <c r="V1226" s="45">
        <f t="shared" si="99"/>
        <v>0.17201846944531501</v>
      </c>
      <c r="W1226" s="12">
        <v>113.46</v>
      </c>
      <c r="X1226" s="12">
        <v>1.84</v>
      </c>
      <c r="Y1226" s="12">
        <v>20210817</v>
      </c>
    </row>
    <row r="1227" spans="1:25" x14ac:dyDescent="0.45">
      <c r="A1227" s="3" t="s">
        <v>2270</v>
      </c>
      <c r="B1227" s="3" t="s">
        <v>2271</v>
      </c>
      <c r="C1227" s="6" t="s">
        <v>518</v>
      </c>
      <c r="D1227" s="6" t="s">
        <v>309</v>
      </c>
      <c r="E1227" s="6" t="s">
        <v>311</v>
      </c>
      <c r="F1227" s="6">
        <v>26922.76</v>
      </c>
      <c r="G1227" s="2">
        <v>7</v>
      </c>
      <c r="H1227" s="2">
        <v>9.02</v>
      </c>
      <c r="I1227" s="2">
        <v>10.58</v>
      </c>
      <c r="J1227" s="47">
        <f t="shared" si="95"/>
        <v>0.28857142857142853</v>
      </c>
      <c r="K1227" s="47">
        <f t="shared" si="96"/>
        <v>0.17294900221729495</v>
      </c>
      <c r="L1227" s="8">
        <v>42.85</v>
      </c>
      <c r="M1227" s="8">
        <v>32.83</v>
      </c>
      <c r="N1227" s="8">
        <v>27.98</v>
      </c>
      <c r="O1227" s="17">
        <f t="shared" si="97"/>
        <v>1.1376732673267327</v>
      </c>
      <c r="P1227" s="17">
        <f t="shared" si="98"/>
        <v>1.6178179487179483</v>
      </c>
      <c r="R1227" s="9">
        <v>13.91</v>
      </c>
      <c r="S1227" s="9">
        <v>3.66</v>
      </c>
      <c r="T1227" s="9">
        <v>3008.4951099999998</v>
      </c>
      <c r="U1227" s="9">
        <v>2632.6</v>
      </c>
      <c r="V1227" s="45">
        <f t="shared" si="99"/>
        <v>0.14278474132036767</v>
      </c>
      <c r="W1227" s="12">
        <v>-4.5</v>
      </c>
      <c r="X1227" s="12">
        <v>0.73</v>
      </c>
      <c r="Y1227" s="12">
        <v>20210716</v>
      </c>
    </row>
    <row r="1228" spans="1:25" x14ac:dyDescent="0.45">
      <c r="A1228" s="3" t="s">
        <v>3839</v>
      </c>
      <c r="B1228" s="3" t="s">
        <v>3840</v>
      </c>
      <c r="C1228" s="6" t="s">
        <v>518</v>
      </c>
      <c r="D1228" s="6" t="s">
        <v>189</v>
      </c>
      <c r="E1228" s="6" t="s">
        <v>378</v>
      </c>
      <c r="F1228" s="6">
        <v>7313.09</v>
      </c>
      <c r="G1228" s="2">
        <v>1.26</v>
      </c>
      <c r="H1228" s="2">
        <v>1.42</v>
      </c>
      <c r="I1228" s="2">
        <v>1.5</v>
      </c>
      <c r="J1228" s="47">
        <f t="shared" si="95"/>
        <v>0.12698412698412692</v>
      </c>
      <c r="K1228" s="47">
        <f t="shared" si="96"/>
        <v>5.6338028169014134E-2</v>
      </c>
      <c r="L1228" s="8">
        <v>11.04</v>
      </c>
      <c r="M1228" s="8">
        <v>10.5</v>
      </c>
      <c r="N1228" s="8">
        <v>9.94</v>
      </c>
      <c r="O1228" s="17">
        <f t="shared" si="97"/>
        <v>0.82687500000000036</v>
      </c>
      <c r="P1228" s="17">
        <f t="shared" si="98"/>
        <v>1.7643499999999983</v>
      </c>
      <c r="Q1228" s="5">
        <v>1.07</v>
      </c>
      <c r="R1228" s="9">
        <v>5.0999999999999996</v>
      </c>
      <c r="U1228" s="9">
        <v>20281.330000000002</v>
      </c>
      <c r="V1228" s="45">
        <f t="shared" si="99"/>
        <v>-1</v>
      </c>
      <c r="W1228" s="12">
        <v>-38.1</v>
      </c>
      <c r="X1228" s="12">
        <v>3.42</v>
      </c>
      <c r="Y1228" s="12">
        <v>20210907</v>
      </c>
    </row>
    <row r="1229" spans="1:25" x14ac:dyDescent="0.45">
      <c r="A1229" s="3" t="s">
        <v>4216</v>
      </c>
      <c r="B1229" s="3" t="s">
        <v>4217</v>
      </c>
      <c r="C1229" s="6" t="s">
        <v>518</v>
      </c>
      <c r="D1229" s="6" t="s">
        <v>216</v>
      </c>
      <c r="E1229" s="6" t="s">
        <v>1256</v>
      </c>
      <c r="F1229" s="6">
        <v>3606</v>
      </c>
      <c r="G1229" s="2">
        <v>2.36</v>
      </c>
      <c r="H1229" s="2">
        <v>3.85</v>
      </c>
      <c r="I1229" s="2">
        <v>4.4400000000000004</v>
      </c>
      <c r="J1229" s="47">
        <f t="shared" si="95"/>
        <v>0.63135593220338992</v>
      </c>
      <c r="K1229" s="47">
        <f t="shared" si="96"/>
        <v>0.15324675324675333</v>
      </c>
      <c r="L1229" s="8">
        <v>16.600000000000001</v>
      </c>
      <c r="M1229" s="8">
        <v>16.27</v>
      </c>
      <c r="N1229" s="8">
        <v>14.09</v>
      </c>
      <c r="O1229" s="17">
        <f t="shared" si="97"/>
        <v>0.25769932885906038</v>
      </c>
      <c r="P1229" s="17">
        <f t="shared" si="98"/>
        <v>0.91943220338983001</v>
      </c>
      <c r="Q1229" s="5">
        <v>2.0299999999999998</v>
      </c>
      <c r="R1229" s="9">
        <v>440.68</v>
      </c>
      <c r="T1229" s="9">
        <v>2391.0500400000001</v>
      </c>
      <c r="U1229" s="9">
        <v>2097.84</v>
      </c>
      <c r="V1229" s="45">
        <f t="shared" si="99"/>
        <v>0.13976758952064977</v>
      </c>
      <c r="W1229" s="12">
        <v>37.5</v>
      </c>
      <c r="X1229" s="12">
        <v>2.56</v>
      </c>
      <c r="Y1229" s="12">
        <v>20210805</v>
      </c>
    </row>
    <row r="1230" spans="1:25" x14ac:dyDescent="0.45">
      <c r="A1230" s="3" t="s">
        <v>2272</v>
      </c>
      <c r="B1230" s="3" t="s">
        <v>2273</v>
      </c>
      <c r="C1230" s="6" t="s">
        <v>519</v>
      </c>
      <c r="D1230" s="6" t="s">
        <v>10</v>
      </c>
      <c r="E1230" s="6" t="s">
        <v>29</v>
      </c>
      <c r="F1230" s="6">
        <v>3280.43</v>
      </c>
      <c r="G1230" s="2">
        <v>0.42</v>
      </c>
      <c r="H1230" s="2">
        <v>0.35</v>
      </c>
      <c r="I1230" s="2">
        <v>0.51</v>
      </c>
      <c r="J1230" s="47">
        <f t="shared" si="95"/>
        <v>-0.16666666666666669</v>
      </c>
      <c r="K1230" s="47">
        <f t="shared" si="96"/>
        <v>0.45714285714285724</v>
      </c>
      <c r="L1230" s="8">
        <v>73.61</v>
      </c>
      <c r="M1230" s="8">
        <v>76.150000000000006</v>
      </c>
      <c r="N1230" s="8">
        <v>51.56</v>
      </c>
      <c r="O1230" s="17">
        <f t="shared" si="97"/>
        <v>-4.569</v>
      </c>
      <c r="P1230" s="17">
        <f t="shared" si="98"/>
        <v>1.1278749999999997</v>
      </c>
      <c r="R1230" s="9">
        <v>2.42</v>
      </c>
      <c r="S1230" s="9">
        <v>1.72</v>
      </c>
      <c r="T1230" s="9">
        <v>833.375</v>
      </c>
      <c r="U1230" s="9">
        <v>747.7</v>
      </c>
      <c r="V1230" s="45">
        <f t="shared" si="99"/>
        <v>0.11458472649458332</v>
      </c>
      <c r="W1230" s="12">
        <v>20</v>
      </c>
      <c r="X1230" s="12">
        <v>0</v>
      </c>
      <c r="Y1230" s="12">
        <v>20210803</v>
      </c>
    </row>
    <row r="1231" spans="1:25" x14ac:dyDescent="0.45">
      <c r="A1231" s="3" t="s">
        <v>2274</v>
      </c>
      <c r="B1231" s="3" t="s">
        <v>2275</v>
      </c>
      <c r="C1231" s="6" t="s">
        <v>520</v>
      </c>
      <c r="D1231" s="6" t="s">
        <v>272</v>
      </c>
      <c r="E1231" s="6" t="s">
        <v>253</v>
      </c>
      <c r="F1231" s="6">
        <v>26091.360000000001</v>
      </c>
      <c r="G1231" s="2">
        <v>5.05</v>
      </c>
      <c r="H1231" s="2">
        <v>6.26</v>
      </c>
      <c r="I1231" s="2">
        <v>6.57</v>
      </c>
      <c r="J1231" s="47">
        <f t="shared" si="95"/>
        <v>0.23960396039603959</v>
      </c>
      <c r="K1231" s="47">
        <f t="shared" si="96"/>
        <v>4.9520766773163021E-2</v>
      </c>
      <c r="L1231" s="8">
        <v>21.77</v>
      </c>
      <c r="M1231" s="8">
        <v>17.27</v>
      </c>
      <c r="N1231" s="8">
        <v>16.45</v>
      </c>
      <c r="O1231" s="17">
        <f t="shared" si="97"/>
        <v>0.72077272727272723</v>
      </c>
      <c r="P1231" s="17">
        <f t="shared" si="98"/>
        <v>3.3218387096774142</v>
      </c>
      <c r="Q1231" s="5">
        <v>1.69</v>
      </c>
      <c r="R1231" s="9">
        <v>8.44</v>
      </c>
      <c r="S1231" s="9">
        <v>5.84</v>
      </c>
      <c r="T1231" s="9">
        <v>19552.380850000001</v>
      </c>
      <c r="U1231" s="9">
        <v>17370.36</v>
      </c>
      <c r="V1231" s="45">
        <f t="shared" si="99"/>
        <v>0.12561748000617148</v>
      </c>
      <c r="W1231" s="12">
        <v>16.510000000000002</v>
      </c>
      <c r="X1231" s="12">
        <v>1.33</v>
      </c>
      <c r="Y1231" s="12">
        <v>20210615</v>
      </c>
    </row>
    <row r="1232" spans="1:25" x14ac:dyDescent="0.45">
      <c r="A1232" s="3" t="s">
        <v>3841</v>
      </c>
      <c r="B1232" s="3" t="s">
        <v>3842</v>
      </c>
      <c r="C1232" s="6" t="s">
        <v>520</v>
      </c>
      <c r="D1232" s="6" t="s">
        <v>90</v>
      </c>
      <c r="E1232" s="6" t="s">
        <v>197</v>
      </c>
      <c r="F1232" s="6">
        <v>3586.49</v>
      </c>
      <c r="H1232" s="2">
        <v>2.25</v>
      </c>
      <c r="I1232" s="2">
        <v>2.72</v>
      </c>
      <c r="J1232" s="47" t="e">
        <f t="shared" si="95"/>
        <v>#DIV/0!</v>
      </c>
      <c r="K1232" s="47">
        <f t="shared" si="96"/>
        <v>0.20888888888888898</v>
      </c>
      <c r="L1232" s="8">
        <v>9.7799999999999994</v>
      </c>
      <c r="M1232" s="8">
        <v>13.48</v>
      </c>
      <c r="N1232" s="8">
        <v>11.15</v>
      </c>
      <c r="O1232" s="17" t="e">
        <f t="shared" si="97"/>
        <v>#DIV/0!</v>
      </c>
      <c r="P1232" s="17">
        <f t="shared" si="98"/>
        <v>0.53377659574468062</v>
      </c>
      <c r="R1232" s="9">
        <v>7.26</v>
      </c>
      <c r="S1232" s="9">
        <v>4.2</v>
      </c>
      <c r="T1232" s="9">
        <v>5136.3598599999996</v>
      </c>
      <c r="U1232" s="9">
        <v>5078.26</v>
      </c>
      <c r="V1232" s="45">
        <f t="shared" si="99"/>
        <v>1.1440899048099024E-2</v>
      </c>
      <c r="X1232" s="12">
        <v>2.5499999999999998</v>
      </c>
      <c r="Y1232" s="12">
        <v>20210811</v>
      </c>
    </row>
    <row r="1233" spans="1:25" x14ac:dyDescent="0.45">
      <c r="A1233" s="3" t="s">
        <v>2276</v>
      </c>
      <c r="B1233" s="3" t="s">
        <v>2277</v>
      </c>
      <c r="C1233" s="6" t="s">
        <v>520</v>
      </c>
      <c r="D1233" s="6" t="s">
        <v>272</v>
      </c>
      <c r="E1233" s="6" t="s">
        <v>254</v>
      </c>
      <c r="F1233" s="6">
        <v>4089.3</v>
      </c>
      <c r="G1233" s="2">
        <v>-0.4</v>
      </c>
      <c r="H1233" s="2">
        <v>0.44</v>
      </c>
      <c r="I1233" s="2">
        <v>0.73</v>
      </c>
      <c r="J1233" s="47">
        <f t="shared" si="95"/>
        <v>2.1</v>
      </c>
      <c r="K1233" s="47">
        <f t="shared" si="96"/>
        <v>0.65909090909090906</v>
      </c>
      <c r="M1233" s="8">
        <v>22</v>
      </c>
      <c r="N1233" s="8">
        <v>13.41</v>
      </c>
      <c r="O1233" s="17">
        <f t="shared" si="97"/>
        <v>0.10476190476190476</v>
      </c>
      <c r="P1233" s="17">
        <f t="shared" si="98"/>
        <v>0.20346206896551725</v>
      </c>
      <c r="R1233" s="9">
        <v>-2.77</v>
      </c>
      <c r="S1233" s="9">
        <v>3.28</v>
      </c>
      <c r="T1233" s="9">
        <v>15023.809569999999</v>
      </c>
      <c r="U1233" s="9">
        <v>15081.64</v>
      </c>
      <c r="V1233" s="45">
        <f t="shared" si="99"/>
        <v>-3.8344921374598505E-3</v>
      </c>
      <c r="W1233" s="12">
        <v>128.57</v>
      </c>
      <c r="X1233" s="12">
        <v>0</v>
      </c>
      <c r="Y1233" s="12">
        <v>20210615</v>
      </c>
    </row>
    <row r="1234" spans="1:25" x14ac:dyDescent="0.45">
      <c r="A1234" s="3" t="s">
        <v>2278</v>
      </c>
      <c r="B1234" s="3" t="s">
        <v>2279</v>
      </c>
      <c r="C1234" s="6" t="s">
        <v>518</v>
      </c>
      <c r="D1234" s="6" t="s">
        <v>90</v>
      </c>
      <c r="E1234" s="6" t="s">
        <v>198</v>
      </c>
      <c r="F1234" s="6">
        <v>4292.28</v>
      </c>
      <c r="G1234" s="2">
        <v>4.6500000000000004</v>
      </c>
      <c r="H1234" s="2">
        <v>7.3</v>
      </c>
      <c r="I1234" s="2">
        <v>8.43</v>
      </c>
      <c r="J1234" s="47">
        <f t="shared" si="95"/>
        <v>0.5698924731182794</v>
      </c>
      <c r="K1234" s="47">
        <f t="shared" si="96"/>
        <v>0.15479452054794521</v>
      </c>
      <c r="L1234" s="8">
        <v>43.58</v>
      </c>
      <c r="M1234" s="8">
        <v>32.89</v>
      </c>
      <c r="N1234" s="8">
        <v>28.5</v>
      </c>
      <c r="O1234" s="17">
        <f t="shared" si="97"/>
        <v>0.57712641509433982</v>
      </c>
      <c r="P1234" s="17">
        <f t="shared" si="98"/>
        <v>1.841150442477876</v>
      </c>
      <c r="R1234" s="9">
        <v>7.82</v>
      </c>
      <c r="S1234" s="9">
        <v>16.760000000000002</v>
      </c>
      <c r="T1234" s="9">
        <v>1631.9549500000001</v>
      </c>
      <c r="U1234" s="9">
        <v>1417.68</v>
      </c>
      <c r="V1234" s="45">
        <f t="shared" si="99"/>
        <v>0.1511447929010778</v>
      </c>
      <c r="W1234" s="12">
        <v>39.74</v>
      </c>
      <c r="X1234" s="12">
        <v>0.66</v>
      </c>
      <c r="Y1234" s="12">
        <v>20210804</v>
      </c>
    </row>
    <row r="1235" spans="1:25" x14ac:dyDescent="0.45">
      <c r="A1235" s="3" t="s">
        <v>4218</v>
      </c>
      <c r="B1235" s="3" t="s">
        <v>4219</v>
      </c>
      <c r="C1235" s="6" t="s">
        <v>520</v>
      </c>
      <c r="D1235" s="6" t="s">
        <v>272</v>
      </c>
      <c r="E1235" s="6" t="s">
        <v>254</v>
      </c>
      <c r="F1235" s="6">
        <v>120514.12</v>
      </c>
      <c r="H1235" s="2">
        <v>9.6199999999999992</v>
      </c>
      <c r="I1235" s="2">
        <v>10.210000000000001</v>
      </c>
      <c r="J1235" s="47" t="e">
        <f t="shared" si="95"/>
        <v>#DIV/0!</v>
      </c>
      <c r="K1235" s="47">
        <f t="shared" si="96"/>
        <v>6.1330561330561507E-2</v>
      </c>
      <c r="M1235" s="8">
        <v>51.65</v>
      </c>
      <c r="N1235" s="8">
        <v>48.67</v>
      </c>
      <c r="O1235" s="17" t="e">
        <f t="shared" si="97"/>
        <v>#DIV/0!</v>
      </c>
      <c r="P1235" s="17">
        <f t="shared" si="98"/>
        <v>7.9356847457626891</v>
      </c>
      <c r="T1235" s="9">
        <v>5771.4301699999996</v>
      </c>
      <c r="U1235" s="9">
        <v>5062.78</v>
      </c>
      <c r="V1235" s="45">
        <f t="shared" si="99"/>
        <v>0.13997253880279212</v>
      </c>
      <c r="X1235" s="12">
        <v>0</v>
      </c>
      <c r="Y1235" s="12">
        <v>20210611</v>
      </c>
    </row>
    <row r="1236" spans="1:25" x14ac:dyDescent="0.45">
      <c r="A1236" s="3" t="s">
        <v>4782</v>
      </c>
      <c r="B1236" s="3" t="s">
        <v>4783</v>
      </c>
      <c r="C1236" s="6" t="s">
        <v>520</v>
      </c>
      <c r="D1236" s="6" t="s">
        <v>189</v>
      </c>
      <c r="E1236" s="6" t="s">
        <v>211</v>
      </c>
      <c r="F1236" s="6">
        <v>22713.61</v>
      </c>
      <c r="G1236" s="2">
        <v>2.1800000000000002</v>
      </c>
      <c r="H1236" s="2">
        <v>3.06</v>
      </c>
      <c r="J1236" s="47">
        <f t="shared" si="95"/>
        <v>0.40366972477064211</v>
      </c>
      <c r="K1236" s="47">
        <f t="shared" si="96"/>
        <v>-1</v>
      </c>
      <c r="L1236" s="8">
        <v>26.78</v>
      </c>
      <c r="M1236" s="8">
        <v>20.48</v>
      </c>
      <c r="O1236" s="17">
        <f t="shared" si="97"/>
        <v>0.50734545454545465</v>
      </c>
      <c r="P1236" s="17">
        <f t="shared" si="98"/>
        <v>0</v>
      </c>
      <c r="Q1236" s="5">
        <v>2.4</v>
      </c>
      <c r="R1236" s="9">
        <v>3.66</v>
      </c>
      <c r="S1236" s="9">
        <v>2.59</v>
      </c>
      <c r="U1236" s="9">
        <v>14409.33</v>
      </c>
      <c r="V1236" s="45">
        <f t="shared" si="99"/>
        <v>-1</v>
      </c>
      <c r="X1236" s="12">
        <v>0.91</v>
      </c>
      <c r="Y1236" s="12">
        <v>20210729</v>
      </c>
    </row>
    <row r="1237" spans="1:25" x14ac:dyDescent="0.45">
      <c r="A1237" s="3" t="s">
        <v>4784</v>
      </c>
      <c r="B1237" s="3" t="s">
        <v>4785</v>
      </c>
      <c r="C1237" s="6" t="s">
        <v>520</v>
      </c>
      <c r="D1237" s="6" t="s">
        <v>90</v>
      </c>
      <c r="E1237" s="6" t="s">
        <v>269</v>
      </c>
      <c r="F1237" s="6">
        <v>5556.43</v>
      </c>
      <c r="G1237" s="2">
        <v>0.57999999999999996</v>
      </c>
      <c r="J1237" s="47">
        <f t="shared" si="95"/>
        <v>-1</v>
      </c>
      <c r="K1237" s="47" t="e">
        <f t="shared" si="96"/>
        <v>#DIV/0!</v>
      </c>
      <c r="O1237" s="17">
        <f t="shared" si="97"/>
        <v>0</v>
      </c>
      <c r="P1237" s="17" t="e">
        <f t="shared" si="98"/>
        <v>#DIV/0!</v>
      </c>
      <c r="T1237" s="9">
        <v>2623.5300200000001</v>
      </c>
      <c r="U1237" s="9">
        <v>2355</v>
      </c>
      <c r="V1237" s="45">
        <f t="shared" si="99"/>
        <v>0.11402548619957543</v>
      </c>
      <c r="X1237" s="12">
        <v>4.05</v>
      </c>
    </row>
    <row r="1238" spans="1:25" x14ac:dyDescent="0.45">
      <c r="A1238" s="3" t="s">
        <v>4786</v>
      </c>
      <c r="B1238" s="3" t="s">
        <v>4787</v>
      </c>
      <c r="C1238" s="6" t="s">
        <v>518</v>
      </c>
      <c r="D1238" s="6" t="s">
        <v>234</v>
      </c>
      <c r="E1238" s="6" t="s">
        <v>243</v>
      </c>
      <c r="F1238" s="6">
        <v>14856.26</v>
      </c>
      <c r="J1238" s="47" t="e">
        <f t="shared" si="95"/>
        <v>#DIV/0!</v>
      </c>
      <c r="K1238" s="47" t="e">
        <f t="shared" si="96"/>
        <v>#DIV/0!</v>
      </c>
      <c r="L1238" s="8">
        <v>13.77</v>
      </c>
      <c r="O1238" s="17" t="e">
        <f t="shared" si="97"/>
        <v>#DIV/0!</v>
      </c>
      <c r="P1238" s="17" t="e">
        <f t="shared" si="98"/>
        <v>#DIV/0!</v>
      </c>
      <c r="R1238" s="9">
        <v>6.03</v>
      </c>
      <c r="S1238" s="9">
        <v>0.26</v>
      </c>
      <c r="U1238" s="9">
        <v>12583</v>
      </c>
      <c r="V1238" s="45">
        <f t="shared" si="99"/>
        <v>-1</v>
      </c>
      <c r="X1238" s="12">
        <v>0.44</v>
      </c>
      <c r="Y1238" s="12">
        <v>20210802</v>
      </c>
    </row>
    <row r="1239" spans="1:25" x14ac:dyDescent="0.45">
      <c r="A1239" s="3" t="s">
        <v>2280</v>
      </c>
      <c r="B1239" s="3" t="s">
        <v>2281</v>
      </c>
      <c r="C1239" s="6" t="s">
        <v>518</v>
      </c>
      <c r="D1239" s="6" t="s">
        <v>303</v>
      </c>
      <c r="E1239" s="6" t="s">
        <v>632</v>
      </c>
      <c r="F1239" s="6">
        <v>8749.2099999999991</v>
      </c>
      <c r="G1239" s="2">
        <v>17.760000000000002</v>
      </c>
      <c r="H1239" s="2">
        <v>23.36</v>
      </c>
      <c r="I1239" s="2">
        <v>25.82</v>
      </c>
      <c r="J1239" s="47">
        <f t="shared" si="95"/>
        <v>0.31531531531531515</v>
      </c>
      <c r="K1239" s="47">
        <f t="shared" si="96"/>
        <v>0.10530821917808222</v>
      </c>
      <c r="L1239" s="8">
        <v>14.95</v>
      </c>
      <c r="M1239" s="8">
        <v>14.05</v>
      </c>
      <c r="N1239" s="8">
        <v>12.72</v>
      </c>
      <c r="O1239" s="17">
        <f t="shared" si="97"/>
        <v>0.44558571428571458</v>
      </c>
      <c r="P1239" s="17">
        <f t="shared" si="98"/>
        <v>1.2078829268292681</v>
      </c>
      <c r="R1239" s="9">
        <v>25.27</v>
      </c>
      <c r="S1239" s="9">
        <v>11.54</v>
      </c>
      <c r="T1239" s="9">
        <v>19967.994139999999</v>
      </c>
      <c r="U1239" s="9">
        <v>13124.3</v>
      </c>
      <c r="V1239" s="45">
        <f t="shared" si="99"/>
        <v>0.5214521262086359</v>
      </c>
      <c r="W1239" s="12">
        <v>24.52</v>
      </c>
      <c r="X1239" s="12">
        <v>0.43</v>
      </c>
      <c r="Y1239" s="12">
        <v>20210728</v>
      </c>
    </row>
    <row r="1240" spans="1:25" x14ac:dyDescent="0.45">
      <c r="A1240" s="3" t="s">
        <v>4788</v>
      </c>
      <c r="B1240" s="3" t="s">
        <v>4789</v>
      </c>
      <c r="C1240" s="6" t="s">
        <v>519</v>
      </c>
      <c r="D1240" s="6" t="s">
        <v>234</v>
      </c>
      <c r="E1240" s="6" t="s">
        <v>286</v>
      </c>
      <c r="F1240" s="6">
        <v>10751</v>
      </c>
      <c r="G1240" s="2">
        <v>4.82</v>
      </c>
      <c r="H1240" s="2">
        <v>6.55</v>
      </c>
      <c r="J1240" s="47">
        <f t="shared" si="95"/>
        <v>0.35892116182572603</v>
      </c>
      <c r="K1240" s="47">
        <f t="shared" si="96"/>
        <v>-1</v>
      </c>
      <c r="L1240" s="8">
        <v>20.73</v>
      </c>
      <c r="M1240" s="8">
        <v>16.23</v>
      </c>
      <c r="O1240" s="17">
        <f t="shared" si="97"/>
        <v>0.45218843930635855</v>
      </c>
      <c r="P1240" s="17">
        <f t="shared" si="98"/>
        <v>0</v>
      </c>
      <c r="R1240" s="9">
        <v>20.76</v>
      </c>
      <c r="S1240" s="9">
        <v>2.75</v>
      </c>
      <c r="T1240" s="9">
        <v>1674.64599</v>
      </c>
      <c r="U1240" s="9">
        <v>1568.86</v>
      </c>
      <c r="V1240" s="45">
        <f t="shared" si="99"/>
        <v>6.7428572339150783E-2</v>
      </c>
      <c r="W1240" s="12">
        <v>-1.71</v>
      </c>
      <c r="X1240" s="12">
        <v>2.82</v>
      </c>
      <c r="Y1240" s="12">
        <v>20210805</v>
      </c>
    </row>
    <row r="1241" spans="1:25" x14ac:dyDescent="0.45">
      <c r="A1241" s="3" t="s">
        <v>2282</v>
      </c>
      <c r="B1241" s="3" t="s">
        <v>2283</v>
      </c>
      <c r="C1241" s="6" t="s">
        <v>519</v>
      </c>
      <c r="D1241" s="6" t="s">
        <v>225</v>
      </c>
      <c r="E1241" s="6" t="s">
        <v>226</v>
      </c>
      <c r="F1241" s="6">
        <v>5402.4</v>
      </c>
      <c r="H1241" s="2">
        <v>6.04</v>
      </c>
      <c r="I1241" s="2">
        <v>6.24</v>
      </c>
      <c r="J1241" s="47" t="e">
        <f t="shared" si="95"/>
        <v>#DIV/0!</v>
      </c>
      <c r="K1241" s="47">
        <f t="shared" si="96"/>
        <v>3.3112582781456984E-2</v>
      </c>
      <c r="L1241" s="8">
        <v>37.57</v>
      </c>
      <c r="M1241" s="8">
        <v>32.47</v>
      </c>
      <c r="N1241" s="8">
        <v>31.43</v>
      </c>
      <c r="O1241" s="17" t="e">
        <f t="shared" si="97"/>
        <v>#DIV/0!</v>
      </c>
      <c r="P1241" s="17">
        <f t="shared" si="98"/>
        <v>9.4918599999999902</v>
      </c>
      <c r="R1241" s="9">
        <v>17.739999999999998</v>
      </c>
      <c r="S1241" s="9">
        <v>3.7</v>
      </c>
      <c r="T1241" s="9">
        <v>1450</v>
      </c>
      <c r="U1241" s="9">
        <v>1334.39</v>
      </c>
      <c r="V1241" s="45">
        <f t="shared" si="99"/>
        <v>8.6638838720314068E-2</v>
      </c>
      <c r="W1241" s="12">
        <v>-16.670000000000002</v>
      </c>
      <c r="X1241" s="12">
        <v>1.53</v>
      </c>
      <c r="Y1241" s="12">
        <v>20210826</v>
      </c>
    </row>
    <row r="1242" spans="1:25" x14ac:dyDescent="0.45">
      <c r="A1242" s="3" t="s">
        <v>2284</v>
      </c>
      <c r="B1242" s="3" t="s">
        <v>2285</v>
      </c>
      <c r="C1242" s="6" t="s">
        <v>518</v>
      </c>
      <c r="D1242" s="6" t="s">
        <v>234</v>
      </c>
      <c r="E1242" s="6" t="s">
        <v>220</v>
      </c>
      <c r="F1242" s="6">
        <v>4933.3100000000004</v>
      </c>
      <c r="G1242" s="2">
        <v>2.91</v>
      </c>
      <c r="H1242" s="2">
        <v>4.22</v>
      </c>
      <c r="I1242" s="2">
        <v>4.6399999999999997</v>
      </c>
      <c r="J1242" s="47">
        <f t="shared" si="95"/>
        <v>0.45017182130584177</v>
      </c>
      <c r="K1242" s="47">
        <f t="shared" si="96"/>
        <v>9.9526066350710887E-2</v>
      </c>
      <c r="L1242" s="8">
        <v>12.14</v>
      </c>
      <c r="M1242" s="8">
        <v>11.13</v>
      </c>
      <c r="N1242" s="8">
        <v>10.130000000000001</v>
      </c>
      <c r="O1242" s="17">
        <f t="shared" si="97"/>
        <v>0.24723893129771005</v>
      </c>
      <c r="P1242" s="17">
        <f t="shared" si="98"/>
        <v>1.0178238095238097</v>
      </c>
      <c r="R1242" s="9">
        <v>53.46</v>
      </c>
      <c r="S1242" s="9">
        <v>1.77</v>
      </c>
      <c r="T1242" s="9">
        <v>2840.9370100000001</v>
      </c>
      <c r="U1242" s="9">
        <v>2646.77</v>
      </c>
      <c r="V1242" s="45">
        <f t="shared" si="99"/>
        <v>7.3359985945133169E-2</v>
      </c>
      <c r="W1242" s="12">
        <v>2.35</v>
      </c>
      <c r="X1242" s="12">
        <v>4</v>
      </c>
      <c r="Y1242" s="12">
        <v>20210730</v>
      </c>
    </row>
    <row r="1243" spans="1:25" x14ac:dyDescent="0.45">
      <c r="A1243" s="3" t="s">
        <v>2286</v>
      </c>
      <c r="B1243" s="3" t="s">
        <v>2287</v>
      </c>
      <c r="C1243" s="6" t="s">
        <v>519</v>
      </c>
      <c r="D1243" s="6" t="s">
        <v>46</v>
      </c>
      <c r="E1243" s="6" t="s">
        <v>80</v>
      </c>
      <c r="F1243" s="6">
        <v>8302.1</v>
      </c>
      <c r="G1243" s="2">
        <v>-0.23</v>
      </c>
      <c r="H1243" s="2">
        <v>-0.47</v>
      </c>
      <c r="I1243" s="2">
        <v>-0.34</v>
      </c>
      <c r="J1243" s="47">
        <f t="shared" si="95"/>
        <v>-1.043478260869565</v>
      </c>
      <c r="K1243" s="47">
        <f t="shared" si="96"/>
        <v>0.27659574468085096</v>
      </c>
      <c r="O1243" s="17">
        <f t="shared" si="97"/>
        <v>0</v>
      </c>
      <c r="P1243" s="17">
        <f t="shared" si="98"/>
        <v>0</v>
      </c>
      <c r="R1243" s="9">
        <v>-206.62</v>
      </c>
      <c r="T1243" s="9">
        <v>27.286999999999999</v>
      </c>
      <c r="U1243" s="9">
        <v>13.95</v>
      </c>
      <c r="V1243" s="45">
        <f t="shared" si="99"/>
        <v>0.95605734767025097</v>
      </c>
      <c r="W1243" s="12">
        <v>0</v>
      </c>
      <c r="X1243" s="12">
        <v>0</v>
      </c>
      <c r="Y1243" s="12">
        <v>20210805</v>
      </c>
    </row>
    <row r="1244" spans="1:25" x14ac:dyDescent="0.45">
      <c r="A1244" s="3" t="s">
        <v>2288</v>
      </c>
      <c r="B1244" s="3" t="s">
        <v>2289</v>
      </c>
      <c r="C1244" s="6" t="s">
        <v>518</v>
      </c>
      <c r="D1244" s="6" t="s">
        <v>303</v>
      </c>
      <c r="E1244" s="6" t="s">
        <v>290</v>
      </c>
      <c r="F1244" s="6">
        <v>18120.72</v>
      </c>
      <c r="G1244" s="2">
        <v>3.39</v>
      </c>
      <c r="H1244" s="2">
        <v>5.79</v>
      </c>
      <c r="I1244" s="2">
        <v>5.76</v>
      </c>
      <c r="J1244" s="47">
        <f t="shared" si="95"/>
        <v>0.70796460176991149</v>
      </c>
      <c r="K1244" s="47">
        <f t="shared" si="96"/>
        <v>-5.1813471502591101E-3</v>
      </c>
      <c r="L1244" s="8">
        <v>11.56</v>
      </c>
      <c r="M1244" s="8">
        <v>11.31</v>
      </c>
      <c r="N1244" s="8">
        <v>11.36</v>
      </c>
      <c r="O1244" s="17">
        <f t="shared" si="97"/>
        <v>0.15975375000000003</v>
      </c>
      <c r="P1244" s="17">
        <f t="shared" si="98"/>
        <v>-21.924799999999816</v>
      </c>
      <c r="Q1244" s="5">
        <v>0.87</v>
      </c>
      <c r="R1244" s="9">
        <v>-137.83000000000001</v>
      </c>
      <c r="S1244" s="9">
        <v>-0.38</v>
      </c>
      <c r="T1244" s="9">
        <v>14406.6914</v>
      </c>
      <c r="U1244" s="9">
        <v>11846.89</v>
      </c>
      <c r="V1244" s="45">
        <f t="shared" si="99"/>
        <v>0.2160737037315279</v>
      </c>
      <c r="W1244" s="12">
        <v>0</v>
      </c>
      <c r="X1244" s="12">
        <v>0.92</v>
      </c>
      <c r="Y1244" s="12">
        <v>20210818</v>
      </c>
    </row>
    <row r="1245" spans="1:25" x14ac:dyDescent="0.45">
      <c r="A1245" s="3" t="s">
        <v>2290</v>
      </c>
      <c r="B1245" s="3" t="s">
        <v>4790</v>
      </c>
      <c r="C1245" s="6" t="s">
        <v>519</v>
      </c>
      <c r="D1245" s="6" t="s">
        <v>216</v>
      </c>
      <c r="E1245" s="6" t="s">
        <v>1052</v>
      </c>
      <c r="F1245" s="6">
        <v>29488.71</v>
      </c>
      <c r="J1245" s="47" t="e">
        <f t="shared" si="95"/>
        <v>#DIV/0!</v>
      </c>
      <c r="K1245" s="47" t="e">
        <f t="shared" si="96"/>
        <v>#DIV/0!</v>
      </c>
      <c r="L1245" s="8">
        <v>51.25</v>
      </c>
      <c r="O1245" s="17" t="e">
        <f t="shared" si="97"/>
        <v>#DIV/0!</v>
      </c>
      <c r="P1245" s="17" t="e">
        <f t="shared" si="98"/>
        <v>#DIV/0!</v>
      </c>
      <c r="R1245" s="9">
        <v>4.78</v>
      </c>
      <c r="S1245" s="9">
        <v>-2.0299999999999998</v>
      </c>
      <c r="T1245" s="9">
        <v>25.03</v>
      </c>
      <c r="U1245" s="9">
        <v>50.71</v>
      </c>
      <c r="V1245" s="45">
        <f t="shared" si="99"/>
        <v>-0.50640899230920922</v>
      </c>
      <c r="X1245" s="12">
        <v>0</v>
      </c>
      <c r="Y1245" s="12">
        <v>20210730</v>
      </c>
    </row>
    <row r="1246" spans="1:25" x14ac:dyDescent="0.45">
      <c r="A1246" s="3" t="s">
        <v>2290</v>
      </c>
      <c r="B1246" s="3" t="s">
        <v>2291</v>
      </c>
      <c r="C1246" s="6" t="s">
        <v>519</v>
      </c>
      <c r="D1246" s="6" t="s">
        <v>216</v>
      </c>
      <c r="E1246" s="6" t="s">
        <v>1052</v>
      </c>
      <c r="F1246" s="6">
        <v>30158.78</v>
      </c>
      <c r="G1246" s="2">
        <v>1.79</v>
      </c>
      <c r="H1246" s="2">
        <v>5.03</v>
      </c>
      <c r="I1246" s="2">
        <v>7.45</v>
      </c>
      <c r="J1246" s="47">
        <f t="shared" si="95"/>
        <v>1.8100558659217878</v>
      </c>
      <c r="K1246" s="47">
        <f t="shared" si="96"/>
        <v>0.48111332007952284</v>
      </c>
      <c r="L1246" s="8">
        <v>52.41</v>
      </c>
      <c r="M1246" s="8">
        <v>31.64</v>
      </c>
      <c r="N1246" s="8">
        <v>21.39</v>
      </c>
      <c r="O1246" s="17">
        <f t="shared" si="97"/>
        <v>0.17480123456790123</v>
      </c>
      <c r="P1246" s="17">
        <f t="shared" si="98"/>
        <v>0.44459380165289258</v>
      </c>
      <c r="R1246" s="9">
        <v>4.78</v>
      </c>
      <c r="S1246" s="9">
        <v>-2.0299999999999998</v>
      </c>
      <c r="T1246" s="9">
        <v>985.96001999999999</v>
      </c>
      <c r="U1246" s="9">
        <v>50.71</v>
      </c>
      <c r="V1246" s="45">
        <f t="shared" si="99"/>
        <v>18.443108262670084</v>
      </c>
      <c r="W1246" s="12">
        <v>-39.42</v>
      </c>
      <c r="X1246" s="12">
        <v>0</v>
      </c>
      <c r="Y1246" s="12">
        <v>20210730</v>
      </c>
    </row>
    <row r="1247" spans="1:25" x14ac:dyDescent="0.45">
      <c r="A1247" s="3" t="s">
        <v>2292</v>
      </c>
      <c r="B1247" s="3" t="s">
        <v>2293</v>
      </c>
      <c r="C1247" s="6" t="s">
        <v>519</v>
      </c>
      <c r="D1247" s="6" t="s">
        <v>216</v>
      </c>
      <c r="E1247" s="6" t="s">
        <v>1052</v>
      </c>
      <c r="F1247" s="6">
        <v>15587.55</v>
      </c>
      <c r="G1247" s="2">
        <v>-0.82</v>
      </c>
      <c r="H1247" s="2">
        <v>1.53</v>
      </c>
      <c r="I1247" s="2">
        <v>1.9</v>
      </c>
      <c r="J1247" s="47">
        <f t="shared" si="95"/>
        <v>2.8658536585365857</v>
      </c>
      <c r="K1247" s="47">
        <f t="shared" si="96"/>
        <v>0.24183006535947704</v>
      </c>
      <c r="M1247" s="8">
        <v>18.079999999999998</v>
      </c>
      <c r="N1247" s="8">
        <v>14.52</v>
      </c>
      <c r="O1247" s="17">
        <f t="shared" si="97"/>
        <v>6.3087659574468075E-2</v>
      </c>
      <c r="P1247" s="17">
        <f t="shared" si="98"/>
        <v>0.60042162162162183</v>
      </c>
      <c r="R1247" s="9">
        <v>-9.15</v>
      </c>
      <c r="S1247" s="9">
        <v>-9.5500000000000007</v>
      </c>
      <c r="T1247" s="9">
        <v>14559.84375</v>
      </c>
      <c r="U1247" s="9">
        <v>11980.1</v>
      </c>
      <c r="V1247" s="45">
        <f t="shared" si="99"/>
        <v>0.2153357442759242</v>
      </c>
      <c r="W1247" s="12">
        <v>-852.17</v>
      </c>
      <c r="X1247" s="12">
        <v>0</v>
      </c>
      <c r="Y1247" s="12">
        <v>20210802</v>
      </c>
    </row>
    <row r="1248" spans="1:25" x14ac:dyDescent="0.45">
      <c r="A1248" s="3" t="s">
        <v>2292</v>
      </c>
      <c r="B1248" s="3" t="s">
        <v>4791</v>
      </c>
      <c r="C1248" s="6" t="s">
        <v>519</v>
      </c>
      <c r="D1248" s="6" t="s">
        <v>216</v>
      </c>
      <c r="E1248" s="6" t="s">
        <v>1052</v>
      </c>
      <c r="F1248" s="6">
        <v>16304.28</v>
      </c>
      <c r="J1248" s="47" t="e">
        <f t="shared" si="95"/>
        <v>#DIV/0!</v>
      </c>
      <c r="K1248" s="47" t="e">
        <f t="shared" si="96"/>
        <v>#DIV/0!</v>
      </c>
      <c r="O1248" s="17" t="e">
        <f t="shared" si="97"/>
        <v>#DIV/0!</v>
      </c>
      <c r="P1248" s="17" t="e">
        <f t="shared" si="98"/>
        <v>#DIV/0!</v>
      </c>
      <c r="R1248" s="9">
        <v>-9.15</v>
      </c>
      <c r="S1248" s="9">
        <v>-9.5500000000000007</v>
      </c>
      <c r="U1248" s="9">
        <v>11980.1</v>
      </c>
      <c r="V1248" s="45">
        <f t="shared" si="99"/>
        <v>-1</v>
      </c>
      <c r="X1248" s="12">
        <v>0</v>
      </c>
      <c r="Y1248" s="12">
        <v>20210802</v>
      </c>
    </row>
    <row r="1249" spans="1:25" x14ac:dyDescent="0.45">
      <c r="A1249" s="3" t="s">
        <v>2292</v>
      </c>
      <c r="B1249" s="3" t="s">
        <v>4792</v>
      </c>
      <c r="C1249" s="6" t="s">
        <v>519</v>
      </c>
      <c r="D1249" s="6" t="s">
        <v>216</v>
      </c>
      <c r="E1249" s="6" t="s">
        <v>1449</v>
      </c>
      <c r="F1249" s="6">
        <v>15598.83</v>
      </c>
      <c r="J1249" s="47" t="e">
        <f t="shared" si="95"/>
        <v>#DIV/0!</v>
      </c>
      <c r="K1249" s="47" t="e">
        <f t="shared" si="96"/>
        <v>#DIV/0!</v>
      </c>
      <c r="O1249" s="17" t="e">
        <f t="shared" si="97"/>
        <v>#DIV/0!</v>
      </c>
      <c r="P1249" s="17" t="e">
        <f t="shared" si="98"/>
        <v>#DIV/0!</v>
      </c>
      <c r="R1249" s="9">
        <v>-9.15</v>
      </c>
      <c r="S1249" s="9">
        <v>-9.5500000000000007</v>
      </c>
      <c r="U1249" s="9">
        <v>11980.1</v>
      </c>
      <c r="V1249" s="45">
        <f t="shared" si="99"/>
        <v>-1</v>
      </c>
      <c r="X1249" s="12">
        <v>0</v>
      </c>
      <c r="Y1249" s="12">
        <v>20210802</v>
      </c>
    </row>
    <row r="1250" spans="1:25" x14ac:dyDescent="0.45">
      <c r="A1250" s="3" t="s">
        <v>2294</v>
      </c>
      <c r="B1250" s="3" t="s">
        <v>2295</v>
      </c>
      <c r="C1250" s="6" t="s">
        <v>518</v>
      </c>
      <c r="D1250" s="6" t="s">
        <v>46</v>
      </c>
      <c r="E1250" s="6" t="s">
        <v>80</v>
      </c>
      <c r="F1250" s="6">
        <v>3591.69</v>
      </c>
      <c r="G1250" s="2">
        <v>6.35</v>
      </c>
      <c r="H1250" s="2">
        <v>9.6999999999999993</v>
      </c>
      <c r="I1250" s="2">
        <v>10.199999999999999</v>
      </c>
      <c r="J1250" s="47">
        <f t="shared" si="95"/>
        <v>0.52755905511811019</v>
      </c>
      <c r="K1250" s="47">
        <f t="shared" si="96"/>
        <v>5.1546391752577324E-2</v>
      </c>
      <c r="L1250" s="8">
        <v>17.54</v>
      </c>
      <c r="M1250" s="8">
        <v>14.66</v>
      </c>
      <c r="N1250" s="8">
        <v>13.94</v>
      </c>
      <c r="O1250" s="17">
        <f t="shared" si="97"/>
        <v>0.27788358208955227</v>
      </c>
      <c r="P1250" s="17">
        <f t="shared" si="98"/>
        <v>2.7043599999999999</v>
      </c>
      <c r="R1250" s="9">
        <v>23.05</v>
      </c>
      <c r="S1250" s="9">
        <v>12.18</v>
      </c>
      <c r="T1250" s="9">
        <v>3768</v>
      </c>
      <c r="U1250" s="9">
        <v>2796.17</v>
      </c>
      <c r="V1250" s="45">
        <f t="shared" si="99"/>
        <v>0.34755755193711396</v>
      </c>
      <c r="W1250" s="12">
        <v>36.28</v>
      </c>
      <c r="X1250" s="12">
        <v>2.5299999999999998</v>
      </c>
      <c r="Y1250" s="12">
        <v>20210803</v>
      </c>
    </row>
    <row r="1251" spans="1:25" x14ac:dyDescent="0.45">
      <c r="A1251" s="3" t="s">
        <v>4220</v>
      </c>
      <c r="B1251" s="3" t="s">
        <v>4221</v>
      </c>
      <c r="C1251" s="6" t="s">
        <v>518</v>
      </c>
      <c r="D1251" s="6" t="s">
        <v>234</v>
      </c>
      <c r="E1251" s="6" t="s">
        <v>1623</v>
      </c>
      <c r="F1251" s="6">
        <v>4639.34</v>
      </c>
      <c r="H1251" s="2">
        <v>2.5499999999999998</v>
      </c>
      <c r="I1251" s="2">
        <v>2.65</v>
      </c>
      <c r="J1251" s="47" t="e">
        <f t="shared" si="95"/>
        <v>#DIV/0!</v>
      </c>
      <c r="K1251" s="47">
        <f t="shared" si="96"/>
        <v>3.9215686274509838E-2</v>
      </c>
      <c r="M1251" s="8">
        <v>5.91</v>
      </c>
      <c r="N1251" s="8">
        <v>5.68</v>
      </c>
      <c r="O1251" s="17" t="e">
        <f t="shared" si="97"/>
        <v>#DIV/0!</v>
      </c>
      <c r="P1251" s="17">
        <f t="shared" si="98"/>
        <v>1.4483999999999986</v>
      </c>
      <c r="T1251" s="9">
        <v>4083.4760700000002</v>
      </c>
      <c r="U1251" s="9">
        <v>4312.17</v>
      </c>
      <c r="V1251" s="45">
        <f t="shared" si="99"/>
        <v>-5.3034534816577245E-2</v>
      </c>
      <c r="W1251" s="12">
        <v>71.930000000000007</v>
      </c>
      <c r="X1251" s="12">
        <v>0</v>
      </c>
      <c r="Y1251" s="12">
        <v>20210802</v>
      </c>
    </row>
    <row r="1252" spans="1:25" x14ac:dyDescent="0.45">
      <c r="A1252" s="3" t="s">
        <v>2296</v>
      </c>
      <c r="B1252" s="3" t="s">
        <v>2297</v>
      </c>
      <c r="C1252" s="6" t="s">
        <v>518</v>
      </c>
      <c r="D1252" s="6" t="s">
        <v>10</v>
      </c>
      <c r="E1252" s="6" t="s">
        <v>17</v>
      </c>
      <c r="F1252" s="6">
        <v>14839.22</v>
      </c>
      <c r="G1252" s="2">
        <v>5.81</v>
      </c>
      <c r="H1252" s="2">
        <v>6.53</v>
      </c>
      <c r="I1252" s="2">
        <v>7.17</v>
      </c>
      <c r="J1252" s="47">
        <f t="shared" si="95"/>
        <v>0.12392426850258187</v>
      </c>
      <c r="K1252" s="47">
        <f t="shared" si="96"/>
        <v>9.8009188361408831E-2</v>
      </c>
      <c r="L1252" s="8">
        <v>16.45</v>
      </c>
      <c r="M1252" s="8">
        <v>16.059999999999999</v>
      </c>
      <c r="N1252" s="8">
        <v>14.63</v>
      </c>
      <c r="O1252" s="17">
        <f t="shared" si="97"/>
        <v>1.2959527777777766</v>
      </c>
      <c r="P1252" s="17">
        <f t="shared" si="98"/>
        <v>1.4927171875000007</v>
      </c>
      <c r="Q1252" s="5">
        <v>1.58</v>
      </c>
      <c r="R1252" s="9">
        <v>24.3</v>
      </c>
      <c r="S1252" s="9">
        <v>14.73</v>
      </c>
      <c r="T1252" s="9">
        <v>13902.76269</v>
      </c>
      <c r="U1252" s="9">
        <v>12297</v>
      </c>
      <c r="V1252" s="45">
        <f t="shared" si="99"/>
        <v>0.13058166138082455</v>
      </c>
      <c r="W1252" s="12">
        <v>16.11</v>
      </c>
      <c r="X1252" s="12">
        <v>1.3</v>
      </c>
      <c r="Y1252" s="12">
        <v>20210803</v>
      </c>
    </row>
    <row r="1253" spans="1:25" x14ac:dyDescent="0.45">
      <c r="A1253" s="3" t="s">
        <v>2298</v>
      </c>
      <c r="B1253" s="3" t="s">
        <v>2299</v>
      </c>
      <c r="C1253" s="6" t="s">
        <v>518</v>
      </c>
      <c r="D1253" s="6" t="s">
        <v>46</v>
      </c>
      <c r="E1253" s="6" t="s">
        <v>80</v>
      </c>
      <c r="F1253" s="6">
        <v>11692.95</v>
      </c>
      <c r="G1253" s="2">
        <v>5.17</v>
      </c>
      <c r="H1253" s="2">
        <v>13.91</v>
      </c>
      <c r="I1253" s="2">
        <v>18.420000000000002</v>
      </c>
      <c r="J1253" s="47">
        <f t="shared" si="95"/>
        <v>1.6905222437137331</v>
      </c>
      <c r="K1253" s="47">
        <f t="shared" si="96"/>
        <v>0.32422717469446455</v>
      </c>
      <c r="L1253" s="8">
        <v>27.86</v>
      </c>
      <c r="M1253" s="8">
        <v>13.98</v>
      </c>
      <c r="N1253" s="8">
        <v>10.56</v>
      </c>
      <c r="O1253" s="17">
        <f t="shared" si="97"/>
        <v>8.2696338672768877E-2</v>
      </c>
      <c r="P1253" s="17">
        <f t="shared" si="98"/>
        <v>0.32569756097560965</v>
      </c>
      <c r="Q1253" s="5">
        <v>0.89</v>
      </c>
      <c r="R1253" s="9">
        <v>9.6199999999999992</v>
      </c>
      <c r="S1253" s="9">
        <v>-1.83</v>
      </c>
      <c r="T1253" s="9">
        <v>20841.01757</v>
      </c>
      <c r="U1253" s="9">
        <v>17045.5</v>
      </c>
      <c r="V1253" s="45">
        <f t="shared" si="99"/>
        <v>0.22266977032061247</v>
      </c>
      <c r="W1253" s="12">
        <v>26.87</v>
      </c>
      <c r="X1253" s="12">
        <v>0.51</v>
      </c>
      <c r="Y1253" s="12">
        <v>20210803</v>
      </c>
    </row>
    <row r="1254" spans="1:25" x14ac:dyDescent="0.45">
      <c r="A1254" s="3" t="s">
        <v>2300</v>
      </c>
      <c r="B1254" s="3" t="s">
        <v>2301</v>
      </c>
      <c r="C1254" s="6" t="s">
        <v>519</v>
      </c>
      <c r="D1254" s="6" t="s">
        <v>272</v>
      </c>
      <c r="E1254" s="6" t="s">
        <v>907</v>
      </c>
      <c r="F1254" s="6">
        <v>7673.81</v>
      </c>
      <c r="G1254" s="2">
        <v>3.97</v>
      </c>
      <c r="H1254" s="2">
        <v>5.62</v>
      </c>
      <c r="I1254" s="2">
        <v>6.33</v>
      </c>
      <c r="J1254" s="47">
        <f t="shared" si="95"/>
        <v>0.41561712846347604</v>
      </c>
      <c r="K1254" s="47">
        <f t="shared" si="96"/>
        <v>0.12633451957295372</v>
      </c>
      <c r="L1254" s="8">
        <v>28.58</v>
      </c>
      <c r="M1254" s="8">
        <v>22.93</v>
      </c>
      <c r="N1254" s="8">
        <v>20.350000000000001</v>
      </c>
      <c r="O1254" s="17">
        <f t="shared" si="97"/>
        <v>0.55170969696969696</v>
      </c>
      <c r="P1254" s="17">
        <f t="shared" si="98"/>
        <v>1.6108028169014088</v>
      </c>
      <c r="Q1254" s="5">
        <v>2.29</v>
      </c>
      <c r="R1254" s="9">
        <v>36.67</v>
      </c>
      <c r="S1254" s="9">
        <v>4.92</v>
      </c>
      <c r="T1254" s="9">
        <v>3103.9360299999998</v>
      </c>
      <c r="U1254" s="9">
        <v>2655.4</v>
      </c>
      <c r="V1254" s="45">
        <f t="shared" si="99"/>
        <v>0.16891467575506505</v>
      </c>
      <c r="W1254" s="12">
        <v>16.100000000000001</v>
      </c>
      <c r="X1254" s="12">
        <v>1.58</v>
      </c>
      <c r="Y1254" s="12">
        <v>20210726</v>
      </c>
    </row>
    <row r="1255" spans="1:25" x14ac:dyDescent="0.45">
      <c r="A1255" s="3" t="s">
        <v>2302</v>
      </c>
      <c r="B1255" s="3" t="s">
        <v>2303</v>
      </c>
      <c r="C1255" s="6" t="s">
        <v>518</v>
      </c>
      <c r="D1255" s="6" t="s">
        <v>216</v>
      </c>
      <c r="E1255" s="6" t="s">
        <v>227</v>
      </c>
      <c r="F1255" s="6">
        <v>7196.25</v>
      </c>
      <c r="G1255" s="2">
        <v>2.0699999999999998</v>
      </c>
      <c r="H1255" s="2">
        <v>2.71</v>
      </c>
      <c r="I1255" s="2">
        <v>3.04</v>
      </c>
      <c r="J1255" s="47">
        <f t="shared" si="95"/>
        <v>0.30917874396135275</v>
      </c>
      <c r="K1255" s="47">
        <f t="shared" si="96"/>
        <v>0.12177121771217715</v>
      </c>
      <c r="L1255" s="8">
        <v>22.88</v>
      </c>
      <c r="M1255" s="8">
        <v>19.899999999999999</v>
      </c>
      <c r="N1255" s="8">
        <v>17.760000000000002</v>
      </c>
      <c r="O1255" s="17">
        <f t="shared" si="97"/>
        <v>0.64364062499999974</v>
      </c>
      <c r="P1255" s="17">
        <f t="shared" si="98"/>
        <v>1.4584727272727271</v>
      </c>
      <c r="Q1255" s="5">
        <v>1.99</v>
      </c>
      <c r="R1255" s="9">
        <v>24.02</v>
      </c>
      <c r="S1255" s="9">
        <v>4.3099999999999996</v>
      </c>
      <c r="T1255" s="9">
        <v>4892.0668900000001</v>
      </c>
      <c r="U1255" s="9">
        <v>4280.2</v>
      </c>
      <c r="V1255" s="45">
        <f t="shared" si="99"/>
        <v>0.14295287369749082</v>
      </c>
      <c r="W1255" s="12">
        <v>56.1</v>
      </c>
      <c r="X1255" s="12">
        <v>2.96</v>
      </c>
      <c r="Y1255" s="12">
        <v>20210802</v>
      </c>
    </row>
    <row r="1256" spans="1:25" x14ac:dyDescent="0.45">
      <c r="A1256" s="3" t="s">
        <v>4793</v>
      </c>
      <c r="B1256" s="3" t="s">
        <v>4794</v>
      </c>
      <c r="C1256" s="6" t="s">
        <v>520</v>
      </c>
      <c r="D1256" s="6" t="s">
        <v>234</v>
      </c>
      <c r="E1256" s="6" t="s">
        <v>284</v>
      </c>
      <c r="F1256" s="6">
        <v>10971.09</v>
      </c>
      <c r="G1256" s="2">
        <v>6.35</v>
      </c>
      <c r="J1256" s="47">
        <f t="shared" si="95"/>
        <v>-1</v>
      </c>
      <c r="K1256" s="47" t="e">
        <f t="shared" si="96"/>
        <v>#DIV/0!</v>
      </c>
      <c r="L1256" s="8">
        <v>9.61</v>
      </c>
      <c r="O1256" s="17">
        <f t="shared" si="97"/>
        <v>0</v>
      </c>
      <c r="P1256" s="17" t="e">
        <f t="shared" si="98"/>
        <v>#DIV/0!</v>
      </c>
      <c r="R1256" s="9">
        <v>15.34</v>
      </c>
      <c r="U1256" s="9">
        <v>487.2</v>
      </c>
      <c r="V1256" s="45">
        <f t="shared" si="99"/>
        <v>-1</v>
      </c>
      <c r="X1256" s="12">
        <v>0</v>
      </c>
      <c r="Y1256" s="12">
        <v>20210614</v>
      </c>
    </row>
    <row r="1257" spans="1:25" x14ac:dyDescent="0.45">
      <c r="A1257" s="3" t="s">
        <v>2304</v>
      </c>
      <c r="B1257" s="3" t="s">
        <v>2305</v>
      </c>
      <c r="C1257" s="6" t="s">
        <v>519</v>
      </c>
      <c r="D1257" s="6" t="s">
        <v>279</v>
      </c>
      <c r="E1257" s="6" t="s">
        <v>256</v>
      </c>
      <c r="F1257" s="6">
        <v>5446.56</v>
      </c>
      <c r="G1257" s="2">
        <v>-1.37</v>
      </c>
      <c r="H1257" s="2">
        <v>-0.91</v>
      </c>
      <c r="I1257" s="2">
        <v>-0.57999999999999996</v>
      </c>
      <c r="J1257" s="47">
        <f t="shared" si="95"/>
        <v>0.33576642335766427</v>
      </c>
      <c r="K1257" s="47">
        <f t="shared" si="96"/>
        <v>0.36263736263736268</v>
      </c>
      <c r="O1257" s="17">
        <f t="shared" si="97"/>
        <v>0</v>
      </c>
      <c r="P1257" s="17">
        <f t="shared" si="98"/>
        <v>0</v>
      </c>
      <c r="R1257" s="9">
        <v>-85.12</v>
      </c>
      <c r="T1257" s="9">
        <v>191.167</v>
      </c>
      <c r="U1257" s="9">
        <v>75.680000000000007</v>
      </c>
      <c r="V1257" s="45">
        <f t="shared" si="99"/>
        <v>1.5259910147991542</v>
      </c>
      <c r="W1257" s="12">
        <v>21.05</v>
      </c>
      <c r="X1257" s="12">
        <v>0</v>
      </c>
      <c r="Y1257" s="12">
        <v>20210827</v>
      </c>
    </row>
    <row r="1258" spans="1:25" x14ac:dyDescent="0.45">
      <c r="A1258" s="3" t="s">
        <v>2306</v>
      </c>
      <c r="B1258" s="3" t="s">
        <v>2307</v>
      </c>
      <c r="C1258" s="6" t="s">
        <v>518</v>
      </c>
      <c r="D1258" s="6" t="s">
        <v>210</v>
      </c>
      <c r="E1258" s="6" t="s">
        <v>1439</v>
      </c>
      <c r="F1258" s="6">
        <v>29426.53</v>
      </c>
      <c r="G1258" s="2">
        <v>7.47</v>
      </c>
      <c r="H1258" s="2">
        <v>11.1</v>
      </c>
      <c r="I1258" s="2">
        <v>11.14</v>
      </c>
      <c r="J1258" s="47">
        <f t="shared" si="95"/>
        <v>0.4859437751004016</v>
      </c>
      <c r="K1258" s="47">
        <f t="shared" si="96"/>
        <v>3.6036036036036869E-3</v>
      </c>
      <c r="L1258" s="8">
        <v>10.88</v>
      </c>
      <c r="M1258" s="8">
        <v>8.4600000000000009</v>
      </c>
      <c r="N1258" s="8">
        <v>8.43</v>
      </c>
      <c r="O1258" s="17">
        <f t="shared" si="97"/>
        <v>0.17409421487603308</v>
      </c>
      <c r="P1258" s="17">
        <f t="shared" si="98"/>
        <v>23.393249999999458</v>
      </c>
      <c r="R1258" s="9">
        <v>14.98</v>
      </c>
      <c r="S1258" s="9">
        <v>22.91</v>
      </c>
      <c r="T1258" s="9">
        <v>27217.400389999999</v>
      </c>
      <c r="U1258" s="9">
        <v>22488.85</v>
      </c>
      <c r="V1258" s="45">
        <f t="shared" si="99"/>
        <v>0.21026199160917525</v>
      </c>
      <c r="W1258" s="12">
        <v>23.64</v>
      </c>
      <c r="X1258" s="12">
        <v>1.07</v>
      </c>
      <c r="Y1258" s="12">
        <v>20210616</v>
      </c>
    </row>
    <row r="1259" spans="1:25" x14ac:dyDescent="0.45">
      <c r="A1259" s="3" t="s">
        <v>2306</v>
      </c>
      <c r="B1259" s="3" t="s">
        <v>4795</v>
      </c>
      <c r="C1259" s="6" t="s">
        <v>518</v>
      </c>
      <c r="D1259" s="6" t="s">
        <v>210</v>
      </c>
      <c r="E1259" s="6" t="s">
        <v>1439</v>
      </c>
      <c r="F1259" s="6">
        <v>23331.26</v>
      </c>
      <c r="J1259" s="47" t="e">
        <f t="shared" si="95"/>
        <v>#DIV/0!</v>
      </c>
      <c r="K1259" s="47" t="e">
        <f t="shared" si="96"/>
        <v>#DIV/0!</v>
      </c>
      <c r="L1259" s="8">
        <v>8.6300000000000008</v>
      </c>
      <c r="O1259" s="17" t="e">
        <f t="shared" si="97"/>
        <v>#DIV/0!</v>
      </c>
      <c r="P1259" s="17" t="e">
        <f t="shared" si="98"/>
        <v>#DIV/0!</v>
      </c>
      <c r="R1259" s="9">
        <v>15.26</v>
      </c>
      <c r="S1259" s="9">
        <v>22.91</v>
      </c>
      <c r="U1259" s="9">
        <v>22488.85</v>
      </c>
      <c r="V1259" s="45">
        <f t="shared" si="99"/>
        <v>-1</v>
      </c>
      <c r="X1259" s="12">
        <v>1.34</v>
      </c>
      <c r="Y1259" s="12">
        <v>20210616</v>
      </c>
    </row>
    <row r="1260" spans="1:25" x14ac:dyDescent="0.45">
      <c r="A1260" s="3" t="s">
        <v>2308</v>
      </c>
      <c r="B1260" s="3" t="s">
        <v>2309</v>
      </c>
      <c r="C1260" s="6" t="s">
        <v>519</v>
      </c>
      <c r="D1260" s="6" t="s">
        <v>225</v>
      </c>
      <c r="E1260" s="6" t="s">
        <v>206</v>
      </c>
      <c r="F1260" s="6">
        <v>5250.75</v>
      </c>
      <c r="G1260" s="2">
        <v>0.32</v>
      </c>
      <c r="H1260" s="2">
        <v>0.76</v>
      </c>
      <c r="I1260" s="2">
        <v>0.83</v>
      </c>
      <c r="J1260" s="47">
        <f t="shared" si="95"/>
        <v>1.375</v>
      </c>
      <c r="K1260" s="47">
        <f t="shared" si="96"/>
        <v>9.2105263157894676E-2</v>
      </c>
      <c r="M1260" s="8">
        <v>36.4</v>
      </c>
      <c r="N1260" s="8">
        <v>33.5</v>
      </c>
      <c r="O1260" s="17">
        <f t="shared" si="97"/>
        <v>0.2647272727272727</v>
      </c>
      <c r="P1260" s="17">
        <f t="shared" si="98"/>
        <v>3.6371428571428597</v>
      </c>
      <c r="Q1260" s="5">
        <v>1.4</v>
      </c>
      <c r="T1260" s="9">
        <v>1291.3439900000001</v>
      </c>
      <c r="U1260" s="9">
        <v>1112.23</v>
      </c>
      <c r="V1260" s="45">
        <f t="shared" si="99"/>
        <v>0.16104042329374324</v>
      </c>
      <c r="W1260" s="12">
        <v>88.89</v>
      </c>
      <c r="X1260" s="12">
        <v>0</v>
      </c>
    </row>
    <row r="1261" spans="1:25" x14ac:dyDescent="0.45">
      <c r="A1261" s="3" t="s">
        <v>2310</v>
      </c>
      <c r="B1261" s="3" t="s">
        <v>2311</v>
      </c>
      <c r="C1261" s="6" t="s">
        <v>518</v>
      </c>
      <c r="D1261" s="6" t="s">
        <v>303</v>
      </c>
      <c r="E1261" s="6" t="s">
        <v>290</v>
      </c>
      <c r="F1261" s="6">
        <v>10713.75</v>
      </c>
      <c r="G1261" s="2">
        <v>0.14000000000000001</v>
      </c>
      <c r="H1261" s="2">
        <v>1.1100000000000001</v>
      </c>
      <c r="I1261" s="2">
        <v>1.32</v>
      </c>
      <c r="J1261" s="47">
        <f t="shared" si="95"/>
        <v>6.9285714285714288</v>
      </c>
      <c r="K1261" s="47">
        <f t="shared" si="96"/>
        <v>0.18918918918918914</v>
      </c>
      <c r="L1261" s="8">
        <v>191.14</v>
      </c>
      <c r="M1261" s="8">
        <v>24.16</v>
      </c>
      <c r="N1261" s="8">
        <v>20.23</v>
      </c>
      <c r="O1261" s="17">
        <f t="shared" si="97"/>
        <v>3.4870103092783503E-2</v>
      </c>
      <c r="P1261" s="17">
        <f t="shared" si="98"/>
        <v>1.0693000000000001</v>
      </c>
      <c r="R1261" s="9">
        <v>4.8600000000000003</v>
      </c>
      <c r="S1261" s="9">
        <v>1.88</v>
      </c>
      <c r="T1261" s="9">
        <v>5536.6127900000001</v>
      </c>
      <c r="U1261" s="9">
        <v>4452.6099999999997</v>
      </c>
      <c r="V1261" s="45">
        <f t="shared" si="99"/>
        <v>0.24345334309539809</v>
      </c>
      <c r="W1261" s="12">
        <v>41.67</v>
      </c>
      <c r="X1261" s="12">
        <v>0.9</v>
      </c>
      <c r="Y1261" s="12">
        <v>20210706</v>
      </c>
    </row>
    <row r="1262" spans="1:25" x14ac:dyDescent="0.45">
      <c r="A1262" s="3" t="s">
        <v>2312</v>
      </c>
      <c r="B1262" s="3" t="s">
        <v>2313</v>
      </c>
      <c r="C1262" s="6" t="s">
        <v>518</v>
      </c>
      <c r="D1262" s="6" t="s">
        <v>234</v>
      </c>
      <c r="E1262" s="6" t="s">
        <v>241</v>
      </c>
      <c r="F1262" s="6">
        <v>58281.81</v>
      </c>
      <c r="G1262" s="2">
        <v>1.47</v>
      </c>
      <c r="H1262" s="2">
        <v>1.5</v>
      </c>
      <c r="I1262" s="2">
        <v>1.76</v>
      </c>
      <c r="J1262" s="47">
        <f t="shared" si="95"/>
        <v>2.0408163265306142E-2</v>
      </c>
      <c r="K1262" s="47">
        <f t="shared" si="96"/>
        <v>0.17333333333333334</v>
      </c>
      <c r="L1262" s="8">
        <v>6.36</v>
      </c>
      <c r="M1262" s="8">
        <v>6.85</v>
      </c>
      <c r="N1262" s="8">
        <v>5.86</v>
      </c>
      <c r="O1262" s="17">
        <f t="shared" si="97"/>
        <v>3.3564999999999969</v>
      </c>
      <c r="P1262" s="17">
        <f t="shared" si="98"/>
        <v>0.33807692307692305</v>
      </c>
      <c r="Q1262" s="5">
        <v>0.6</v>
      </c>
      <c r="R1262" s="9">
        <v>14.11</v>
      </c>
      <c r="S1262" s="9">
        <v>7.86</v>
      </c>
      <c r="U1262" s="9">
        <v>111372.4</v>
      </c>
      <c r="V1262" s="45">
        <f t="shared" si="99"/>
        <v>-1</v>
      </c>
      <c r="X1262" s="12">
        <v>4.3099999999999996</v>
      </c>
      <c r="Y1262" s="12">
        <v>20210825</v>
      </c>
    </row>
    <row r="1263" spans="1:25" x14ac:dyDescent="0.45">
      <c r="A1263" s="3" t="s">
        <v>2314</v>
      </c>
      <c r="B1263" s="3" t="s">
        <v>2315</v>
      </c>
      <c r="C1263" s="6" t="s">
        <v>519</v>
      </c>
      <c r="D1263" s="6" t="s">
        <v>189</v>
      </c>
      <c r="E1263" s="6" t="s">
        <v>211</v>
      </c>
      <c r="F1263" s="6">
        <v>6350.47</v>
      </c>
      <c r="G1263" s="2">
        <v>5.71</v>
      </c>
      <c r="H1263" s="2">
        <v>8.7799999999999994</v>
      </c>
      <c r="I1263" s="2">
        <v>9.6999999999999993</v>
      </c>
      <c r="J1263" s="47">
        <f t="shared" si="95"/>
        <v>0.5376532399299474</v>
      </c>
      <c r="K1263" s="47">
        <f t="shared" si="96"/>
        <v>0.10478359908883828</v>
      </c>
      <c r="L1263" s="8">
        <v>33.28</v>
      </c>
      <c r="M1263" s="8">
        <v>29.47</v>
      </c>
      <c r="N1263" s="8">
        <v>26.65</v>
      </c>
      <c r="O1263" s="17">
        <f t="shared" si="97"/>
        <v>0.54812280130293167</v>
      </c>
      <c r="P1263" s="17">
        <f t="shared" si="98"/>
        <v>2.5433369565217387</v>
      </c>
      <c r="Q1263" s="5">
        <v>2.46</v>
      </c>
      <c r="R1263" s="9">
        <v>12.26</v>
      </c>
      <c r="S1263" s="9">
        <v>9.57</v>
      </c>
      <c r="T1263" s="9">
        <v>1832.2629300000001</v>
      </c>
      <c r="U1263" s="9">
        <v>1445.69</v>
      </c>
      <c r="V1263" s="45">
        <f t="shared" si="99"/>
        <v>0.26739683472943715</v>
      </c>
      <c r="W1263" s="12">
        <v>39.06</v>
      </c>
      <c r="X1263" s="12">
        <v>0.74</v>
      </c>
      <c r="Y1263" s="12">
        <v>20210804</v>
      </c>
    </row>
    <row r="1264" spans="1:25" x14ac:dyDescent="0.45">
      <c r="A1264" s="3" t="s">
        <v>3843</v>
      </c>
      <c r="B1264" s="3" t="s">
        <v>3844</v>
      </c>
      <c r="C1264" s="6" t="s">
        <v>518</v>
      </c>
      <c r="D1264" s="6" t="s">
        <v>216</v>
      </c>
      <c r="E1264" s="6" t="s">
        <v>217</v>
      </c>
      <c r="F1264" s="6">
        <v>4607.7700000000004</v>
      </c>
      <c r="G1264" s="2">
        <v>0.91</v>
      </c>
      <c r="H1264" s="2">
        <v>0.81</v>
      </c>
      <c r="I1264" s="2">
        <v>1</v>
      </c>
      <c r="J1264" s="47">
        <f t="shared" si="95"/>
        <v>-0.10989010989010986</v>
      </c>
      <c r="K1264" s="47">
        <f t="shared" si="96"/>
        <v>0.23456790123456783</v>
      </c>
      <c r="L1264" s="8">
        <v>22.37</v>
      </c>
      <c r="M1264" s="8">
        <v>25.84</v>
      </c>
      <c r="N1264" s="8">
        <v>20.73</v>
      </c>
      <c r="O1264" s="17">
        <f t="shared" si="97"/>
        <v>-2.3514400000000006</v>
      </c>
      <c r="P1264" s="17">
        <f t="shared" si="98"/>
        <v>0.88375263157894757</v>
      </c>
      <c r="Q1264" s="5">
        <v>1.61</v>
      </c>
      <c r="R1264" s="9">
        <v>4.84</v>
      </c>
      <c r="S1264" s="9">
        <v>4.12</v>
      </c>
      <c r="T1264" s="9">
        <v>3824.5681100000002</v>
      </c>
      <c r="U1264" s="9">
        <v>3271.5</v>
      </c>
      <c r="V1264" s="45">
        <f t="shared" si="99"/>
        <v>0.16905642977227575</v>
      </c>
      <c r="W1264" s="12">
        <v>100</v>
      </c>
      <c r="X1264" s="12">
        <v>0</v>
      </c>
      <c r="Y1264" s="12">
        <v>20210805</v>
      </c>
    </row>
    <row r="1265" spans="1:25" x14ac:dyDescent="0.45">
      <c r="A1265" s="3" t="s">
        <v>3843</v>
      </c>
      <c r="B1265" s="3" t="s">
        <v>4796</v>
      </c>
      <c r="C1265" s="6" t="s">
        <v>518</v>
      </c>
      <c r="D1265" s="6" t="s">
        <v>216</v>
      </c>
      <c r="E1265" s="6" t="s">
        <v>217</v>
      </c>
      <c r="F1265" s="6">
        <v>4011.86</v>
      </c>
      <c r="J1265" s="47" t="e">
        <f t="shared" si="95"/>
        <v>#DIV/0!</v>
      </c>
      <c r="K1265" s="47" t="e">
        <f t="shared" si="96"/>
        <v>#DIV/0!</v>
      </c>
      <c r="L1265" s="8">
        <v>19.47</v>
      </c>
      <c r="O1265" s="17" t="e">
        <f t="shared" si="97"/>
        <v>#DIV/0!</v>
      </c>
      <c r="P1265" s="17" t="e">
        <f t="shared" si="98"/>
        <v>#DIV/0!</v>
      </c>
      <c r="R1265" s="9">
        <v>4.84</v>
      </c>
      <c r="S1265" s="9">
        <v>4.12</v>
      </c>
      <c r="U1265" s="9">
        <v>3271.5</v>
      </c>
      <c r="V1265" s="45">
        <f t="shared" si="99"/>
        <v>-1</v>
      </c>
      <c r="X1265" s="12">
        <v>0</v>
      </c>
      <c r="Y1265" s="12">
        <v>20210805</v>
      </c>
    </row>
    <row r="1266" spans="1:25" x14ac:dyDescent="0.45">
      <c r="A1266" s="3" t="s">
        <v>2316</v>
      </c>
      <c r="B1266" s="3" t="s">
        <v>2317</v>
      </c>
      <c r="C1266" s="6" t="s">
        <v>520</v>
      </c>
      <c r="D1266" s="6" t="s">
        <v>234</v>
      </c>
      <c r="E1266" s="6" t="s">
        <v>243</v>
      </c>
      <c r="F1266" s="6">
        <v>23318.45</v>
      </c>
      <c r="G1266" s="2">
        <v>1.96</v>
      </c>
      <c r="H1266" s="2">
        <v>2.11</v>
      </c>
      <c r="I1266" s="2">
        <v>2.13</v>
      </c>
      <c r="J1266" s="47">
        <f t="shared" si="95"/>
        <v>7.6530612244897919E-2</v>
      </c>
      <c r="K1266" s="47">
        <f t="shared" si="96"/>
        <v>9.4786729857819999E-3</v>
      </c>
      <c r="M1266" s="8">
        <v>9.27</v>
      </c>
      <c r="N1266" s="8">
        <v>9.16</v>
      </c>
      <c r="O1266" s="17">
        <f t="shared" si="97"/>
        <v>1.2112800000000006</v>
      </c>
      <c r="P1266" s="17">
        <f t="shared" si="98"/>
        <v>9.6637999999999913</v>
      </c>
      <c r="T1266" s="9">
        <v>11762.280269999999</v>
      </c>
      <c r="U1266" s="9">
        <v>64503.89</v>
      </c>
      <c r="V1266" s="45">
        <f t="shared" si="99"/>
        <v>-0.81765006312022415</v>
      </c>
      <c r="X1266" s="12">
        <v>8.85</v>
      </c>
    </row>
    <row r="1267" spans="1:25" x14ac:dyDescent="0.45">
      <c r="A1267" s="3" t="s">
        <v>3845</v>
      </c>
      <c r="B1267" s="3" t="s">
        <v>3846</v>
      </c>
      <c r="C1267" s="6" t="s">
        <v>519</v>
      </c>
      <c r="D1267" s="6" t="s">
        <v>234</v>
      </c>
      <c r="E1267" s="6" t="s">
        <v>523</v>
      </c>
      <c r="F1267" s="6">
        <v>4167.54</v>
      </c>
      <c r="G1267" s="2">
        <v>11.34</v>
      </c>
      <c r="H1267" s="2">
        <v>15.03</v>
      </c>
      <c r="I1267" s="2">
        <v>15.16</v>
      </c>
      <c r="J1267" s="47">
        <f t="shared" si="95"/>
        <v>0.32539682539682535</v>
      </c>
      <c r="K1267" s="47">
        <f t="shared" si="96"/>
        <v>8.6493679308051082E-3</v>
      </c>
      <c r="L1267" s="8">
        <v>12.12</v>
      </c>
      <c r="M1267" s="8">
        <v>11.12</v>
      </c>
      <c r="N1267" s="8">
        <v>11.02</v>
      </c>
      <c r="O1267" s="17">
        <f t="shared" si="97"/>
        <v>0.34173658536585366</v>
      </c>
      <c r="P1267" s="17">
        <f t="shared" si="98"/>
        <v>12.740815384615308</v>
      </c>
      <c r="R1267" s="9">
        <v>32.58</v>
      </c>
      <c r="S1267" s="9">
        <v>28.66</v>
      </c>
      <c r="T1267" s="9">
        <v>2916.6770000000001</v>
      </c>
      <c r="U1267" s="9">
        <v>2367.9299999999998</v>
      </c>
      <c r="V1267" s="45">
        <f t="shared" si="99"/>
        <v>0.23174122545852299</v>
      </c>
      <c r="W1267" s="12">
        <v>66.67</v>
      </c>
      <c r="X1267" s="12">
        <v>0</v>
      </c>
      <c r="Y1267" s="12">
        <v>20210803</v>
      </c>
    </row>
    <row r="1268" spans="1:25" x14ac:dyDescent="0.45">
      <c r="A1268" s="3" t="s">
        <v>4797</v>
      </c>
      <c r="B1268" s="3" t="s">
        <v>4798</v>
      </c>
      <c r="C1268" s="6" t="s">
        <v>520</v>
      </c>
      <c r="D1268" s="6" t="s">
        <v>189</v>
      </c>
      <c r="E1268" s="6" t="s">
        <v>2182</v>
      </c>
      <c r="F1268" s="6">
        <v>28730.89</v>
      </c>
      <c r="G1268" s="2">
        <v>3.1</v>
      </c>
      <c r="J1268" s="47">
        <f t="shared" si="95"/>
        <v>-1</v>
      </c>
      <c r="K1268" s="47" t="e">
        <f t="shared" si="96"/>
        <v>#DIV/0!</v>
      </c>
      <c r="L1268" s="8">
        <v>33.42</v>
      </c>
      <c r="O1268" s="17">
        <f t="shared" si="97"/>
        <v>0</v>
      </c>
      <c r="P1268" s="17" t="e">
        <f t="shared" si="98"/>
        <v>#DIV/0!</v>
      </c>
      <c r="R1268" s="9">
        <v>15.11</v>
      </c>
      <c r="S1268" s="9">
        <v>6.19</v>
      </c>
      <c r="T1268" s="9">
        <v>7842.1601499999997</v>
      </c>
      <c r="U1268" s="9">
        <v>6966.87</v>
      </c>
      <c r="V1268" s="45">
        <f t="shared" si="99"/>
        <v>0.12563606755975062</v>
      </c>
      <c r="X1268" s="12">
        <v>0</v>
      </c>
      <c r="Y1268" s="12">
        <v>20210730</v>
      </c>
    </row>
    <row r="1269" spans="1:25" x14ac:dyDescent="0.45">
      <c r="A1269" s="3" t="s">
        <v>2318</v>
      </c>
      <c r="B1269" s="3" t="s">
        <v>2319</v>
      </c>
      <c r="C1269" s="6" t="s">
        <v>518</v>
      </c>
      <c r="D1269" s="6" t="s">
        <v>279</v>
      </c>
      <c r="E1269" s="6" t="s">
        <v>257</v>
      </c>
      <c r="F1269" s="6">
        <v>25322.86</v>
      </c>
      <c r="G1269" s="2">
        <v>21.46</v>
      </c>
      <c r="H1269" s="2">
        <v>22.5</v>
      </c>
      <c r="I1269" s="2">
        <v>15.86</v>
      </c>
      <c r="J1269" s="47">
        <f t="shared" si="95"/>
        <v>4.8462255358807042E-2</v>
      </c>
      <c r="K1269" s="47">
        <f t="shared" si="96"/>
        <v>-0.29511111111111116</v>
      </c>
      <c r="L1269" s="8">
        <v>8.5500000000000007</v>
      </c>
      <c r="M1269" s="8">
        <v>11.52</v>
      </c>
      <c r="N1269" s="8">
        <v>16.34</v>
      </c>
      <c r="O1269" s="17">
        <f t="shared" si="97"/>
        <v>2.3771076923076944</v>
      </c>
      <c r="P1269" s="17">
        <f t="shared" si="98"/>
        <v>-0.55368975903614448</v>
      </c>
      <c r="Q1269" s="5">
        <v>1.0900000000000001</v>
      </c>
      <c r="R1269" s="9">
        <v>34.07</v>
      </c>
      <c r="S1269" s="9">
        <v>8.02</v>
      </c>
      <c r="T1269" s="9">
        <v>14493.559569999999</v>
      </c>
      <c r="U1269" s="9">
        <v>13978.5</v>
      </c>
      <c r="V1269" s="45">
        <f t="shared" si="99"/>
        <v>3.6846555066709551E-2</v>
      </c>
      <c r="W1269" s="12">
        <v>20.079999999999998</v>
      </c>
      <c r="X1269" s="12">
        <v>0</v>
      </c>
      <c r="Y1269" s="12">
        <v>20210727</v>
      </c>
    </row>
    <row r="1270" spans="1:25" x14ac:dyDescent="0.45">
      <c r="A1270" s="3" t="s">
        <v>2320</v>
      </c>
      <c r="B1270" s="3" t="s">
        <v>2321</v>
      </c>
      <c r="C1270" s="6" t="s">
        <v>519</v>
      </c>
      <c r="D1270" s="6" t="s">
        <v>279</v>
      </c>
      <c r="E1270" s="6" t="s">
        <v>266</v>
      </c>
      <c r="F1270" s="6">
        <v>6427.6</v>
      </c>
      <c r="G1270" s="2">
        <v>5</v>
      </c>
      <c r="H1270" s="2">
        <v>6.35</v>
      </c>
      <c r="I1270" s="2">
        <v>6.79</v>
      </c>
      <c r="J1270" s="47">
        <f t="shared" si="95"/>
        <v>0.26999999999999991</v>
      </c>
      <c r="K1270" s="47">
        <f t="shared" si="96"/>
        <v>6.9291338582677234E-2</v>
      </c>
      <c r="L1270" s="8">
        <v>35.93</v>
      </c>
      <c r="M1270" s="8">
        <v>31.94</v>
      </c>
      <c r="N1270" s="8">
        <v>29.9</v>
      </c>
      <c r="O1270" s="17">
        <f t="shared" si="97"/>
        <v>1.1829629629629634</v>
      </c>
      <c r="P1270" s="17">
        <f t="shared" si="98"/>
        <v>4.3151136363636313</v>
      </c>
      <c r="Q1270" s="5">
        <v>2.33</v>
      </c>
      <c r="R1270" s="9">
        <v>11.12</v>
      </c>
      <c r="S1270" s="9">
        <v>25.97</v>
      </c>
      <c r="T1270" s="9">
        <v>2234.5039000000002</v>
      </c>
      <c r="U1270" s="9">
        <v>2063.1999999999998</v>
      </c>
      <c r="V1270" s="45">
        <f t="shared" si="99"/>
        <v>8.3028257076386364E-2</v>
      </c>
      <c r="W1270" s="12">
        <v>10.32</v>
      </c>
      <c r="X1270" s="12">
        <v>0</v>
      </c>
      <c r="Y1270" s="12">
        <v>20210804</v>
      </c>
    </row>
    <row r="1271" spans="1:25" x14ac:dyDescent="0.45">
      <c r="A1271" s="3" t="s">
        <v>2322</v>
      </c>
      <c r="B1271" s="3" t="s">
        <v>2323</v>
      </c>
      <c r="C1271" s="6" t="s">
        <v>518</v>
      </c>
      <c r="D1271" s="6" t="s">
        <v>10</v>
      </c>
      <c r="E1271" s="6" t="s">
        <v>17</v>
      </c>
      <c r="F1271" s="6">
        <v>44586.03</v>
      </c>
      <c r="G1271" s="2">
        <v>11.55</v>
      </c>
      <c r="H1271" s="2">
        <v>13</v>
      </c>
      <c r="I1271" s="2">
        <v>14.43</v>
      </c>
      <c r="J1271" s="47">
        <f t="shared" si="95"/>
        <v>0.12554112554112548</v>
      </c>
      <c r="K1271" s="47">
        <f t="shared" si="96"/>
        <v>0.10999999999999997</v>
      </c>
      <c r="L1271" s="8">
        <v>18.14</v>
      </c>
      <c r="M1271" s="8">
        <v>16.739999999999998</v>
      </c>
      <c r="N1271" s="8">
        <v>15.08</v>
      </c>
      <c r="O1271" s="17">
        <f t="shared" si="97"/>
        <v>1.3334275862068972</v>
      </c>
      <c r="P1271" s="17">
        <f t="shared" si="98"/>
        <v>1.3709090909090913</v>
      </c>
      <c r="Q1271" s="5">
        <v>1.86</v>
      </c>
      <c r="R1271" s="9">
        <v>12.01</v>
      </c>
      <c r="S1271" s="9">
        <v>26.98</v>
      </c>
      <c r="T1271" s="9">
        <v>18751.667959999999</v>
      </c>
      <c r="U1271" s="9">
        <v>18194</v>
      </c>
      <c r="V1271" s="45">
        <f t="shared" si="99"/>
        <v>3.0651201494998288E-2</v>
      </c>
      <c r="W1271" s="12">
        <v>8.9</v>
      </c>
      <c r="X1271" s="12">
        <v>1.88</v>
      </c>
      <c r="Y1271" s="12">
        <v>20210730</v>
      </c>
    </row>
    <row r="1272" spans="1:25" x14ac:dyDescent="0.45">
      <c r="A1272" s="3" t="s">
        <v>2324</v>
      </c>
      <c r="B1272" s="3" t="s">
        <v>2325</v>
      </c>
      <c r="C1272" s="6" t="s">
        <v>519</v>
      </c>
      <c r="D1272" s="6" t="s">
        <v>46</v>
      </c>
      <c r="E1272" s="6" t="s">
        <v>66</v>
      </c>
      <c r="F1272" s="6">
        <v>24814.39</v>
      </c>
      <c r="G1272" s="2">
        <v>-0.19</v>
      </c>
      <c r="H1272" s="2">
        <v>-0.14000000000000001</v>
      </c>
      <c r="I1272" s="2">
        <v>0.03</v>
      </c>
      <c r="J1272" s="47">
        <f t="shared" si="95"/>
        <v>0.26315789473684204</v>
      </c>
      <c r="K1272" s="47">
        <f t="shared" si="96"/>
        <v>1.2142857142857142</v>
      </c>
      <c r="N1272" s="8">
        <v>914.33</v>
      </c>
      <c r="O1272" s="17">
        <f t="shared" si="97"/>
        <v>0</v>
      </c>
      <c r="P1272" s="17">
        <f t="shared" si="98"/>
        <v>7.529776470588236</v>
      </c>
      <c r="T1272" s="9">
        <v>2748.69506</v>
      </c>
      <c r="U1272" s="9">
        <v>1449.29</v>
      </c>
      <c r="V1272" s="45">
        <f t="shared" si="99"/>
        <v>0.89658043593759706</v>
      </c>
      <c r="W1272" s="12">
        <v>25</v>
      </c>
      <c r="X1272" s="12">
        <v>0</v>
      </c>
    </row>
    <row r="1273" spans="1:25" x14ac:dyDescent="0.45">
      <c r="A1273" s="3" t="s">
        <v>2326</v>
      </c>
      <c r="B1273" s="3" t="s">
        <v>2327</v>
      </c>
      <c r="C1273" s="6" t="s">
        <v>518</v>
      </c>
      <c r="D1273" s="6" t="s">
        <v>210</v>
      </c>
      <c r="E1273" s="6" t="s">
        <v>187</v>
      </c>
      <c r="F1273" s="6">
        <v>12777.2</v>
      </c>
      <c r="G1273" s="2">
        <v>9.69</v>
      </c>
      <c r="H1273" s="2">
        <v>12.31</v>
      </c>
      <c r="I1273" s="2">
        <v>13.44</v>
      </c>
      <c r="J1273" s="47">
        <f t="shared" si="95"/>
        <v>0.27038183694530454</v>
      </c>
      <c r="K1273" s="47">
        <f t="shared" si="96"/>
        <v>9.1795288383428028E-2</v>
      </c>
      <c r="L1273" s="8">
        <v>29.01</v>
      </c>
      <c r="M1273" s="8">
        <v>27.47</v>
      </c>
      <c r="N1273" s="8">
        <v>25.17</v>
      </c>
      <c r="O1273" s="17">
        <f t="shared" si="97"/>
        <v>1.0159706106870225</v>
      </c>
      <c r="P1273" s="17">
        <f t="shared" si="98"/>
        <v>2.7419707964601794</v>
      </c>
      <c r="R1273" s="9">
        <v>-343.8</v>
      </c>
      <c r="S1273" s="9">
        <v>0.18</v>
      </c>
      <c r="T1273" s="9">
        <v>4038.90209</v>
      </c>
      <c r="U1273" s="9">
        <v>3634.1</v>
      </c>
      <c r="V1273" s="45">
        <f t="shared" si="99"/>
        <v>0.11138991497207015</v>
      </c>
      <c r="W1273" s="12">
        <v>75.97</v>
      </c>
      <c r="X1273" s="12">
        <v>0.91</v>
      </c>
      <c r="Y1273" s="12">
        <v>20210719</v>
      </c>
    </row>
    <row r="1274" spans="1:25" x14ac:dyDescent="0.45">
      <c r="A1274" s="3" t="s">
        <v>4222</v>
      </c>
      <c r="B1274" s="3" t="s">
        <v>4223</v>
      </c>
      <c r="C1274" s="6" t="s">
        <v>519</v>
      </c>
      <c r="D1274" s="6" t="s">
        <v>189</v>
      </c>
      <c r="E1274" s="6" t="s">
        <v>377</v>
      </c>
      <c r="F1274" s="6">
        <v>3181.25</v>
      </c>
      <c r="G1274" s="2">
        <v>-3.01</v>
      </c>
      <c r="H1274" s="2">
        <v>-0.04</v>
      </c>
      <c r="I1274" s="2">
        <v>0.46</v>
      </c>
      <c r="J1274" s="47">
        <f t="shared" si="95"/>
        <v>0.98671096345514953</v>
      </c>
      <c r="K1274" s="47">
        <f t="shared" si="96"/>
        <v>12.5</v>
      </c>
      <c r="N1274" s="8">
        <v>29.54</v>
      </c>
      <c r="O1274" s="17">
        <f t="shared" si="97"/>
        <v>0</v>
      </c>
      <c r="P1274" s="17">
        <f t="shared" si="98"/>
        <v>2.3632E-2</v>
      </c>
      <c r="S1274" s="9">
        <v>11.41</v>
      </c>
      <c r="T1274" s="9">
        <v>4990.0698199999997</v>
      </c>
      <c r="U1274" s="9">
        <v>3764.6</v>
      </c>
      <c r="V1274" s="45">
        <f t="shared" si="99"/>
        <v>0.32552457631620885</v>
      </c>
      <c r="X1274" s="12">
        <v>0</v>
      </c>
      <c r="Y1274" s="12">
        <v>20210804</v>
      </c>
    </row>
    <row r="1275" spans="1:25" x14ac:dyDescent="0.45">
      <c r="A1275" s="3" t="s">
        <v>2292</v>
      </c>
      <c r="B1275" s="3" t="s">
        <v>4799</v>
      </c>
      <c r="C1275" s="6" t="s">
        <v>519</v>
      </c>
      <c r="D1275" s="6" t="s">
        <v>189</v>
      </c>
      <c r="E1275" s="6" t="s">
        <v>377</v>
      </c>
      <c r="F1275" s="6">
        <v>3221.05</v>
      </c>
      <c r="J1275" s="47" t="e">
        <f t="shared" si="95"/>
        <v>#DIV/0!</v>
      </c>
      <c r="K1275" s="47" t="e">
        <f t="shared" si="96"/>
        <v>#DIV/0!</v>
      </c>
      <c r="O1275" s="17" t="e">
        <f t="shared" si="97"/>
        <v>#DIV/0!</v>
      </c>
      <c r="P1275" s="17" t="e">
        <f t="shared" si="98"/>
        <v>#DIV/0!</v>
      </c>
      <c r="S1275" s="9">
        <v>12.29</v>
      </c>
      <c r="U1275" s="9">
        <v>3764.6</v>
      </c>
      <c r="V1275" s="45">
        <f t="shared" si="99"/>
        <v>-1</v>
      </c>
      <c r="X1275" s="12">
        <v>0</v>
      </c>
      <c r="Y1275" s="12">
        <v>20210804</v>
      </c>
    </row>
    <row r="1276" spans="1:25" x14ac:dyDescent="0.45">
      <c r="A1276" s="3" t="s">
        <v>2328</v>
      </c>
      <c r="B1276" s="3" t="s">
        <v>2329</v>
      </c>
      <c r="C1276" s="6" t="s">
        <v>518</v>
      </c>
      <c r="D1276" s="6" t="s">
        <v>289</v>
      </c>
      <c r="E1276" s="6" t="s">
        <v>917</v>
      </c>
      <c r="F1276" s="6">
        <v>151058.23000000001</v>
      </c>
      <c r="G1276" s="2">
        <v>8.08</v>
      </c>
      <c r="H1276" s="2">
        <v>10.07</v>
      </c>
      <c r="I1276" s="2">
        <v>11.19</v>
      </c>
      <c r="J1276" s="47">
        <f t="shared" si="95"/>
        <v>0.24628712871287131</v>
      </c>
      <c r="K1276" s="47">
        <f t="shared" si="96"/>
        <v>0.11122144985104263</v>
      </c>
      <c r="L1276" s="8">
        <v>32.86</v>
      </c>
      <c r="M1276" s="8">
        <v>28.83</v>
      </c>
      <c r="N1276" s="8">
        <v>25.97</v>
      </c>
      <c r="O1276" s="17">
        <f t="shared" si="97"/>
        <v>1.1705849246231155</v>
      </c>
      <c r="P1276" s="17">
        <f t="shared" si="98"/>
        <v>2.3349812500000016</v>
      </c>
      <c r="Q1276" s="5">
        <v>2.62</v>
      </c>
      <c r="R1276" s="9">
        <v>9.66</v>
      </c>
      <c r="S1276" s="9">
        <v>31.35</v>
      </c>
      <c r="T1276" s="9">
        <v>29391.279289999999</v>
      </c>
      <c r="U1276" s="9">
        <v>27243</v>
      </c>
      <c r="V1276" s="45">
        <f t="shared" si="99"/>
        <v>7.8856193884667566E-2</v>
      </c>
      <c r="W1276" s="12">
        <v>10.18</v>
      </c>
      <c r="X1276" s="12">
        <v>1.46</v>
      </c>
      <c r="Y1276" s="12">
        <v>20210729</v>
      </c>
    </row>
    <row r="1277" spans="1:25" x14ac:dyDescent="0.45">
      <c r="A1277" s="3" t="s">
        <v>2330</v>
      </c>
      <c r="B1277" s="3" t="s">
        <v>2331</v>
      </c>
      <c r="C1277" s="6" t="s">
        <v>520</v>
      </c>
      <c r="D1277" s="6" t="s">
        <v>225</v>
      </c>
      <c r="E1277" s="6" t="s">
        <v>206</v>
      </c>
      <c r="F1277" s="6">
        <v>6744.47</v>
      </c>
      <c r="G1277" s="2">
        <v>0.95</v>
      </c>
      <c r="H1277" s="2">
        <v>0.7</v>
      </c>
      <c r="I1277" s="2">
        <v>0.75</v>
      </c>
      <c r="J1277" s="47">
        <f t="shared" si="95"/>
        <v>-0.26315789473684209</v>
      </c>
      <c r="K1277" s="47">
        <f t="shared" si="96"/>
        <v>7.1428571428571494E-2</v>
      </c>
      <c r="L1277" s="8">
        <v>32.22</v>
      </c>
      <c r="M1277" s="8">
        <v>33.14</v>
      </c>
      <c r="N1277" s="8">
        <v>30.93</v>
      </c>
      <c r="O1277" s="17">
        <f t="shared" si="97"/>
        <v>-1.25932</v>
      </c>
      <c r="P1277" s="17">
        <f t="shared" si="98"/>
        <v>4.3301999999999961</v>
      </c>
      <c r="R1277" s="9">
        <v>9.24</v>
      </c>
      <c r="S1277" s="9">
        <v>-3.53</v>
      </c>
      <c r="T1277" s="9">
        <v>3314.5500400000001</v>
      </c>
      <c r="U1277" s="9">
        <v>3330.71</v>
      </c>
      <c r="V1277" s="45">
        <f t="shared" si="99"/>
        <v>-4.8518063716144469E-3</v>
      </c>
      <c r="W1277" s="12">
        <v>58.33</v>
      </c>
      <c r="X1277" s="12">
        <v>0</v>
      </c>
      <c r="Y1277" s="12">
        <v>20210804</v>
      </c>
    </row>
    <row r="1278" spans="1:25" x14ac:dyDescent="0.45">
      <c r="A1278" s="3" t="s">
        <v>2332</v>
      </c>
      <c r="B1278" s="3" t="s">
        <v>2333</v>
      </c>
      <c r="C1278" s="6" t="s">
        <v>519</v>
      </c>
      <c r="D1278" s="6" t="s">
        <v>189</v>
      </c>
      <c r="E1278" s="6" t="s">
        <v>2122</v>
      </c>
      <c r="F1278" s="6">
        <v>6086.42</v>
      </c>
      <c r="G1278" s="2">
        <v>5.0599999999999996</v>
      </c>
      <c r="H1278" s="2">
        <v>6.23</v>
      </c>
      <c r="I1278" s="2">
        <v>5.63</v>
      </c>
      <c r="J1278" s="47">
        <f t="shared" si="95"/>
        <v>0.23122529644268794</v>
      </c>
      <c r="K1278" s="47">
        <f t="shared" si="96"/>
        <v>-9.630818619582672E-2</v>
      </c>
      <c r="L1278" s="8">
        <v>12.63</v>
      </c>
      <c r="M1278" s="8">
        <v>12.87</v>
      </c>
      <c r="N1278" s="8">
        <v>14.24</v>
      </c>
      <c r="O1278" s="17">
        <f t="shared" si="97"/>
        <v>0.55659999999999943</v>
      </c>
      <c r="P1278" s="17">
        <f t="shared" si="98"/>
        <v>-1.4785866666666654</v>
      </c>
      <c r="R1278" s="9">
        <v>21.5</v>
      </c>
      <c r="S1278" s="9">
        <v>16.989999999999998</v>
      </c>
      <c r="T1278" s="9">
        <v>1734.44299</v>
      </c>
      <c r="U1278" s="9">
        <v>1678.6</v>
      </c>
      <c r="V1278" s="45">
        <f t="shared" si="99"/>
        <v>3.3267597998332003E-2</v>
      </c>
      <c r="W1278" s="12">
        <v>-1.41</v>
      </c>
      <c r="X1278" s="12">
        <v>0</v>
      </c>
      <c r="Y1278" s="12">
        <v>20210810</v>
      </c>
    </row>
    <row r="1279" spans="1:25" x14ac:dyDescent="0.45">
      <c r="A1279" s="3" t="s">
        <v>2334</v>
      </c>
      <c r="B1279" s="3" t="s">
        <v>2335</v>
      </c>
      <c r="C1279" s="6" t="s">
        <v>519</v>
      </c>
      <c r="D1279" s="6" t="s">
        <v>279</v>
      </c>
      <c r="E1279" s="6" t="s">
        <v>262</v>
      </c>
      <c r="F1279" s="6">
        <v>3899.74</v>
      </c>
      <c r="G1279" s="2">
        <v>1.22</v>
      </c>
      <c r="H1279" s="2">
        <v>1.62</v>
      </c>
      <c r="I1279" s="2">
        <v>2.16</v>
      </c>
      <c r="J1279" s="47">
        <f t="shared" si="95"/>
        <v>0.32786885245901654</v>
      </c>
      <c r="K1279" s="47">
        <f t="shared" si="96"/>
        <v>0.33333333333333331</v>
      </c>
      <c r="L1279" s="8">
        <v>61.88</v>
      </c>
      <c r="M1279" s="8">
        <v>49.17</v>
      </c>
      <c r="N1279" s="8">
        <v>37.01</v>
      </c>
      <c r="O1279" s="17">
        <f t="shared" si="97"/>
        <v>1.4996849999999995</v>
      </c>
      <c r="P1279" s="17">
        <f t="shared" si="98"/>
        <v>1.1103000000000001</v>
      </c>
      <c r="R1279" s="9">
        <v>5.21</v>
      </c>
      <c r="S1279" s="9">
        <v>-6.16</v>
      </c>
      <c r="T1279" s="9">
        <v>996.65002000000004</v>
      </c>
      <c r="U1279" s="9">
        <v>934.2</v>
      </c>
      <c r="V1279" s="45">
        <f t="shared" si="99"/>
        <v>6.6848661956754429E-2</v>
      </c>
      <c r="W1279" s="12">
        <v>133.33000000000001</v>
      </c>
      <c r="X1279" s="12">
        <v>0</v>
      </c>
      <c r="Y1279" s="12">
        <v>20210804</v>
      </c>
    </row>
    <row r="1280" spans="1:25" x14ac:dyDescent="0.45">
      <c r="A1280" s="3" t="s">
        <v>2336</v>
      </c>
      <c r="B1280" s="3" t="s">
        <v>2337</v>
      </c>
      <c r="C1280" s="6" t="s">
        <v>519</v>
      </c>
      <c r="D1280" s="6" t="s">
        <v>46</v>
      </c>
      <c r="E1280" s="6" t="s">
        <v>1066</v>
      </c>
      <c r="F1280" s="6">
        <v>14953.89</v>
      </c>
      <c r="G1280" s="2">
        <v>2.44</v>
      </c>
      <c r="H1280" s="2">
        <v>3.1</v>
      </c>
      <c r="I1280" s="2">
        <v>3.33</v>
      </c>
      <c r="J1280" s="47">
        <f t="shared" si="95"/>
        <v>0.2704918032786886</v>
      </c>
      <c r="K1280" s="47">
        <f t="shared" si="96"/>
        <v>7.4193548387096769E-2</v>
      </c>
      <c r="L1280" s="8">
        <v>17.010000000000002</v>
      </c>
      <c r="M1280" s="8">
        <v>15.95</v>
      </c>
      <c r="N1280" s="8">
        <v>14.85</v>
      </c>
      <c r="O1280" s="17">
        <f t="shared" si="97"/>
        <v>0.58966666666666645</v>
      </c>
      <c r="P1280" s="17">
        <f t="shared" si="98"/>
        <v>2.001521739130435</v>
      </c>
      <c r="R1280" s="9">
        <v>16.059999999999999</v>
      </c>
      <c r="S1280" s="9">
        <v>9.06</v>
      </c>
      <c r="T1280" s="9">
        <v>12399.632809999999</v>
      </c>
      <c r="U1280" s="9">
        <v>11628.83</v>
      </c>
      <c r="V1280" s="45">
        <f t="shared" si="99"/>
        <v>6.6283780053539285E-2</v>
      </c>
      <c r="W1280" s="12">
        <v>49.21</v>
      </c>
      <c r="X1280" s="12">
        <v>0</v>
      </c>
      <c r="Y1280" s="12">
        <v>20210729</v>
      </c>
    </row>
    <row r="1281" spans="1:25" x14ac:dyDescent="0.45">
      <c r="A1281" s="3" t="s">
        <v>2338</v>
      </c>
      <c r="B1281" s="3" t="s">
        <v>2339</v>
      </c>
      <c r="C1281" s="6" t="s">
        <v>518</v>
      </c>
      <c r="D1281" s="6" t="s">
        <v>279</v>
      </c>
      <c r="E1281" s="6" t="s">
        <v>250</v>
      </c>
      <c r="F1281" s="6">
        <v>216739.75</v>
      </c>
      <c r="G1281" s="2">
        <v>7.57</v>
      </c>
      <c r="H1281" s="2">
        <v>7.9</v>
      </c>
      <c r="I1281" s="2">
        <v>8.4700000000000006</v>
      </c>
      <c r="J1281" s="47">
        <f t="shared" si="95"/>
        <v>4.3593130779392343E-2</v>
      </c>
      <c r="K1281" s="47">
        <f t="shared" si="96"/>
        <v>7.2151898734177253E-2</v>
      </c>
      <c r="L1281" s="8">
        <v>28.08</v>
      </c>
      <c r="M1281" s="8">
        <v>28.61</v>
      </c>
      <c r="N1281" s="8">
        <v>26.68</v>
      </c>
      <c r="O1281" s="17">
        <f t="shared" si="97"/>
        <v>6.5629606060606056</v>
      </c>
      <c r="P1281" s="17">
        <f t="shared" si="98"/>
        <v>3.6977543859649105</v>
      </c>
      <c r="Q1281" s="5">
        <v>1.97</v>
      </c>
      <c r="R1281" s="9">
        <v>132.28</v>
      </c>
      <c r="S1281" s="9">
        <v>2.85</v>
      </c>
      <c r="T1281" s="9">
        <v>27221.707030000001</v>
      </c>
      <c r="U1281" s="9">
        <v>24539.8</v>
      </c>
      <c r="V1281" s="45">
        <f t="shared" si="99"/>
        <v>0.10928805572987564</v>
      </c>
      <c r="W1281" s="12">
        <v>-11.79</v>
      </c>
      <c r="X1281" s="12">
        <v>1.5</v>
      </c>
      <c r="Y1281" s="12">
        <v>20210729</v>
      </c>
    </row>
    <row r="1282" spans="1:25" x14ac:dyDescent="0.45">
      <c r="A1282" s="3" t="s">
        <v>2340</v>
      </c>
      <c r="B1282" s="3" t="s">
        <v>2341</v>
      </c>
      <c r="C1282" s="6" t="s">
        <v>518</v>
      </c>
      <c r="D1282" s="6" t="s">
        <v>234</v>
      </c>
      <c r="E1282" s="6" t="s">
        <v>243</v>
      </c>
      <c r="F1282" s="6">
        <v>6457.2</v>
      </c>
      <c r="G1282" s="2">
        <v>-4.32</v>
      </c>
      <c r="H1282" s="2">
        <v>-3.53</v>
      </c>
      <c r="I1282" s="2">
        <v>-3.61</v>
      </c>
      <c r="J1282" s="47">
        <f t="shared" si="95"/>
        <v>0.18287037037037046</v>
      </c>
      <c r="K1282" s="47">
        <f t="shared" si="96"/>
        <v>-2.266288951841362E-2</v>
      </c>
      <c r="O1282" s="17">
        <f t="shared" si="97"/>
        <v>0</v>
      </c>
      <c r="P1282" s="17">
        <f t="shared" si="98"/>
        <v>0</v>
      </c>
      <c r="R1282" s="9">
        <v>-26.53</v>
      </c>
      <c r="T1282" s="9">
        <v>118.86699</v>
      </c>
      <c r="U1282" s="9">
        <v>94.4</v>
      </c>
      <c r="V1282" s="45">
        <f t="shared" si="99"/>
        <v>0.25918421610169484</v>
      </c>
      <c r="W1282" s="12">
        <v>-6.58</v>
      </c>
      <c r="X1282" s="12">
        <v>0</v>
      </c>
      <c r="Y1282" s="12">
        <v>20210810</v>
      </c>
    </row>
    <row r="1283" spans="1:25" x14ac:dyDescent="0.45">
      <c r="A1283" s="3" t="s">
        <v>2342</v>
      </c>
      <c r="B1283" s="3" t="s">
        <v>2343</v>
      </c>
      <c r="C1283" s="6" t="s">
        <v>518</v>
      </c>
      <c r="D1283" s="6" t="s">
        <v>10</v>
      </c>
      <c r="E1283" s="6" t="s">
        <v>17</v>
      </c>
      <c r="F1283" s="6">
        <v>107504.87</v>
      </c>
      <c r="G1283" s="2">
        <v>24.48</v>
      </c>
      <c r="H1283" s="2">
        <v>26.74</v>
      </c>
      <c r="I1283" s="2">
        <v>27.89</v>
      </c>
      <c r="J1283" s="47">
        <f t="shared" ref="J1283:J1346" si="100">(H1283-G1283)/ABS(G1283)</f>
        <v>9.2320261437908419E-2</v>
      </c>
      <c r="K1283" s="47">
        <f t="shared" ref="K1283:K1346" si="101">(I1283-H1283)/ABS(H1283)</f>
        <v>4.300673148840696E-2</v>
      </c>
      <c r="L1283" s="8">
        <v>15.28</v>
      </c>
      <c r="M1283" s="8">
        <v>14.47</v>
      </c>
      <c r="N1283" s="8">
        <v>13.87</v>
      </c>
      <c r="O1283" s="17">
        <f t="shared" ref="O1283:O1346" si="102">M1283/(J1283*100)</f>
        <v>1.5673699115044262</v>
      </c>
      <c r="P1283" s="17">
        <f t="shared" ref="P1283:P1346" si="103">N1283/(K1283*100)</f>
        <v>3.2250765217391244</v>
      </c>
      <c r="Q1283" s="5">
        <v>3.17</v>
      </c>
      <c r="R1283" s="9">
        <v>134.4</v>
      </c>
      <c r="S1283" s="9">
        <v>7.25</v>
      </c>
      <c r="T1283" s="9">
        <v>68279.710930000001</v>
      </c>
      <c r="U1283" s="9">
        <v>65398</v>
      </c>
      <c r="V1283" s="45">
        <f t="shared" ref="V1283:V1346" si="104">(T1283-U1283)/U1283</f>
        <v>4.4064205786109686E-2</v>
      </c>
      <c r="W1283" s="12">
        <v>3.8</v>
      </c>
      <c r="X1283" s="12">
        <v>2.69</v>
      </c>
      <c r="Y1283" s="12">
        <v>20210720</v>
      </c>
    </row>
    <row r="1284" spans="1:25" x14ac:dyDescent="0.45">
      <c r="A1284" s="3" t="s">
        <v>2344</v>
      </c>
      <c r="B1284" s="3" t="s">
        <v>2345</v>
      </c>
      <c r="C1284" s="6" t="s">
        <v>518</v>
      </c>
      <c r="D1284" s="6" t="s">
        <v>234</v>
      </c>
      <c r="E1284" s="6" t="s">
        <v>241</v>
      </c>
      <c r="F1284" s="6">
        <v>12998.68</v>
      </c>
      <c r="G1284" s="2">
        <v>4.54</v>
      </c>
      <c r="H1284" s="2">
        <v>9.15</v>
      </c>
      <c r="I1284" s="2">
        <v>10.64</v>
      </c>
      <c r="J1284" s="47">
        <f t="shared" si="100"/>
        <v>1.0154185022026432</v>
      </c>
      <c r="K1284" s="47">
        <f t="shared" si="101"/>
        <v>0.16284153005464483</v>
      </c>
      <c r="L1284" s="8">
        <v>17.739999999999998</v>
      </c>
      <c r="M1284" s="8">
        <v>7.46</v>
      </c>
      <c r="N1284" s="8">
        <v>6.42</v>
      </c>
      <c r="O1284" s="17">
        <f t="shared" si="102"/>
        <v>7.3467245119305857E-2</v>
      </c>
      <c r="P1284" s="17">
        <f t="shared" si="103"/>
        <v>0.39424832214765099</v>
      </c>
      <c r="Q1284" s="5">
        <v>0.19</v>
      </c>
      <c r="R1284" s="9">
        <v>3.55</v>
      </c>
      <c r="S1284" s="9">
        <v>7.6</v>
      </c>
      <c r="T1284" s="9">
        <v>19124.792959999999</v>
      </c>
      <c r="U1284" s="9">
        <v>17439</v>
      </c>
      <c r="V1284" s="45">
        <f t="shared" si="104"/>
        <v>9.6667983255920575E-2</v>
      </c>
      <c r="W1284" s="12">
        <v>22.97</v>
      </c>
      <c r="X1284" s="12">
        <v>2.46</v>
      </c>
      <c r="Y1284" s="12">
        <v>20210804</v>
      </c>
    </row>
    <row r="1285" spans="1:25" x14ac:dyDescent="0.45">
      <c r="A1285" s="3" t="s">
        <v>2346</v>
      </c>
      <c r="B1285" s="3" t="s">
        <v>2347</v>
      </c>
      <c r="C1285" s="6" t="s">
        <v>1003</v>
      </c>
      <c r="D1285" s="6" t="s">
        <v>289</v>
      </c>
      <c r="E1285" s="6" t="s">
        <v>271</v>
      </c>
      <c r="F1285" s="6">
        <v>22367.06</v>
      </c>
      <c r="G1285" s="2">
        <v>1.29</v>
      </c>
      <c r="H1285" s="2">
        <v>3.83</v>
      </c>
      <c r="I1285" s="2">
        <v>5.49</v>
      </c>
      <c r="J1285" s="47">
        <f t="shared" si="100"/>
        <v>1.9689922480620154</v>
      </c>
      <c r="K1285" s="47">
        <f t="shared" si="101"/>
        <v>0.4334203655352481</v>
      </c>
      <c r="L1285" s="8">
        <v>38.520000000000003</v>
      </c>
      <c r="M1285" s="8">
        <v>23.02</v>
      </c>
      <c r="N1285" s="8">
        <v>16.059999999999999</v>
      </c>
      <c r="O1285" s="17">
        <f t="shared" si="102"/>
        <v>0.11691259842519686</v>
      </c>
      <c r="P1285" s="17">
        <f t="shared" si="103"/>
        <v>0.37054096385542162</v>
      </c>
      <c r="Q1285" s="5">
        <v>0.66</v>
      </c>
      <c r="R1285" s="9">
        <v>23</v>
      </c>
      <c r="S1285" s="9">
        <v>70.27</v>
      </c>
      <c r="T1285" s="9">
        <v>12828.37988</v>
      </c>
      <c r="U1285" s="9">
        <v>9358</v>
      </c>
      <c r="V1285" s="45">
        <f t="shared" si="104"/>
        <v>0.37084632186364613</v>
      </c>
      <c r="W1285" s="12">
        <v>105.33</v>
      </c>
      <c r="X1285" s="12">
        <v>0</v>
      </c>
      <c r="Y1285" s="12">
        <v>20210805</v>
      </c>
    </row>
    <row r="1286" spans="1:25" x14ac:dyDescent="0.45">
      <c r="A1286" s="3" t="s">
        <v>3847</v>
      </c>
      <c r="B1286" s="3" t="s">
        <v>3848</v>
      </c>
      <c r="C1286" s="6" t="s">
        <v>520</v>
      </c>
      <c r="D1286" s="6" t="s">
        <v>303</v>
      </c>
      <c r="E1286" s="6" t="s">
        <v>290</v>
      </c>
      <c r="F1286" s="6">
        <v>22093.29</v>
      </c>
      <c r="G1286" s="2">
        <v>2.44</v>
      </c>
      <c r="H1286" s="2">
        <v>3.69</v>
      </c>
      <c r="I1286" s="2">
        <v>5.12</v>
      </c>
      <c r="J1286" s="47">
        <f t="shared" si="100"/>
        <v>0.51229508196721307</v>
      </c>
      <c r="K1286" s="47">
        <f t="shared" si="101"/>
        <v>0.38753387533875344</v>
      </c>
      <c r="M1286" s="8">
        <v>60.02</v>
      </c>
      <c r="N1286" s="8">
        <v>43.26</v>
      </c>
      <c r="O1286" s="17">
        <f t="shared" si="102"/>
        <v>1.1715904000000001</v>
      </c>
      <c r="P1286" s="17">
        <f t="shared" si="103"/>
        <v>1.1162895104895101</v>
      </c>
      <c r="T1286" s="9">
        <v>2829.08007</v>
      </c>
      <c r="U1286" s="9">
        <v>2094.81</v>
      </c>
      <c r="V1286" s="45">
        <f t="shared" si="104"/>
        <v>0.35051869620633852</v>
      </c>
      <c r="X1286" s="12">
        <v>0.23</v>
      </c>
    </row>
    <row r="1287" spans="1:25" x14ac:dyDescent="0.45">
      <c r="A1287" s="3" t="s">
        <v>2348</v>
      </c>
      <c r="B1287" s="3" t="s">
        <v>2349</v>
      </c>
      <c r="C1287" s="6" t="s">
        <v>519</v>
      </c>
      <c r="D1287" s="6" t="s">
        <v>327</v>
      </c>
      <c r="E1287" s="6" t="s">
        <v>321</v>
      </c>
      <c r="F1287" s="6">
        <v>14582.84</v>
      </c>
      <c r="G1287" s="2">
        <v>2.4300000000000002</v>
      </c>
      <c r="H1287" s="2">
        <v>2.58</v>
      </c>
      <c r="I1287" s="2">
        <v>2.77</v>
      </c>
      <c r="J1287" s="47">
        <f t="shared" si="100"/>
        <v>6.1728395061728357E-2</v>
      </c>
      <c r="K1287" s="47">
        <f t="shared" si="101"/>
        <v>7.3643410852713156E-2</v>
      </c>
      <c r="L1287" s="8">
        <v>24.29</v>
      </c>
      <c r="M1287" s="8">
        <v>22.64</v>
      </c>
      <c r="N1287" s="8">
        <v>21.05</v>
      </c>
      <c r="O1287" s="17">
        <f t="shared" si="102"/>
        <v>3.6676800000000025</v>
      </c>
      <c r="P1287" s="17">
        <f t="shared" si="103"/>
        <v>2.8583684210526323</v>
      </c>
      <c r="Q1287" s="5">
        <v>4.09</v>
      </c>
      <c r="R1287" s="9">
        <v>10.69</v>
      </c>
      <c r="S1287" s="9">
        <v>1.71</v>
      </c>
      <c r="U1287" s="9">
        <v>3416</v>
      </c>
      <c r="V1287" s="45">
        <f t="shared" si="104"/>
        <v>-1</v>
      </c>
      <c r="W1287" s="12">
        <v>1.49</v>
      </c>
      <c r="X1287" s="12">
        <v>2.76</v>
      </c>
      <c r="Y1287" s="12">
        <v>20210805</v>
      </c>
    </row>
    <row r="1288" spans="1:25" x14ac:dyDescent="0.45">
      <c r="A1288" s="3" t="s">
        <v>2350</v>
      </c>
      <c r="B1288" s="3" t="s">
        <v>2351</v>
      </c>
      <c r="C1288" s="6" t="s">
        <v>520</v>
      </c>
      <c r="D1288" s="6" t="s">
        <v>189</v>
      </c>
      <c r="E1288" s="6" t="s">
        <v>201</v>
      </c>
      <c r="F1288" s="6">
        <v>14203.19</v>
      </c>
      <c r="G1288" s="2">
        <v>2.11</v>
      </c>
      <c r="H1288" s="2">
        <v>2.5099999999999998</v>
      </c>
      <c r="I1288" s="2">
        <v>2.57</v>
      </c>
      <c r="J1288" s="47">
        <f t="shared" si="100"/>
        <v>0.18957345971563977</v>
      </c>
      <c r="K1288" s="47">
        <f t="shared" si="101"/>
        <v>2.3904382470119546E-2</v>
      </c>
      <c r="L1288" s="8">
        <v>12.68</v>
      </c>
      <c r="M1288" s="8">
        <v>9.4</v>
      </c>
      <c r="N1288" s="8">
        <v>9.18</v>
      </c>
      <c r="O1288" s="17">
        <f t="shared" si="102"/>
        <v>0.49585000000000012</v>
      </c>
      <c r="P1288" s="17">
        <f t="shared" si="103"/>
        <v>3.8402999999999961</v>
      </c>
      <c r="Q1288" s="5">
        <v>1.19</v>
      </c>
      <c r="R1288" s="9">
        <v>28.06</v>
      </c>
      <c r="S1288" s="9">
        <v>6.57</v>
      </c>
      <c r="T1288" s="9">
        <v>64711.351560000003</v>
      </c>
      <c r="U1288" s="9">
        <v>60742.31</v>
      </c>
      <c r="V1288" s="45">
        <f t="shared" si="104"/>
        <v>6.534228876050327E-2</v>
      </c>
      <c r="W1288" s="12">
        <v>-25</v>
      </c>
      <c r="X1288" s="12">
        <v>1.27</v>
      </c>
      <c r="Y1288" s="12">
        <v>20210812</v>
      </c>
    </row>
    <row r="1289" spans="1:25" x14ac:dyDescent="0.45">
      <c r="A1289" s="3" t="s">
        <v>2352</v>
      </c>
      <c r="B1289" s="3" t="s">
        <v>2353</v>
      </c>
      <c r="C1289" s="6" t="s">
        <v>519</v>
      </c>
      <c r="D1289" s="6" t="s">
        <v>189</v>
      </c>
      <c r="E1289" s="6" t="s">
        <v>2354</v>
      </c>
      <c r="F1289" s="6">
        <v>23160.13</v>
      </c>
      <c r="G1289" s="2">
        <v>5.92</v>
      </c>
      <c r="H1289" s="2">
        <v>4.5199999999999996</v>
      </c>
      <c r="I1289" s="2">
        <v>5.0599999999999996</v>
      </c>
      <c r="J1289" s="47">
        <f t="shared" si="100"/>
        <v>-0.23648648648648654</v>
      </c>
      <c r="K1289" s="47">
        <f t="shared" si="101"/>
        <v>0.11946902654867259</v>
      </c>
      <c r="L1289" s="8">
        <v>21.64</v>
      </c>
      <c r="M1289" s="8">
        <v>30.71</v>
      </c>
      <c r="N1289" s="8">
        <v>27.39</v>
      </c>
      <c r="O1289" s="17">
        <f t="shared" si="102"/>
        <v>-1.2985942857142856</v>
      </c>
      <c r="P1289" s="17">
        <f t="shared" si="103"/>
        <v>2.292644444444444</v>
      </c>
      <c r="R1289" s="9">
        <v>53.66</v>
      </c>
      <c r="S1289" s="9">
        <v>16.079999999999998</v>
      </c>
      <c r="T1289" s="9">
        <v>5331.0781200000001</v>
      </c>
      <c r="U1289" s="9">
        <v>5252.28</v>
      </c>
      <c r="V1289" s="45">
        <f t="shared" si="104"/>
        <v>1.5002650277593803E-2</v>
      </c>
      <c r="W1289" s="12">
        <v>51.04</v>
      </c>
      <c r="X1289" s="12">
        <v>0</v>
      </c>
      <c r="Y1289" s="12">
        <v>20210719</v>
      </c>
    </row>
    <row r="1290" spans="1:25" x14ac:dyDescent="0.45">
      <c r="A1290" s="3" t="s">
        <v>2355</v>
      </c>
      <c r="B1290" s="3" t="s">
        <v>2356</v>
      </c>
      <c r="C1290" s="6" t="s">
        <v>519</v>
      </c>
      <c r="D1290" s="6" t="s">
        <v>216</v>
      </c>
      <c r="E1290" s="6" t="s">
        <v>296</v>
      </c>
      <c r="F1290" s="6">
        <v>4262.33</v>
      </c>
      <c r="G1290" s="2">
        <v>5.5</v>
      </c>
      <c r="H1290" s="2">
        <v>6.19</v>
      </c>
      <c r="I1290" s="2">
        <v>6.91</v>
      </c>
      <c r="J1290" s="47">
        <f t="shared" si="100"/>
        <v>0.12545454545454551</v>
      </c>
      <c r="K1290" s="47">
        <f t="shared" si="101"/>
        <v>0.11631663974151853</v>
      </c>
      <c r="L1290" s="8">
        <v>15.91</v>
      </c>
      <c r="M1290" s="8">
        <v>14.86</v>
      </c>
      <c r="N1290" s="8">
        <v>13.32</v>
      </c>
      <c r="O1290" s="17">
        <f t="shared" si="102"/>
        <v>1.1844927536231877</v>
      </c>
      <c r="P1290" s="17">
        <f t="shared" si="103"/>
        <v>1.1451500000000006</v>
      </c>
      <c r="Q1290" s="5">
        <v>0.99</v>
      </c>
      <c r="R1290" s="9">
        <v>17.53</v>
      </c>
      <c r="S1290" s="9">
        <v>-2.78</v>
      </c>
      <c r="T1290" s="9">
        <v>921.97496999999998</v>
      </c>
      <c r="U1290" s="9">
        <v>844.1</v>
      </c>
      <c r="V1290" s="45">
        <f t="shared" si="104"/>
        <v>9.2257990759388647E-2</v>
      </c>
      <c r="W1290" s="12">
        <v>2.99</v>
      </c>
      <c r="X1290" s="12">
        <v>0</v>
      </c>
      <c r="Y1290" s="12">
        <v>20210803</v>
      </c>
    </row>
    <row r="1291" spans="1:25" x14ac:dyDescent="0.45">
      <c r="A1291" s="3" t="s">
        <v>2357</v>
      </c>
      <c r="B1291" s="3" t="s">
        <v>2358</v>
      </c>
      <c r="C1291" s="6" t="s">
        <v>518</v>
      </c>
      <c r="D1291" s="6" t="s">
        <v>303</v>
      </c>
      <c r="E1291" s="6" t="s">
        <v>928</v>
      </c>
      <c r="F1291" s="6">
        <v>134733.26999999999</v>
      </c>
      <c r="G1291" s="2">
        <v>8.76</v>
      </c>
      <c r="H1291" s="2">
        <v>10.76</v>
      </c>
      <c r="I1291" s="2">
        <v>11.47</v>
      </c>
      <c r="J1291" s="47">
        <f t="shared" si="100"/>
        <v>0.22831050228310504</v>
      </c>
      <c r="K1291" s="47">
        <f t="shared" si="101"/>
        <v>6.5985130111524237E-2</v>
      </c>
      <c r="L1291" s="8">
        <v>18.559999999999999</v>
      </c>
      <c r="M1291" s="8">
        <v>17.72</v>
      </c>
      <c r="N1291" s="8">
        <v>16.62</v>
      </c>
      <c r="O1291" s="17">
        <f t="shared" si="102"/>
        <v>0.77613599999999994</v>
      </c>
      <c r="P1291" s="17">
        <f t="shared" si="103"/>
        <v>2.5187492957746453</v>
      </c>
      <c r="Q1291" s="5">
        <v>1.29</v>
      </c>
      <c r="R1291" s="9">
        <v>296.41000000000003</v>
      </c>
      <c r="S1291" s="9">
        <v>7.11</v>
      </c>
      <c r="T1291" s="9">
        <v>91625.625</v>
      </c>
      <c r="U1291" s="9">
        <v>89597</v>
      </c>
      <c r="V1291" s="45">
        <f t="shared" si="104"/>
        <v>2.2641662109222405E-2</v>
      </c>
      <c r="W1291" s="12">
        <v>24.42</v>
      </c>
      <c r="X1291" s="12">
        <v>1.26</v>
      </c>
      <c r="Y1291" s="12">
        <v>20210818</v>
      </c>
    </row>
    <row r="1292" spans="1:25" x14ac:dyDescent="0.45">
      <c r="A1292" s="3" t="s">
        <v>2359</v>
      </c>
      <c r="B1292" s="3" t="s">
        <v>2360</v>
      </c>
      <c r="C1292" s="6" t="s">
        <v>518</v>
      </c>
      <c r="D1292" s="6" t="s">
        <v>189</v>
      </c>
      <c r="E1292" s="6" t="s">
        <v>2354</v>
      </c>
      <c r="F1292" s="6">
        <v>7328.06</v>
      </c>
      <c r="G1292" s="2">
        <v>-0.55000000000000004</v>
      </c>
      <c r="H1292" s="2">
        <v>2.02</v>
      </c>
      <c r="I1292" s="2">
        <v>1.29</v>
      </c>
      <c r="J1292" s="47">
        <f t="shared" si="100"/>
        <v>4.6727272727272728</v>
      </c>
      <c r="K1292" s="47">
        <f t="shared" si="101"/>
        <v>-0.36138613861386137</v>
      </c>
      <c r="L1292" s="8">
        <v>22.76</v>
      </c>
      <c r="M1292" s="8">
        <v>5.07</v>
      </c>
      <c r="N1292" s="8">
        <v>7.94</v>
      </c>
      <c r="O1292" s="17">
        <f t="shared" si="102"/>
        <v>1.0850194552529183E-2</v>
      </c>
      <c r="P1292" s="17">
        <f t="shared" si="103"/>
        <v>-0.21970958904109589</v>
      </c>
      <c r="Q1292" s="5">
        <v>0.16</v>
      </c>
      <c r="R1292" s="9">
        <v>3.13</v>
      </c>
      <c r="S1292" s="9">
        <v>-3.4</v>
      </c>
      <c r="T1292" s="9">
        <v>27109.820309999999</v>
      </c>
      <c r="U1292" s="9">
        <v>20547.14</v>
      </c>
      <c r="V1292" s="45">
        <f t="shared" si="104"/>
        <v>0.31939629116266305</v>
      </c>
      <c r="W1292" s="12">
        <v>-27.5</v>
      </c>
      <c r="X1292" s="12">
        <v>0</v>
      </c>
      <c r="Y1292" s="12">
        <v>20210722</v>
      </c>
    </row>
    <row r="1293" spans="1:25" x14ac:dyDescent="0.45">
      <c r="A1293" s="3" t="s">
        <v>2361</v>
      </c>
      <c r="B1293" s="3" t="s">
        <v>2362</v>
      </c>
      <c r="C1293" s="6" t="s">
        <v>519</v>
      </c>
      <c r="D1293" s="6" t="s">
        <v>234</v>
      </c>
      <c r="E1293" s="6" t="s">
        <v>1642</v>
      </c>
      <c r="F1293" s="6">
        <v>11063.34</v>
      </c>
      <c r="G1293" s="2">
        <v>6.3</v>
      </c>
      <c r="H1293" s="2">
        <v>7.33</v>
      </c>
      <c r="I1293" s="2">
        <v>8.98</v>
      </c>
      <c r="J1293" s="47">
        <f t="shared" si="100"/>
        <v>0.16349206349206355</v>
      </c>
      <c r="K1293" s="47">
        <f t="shared" si="101"/>
        <v>0.22510231923601642</v>
      </c>
      <c r="L1293" s="8">
        <v>22.47</v>
      </c>
      <c r="M1293" s="8">
        <v>18.87</v>
      </c>
      <c r="N1293" s="8">
        <v>15.41</v>
      </c>
      <c r="O1293" s="17">
        <f t="shared" si="102"/>
        <v>1.1541844660194172</v>
      </c>
      <c r="P1293" s="17">
        <f t="shared" si="103"/>
        <v>0.6845775757575755</v>
      </c>
      <c r="R1293" s="9">
        <v>39.31</v>
      </c>
      <c r="S1293" s="9">
        <v>10.36</v>
      </c>
      <c r="T1293" s="9">
        <v>7236.7900300000001</v>
      </c>
      <c r="U1293" s="9">
        <v>5871.64</v>
      </c>
      <c r="V1293" s="45">
        <f t="shared" si="104"/>
        <v>0.23249893215524109</v>
      </c>
      <c r="W1293" s="12">
        <v>19.59</v>
      </c>
      <c r="X1293" s="12">
        <v>0.72</v>
      </c>
      <c r="Y1293" s="12">
        <v>20210729</v>
      </c>
    </row>
    <row r="1294" spans="1:25" x14ac:dyDescent="0.45">
      <c r="A1294" s="3" t="s">
        <v>2363</v>
      </c>
      <c r="B1294" s="3" t="s">
        <v>2364</v>
      </c>
      <c r="C1294" s="6" t="s">
        <v>519</v>
      </c>
      <c r="D1294" s="6" t="s">
        <v>234</v>
      </c>
      <c r="E1294" s="6" t="s">
        <v>218</v>
      </c>
      <c r="F1294" s="6">
        <v>4935.3100000000004</v>
      </c>
      <c r="G1294" s="2">
        <v>-1.37</v>
      </c>
      <c r="H1294" s="2">
        <v>0.71</v>
      </c>
      <c r="I1294" s="2">
        <v>1.1200000000000001</v>
      </c>
      <c r="J1294" s="47">
        <f t="shared" si="100"/>
        <v>1.5182481751824817</v>
      </c>
      <c r="K1294" s="47">
        <f t="shared" si="101"/>
        <v>0.5774647887323946</v>
      </c>
      <c r="L1294" s="8">
        <v>115.03</v>
      </c>
      <c r="M1294" s="8">
        <v>55.08</v>
      </c>
      <c r="N1294" s="8">
        <v>34.82</v>
      </c>
      <c r="O1294" s="17">
        <f t="shared" si="102"/>
        <v>0.36278653846153852</v>
      </c>
      <c r="P1294" s="17">
        <f t="shared" si="103"/>
        <v>0.60298048780487778</v>
      </c>
      <c r="R1294" s="9">
        <v>-50.2</v>
      </c>
      <c r="T1294" s="9">
        <v>214.03199000000001</v>
      </c>
      <c r="U1294" s="9">
        <v>108.89</v>
      </c>
      <c r="V1294" s="45">
        <f t="shared" si="104"/>
        <v>0.96557985122600798</v>
      </c>
      <c r="W1294" s="12">
        <v>7.14</v>
      </c>
      <c r="X1294" s="12">
        <v>0</v>
      </c>
      <c r="Y1294" s="12">
        <v>20210810</v>
      </c>
    </row>
    <row r="1295" spans="1:25" x14ac:dyDescent="0.45">
      <c r="A1295" s="3" t="s">
        <v>2365</v>
      </c>
      <c r="B1295" s="3" t="s">
        <v>2366</v>
      </c>
      <c r="C1295" s="6" t="s">
        <v>519</v>
      </c>
      <c r="D1295" s="6" t="s">
        <v>189</v>
      </c>
      <c r="E1295" s="6" t="s">
        <v>247</v>
      </c>
      <c r="F1295" s="6">
        <v>3913.8</v>
      </c>
      <c r="G1295" s="2">
        <v>-0.17</v>
      </c>
      <c r="H1295" s="2">
        <v>-0.43</v>
      </c>
      <c r="I1295" s="2">
        <v>-0.16</v>
      </c>
      <c r="J1295" s="47">
        <f t="shared" si="100"/>
        <v>-1.5294117647058822</v>
      </c>
      <c r="K1295" s="47">
        <f t="shared" si="101"/>
        <v>0.62790697674418605</v>
      </c>
      <c r="O1295" s="17">
        <f t="shared" si="102"/>
        <v>0</v>
      </c>
      <c r="P1295" s="17">
        <f t="shared" si="103"/>
        <v>0</v>
      </c>
      <c r="R1295" s="9">
        <v>-36.51</v>
      </c>
      <c r="S1295" s="9">
        <v>12.54</v>
      </c>
      <c r="T1295" s="9">
        <v>464.86099000000002</v>
      </c>
      <c r="U1295" s="9">
        <v>366.62</v>
      </c>
      <c r="V1295" s="45">
        <f t="shared" si="104"/>
        <v>0.26796407724619498</v>
      </c>
      <c r="W1295" s="12">
        <v>0</v>
      </c>
      <c r="X1295" s="12">
        <v>0</v>
      </c>
      <c r="Y1295" s="12">
        <v>20210803</v>
      </c>
    </row>
    <row r="1296" spans="1:25" x14ac:dyDescent="0.45">
      <c r="A1296" s="3" t="s">
        <v>2367</v>
      </c>
      <c r="B1296" s="3" t="s">
        <v>2368</v>
      </c>
      <c r="C1296" s="6" t="s">
        <v>518</v>
      </c>
      <c r="D1296" s="6" t="s">
        <v>210</v>
      </c>
      <c r="E1296" s="6" t="s">
        <v>192</v>
      </c>
      <c r="F1296" s="6">
        <v>6494.11</v>
      </c>
      <c r="G1296" s="2">
        <v>4.07</v>
      </c>
      <c r="H1296" s="2">
        <v>12.38</v>
      </c>
      <c r="I1296" s="2">
        <v>6.03</v>
      </c>
      <c r="J1296" s="47">
        <f t="shared" si="100"/>
        <v>2.0417690417690419</v>
      </c>
      <c r="K1296" s="47">
        <f t="shared" si="101"/>
        <v>-0.51292407108239091</v>
      </c>
      <c r="L1296" s="8">
        <v>9.06</v>
      </c>
      <c r="M1296" s="8">
        <v>5.13</v>
      </c>
      <c r="N1296" s="8">
        <v>10.54</v>
      </c>
      <c r="O1296" s="17">
        <f t="shared" si="102"/>
        <v>2.512527075812274E-2</v>
      </c>
      <c r="P1296" s="17">
        <f t="shared" si="103"/>
        <v>-0.20548850393700788</v>
      </c>
      <c r="R1296" s="9">
        <v>63.93</v>
      </c>
      <c r="S1296" s="9">
        <v>3.35</v>
      </c>
      <c r="T1296" s="9">
        <v>3947</v>
      </c>
      <c r="U1296" s="9">
        <v>2788</v>
      </c>
      <c r="V1296" s="45">
        <f t="shared" si="104"/>
        <v>0.41571018651362984</v>
      </c>
      <c r="W1296" s="12">
        <v>9.06</v>
      </c>
      <c r="X1296" s="12">
        <v>1.01</v>
      </c>
      <c r="Y1296" s="12">
        <v>20210803</v>
      </c>
    </row>
    <row r="1297" spans="1:25" x14ac:dyDescent="0.45">
      <c r="A1297" s="3" t="s">
        <v>4800</v>
      </c>
      <c r="B1297" s="3" t="s">
        <v>4801</v>
      </c>
      <c r="C1297" s="6" t="s">
        <v>518</v>
      </c>
      <c r="D1297" s="6" t="s">
        <v>234</v>
      </c>
      <c r="E1297" s="6" t="s">
        <v>904</v>
      </c>
      <c r="F1297" s="6">
        <v>39834.82</v>
      </c>
      <c r="J1297" s="47" t="e">
        <f t="shared" si="100"/>
        <v>#DIV/0!</v>
      </c>
      <c r="K1297" s="47" t="e">
        <f t="shared" si="101"/>
        <v>#DIV/0!</v>
      </c>
      <c r="O1297" s="17" t="e">
        <f t="shared" si="102"/>
        <v>#DIV/0!</v>
      </c>
      <c r="P1297" s="17" t="e">
        <f t="shared" si="103"/>
        <v>#DIV/0!</v>
      </c>
      <c r="V1297" s="45" t="e">
        <f t="shared" si="104"/>
        <v>#DIV/0!</v>
      </c>
      <c r="X1297" s="12">
        <v>2.5099999999999998</v>
      </c>
    </row>
    <row r="1298" spans="1:25" x14ac:dyDescent="0.45">
      <c r="A1298" s="3" t="s">
        <v>2369</v>
      </c>
      <c r="B1298" s="3" t="s">
        <v>2370</v>
      </c>
      <c r="C1298" s="6" t="s">
        <v>519</v>
      </c>
      <c r="D1298" s="6" t="s">
        <v>189</v>
      </c>
      <c r="E1298" s="6" t="s">
        <v>300</v>
      </c>
      <c r="F1298" s="6">
        <v>90433.5</v>
      </c>
      <c r="G1298" s="2">
        <v>15.4</v>
      </c>
      <c r="H1298" s="2">
        <v>26.71</v>
      </c>
      <c r="I1298" s="2">
        <v>32.409999999999997</v>
      </c>
      <c r="J1298" s="47">
        <f t="shared" si="100"/>
        <v>0.73441558441558441</v>
      </c>
      <c r="K1298" s="47">
        <f t="shared" si="101"/>
        <v>0.21340321976787704</v>
      </c>
      <c r="L1298" s="8">
        <v>26.45</v>
      </c>
      <c r="M1298" s="8">
        <v>23.74</v>
      </c>
      <c r="N1298" s="8">
        <v>19.559999999999999</v>
      </c>
      <c r="O1298" s="17">
        <f t="shared" si="102"/>
        <v>0.32325022104332446</v>
      </c>
      <c r="P1298" s="17">
        <f t="shared" si="103"/>
        <v>0.91657473684210578</v>
      </c>
      <c r="Q1298" s="5">
        <v>0.72</v>
      </c>
      <c r="R1298" s="9">
        <v>65.2</v>
      </c>
      <c r="S1298" s="9">
        <v>13.48</v>
      </c>
      <c r="T1298" s="9">
        <v>14487.56835</v>
      </c>
      <c r="U1298" s="9">
        <v>10044.74</v>
      </c>
      <c r="V1298" s="45">
        <f t="shared" si="104"/>
        <v>0.44230396705141195</v>
      </c>
      <c r="W1298" s="12">
        <v>14.18</v>
      </c>
      <c r="X1298" s="12">
        <v>0.82</v>
      </c>
      <c r="Y1298" s="12">
        <v>20210804</v>
      </c>
    </row>
    <row r="1299" spans="1:25" x14ac:dyDescent="0.45">
      <c r="A1299" s="3" t="s">
        <v>2371</v>
      </c>
      <c r="B1299" s="3" t="s">
        <v>2372</v>
      </c>
      <c r="C1299" s="6" t="s">
        <v>520</v>
      </c>
      <c r="D1299" s="6" t="s">
        <v>225</v>
      </c>
      <c r="E1299" s="6" t="s">
        <v>1269</v>
      </c>
      <c r="F1299" s="6">
        <v>260632.95</v>
      </c>
      <c r="G1299" s="2">
        <v>1.75</v>
      </c>
      <c r="H1299" s="2">
        <v>2.02</v>
      </c>
      <c r="I1299" s="2">
        <v>2.2200000000000002</v>
      </c>
      <c r="J1299" s="47">
        <f t="shared" si="100"/>
        <v>0.1542857142857143</v>
      </c>
      <c r="K1299" s="47">
        <f t="shared" si="101"/>
        <v>9.9009900990099098E-2</v>
      </c>
      <c r="M1299" s="8">
        <v>46.22</v>
      </c>
      <c r="N1299" s="8">
        <v>41.98</v>
      </c>
      <c r="O1299" s="17">
        <f t="shared" si="102"/>
        <v>2.9957407407407404</v>
      </c>
      <c r="P1299" s="17">
        <f t="shared" si="103"/>
        <v>4.2399799999999956</v>
      </c>
      <c r="Q1299" s="5">
        <v>5.24</v>
      </c>
      <c r="T1299" s="9">
        <v>37497.164060000003</v>
      </c>
      <c r="U1299" s="9">
        <v>31972.66</v>
      </c>
      <c r="V1299" s="45">
        <f t="shared" si="104"/>
        <v>0.17278837794540719</v>
      </c>
      <c r="X1299" s="12">
        <v>0.83</v>
      </c>
    </row>
    <row r="1300" spans="1:25" x14ac:dyDescent="0.45">
      <c r="A1300" s="3" t="s">
        <v>2373</v>
      </c>
      <c r="B1300" s="3" t="s">
        <v>2374</v>
      </c>
      <c r="C1300" s="6" t="s">
        <v>519</v>
      </c>
      <c r="D1300" s="6" t="s">
        <v>189</v>
      </c>
      <c r="E1300" s="6" t="s">
        <v>213</v>
      </c>
      <c r="F1300" s="6">
        <v>6823.49</v>
      </c>
      <c r="G1300" s="2">
        <v>0.67</v>
      </c>
      <c r="H1300" s="2">
        <v>0.86</v>
      </c>
      <c r="I1300" s="2">
        <v>1.08</v>
      </c>
      <c r="J1300" s="47">
        <f t="shared" si="100"/>
        <v>0.28358208955223874</v>
      </c>
      <c r="K1300" s="47">
        <f t="shared" si="101"/>
        <v>0.25581395348837221</v>
      </c>
      <c r="L1300" s="8">
        <v>64.900000000000006</v>
      </c>
      <c r="M1300" s="8">
        <v>57.84</v>
      </c>
      <c r="N1300" s="8">
        <v>46.27</v>
      </c>
      <c r="O1300" s="17">
        <f t="shared" si="102"/>
        <v>2.0396210526315794</v>
      </c>
      <c r="P1300" s="17">
        <f t="shared" si="103"/>
        <v>1.8087363636363627</v>
      </c>
      <c r="Q1300" s="5">
        <v>5.78</v>
      </c>
      <c r="R1300" s="9">
        <v>16.98</v>
      </c>
      <c r="S1300" s="9">
        <v>-0.42</v>
      </c>
      <c r="T1300" s="9">
        <v>469.65199999999999</v>
      </c>
      <c r="U1300" s="9">
        <v>408.12</v>
      </c>
      <c r="V1300" s="45">
        <f t="shared" si="104"/>
        <v>0.15076938155444472</v>
      </c>
      <c r="W1300" s="12">
        <v>15.79</v>
      </c>
      <c r="X1300" s="12">
        <v>0</v>
      </c>
      <c r="Y1300" s="12">
        <v>20210727</v>
      </c>
    </row>
    <row r="1301" spans="1:25" x14ac:dyDescent="0.45">
      <c r="A1301" s="3" t="s">
        <v>2375</v>
      </c>
      <c r="B1301" s="3" t="s">
        <v>2376</v>
      </c>
      <c r="C1301" s="6" t="s">
        <v>520</v>
      </c>
      <c r="D1301" s="6" t="s">
        <v>234</v>
      </c>
      <c r="E1301" s="6" t="s">
        <v>523</v>
      </c>
      <c r="F1301" s="6">
        <v>7962.64</v>
      </c>
      <c r="G1301" s="2">
        <v>0.44</v>
      </c>
      <c r="H1301" s="2">
        <v>0.61</v>
      </c>
      <c r="I1301" s="2">
        <v>0.73</v>
      </c>
      <c r="J1301" s="47">
        <f t="shared" si="100"/>
        <v>0.38636363636363635</v>
      </c>
      <c r="K1301" s="47">
        <f t="shared" si="101"/>
        <v>0.19672131147540983</v>
      </c>
      <c r="M1301" s="8">
        <v>17.53</v>
      </c>
      <c r="N1301" s="8">
        <v>14.65</v>
      </c>
      <c r="O1301" s="17">
        <f t="shared" si="102"/>
        <v>0.45371764705882361</v>
      </c>
      <c r="P1301" s="17">
        <f t="shared" si="103"/>
        <v>0.74470833333333331</v>
      </c>
      <c r="T1301" s="9">
        <v>595.20001000000002</v>
      </c>
      <c r="U1301" s="9">
        <v>830.75</v>
      </c>
      <c r="V1301" s="45">
        <f t="shared" si="104"/>
        <v>-0.28353895877219376</v>
      </c>
      <c r="X1301" s="12">
        <v>0</v>
      </c>
      <c r="Y1301" s="12">
        <v>20210817</v>
      </c>
    </row>
    <row r="1302" spans="1:25" x14ac:dyDescent="0.45">
      <c r="A1302" s="3" t="s">
        <v>2377</v>
      </c>
      <c r="B1302" s="3" t="s">
        <v>2378</v>
      </c>
      <c r="C1302" s="6" t="s">
        <v>518</v>
      </c>
      <c r="D1302" s="6" t="s">
        <v>234</v>
      </c>
      <c r="E1302" s="6" t="s">
        <v>286</v>
      </c>
      <c r="F1302" s="6">
        <v>8182.03</v>
      </c>
      <c r="G1302" s="2">
        <v>3.92</v>
      </c>
      <c r="H1302" s="2">
        <v>4.4400000000000004</v>
      </c>
      <c r="I1302" s="2">
        <v>4.71</v>
      </c>
      <c r="J1302" s="47">
        <f t="shared" si="100"/>
        <v>0.13265306122448992</v>
      </c>
      <c r="K1302" s="47">
        <f t="shared" si="101"/>
        <v>6.081081081081071E-2</v>
      </c>
      <c r="L1302" s="8">
        <v>20.92</v>
      </c>
      <c r="M1302" s="8">
        <v>24</v>
      </c>
      <c r="N1302" s="8">
        <v>22.62</v>
      </c>
      <c r="O1302" s="17">
        <f t="shared" si="102"/>
        <v>1.8092307692307674</v>
      </c>
      <c r="P1302" s="17">
        <f t="shared" si="103"/>
        <v>3.7197333333333398</v>
      </c>
      <c r="Q1302" s="5">
        <v>6.61</v>
      </c>
      <c r="R1302" s="9">
        <v>7.15</v>
      </c>
      <c r="S1302" s="9">
        <v>7.62</v>
      </c>
      <c r="T1302" s="9">
        <v>698.07299</v>
      </c>
      <c r="U1302" s="9">
        <v>616.77</v>
      </c>
      <c r="V1302" s="45">
        <f t="shared" si="104"/>
        <v>0.13182059762958642</v>
      </c>
      <c r="W1302" s="12">
        <v>6.93</v>
      </c>
      <c r="X1302" s="12">
        <v>2.78</v>
      </c>
      <c r="Y1302" s="12">
        <v>20210805</v>
      </c>
    </row>
    <row r="1303" spans="1:25" x14ac:dyDescent="0.45">
      <c r="A1303" s="3" t="s">
        <v>2379</v>
      </c>
      <c r="B1303" s="3" t="s">
        <v>2380</v>
      </c>
      <c r="C1303" s="6" t="s">
        <v>518</v>
      </c>
      <c r="D1303" s="6" t="s">
        <v>189</v>
      </c>
      <c r="E1303" s="6" t="s">
        <v>248</v>
      </c>
      <c r="F1303" s="6">
        <v>6600.29</v>
      </c>
      <c r="G1303" s="2">
        <v>-1.0900000000000001</v>
      </c>
      <c r="H1303" s="2">
        <v>-0.63</v>
      </c>
      <c r="I1303" s="2">
        <v>-0.53</v>
      </c>
      <c r="J1303" s="47">
        <f t="shared" si="100"/>
        <v>0.42201834862385323</v>
      </c>
      <c r="K1303" s="47">
        <f t="shared" si="101"/>
        <v>0.15873015873015869</v>
      </c>
      <c r="O1303" s="17">
        <f t="shared" si="102"/>
        <v>0</v>
      </c>
      <c r="P1303" s="17">
        <f t="shared" si="103"/>
        <v>0</v>
      </c>
      <c r="R1303" s="9">
        <v>-3.72</v>
      </c>
      <c r="T1303" s="9">
        <v>403.93898999999999</v>
      </c>
      <c r="U1303" s="9">
        <v>221.73</v>
      </c>
      <c r="V1303" s="45">
        <f t="shared" si="104"/>
        <v>0.82176065485049388</v>
      </c>
      <c r="W1303" s="12">
        <v>64</v>
      </c>
      <c r="X1303" s="12">
        <v>0</v>
      </c>
    </row>
    <row r="1304" spans="1:25" x14ac:dyDescent="0.45">
      <c r="A1304" s="3" t="s">
        <v>2381</v>
      </c>
      <c r="B1304" s="3" t="s">
        <v>2382</v>
      </c>
      <c r="C1304" s="6" t="s">
        <v>519</v>
      </c>
      <c r="D1304" s="6" t="s">
        <v>309</v>
      </c>
      <c r="E1304" s="6" t="s">
        <v>2160</v>
      </c>
      <c r="F1304" s="6">
        <v>6221.42</v>
      </c>
      <c r="G1304" s="2">
        <v>5.04</v>
      </c>
      <c r="H1304" s="2">
        <v>8.5500000000000007</v>
      </c>
      <c r="I1304" s="2">
        <v>8.06</v>
      </c>
      <c r="J1304" s="47">
        <f t="shared" si="100"/>
        <v>0.69642857142857151</v>
      </c>
      <c r="K1304" s="47">
        <f t="shared" si="101"/>
        <v>-5.7309941520467859E-2</v>
      </c>
      <c r="L1304" s="8">
        <v>24.5</v>
      </c>
      <c r="M1304" s="8">
        <v>18.93</v>
      </c>
      <c r="N1304" s="8">
        <v>20.09</v>
      </c>
      <c r="O1304" s="17">
        <f t="shared" si="102"/>
        <v>0.27181538461538457</v>
      </c>
      <c r="P1304" s="17">
        <f t="shared" si="103"/>
        <v>-3.5054999999999987</v>
      </c>
      <c r="Q1304" s="5">
        <v>1.58</v>
      </c>
      <c r="R1304" s="9">
        <v>36.130000000000003</v>
      </c>
      <c r="S1304" s="9">
        <v>6.7</v>
      </c>
      <c r="T1304" s="9">
        <v>5470.8032199999998</v>
      </c>
      <c r="U1304" s="9">
        <v>4132.9799999999996</v>
      </c>
      <c r="V1304" s="45">
        <f t="shared" si="104"/>
        <v>0.32369457873011737</v>
      </c>
      <c r="W1304" s="12">
        <v>24.84</v>
      </c>
      <c r="X1304" s="12">
        <v>0.52</v>
      </c>
      <c r="Y1304" s="12">
        <v>20210721</v>
      </c>
    </row>
    <row r="1305" spans="1:25" x14ac:dyDescent="0.45">
      <c r="A1305" s="3" t="s">
        <v>1793</v>
      </c>
      <c r="B1305" s="3" t="s">
        <v>4802</v>
      </c>
      <c r="C1305" s="6" t="s">
        <v>519</v>
      </c>
      <c r="D1305" s="6" t="s">
        <v>189</v>
      </c>
      <c r="E1305" s="6" t="s">
        <v>2130</v>
      </c>
      <c r="F1305" s="6">
        <v>15221.33</v>
      </c>
      <c r="J1305" s="47" t="e">
        <f t="shared" si="100"/>
        <v>#DIV/0!</v>
      </c>
      <c r="K1305" s="47" t="e">
        <f t="shared" si="101"/>
        <v>#DIV/0!</v>
      </c>
      <c r="O1305" s="17" t="e">
        <f t="shared" si="102"/>
        <v>#DIV/0!</v>
      </c>
      <c r="P1305" s="17" t="e">
        <f t="shared" si="103"/>
        <v>#DIV/0!</v>
      </c>
      <c r="R1305" s="9">
        <v>0.02</v>
      </c>
      <c r="S1305" s="9">
        <v>14.86</v>
      </c>
      <c r="T1305" s="9">
        <v>8217.7597600000008</v>
      </c>
      <c r="U1305" s="9">
        <v>8040</v>
      </c>
      <c r="V1305" s="45">
        <f t="shared" si="104"/>
        <v>2.2109422885572241E-2</v>
      </c>
      <c r="X1305" s="12">
        <v>0</v>
      </c>
      <c r="Y1305" s="12">
        <v>20210809</v>
      </c>
    </row>
    <row r="1306" spans="1:25" x14ac:dyDescent="0.45">
      <c r="A1306" s="3" t="s">
        <v>1793</v>
      </c>
      <c r="B1306" s="3" t="s">
        <v>4803</v>
      </c>
      <c r="C1306" s="6" t="s">
        <v>519</v>
      </c>
      <c r="D1306" s="6" t="s">
        <v>189</v>
      </c>
      <c r="E1306" s="6" t="s">
        <v>2130</v>
      </c>
      <c r="F1306" s="6">
        <v>15439.44</v>
      </c>
      <c r="J1306" s="47" t="e">
        <f t="shared" si="100"/>
        <v>#DIV/0!</v>
      </c>
      <c r="K1306" s="47" t="e">
        <f t="shared" si="101"/>
        <v>#DIV/0!</v>
      </c>
      <c r="O1306" s="17" t="e">
        <f t="shared" si="102"/>
        <v>#DIV/0!</v>
      </c>
      <c r="P1306" s="17" t="e">
        <f t="shared" si="103"/>
        <v>#DIV/0!</v>
      </c>
      <c r="S1306" s="9">
        <v>14.86</v>
      </c>
      <c r="U1306" s="9">
        <v>8040</v>
      </c>
      <c r="V1306" s="45">
        <f t="shared" si="104"/>
        <v>-1</v>
      </c>
      <c r="X1306" s="12">
        <v>0</v>
      </c>
      <c r="Y1306" s="12">
        <v>20210809</v>
      </c>
    </row>
    <row r="1307" spans="1:25" x14ac:dyDescent="0.45">
      <c r="A1307" s="3" t="s">
        <v>1793</v>
      </c>
      <c r="B1307" s="3" t="s">
        <v>2383</v>
      </c>
      <c r="C1307" s="6" t="s">
        <v>519</v>
      </c>
      <c r="D1307" s="6" t="s">
        <v>189</v>
      </c>
      <c r="E1307" s="6" t="s">
        <v>2130</v>
      </c>
      <c r="F1307" s="6">
        <v>10316.16</v>
      </c>
      <c r="G1307" s="2">
        <v>0.3</v>
      </c>
      <c r="H1307" s="2">
        <v>1.1499999999999999</v>
      </c>
      <c r="I1307" s="2">
        <v>2.71</v>
      </c>
      <c r="J1307" s="47">
        <f t="shared" si="100"/>
        <v>2.833333333333333</v>
      </c>
      <c r="K1307" s="47">
        <f t="shared" si="101"/>
        <v>1.3565217391304349</v>
      </c>
      <c r="M1307" s="8">
        <v>39.44</v>
      </c>
      <c r="N1307" s="8">
        <v>16.71</v>
      </c>
      <c r="O1307" s="17">
        <f t="shared" si="102"/>
        <v>0.13919999999999999</v>
      </c>
      <c r="P1307" s="17">
        <f t="shared" si="103"/>
        <v>0.1231826923076923</v>
      </c>
      <c r="S1307" s="9">
        <v>14.86</v>
      </c>
      <c r="T1307" s="9">
        <v>8575.0995999999996</v>
      </c>
      <c r="U1307" s="9">
        <v>8040</v>
      </c>
      <c r="V1307" s="45">
        <f t="shared" si="104"/>
        <v>6.6554676616915373E-2</v>
      </c>
      <c r="W1307" s="12">
        <v>-111.11</v>
      </c>
      <c r="X1307" s="12">
        <v>0</v>
      </c>
      <c r="Y1307" s="12">
        <v>20210809</v>
      </c>
    </row>
    <row r="1308" spans="1:25" x14ac:dyDescent="0.45">
      <c r="A1308" s="3" t="s">
        <v>4224</v>
      </c>
      <c r="B1308" s="3" t="s">
        <v>4225</v>
      </c>
      <c r="C1308" s="6" t="s">
        <v>518</v>
      </c>
      <c r="D1308" s="6" t="s">
        <v>90</v>
      </c>
      <c r="E1308" s="6" t="s">
        <v>198</v>
      </c>
      <c r="F1308" s="6">
        <v>3003.13</v>
      </c>
      <c r="G1308" s="2">
        <v>-0.02</v>
      </c>
      <c r="H1308" s="2">
        <v>0.12</v>
      </c>
      <c r="I1308" s="2">
        <v>0.3</v>
      </c>
      <c r="J1308" s="47">
        <f t="shared" si="100"/>
        <v>6.9999999999999991</v>
      </c>
      <c r="K1308" s="47">
        <f t="shared" si="101"/>
        <v>1.5</v>
      </c>
      <c r="M1308" s="8">
        <v>173.64</v>
      </c>
      <c r="N1308" s="8">
        <v>69.069999999999993</v>
      </c>
      <c r="O1308" s="17">
        <f t="shared" si="102"/>
        <v>0.24805714285714286</v>
      </c>
      <c r="P1308" s="17">
        <f t="shared" si="103"/>
        <v>0.46046666666666664</v>
      </c>
      <c r="Q1308" s="5">
        <v>3.64</v>
      </c>
      <c r="R1308" s="9">
        <v>-1.27</v>
      </c>
      <c r="T1308" s="9">
        <v>365.79998000000001</v>
      </c>
      <c r="U1308" s="9">
        <v>288.2</v>
      </c>
      <c r="V1308" s="45">
        <f t="shared" si="104"/>
        <v>0.26925739070090221</v>
      </c>
      <c r="W1308" s="12">
        <v>100</v>
      </c>
      <c r="X1308" s="12">
        <v>0</v>
      </c>
      <c r="Y1308" s="12">
        <v>20210805</v>
      </c>
    </row>
    <row r="1309" spans="1:25" x14ac:dyDescent="0.45">
      <c r="A1309" s="3" t="s">
        <v>2384</v>
      </c>
      <c r="B1309" s="3" t="s">
        <v>2385</v>
      </c>
      <c r="C1309" s="6" t="s">
        <v>518</v>
      </c>
      <c r="D1309" s="6" t="s">
        <v>234</v>
      </c>
      <c r="E1309" s="6" t="s">
        <v>221</v>
      </c>
      <c r="F1309" s="6">
        <v>29967.05</v>
      </c>
      <c r="G1309" s="2">
        <v>0.79</v>
      </c>
      <c r="H1309" s="2">
        <v>1.05</v>
      </c>
      <c r="I1309" s="2">
        <v>1.1599999999999999</v>
      </c>
      <c r="J1309" s="47">
        <f t="shared" si="100"/>
        <v>0.32911392405063289</v>
      </c>
      <c r="K1309" s="47">
        <f t="shared" si="101"/>
        <v>0.10476190476190464</v>
      </c>
      <c r="M1309" s="8">
        <v>11.58</v>
      </c>
      <c r="N1309" s="8">
        <v>10.47</v>
      </c>
      <c r="O1309" s="17">
        <f t="shared" si="102"/>
        <v>0.35185384615384618</v>
      </c>
      <c r="P1309" s="17">
        <f t="shared" si="103"/>
        <v>0.99940909090909213</v>
      </c>
      <c r="Q1309" s="5">
        <v>0.8</v>
      </c>
      <c r="T1309" s="9">
        <v>9427.6220699999994</v>
      </c>
      <c r="U1309" s="9">
        <v>7976.36</v>
      </c>
      <c r="V1309" s="45">
        <f t="shared" si="104"/>
        <v>0.18194540742895254</v>
      </c>
      <c r="W1309" s="12">
        <v>11.11</v>
      </c>
      <c r="X1309" s="12">
        <v>0</v>
      </c>
      <c r="Y1309" s="12">
        <v>20210726</v>
      </c>
    </row>
    <row r="1310" spans="1:25" x14ac:dyDescent="0.45">
      <c r="A1310" s="3" t="s">
        <v>4804</v>
      </c>
      <c r="B1310" s="3" t="s">
        <v>4805</v>
      </c>
      <c r="C1310" s="6" t="s">
        <v>520</v>
      </c>
      <c r="D1310" s="6" t="s">
        <v>289</v>
      </c>
      <c r="E1310" s="6" t="s">
        <v>275</v>
      </c>
      <c r="F1310" s="6">
        <v>62967.64</v>
      </c>
      <c r="J1310" s="47" t="e">
        <f t="shared" si="100"/>
        <v>#DIV/0!</v>
      </c>
      <c r="K1310" s="47" t="e">
        <f t="shared" si="101"/>
        <v>#DIV/0!</v>
      </c>
      <c r="L1310" s="8">
        <v>21.14</v>
      </c>
      <c r="O1310" s="17" t="e">
        <f t="shared" si="102"/>
        <v>#DIV/0!</v>
      </c>
      <c r="P1310" s="17" t="e">
        <f t="shared" si="103"/>
        <v>#DIV/0!</v>
      </c>
      <c r="R1310" s="9">
        <v>5.19</v>
      </c>
      <c r="S1310" s="9">
        <v>3.17</v>
      </c>
      <c r="U1310" s="9">
        <v>77998.55</v>
      </c>
      <c r="V1310" s="45">
        <f t="shared" si="104"/>
        <v>-1</v>
      </c>
      <c r="X1310" s="12">
        <v>1.1000000000000001</v>
      </c>
      <c r="Y1310" s="12">
        <v>20210826</v>
      </c>
    </row>
    <row r="1311" spans="1:25" x14ac:dyDescent="0.45">
      <c r="A1311" s="3" t="s">
        <v>2386</v>
      </c>
      <c r="B1311" s="3" t="s">
        <v>2387</v>
      </c>
      <c r="C1311" s="6" t="s">
        <v>519</v>
      </c>
      <c r="D1311" s="6" t="s">
        <v>216</v>
      </c>
      <c r="E1311" s="6" t="s">
        <v>1256</v>
      </c>
      <c r="F1311" s="6">
        <v>42658.89</v>
      </c>
      <c r="G1311" s="2">
        <v>4.5999999999999996</v>
      </c>
      <c r="H1311" s="2">
        <v>6.75</v>
      </c>
      <c r="I1311" s="2">
        <v>8.3000000000000007</v>
      </c>
      <c r="J1311" s="47">
        <f t="shared" si="100"/>
        <v>0.46739130434782622</v>
      </c>
      <c r="K1311" s="47">
        <f t="shared" si="101"/>
        <v>0.22962962962962974</v>
      </c>
      <c r="L1311" s="8">
        <v>58.02</v>
      </c>
      <c r="M1311" s="8">
        <v>48.45</v>
      </c>
      <c r="N1311" s="8">
        <v>39.4</v>
      </c>
      <c r="O1311" s="17">
        <f t="shared" si="102"/>
        <v>1.0366046511627904</v>
      </c>
      <c r="P1311" s="17">
        <f t="shared" si="103"/>
        <v>1.7158064516129024</v>
      </c>
      <c r="Q1311" s="5">
        <v>2.64</v>
      </c>
      <c r="R1311" s="9">
        <v>31.5</v>
      </c>
      <c r="S1311" s="9">
        <v>17.98</v>
      </c>
      <c r="T1311" s="9">
        <v>5860.5307599999996</v>
      </c>
      <c r="U1311" s="9">
        <v>4401.88</v>
      </c>
      <c r="V1311" s="45">
        <f t="shared" si="104"/>
        <v>0.33136995102092731</v>
      </c>
      <c r="W1311" s="12">
        <v>27.47</v>
      </c>
      <c r="X1311" s="12">
        <v>0</v>
      </c>
      <c r="Y1311" s="12">
        <v>20210914</v>
      </c>
    </row>
    <row r="1312" spans="1:25" x14ac:dyDescent="0.45">
      <c r="A1312" s="3" t="s">
        <v>2388</v>
      </c>
      <c r="B1312" s="3" t="s">
        <v>2389</v>
      </c>
      <c r="C1312" s="6" t="s">
        <v>518</v>
      </c>
      <c r="D1312" s="6" t="s">
        <v>175</v>
      </c>
      <c r="E1312" s="6" t="s">
        <v>305</v>
      </c>
      <c r="F1312" s="6">
        <v>16889.169999999998</v>
      </c>
      <c r="G1312" s="2">
        <v>1.51</v>
      </c>
      <c r="H1312" s="2">
        <v>1.64</v>
      </c>
      <c r="I1312" s="2">
        <v>1.38</v>
      </c>
      <c r="J1312" s="47">
        <f t="shared" si="100"/>
        <v>8.6092715231788006E-2</v>
      </c>
      <c r="K1312" s="47">
        <f t="shared" si="101"/>
        <v>-0.15853658536585366</v>
      </c>
      <c r="L1312" s="8">
        <v>8.7799999999999994</v>
      </c>
      <c r="M1312" s="8">
        <v>9.32</v>
      </c>
      <c r="N1312" s="8">
        <v>11.09</v>
      </c>
      <c r="O1312" s="17">
        <f t="shared" si="102"/>
        <v>1.0825538461538471</v>
      </c>
      <c r="P1312" s="17">
        <f t="shared" si="103"/>
        <v>-0.69952307692307691</v>
      </c>
      <c r="Q1312" s="5">
        <v>3.15</v>
      </c>
      <c r="R1312" s="9">
        <v>15.13</v>
      </c>
      <c r="S1312" s="9">
        <v>6.04</v>
      </c>
      <c r="T1312" s="9">
        <v>19965.126950000002</v>
      </c>
      <c r="U1312" s="9">
        <v>20712</v>
      </c>
      <c r="V1312" s="45">
        <f t="shared" si="104"/>
        <v>-3.6059919370413203E-2</v>
      </c>
      <c r="W1312" s="12">
        <v>7.32</v>
      </c>
      <c r="X1312" s="12">
        <v>6.54</v>
      </c>
      <c r="Y1312" s="12">
        <v>20210804</v>
      </c>
    </row>
    <row r="1313" spans="1:25" x14ac:dyDescent="0.45">
      <c r="A1313" s="3" t="s">
        <v>4806</v>
      </c>
      <c r="B1313" s="3" t="s">
        <v>4807</v>
      </c>
      <c r="C1313" s="6" t="s">
        <v>520</v>
      </c>
      <c r="D1313" s="6" t="s">
        <v>90</v>
      </c>
      <c r="E1313" s="6" t="s">
        <v>269</v>
      </c>
      <c r="F1313" s="6">
        <v>7826.64</v>
      </c>
      <c r="J1313" s="47" t="e">
        <f t="shared" si="100"/>
        <v>#DIV/0!</v>
      </c>
      <c r="K1313" s="47" t="e">
        <f t="shared" si="101"/>
        <v>#DIV/0!</v>
      </c>
      <c r="L1313" s="8">
        <v>18.93</v>
      </c>
      <c r="O1313" s="17" t="e">
        <f t="shared" si="102"/>
        <v>#DIV/0!</v>
      </c>
      <c r="P1313" s="17" t="e">
        <f t="shared" si="103"/>
        <v>#DIV/0!</v>
      </c>
      <c r="R1313" s="9">
        <v>9.34</v>
      </c>
      <c r="S1313" s="9">
        <v>6.21</v>
      </c>
      <c r="U1313" s="9">
        <v>2041.51</v>
      </c>
      <c r="V1313" s="45">
        <f t="shared" si="104"/>
        <v>-1</v>
      </c>
      <c r="X1313" s="12">
        <v>0.57999999999999996</v>
      </c>
      <c r="Y1313" s="12">
        <v>20210804</v>
      </c>
    </row>
    <row r="1314" spans="1:25" x14ac:dyDescent="0.45">
      <c r="A1314" s="3" t="s">
        <v>2390</v>
      </c>
      <c r="B1314" s="3" t="s">
        <v>2391</v>
      </c>
      <c r="C1314" s="6" t="s">
        <v>518</v>
      </c>
      <c r="D1314" s="6" t="s">
        <v>309</v>
      </c>
      <c r="E1314" s="6" t="s">
        <v>307</v>
      </c>
      <c r="F1314" s="6">
        <v>34543.39</v>
      </c>
      <c r="G1314" s="2">
        <v>-6.57</v>
      </c>
      <c r="H1314" s="2">
        <v>-1.32</v>
      </c>
      <c r="I1314" s="2">
        <v>3.18</v>
      </c>
      <c r="J1314" s="47">
        <f t="shared" si="100"/>
        <v>0.79908675799086759</v>
      </c>
      <c r="K1314" s="47">
        <f t="shared" si="101"/>
        <v>3.4090909090909087</v>
      </c>
      <c r="N1314" s="8">
        <v>18.37</v>
      </c>
      <c r="O1314" s="17">
        <f t="shared" si="102"/>
        <v>0</v>
      </c>
      <c r="P1314" s="17">
        <f t="shared" si="103"/>
        <v>5.3885333333333341E-2</v>
      </c>
      <c r="R1314" s="9">
        <v>-46.1</v>
      </c>
      <c r="S1314" s="9">
        <v>-12.02</v>
      </c>
      <c r="T1314" s="9">
        <v>15098.82128</v>
      </c>
      <c r="U1314" s="9">
        <v>9048</v>
      </c>
      <c r="V1314" s="45">
        <f t="shared" si="104"/>
        <v>0.66874682581786027</v>
      </c>
      <c r="W1314" s="12">
        <v>5.49</v>
      </c>
      <c r="X1314" s="12">
        <v>0</v>
      </c>
      <c r="Y1314" s="12">
        <v>20210722</v>
      </c>
    </row>
    <row r="1315" spans="1:25" x14ac:dyDescent="0.45">
      <c r="A1315" s="3" t="s">
        <v>2392</v>
      </c>
      <c r="B1315" s="3" t="s">
        <v>2393</v>
      </c>
      <c r="C1315" s="6" t="s">
        <v>520</v>
      </c>
      <c r="D1315" s="6" t="s">
        <v>216</v>
      </c>
      <c r="E1315" s="6" t="s">
        <v>1256</v>
      </c>
      <c r="F1315" s="6">
        <v>406077.28</v>
      </c>
      <c r="G1315" s="2">
        <v>2.02</v>
      </c>
      <c r="H1315" s="2">
        <v>3.99</v>
      </c>
      <c r="I1315" s="2">
        <v>4.62</v>
      </c>
      <c r="J1315" s="47">
        <f t="shared" si="100"/>
        <v>0.97524752475247534</v>
      </c>
      <c r="K1315" s="47">
        <f t="shared" si="101"/>
        <v>0.15789473684210523</v>
      </c>
      <c r="M1315" s="8">
        <v>40.28</v>
      </c>
      <c r="N1315" s="8">
        <v>34.81</v>
      </c>
      <c r="O1315" s="17">
        <f t="shared" si="102"/>
        <v>0.41302335025380704</v>
      </c>
      <c r="P1315" s="17">
        <f t="shared" si="103"/>
        <v>2.2046333333333341</v>
      </c>
      <c r="T1315" s="9">
        <v>69779.703120000006</v>
      </c>
      <c r="U1315" s="9">
        <v>51000.51</v>
      </c>
      <c r="V1315" s="45">
        <f t="shared" si="104"/>
        <v>0.36821579078326871</v>
      </c>
      <c r="X1315" s="12">
        <v>0.94</v>
      </c>
    </row>
    <row r="1316" spans="1:25" x14ac:dyDescent="0.45">
      <c r="A1316" s="3" t="s">
        <v>2394</v>
      </c>
      <c r="B1316" s="3" t="s">
        <v>2395</v>
      </c>
      <c r="C1316" s="6" t="s">
        <v>518</v>
      </c>
      <c r="D1316" s="6" t="s">
        <v>216</v>
      </c>
      <c r="E1316" s="6" t="s">
        <v>228</v>
      </c>
      <c r="F1316" s="6">
        <v>42086.81</v>
      </c>
      <c r="G1316" s="2">
        <v>-2.06</v>
      </c>
      <c r="H1316" s="2">
        <v>-0.03</v>
      </c>
      <c r="I1316" s="2">
        <v>2.2000000000000002</v>
      </c>
      <c r="J1316" s="47">
        <f t="shared" si="100"/>
        <v>0.98543689320388361</v>
      </c>
      <c r="K1316" s="47">
        <f t="shared" si="101"/>
        <v>74.333333333333329</v>
      </c>
      <c r="N1316" s="8">
        <v>24.98</v>
      </c>
      <c r="O1316" s="17">
        <f t="shared" si="102"/>
        <v>0</v>
      </c>
      <c r="P1316" s="17">
        <f t="shared" si="103"/>
        <v>3.3605381165919285E-3</v>
      </c>
      <c r="R1316" s="9">
        <v>-47.4</v>
      </c>
      <c r="S1316" s="9">
        <v>-15.65</v>
      </c>
      <c r="T1316" s="9">
        <v>7075.2202100000004</v>
      </c>
      <c r="U1316" s="9">
        <v>3612</v>
      </c>
      <c r="V1316" s="45">
        <f t="shared" si="104"/>
        <v>0.95880958194905885</v>
      </c>
      <c r="W1316" s="12">
        <v>7.41</v>
      </c>
      <c r="X1316" s="12">
        <v>0</v>
      </c>
      <c r="Y1316" s="12">
        <v>20210728</v>
      </c>
    </row>
    <row r="1317" spans="1:25" x14ac:dyDescent="0.45">
      <c r="A1317" s="3" t="s">
        <v>2396</v>
      </c>
      <c r="B1317" s="3" t="s">
        <v>2397</v>
      </c>
      <c r="C1317" s="6" t="s">
        <v>518</v>
      </c>
      <c r="D1317" s="6" t="s">
        <v>225</v>
      </c>
      <c r="E1317" s="6" t="s">
        <v>226</v>
      </c>
      <c r="F1317" s="6">
        <v>12068.3</v>
      </c>
      <c r="G1317" s="2">
        <v>2.16</v>
      </c>
      <c r="H1317" s="2">
        <v>3.04</v>
      </c>
      <c r="I1317" s="2">
        <v>3.74</v>
      </c>
      <c r="J1317" s="47">
        <f t="shared" si="100"/>
        <v>0.40740740740740733</v>
      </c>
      <c r="K1317" s="47">
        <f t="shared" si="101"/>
        <v>0.23026315789473689</v>
      </c>
      <c r="L1317" s="8">
        <v>48.25</v>
      </c>
      <c r="M1317" s="8">
        <v>27.12</v>
      </c>
      <c r="N1317" s="8">
        <v>22.06</v>
      </c>
      <c r="O1317" s="17">
        <f t="shared" si="102"/>
        <v>0.66567272727272742</v>
      </c>
      <c r="P1317" s="17">
        <f t="shared" si="103"/>
        <v>0.95803428571428551</v>
      </c>
      <c r="Q1317" s="5">
        <v>2.5099999999999998</v>
      </c>
      <c r="R1317" s="9">
        <v>70</v>
      </c>
      <c r="S1317" s="9">
        <v>4.29</v>
      </c>
      <c r="T1317" s="9">
        <v>3975.8998999999999</v>
      </c>
      <c r="U1317" s="9">
        <v>3792.4</v>
      </c>
      <c r="V1317" s="45">
        <f t="shared" si="104"/>
        <v>4.8386219808037069E-2</v>
      </c>
      <c r="W1317" s="12">
        <v>-11.76</v>
      </c>
      <c r="X1317" s="12">
        <v>1.1399999999999999</v>
      </c>
      <c r="Y1317" s="12">
        <v>20210727</v>
      </c>
    </row>
    <row r="1318" spans="1:25" x14ac:dyDescent="0.45">
      <c r="A1318" s="3" t="s">
        <v>4226</v>
      </c>
      <c r="B1318" s="3" t="s">
        <v>4227</v>
      </c>
      <c r="C1318" s="6" t="s">
        <v>518</v>
      </c>
      <c r="D1318" s="6" t="s">
        <v>234</v>
      </c>
      <c r="E1318" s="6" t="s">
        <v>286</v>
      </c>
      <c r="F1318" s="6">
        <v>3589.74</v>
      </c>
      <c r="G1318" s="2">
        <v>0.75</v>
      </c>
      <c r="H1318" s="2">
        <v>0.76</v>
      </c>
      <c r="I1318" s="2">
        <v>0.75</v>
      </c>
      <c r="J1318" s="47">
        <f t="shared" si="100"/>
        <v>1.3333333333333345E-2</v>
      </c>
      <c r="K1318" s="47">
        <f t="shared" si="101"/>
        <v>-1.3157894736842117E-2</v>
      </c>
      <c r="L1318" s="8">
        <v>16.37</v>
      </c>
      <c r="M1318" s="8">
        <v>17.010000000000002</v>
      </c>
      <c r="N1318" s="8">
        <v>17.239999999999998</v>
      </c>
      <c r="O1318" s="17">
        <f t="shared" si="102"/>
        <v>12.757499999999991</v>
      </c>
      <c r="P1318" s="17">
        <f t="shared" si="103"/>
        <v>-13.102399999999987</v>
      </c>
      <c r="Q1318" s="5">
        <v>8.42</v>
      </c>
      <c r="R1318" s="9">
        <v>11.1</v>
      </c>
      <c r="S1318" s="9">
        <v>-6.24</v>
      </c>
      <c r="T1318" s="9">
        <v>325.76</v>
      </c>
      <c r="U1318" s="9">
        <v>330.45</v>
      </c>
      <c r="V1318" s="45">
        <f t="shared" si="104"/>
        <v>-1.419276743834165E-2</v>
      </c>
      <c r="W1318" s="12">
        <v>15.79</v>
      </c>
      <c r="X1318" s="12">
        <v>3.33</v>
      </c>
      <c r="Y1318" s="12">
        <v>20210805</v>
      </c>
    </row>
    <row r="1319" spans="1:25" x14ac:dyDescent="0.45">
      <c r="A1319" s="3" t="s">
        <v>2398</v>
      </c>
      <c r="B1319" s="3" t="s">
        <v>2399</v>
      </c>
      <c r="C1319" s="6" t="s">
        <v>518</v>
      </c>
      <c r="D1319" s="6" t="s">
        <v>90</v>
      </c>
      <c r="E1319" s="6" t="s">
        <v>196</v>
      </c>
      <c r="F1319" s="6">
        <v>37464.36</v>
      </c>
      <c r="G1319" s="2">
        <v>4.8</v>
      </c>
      <c r="H1319" s="2">
        <v>15.71</v>
      </c>
      <c r="I1319" s="2">
        <v>13.41</v>
      </c>
      <c r="J1319" s="47">
        <f t="shared" si="100"/>
        <v>2.2729166666666667</v>
      </c>
      <c r="K1319" s="47">
        <f t="shared" si="101"/>
        <v>-0.14640356460852963</v>
      </c>
      <c r="L1319" s="8">
        <v>15.24</v>
      </c>
      <c r="M1319" s="8">
        <v>7.13</v>
      </c>
      <c r="N1319" s="8">
        <v>8.35</v>
      </c>
      <c r="O1319" s="17">
        <f t="shared" si="102"/>
        <v>3.1369385884509625E-2</v>
      </c>
      <c r="P1319" s="17">
        <f t="shared" si="103"/>
        <v>-0.57034130434782593</v>
      </c>
      <c r="Q1319" s="5">
        <v>0.89</v>
      </c>
      <c r="R1319" s="9">
        <v>31.39</v>
      </c>
      <c r="S1319" s="9">
        <v>-0.08</v>
      </c>
      <c r="T1319" s="9">
        <v>40451.976560000003</v>
      </c>
      <c r="U1319" s="9">
        <v>27753</v>
      </c>
      <c r="V1319" s="45">
        <f t="shared" si="104"/>
        <v>0.45757130976831345</v>
      </c>
      <c r="W1319" s="12">
        <v>20</v>
      </c>
      <c r="X1319" s="12">
        <v>4.03</v>
      </c>
      <c r="Y1319" s="12">
        <v>20210730</v>
      </c>
    </row>
    <row r="1320" spans="1:25" x14ac:dyDescent="0.45">
      <c r="A1320" s="3" t="s">
        <v>2400</v>
      </c>
      <c r="B1320" s="3" t="s">
        <v>2401</v>
      </c>
      <c r="C1320" s="6" t="s">
        <v>519</v>
      </c>
      <c r="D1320" s="6" t="s">
        <v>189</v>
      </c>
      <c r="E1320" s="6" t="s">
        <v>247</v>
      </c>
      <c r="F1320" s="6">
        <v>18240.63</v>
      </c>
      <c r="G1320" s="2">
        <v>-2.77</v>
      </c>
      <c r="H1320" s="2">
        <v>-0.7</v>
      </c>
      <c r="I1320" s="2">
        <v>0.74</v>
      </c>
      <c r="J1320" s="47">
        <f t="shared" si="100"/>
        <v>0.74729241877256325</v>
      </c>
      <c r="K1320" s="47">
        <f t="shared" si="101"/>
        <v>2.0571428571428574</v>
      </c>
      <c r="N1320" s="8">
        <v>74.5</v>
      </c>
      <c r="O1320" s="17">
        <f t="shared" si="102"/>
        <v>0</v>
      </c>
      <c r="P1320" s="17">
        <f t="shared" si="103"/>
        <v>0.36215277777777771</v>
      </c>
      <c r="R1320" s="9">
        <v>-80.709999999999994</v>
      </c>
      <c r="T1320" s="9">
        <v>3227.8400799999999</v>
      </c>
      <c r="U1320" s="9">
        <v>2364.6799999999998</v>
      </c>
      <c r="V1320" s="45">
        <f t="shared" si="104"/>
        <v>0.36502193954361695</v>
      </c>
      <c r="W1320" s="12">
        <v>33.33</v>
      </c>
      <c r="X1320" s="12">
        <v>0</v>
      </c>
      <c r="Y1320" s="12">
        <v>20210811</v>
      </c>
    </row>
    <row r="1321" spans="1:25" x14ac:dyDescent="0.45">
      <c r="A1321" s="3" t="s">
        <v>2402</v>
      </c>
      <c r="B1321" s="3" t="s">
        <v>2403</v>
      </c>
      <c r="C1321" s="6" t="s">
        <v>518</v>
      </c>
      <c r="D1321" s="6" t="s">
        <v>234</v>
      </c>
      <c r="E1321" s="6" t="s">
        <v>105</v>
      </c>
      <c r="F1321" s="6">
        <v>47888.4</v>
      </c>
      <c r="G1321" s="2">
        <v>7.0000000000000007E-2</v>
      </c>
      <c r="H1321" s="2">
        <v>0.33</v>
      </c>
      <c r="I1321" s="2">
        <v>0.31</v>
      </c>
      <c r="J1321" s="47">
        <f t="shared" si="100"/>
        <v>3.714285714285714</v>
      </c>
      <c r="K1321" s="47">
        <f t="shared" si="101"/>
        <v>-6.0606060606060656E-2</v>
      </c>
      <c r="M1321" s="8">
        <v>8.1</v>
      </c>
      <c r="N1321" s="8">
        <v>8.8000000000000007</v>
      </c>
      <c r="O1321" s="17">
        <f t="shared" si="102"/>
        <v>2.1807692307692309E-2</v>
      </c>
      <c r="P1321" s="17">
        <f t="shared" si="103"/>
        <v>-1.4519999999999988</v>
      </c>
      <c r="Q1321" s="5">
        <v>0.26</v>
      </c>
      <c r="T1321" s="9">
        <v>20792.574209999999</v>
      </c>
      <c r="U1321" s="9">
        <v>43496.56</v>
      </c>
      <c r="V1321" s="45">
        <f t="shared" si="104"/>
        <v>-0.52197198560070035</v>
      </c>
      <c r="W1321" s="12">
        <v>-200</v>
      </c>
      <c r="X1321" s="12">
        <v>1.19</v>
      </c>
      <c r="Y1321" s="12">
        <v>20210729</v>
      </c>
    </row>
    <row r="1322" spans="1:25" x14ac:dyDescent="0.45">
      <c r="A1322" s="3" t="s">
        <v>4228</v>
      </c>
      <c r="B1322" s="3" t="s">
        <v>4229</v>
      </c>
      <c r="C1322" s="6" t="s">
        <v>520</v>
      </c>
      <c r="D1322" s="6" t="s">
        <v>90</v>
      </c>
      <c r="E1322" s="6" t="s">
        <v>268</v>
      </c>
      <c r="F1322" s="6">
        <v>3784.53</v>
      </c>
      <c r="H1322" s="2">
        <v>0.13</v>
      </c>
      <c r="I1322" s="2">
        <v>0.28000000000000003</v>
      </c>
      <c r="J1322" s="47" t="e">
        <f t="shared" si="100"/>
        <v>#DIV/0!</v>
      </c>
      <c r="K1322" s="47">
        <f t="shared" si="101"/>
        <v>1.153846153846154</v>
      </c>
      <c r="M1322" s="8">
        <v>32.31</v>
      </c>
      <c r="N1322" s="8">
        <v>15</v>
      </c>
      <c r="O1322" s="17" t="e">
        <f t="shared" si="102"/>
        <v>#DIV/0!</v>
      </c>
      <c r="P1322" s="17">
        <f t="shared" si="103"/>
        <v>0.12999999999999998</v>
      </c>
      <c r="U1322" s="9">
        <v>278.42</v>
      </c>
      <c r="V1322" s="45">
        <f t="shared" si="104"/>
        <v>-1</v>
      </c>
      <c r="X1322" s="12">
        <v>0</v>
      </c>
    </row>
    <row r="1323" spans="1:25" x14ac:dyDescent="0.45">
      <c r="A1323" s="3" t="s">
        <v>2404</v>
      </c>
      <c r="B1323" s="3" t="s">
        <v>2405</v>
      </c>
      <c r="C1323" s="6" t="s">
        <v>518</v>
      </c>
      <c r="D1323" s="6" t="s">
        <v>216</v>
      </c>
      <c r="E1323" s="6" t="s">
        <v>1102</v>
      </c>
      <c r="F1323" s="6">
        <v>19281.3</v>
      </c>
      <c r="G1323" s="2">
        <v>-8.52</v>
      </c>
      <c r="H1323" s="2">
        <v>-3.49</v>
      </c>
      <c r="I1323" s="2">
        <v>0.88</v>
      </c>
      <c r="J1323" s="47">
        <f t="shared" si="100"/>
        <v>0.59037558685446001</v>
      </c>
      <c r="K1323" s="47">
        <f t="shared" si="101"/>
        <v>1.2521489971346704</v>
      </c>
      <c r="N1323" s="8">
        <v>99.97</v>
      </c>
      <c r="O1323" s="17">
        <f t="shared" si="102"/>
        <v>0</v>
      </c>
      <c r="P1323" s="17">
        <f t="shared" si="103"/>
        <v>0.79838741418764303</v>
      </c>
      <c r="R1323" s="9">
        <v>-1833.44</v>
      </c>
      <c r="S1323" s="9">
        <v>-19.91</v>
      </c>
      <c r="T1323" s="9">
        <v>4786.49316</v>
      </c>
      <c r="U1323" s="9">
        <v>1861.18</v>
      </c>
      <c r="V1323" s="45">
        <f t="shared" si="104"/>
        <v>1.5717518778409394</v>
      </c>
      <c r="W1323" s="12">
        <v>13.25</v>
      </c>
      <c r="X1323" s="12">
        <v>0</v>
      </c>
      <c r="Y1323" s="12">
        <v>20210804</v>
      </c>
    </row>
    <row r="1324" spans="1:25" x14ac:dyDescent="0.45">
      <c r="A1324" s="3" t="s">
        <v>2406</v>
      </c>
      <c r="B1324" s="3" t="s">
        <v>2407</v>
      </c>
      <c r="C1324" s="6" t="s">
        <v>520</v>
      </c>
      <c r="D1324" s="6" t="s">
        <v>279</v>
      </c>
      <c r="E1324" s="6" t="s">
        <v>264</v>
      </c>
      <c r="F1324" s="6">
        <v>53513.279999999999</v>
      </c>
      <c r="G1324" s="2">
        <v>1.43</v>
      </c>
      <c r="H1324" s="2">
        <v>1.45</v>
      </c>
      <c r="I1324" s="2">
        <v>1.65</v>
      </c>
      <c r="J1324" s="47">
        <f t="shared" si="100"/>
        <v>1.3986013986014E-2</v>
      </c>
      <c r="K1324" s="47">
        <f t="shared" si="101"/>
        <v>0.13793103448275859</v>
      </c>
      <c r="M1324" s="8">
        <v>49.67</v>
      </c>
      <c r="N1324" s="8">
        <v>43.64</v>
      </c>
      <c r="O1324" s="17">
        <f t="shared" si="102"/>
        <v>35.514049999999962</v>
      </c>
      <c r="P1324" s="17">
        <f t="shared" si="103"/>
        <v>3.1639000000000008</v>
      </c>
      <c r="T1324" s="9">
        <v>6112.5898399999996</v>
      </c>
      <c r="U1324" s="9">
        <v>4807.6099999999997</v>
      </c>
      <c r="V1324" s="45">
        <f t="shared" si="104"/>
        <v>0.27144045378056875</v>
      </c>
      <c r="X1324" s="12">
        <v>0.13</v>
      </c>
    </row>
    <row r="1325" spans="1:25" x14ac:dyDescent="0.45">
      <c r="A1325" s="3" t="s">
        <v>2408</v>
      </c>
      <c r="B1325" s="3" t="s">
        <v>2409</v>
      </c>
      <c r="C1325" s="6" t="s">
        <v>518</v>
      </c>
      <c r="D1325" s="6" t="s">
        <v>303</v>
      </c>
      <c r="E1325" s="6" t="s">
        <v>2269</v>
      </c>
      <c r="F1325" s="6">
        <v>6112.62</v>
      </c>
      <c r="G1325" s="2">
        <v>-2.84</v>
      </c>
      <c r="H1325" s="2">
        <v>2.15</v>
      </c>
      <c r="I1325" s="2">
        <v>1.92</v>
      </c>
      <c r="J1325" s="47">
        <f t="shared" si="100"/>
        <v>1.757042253521127</v>
      </c>
      <c r="K1325" s="47">
        <f t="shared" si="101"/>
        <v>-0.10697674418604651</v>
      </c>
      <c r="L1325" s="8">
        <v>103.16</v>
      </c>
      <c r="M1325" s="8">
        <v>9.1</v>
      </c>
      <c r="N1325" s="8">
        <v>10.19</v>
      </c>
      <c r="O1325" s="17">
        <f t="shared" si="102"/>
        <v>5.1791583166332658E-2</v>
      </c>
      <c r="P1325" s="17">
        <f t="shared" si="103"/>
        <v>-0.9525434782608696</v>
      </c>
      <c r="Q1325" s="5">
        <v>0.76</v>
      </c>
      <c r="R1325" s="9">
        <v>2.78</v>
      </c>
      <c r="S1325" s="9">
        <v>-6.51</v>
      </c>
      <c r="T1325" s="9">
        <v>21830.630850000001</v>
      </c>
      <c r="U1325" s="9">
        <v>17346</v>
      </c>
      <c r="V1325" s="45">
        <f t="shared" si="104"/>
        <v>0.25853976997578698</v>
      </c>
      <c r="W1325" s="12">
        <v>195.12</v>
      </c>
      <c r="X1325" s="12">
        <v>0</v>
      </c>
      <c r="Y1325" s="12">
        <v>20210901</v>
      </c>
    </row>
    <row r="1326" spans="1:25" x14ac:dyDescent="0.45">
      <c r="A1326" s="3" t="s">
        <v>2410</v>
      </c>
      <c r="B1326" s="3" t="s">
        <v>2411</v>
      </c>
      <c r="C1326" s="6" t="s">
        <v>518</v>
      </c>
      <c r="D1326" s="6" t="s">
        <v>175</v>
      </c>
      <c r="E1326" s="6" t="s">
        <v>224</v>
      </c>
      <c r="F1326" s="6">
        <v>360077.28</v>
      </c>
      <c r="G1326" s="2">
        <v>6.3</v>
      </c>
      <c r="H1326" s="2">
        <v>7.75</v>
      </c>
      <c r="I1326" s="2">
        <v>10.31</v>
      </c>
      <c r="J1326" s="47">
        <f t="shared" si="100"/>
        <v>0.2301587301587302</v>
      </c>
      <c r="K1326" s="47">
        <f t="shared" si="101"/>
        <v>0.33032258064516135</v>
      </c>
      <c r="L1326" s="8">
        <v>57.31</v>
      </c>
      <c r="M1326" s="8">
        <v>46.88</v>
      </c>
      <c r="N1326" s="8">
        <v>35.24</v>
      </c>
      <c r="O1326" s="17">
        <f t="shared" si="102"/>
        <v>2.0368551724137931</v>
      </c>
      <c r="P1326" s="17">
        <f t="shared" si="103"/>
        <v>1.0668359374999998</v>
      </c>
      <c r="Q1326" s="5">
        <v>2.12</v>
      </c>
      <c r="R1326" s="9">
        <v>100.68</v>
      </c>
      <c r="S1326" s="9">
        <v>11.18</v>
      </c>
      <c r="T1326" s="9">
        <v>18327.052729999999</v>
      </c>
      <c r="U1326" s="9">
        <v>15301</v>
      </c>
      <c r="V1326" s="45">
        <f t="shared" si="104"/>
        <v>0.19776829815044764</v>
      </c>
      <c r="W1326" s="12">
        <v>12.26</v>
      </c>
      <c r="X1326" s="12">
        <v>0.48</v>
      </c>
      <c r="Y1326" s="12">
        <v>20210729</v>
      </c>
    </row>
    <row r="1327" spans="1:25" x14ac:dyDescent="0.45">
      <c r="A1327" s="3" t="s">
        <v>2412</v>
      </c>
      <c r="B1327" s="3" t="s">
        <v>2413</v>
      </c>
      <c r="C1327" s="6" t="s">
        <v>518</v>
      </c>
      <c r="D1327" s="6" t="s">
        <v>234</v>
      </c>
      <c r="E1327" s="6" t="s">
        <v>287</v>
      </c>
      <c r="F1327" s="6">
        <v>19312.78</v>
      </c>
      <c r="G1327" s="2">
        <v>6.41</v>
      </c>
      <c r="H1327" s="2">
        <v>6.54</v>
      </c>
      <c r="I1327" s="2">
        <v>7</v>
      </c>
      <c r="J1327" s="47">
        <f t="shared" si="100"/>
        <v>2.0280811232449281E-2</v>
      </c>
      <c r="K1327" s="47">
        <f t="shared" si="101"/>
        <v>7.0336391437308868E-2</v>
      </c>
      <c r="L1327" s="8">
        <v>26.15</v>
      </c>
      <c r="M1327" s="8">
        <v>25.78</v>
      </c>
      <c r="N1327" s="8">
        <v>24.1</v>
      </c>
      <c r="O1327" s="17">
        <f t="shared" si="102"/>
        <v>12.711523076923086</v>
      </c>
      <c r="P1327" s="17">
        <f t="shared" si="103"/>
        <v>3.4263913043478262</v>
      </c>
      <c r="Q1327" s="5">
        <v>12.89</v>
      </c>
      <c r="R1327" s="9">
        <v>4.33</v>
      </c>
      <c r="S1327" s="9">
        <v>9.4600000000000009</v>
      </c>
      <c r="T1327" s="9">
        <v>1723.5760399999999</v>
      </c>
      <c r="U1327" s="9">
        <v>1677.98</v>
      </c>
      <c r="V1327" s="45">
        <f t="shared" si="104"/>
        <v>2.7173172505035759E-2</v>
      </c>
      <c r="W1327" s="12">
        <v>1.86</v>
      </c>
      <c r="X1327" s="12">
        <v>2.4300000000000002</v>
      </c>
      <c r="Y1327" s="12">
        <v>20210804</v>
      </c>
    </row>
    <row r="1328" spans="1:25" x14ac:dyDescent="0.45">
      <c r="A1328" s="3" t="s">
        <v>4230</v>
      </c>
      <c r="B1328" s="3" t="s">
        <v>4231</v>
      </c>
      <c r="C1328" s="6" t="s">
        <v>518</v>
      </c>
      <c r="D1328" s="6" t="s">
        <v>234</v>
      </c>
      <c r="E1328" s="6" t="s">
        <v>288</v>
      </c>
      <c r="F1328" s="6">
        <v>3232.65</v>
      </c>
      <c r="G1328" s="2">
        <v>2.2400000000000002</v>
      </c>
      <c r="H1328" s="2">
        <v>1.84</v>
      </c>
      <c r="I1328" s="2">
        <v>1.91</v>
      </c>
      <c r="J1328" s="47">
        <f t="shared" si="100"/>
        <v>-0.1785714285714286</v>
      </c>
      <c r="K1328" s="47">
        <f t="shared" si="101"/>
        <v>3.8043478260869477E-2</v>
      </c>
      <c r="L1328" s="8">
        <v>9.9499999999999993</v>
      </c>
      <c r="M1328" s="8">
        <v>9.7899999999999991</v>
      </c>
      <c r="N1328" s="8">
        <v>9.42</v>
      </c>
      <c r="O1328" s="17">
        <f t="shared" si="102"/>
        <v>-0.54823999999999984</v>
      </c>
      <c r="P1328" s="17">
        <f t="shared" si="103"/>
        <v>2.4761142857142913</v>
      </c>
      <c r="Q1328" s="5">
        <v>6.4</v>
      </c>
      <c r="R1328" s="9">
        <v>-11.74</v>
      </c>
      <c r="S1328" s="9">
        <v>-6.37</v>
      </c>
      <c r="T1328" s="9">
        <v>793.62297999999998</v>
      </c>
      <c r="U1328" s="9">
        <v>786.03</v>
      </c>
      <c r="V1328" s="45">
        <f t="shared" si="104"/>
        <v>9.6599111993181073E-3</v>
      </c>
      <c r="W1328" s="12">
        <v>-2.17</v>
      </c>
      <c r="X1328" s="12">
        <v>3.33</v>
      </c>
      <c r="Y1328" s="12">
        <v>20210810</v>
      </c>
    </row>
    <row r="1329" spans="1:25" x14ac:dyDescent="0.45">
      <c r="A1329" s="3" t="s">
        <v>2414</v>
      </c>
      <c r="B1329" s="3" t="s">
        <v>2415</v>
      </c>
      <c r="C1329" s="6" t="s">
        <v>520</v>
      </c>
      <c r="D1329" s="6" t="s">
        <v>303</v>
      </c>
      <c r="E1329" s="6" t="s">
        <v>295</v>
      </c>
      <c r="F1329" s="6">
        <v>4431.5</v>
      </c>
      <c r="G1329" s="2">
        <v>0.08</v>
      </c>
      <c r="H1329" s="2">
        <v>0.36</v>
      </c>
      <c r="I1329" s="2">
        <v>0.48</v>
      </c>
      <c r="J1329" s="47">
        <f t="shared" si="100"/>
        <v>3.4999999999999996</v>
      </c>
      <c r="K1329" s="47">
        <f t="shared" si="101"/>
        <v>0.33333333333333331</v>
      </c>
      <c r="M1329" s="8">
        <v>12.58</v>
      </c>
      <c r="N1329" s="8">
        <v>9.44</v>
      </c>
      <c r="O1329" s="17">
        <f t="shared" si="102"/>
        <v>3.5942857142857151E-2</v>
      </c>
      <c r="P1329" s="17">
        <f t="shared" si="103"/>
        <v>0.28320000000000001</v>
      </c>
      <c r="T1329" s="9">
        <v>13828.554679999999</v>
      </c>
      <c r="U1329" s="9">
        <v>11978.13</v>
      </c>
      <c r="V1329" s="45">
        <f t="shared" si="104"/>
        <v>0.15448360303319469</v>
      </c>
      <c r="X1329" s="12">
        <v>0</v>
      </c>
    </row>
    <row r="1330" spans="1:25" x14ac:dyDescent="0.45">
      <c r="A1330" s="3" t="s">
        <v>2416</v>
      </c>
      <c r="B1330" s="3" t="s">
        <v>2417</v>
      </c>
      <c r="C1330" s="6" t="s">
        <v>518</v>
      </c>
      <c r="D1330" s="6" t="s">
        <v>175</v>
      </c>
      <c r="E1330" s="6" t="s">
        <v>1922</v>
      </c>
      <c r="F1330" s="6">
        <v>6715.39</v>
      </c>
      <c r="G1330" s="2">
        <v>3.34</v>
      </c>
      <c r="H1330" s="2">
        <v>6.26</v>
      </c>
      <c r="I1330" s="2">
        <v>8.1</v>
      </c>
      <c r="J1330" s="47">
        <f t="shared" si="100"/>
        <v>0.87425149700598803</v>
      </c>
      <c r="K1330" s="47">
        <f t="shared" si="101"/>
        <v>0.29392971246006389</v>
      </c>
      <c r="L1330" s="8">
        <v>31.02</v>
      </c>
      <c r="M1330" s="8">
        <v>19.670000000000002</v>
      </c>
      <c r="N1330" s="8">
        <v>15.21</v>
      </c>
      <c r="O1330" s="17">
        <f t="shared" si="102"/>
        <v>0.22499246575342466</v>
      </c>
      <c r="P1330" s="17">
        <f t="shared" si="103"/>
        <v>0.51747065217391308</v>
      </c>
      <c r="Q1330" s="5">
        <v>0.91</v>
      </c>
      <c r="R1330" s="9">
        <v>9.11</v>
      </c>
      <c r="S1330" s="9">
        <v>-1.31</v>
      </c>
      <c r="T1330" s="9">
        <v>20534.38867</v>
      </c>
      <c r="U1330" s="9">
        <v>18001</v>
      </c>
      <c r="V1330" s="45">
        <f t="shared" si="104"/>
        <v>0.14073599633353703</v>
      </c>
      <c r="W1330" s="12">
        <v>68.180000000000007</v>
      </c>
      <c r="X1330" s="12">
        <v>2.0499999999999998</v>
      </c>
      <c r="Y1330" s="12">
        <v>20210719</v>
      </c>
    </row>
    <row r="1331" spans="1:25" x14ac:dyDescent="0.45">
      <c r="A1331" s="3" t="s">
        <v>2418</v>
      </c>
      <c r="B1331" s="3" t="s">
        <v>2419</v>
      </c>
      <c r="C1331" s="6" t="s">
        <v>519</v>
      </c>
      <c r="D1331" s="6" t="s">
        <v>189</v>
      </c>
      <c r="E1331" s="6" t="s">
        <v>202</v>
      </c>
      <c r="F1331" s="6">
        <v>8811.64</v>
      </c>
      <c r="G1331" s="2">
        <v>1.64</v>
      </c>
      <c r="H1331" s="2">
        <v>1.65</v>
      </c>
      <c r="I1331" s="2">
        <v>1.78</v>
      </c>
      <c r="J1331" s="47">
        <f t="shared" si="100"/>
        <v>6.0975609756097615E-3</v>
      </c>
      <c r="K1331" s="47">
        <f t="shared" si="101"/>
        <v>7.8787878787878865E-2</v>
      </c>
      <c r="L1331" s="8">
        <v>77.38</v>
      </c>
      <c r="M1331" s="8">
        <v>83.94</v>
      </c>
      <c r="N1331" s="8">
        <v>77.959999999999994</v>
      </c>
      <c r="O1331" s="17">
        <f t="shared" si="102"/>
        <v>137.66159999999988</v>
      </c>
      <c r="P1331" s="17">
        <f t="shared" si="103"/>
        <v>9.8949230769230656</v>
      </c>
      <c r="R1331" s="9">
        <v>43.99</v>
      </c>
      <c r="S1331" s="9">
        <v>0.17</v>
      </c>
      <c r="T1331" s="9">
        <v>633.25298999999995</v>
      </c>
      <c r="U1331" s="9">
        <v>586.37</v>
      </c>
      <c r="V1331" s="45">
        <f t="shared" si="104"/>
        <v>7.9954619097156995E-2</v>
      </c>
      <c r="W1331" s="12">
        <v>34.380000000000003</v>
      </c>
      <c r="X1331" s="12">
        <v>0</v>
      </c>
      <c r="Y1331" s="12">
        <v>20210722</v>
      </c>
    </row>
    <row r="1332" spans="1:25" x14ac:dyDescent="0.45">
      <c r="A1332" s="3" t="s">
        <v>2420</v>
      </c>
      <c r="B1332" s="3" t="s">
        <v>2421</v>
      </c>
      <c r="C1332" s="6" t="s">
        <v>519</v>
      </c>
      <c r="D1332" s="6" t="s">
        <v>189</v>
      </c>
      <c r="E1332" s="6" t="s">
        <v>1057</v>
      </c>
      <c r="F1332" s="6">
        <v>3567.64</v>
      </c>
      <c r="G1332" s="2">
        <v>3.27</v>
      </c>
      <c r="H1332" s="2">
        <v>3.54</v>
      </c>
      <c r="I1332" s="2">
        <v>3.75</v>
      </c>
      <c r="J1332" s="47">
        <f t="shared" si="100"/>
        <v>8.2568807339449546E-2</v>
      </c>
      <c r="K1332" s="47">
        <f t="shared" si="101"/>
        <v>5.9322033898305072E-2</v>
      </c>
      <c r="L1332" s="8">
        <v>25.54</v>
      </c>
      <c r="M1332" s="8">
        <v>24.84</v>
      </c>
      <c r="N1332" s="8">
        <v>23.41</v>
      </c>
      <c r="O1332" s="17">
        <f t="shared" si="102"/>
        <v>3.0083999999999995</v>
      </c>
      <c r="P1332" s="17">
        <f t="shared" si="103"/>
        <v>3.946257142857144</v>
      </c>
      <c r="Q1332" s="5">
        <v>4.91</v>
      </c>
      <c r="R1332" s="9">
        <v>8.94</v>
      </c>
      <c r="S1332" s="9">
        <v>11.85</v>
      </c>
      <c r="T1332" s="9">
        <v>2679.58691</v>
      </c>
      <c r="U1332" s="9">
        <v>2518.38</v>
      </c>
      <c r="V1332" s="45">
        <f t="shared" si="104"/>
        <v>6.401214669748008E-2</v>
      </c>
      <c r="W1332" s="12">
        <v>6.02</v>
      </c>
      <c r="X1332" s="12">
        <v>1.73</v>
      </c>
      <c r="Y1332" s="12">
        <v>20210804</v>
      </c>
    </row>
    <row r="1333" spans="1:25" x14ac:dyDescent="0.45">
      <c r="A1333" s="3" t="s">
        <v>2422</v>
      </c>
      <c r="B1333" s="3" t="s">
        <v>2423</v>
      </c>
      <c r="C1333" s="6" t="s">
        <v>519</v>
      </c>
      <c r="D1333" s="6" t="s">
        <v>216</v>
      </c>
      <c r="E1333" s="6" t="s">
        <v>231</v>
      </c>
      <c r="F1333" s="6">
        <v>46657.25</v>
      </c>
      <c r="G1333" s="2">
        <v>-0.23</v>
      </c>
      <c r="H1333" s="2">
        <v>2.09</v>
      </c>
      <c r="I1333" s="2">
        <v>4.5999999999999996</v>
      </c>
      <c r="J1333" s="47">
        <f t="shared" si="100"/>
        <v>10.086956521739129</v>
      </c>
      <c r="K1333" s="47">
        <f t="shared" si="101"/>
        <v>1.200956937799043</v>
      </c>
      <c r="M1333" s="8">
        <v>68.709999999999994</v>
      </c>
      <c r="N1333" s="8">
        <v>31.28</v>
      </c>
      <c r="O1333" s="17">
        <f t="shared" si="102"/>
        <v>6.8117672413793101E-2</v>
      </c>
      <c r="P1333" s="17">
        <f t="shared" si="103"/>
        <v>0.26045896414342634</v>
      </c>
      <c r="R1333" s="9">
        <v>-57.49</v>
      </c>
      <c r="S1333" s="9">
        <v>-7.06</v>
      </c>
      <c r="T1333" s="9">
        <v>13233.08496</v>
      </c>
      <c r="U1333" s="9">
        <v>10571</v>
      </c>
      <c r="V1333" s="45">
        <f t="shared" si="104"/>
        <v>0.25182905685365625</v>
      </c>
      <c r="W1333" s="12">
        <v>233.33</v>
      </c>
      <c r="X1333" s="12">
        <v>0</v>
      </c>
      <c r="Y1333" s="12">
        <v>20210809</v>
      </c>
    </row>
    <row r="1334" spans="1:25" x14ac:dyDescent="0.45">
      <c r="A1334" s="3" t="s">
        <v>2424</v>
      </c>
      <c r="B1334" s="3" t="s">
        <v>2425</v>
      </c>
      <c r="C1334" s="6" t="s">
        <v>520</v>
      </c>
      <c r="D1334" s="6" t="s">
        <v>1042</v>
      </c>
      <c r="E1334" s="6" t="s">
        <v>1043</v>
      </c>
      <c r="F1334" s="6">
        <v>15891.72</v>
      </c>
      <c r="G1334" s="2">
        <v>10.45</v>
      </c>
      <c r="H1334" s="2">
        <v>16.3</v>
      </c>
      <c r="I1334" s="2">
        <v>15.87</v>
      </c>
      <c r="J1334" s="47">
        <f t="shared" si="100"/>
        <v>0.55980861244019153</v>
      </c>
      <c r="K1334" s="47">
        <f t="shared" si="101"/>
        <v>-2.63803680981596E-2</v>
      </c>
      <c r="L1334" s="8">
        <v>7.63</v>
      </c>
      <c r="M1334" s="8">
        <v>5.61</v>
      </c>
      <c r="N1334" s="8">
        <v>5.76</v>
      </c>
      <c r="O1334" s="17">
        <f t="shared" si="102"/>
        <v>0.10021282051282049</v>
      </c>
      <c r="P1334" s="17">
        <f t="shared" si="103"/>
        <v>-2.1834418604651087</v>
      </c>
      <c r="Q1334" s="5">
        <v>0.61</v>
      </c>
      <c r="R1334" s="9">
        <v>12.97</v>
      </c>
      <c r="S1334" s="9">
        <v>0.64</v>
      </c>
      <c r="U1334" s="9">
        <v>59733.66</v>
      </c>
      <c r="V1334" s="45">
        <f t="shared" si="104"/>
        <v>-1</v>
      </c>
      <c r="X1334" s="12">
        <v>1.8</v>
      </c>
      <c r="Y1334" s="12">
        <v>20210803</v>
      </c>
    </row>
    <row r="1335" spans="1:25" x14ac:dyDescent="0.45">
      <c r="A1335" s="3" t="s">
        <v>2426</v>
      </c>
      <c r="B1335" s="3" t="s">
        <v>2427</v>
      </c>
      <c r="C1335" s="6" t="s">
        <v>518</v>
      </c>
      <c r="D1335" s="6" t="s">
        <v>210</v>
      </c>
      <c r="E1335" s="6" t="s">
        <v>191</v>
      </c>
      <c r="F1335" s="6">
        <v>14823.63</v>
      </c>
      <c r="G1335" s="2">
        <v>3.07</v>
      </c>
      <c r="H1335" s="2">
        <v>3.6</v>
      </c>
      <c r="I1335" s="2">
        <v>3.98</v>
      </c>
      <c r="J1335" s="47">
        <f t="shared" si="100"/>
        <v>0.17263843648208477</v>
      </c>
      <c r="K1335" s="47">
        <f t="shared" si="101"/>
        <v>0.10555555555555553</v>
      </c>
      <c r="L1335" s="8">
        <v>16.59</v>
      </c>
      <c r="M1335" s="8">
        <v>16.23</v>
      </c>
      <c r="N1335" s="8">
        <v>14.67</v>
      </c>
      <c r="O1335" s="17">
        <f t="shared" si="102"/>
        <v>0.94011509433962215</v>
      </c>
      <c r="P1335" s="17">
        <f t="shared" si="103"/>
        <v>1.3897894736842107</v>
      </c>
      <c r="R1335" s="9">
        <v>361.42</v>
      </c>
      <c r="S1335" s="9">
        <v>-0.01</v>
      </c>
      <c r="T1335" s="9">
        <v>8099.49316</v>
      </c>
      <c r="U1335" s="9">
        <v>7188</v>
      </c>
      <c r="V1335" s="45">
        <f t="shared" si="104"/>
        <v>0.12680761825264331</v>
      </c>
      <c r="W1335" s="12">
        <v>34.85</v>
      </c>
      <c r="X1335" s="12">
        <v>1.61</v>
      </c>
      <c r="Y1335" s="12">
        <v>20210729</v>
      </c>
    </row>
    <row r="1336" spans="1:25" x14ac:dyDescent="0.45">
      <c r="A1336" s="3" t="s">
        <v>2428</v>
      </c>
      <c r="B1336" s="3" t="s">
        <v>2429</v>
      </c>
      <c r="C1336" s="6" t="s">
        <v>519</v>
      </c>
      <c r="D1336" s="6" t="s">
        <v>279</v>
      </c>
      <c r="E1336" s="6" t="s">
        <v>262</v>
      </c>
      <c r="F1336" s="6">
        <v>11694.19</v>
      </c>
      <c r="G1336" s="2">
        <v>3.49</v>
      </c>
      <c r="H1336" s="2">
        <v>3.83</v>
      </c>
      <c r="I1336" s="2">
        <v>4.4000000000000004</v>
      </c>
      <c r="J1336" s="47">
        <f t="shared" si="100"/>
        <v>9.7421203438395373E-2</v>
      </c>
      <c r="K1336" s="47">
        <f t="shared" si="101"/>
        <v>0.14882506527415151</v>
      </c>
      <c r="L1336" s="8">
        <v>60.23</v>
      </c>
      <c r="M1336" s="8">
        <v>55.51</v>
      </c>
      <c r="N1336" s="8">
        <v>48.29</v>
      </c>
      <c r="O1336" s="17">
        <f t="shared" si="102"/>
        <v>5.6979382352941199</v>
      </c>
      <c r="P1336" s="17">
        <f t="shared" si="103"/>
        <v>3.2447491228070158</v>
      </c>
      <c r="R1336" s="9">
        <v>14.95</v>
      </c>
      <c r="S1336" s="9">
        <v>12.31</v>
      </c>
      <c r="T1336" s="9">
        <v>1203.28295</v>
      </c>
      <c r="U1336" s="9">
        <v>1143.74</v>
      </c>
      <c r="V1336" s="45">
        <f t="shared" si="104"/>
        <v>5.2059865004284209E-2</v>
      </c>
      <c r="W1336" s="12">
        <v>2.27</v>
      </c>
      <c r="X1336" s="12">
        <v>0</v>
      </c>
      <c r="Y1336" s="12">
        <v>20210727</v>
      </c>
    </row>
    <row r="1337" spans="1:25" x14ac:dyDescent="0.45">
      <c r="A1337" s="3" t="s">
        <v>2430</v>
      </c>
      <c r="B1337" s="3" t="s">
        <v>2431</v>
      </c>
      <c r="C1337" s="6" t="s">
        <v>519</v>
      </c>
      <c r="D1337" s="6" t="s">
        <v>216</v>
      </c>
      <c r="E1337" s="6" t="s">
        <v>306</v>
      </c>
      <c r="F1337" s="6">
        <v>7306.85</v>
      </c>
      <c r="G1337" s="2">
        <v>0.37</v>
      </c>
      <c r="H1337" s="2">
        <v>0.9</v>
      </c>
      <c r="I1337" s="2">
        <v>1.1499999999999999</v>
      </c>
      <c r="J1337" s="47">
        <f t="shared" si="100"/>
        <v>1.4324324324324325</v>
      </c>
      <c r="K1337" s="47">
        <f t="shared" si="101"/>
        <v>0.27777777777777762</v>
      </c>
      <c r="L1337" s="8">
        <v>21.16</v>
      </c>
      <c r="M1337" s="8">
        <v>23.17</v>
      </c>
      <c r="N1337" s="8">
        <v>18.28</v>
      </c>
      <c r="O1337" s="17">
        <f t="shared" si="102"/>
        <v>0.16175283018867925</v>
      </c>
      <c r="P1337" s="17">
        <f t="shared" si="103"/>
        <v>0.65808000000000044</v>
      </c>
      <c r="R1337" s="9">
        <v>89.94</v>
      </c>
      <c r="S1337" s="9">
        <v>-4.82</v>
      </c>
      <c r="T1337" s="9">
        <v>4978.2880800000003</v>
      </c>
      <c r="U1337" s="9">
        <v>4583.7</v>
      </c>
      <c r="V1337" s="45">
        <f t="shared" si="104"/>
        <v>8.6085057922639013E-2</v>
      </c>
      <c r="W1337" s="12">
        <v>70.59</v>
      </c>
      <c r="X1337" s="12">
        <v>0</v>
      </c>
      <c r="Y1337" s="12">
        <v>20210722</v>
      </c>
    </row>
    <row r="1338" spans="1:25" x14ac:dyDescent="0.45">
      <c r="A1338" s="3" t="s">
        <v>4808</v>
      </c>
      <c r="B1338" s="3" t="s">
        <v>4809</v>
      </c>
      <c r="C1338" s="6" t="s">
        <v>520</v>
      </c>
      <c r="D1338" s="6" t="s">
        <v>303</v>
      </c>
      <c r="E1338" s="6" t="s">
        <v>2269</v>
      </c>
      <c r="F1338" s="6">
        <v>4394.67</v>
      </c>
      <c r="J1338" s="47" t="e">
        <f t="shared" si="100"/>
        <v>#DIV/0!</v>
      </c>
      <c r="K1338" s="47" t="e">
        <f t="shared" si="101"/>
        <v>#DIV/0!</v>
      </c>
      <c r="O1338" s="17" t="e">
        <f t="shared" si="102"/>
        <v>#DIV/0!</v>
      </c>
      <c r="P1338" s="17" t="e">
        <f t="shared" si="103"/>
        <v>#DIV/0!</v>
      </c>
      <c r="U1338" s="9">
        <v>2083.31</v>
      </c>
      <c r="V1338" s="45">
        <f t="shared" si="104"/>
        <v>-1</v>
      </c>
      <c r="X1338" s="12">
        <v>0.87</v>
      </c>
    </row>
    <row r="1339" spans="1:25" x14ac:dyDescent="0.45">
      <c r="A1339" s="3" t="s">
        <v>4810</v>
      </c>
      <c r="B1339" s="3" t="s">
        <v>4811</v>
      </c>
      <c r="C1339" s="6" t="s">
        <v>520</v>
      </c>
      <c r="D1339" s="6" t="s">
        <v>216</v>
      </c>
      <c r="E1339" s="6" t="s">
        <v>227</v>
      </c>
      <c r="F1339" s="6">
        <v>10247.17</v>
      </c>
      <c r="J1339" s="47" t="e">
        <f t="shared" si="100"/>
        <v>#DIV/0!</v>
      </c>
      <c r="K1339" s="47" t="e">
        <f t="shared" si="101"/>
        <v>#DIV/0!</v>
      </c>
      <c r="O1339" s="17" t="e">
        <f t="shared" si="102"/>
        <v>#DIV/0!</v>
      </c>
      <c r="P1339" s="17" t="e">
        <f t="shared" si="103"/>
        <v>#DIV/0!</v>
      </c>
      <c r="U1339" s="9">
        <v>1553.26</v>
      </c>
      <c r="V1339" s="45">
        <f t="shared" si="104"/>
        <v>-1</v>
      </c>
      <c r="X1339" s="12">
        <v>0.88</v>
      </c>
      <c r="Y1339" s="12">
        <v>20210611</v>
      </c>
    </row>
    <row r="1340" spans="1:25" x14ac:dyDescent="0.45">
      <c r="A1340" s="3" t="s">
        <v>4812</v>
      </c>
      <c r="B1340" s="3" t="s">
        <v>4813</v>
      </c>
      <c r="C1340" s="6" t="s">
        <v>519</v>
      </c>
      <c r="D1340" s="6" t="s">
        <v>234</v>
      </c>
      <c r="E1340" s="6" t="s">
        <v>904</v>
      </c>
      <c r="F1340" s="6">
        <v>25648.42</v>
      </c>
      <c r="J1340" s="47" t="e">
        <f t="shared" si="100"/>
        <v>#DIV/0!</v>
      </c>
      <c r="K1340" s="47" t="e">
        <f t="shared" si="101"/>
        <v>#DIV/0!</v>
      </c>
      <c r="O1340" s="17" t="e">
        <f t="shared" si="102"/>
        <v>#DIV/0!</v>
      </c>
      <c r="P1340" s="17" t="e">
        <f t="shared" si="103"/>
        <v>#DIV/0!</v>
      </c>
      <c r="V1340" s="45" t="e">
        <f t="shared" si="104"/>
        <v>#DIV/0!</v>
      </c>
      <c r="X1340" s="12">
        <v>1.88</v>
      </c>
    </row>
    <row r="1341" spans="1:25" x14ac:dyDescent="0.45">
      <c r="A1341" s="3" t="s">
        <v>2432</v>
      </c>
      <c r="B1341" s="3" t="s">
        <v>2433</v>
      </c>
      <c r="C1341" s="6" t="s">
        <v>518</v>
      </c>
      <c r="D1341" s="6" t="s">
        <v>234</v>
      </c>
      <c r="E1341" s="6" t="s">
        <v>1642</v>
      </c>
      <c r="F1341" s="6">
        <v>3436.15</v>
      </c>
      <c r="G1341" s="2">
        <v>2.25</v>
      </c>
      <c r="H1341" s="2">
        <v>3.44</v>
      </c>
      <c r="I1341" s="2">
        <v>3.18</v>
      </c>
      <c r="J1341" s="47">
        <f t="shared" si="100"/>
        <v>0.52888888888888885</v>
      </c>
      <c r="K1341" s="47">
        <f t="shared" si="101"/>
        <v>-7.5581395348837149E-2</v>
      </c>
      <c r="L1341" s="8">
        <v>15.61</v>
      </c>
      <c r="M1341" s="8">
        <v>15.59</v>
      </c>
      <c r="N1341" s="8">
        <v>16.88</v>
      </c>
      <c r="O1341" s="17">
        <f t="shared" si="102"/>
        <v>0.29476890756302521</v>
      </c>
      <c r="P1341" s="17">
        <f t="shared" si="103"/>
        <v>-2.233353846153848</v>
      </c>
      <c r="R1341" s="9">
        <v>56.19</v>
      </c>
      <c r="S1341" s="9">
        <v>8.2799999999999994</v>
      </c>
      <c r="T1341" s="9">
        <v>1087.68994</v>
      </c>
      <c r="U1341" s="9">
        <v>943.28</v>
      </c>
      <c r="V1341" s="45">
        <f t="shared" si="104"/>
        <v>0.15309339750657283</v>
      </c>
      <c r="W1341" s="12">
        <v>5.15</v>
      </c>
      <c r="X1341" s="12">
        <v>4.0999999999999996</v>
      </c>
      <c r="Y1341" s="12">
        <v>20210804</v>
      </c>
    </row>
    <row r="1342" spans="1:25" x14ac:dyDescent="0.45">
      <c r="A1342" s="3" t="s">
        <v>2434</v>
      </c>
      <c r="B1342" s="3" t="s">
        <v>2435</v>
      </c>
      <c r="C1342" s="6" t="s">
        <v>518</v>
      </c>
      <c r="D1342" s="6" t="s">
        <v>303</v>
      </c>
      <c r="E1342" s="6" t="s">
        <v>294</v>
      </c>
      <c r="F1342" s="6">
        <v>172716.95</v>
      </c>
      <c r="G1342" s="2">
        <v>6.14</v>
      </c>
      <c r="H1342" s="2">
        <v>8.58</v>
      </c>
      <c r="I1342" s="2">
        <v>9.42</v>
      </c>
      <c r="J1342" s="47">
        <f t="shared" si="100"/>
        <v>0.39739413680781766</v>
      </c>
      <c r="K1342" s="47">
        <f t="shared" si="101"/>
        <v>9.790209790209789E-2</v>
      </c>
      <c r="L1342" s="8">
        <v>35.61</v>
      </c>
      <c r="M1342" s="8">
        <v>26.97</v>
      </c>
      <c r="N1342" s="8">
        <v>24.58</v>
      </c>
      <c r="O1342" s="17">
        <f t="shared" si="102"/>
        <v>0.67867131147540971</v>
      </c>
      <c r="P1342" s="17">
        <f t="shared" si="103"/>
        <v>2.5106714285714289</v>
      </c>
      <c r="Q1342" s="5">
        <v>3.11</v>
      </c>
      <c r="R1342" s="9">
        <v>-59.01</v>
      </c>
      <c r="S1342" s="9">
        <v>-5.72</v>
      </c>
      <c r="T1342" s="9">
        <v>22422.134760000001</v>
      </c>
      <c r="U1342" s="9">
        <v>19207.8</v>
      </c>
      <c r="V1342" s="45">
        <f t="shared" si="104"/>
        <v>0.1673452847280793</v>
      </c>
      <c r="W1342" s="12">
        <v>6.08</v>
      </c>
      <c r="X1342" s="12">
        <v>2.23</v>
      </c>
      <c r="Y1342" s="12">
        <v>20210727</v>
      </c>
    </row>
    <row r="1343" spans="1:25" x14ac:dyDescent="0.45">
      <c r="A1343" s="3" t="s">
        <v>2436</v>
      </c>
      <c r="B1343" s="3" t="s">
        <v>2437</v>
      </c>
      <c r="C1343" s="6" t="s">
        <v>519</v>
      </c>
      <c r="D1343" s="6" t="s">
        <v>189</v>
      </c>
      <c r="E1343" s="6" t="s">
        <v>248</v>
      </c>
      <c r="F1343" s="6">
        <v>12164.5</v>
      </c>
      <c r="G1343" s="2">
        <v>1.3</v>
      </c>
      <c r="H1343" s="2">
        <v>1.27</v>
      </c>
      <c r="I1343" s="2">
        <v>1.44</v>
      </c>
      <c r="J1343" s="47">
        <f t="shared" si="100"/>
        <v>-2.3076923076923096E-2</v>
      </c>
      <c r="K1343" s="47">
        <f t="shared" si="101"/>
        <v>0.13385826771653536</v>
      </c>
      <c r="M1343" s="8">
        <v>22.16</v>
      </c>
      <c r="N1343" s="8">
        <v>19.64</v>
      </c>
      <c r="O1343" s="17">
        <f t="shared" si="102"/>
        <v>-9.6026666666666589</v>
      </c>
      <c r="P1343" s="17">
        <f t="shared" si="103"/>
        <v>1.4672235294117657</v>
      </c>
      <c r="T1343" s="9">
        <v>1903.92004</v>
      </c>
      <c r="U1343" s="9">
        <v>2906</v>
      </c>
      <c r="V1343" s="45">
        <f t="shared" si="104"/>
        <v>-0.34483136958017896</v>
      </c>
      <c r="W1343" s="12">
        <v>-30.56</v>
      </c>
      <c r="X1343" s="12">
        <v>1.63</v>
      </c>
      <c r="Y1343" s="12">
        <v>20210803</v>
      </c>
    </row>
    <row r="1344" spans="1:25" x14ac:dyDescent="0.45">
      <c r="A1344" s="3" t="s">
        <v>2438</v>
      </c>
      <c r="B1344" s="3" t="s">
        <v>2439</v>
      </c>
      <c r="C1344" s="6" t="s">
        <v>519</v>
      </c>
      <c r="D1344" s="6" t="s">
        <v>189</v>
      </c>
      <c r="E1344" s="6" t="s">
        <v>298</v>
      </c>
      <c r="F1344" s="6">
        <v>41524.800000000003</v>
      </c>
      <c r="G1344" s="2">
        <v>6.47</v>
      </c>
      <c r="H1344" s="2">
        <v>7.87</v>
      </c>
      <c r="I1344" s="2">
        <v>8.4499999999999993</v>
      </c>
      <c r="J1344" s="47">
        <f t="shared" si="100"/>
        <v>0.21638330757341584</v>
      </c>
      <c r="K1344" s="47">
        <f t="shared" si="101"/>
        <v>7.3697585768741955E-2</v>
      </c>
      <c r="L1344" s="8">
        <v>23.04</v>
      </c>
      <c r="M1344" s="8">
        <v>19.28</v>
      </c>
      <c r="N1344" s="8">
        <v>17.96</v>
      </c>
      <c r="O1344" s="17">
        <f t="shared" si="102"/>
        <v>0.89101142857142823</v>
      </c>
      <c r="P1344" s="17">
        <f t="shared" si="103"/>
        <v>2.4369862068965551</v>
      </c>
      <c r="Q1344" s="5">
        <v>1.26</v>
      </c>
      <c r="R1344" s="9">
        <v>29.62</v>
      </c>
      <c r="S1344" s="9">
        <v>16.920000000000002</v>
      </c>
      <c r="T1344" s="9">
        <v>6344.54882</v>
      </c>
      <c r="U1344" s="9">
        <v>5438.4</v>
      </c>
      <c r="V1344" s="45">
        <f t="shared" si="104"/>
        <v>0.16662048028832016</v>
      </c>
      <c r="W1344" s="12">
        <v>6.32</v>
      </c>
      <c r="X1344" s="12">
        <v>1.0900000000000001</v>
      </c>
      <c r="Y1344" s="12">
        <v>20210803</v>
      </c>
    </row>
    <row r="1345" spans="1:25" x14ac:dyDescent="0.45">
      <c r="A1345" s="3" t="s">
        <v>2440</v>
      </c>
      <c r="B1345" s="3" t="s">
        <v>2441</v>
      </c>
      <c r="C1345" s="6" t="s">
        <v>518</v>
      </c>
      <c r="D1345" s="6" t="s">
        <v>279</v>
      </c>
      <c r="E1345" s="6" t="s">
        <v>257</v>
      </c>
      <c r="F1345" s="6">
        <v>30142.39</v>
      </c>
      <c r="G1345" s="2">
        <v>17.190000000000001</v>
      </c>
      <c r="H1345" s="2">
        <v>19.13</v>
      </c>
      <c r="I1345" s="2">
        <v>20.239999999999998</v>
      </c>
      <c r="J1345" s="47">
        <f t="shared" si="100"/>
        <v>0.11285631180919126</v>
      </c>
      <c r="K1345" s="47">
        <f t="shared" si="101"/>
        <v>5.8024046001045451E-2</v>
      </c>
      <c r="L1345" s="8">
        <v>11.07</v>
      </c>
      <c r="M1345" s="8">
        <v>9.9600000000000009</v>
      </c>
      <c r="N1345" s="8">
        <v>9.41</v>
      </c>
      <c r="O1345" s="17">
        <f t="shared" si="102"/>
        <v>0.88253814432989808</v>
      </c>
      <c r="P1345" s="17">
        <f t="shared" si="103"/>
        <v>1.6217414414414424</v>
      </c>
      <c r="Q1345" s="5">
        <v>1.44</v>
      </c>
      <c r="R1345" s="9">
        <v>95.8</v>
      </c>
      <c r="S1345" s="9">
        <v>4.75</v>
      </c>
      <c r="T1345" s="9">
        <v>249515.40625</v>
      </c>
      <c r="U1345" s="9">
        <v>238228</v>
      </c>
      <c r="V1345" s="45">
        <f t="shared" si="104"/>
        <v>4.7380686779052002E-2</v>
      </c>
      <c r="W1345" s="12">
        <v>0.6</v>
      </c>
      <c r="X1345" s="12">
        <v>0.88</v>
      </c>
      <c r="Y1345" s="12">
        <v>20210802</v>
      </c>
    </row>
    <row r="1346" spans="1:25" x14ac:dyDescent="0.45">
      <c r="A1346" s="3" t="s">
        <v>2442</v>
      </c>
      <c r="B1346" s="3" t="s">
        <v>2443</v>
      </c>
      <c r="C1346" s="6" t="s">
        <v>518</v>
      </c>
      <c r="D1346" s="6" t="s">
        <v>234</v>
      </c>
      <c r="E1346" s="6" t="s">
        <v>221</v>
      </c>
      <c r="F1346" s="6">
        <v>63419.61</v>
      </c>
      <c r="G1346" s="2">
        <v>10.19</v>
      </c>
      <c r="H1346" s="2">
        <v>11.26</v>
      </c>
      <c r="I1346" s="2">
        <v>12.03</v>
      </c>
      <c r="J1346" s="47">
        <f t="shared" si="100"/>
        <v>0.10500490677134448</v>
      </c>
      <c r="K1346" s="47">
        <f t="shared" si="101"/>
        <v>6.8383658969804584E-2</v>
      </c>
      <c r="L1346" s="8">
        <v>29.54</v>
      </c>
      <c r="M1346" s="8">
        <v>30.09</v>
      </c>
      <c r="N1346" s="8">
        <v>28.17</v>
      </c>
      <c r="O1346" s="17">
        <f t="shared" si="102"/>
        <v>2.8655803738317749</v>
      </c>
      <c r="P1346" s="17">
        <f t="shared" si="103"/>
        <v>4.1194051948051973</v>
      </c>
      <c r="Q1346" s="5">
        <v>3.01</v>
      </c>
      <c r="R1346" s="9">
        <v>125.6</v>
      </c>
      <c r="S1346" s="9">
        <v>10.130000000000001</v>
      </c>
      <c r="T1346" s="9">
        <v>5754.5708000000004</v>
      </c>
      <c r="U1346" s="9">
        <v>5371</v>
      </c>
      <c r="V1346" s="45">
        <f t="shared" si="104"/>
        <v>7.1415155464531824E-2</v>
      </c>
      <c r="W1346" s="12">
        <v>45</v>
      </c>
      <c r="X1346" s="12">
        <v>0.73</v>
      </c>
      <c r="Y1346" s="12">
        <v>20210729</v>
      </c>
    </row>
    <row r="1347" spans="1:25" x14ac:dyDescent="0.45">
      <c r="A1347" s="3" t="s">
        <v>4232</v>
      </c>
      <c r="B1347" s="3" t="s">
        <v>4233</v>
      </c>
      <c r="C1347" s="6" t="s">
        <v>518</v>
      </c>
      <c r="D1347" s="6" t="s">
        <v>234</v>
      </c>
      <c r="E1347" s="6" t="s">
        <v>244</v>
      </c>
      <c r="F1347" s="6">
        <v>3325.02</v>
      </c>
      <c r="G1347" s="2">
        <v>4.7</v>
      </c>
      <c r="H1347" s="2">
        <v>3.75</v>
      </c>
      <c r="I1347" s="2">
        <v>3.45</v>
      </c>
      <c r="J1347" s="47">
        <f t="shared" ref="J1347:J1410" si="105">(H1347-G1347)/ABS(G1347)</f>
        <v>-0.20212765957446813</v>
      </c>
      <c r="K1347" s="47">
        <f t="shared" ref="K1347:K1410" si="106">(I1347-H1347)/ABS(H1347)</f>
        <v>-7.9999999999999946E-2</v>
      </c>
      <c r="L1347" s="8">
        <v>10.34</v>
      </c>
      <c r="M1347" s="8">
        <v>16.010000000000002</v>
      </c>
      <c r="N1347" s="8">
        <v>17.41</v>
      </c>
      <c r="O1347" s="17">
        <f t="shared" ref="O1347:O1410" si="107">M1347/(J1347*100)</f>
        <v>-0.79207368421052626</v>
      </c>
      <c r="P1347" s="17">
        <f t="shared" ref="P1347:P1410" si="108">N1347/(K1347*100)</f>
        <v>-2.1762500000000014</v>
      </c>
      <c r="R1347" s="9">
        <v>16.38</v>
      </c>
      <c r="S1347" s="9">
        <v>4.63</v>
      </c>
      <c r="T1347" s="9">
        <v>3776.5720200000001</v>
      </c>
      <c r="U1347" s="9">
        <v>3784.51</v>
      </c>
      <c r="V1347" s="45">
        <f t="shared" ref="V1347:V1410" si="109">(T1347-U1347)/U1347</f>
        <v>-2.0974921456146638E-3</v>
      </c>
      <c r="W1347" s="12">
        <v>7.2</v>
      </c>
      <c r="X1347" s="12">
        <v>4.21</v>
      </c>
      <c r="Y1347" s="12">
        <v>20210802</v>
      </c>
    </row>
    <row r="1348" spans="1:25" x14ac:dyDescent="0.45">
      <c r="A1348" s="3" t="s">
        <v>2444</v>
      </c>
      <c r="B1348" s="3" t="s">
        <v>2445</v>
      </c>
      <c r="C1348" s="6" t="s">
        <v>519</v>
      </c>
      <c r="D1348" s="6" t="s">
        <v>189</v>
      </c>
      <c r="E1348" s="6" t="s">
        <v>248</v>
      </c>
      <c r="F1348" s="6">
        <v>20209.88</v>
      </c>
      <c r="G1348" s="2">
        <v>-1.05</v>
      </c>
      <c r="H1348" s="2">
        <v>-1.3</v>
      </c>
      <c r="I1348" s="2">
        <v>-1.1499999999999999</v>
      </c>
      <c r="J1348" s="47">
        <f t="shared" si="105"/>
        <v>-0.23809523809523808</v>
      </c>
      <c r="K1348" s="47">
        <f t="shared" si="106"/>
        <v>0.11538461538461549</v>
      </c>
      <c r="O1348" s="17">
        <f t="shared" si="107"/>
        <v>0</v>
      </c>
      <c r="P1348" s="17">
        <f t="shared" si="108"/>
        <v>0</v>
      </c>
      <c r="R1348" s="9">
        <v>-1062.47</v>
      </c>
      <c r="S1348" s="9">
        <v>57.34</v>
      </c>
      <c r="T1348" s="9">
        <v>780.19395999999995</v>
      </c>
      <c r="U1348" s="9">
        <v>590.38</v>
      </c>
      <c r="V1348" s="45">
        <f t="shared" si="109"/>
        <v>0.32151150106710924</v>
      </c>
      <c r="W1348" s="12">
        <v>58.33</v>
      </c>
      <c r="X1348" s="12">
        <v>0</v>
      </c>
      <c r="Y1348" s="12">
        <v>20210901</v>
      </c>
    </row>
    <row r="1349" spans="1:25" x14ac:dyDescent="0.45">
      <c r="A1349" s="3" t="s">
        <v>2446</v>
      </c>
      <c r="B1349" s="3" t="s">
        <v>2447</v>
      </c>
      <c r="C1349" s="6" t="s">
        <v>518</v>
      </c>
      <c r="D1349" s="6" t="s">
        <v>210</v>
      </c>
      <c r="E1349" s="6" t="s">
        <v>1439</v>
      </c>
      <c r="F1349" s="6">
        <v>3820.44</v>
      </c>
      <c r="G1349" s="2">
        <v>4.7300000000000004</v>
      </c>
      <c r="H1349" s="2">
        <v>8.24</v>
      </c>
      <c r="I1349" s="2">
        <v>9.3800000000000008</v>
      </c>
      <c r="J1349" s="47">
        <f t="shared" si="105"/>
        <v>0.74207188160676518</v>
      </c>
      <c r="K1349" s="47">
        <f t="shared" si="106"/>
        <v>0.13834951456310687</v>
      </c>
      <c r="L1349" s="8">
        <v>8.36</v>
      </c>
      <c r="M1349" s="8">
        <v>6.6</v>
      </c>
      <c r="N1349" s="8">
        <v>5.8</v>
      </c>
      <c r="O1349" s="17">
        <f t="shared" si="107"/>
        <v>8.894017094017094E-2</v>
      </c>
      <c r="P1349" s="17">
        <f t="shared" si="108"/>
        <v>0.41922807017543834</v>
      </c>
      <c r="R1349" s="9">
        <v>21.55</v>
      </c>
      <c r="S1349" s="9">
        <v>13.83</v>
      </c>
      <c r="T1349" s="9">
        <v>5540.5331999999999</v>
      </c>
      <c r="U1349" s="9">
        <v>3901.21</v>
      </c>
      <c r="V1349" s="45">
        <f t="shared" si="109"/>
        <v>0.4202089095434493</v>
      </c>
      <c r="W1349" s="12">
        <v>10.220000000000001</v>
      </c>
      <c r="X1349" s="12">
        <v>2.94</v>
      </c>
      <c r="Y1349" s="12">
        <v>20210727</v>
      </c>
    </row>
    <row r="1350" spans="1:25" x14ac:dyDescent="0.45">
      <c r="A1350" s="3" t="s">
        <v>2448</v>
      </c>
      <c r="B1350" s="3" t="s">
        <v>2449</v>
      </c>
      <c r="C1350" s="6" t="s">
        <v>518</v>
      </c>
      <c r="D1350" s="6" t="s">
        <v>189</v>
      </c>
      <c r="E1350" s="6" t="s">
        <v>204</v>
      </c>
      <c r="F1350" s="6">
        <v>4415.1499999999996</v>
      </c>
      <c r="G1350" s="2">
        <v>0.03</v>
      </c>
      <c r="H1350" s="2">
        <v>-0.15</v>
      </c>
      <c r="I1350" s="2">
        <v>0.02</v>
      </c>
      <c r="J1350" s="47">
        <f t="shared" si="105"/>
        <v>-6</v>
      </c>
      <c r="K1350" s="47">
        <f t="shared" si="106"/>
        <v>1.1333333333333333</v>
      </c>
      <c r="N1350" s="8">
        <v>1670.4</v>
      </c>
      <c r="O1350" s="17">
        <f t="shared" si="107"/>
        <v>0</v>
      </c>
      <c r="P1350" s="17">
        <f t="shared" si="108"/>
        <v>14.738823529411766</v>
      </c>
      <c r="R1350" s="9">
        <v>-24.99</v>
      </c>
      <c r="T1350" s="9">
        <v>567.97198000000003</v>
      </c>
      <c r="U1350" s="9">
        <v>477.22</v>
      </c>
      <c r="V1350" s="45">
        <f t="shared" si="109"/>
        <v>0.19016801475210593</v>
      </c>
      <c r="W1350" s="12">
        <v>-14.29</v>
      </c>
      <c r="X1350" s="12">
        <v>0</v>
      </c>
      <c r="Y1350" s="12">
        <v>20210902</v>
      </c>
    </row>
    <row r="1351" spans="1:25" x14ac:dyDescent="0.45">
      <c r="A1351" s="3" t="s">
        <v>2450</v>
      </c>
      <c r="B1351" s="3" t="s">
        <v>2451</v>
      </c>
      <c r="C1351" s="6" t="s">
        <v>519</v>
      </c>
      <c r="D1351" s="6" t="s">
        <v>225</v>
      </c>
      <c r="E1351" s="6" t="s">
        <v>226</v>
      </c>
      <c r="F1351" s="6">
        <v>88932.27</v>
      </c>
      <c r="G1351" s="2">
        <v>2.59</v>
      </c>
      <c r="H1351" s="2">
        <v>2.92</v>
      </c>
      <c r="I1351" s="2">
        <v>3.15</v>
      </c>
      <c r="J1351" s="47">
        <f t="shared" si="105"/>
        <v>0.12741312741312744</v>
      </c>
      <c r="K1351" s="47">
        <f t="shared" si="106"/>
        <v>7.8767123287671229E-2</v>
      </c>
      <c r="L1351" s="8">
        <v>23.45</v>
      </c>
      <c r="M1351" s="8">
        <v>21.69</v>
      </c>
      <c r="N1351" s="8">
        <v>20.09</v>
      </c>
      <c r="O1351" s="17">
        <f t="shared" si="107"/>
        <v>1.7023363636363635</v>
      </c>
      <c r="P1351" s="17">
        <f t="shared" si="108"/>
        <v>2.5505565217391304</v>
      </c>
      <c r="Q1351" s="5">
        <v>2.5099999999999998</v>
      </c>
      <c r="R1351" s="9">
        <v>14.37</v>
      </c>
      <c r="S1351" s="9">
        <v>0.1</v>
      </c>
      <c r="T1351" s="9">
        <v>28428.328119999998</v>
      </c>
      <c r="U1351" s="9">
        <v>26581</v>
      </c>
      <c r="V1351" s="45">
        <f t="shared" si="109"/>
        <v>6.9498067040367109E-2</v>
      </c>
      <c r="W1351" s="12">
        <v>11.59</v>
      </c>
      <c r="X1351" s="12">
        <v>1.99</v>
      </c>
      <c r="Y1351" s="12">
        <v>20210727</v>
      </c>
    </row>
    <row r="1352" spans="1:25" x14ac:dyDescent="0.45">
      <c r="A1352" s="3" t="s">
        <v>2452</v>
      </c>
      <c r="B1352" s="3" t="s">
        <v>2453</v>
      </c>
      <c r="C1352" s="6" t="s">
        <v>518</v>
      </c>
      <c r="D1352" s="6" t="s">
        <v>279</v>
      </c>
      <c r="E1352" s="6" t="s">
        <v>264</v>
      </c>
      <c r="F1352" s="6">
        <v>165961.25</v>
      </c>
      <c r="G1352" s="2">
        <v>4.3600000000000003</v>
      </c>
      <c r="H1352" s="2">
        <v>5.68</v>
      </c>
      <c r="I1352" s="2">
        <v>6.32</v>
      </c>
      <c r="J1352" s="47">
        <f t="shared" si="105"/>
        <v>0.3027522935779815</v>
      </c>
      <c r="K1352" s="47">
        <f t="shared" si="106"/>
        <v>0.11267605633802827</v>
      </c>
      <c r="L1352" s="8">
        <v>27.79</v>
      </c>
      <c r="M1352" s="8">
        <v>21.68</v>
      </c>
      <c r="N1352" s="8">
        <v>19.489999999999998</v>
      </c>
      <c r="O1352" s="17">
        <f t="shared" si="107"/>
        <v>0.71609696969697001</v>
      </c>
      <c r="P1352" s="17">
        <f t="shared" si="108"/>
        <v>1.7297374999999984</v>
      </c>
      <c r="Q1352" s="5">
        <v>2.4300000000000002</v>
      </c>
      <c r="R1352" s="9">
        <v>11.82</v>
      </c>
      <c r="S1352" s="9">
        <v>-0.25</v>
      </c>
      <c r="T1352" s="9">
        <v>33291.273430000001</v>
      </c>
      <c r="U1352" s="9">
        <v>30117</v>
      </c>
      <c r="V1352" s="45">
        <f t="shared" si="109"/>
        <v>0.10539806189195475</v>
      </c>
      <c r="W1352" s="12">
        <v>5.63</v>
      </c>
      <c r="X1352" s="12">
        <v>1.88</v>
      </c>
      <c r="Y1352" s="12">
        <v>20210824</v>
      </c>
    </row>
    <row r="1353" spans="1:25" x14ac:dyDescent="0.45">
      <c r="A1353" s="3" t="s">
        <v>2454</v>
      </c>
      <c r="B1353" s="3" t="s">
        <v>2455</v>
      </c>
      <c r="C1353" s="6" t="s">
        <v>518</v>
      </c>
      <c r="D1353" s="6" t="s">
        <v>327</v>
      </c>
      <c r="E1353" s="6" t="s">
        <v>354</v>
      </c>
      <c r="F1353" s="6">
        <v>6713.86</v>
      </c>
      <c r="G1353" s="2">
        <v>1.9</v>
      </c>
      <c r="H1353" s="2">
        <v>2.08</v>
      </c>
      <c r="I1353" s="2">
        <v>2.21</v>
      </c>
      <c r="J1353" s="47">
        <f t="shared" si="105"/>
        <v>9.4736842105263244E-2</v>
      </c>
      <c r="K1353" s="47">
        <f t="shared" si="106"/>
        <v>6.2499999999999944E-2</v>
      </c>
      <c r="L1353" s="8">
        <v>16.04</v>
      </c>
      <c r="M1353" s="8">
        <v>16.02</v>
      </c>
      <c r="N1353" s="8">
        <v>15.12</v>
      </c>
      <c r="O1353" s="17">
        <f t="shared" si="107"/>
        <v>1.6909999999999985</v>
      </c>
      <c r="P1353" s="17">
        <f t="shared" si="108"/>
        <v>2.4192000000000018</v>
      </c>
      <c r="Q1353" s="5">
        <v>2.41</v>
      </c>
      <c r="R1353" s="9">
        <v>13.8</v>
      </c>
      <c r="S1353" s="9">
        <v>7.35</v>
      </c>
      <c r="U1353" s="9">
        <v>5532.7</v>
      </c>
      <c r="V1353" s="45">
        <f t="shared" si="109"/>
        <v>-1</v>
      </c>
      <c r="W1353" s="12">
        <v>30</v>
      </c>
      <c r="X1353" s="12">
        <v>2.5499999999999998</v>
      </c>
      <c r="Y1353" s="12">
        <v>20210803</v>
      </c>
    </row>
    <row r="1354" spans="1:25" x14ac:dyDescent="0.45">
      <c r="A1354" s="3" t="s">
        <v>4234</v>
      </c>
      <c r="B1354" s="3" t="s">
        <v>4235</v>
      </c>
      <c r="C1354" s="6" t="s">
        <v>518</v>
      </c>
      <c r="D1354" s="6" t="s">
        <v>225</v>
      </c>
      <c r="E1354" s="6" t="s">
        <v>226</v>
      </c>
      <c r="F1354" s="6">
        <v>3450.24</v>
      </c>
      <c r="G1354" s="2">
        <v>9.16</v>
      </c>
      <c r="H1354" s="2">
        <v>13.62</v>
      </c>
      <c r="I1354" s="2">
        <v>15.04</v>
      </c>
      <c r="J1354" s="47">
        <f t="shared" si="105"/>
        <v>0.48689956331877721</v>
      </c>
      <c r="K1354" s="47">
        <f t="shared" si="106"/>
        <v>0.10425844346549193</v>
      </c>
      <c r="L1354" s="8">
        <v>27.44</v>
      </c>
      <c r="M1354" s="8">
        <v>21.54</v>
      </c>
      <c r="N1354" s="8">
        <v>19.5</v>
      </c>
      <c r="O1354" s="17">
        <f t="shared" si="107"/>
        <v>0.44239103139013458</v>
      </c>
      <c r="P1354" s="17">
        <f t="shared" si="108"/>
        <v>1.8703521126760563</v>
      </c>
      <c r="R1354" s="9">
        <v>85.97</v>
      </c>
      <c r="S1354" s="9">
        <v>37.92</v>
      </c>
      <c r="T1354" s="9">
        <v>1447.8299500000001</v>
      </c>
      <c r="U1354" s="9">
        <v>934.84</v>
      </c>
      <c r="V1354" s="45">
        <f t="shared" si="109"/>
        <v>0.54874625604381499</v>
      </c>
      <c r="W1354" s="12">
        <v>27.21</v>
      </c>
      <c r="X1354" s="12">
        <v>1.94</v>
      </c>
      <c r="Y1354" s="12">
        <v>20210804</v>
      </c>
    </row>
    <row r="1355" spans="1:25" x14ac:dyDescent="0.45">
      <c r="A1355" s="3" t="s">
        <v>2456</v>
      </c>
      <c r="B1355" s="3" t="s">
        <v>2457</v>
      </c>
      <c r="C1355" s="6" t="s">
        <v>519</v>
      </c>
      <c r="D1355" s="6" t="s">
        <v>279</v>
      </c>
      <c r="E1355" s="6" t="s">
        <v>266</v>
      </c>
      <c r="F1355" s="6">
        <v>6139.01</v>
      </c>
      <c r="G1355" s="2">
        <v>4</v>
      </c>
      <c r="H1355" s="2">
        <v>4.3899999999999997</v>
      </c>
      <c r="I1355" s="2">
        <v>5.1100000000000003</v>
      </c>
      <c r="J1355" s="47">
        <f t="shared" si="105"/>
        <v>9.749999999999992E-2</v>
      </c>
      <c r="K1355" s="47">
        <f t="shared" si="106"/>
        <v>0.16400911161731224</v>
      </c>
      <c r="L1355" s="8">
        <v>39.049999999999997</v>
      </c>
      <c r="M1355" s="8">
        <v>38.9</v>
      </c>
      <c r="N1355" s="8">
        <v>33.380000000000003</v>
      </c>
      <c r="O1355" s="17">
        <f t="shared" si="107"/>
        <v>3.9897435897435924</v>
      </c>
      <c r="P1355" s="17">
        <f t="shared" si="108"/>
        <v>2.0352527777777758</v>
      </c>
      <c r="R1355" s="9">
        <v>20.73</v>
      </c>
      <c r="S1355" s="9">
        <v>24.96</v>
      </c>
      <c r="T1355" s="9">
        <v>1131.09997</v>
      </c>
      <c r="U1355" s="9">
        <v>925.92</v>
      </c>
      <c r="V1355" s="45">
        <f t="shared" si="109"/>
        <v>0.22159578581302924</v>
      </c>
      <c r="W1355" s="12">
        <v>15.84</v>
      </c>
      <c r="X1355" s="12">
        <v>0</v>
      </c>
      <c r="Y1355" s="12">
        <v>20210726</v>
      </c>
    </row>
    <row r="1356" spans="1:25" x14ac:dyDescent="0.45">
      <c r="A1356" s="3" t="s">
        <v>3849</v>
      </c>
      <c r="B1356" s="3" t="s">
        <v>3850</v>
      </c>
      <c r="C1356" s="6" t="s">
        <v>520</v>
      </c>
      <c r="D1356" s="6" t="s">
        <v>10</v>
      </c>
      <c r="E1356" s="6" t="s">
        <v>29</v>
      </c>
      <c r="F1356" s="6">
        <v>5664.67</v>
      </c>
      <c r="G1356" s="2">
        <v>0.41</v>
      </c>
      <c r="H1356" s="2">
        <v>0.56000000000000005</v>
      </c>
      <c r="I1356" s="2">
        <v>0.67</v>
      </c>
      <c r="J1356" s="47">
        <f t="shared" si="105"/>
        <v>0.36585365853658558</v>
      </c>
      <c r="K1356" s="47">
        <f t="shared" si="106"/>
        <v>0.1964285714285714</v>
      </c>
      <c r="M1356" s="8">
        <v>25.89</v>
      </c>
      <c r="N1356" s="8">
        <v>21.64</v>
      </c>
      <c r="O1356" s="17">
        <f t="shared" si="107"/>
        <v>0.70765999999999962</v>
      </c>
      <c r="P1356" s="17">
        <f t="shared" si="108"/>
        <v>1.1016727272727276</v>
      </c>
      <c r="T1356" s="9">
        <v>2303.57006</v>
      </c>
      <c r="U1356" s="9">
        <v>2162.63</v>
      </c>
      <c r="V1356" s="45">
        <f t="shared" si="109"/>
        <v>6.5170676444884196E-2</v>
      </c>
      <c r="X1356" s="12">
        <v>0</v>
      </c>
      <c r="Y1356" s="12">
        <v>20210610</v>
      </c>
    </row>
    <row r="1357" spans="1:25" x14ac:dyDescent="0.45">
      <c r="A1357" s="3" t="s">
        <v>2458</v>
      </c>
      <c r="B1357" s="3" t="s">
        <v>2459</v>
      </c>
      <c r="C1357" s="6" t="s">
        <v>519</v>
      </c>
      <c r="D1357" s="6" t="s">
        <v>303</v>
      </c>
      <c r="E1357" s="6" t="s">
        <v>245</v>
      </c>
      <c r="F1357" s="6">
        <v>65638.559999999998</v>
      </c>
      <c r="G1357" s="2">
        <v>0.73</v>
      </c>
      <c r="H1357" s="2">
        <v>-1</v>
      </c>
      <c r="I1357" s="2">
        <v>4.3600000000000003</v>
      </c>
      <c r="J1357" s="47">
        <f t="shared" si="105"/>
        <v>-2.3698630136986303</v>
      </c>
      <c r="K1357" s="47">
        <f t="shared" si="106"/>
        <v>5.36</v>
      </c>
      <c r="L1357" s="8">
        <v>1936.27</v>
      </c>
      <c r="M1357" s="8">
        <v>4968.53</v>
      </c>
      <c r="N1357" s="8">
        <v>301.99</v>
      </c>
      <c r="O1357" s="17">
        <f t="shared" si="107"/>
        <v>-20.96547341040462</v>
      </c>
      <c r="P1357" s="17">
        <f t="shared" si="108"/>
        <v>0.56341417910447766</v>
      </c>
      <c r="R1357" s="9">
        <v>2.75</v>
      </c>
      <c r="S1357" s="9">
        <v>42.3</v>
      </c>
      <c r="T1357" s="9">
        <v>6354.17382</v>
      </c>
      <c r="U1357" s="9">
        <v>3973.47</v>
      </c>
      <c r="V1357" s="45">
        <f t="shared" si="109"/>
        <v>0.59914981615565244</v>
      </c>
      <c r="W1357" s="12">
        <v>14.81</v>
      </c>
      <c r="X1357" s="12">
        <v>0</v>
      </c>
      <c r="Y1357" s="12">
        <v>20210809</v>
      </c>
    </row>
    <row r="1358" spans="1:25" x14ac:dyDescent="0.45">
      <c r="A1358" s="3" t="s">
        <v>2460</v>
      </c>
      <c r="B1358" s="3" t="s">
        <v>2461</v>
      </c>
      <c r="C1358" s="6" t="s">
        <v>518</v>
      </c>
      <c r="D1358" s="6" t="s">
        <v>234</v>
      </c>
      <c r="E1358" s="6" t="s">
        <v>243</v>
      </c>
      <c r="F1358" s="6">
        <v>56621.84</v>
      </c>
      <c r="G1358" s="2">
        <v>5.66</v>
      </c>
      <c r="H1358" s="2">
        <v>7.13</v>
      </c>
      <c r="I1358" s="2">
        <v>7.07</v>
      </c>
      <c r="J1358" s="47">
        <f t="shared" si="105"/>
        <v>0.25971731448763247</v>
      </c>
      <c r="K1358" s="47">
        <f t="shared" si="106"/>
        <v>-8.4151472650770848E-3</v>
      </c>
      <c r="L1358" s="8">
        <v>9.5299999999999994</v>
      </c>
      <c r="M1358" s="8">
        <v>9.07</v>
      </c>
      <c r="N1358" s="8">
        <v>9.15</v>
      </c>
      <c r="O1358" s="17">
        <f t="shared" si="107"/>
        <v>0.34922585034013609</v>
      </c>
      <c r="P1358" s="17">
        <f t="shared" si="108"/>
        <v>-10.87325000000007</v>
      </c>
      <c r="Q1358" s="5">
        <v>1.87</v>
      </c>
      <c r="R1358" s="9">
        <v>8.75</v>
      </c>
      <c r="S1358" s="9">
        <v>1.44</v>
      </c>
      <c r="T1358" s="9">
        <v>65822.632809999996</v>
      </c>
      <c r="U1358" s="9">
        <v>67842</v>
      </c>
      <c r="V1358" s="45">
        <f t="shared" si="109"/>
        <v>-2.9765737890982052E-2</v>
      </c>
      <c r="W1358" s="12">
        <v>48.65</v>
      </c>
      <c r="X1358" s="12">
        <v>2.97</v>
      </c>
      <c r="Y1358" s="12">
        <v>20210804</v>
      </c>
    </row>
    <row r="1359" spans="1:25" x14ac:dyDescent="0.45">
      <c r="A1359" s="3" t="s">
        <v>2462</v>
      </c>
      <c r="B1359" s="3" t="s">
        <v>2463</v>
      </c>
      <c r="C1359" s="6" t="s">
        <v>518</v>
      </c>
      <c r="D1359" s="6" t="s">
        <v>234</v>
      </c>
      <c r="E1359" s="6" t="s">
        <v>241</v>
      </c>
      <c r="F1359" s="6">
        <v>40063.160000000003</v>
      </c>
      <c r="G1359" s="2">
        <v>2.0699999999999998</v>
      </c>
      <c r="H1359" s="2">
        <v>2.52</v>
      </c>
      <c r="I1359" s="2">
        <v>2.77</v>
      </c>
      <c r="J1359" s="47">
        <f t="shared" si="105"/>
        <v>0.21739130434782619</v>
      </c>
      <c r="K1359" s="47">
        <f t="shared" si="106"/>
        <v>9.9206349206349201E-2</v>
      </c>
      <c r="L1359" s="8">
        <v>8.89</v>
      </c>
      <c r="M1359" s="8">
        <v>8.1999999999999993</v>
      </c>
      <c r="N1359" s="8">
        <v>7.45</v>
      </c>
      <c r="O1359" s="17">
        <f t="shared" si="107"/>
        <v>0.37719999999999976</v>
      </c>
      <c r="P1359" s="17">
        <f t="shared" si="108"/>
        <v>0.75095999999999996</v>
      </c>
      <c r="Q1359" s="5">
        <v>0.82</v>
      </c>
      <c r="R1359" s="9">
        <v>12.64</v>
      </c>
      <c r="S1359" s="9">
        <v>9.67</v>
      </c>
      <c r="T1359" s="9">
        <v>31680.539059999999</v>
      </c>
      <c r="U1359" s="9">
        <v>58906.400000000001</v>
      </c>
      <c r="V1359" s="45">
        <f t="shared" si="109"/>
        <v>-0.46218850481441748</v>
      </c>
      <c r="W1359" s="12">
        <v>8.4700000000000006</v>
      </c>
      <c r="X1359" s="12">
        <v>2.0299999999999998</v>
      </c>
      <c r="Y1359" s="12">
        <v>20210804</v>
      </c>
    </row>
    <row r="1360" spans="1:25" x14ac:dyDescent="0.45">
      <c r="A1360" s="3" t="s">
        <v>2464</v>
      </c>
      <c r="B1360" s="3" t="s">
        <v>2465</v>
      </c>
      <c r="C1360" s="6" t="s">
        <v>518</v>
      </c>
      <c r="D1360" s="6" t="s">
        <v>234</v>
      </c>
      <c r="E1360" s="6" t="s">
        <v>105</v>
      </c>
      <c r="F1360" s="6">
        <v>39184.29</v>
      </c>
      <c r="G1360" s="2">
        <v>0.33</v>
      </c>
      <c r="H1360" s="2">
        <v>0.36</v>
      </c>
      <c r="I1360" s="2">
        <v>0.39</v>
      </c>
      <c r="J1360" s="47">
        <f t="shared" si="105"/>
        <v>9.0909090909090814E-2</v>
      </c>
      <c r="K1360" s="47">
        <f t="shared" si="106"/>
        <v>8.3333333333333412E-2</v>
      </c>
      <c r="L1360" s="8">
        <v>11.89</v>
      </c>
      <c r="M1360" s="8">
        <v>8.58</v>
      </c>
      <c r="N1360" s="8">
        <v>7.92</v>
      </c>
      <c r="O1360" s="17">
        <f t="shared" si="107"/>
        <v>0.94380000000000108</v>
      </c>
      <c r="P1360" s="17">
        <f t="shared" si="108"/>
        <v>0.95039999999999913</v>
      </c>
      <c r="R1360" s="9">
        <v>3.56</v>
      </c>
      <c r="S1360" s="9">
        <v>3.74</v>
      </c>
      <c r="U1360" s="9">
        <v>30250.09</v>
      </c>
      <c r="V1360" s="45">
        <f t="shared" si="109"/>
        <v>-1</v>
      </c>
      <c r="X1360" s="12">
        <v>3.37</v>
      </c>
      <c r="Y1360" s="12">
        <v>20210730</v>
      </c>
    </row>
    <row r="1361" spans="1:25" x14ac:dyDescent="0.45">
      <c r="A1361" s="3" t="s">
        <v>2466</v>
      </c>
      <c r="B1361" s="3" t="s">
        <v>2467</v>
      </c>
      <c r="C1361" s="6" t="s">
        <v>518</v>
      </c>
      <c r="D1361" s="6" t="s">
        <v>46</v>
      </c>
      <c r="E1361" s="6" t="s">
        <v>80</v>
      </c>
      <c r="F1361" s="6">
        <v>29738.27</v>
      </c>
      <c r="G1361" s="2">
        <v>3.05</v>
      </c>
      <c r="H1361" s="2">
        <v>7.51</v>
      </c>
      <c r="I1361" s="2">
        <v>9.16</v>
      </c>
      <c r="J1361" s="47">
        <f t="shared" si="105"/>
        <v>1.4622950819672131</v>
      </c>
      <c r="K1361" s="47">
        <f t="shared" si="106"/>
        <v>0.21970705725699075</v>
      </c>
      <c r="L1361" s="8">
        <v>20.010000000000002</v>
      </c>
      <c r="M1361" s="8">
        <v>13.13</v>
      </c>
      <c r="N1361" s="8">
        <v>10.77</v>
      </c>
      <c r="O1361" s="17">
        <f t="shared" si="107"/>
        <v>8.9790358744394616E-2</v>
      </c>
      <c r="P1361" s="17">
        <f t="shared" si="108"/>
        <v>0.4901981818181817</v>
      </c>
      <c r="Q1361" s="5">
        <v>0.75</v>
      </c>
      <c r="R1361" s="9">
        <v>13.51</v>
      </c>
      <c r="S1361" s="9">
        <v>-1.58</v>
      </c>
      <c r="T1361" s="9">
        <v>40961.546869999998</v>
      </c>
      <c r="U1361" s="9">
        <v>32647</v>
      </c>
      <c r="V1361" s="45">
        <f t="shared" si="109"/>
        <v>0.25468027291941059</v>
      </c>
      <c r="W1361" s="12">
        <v>18.47</v>
      </c>
      <c r="X1361" s="12">
        <v>0.81</v>
      </c>
      <c r="Y1361" s="12">
        <v>20210806</v>
      </c>
    </row>
    <row r="1362" spans="1:25" x14ac:dyDescent="0.45">
      <c r="A1362" s="3" t="s">
        <v>2468</v>
      </c>
      <c r="B1362" s="3" t="s">
        <v>2469</v>
      </c>
      <c r="C1362" s="6" t="s">
        <v>520</v>
      </c>
      <c r="D1362" s="6" t="s">
        <v>46</v>
      </c>
      <c r="E1362" s="6" t="s">
        <v>976</v>
      </c>
      <c r="F1362" s="6">
        <v>28321.19</v>
      </c>
      <c r="G1362" s="2">
        <v>0.99</v>
      </c>
      <c r="H1362" s="2">
        <v>2.1</v>
      </c>
      <c r="I1362" s="2">
        <v>2.63</v>
      </c>
      <c r="J1362" s="47">
        <f t="shared" si="105"/>
        <v>1.1212121212121213</v>
      </c>
      <c r="K1362" s="47">
        <f t="shared" si="106"/>
        <v>0.25238095238095226</v>
      </c>
      <c r="M1362" s="8">
        <v>15.12</v>
      </c>
      <c r="N1362" s="8">
        <v>12.05</v>
      </c>
      <c r="O1362" s="17">
        <f t="shared" si="107"/>
        <v>0.13485405405405401</v>
      </c>
      <c r="P1362" s="17">
        <f t="shared" si="108"/>
        <v>0.47745283018867951</v>
      </c>
      <c r="T1362" s="9">
        <v>26713.304680000001</v>
      </c>
      <c r="U1362" s="9">
        <v>23379.75</v>
      </c>
      <c r="V1362" s="45">
        <f t="shared" si="109"/>
        <v>0.14258299083608683</v>
      </c>
      <c r="X1362" s="12">
        <v>1.32</v>
      </c>
    </row>
    <row r="1363" spans="1:25" x14ac:dyDescent="0.45">
      <c r="A1363" s="3" t="s">
        <v>2470</v>
      </c>
      <c r="B1363" s="3" t="s">
        <v>2471</v>
      </c>
      <c r="C1363" s="6" t="s">
        <v>518</v>
      </c>
      <c r="D1363" s="6" t="s">
        <v>216</v>
      </c>
      <c r="E1363" s="6" t="s">
        <v>228</v>
      </c>
      <c r="F1363" s="6">
        <v>21357.93</v>
      </c>
      <c r="G1363" s="2">
        <v>-2.15</v>
      </c>
      <c r="H1363" s="2">
        <v>-1.71</v>
      </c>
      <c r="I1363" s="2">
        <v>0.01</v>
      </c>
      <c r="J1363" s="47">
        <f t="shared" si="105"/>
        <v>0.20465116279069767</v>
      </c>
      <c r="K1363" s="47">
        <f t="shared" si="106"/>
        <v>1.0058479532163742</v>
      </c>
      <c r="N1363" s="8">
        <v>3870.22</v>
      </c>
      <c r="O1363" s="17">
        <f t="shared" si="107"/>
        <v>0</v>
      </c>
      <c r="P1363" s="17">
        <f t="shared" si="108"/>
        <v>38.477187209302329</v>
      </c>
      <c r="R1363" s="9">
        <v>-17.93</v>
      </c>
      <c r="S1363" s="9">
        <v>-7.26</v>
      </c>
      <c r="T1363" s="9">
        <v>8722.0146399999994</v>
      </c>
      <c r="U1363" s="9">
        <v>5162.08</v>
      </c>
      <c r="V1363" s="45">
        <f t="shared" si="109"/>
        <v>0.6896318228311068</v>
      </c>
      <c r="W1363" s="12">
        <v>20.93</v>
      </c>
      <c r="X1363" s="12">
        <v>0.02</v>
      </c>
      <c r="Y1363" s="12">
        <v>20210729</v>
      </c>
    </row>
    <row r="1364" spans="1:25" x14ac:dyDescent="0.45">
      <c r="A1364" s="3" t="s">
        <v>2472</v>
      </c>
      <c r="B1364" s="3" t="s">
        <v>2473</v>
      </c>
      <c r="C1364" s="6" t="s">
        <v>519</v>
      </c>
      <c r="D1364" s="6" t="s">
        <v>189</v>
      </c>
      <c r="E1364" s="6" t="s">
        <v>248</v>
      </c>
      <c r="F1364" s="6">
        <v>4364.46</v>
      </c>
      <c r="G1364" s="2">
        <v>0.08</v>
      </c>
      <c r="H1364" s="2">
        <v>0.56999999999999995</v>
      </c>
      <c r="I1364" s="2">
        <v>0.9</v>
      </c>
      <c r="J1364" s="47">
        <f t="shared" si="105"/>
        <v>6.1249999999999991</v>
      </c>
      <c r="K1364" s="47">
        <f t="shared" si="106"/>
        <v>0.57894736842105277</v>
      </c>
      <c r="L1364" s="8">
        <v>188.17</v>
      </c>
      <c r="M1364" s="8">
        <v>59.42</v>
      </c>
      <c r="N1364" s="8">
        <v>37.630000000000003</v>
      </c>
      <c r="O1364" s="17">
        <f t="shared" si="107"/>
        <v>9.7012244897959204E-2</v>
      </c>
      <c r="P1364" s="17">
        <f t="shared" si="108"/>
        <v>0.64997272727272715</v>
      </c>
      <c r="R1364" s="9">
        <v>-1.56</v>
      </c>
      <c r="S1364" s="9">
        <v>-6.17</v>
      </c>
      <c r="T1364" s="9">
        <v>404.39999</v>
      </c>
      <c r="U1364" s="9">
        <v>221.63</v>
      </c>
      <c r="V1364" s="45">
        <f t="shared" si="109"/>
        <v>0.82466268104498497</v>
      </c>
      <c r="W1364" s="12">
        <v>50</v>
      </c>
      <c r="X1364" s="12">
        <v>0</v>
      </c>
      <c r="Y1364" s="12">
        <v>20210809</v>
      </c>
    </row>
    <row r="1365" spans="1:25" x14ac:dyDescent="0.45">
      <c r="A1365" s="3" t="s">
        <v>2474</v>
      </c>
      <c r="B1365" s="3" t="s">
        <v>2475</v>
      </c>
      <c r="C1365" s="6" t="s">
        <v>518</v>
      </c>
      <c r="D1365" s="6" t="s">
        <v>234</v>
      </c>
      <c r="E1365" s="6" t="s">
        <v>286</v>
      </c>
      <c r="F1365" s="6">
        <v>5748.92</v>
      </c>
      <c r="G1365" s="2">
        <v>2.27</v>
      </c>
      <c r="H1365" s="2">
        <v>2.5499999999999998</v>
      </c>
      <c r="I1365" s="2">
        <v>2.67</v>
      </c>
      <c r="J1365" s="47">
        <f t="shared" si="105"/>
        <v>0.12334801762114529</v>
      </c>
      <c r="K1365" s="47">
        <f t="shared" si="106"/>
        <v>4.7058823529411813E-2</v>
      </c>
      <c r="L1365" s="8">
        <v>16.3</v>
      </c>
      <c r="M1365" s="8">
        <v>14.72</v>
      </c>
      <c r="N1365" s="8">
        <v>14.05</v>
      </c>
      <c r="O1365" s="17">
        <f t="shared" si="107"/>
        <v>1.1933714285714294</v>
      </c>
      <c r="P1365" s="17">
        <f t="shared" si="108"/>
        <v>2.9856249999999971</v>
      </c>
      <c r="Q1365" s="5">
        <v>1.77</v>
      </c>
      <c r="R1365" s="9">
        <v>3.51</v>
      </c>
      <c r="S1365" s="9">
        <v>4.3099999999999996</v>
      </c>
      <c r="T1365" s="9">
        <v>789.95397000000003</v>
      </c>
      <c r="U1365" s="9">
        <v>768.44</v>
      </c>
      <c r="V1365" s="45">
        <f t="shared" si="109"/>
        <v>2.7996941856228166E-2</v>
      </c>
      <c r="W1365" s="12">
        <v>-1.64</v>
      </c>
      <c r="X1365" s="12">
        <v>5.28</v>
      </c>
      <c r="Y1365" s="12">
        <v>20210803</v>
      </c>
    </row>
    <row r="1366" spans="1:25" x14ac:dyDescent="0.45">
      <c r="A1366" s="3" t="s">
        <v>3851</v>
      </c>
      <c r="B1366" s="3" t="s">
        <v>3852</v>
      </c>
      <c r="C1366" s="6" t="s">
        <v>518</v>
      </c>
      <c r="D1366" s="6" t="s">
        <v>289</v>
      </c>
      <c r="E1366" s="6" t="s">
        <v>271</v>
      </c>
      <c r="F1366" s="6">
        <v>3532.96</v>
      </c>
      <c r="G1366" s="2">
        <v>-0.02</v>
      </c>
      <c r="H1366" s="2">
        <v>1.35</v>
      </c>
      <c r="I1366" s="2">
        <v>1.29</v>
      </c>
      <c r="J1366" s="47">
        <f t="shared" si="105"/>
        <v>68.5</v>
      </c>
      <c r="K1366" s="47">
        <f t="shared" si="106"/>
        <v>-4.4444444444444481E-2</v>
      </c>
      <c r="L1366" s="8">
        <v>28.61</v>
      </c>
      <c r="M1366" s="8">
        <v>10.79</v>
      </c>
      <c r="N1366" s="8">
        <v>11.27</v>
      </c>
      <c r="O1366" s="17">
        <f t="shared" si="107"/>
        <v>1.5751824817518247E-3</v>
      </c>
      <c r="P1366" s="17">
        <f t="shared" si="108"/>
        <v>-2.535749999999998</v>
      </c>
      <c r="R1366" s="9">
        <v>10.6</v>
      </c>
      <c r="T1366" s="9">
        <v>881.87401999999997</v>
      </c>
      <c r="U1366" s="9">
        <v>534.51</v>
      </c>
      <c r="V1366" s="45">
        <f t="shared" si="109"/>
        <v>0.64987375353127164</v>
      </c>
      <c r="W1366" s="12">
        <v>35.71</v>
      </c>
      <c r="X1366" s="12">
        <v>0</v>
      </c>
      <c r="Y1366" s="12">
        <v>20210804</v>
      </c>
    </row>
    <row r="1367" spans="1:25" x14ac:dyDescent="0.45">
      <c r="A1367" s="3" t="s">
        <v>4814</v>
      </c>
      <c r="B1367" s="3" t="s">
        <v>4815</v>
      </c>
      <c r="C1367" s="6" t="s">
        <v>520</v>
      </c>
      <c r="D1367" s="6" t="s">
        <v>225</v>
      </c>
      <c r="E1367" s="6" t="s">
        <v>226</v>
      </c>
      <c r="F1367" s="6">
        <v>14323.98</v>
      </c>
      <c r="J1367" s="47" t="e">
        <f t="shared" si="105"/>
        <v>#DIV/0!</v>
      </c>
      <c r="K1367" s="47" t="e">
        <f t="shared" si="106"/>
        <v>#DIV/0!</v>
      </c>
      <c r="L1367" s="8">
        <v>54.31</v>
      </c>
      <c r="O1367" s="17" t="e">
        <f t="shared" si="107"/>
        <v>#DIV/0!</v>
      </c>
      <c r="P1367" s="17" t="e">
        <f t="shared" si="108"/>
        <v>#DIV/0!</v>
      </c>
      <c r="R1367" s="9">
        <v>8.69</v>
      </c>
      <c r="S1367" s="9">
        <v>4.25</v>
      </c>
      <c r="U1367" s="9">
        <v>4296.28</v>
      </c>
      <c r="V1367" s="45">
        <f t="shared" si="109"/>
        <v>-1</v>
      </c>
      <c r="X1367" s="12">
        <v>1</v>
      </c>
      <c r="Y1367" s="12">
        <v>20210825</v>
      </c>
    </row>
    <row r="1368" spans="1:25" x14ac:dyDescent="0.45">
      <c r="A1368" s="3" t="s">
        <v>2476</v>
      </c>
      <c r="B1368" s="3" t="s">
        <v>2477</v>
      </c>
      <c r="C1368" s="6" t="s">
        <v>518</v>
      </c>
      <c r="D1368" s="6" t="s">
        <v>216</v>
      </c>
      <c r="E1368" s="6" t="s">
        <v>1481</v>
      </c>
      <c r="F1368" s="6">
        <v>13830.07</v>
      </c>
      <c r="G1368" s="2">
        <v>8.17</v>
      </c>
      <c r="H1368" s="2">
        <v>13.42</v>
      </c>
      <c r="I1368" s="2">
        <v>14.67</v>
      </c>
      <c r="J1368" s="47">
        <f t="shared" si="105"/>
        <v>0.64259485924112603</v>
      </c>
      <c r="K1368" s="47">
        <f t="shared" si="106"/>
        <v>9.3144560357675113E-2</v>
      </c>
      <c r="L1368" s="8">
        <v>18.61</v>
      </c>
      <c r="M1368" s="8">
        <v>14.79</v>
      </c>
      <c r="N1368" s="8">
        <v>13.53</v>
      </c>
      <c r="O1368" s="17">
        <f t="shared" si="107"/>
        <v>0.23016057142857146</v>
      </c>
      <c r="P1368" s="17">
        <f t="shared" si="108"/>
        <v>1.4525807999999998</v>
      </c>
      <c r="R1368" s="9">
        <v>9.14</v>
      </c>
      <c r="S1368" s="9">
        <v>2.16</v>
      </c>
      <c r="T1368" s="9">
        <v>10688.608389999999</v>
      </c>
      <c r="U1368" s="9">
        <v>9552.2000000000007</v>
      </c>
      <c r="V1368" s="45">
        <f t="shared" si="109"/>
        <v>0.11896823663658619</v>
      </c>
      <c r="W1368" s="12">
        <v>24.64</v>
      </c>
      <c r="X1368" s="12">
        <v>0</v>
      </c>
      <c r="Y1368" s="12">
        <v>20210805</v>
      </c>
    </row>
    <row r="1369" spans="1:25" x14ac:dyDescent="0.45">
      <c r="A1369" s="3" t="s">
        <v>2478</v>
      </c>
      <c r="B1369" s="3" t="s">
        <v>2479</v>
      </c>
      <c r="C1369" s="6" t="s">
        <v>520</v>
      </c>
      <c r="D1369" s="6" t="s">
        <v>272</v>
      </c>
      <c r="E1369" s="6" t="s">
        <v>254</v>
      </c>
      <c r="F1369" s="6">
        <v>10679.71</v>
      </c>
      <c r="G1369" s="2">
        <v>0.53</v>
      </c>
      <c r="H1369" s="2">
        <v>2.4500000000000002</v>
      </c>
      <c r="I1369" s="2">
        <v>3.19</v>
      </c>
      <c r="J1369" s="47">
        <f t="shared" si="105"/>
        <v>3.6226415094339623</v>
      </c>
      <c r="K1369" s="47">
        <f t="shared" si="106"/>
        <v>0.30204081632653051</v>
      </c>
      <c r="L1369" s="8">
        <v>26.72</v>
      </c>
      <c r="M1369" s="8">
        <v>12.98</v>
      </c>
      <c r="N1369" s="8">
        <v>9.9700000000000006</v>
      </c>
      <c r="O1369" s="17">
        <f t="shared" si="107"/>
        <v>3.5830208333333328E-2</v>
      </c>
      <c r="P1369" s="17">
        <f t="shared" si="108"/>
        <v>0.33008783783783796</v>
      </c>
      <c r="R1369" s="9">
        <v>3.29</v>
      </c>
      <c r="S1369" s="9">
        <v>-1.69</v>
      </c>
      <c r="T1369" s="9">
        <v>34759.738279999998</v>
      </c>
      <c r="U1369" s="9">
        <v>34904.980000000003</v>
      </c>
      <c r="V1369" s="45">
        <f t="shared" si="109"/>
        <v>-4.1610601123394262E-3</v>
      </c>
      <c r="W1369" s="12">
        <v>145.26</v>
      </c>
      <c r="X1369" s="12">
        <v>0</v>
      </c>
      <c r="Y1369" s="12">
        <v>20210802</v>
      </c>
    </row>
    <row r="1370" spans="1:25" x14ac:dyDescent="0.45">
      <c r="A1370" s="3" t="s">
        <v>4236</v>
      </c>
      <c r="B1370" s="3" t="s">
        <v>4237</v>
      </c>
      <c r="C1370" s="6" t="s">
        <v>518</v>
      </c>
      <c r="D1370" s="6" t="s">
        <v>1042</v>
      </c>
      <c r="E1370" s="6" t="s">
        <v>1043</v>
      </c>
      <c r="F1370" s="6">
        <v>3372.35</v>
      </c>
      <c r="G1370" s="2">
        <v>3.38</v>
      </c>
      <c r="H1370" s="2">
        <v>2.12</v>
      </c>
      <c r="I1370" s="2">
        <v>2.58</v>
      </c>
      <c r="J1370" s="47">
        <f t="shared" si="105"/>
        <v>-0.37278106508875736</v>
      </c>
      <c r="K1370" s="47">
        <f t="shared" si="106"/>
        <v>0.21698113207547168</v>
      </c>
      <c r="L1370" s="8">
        <v>15.98</v>
      </c>
      <c r="M1370" s="8">
        <v>18.16</v>
      </c>
      <c r="N1370" s="8">
        <v>14.92</v>
      </c>
      <c r="O1370" s="17">
        <f t="shared" si="107"/>
        <v>-0.48714920634920639</v>
      </c>
      <c r="P1370" s="17">
        <f t="shared" si="108"/>
        <v>0.68761739130434796</v>
      </c>
      <c r="R1370" s="9">
        <v>13.17</v>
      </c>
      <c r="S1370" s="9">
        <v>-6.73</v>
      </c>
      <c r="T1370" s="9">
        <v>1007.09997</v>
      </c>
      <c r="U1370" s="9">
        <v>847</v>
      </c>
      <c r="V1370" s="45">
        <f t="shared" si="109"/>
        <v>0.18902003541912632</v>
      </c>
      <c r="W1370" s="12">
        <v>25</v>
      </c>
      <c r="X1370" s="12">
        <v>0</v>
      </c>
      <c r="Y1370" s="12">
        <v>20210803</v>
      </c>
    </row>
    <row r="1371" spans="1:25" x14ac:dyDescent="0.45">
      <c r="A1371" s="3" t="s">
        <v>2480</v>
      </c>
      <c r="B1371" s="3" t="s">
        <v>614</v>
      </c>
      <c r="C1371" s="6" t="s">
        <v>519</v>
      </c>
      <c r="D1371" s="6" t="s">
        <v>272</v>
      </c>
      <c r="E1371" s="6" t="s">
        <v>254</v>
      </c>
      <c r="F1371" s="6">
        <v>9424.1299999999992</v>
      </c>
      <c r="G1371" s="2">
        <v>4.78</v>
      </c>
      <c r="H1371" s="2">
        <v>7.71</v>
      </c>
      <c r="I1371" s="2">
        <v>8.64</v>
      </c>
      <c r="J1371" s="47">
        <f t="shared" si="105"/>
        <v>0.61297071129707104</v>
      </c>
      <c r="K1371" s="47">
        <f t="shared" si="106"/>
        <v>0.1206225680933853</v>
      </c>
      <c r="L1371" s="8">
        <v>31.96</v>
      </c>
      <c r="M1371" s="8">
        <v>21.97</v>
      </c>
      <c r="N1371" s="8">
        <v>19.61</v>
      </c>
      <c r="O1371" s="17">
        <f t="shared" si="107"/>
        <v>0.35841843003412971</v>
      </c>
      <c r="P1371" s="17">
        <f t="shared" si="108"/>
        <v>1.6257322580645148</v>
      </c>
      <c r="R1371" s="9">
        <v>14.7</v>
      </c>
      <c r="S1371" s="9">
        <v>5.69</v>
      </c>
      <c r="T1371" s="9">
        <v>3124.0910600000002</v>
      </c>
      <c r="U1371" s="9">
        <v>2513.2600000000002</v>
      </c>
      <c r="V1371" s="45">
        <f t="shared" si="109"/>
        <v>0.24304332221895067</v>
      </c>
      <c r="W1371" s="12">
        <v>9.82</v>
      </c>
      <c r="X1371" s="12">
        <v>0</v>
      </c>
      <c r="Y1371" s="12">
        <v>20210804</v>
      </c>
    </row>
    <row r="1372" spans="1:25" x14ac:dyDescent="0.45">
      <c r="A1372" s="3" t="s">
        <v>4816</v>
      </c>
      <c r="B1372" s="3" t="s">
        <v>4817</v>
      </c>
      <c r="C1372" s="6" t="s">
        <v>520</v>
      </c>
      <c r="D1372" s="6" t="s">
        <v>189</v>
      </c>
      <c r="E1372" s="6" t="s">
        <v>908</v>
      </c>
      <c r="F1372" s="6">
        <v>35862</v>
      </c>
      <c r="J1372" s="47" t="e">
        <f t="shared" si="105"/>
        <v>#DIV/0!</v>
      </c>
      <c r="K1372" s="47" t="e">
        <f t="shared" si="106"/>
        <v>#DIV/0!</v>
      </c>
      <c r="L1372" s="8">
        <v>17.75</v>
      </c>
      <c r="O1372" s="17" t="e">
        <f t="shared" si="107"/>
        <v>#DIV/0!</v>
      </c>
      <c r="P1372" s="17" t="e">
        <f t="shared" si="108"/>
        <v>#DIV/0!</v>
      </c>
      <c r="R1372" s="9">
        <v>8</v>
      </c>
      <c r="S1372" s="9">
        <v>1.05</v>
      </c>
      <c r="U1372" s="9">
        <v>39541.629999999997</v>
      </c>
      <c r="V1372" s="45">
        <f t="shared" si="109"/>
        <v>-1</v>
      </c>
      <c r="X1372" s="12">
        <v>4.18</v>
      </c>
      <c r="Y1372" s="12">
        <v>20210729</v>
      </c>
    </row>
    <row r="1373" spans="1:25" x14ac:dyDescent="0.45">
      <c r="A1373" s="3" t="s">
        <v>4238</v>
      </c>
      <c r="B1373" s="3" t="s">
        <v>4239</v>
      </c>
      <c r="C1373" s="6" t="s">
        <v>519</v>
      </c>
      <c r="D1373" s="6" t="s">
        <v>189</v>
      </c>
      <c r="E1373" s="6" t="s">
        <v>248</v>
      </c>
      <c r="F1373" s="6">
        <v>3341.88</v>
      </c>
      <c r="G1373" s="2">
        <v>1.1000000000000001</v>
      </c>
      <c r="H1373" s="2">
        <v>1.23</v>
      </c>
      <c r="I1373" s="2">
        <v>1.4</v>
      </c>
      <c r="J1373" s="47">
        <f t="shared" si="105"/>
        <v>0.11818181818181807</v>
      </c>
      <c r="K1373" s="47">
        <f t="shared" si="106"/>
        <v>0.13821138211382109</v>
      </c>
      <c r="L1373" s="8">
        <v>44.59</v>
      </c>
      <c r="M1373" s="8">
        <v>41.69</v>
      </c>
      <c r="N1373" s="8">
        <v>36.68</v>
      </c>
      <c r="O1373" s="17">
        <f t="shared" si="107"/>
        <v>3.5276153846153875</v>
      </c>
      <c r="P1373" s="17">
        <f t="shared" si="108"/>
        <v>2.6539058823529422</v>
      </c>
      <c r="Q1373" s="5">
        <v>1.19</v>
      </c>
      <c r="R1373" s="9">
        <v>10.01</v>
      </c>
      <c r="S1373" s="9">
        <v>29.86</v>
      </c>
      <c r="T1373" s="9">
        <v>573.20299999999997</v>
      </c>
      <c r="U1373" s="9">
        <v>501.4</v>
      </c>
      <c r="V1373" s="45">
        <f t="shared" si="109"/>
        <v>0.14320502592740328</v>
      </c>
      <c r="W1373" s="12">
        <v>21.74</v>
      </c>
      <c r="X1373" s="12">
        <v>0</v>
      </c>
      <c r="Y1373" s="12">
        <v>20210802</v>
      </c>
    </row>
    <row r="1374" spans="1:25" x14ac:dyDescent="0.45">
      <c r="A1374" s="3" t="s">
        <v>2481</v>
      </c>
      <c r="B1374" s="3" t="s">
        <v>2482</v>
      </c>
      <c r="C1374" s="6" t="s">
        <v>520</v>
      </c>
      <c r="D1374" s="6" t="s">
        <v>234</v>
      </c>
      <c r="E1374" s="6" t="s">
        <v>523</v>
      </c>
      <c r="F1374" s="6">
        <v>23878.29</v>
      </c>
      <c r="G1374" s="2">
        <v>0.95</v>
      </c>
      <c r="H1374" s="2">
        <v>1</v>
      </c>
      <c r="I1374" s="2">
        <v>1.1000000000000001</v>
      </c>
      <c r="J1374" s="47">
        <f t="shared" si="105"/>
        <v>5.2631578947368474E-2</v>
      </c>
      <c r="K1374" s="47">
        <f t="shared" si="106"/>
        <v>0.10000000000000009</v>
      </c>
      <c r="L1374" s="8">
        <v>18.38</v>
      </c>
      <c r="M1374" s="8">
        <v>17.46</v>
      </c>
      <c r="N1374" s="8">
        <v>15.87</v>
      </c>
      <c r="O1374" s="17">
        <f t="shared" si="107"/>
        <v>3.3173999999999966</v>
      </c>
      <c r="P1374" s="17">
        <f t="shared" si="108"/>
        <v>1.5869999999999984</v>
      </c>
      <c r="R1374" s="9">
        <v>7.05</v>
      </c>
      <c r="S1374" s="9">
        <v>3.72</v>
      </c>
      <c r="T1374" s="9">
        <v>11969.51953</v>
      </c>
      <c r="U1374" s="9">
        <v>11396.06</v>
      </c>
      <c r="V1374" s="45">
        <f t="shared" si="109"/>
        <v>5.0320859139035778E-2</v>
      </c>
      <c r="X1374" s="12">
        <v>0.45</v>
      </c>
      <c r="Y1374" s="12">
        <v>20210806</v>
      </c>
    </row>
    <row r="1375" spans="1:25" x14ac:dyDescent="0.45">
      <c r="A1375" s="3" t="s">
        <v>3853</v>
      </c>
      <c r="B1375" s="3" t="s">
        <v>3854</v>
      </c>
      <c r="C1375" s="6" t="s">
        <v>520</v>
      </c>
      <c r="D1375" s="6" t="s">
        <v>272</v>
      </c>
      <c r="E1375" s="6" t="s">
        <v>439</v>
      </c>
      <c r="F1375" s="6">
        <v>38818.07</v>
      </c>
      <c r="G1375" s="2">
        <v>31.74</v>
      </c>
      <c r="H1375" s="2">
        <v>70.11</v>
      </c>
      <c r="I1375" s="2">
        <v>68.010000000000005</v>
      </c>
      <c r="J1375" s="47">
        <f t="shared" si="105"/>
        <v>1.2088846880907373</v>
      </c>
      <c r="K1375" s="47">
        <f t="shared" si="106"/>
        <v>-2.995293110825837E-2</v>
      </c>
      <c r="L1375" s="8">
        <v>12.28</v>
      </c>
      <c r="M1375" s="8">
        <v>6.59</v>
      </c>
      <c r="N1375" s="8">
        <v>6.8</v>
      </c>
      <c r="O1375" s="17">
        <f t="shared" si="107"/>
        <v>5.4513057075840497E-2</v>
      </c>
      <c r="P1375" s="17">
        <f t="shared" si="108"/>
        <v>-2.2702285714285773</v>
      </c>
      <c r="Q1375" s="5">
        <v>0.28000000000000003</v>
      </c>
      <c r="R1375" s="9">
        <v>7.77</v>
      </c>
      <c r="S1375" s="9">
        <v>15.06</v>
      </c>
      <c r="T1375" s="9">
        <v>66889.523430000001</v>
      </c>
      <c r="U1375" s="9">
        <v>75567.89</v>
      </c>
      <c r="V1375" s="45">
        <f t="shared" si="109"/>
        <v>-0.11484198606048149</v>
      </c>
      <c r="W1375" s="12">
        <v>20.12</v>
      </c>
      <c r="X1375" s="12">
        <v>1.4</v>
      </c>
      <c r="Y1375" s="12">
        <v>20210730</v>
      </c>
    </row>
    <row r="1376" spans="1:25" x14ac:dyDescent="0.45">
      <c r="A1376" s="3" t="s">
        <v>2483</v>
      </c>
      <c r="B1376" s="3" t="s">
        <v>2484</v>
      </c>
      <c r="C1376" s="6" t="s">
        <v>518</v>
      </c>
      <c r="D1376" s="6" t="s">
        <v>225</v>
      </c>
      <c r="E1376" s="6" t="s">
        <v>226</v>
      </c>
      <c r="F1376" s="6">
        <v>23533.81</v>
      </c>
      <c r="G1376" s="2">
        <v>2.85</v>
      </c>
      <c r="H1376" s="2">
        <v>3.01</v>
      </c>
      <c r="I1376" s="2">
        <v>3.11</v>
      </c>
      <c r="J1376" s="47">
        <f t="shared" si="105"/>
        <v>5.6140350877192872E-2</v>
      </c>
      <c r="K1376" s="47">
        <f t="shared" si="106"/>
        <v>3.3222591362126276E-2</v>
      </c>
      <c r="L1376" s="8">
        <v>19.54</v>
      </c>
      <c r="M1376" s="8">
        <v>29.3</v>
      </c>
      <c r="N1376" s="8">
        <v>28.32</v>
      </c>
      <c r="O1376" s="17">
        <f t="shared" si="107"/>
        <v>5.2190625000000104</v>
      </c>
      <c r="P1376" s="17">
        <f t="shared" si="108"/>
        <v>8.5243199999999923</v>
      </c>
      <c r="Q1376" s="5">
        <v>4.3899999999999997</v>
      </c>
      <c r="R1376" s="9">
        <v>20.64</v>
      </c>
      <c r="S1376" s="9">
        <v>6.31</v>
      </c>
      <c r="T1376" s="9">
        <v>6100.8901299999998</v>
      </c>
      <c r="U1376" s="9">
        <v>5601.3</v>
      </c>
      <c r="V1376" s="45">
        <f t="shared" si="109"/>
        <v>8.9191817970828119E-2</v>
      </c>
      <c r="W1376" s="12">
        <v>26.32</v>
      </c>
      <c r="X1376" s="12">
        <v>1.54</v>
      </c>
      <c r="Y1376" s="12">
        <v>20210701</v>
      </c>
    </row>
    <row r="1377" spans="1:25" x14ac:dyDescent="0.45">
      <c r="A1377" s="3" t="s">
        <v>4818</v>
      </c>
      <c r="B1377" s="3" t="s">
        <v>4819</v>
      </c>
      <c r="C1377" s="6" t="s">
        <v>520</v>
      </c>
      <c r="D1377" s="6" t="s">
        <v>279</v>
      </c>
      <c r="E1377" s="6" t="s">
        <v>258</v>
      </c>
      <c r="F1377" s="6">
        <v>23580.49</v>
      </c>
      <c r="J1377" s="47" t="e">
        <f t="shared" si="105"/>
        <v>#DIV/0!</v>
      </c>
      <c r="K1377" s="47" t="e">
        <f t="shared" si="106"/>
        <v>#DIV/0!</v>
      </c>
      <c r="L1377" s="8">
        <v>21.04</v>
      </c>
      <c r="O1377" s="17" t="e">
        <f t="shared" si="107"/>
        <v>#DIV/0!</v>
      </c>
      <c r="P1377" s="17" t="e">
        <f t="shared" si="108"/>
        <v>#DIV/0!</v>
      </c>
      <c r="R1377" s="9">
        <v>18.12</v>
      </c>
      <c r="S1377" s="9">
        <v>4.5</v>
      </c>
      <c r="U1377" s="9">
        <v>20027.39</v>
      </c>
      <c r="V1377" s="45">
        <f t="shared" si="109"/>
        <v>-1</v>
      </c>
      <c r="X1377" s="12">
        <v>0</v>
      </c>
      <c r="Y1377" s="12">
        <v>20210629</v>
      </c>
    </row>
    <row r="1378" spans="1:25" x14ac:dyDescent="0.45">
      <c r="A1378" s="3" t="s">
        <v>2485</v>
      </c>
      <c r="B1378" s="3" t="s">
        <v>2486</v>
      </c>
      <c r="C1378" s="6" t="s">
        <v>518</v>
      </c>
      <c r="D1378" s="6" t="s">
        <v>234</v>
      </c>
      <c r="E1378" s="6" t="s">
        <v>244</v>
      </c>
      <c r="F1378" s="6">
        <v>16472.09</v>
      </c>
      <c r="G1378" s="2">
        <v>20.2</v>
      </c>
      <c r="H1378" s="2">
        <v>56.63</v>
      </c>
      <c r="I1378" s="2">
        <v>68.680000000000007</v>
      </c>
      <c r="J1378" s="47">
        <f t="shared" si="105"/>
        <v>1.803465346534654</v>
      </c>
      <c r="K1378" s="47">
        <f t="shared" si="106"/>
        <v>0.21278474306904474</v>
      </c>
      <c r="L1378" s="8">
        <v>27.2</v>
      </c>
      <c r="M1378" s="8">
        <v>21.14</v>
      </c>
      <c r="N1378" s="8">
        <v>17.43</v>
      </c>
      <c r="O1378" s="17">
        <f t="shared" si="107"/>
        <v>0.11721877573428489</v>
      </c>
      <c r="P1378" s="17">
        <f t="shared" si="108"/>
        <v>0.81913767634854739</v>
      </c>
      <c r="R1378" s="9">
        <v>5.69</v>
      </c>
      <c r="S1378" s="9">
        <v>15.22</v>
      </c>
      <c r="T1378" s="9">
        <v>10285.422850000001</v>
      </c>
      <c r="U1378" s="9">
        <v>9735.07</v>
      </c>
      <c r="V1378" s="45">
        <f t="shared" si="109"/>
        <v>5.6533014143709405E-2</v>
      </c>
      <c r="W1378" s="12">
        <v>-10.99</v>
      </c>
      <c r="X1378" s="12">
        <v>0</v>
      </c>
      <c r="Y1378" s="12">
        <v>20210727</v>
      </c>
    </row>
    <row r="1379" spans="1:25" x14ac:dyDescent="0.45">
      <c r="A1379" s="3" t="s">
        <v>2487</v>
      </c>
      <c r="B1379" s="3" t="s">
        <v>2488</v>
      </c>
      <c r="C1379" s="6" t="s">
        <v>519</v>
      </c>
      <c r="D1379" s="6" t="s">
        <v>189</v>
      </c>
      <c r="E1379" s="6" t="s">
        <v>914</v>
      </c>
      <c r="F1379" s="6">
        <v>9883.36</v>
      </c>
      <c r="G1379" s="2">
        <v>7.11</v>
      </c>
      <c r="H1379" s="2">
        <v>11.22</v>
      </c>
      <c r="I1379" s="2">
        <v>12.3</v>
      </c>
      <c r="J1379" s="47">
        <f t="shared" si="105"/>
        <v>0.57805907172995785</v>
      </c>
      <c r="K1379" s="47">
        <f t="shared" si="106"/>
        <v>9.6256684491978606E-2</v>
      </c>
      <c r="L1379" s="8">
        <v>21.13</v>
      </c>
      <c r="M1379" s="8">
        <v>15.91</v>
      </c>
      <c r="N1379" s="8">
        <v>14.52</v>
      </c>
      <c r="O1379" s="17">
        <f t="shared" si="107"/>
        <v>0.27523138686131382</v>
      </c>
      <c r="P1379" s="17">
        <f t="shared" si="108"/>
        <v>1.5084666666666666</v>
      </c>
      <c r="R1379" s="9">
        <v>20.420000000000002</v>
      </c>
      <c r="S1379" s="9">
        <v>14.64</v>
      </c>
      <c r="T1379" s="9">
        <v>2914</v>
      </c>
      <c r="U1379" s="9">
        <v>2330</v>
      </c>
      <c r="V1379" s="45">
        <f t="shared" si="109"/>
        <v>0.25064377682403433</v>
      </c>
      <c r="W1379" s="12">
        <v>17.97</v>
      </c>
      <c r="X1379" s="12">
        <v>0.49</v>
      </c>
      <c r="Y1379" s="12">
        <v>20210804</v>
      </c>
    </row>
    <row r="1380" spans="1:25" x14ac:dyDescent="0.45">
      <c r="A1380" s="3" t="s">
        <v>2489</v>
      </c>
      <c r="B1380" s="3" t="s">
        <v>2490</v>
      </c>
      <c r="C1380" s="6" t="s">
        <v>520</v>
      </c>
      <c r="D1380" s="6" t="s">
        <v>216</v>
      </c>
      <c r="E1380" s="6" t="s">
        <v>2491</v>
      </c>
      <c r="F1380" s="6">
        <v>12545.44</v>
      </c>
      <c r="G1380" s="2">
        <v>2.19</v>
      </c>
      <c r="H1380" s="2">
        <v>2.4</v>
      </c>
      <c r="I1380" s="2">
        <v>2.67</v>
      </c>
      <c r="J1380" s="47">
        <f t="shared" si="105"/>
        <v>9.589041095890409E-2</v>
      </c>
      <c r="K1380" s="47">
        <f t="shared" si="106"/>
        <v>0.11250000000000002</v>
      </c>
      <c r="L1380" s="8">
        <v>23.1</v>
      </c>
      <c r="M1380" s="8">
        <v>19.25</v>
      </c>
      <c r="N1380" s="8">
        <v>17.309999999999999</v>
      </c>
      <c r="O1380" s="17">
        <f t="shared" si="107"/>
        <v>2.0075000000000007</v>
      </c>
      <c r="P1380" s="17">
        <f t="shared" si="108"/>
        <v>1.5386666666666664</v>
      </c>
      <c r="R1380" s="9">
        <v>9.2899999999999991</v>
      </c>
      <c r="S1380" s="9">
        <v>7.07</v>
      </c>
      <c r="T1380" s="9">
        <v>6125.7148399999996</v>
      </c>
      <c r="U1380" s="9">
        <v>5739</v>
      </c>
      <c r="V1380" s="45">
        <f t="shared" si="109"/>
        <v>6.7383662658999768E-2</v>
      </c>
      <c r="W1380" s="12">
        <v>12.77</v>
      </c>
      <c r="X1380" s="12">
        <v>0.15</v>
      </c>
      <c r="Y1380" s="12">
        <v>20210730</v>
      </c>
    </row>
    <row r="1381" spans="1:25" x14ac:dyDescent="0.45">
      <c r="A1381" s="3" t="s">
        <v>2492</v>
      </c>
      <c r="B1381" s="3" t="s">
        <v>2493</v>
      </c>
      <c r="C1381" s="6" t="s">
        <v>519</v>
      </c>
      <c r="D1381" s="6" t="s">
        <v>234</v>
      </c>
      <c r="E1381" s="6" t="s">
        <v>1079</v>
      </c>
      <c r="F1381" s="6">
        <v>16470.060000000001</v>
      </c>
      <c r="G1381" s="2">
        <v>7.78</v>
      </c>
      <c r="H1381" s="2">
        <v>7.99</v>
      </c>
      <c r="I1381" s="2">
        <v>9.2200000000000006</v>
      </c>
      <c r="J1381" s="47">
        <f t="shared" si="105"/>
        <v>2.6992287917737785E-2</v>
      </c>
      <c r="K1381" s="47">
        <f t="shared" si="106"/>
        <v>0.15394242803504385</v>
      </c>
      <c r="L1381" s="8">
        <v>54.2</v>
      </c>
      <c r="M1381" s="8">
        <v>54.3</v>
      </c>
      <c r="N1381" s="8">
        <v>47.04</v>
      </c>
      <c r="O1381" s="17">
        <f t="shared" si="107"/>
        <v>20.116857142857143</v>
      </c>
      <c r="P1381" s="17">
        <f t="shared" si="108"/>
        <v>3.055687804878048</v>
      </c>
      <c r="R1381" s="9">
        <v>33.03</v>
      </c>
      <c r="S1381" s="9">
        <v>15.89</v>
      </c>
      <c r="T1381" s="9">
        <v>775.64098999999999</v>
      </c>
      <c r="U1381" s="9">
        <v>689.13</v>
      </c>
      <c r="V1381" s="45">
        <f t="shared" si="109"/>
        <v>0.12553653156878963</v>
      </c>
      <c r="W1381" s="12">
        <v>-0.47</v>
      </c>
      <c r="X1381" s="12">
        <v>0.61</v>
      </c>
      <c r="Y1381" s="12">
        <v>20210728</v>
      </c>
    </row>
    <row r="1382" spans="1:25" x14ac:dyDescent="0.45">
      <c r="A1382" s="3" t="s">
        <v>2494</v>
      </c>
      <c r="B1382" s="3" t="s">
        <v>2495</v>
      </c>
      <c r="C1382" s="6" t="s">
        <v>519</v>
      </c>
      <c r="D1382" s="6" t="s">
        <v>216</v>
      </c>
      <c r="E1382" s="6" t="s">
        <v>228</v>
      </c>
      <c r="F1382" s="6">
        <v>8277.56</v>
      </c>
      <c r="G1382" s="2">
        <v>-2.83</v>
      </c>
      <c r="H1382" s="2">
        <v>-0.82</v>
      </c>
      <c r="I1382" s="2">
        <v>0.57999999999999996</v>
      </c>
      <c r="J1382" s="47">
        <f t="shared" si="105"/>
        <v>0.71024734982332161</v>
      </c>
      <c r="K1382" s="47">
        <f t="shared" si="106"/>
        <v>1.7073170731707317</v>
      </c>
      <c r="N1382" s="8">
        <v>29.64</v>
      </c>
      <c r="O1382" s="17">
        <f t="shared" si="107"/>
        <v>0</v>
      </c>
      <c r="P1382" s="17">
        <f t="shared" si="108"/>
        <v>0.17360571428571431</v>
      </c>
      <c r="R1382" s="9">
        <v>-75.319999999999993</v>
      </c>
      <c r="S1382" s="9">
        <v>-13.02</v>
      </c>
      <c r="T1382" s="9">
        <v>3230.9299299999998</v>
      </c>
      <c r="U1382" s="9">
        <v>1727.92</v>
      </c>
      <c r="V1382" s="45">
        <f t="shared" si="109"/>
        <v>0.86983768345756729</v>
      </c>
      <c r="W1382" s="12">
        <v>-46.67</v>
      </c>
      <c r="X1382" s="12">
        <v>0</v>
      </c>
      <c r="Y1382" s="12">
        <v>20210819</v>
      </c>
    </row>
    <row r="1383" spans="1:25" x14ac:dyDescent="0.45">
      <c r="A1383" s="3" t="s">
        <v>4820</v>
      </c>
      <c r="B1383" s="3" t="s">
        <v>4821</v>
      </c>
      <c r="C1383" s="6" t="s">
        <v>520</v>
      </c>
      <c r="D1383" s="6" t="s">
        <v>210</v>
      </c>
      <c r="E1383" s="6" t="s">
        <v>215</v>
      </c>
      <c r="F1383" s="6">
        <v>3823.5</v>
      </c>
      <c r="J1383" s="47" t="e">
        <f t="shared" si="105"/>
        <v>#DIV/0!</v>
      </c>
      <c r="K1383" s="47" t="e">
        <f t="shared" si="106"/>
        <v>#DIV/0!</v>
      </c>
      <c r="L1383" s="8">
        <v>3.73</v>
      </c>
      <c r="O1383" s="17" t="e">
        <f t="shared" si="107"/>
        <v>#DIV/0!</v>
      </c>
      <c r="P1383" s="17" t="e">
        <f t="shared" si="108"/>
        <v>#DIV/0!</v>
      </c>
      <c r="R1383" s="9">
        <v>6.3</v>
      </c>
      <c r="S1383" s="9">
        <v>17.54</v>
      </c>
      <c r="U1383" s="9">
        <v>57987.01</v>
      </c>
      <c r="V1383" s="45">
        <f t="shared" si="109"/>
        <v>-1</v>
      </c>
      <c r="X1383" s="12">
        <v>4.37</v>
      </c>
      <c r="Y1383" s="12">
        <v>20210908</v>
      </c>
    </row>
    <row r="1384" spans="1:25" x14ac:dyDescent="0.45">
      <c r="A1384" s="3" t="s">
        <v>2496</v>
      </c>
      <c r="B1384" s="3" t="s">
        <v>2497</v>
      </c>
      <c r="C1384" s="6" t="s">
        <v>518</v>
      </c>
      <c r="D1384" s="6" t="s">
        <v>210</v>
      </c>
      <c r="E1384" s="6" t="s">
        <v>188</v>
      </c>
      <c r="F1384" s="6">
        <v>22396.67</v>
      </c>
      <c r="G1384" s="2">
        <v>10.8</v>
      </c>
      <c r="H1384" s="2">
        <v>12.64</v>
      </c>
      <c r="I1384" s="2">
        <v>14.06</v>
      </c>
      <c r="J1384" s="47">
        <f t="shared" si="105"/>
        <v>0.17037037037037034</v>
      </c>
      <c r="K1384" s="47">
        <f t="shared" si="106"/>
        <v>0.11234177215189872</v>
      </c>
      <c r="L1384" s="8">
        <v>29.51</v>
      </c>
      <c r="M1384" s="8">
        <v>28.41</v>
      </c>
      <c r="N1384" s="8">
        <v>25.55</v>
      </c>
      <c r="O1384" s="17">
        <f t="shared" si="107"/>
        <v>1.6675434782608698</v>
      </c>
      <c r="P1384" s="17">
        <f t="shared" si="108"/>
        <v>2.27430985915493</v>
      </c>
      <c r="Q1384" s="5">
        <v>2.29</v>
      </c>
      <c r="R1384" s="9">
        <v>13.18</v>
      </c>
      <c r="S1384" s="9">
        <v>6.26</v>
      </c>
      <c r="T1384" s="9">
        <v>4891.3329999999996</v>
      </c>
      <c r="U1384" s="9">
        <v>4729.8999999999996</v>
      </c>
      <c r="V1384" s="45">
        <f t="shared" si="109"/>
        <v>3.4130319879912899E-2</v>
      </c>
      <c r="W1384" s="12">
        <v>108</v>
      </c>
      <c r="X1384" s="12">
        <v>0.63</v>
      </c>
      <c r="Y1384" s="12">
        <v>20210727</v>
      </c>
    </row>
    <row r="1385" spans="1:25" x14ac:dyDescent="0.45">
      <c r="A1385" s="3" t="s">
        <v>4822</v>
      </c>
      <c r="B1385" s="3" t="s">
        <v>4823</v>
      </c>
      <c r="C1385" s="6" t="s">
        <v>520</v>
      </c>
      <c r="D1385" s="6" t="s">
        <v>189</v>
      </c>
      <c r="E1385" s="6" t="s">
        <v>247</v>
      </c>
      <c r="F1385" s="6">
        <v>5565.47</v>
      </c>
      <c r="G1385" s="2">
        <v>-0.14000000000000001</v>
      </c>
      <c r="J1385" s="47">
        <f t="shared" si="105"/>
        <v>1</v>
      </c>
      <c r="K1385" s="47" t="e">
        <f t="shared" si="106"/>
        <v>#DIV/0!</v>
      </c>
      <c r="O1385" s="17">
        <f t="shared" si="107"/>
        <v>0</v>
      </c>
      <c r="P1385" s="17" t="e">
        <f t="shared" si="108"/>
        <v>#DIV/0!</v>
      </c>
      <c r="R1385" s="9">
        <v>-3.4</v>
      </c>
      <c r="S1385" s="9">
        <v>18.8</v>
      </c>
      <c r="U1385" s="9">
        <v>1390.6</v>
      </c>
      <c r="V1385" s="45">
        <f t="shared" si="109"/>
        <v>-1</v>
      </c>
      <c r="X1385" s="12">
        <v>0</v>
      </c>
      <c r="Y1385" s="12">
        <v>20210722</v>
      </c>
    </row>
    <row r="1386" spans="1:25" x14ac:dyDescent="0.45">
      <c r="A1386" s="3" t="s">
        <v>2498</v>
      </c>
      <c r="B1386" s="3" t="s">
        <v>2499</v>
      </c>
      <c r="C1386" s="6" t="s">
        <v>518</v>
      </c>
      <c r="D1386" s="6" t="s">
        <v>234</v>
      </c>
      <c r="E1386" s="6" t="s">
        <v>240</v>
      </c>
      <c r="F1386" s="6">
        <v>69882.45</v>
      </c>
      <c r="G1386" s="2">
        <v>4.91</v>
      </c>
      <c r="H1386" s="2">
        <v>5.63</v>
      </c>
      <c r="I1386" s="2">
        <v>6.12</v>
      </c>
      <c r="J1386" s="47">
        <f t="shared" si="105"/>
        <v>0.14663951120162927</v>
      </c>
      <c r="K1386" s="47">
        <f t="shared" si="106"/>
        <v>8.7033747779751369E-2</v>
      </c>
      <c r="L1386" s="8">
        <v>25.83</v>
      </c>
      <c r="M1386" s="8">
        <v>24.41</v>
      </c>
      <c r="N1386" s="8">
        <v>22.44</v>
      </c>
      <c r="O1386" s="17">
        <f t="shared" si="107"/>
        <v>1.6646263888888895</v>
      </c>
      <c r="P1386" s="17">
        <f t="shared" si="108"/>
        <v>2.5783102040816317</v>
      </c>
      <c r="Q1386" s="5">
        <v>2.67</v>
      </c>
      <c r="R1386" s="9">
        <v>30.29</v>
      </c>
      <c r="S1386" s="9">
        <v>7.15</v>
      </c>
      <c r="T1386" s="9">
        <v>18379.9414</v>
      </c>
      <c r="U1386" s="9">
        <v>17224</v>
      </c>
      <c r="V1386" s="45">
        <f t="shared" si="109"/>
        <v>6.7112250348351124E-2</v>
      </c>
      <c r="W1386" s="12">
        <v>17.059999999999999</v>
      </c>
      <c r="X1386" s="12">
        <v>1.35</v>
      </c>
      <c r="Y1386" s="12">
        <v>20210729</v>
      </c>
    </row>
    <row r="1387" spans="1:25" x14ac:dyDescent="0.45">
      <c r="A1387" s="3" t="s">
        <v>2500</v>
      </c>
      <c r="B1387" s="3" t="s">
        <v>2501</v>
      </c>
      <c r="C1387" s="6" t="s">
        <v>518</v>
      </c>
      <c r="D1387" s="6" t="s">
        <v>1042</v>
      </c>
      <c r="E1387" s="6" t="s">
        <v>1043</v>
      </c>
      <c r="F1387" s="6">
        <v>117523.31</v>
      </c>
      <c r="G1387" s="2">
        <v>8.56</v>
      </c>
      <c r="H1387" s="2">
        <v>9.7799999999999994</v>
      </c>
      <c r="I1387" s="2">
        <v>10.57</v>
      </c>
      <c r="J1387" s="47">
        <f t="shared" si="105"/>
        <v>0.14252336448598116</v>
      </c>
      <c r="K1387" s="47">
        <f t="shared" si="106"/>
        <v>8.0777096114519525E-2</v>
      </c>
      <c r="L1387" s="8">
        <v>21.66</v>
      </c>
      <c r="M1387" s="8">
        <v>20.73</v>
      </c>
      <c r="N1387" s="8">
        <v>19.18</v>
      </c>
      <c r="O1387" s="17">
        <f t="shared" si="107"/>
        <v>1.4544983606557391</v>
      </c>
      <c r="P1387" s="17">
        <f t="shared" si="108"/>
        <v>2.3744354430379717</v>
      </c>
      <c r="Q1387" s="5">
        <v>2.1800000000000002</v>
      </c>
      <c r="R1387" s="9">
        <v>44</v>
      </c>
      <c r="S1387" s="9">
        <v>1.53</v>
      </c>
      <c r="T1387" s="9">
        <v>34986.246090000001</v>
      </c>
      <c r="U1387" s="9">
        <v>32184</v>
      </c>
      <c r="V1387" s="45">
        <f t="shared" si="109"/>
        <v>8.7069540454884436E-2</v>
      </c>
      <c r="W1387" s="12">
        <v>23.11</v>
      </c>
      <c r="X1387" s="12">
        <v>2.92</v>
      </c>
      <c r="Y1387" s="12">
        <v>20210727</v>
      </c>
    </row>
    <row r="1388" spans="1:25" x14ac:dyDescent="0.45">
      <c r="A1388" s="3" t="s">
        <v>2502</v>
      </c>
      <c r="B1388" s="3" t="s">
        <v>2503</v>
      </c>
      <c r="C1388" s="6" t="s">
        <v>518</v>
      </c>
      <c r="D1388" s="6" t="s">
        <v>289</v>
      </c>
      <c r="E1388" s="6" t="s">
        <v>1595</v>
      </c>
      <c r="F1388" s="6">
        <v>11621.87</v>
      </c>
      <c r="G1388" s="2">
        <v>3.63</v>
      </c>
      <c r="H1388" s="2">
        <v>3.87</v>
      </c>
      <c r="I1388" s="2">
        <v>4.1500000000000004</v>
      </c>
      <c r="J1388" s="47">
        <f t="shared" si="105"/>
        <v>6.61157024793389E-2</v>
      </c>
      <c r="K1388" s="47">
        <f t="shared" si="106"/>
        <v>7.2351421188630555E-2</v>
      </c>
      <c r="L1388" s="8">
        <v>14.26</v>
      </c>
      <c r="M1388" s="8">
        <v>13.47</v>
      </c>
      <c r="N1388" s="8">
        <v>12.55</v>
      </c>
      <c r="O1388" s="17">
        <f t="shared" si="107"/>
        <v>2.0373374999999982</v>
      </c>
      <c r="P1388" s="17">
        <f t="shared" si="108"/>
        <v>1.7345892857142844</v>
      </c>
      <c r="R1388" s="9">
        <v>34.700000000000003</v>
      </c>
      <c r="S1388" s="9">
        <v>3.54</v>
      </c>
      <c r="T1388" s="9">
        <v>2728.84301</v>
      </c>
      <c r="U1388" s="9">
        <v>2427.8000000000002</v>
      </c>
      <c r="V1388" s="45">
        <f t="shared" si="109"/>
        <v>0.12399827415767355</v>
      </c>
      <c r="W1388" s="12">
        <v>25.29</v>
      </c>
      <c r="X1388" s="12">
        <v>7.9</v>
      </c>
      <c r="Y1388" s="12">
        <v>20210729</v>
      </c>
    </row>
    <row r="1389" spans="1:25" x14ac:dyDescent="0.45">
      <c r="A1389" s="3" t="s">
        <v>2504</v>
      </c>
      <c r="B1389" s="3" t="s">
        <v>2505</v>
      </c>
      <c r="C1389" s="6" t="s">
        <v>518</v>
      </c>
      <c r="D1389" s="6" t="s">
        <v>175</v>
      </c>
      <c r="E1389" s="6" t="s">
        <v>230</v>
      </c>
      <c r="F1389" s="6">
        <v>5597.62</v>
      </c>
      <c r="G1389" s="2">
        <v>3.27</v>
      </c>
      <c r="H1389" s="2">
        <v>4.34</v>
      </c>
      <c r="I1389" s="2">
        <v>4.57</v>
      </c>
      <c r="J1389" s="47">
        <f t="shared" si="105"/>
        <v>0.32721712538226294</v>
      </c>
      <c r="K1389" s="47">
        <f t="shared" si="106"/>
        <v>5.2995391705069221E-2</v>
      </c>
      <c r="L1389" s="8">
        <v>20.79</v>
      </c>
      <c r="M1389" s="8">
        <v>20.98</v>
      </c>
      <c r="N1389" s="8">
        <v>19.899999999999999</v>
      </c>
      <c r="O1389" s="17">
        <f t="shared" si="107"/>
        <v>0.6411644859813086</v>
      </c>
      <c r="P1389" s="17">
        <f t="shared" si="108"/>
        <v>3.7550434782608626</v>
      </c>
      <c r="R1389" s="9">
        <v>21.38</v>
      </c>
      <c r="S1389" s="9">
        <v>9.67</v>
      </c>
      <c r="T1389" s="9">
        <v>3889.61303</v>
      </c>
      <c r="U1389" s="9">
        <v>3461.54</v>
      </c>
      <c r="V1389" s="45">
        <f t="shared" si="109"/>
        <v>0.12366548703756132</v>
      </c>
      <c r="W1389" s="12">
        <v>57.32</v>
      </c>
      <c r="X1389" s="12">
        <v>1.23</v>
      </c>
      <c r="Y1389" s="12">
        <v>20210805</v>
      </c>
    </row>
    <row r="1390" spans="1:25" x14ac:dyDescent="0.45">
      <c r="A1390" s="3" t="s">
        <v>4240</v>
      </c>
      <c r="B1390" s="3" t="s">
        <v>4241</v>
      </c>
      <c r="C1390" s="6" t="s">
        <v>519</v>
      </c>
      <c r="D1390" s="6" t="s">
        <v>279</v>
      </c>
      <c r="E1390" s="6" t="s">
        <v>257</v>
      </c>
      <c r="F1390" s="6">
        <v>3401.83</v>
      </c>
      <c r="G1390" s="2">
        <v>1.56</v>
      </c>
      <c r="H1390" s="2">
        <v>1.93</v>
      </c>
      <c r="I1390" s="2">
        <v>2.2200000000000002</v>
      </c>
      <c r="J1390" s="47">
        <f t="shared" si="105"/>
        <v>0.23717948717948709</v>
      </c>
      <c r="K1390" s="47">
        <f t="shared" si="106"/>
        <v>0.1502590673575131</v>
      </c>
      <c r="L1390" s="8">
        <v>33.94</v>
      </c>
      <c r="M1390" s="8">
        <v>31.48</v>
      </c>
      <c r="N1390" s="8">
        <v>27.34</v>
      </c>
      <c r="O1390" s="17">
        <f t="shared" si="107"/>
        <v>1.3272648648648655</v>
      </c>
      <c r="P1390" s="17">
        <f t="shared" si="108"/>
        <v>1.8195241379310327</v>
      </c>
      <c r="Q1390" s="5">
        <v>2.4300000000000002</v>
      </c>
      <c r="R1390" s="9">
        <v>10.74</v>
      </c>
      <c r="S1390" s="9">
        <v>13.6</v>
      </c>
      <c r="T1390" s="9">
        <v>1010.22399</v>
      </c>
      <c r="U1390" s="9">
        <v>963.88</v>
      </c>
      <c r="V1390" s="45">
        <f t="shared" si="109"/>
        <v>4.8080663568078975E-2</v>
      </c>
      <c r="W1390" s="12">
        <v>40.54</v>
      </c>
      <c r="X1390" s="12">
        <v>0</v>
      </c>
      <c r="Y1390" s="12">
        <v>20210804</v>
      </c>
    </row>
    <row r="1391" spans="1:25" x14ac:dyDescent="0.45">
      <c r="A1391" s="3" t="s">
        <v>4824</v>
      </c>
      <c r="B1391" s="3" t="s">
        <v>4825</v>
      </c>
      <c r="C1391" s="6" t="s">
        <v>520</v>
      </c>
      <c r="D1391" s="6" t="s">
        <v>189</v>
      </c>
      <c r="E1391" s="6" t="s">
        <v>211</v>
      </c>
      <c r="F1391" s="6">
        <v>12092.79</v>
      </c>
      <c r="J1391" s="47" t="e">
        <f t="shared" si="105"/>
        <v>#DIV/0!</v>
      </c>
      <c r="K1391" s="47" t="e">
        <f t="shared" si="106"/>
        <v>#DIV/0!</v>
      </c>
      <c r="L1391" s="8">
        <v>32.18</v>
      </c>
      <c r="O1391" s="17" t="e">
        <f t="shared" si="107"/>
        <v>#DIV/0!</v>
      </c>
      <c r="P1391" s="17" t="e">
        <f t="shared" si="108"/>
        <v>#DIV/0!</v>
      </c>
      <c r="R1391" s="9">
        <v>9.1300000000000008</v>
      </c>
      <c r="S1391" s="9">
        <v>12.53</v>
      </c>
      <c r="U1391" s="9">
        <v>9324.7099999999991</v>
      </c>
      <c r="V1391" s="45">
        <f t="shared" si="109"/>
        <v>-1</v>
      </c>
      <c r="X1391" s="12">
        <v>0.37</v>
      </c>
      <c r="Y1391" s="12">
        <v>20210803</v>
      </c>
    </row>
    <row r="1392" spans="1:25" x14ac:dyDescent="0.45">
      <c r="A1392" s="3" t="s">
        <v>2506</v>
      </c>
      <c r="B1392" s="3" t="s">
        <v>2507</v>
      </c>
      <c r="C1392" s="6" t="s">
        <v>518</v>
      </c>
      <c r="D1392" s="6" t="s">
        <v>303</v>
      </c>
      <c r="E1392" s="6" t="s">
        <v>290</v>
      </c>
      <c r="F1392" s="6">
        <v>7103.9</v>
      </c>
      <c r="H1392" s="2">
        <v>0.26</v>
      </c>
      <c r="I1392" s="2">
        <v>0.73</v>
      </c>
      <c r="J1392" s="47" t="e">
        <f t="shared" si="105"/>
        <v>#DIV/0!</v>
      </c>
      <c r="K1392" s="47">
        <f t="shared" si="106"/>
        <v>1.8076923076923075</v>
      </c>
      <c r="M1392" s="8">
        <v>89.89</v>
      </c>
      <c r="N1392" s="8">
        <v>32.01</v>
      </c>
      <c r="O1392" s="17" t="e">
        <f t="shared" si="107"/>
        <v>#DIV/0!</v>
      </c>
      <c r="P1392" s="17">
        <f t="shared" si="108"/>
        <v>0.17707659574468088</v>
      </c>
      <c r="Q1392" s="5">
        <v>4.22</v>
      </c>
      <c r="U1392" s="9">
        <v>1276.81</v>
      </c>
      <c r="V1392" s="45">
        <f t="shared" si="109"/>
        <v>-1</v>
      </c>
      <c r="X1392" s="12">
        <v>0</v>
      </c>
    </row>
    <row r="1393" spans="1:25" x14ac:dyDescent="0.45">
      <c r="A1393" s="3" t="s">
        <v>2508</v>
      </c>
      <c r="B1393" s="3" t="s">
        <v>2509</v>
      </c>
      <c r="C1393" s="6" t="s">
        <v>519</v>
      </c>
      <c r="D1393" s="6" t="s">
        <v>225</v>
      </c>
      <c r="E1393" s="6" t="s">
        <v>1091</v>
      </c>
      <c r="F1393" s="6">
        <v>49283.14</v>
      </c>
      <c r="G1393" s="2">
        <v>2.35</v>
      </c>
      <c r="H1393" s="2">
        <v>2.6</v>
      </c>
      <c r="I1393" s="2">
        <v>2.99</v>
      </c>
      <c r="J1393" s="47">
        <f t="shared" si="105"/>
        <v>0.10638297872340426</v>
      </c>
      <c r="K1393" s="47">
        <f t="shared" si="106"/>
        <v>0.15000000000000005</v>
      </c>
      <c r="L1393" s="8">
        <v>38.06</v>
      </c>
      <c r="M1393" s="8">
        <v>35.93</v>
      </c>
      <c r="N1393" s="8">
        <v>31.13</v>
      </c>
      <c r="O1393" s="17">
        <f t="shared" si="107"/>
        <v>3.3774199999999999</v>
      </c>
      <c r="P1393" s="17">
        <f t="shared" si="108"/>
        <v>2.0753333333333326</v>
      </c>
      <c r="Q1393" s="5">
        <v>2.7</v>
      </c>
      <c r="R1393" s="9">
        <v>26.31</v>
      </c>
      <c r="S1393" s="9">
        <v>10.98</v>
      </c>
      <c r="T1393" s="9">
        <v>5380.31005</v>
      </c>
      <c r="U1393" s="9">
        <v>4598.6400000000003</v>
      </c>
      <c r="V1393" s="45">
        <f t="shared" si="109"/>
        <v>0.16997852625993765</v>
      </c>
      <c r="W1393" s="12">
        <v>-3.28</v>
      </c>
      <c r="X1393" s="12">
        <v>0</v>
      </c>
      <c r="Y1393" s="12">
        <v>20210803</v>
      </c>
    </row>
    <row r="1394" spans="1:25" x14ac:dyDescent="0.45">
      <c r="A1394" s="3" t="s">
        <v>2510</v>
      </c>
      <c r="B1394" s="3" t="s">
        <v>2511</v>
      </c>
      <c r="C1394" s="6" t="s">
        <v>518</v>
      </c>
      <c r="D1394" s="6" t="s">
        <v>225</v>
      </c>
      <c r="E1394" s="6" t="s">
        <v>1006</v>
      </c>
      <c r="F1394" s="6">
        <v>92346.84</v>
      </c>
      <c r="G1394" s="2">
        <v>4.38</v>
      </c>
      <c r="H1394" s="2">
        <v>4.59</v>
      </c>
      <c r="I1394" s="2">
        <v>4.84</v>
      </c>
      <c r="J1394" s="47">
        <f t="shared" si="105"/>
        <v>4.7945205479452045E-2</v>
      </c>
      <c r="K1394" s="47">
        <f t="shared" si="106"/>
        <v>5.4466230936819175E-2</v>
      </c>
      <c r="L1394" s="8">
        <v>11.5</v>
      </c>
      <c r="M1394" s="8">
        <v>10.88</v>
      </c>
      <c r="N1394" s="8">
        <v>10.31</v>
      </c>
      <c r="O1394" s="17">
        <f t="shared" si="107"/>
        <v>2.2692571428571435</v>
      </c>
      <c r="P1394" s="17">
        <f t="shared" si="108"/>
        <v>1.892916</v>
      </c>
      <c r="Q1394" s="5">
        <v>2.72</v>
      </c>
      <c r="R1394" s="9">
        <v>215.81</v>
      </c>
      <c r="S1394" s="9">
        <v>-0.03</v>
      </c>
      <c r="T1394" s="9">
        <v>21396.585930000001</v>
      </c>
      <c r="U1394" s="9">
        <v>26153</v>
      </c>
      <c r="V1394" s="45">
        <f t="shared" si="109"/>
        <v>-0.18186877490154088</v>
      </c>
      <c r="W1394" s="12">
        <v>2.88</v>
      </c>
      <c r="X1394" s="12">
        <v>6.89</v>
      </c>
      <c r="Y1394" s="12">
        <v>20210727</v>
      </c>
    </row>
    <row r="1395" spans="1:25" x14ac:dyDescent="0.45">
      <c r="A1395" s="3" t="s">
        <v>2512</v>
      </c>
      <c r="B1395" s="3" t="s">
        <v>2513</v>
      </c>
      <c r="C1395" s="6" t="s">
        <v>518</v>
      </c>
      <c r="D1395" s="6" t="s">
        <v>279</v>
      </c>
      <c r="E1395" s="6" t="s">
        <v>260</v>
      </c>
      <c r="F1395" s="6">
        <v>14503.64</v>
      </c>
      <c r="G1395" s="2">
        <v>10.45</v>
      </c>
      <c r="H1395" s="2">
        <v>13.34</v>
      </c>
      <c r="I1395" s="2">
        <v>16.32</v>
      </c>
      <c r="J1395" s="47">
        <f t="shared" si="105"/>
        <v>0.27655502392344505</v>
      </c>
      <c r="K1395" s="47">
        <f t="shared" si="106"/>
        <v>0.2233883058470765</v>
      </c>
      <c r="L1395" s="8">
        <v>20.56</v>
      </c>
      <c r="M1395" s="8">
        <v>18.62</v>
      </c>
      <c r="N1395" s="8">
        <v>15.22</v>
      </c>
      <c r="O1395" s="17">
        <f t="shared" si="107"/>
        <v>0.67328373702422128</v>
      </c>
      <c r="P1395" s="17">
        <f t="shared" si="108"/>
        <v>0.68132483221476503</v>
      </c>
      <c r="Q1395" s="5">
        <v>1.05</v>
      </c>
      <c r="R1395" s="9">
        <v>33.869999999999997</v>
      </c>
      <c r="S1395" s="9">
        <v>1.17</v>
      </c>
      <c r="T1395" s="9">
        <v>26178.966789999999</v>
      </c>
      <c r="U1395" s="9">
        <v>19423</v>
      </c>
      <c r="V1395" s="45">
        <f t="shared" si="109"/>
        <v>0.3478333311023013</v>
      </c>
      <c r="W1395" s="12">
        <v>17.46</v>
      </c>
      <c r="X1395" s="12">
        <v>0</v>
      </c>
      <c r="Y1395" s="12">
        <v>20210729</v>
      </c>
    </row>
    <row r="1396" spans="1:25" x14ac:dyDescent="0.45">
      <c r="A1396" s="3" t="s">
        <v>2514</v>
      </c>
      <c r="B1396" s="3" t="s">
        <v>2515</v>
      </c>
      <c r="C1396" s="6" t="s">
        <v>520</v>
      </c>
      <c r="D1396" s="6" t="s">
        <v>90</v>
      </c>
      <c r="E1396" s="6" t="s">
        <v>282</v>
      </c>
      <c r="F1396" s="6">
        <v>13369.73</v>
      </c>
      <c r="G1396" s="2">
        <v>2.88</v>
      </c>
      <c r="H1396" s="2">
        <v>3.32</v>
      </c>
      <c r="I1396" s="2">
        <v>3.89</v>
      </c>
      <c r="J1396" s="47">
        <f t="shared" si="105"/>
        <v>0.15277777777777776</v>
      </c>
      <c r="K1396" s="47">
        <f t="shared" si="106"/>
        <v>0.17168674698795189</v>
      </c>
      <c r="M1396" s="8">
        <v>16.61</v>
      </c>
      <c r="N1396" s="8">
        <v>14.14</v>
      </c>
      <c r="O1396" s="17">
        <f t="shared" si="107"/>
        <v>1.0871999999999999</v>
      </c>
      <c r="P1396" s="17">
        <f t="shared" si="108"/>
        <v>0.82359298245613999</v>
      </c>
      <c r="T1396" s="9">
        <v>8487.7998000000007</v>
      </c>
      <c r="U1396" s="9">
        <v>7610.5</v>
      </c>
      <c r="V1396" s="45">
        <f t="shared" si="109"/>
        <v>0.11527492280402085</v>
      </c>
      <c r="X1396" s="12">
        <v>3.45</v>
      </c>
    </row>
    <row r="1397" spans="1:25" x14ac:dyDescent="0.45">
      <c r="A1397" s="3" t="s">
        <v>3855</v>
      </c>
      <c r="B1397" s="3" t="s">
        <v>3856</v>
      </c>
      <c r="C1397" s="6" t="s">
        <v>520</v>
      </c>
      <c r="D1397" s="6" t="s">
        <v>303</v>
      </c>
      <c r="E1397" s="6" t="s">
        <v>245</v>
      </c>
      <c r="F1397" s="6">
        <v>11679.4</v>
      </c>
      <c r="G1397" s="2">
        <v>0.25</v>
      </c>
      <c r="H1397" s="2">
        <v>0.32</v>
      </c>
      <c r="I1397" s="2">
        <v>0.37</v>
      </c>
      <c r="J1397" s="47">
        <f t="shared" si="105"/>
        <v>0.28000000000000003</v>
      </c>
      <c r="K1397" s="47">
        <f t="shared" si="106"/>
        <v>0.15624999999999997</v>
      </c>
      <c r="L1397" s="8">
        <v>80.349999999999994</v>
      </c>
      <c r="M1397" s="8">
        <v>72.81</v>
      </c>
      <c r="N1397" s="8">
        <v>62.97</v>
      </c>
      <c r="O1397" s="17">
        <f t="shared" si="107"/>
        <v>2.6003571428571428</v>
      </c>
      <c r="P1397" s="17">
        <f t="shared" si="108"/>
        <v>4.0300800000000008</v>
      </c>
      <c r="R1397" s="9">
        <v>33.840000000000003</v>
      </c>
      <c r="S1397" s="9">
        <v>23</v>
      </c>
      <c r="T1397" s="9">
        <v>1834</v>
      </c>
      <c r="U1397" s="9">
        <v>1474.72</v>
      </c>
      <c r="V1397" s="45">
        <f t="shared" si="109"/>
        <v>0.24362590864706518</v>
      </c>
      <c r="X1397" s="12">
        <v>0.23</v>
      </c>
      <c r="Y1397" s="12">
        <v>20210730</v>
      </c>
    </row>
    <row r="1398" spans="1:25" x14ac:dyDescent="0.45">
      <c r="A1398" s="3" t="s">
        <v>4826</v>
      </c>
      <c r="B1398" s="3" t="s">
        <v>4827</v>
      </c>
      <c r="C1398" s="6" t="s">
        <v>519</v>
      </c>
      <c r="D1398" s="6" t="s">
        <v>175</v>
      </c>
      <c r="E1398" s="6" t="s">
        <v>193</v>
      </c>
      <c r="F1398" s="6">
        <v>9955.74</v>
      </c>
      <c r="J1398" s="47" t="e">
        <f t="shared" si="105"/>
        <v>#DIV/0!</v>
      </c>
      <c r="K1398" s="47" t="e">
        <f t="shared" si="106"/>
        <v>#DIV/0!</v>
      </c>
      <c r="L1398" s="8">
        <v>36.909999999999997</v>
      </c>
      <c r="O1398" s="17" t="e">
        <f t="shared" si="107"/>
        <v>#DIV/0!</v>
      </c>
      <c r="P1398" s="17" t="e">
        <f t="shared" si="108"/>
        <v>#DIV/0!</v>
      </c>
      <c r="R1398" s="9">
        <v>22.36</v>
      </c>
      <c r="S1398" s="9">
        <v>14.21</v>
      </c>
      <c r="U1398" s="9">
        <v>1389.5</v>
      </c>
      <c r="V1398" s="45">
        <f t="shared" si="109"/>
        <v>-1</v>
      </c>
      <c r="X1398" s="12">
        <v>0.54</v>
      </c>
      <c r="Y1398" s="12">
        <v>20210804</v>
      </c>
    </row>
    <row r="1399" spans="1:25" x14ac:dyDescent="0.45">
      <c r="A1399" s="3" t="s">
        <v>2516</v>
      </c>
      <c r="B1399" s="3" t="s">
        <v>2517</v>
      </c>
      <c r="C1399" s="6" t="s">
        <v>518</v>
      </c>
      <c r="D1399" s="6" t="s">
        <v>90</v>
      </c>
      <c r="E1399" s="6" t="s">
        <v>443</v>
      </c>
      <c r="F1399" s="6">
        <v>13273.51</v>
      </c>
      <c r="G1399" s="2">
        <v>0.51</v>
      </c>
      <c r="H1399" s="2">
        <v>3.16</v>
      </c>
      <c r="I1399" s="2">
        <v>2.81</v>
      </c>
      <c r="J1399" s="47">
        <f t="shared" si="105"/>
        <v>5.1960784313725492</v>
      </c>
      <c r="K1399" s="47">
        <f t="shared" si="106"/>
        <v>-0.1107594936708861</v>
      </c>
      <c r="L1399" s="8">
        <v>23.61</v>
      </c>
      <c r="M1399" s="8">
        <v>11.04</v>
      </c>
      <c r="N1399" s="8">
        <v>12.44</v>
      </c>
      <c r="O1399" s="17">
        <f t="shared" si="107"/>
        <v>2.1246792452830187E-2</v>
      </c>
      <c r="P1399" s="17">
        <f t="shared" si="108"/>
        <v>-1.1231542857142855</v>
      </c>
      <c r="Q1399" s="5">
        <v>1.58</v>
      </c>
      <c r="R1399" s="9">
        <v>6.14</v>
      </c>
      <c r="S1399" s="9">
        <v>5.68</v>
      </c>
      <c r="T1399" s="9">
        <v>11307.855460000001</v>
      </c>
      <c r="U1399" s="9">
        <v>8681.7000000000007</v>
      </c>
      <c r="V1399" s="45">
        <f t="shared" si="109"/>
        <v>0.30249322828478292</v>
      </c>
      <c r="W1399" s="12">
        <v>14</v>
      </c>
      <c r="X1399" s="12">
        <v>0.86</v>
      </c>
      <c r="Y1399" s="12">
        <v>20210802</v>
      </c>
    </row>
    <row r="1400" spans="1:25" x14ac:dyDescent="0.45">
      <c r="A1400" s="3" t="s">
        <v>4242</v>
      </c>
      <c r="B1400" s="3" t="s">
        <v>4243</v>
      </c>
      <c r="C1400" s="6" t="s">
        <v>518</v>
      </c>
      <c r="D1400" s="6" t="s">
        <v>90</v>
      </c>
      <c r="E1400" s="6" t="s">
        <v>268</v>
      </c>
      <c r="F1400" s="6">
        <v>5750.72</v>
      </c>
      <c r="G1400" s="2">
        <v>-0.31</v>
      </c>
      <c r="H1400" s="2">
        <v>0.51</v>
      </c>
      <c r="I1400" s="2">
        <v>0.7</v>
      </c>
      <c r="J1400" s="47">
        <f t="shared" si="105"/>
        <v>2.645161290322581</v>
      </c>
      <c r="K1400" s="47">
        <f t="shared" si="106"/>
        <v>0.37254901960784303</v>
      </c>
      <c r="M1400" s="8">
        <v>65.78</v>
      </c>
      <c r="N1400" s="8">
        <v>48.39</v>
      </c>
      <c r="O1400" s="17">
        <f t="shared" si="107"/>
        <v>0.248680487804878</v>
      </c>
      <c r="P1400" s="17">
        <f t="shared" si="108"/>
        <v>1.2988894736842109</v>
      </c>
      <c r="Q1400" s="5">
        <v>1.78</v>
      </c>
      <c r="R1400" s="9">
        <v>5.56</v>
      </c>
      <c r="T1400" s="9">
        <v>232.977</v>
      </c>
      <c r="U1400" s="9">
        <v>134.31</v>
      </c>
      <c r="V1400" s="45">
        <f t="shared" si="109"/>
        <v>0.73462139825776185</v>
      </c>
      <c r="W1400" s="12">
        <v>44.44</v>
      </c>
      <c r="X1400" s="12">
        <v>0</v>
      </c>
      <c r="Y1400" s="12">
        <v>20210805</v>
      </c>
    </row>
    <row r="1401" spans="1:25" x14ac:dyDescent="0.45">
      <c r="A1401" s="3" t="s">
        <v>2518</v>
      </c>
      <c r="B1401" s="3" t="s">
        <v>2519</v>
      </c>
      <c r="C1401" s="6" t="s">
        <v>518</v>
      </c>
      <c r="D1401" s="6" t="s">
        <v>289</v>
      </c>
      <c r="E1401" s="6" t="s">
        <v>278</v>
      </c>
      <c r="F1401" s="6">
        <v>41515.050000000003</v>
      </c>
      <c r="G1401" s="2">
        <v>-4.0199999999999996</v>
      </c>
      <c r="H1401" s="2">
        <v>1.68</v>
      </c>
      <c r="I1401" s="2">
        <v>3.65</v>
      </c>
      <c r="J1401" s="47">
        <f t="shared" si="105"/>
        <v>1.4179104477611939</v>
      </c>
      <c r="K1401" s="47">
        <f t="shared" si="106"/>
        <v>1.1726190476190477</v>
      </c>
      <c r="M1401" s="8">
        <v>37.75</v>
      </c>
      <c r="N1401" s="8">
        <v>17.440000000000001</v>
      </c>
      <c r="O1401" s="17">
        <f t="shared" si="107"/>
        <v>0.26623684210526322</v>
      </c>
      <c r="P1401" s="17">
        <f t="shared" si="108"/>
        <v>0.14872690355329948</v>
      </c>
      <c r="Q1401" s="5">
        <v>1.3</v>
      </c>
      <c r="R1401" s="9">
        <v>-7.64</v>
      </c>
      <c r="S1401" s="9">
        <v>10.84</v>
      </c>
      <c r="T1401" s="9">
        <v>76582</v>
      </c>
      <c r="U1401" s="9">
        <v>69032</v>
      </c>
      <c r="V1401" s="45">
        <f t="shared" si="109"/>
        <v>0.10936956773670183</v>
      </c>
      <c r="W1401" s="12">
        <v>72.22</v>
      </c>
      <c r="X1401" s="12">
        <v>3.65</v>
      </c>
      <c r="Y1401" s="12">
        <v>20210802</v>
      </c>
    </row>
    <row r="1402" spans="1:25" x14ac:dyDescent="0.45">
      <c r="A1402" s="3" t="s">
        <v>4244</v>
      </c>
      <c r="B1402" s="3" t="s">
        <v>4245</v>
      </c>
      <c r="C1402" s="6" t="s">
        <v>518</v>
      </c>
      <c r="D1402" s="6" t="s">
        <v>279</v>
      </c>
      <c r="E1402" s="6" t="s">
        <v>266</v>
      </c>
      <c r="F1402" s="6">
        <v>5891.44</v>
      </c>
      <c r="H1402" s="2">
        <v>0.15</v>
      </c>
      <c r="I1402" s="2">
        <v>0.17</v>
      </c>
      <c r="J1402" s="47" t="e">
        <f t="shared" si="105"/>
        <v>#DIV/0!</v>
      </c>
      <c r="K1402" s="47">
        <f t="shared" si="106"/>
        <v>0.13333333333333347</v>
      </c>
      <c r="M1402" s="8">
        <v>58.8</v>
      </c>
      <c r="N1402" s="8">
        <v>51.88</v>
      </c>
      <c r="O1402" s="17" t="e">
        <f t="shared" si="107"/>
        <v>#DIV/0!</v>
      </c>
      <c r="P1402" s="17">
        <f t="shared" si="108"/>
        <v>3.8909999999999965</v>
      </c>
      <c r="R1402" s="9">
        <v>-9.59</v>
      </c>
      <c r="T1402" s="9">
        <v>1061.7900299999999</v>
      </c>
      <c r="U1402" s="9">
        <v>937.76</v>
      </c>
      <c r="V1402" s="45">
        <f t="shared" si="109"/>
        <v>0.13226201800034112</v>
      </c>
      <c r="X1402" s="12">
        <v>0</v>
      </c>
      <c r="Y1402" s="12">
        <v>20210812</v>
      </c>
    </row>
    <row r="1403" spans="1:25" x14ac:dyDescent="0.45">
      <c r="A1403" s="3" t="s">
        <v>2520</v>
      </c>
      <c r="B1403" s="3" t="s">
        <v>2521</v>
      </c>
      <c r="C1403" s="6" t="s">
        <v>518</v>
      </c>
      <c r="D1403" s="6" t="s">
        <v>289</v>
      </c>
      <c r="E1403" s="6" t="s">
        <v>277</v>
      </c>
      <c r="F1403" s="6">
        <v>30504.880000000001</v>
      </c>
      <c r="G1403" s="2">
        <v>-0.79</v>
      </c>
      <c r="H1403" s="2">
        <v>2.74</v>
      </c>
      <c r="I1403" s="2">
        <v>2.88</v>
      </c>
      <c r="J1403" s="47">
        <f t="shared" si="105"/>
        <v>4.4683544303797467</v>
      </c>
      <c r="K1403" s="47">
        <f t="shared" si="106"/>
        <v>5.1094890510948787E-2</v>
      </c>
      <c r="L1403" s="8">
        <v>11.85</v>
      </c>
      <c r="M1403" s="8">
        <v>10.83</v>
      </c>
      <c r="N1403" s="8">
        <v>10.27</v>
      </c>
      <c r="O1403" s="17">
        <f t="shared" si="107"/>
        <v>2.4237110481586405E-2</v>
      </c>
      <c r="P1403" s="17">
        <f t="shared" si="108"/>
        <v>2.0099857142857189</v>
      </c>
      <c r="R1403" s="9">
        <v>22.03</v>
      </c>
      <c r="S1403" s="9">
        <v>37.89</v>
      </c>
      <c r="T1403" s="9">
        <v>8924.9804600000007</v>
      </c>
      <c r="U1403" s="9">
        <v>7569</v>
      </c>
      <c r="V1403" s="45">
        <f t="shared" si="109"/>
        <v>0.17914922182586876</v>
      </c>
      <c r="W1403" s="12">
        <v>11.48</v>
      </c>
      <c r="X1403" s="12">
        <v>9.2799999999999994</v>
      </c>
      <c r="Y1403" s="12">
        <v>20210802</v>
      </c>
    </row>
    <row r="1404" spans="1:25" x14ac:dyDescent="0.45">
      <c r="A1404" s="3" t="s">
        <v>2522</v>
      </c>
      <c r="B1404" s="3" t="s">
        <v>2523</v>
      </c>
      <c r="C1404" s="6" t="s">
        <v>518</v>
      </c>
      <c r="D1404" s="6" t="s">
        <v>234</v>
      </c>
      <c r="E1404" s="6" t="s">
        <v>286</v>
      </c>
      <c r="F1404" s="6">
        <v>12728.65</v>
      </c>
      <c r="G1404" s="2">
        <v>1.57</v>
      </c>
      <c r="H1404" s="2">
        <v>1.74</v>
      </c>
      <c r="I1404" s="2">
        <v>1.84</v>
      </c>
      <c r="J1404" s="47">
        <f t="shared" si="105"/>
        <v>0.10828025477707001</v>
      </c>
      <c r="K1404" s="47">
        <f t="shared" si="106"/>
        <v>5.7471264367816147E-2</v>
      </c>
      <c r="L1404" s="8">
        <v>13.36</v>
      </c>
      <c r="M1404" s="8">
        <v>12.44</v>
      </c>
      <c r="N1404" s="8">
        <v>11.75</v>
      </c>
      <c r="O1404" s="17">
        <f t="shared" si="107"/>
        <v>1.1488705882352945</v>
      </c>
      <c r="P1404" s="17">
        <f t="shared" si="108"/>
        <v>2.044499999999998</v>
      </c>
      <c r="Q1404" s="5">
        <v>1.27</v>
      </c>
      <c r="R1404" s="9">
        <v>7.03</v>
      </c>
      <c r="S1404" s="9">
        <v>20.18</v>
      </c>
      <c r="T1404" s="9">
        <v>1489.8330000000001</v>
      </c>
      <c r="U1404" s="9">
        <v>1249.24</v>
      </c>
      <c r="V1404" s="45">
        <f t="shared" si="109"/>
        <v>0.19259149562934269</v>
      </c>
      <c r="W1404" s="12">
        <v>0</v>
      </c>
      <c r="X1404" s="12">
        <v>5.18</v>
      </c>
      <c r="Y1404" s="12">
        <v>20210729</v>
      </c>
    </row>
    <row r="1405" spans="1:25" x14ac:dyDescent="0.45">
      <c r="A1405" s="3" t="s">
        <v>2524</v>
      </c>
      <c r="B1405" s="3" t="s">
        <v>2525</v>
      </c>
      <c r="C1405" s="6" t="s">
        <v>519</v>
      </c>
      <c r="D1405" s="6" t="s">
        <v>189</v>
      </c>
      <c r="E1405" s="6" t="s">
        <v>298</v>
      </c>
      <c r="F1405" s="6">
        <v>15579.7</v>
      </c>
      <c r="G1405" s="2">
        <v>4.96</v>
      </c>
      <c r="H1405" s="2">
        <v>6.6</v>
      </c>
      <c r="I1405" s="2">
        <v>7.66</v>
      </c>
      <c r="J1405" s="47">
        <f t="shared" si="105"/>
        <v>0.33064516129032251</v>
      </c>
      <c r="K1405" s="47">
        <f t="shared" si="106"/>
        <v>0.1606060606060607</v>
      </c>
      <c r="L1405" s="8">
        <v>61.46</v>
      </c>
      <c r="M1405" s="8">
        <v>51.58</v>
      </c>
      <c r="N1405" s="8">
        <v>44.47</v>
      </c>
      <c r="O1405" s="17">
        <f t="shared" si="107"/>
        <v>1.5599804878048784</v>
      </c>
      <c r="P1405" s="17">
        <f t="shared" si="108"/>
        <v>2.7688867924528284</v>
      </c>
      <c r="Q1405" s="5">
        <v>2.06</v>
      </c>
      <c r="R1405" s="9">
        <v>18.23</v>
      </c>
      <c r="S1405" s="9">
        <v>20</v>
      </c>
      <c r="T1405" s="9">
        <v>1116.182</v>
      </c>
      <c r="U1405" s="9">
        <v>844.45</v>
      </c>
      <c r="V1405" s="45">
        <f t="shared" si="109"/>
        <v>0.32178577772514649</v>
      </c>
      <c r="W1405" s="12">
        <v>9.77</v>
      </c>
      <c r="X1405" s="12">
        <v>0.7</v>
      </c>
      <c r="Y1405" s="12">
        <v>20210727</v>
      </c>
    </row>
    <row r="1406" spans="1:25" x14ac:dyDescent="0.45">
      <c r="A1406" s="3" t="s">
        <v>2526</v>
      </c>
      <c r="B1406" s="3" t="s">
        <v>2527</v>
      </c>
      <c r="C1406" s="6" t="s">
        <v>520</v>
      </c>
      <c r="D1406" s="6" t="s">
        <v>272</v>
      </c>
      <c r="E1406" s="6" t="s">
        <v>252</v>
      </c>
      <c r="F1406" s="6">
        <v>51226.720000000001</v>
      </c>
      <c r="G1406" s="2">
        <v>0.73</v>
      </c>
      <c r="H1406" s="2">
        <v>1.07</v>
      </c>
      <c r="I1406" s="2">
        <v>1.21</v>
      </c>
      <c r="J1406" s="47">
        <f t="shared" si="105"/>
        <v>0.46575342465753439</v>
      </c>
      <c r="K1406" s="47">
        <f t="shared" si="106"/>
        <v>0.13084112149532701</v>
      </c>
      <c r="L1406" s="8">
        <v>21.78</v>
      </c>
      <c r="M1406" s="8">
        <v>17.71</v>
      </c>
      <c r="N1406" s="8">
        <v>15.66</v>
      </c>
      <c r="O1406" s="17">
        <f t="shared" si="107"/>
        <v>0.38024411764705873</v>
      </c>
      <c r="P1406" s="17">
        <f t="shared" si="108"/>
        <v>1.1968714285714295</v>
      </c>
      <c r="R1406" s="9">
        <v>13.48</v>
      </c>
      <c r="S1406" s="9">
        <v>5.24</v>
      </c>
      <c r="T1406" s="9">
        <v>16136.360350000001</v>
      </c>
      <c r="U1406" s="9">
        <v>15379.24</v>
      </c>
      <c r="V1406" s="45">
        <f t="shared" si="109"/>
        <v>4.9230023720287938E-2</v>
      </c>
      <c r="X1406" s="12">
        <v>0.47</v>
      </c>
      <c r="Y1406" s="12">
        <v>20210730</v>
      </c>
    </row>
    <row r="1407" spans="1:25" x14ac:dyDescent="0.45">
      <c r="A1407" s="3" t="s">
        <v>2528</v>
      </c>
      <c r="B1407" s="3" t="s">
        <v>2529</v>
      </c>
      <c r="C1407" s="6" t="s">
        <v>519</v>
      </c>
      <c r="D1407" s="6" t="s">
        <v>189</v>
      </c>
      <c r="E1407" s="6" t="s">
        <v>2354</v>
      </c>
      <c r="F1407" s="6">
        <v>3712.25</v>
      </c>
      <c r="G1407" s="2">
        <v>2.15</v>
      </c>
      <c r="H1407" s="2">
        <v>2.36</v>
      </c>
      <c r="I1407" s="2">
        <v>2.59</v>
      </c>
      <c r="J1407" s="47">
        <f t="shared" si="105"/>
        <v>9.7674418604651148E-2</v>
      </c>
      <c r="K1407" s="47">
        <f t="shared" si="106"/>
        <v>9.7457627118644072E-2</v>
      </c>
      <c r="L1407" s="8">
        <v>27.43</v>
      </c>
      <c r="M1407" s="8">
        <v>27.99</v>
      </c>
      <c r="N1407" s="8">
        <v>25.48</v>
      </c>
      <c r="O1407" s="17">
        <f t="shared" si="107"/>
        <v>2.8656428571428578</v>
      </c>
      <c r="P1407" s="17">
        <f t="shared" si="108"/>
        <v>2.6144695652173913</v>
      </c>
      <c r="Q1407" s="5">
        <v>4.55</v>
      </c>
      <c r="R1407" s="9">
        <v>7.77</v>
      </c>
      <c r="S1407" s="9">
        <v>27.39</v>
      </c>
      <c r="T1407" s="9">
        <v>920.36901</v>
      </c>
      <c r="U1407" s="9">
        <v>796.61</v>
      </c>
      <c r="V1407" s="45">
        <f t="shared" si="109"/>
        <v>0.15535708816108257</v>
      </c>
      <c r="W1407" s="12">
        <v>1.59</v>
      </c>
      <c r="X1407" s="12">
        <v>0</v>
      </c>
      <c r="Y1407" s="12">
        <v>20210803</v>
      </c>
    </row>
    <row r="1408" spans="1:25" x14ac:dyDescent="0.45">
      <c r="A1408" s="3" t="s">
        <v>2530</v>
      </c>
      <c r="B1408" s="3" t="s">
        <v>2531</v>
      </c>
      <c r="C1408" s="6" t="s">
        <v>518</v>
      </c>
      <c r="D1408" s="6" t="s">
        <v>279</v>
      </c>
      <c r="E1408" s="6" t="s">
        <v>250</v>
      </c>
      <c r="F1408" s="6">
        <v>187473.61</v>
      </c>
      <c r="G1408" s="2">
        <v>5.97</v>
      </c>
      <c r="H1408" s="2">
        <v>6.46</v>
      </c>
      <c r="I1408" s="2">
        <v>6.91</v>
      </c>
      <c r="J1408" s="47">
        <f t="shared" si="105"/>
        <v>8.2077051926298203E-2</v>
      </c>
      <c r="K1408" s="47">
        <f t="shared" si="106"/>
        <v>6.9659442724458231E-2</v>
      </c>
      <c r="L1408" s="8">
        <v>12.7</v>
      </c>
      <c r="M1408" s="8">
        <v>11.45</v>
      </c>
      <c r="N1408" s="8">
        <v>10.71</v>
      </c>
      <c r="O1408" s="17">
        <f t="shared" si="107"/>
        <v>1.395030612244897</v>
      </c>
      <c r="P1408" s="17">
        <f t="shared" si="108"/>
        <v>1.5374799999999995</v>
      </c>
      <c r="Q1408" s="5">
        <v>1.87</v>
      </c>
      <c r="R1408" s="9">
        <v>54.15</v>
      </c>
      <c r="S1408" s="9">
        <v>5.14</v>
      </c>
      <c r="T1408" s="9">
        <v>49399.101560000003</v>
      </c>
      <c r="U1408" s="9">
        <v>47994</v>
      </c>
      <c r="V1408" s="45">
        <f t="shared" si="109"/>
        <v>2.9276608742759568E-2</v>
      </c>
      <c r="W1408" s="12">
        <v>-14.11</v>
      </c>
      <c r="X1408" s="12">
        <v>3.51</v>
      </c>
      <c r="Y1408" s="12">
        <v>20210730</v>
      </c>
    </row>
    <row r="1409" spans="1:25" x14ac:dyDescent="0.45">
      <c r="A1409" s="3" t="s">
        <v>2532</v>
      </c>
      <c r="B1409" s="3" t="s">
        <v>2533</v>
      </c>
      <c r="C1409" s="6" t="s">
        <v>519</v>
      </c>
      <c r="D1409" s="6" t="s">
        <v>279</v>
      </c>
      <c r="E1409" s="6" t="s">
        <v>256</v>
      </c>
      <c r="F1409" s="6">
        <v>87308.2</v>
      </c>
      <c r="G1409" s="2">
        <v>-1.56</v>
      </c>
      <c r="H1409" s="2">
        <v>24.7</v>
      </c>
      <c r="I1409" s="2">
        <v>17.829999999999998</v>
      </c>
      <c r="J1409" s="47">
        <f t="shared" si="105"/>
        <v>16.833333333333332</v>
      </c>
      <c r="K1409" s="47">
        <f t="shared" si="106"/>
        <v>-0.2781376518218624</v>
      </c>
      <c r="L1409" s="8">
        <v>173.95</v>
      </c>
      <c r="M1409" s="8">
        <v>8.8000000000000007</v>
      </c>
      <c r="N1409" s="8">
        <v>12.2</v>
      </c>
      <c r="O1409" s="17">
        <f t="shared" si="107"/>
        <v>5.227722772277228E-3</v>
      </c>
      <c r="P1409" s="17">
        <f t="shared" si="108"/>
        <v>-0.43863173216884993</v>
      </c>
      <c r="Q1409" s="5">
        <v>0.75</v>
      </c>
      <c r="R1409" s="9">
        <v>19.760000000000002</v>
      </c>
      <c r="T1409" s="9">
        <v>17795.783200000002</v>
      </c>
      <c r="U1409" s="9">
        <v>803.4</v>
      </c>
      <c r="V1409" s="45">
        <f t="shared" si="109"/>
        <v>21.150588996763755</v>
      </c>
      <c r="W1409" s="12">
        <v>39.22</v>
      </c>
      <c r="X1409" s="12">
        <v>0</v>
      </c>
      <c r="Y1409" s="12">
        <v>20210804</v>
      </c>
    </row>
    <row r="1410" spans="1:25" x14ac:dyDescent="0.45">
      <c r="A1410" s="3" t="s">
        <v>2534</v>
      </c>
      <c r="B1410" s="3" t="s">
        <v>2535</v>
      </c>
      <c r="C1410" s="6" t="s">
        <v>518</v>
      </c>
      <c r="D1410" s="6" t="s">
        <v>289</v>
      </c>
      <c r="E1410" s="6" t="s">
        <v>276</v>
      </c>
      <c r="F1410" s="6">
        <v>10529.72</v>
      </c>
      <c r="G1410" s="2">
        <v>-1.24</v>
      </c>
      <c r="H1410" s="2">
        <v>0.61</v>
      </c>
      <c r="I1410" s="2">
        <v>0.39</v>
      </c>
      <c r="J1410" s="47">
        <f t="shared" si="105"/>
        <v>1.4919354838709677</v>
      </c>
      <c r="K1410" s="47">
        <f t="shared" si="106"/>
        <v>-0.36065573770491799</v>
      </c>
      <c r="M1410" s="8">
        <v>21.97</v>
      </c>
      <c r="N1410" s="8">
        <v>34.43</v>
      </c>
      <c r="O1410" s="17">
        <f t="shared" si="107"/>
        <v>0.14725837837837838</v>
      </c>
      <c r="P1410" s="17">
        <f t="shared" si="108"/>
        <v>-0.95465000000000022</v>
      </c>
      <c r="R1410" s="9">
        <v>-5.8</v>
      </c>
      <c r="S1410" s="9">
        <v>-5.84</v>
      </c>
      <c r="T1410" s="9">
        <v>4386.9970700000003</v>
      </c>
      <c r="U1410" s="9">
        <v>3086</v>
      </c>
      <c r="V1410" s="45">
        <f t="shared" si="109"/>
        <v>0.42158038561244343</v>
      </c>
      <c r="W1410" s="12">
        <v>61.54</v>
      </c>
      <c r="X1410" s="12">
        <v>1.2</v>
      </c>
      <c r="Y1410" s="12">
        <v>20210804</v>
      </c>
    </row>
    <row r="1411" spans="1:25" x14ac:dyDescent="0.45">
      <c r="A1411" s="3" t="s">
        <v>2536</v>
      </c>
      <c r="B1411" s="3" t="s">
        <v>2537</v>
      </c>
      <c r="C1411" s="6" t="s">
        <v>519</v>
      </c>
      <c r="D1411" s="6" t="s">
        <v>279</v>
      </c>
      <c r="E1411" s="6" t="s">
        <v>256</v>
      </c>
      <c r="F1411" s="6">
        <v>8656.31</v>
      </c>
      <c r="G1411" s="2">
        <v>-8.2100000000000009</v>
      </c>
      <c r="H1411" s="2">
        <v>-10.25</v>
      </c>
      <c r="I1411" s="2">
        <v>-10.36</v>
      </c>
      <c r="J1411" s="47">
        <f t="shared" ref="J1411:J1474" si="110">(H1411-G1411)/ABS(G1411)</f>
        <v>-0.24847746650426297</v>
      </c>
      <c r="K1411" s="47">
        <f t="shared" ref="K1411:K1474" si="111">(I1411-H1411)/ABS(H1411)</f>
        <v>-1.0731707317073116E-2</v>
      </c>
      <c r="O1411" s="17">
        <f t="shared" ref="O1411:O1474" si="112">M1411/(J1411*100)</f>
        <v>0</v>
      </c>
      <c r="P1411" s="17">
        <f t="shared" ref="P1411:P1474" si="113">N1411/(K1411*100)</f>
        <v>0</v>
      </c>
      <c r="R1411" s="9">
        <v>-43.11</v>
      </c>
      <c r="T1411" s="9">
        <v>42.5</v>
      </c>
      <c r="U1411" s="9">
        <v>13.4</v>
      </c>
      <c r="V1411" s="45">
        <f t="shared" ref="V1411:V1474" si="114">(T1411-U1411)/U1411</f>
        <v>2.1716417910447761</v>
      </c>
      <c r="W1411" s="12">
        <v>-25.35</v>
      </c>
      <c r="X1411" s="12">
        <v>0</v>
      </c>
      <c r="Y1411" s="12">
        <v>20210805</v>
      </c>
    </row>
    <row r="1412" spans="1:25" x14ac:dyDescent="0.45">
      <c r="A1412" s="3" t="s">
        <v>2538</v>
      </c>
      <c r="B1412" s="3" t="s">
        <v>2539</v>
      </c>
      <c r="C1412" s="6" t="s">
        <v>519</v>
      </c>
      <c r="D1412" s="6" t="s">
        <v>279</v>
      </c>
      <c r="E1412" s="6" t="s">
        <v>264</v>
      </c>
      <c r="F1412" s="6">
        <v>10821.7</v>
      </c>
      <c r="G1412" s="2">
        <v>0.36</v>
      </c>
      <c r="H1412" s="2">
        <v>1.08</v>
      </c>
      <c r="I1412" s="2">
        <v>1.1100000000000001</v>
      </c>
      <c r="J1412" s="47">
        <f t="shared" si="110"/>
        <v>2.0000000000000004</v>
      </c>
      <c r="K1412" s="47">
        <f t="shared" si="111"/>
        <v>2.7777777777777801E-2</v>
      </c>
      <c r="M1412" s="8">
        <v>38.89</v>
      </c>
      <c r="N1412" s="8">
        <v>37.840000000000003</v>
      </c>
      <c r="O1412" s="17">
        <f t="shared" si="112"/>
        <v>0.19444999999999996</v>
      </c>
      <c r="P1412" s="17">
        <f t="shared" si="113"/>
        <v>13.62239999999999</v>
      </c>
      <c r="T1412" s="9">
        <v>711.32</v>
      </c>
      <c r="U1412" s="9">
        <v>284.10000000000002</v>
      </c>
      <c r="V1412" s="45">
        <f t="shared" si="114"/>
        <v>1.5037662794790567</v>
      </c>
      <c r="W1412" s="12">
        <v>36.840000000000003</v>
      </c>
      <c r="X1412" s="12">
        <v>0</v>
      </c>
      <c r="Y1412" s="12">
        <v>20210809</v>
      </c>
    </row>
    <row r="1413" spans="1:25" x14ac:dyDescent="0.45">
      <c r="A1413" s="3" t="s">
        <v>4246</v>
      </c>
      <c r="B1413" s="3" t="s">
        <v>2540</v>
      </c>
      <c r="C1413" s="6" t="s">
        <v>519</v>
      </c>
      <c r="D1413" s="6" t="s">
        <v>175</v>
      </c>
      <c r="E1413" s="6" t="s">
        <v>305</v>
      </c>
      <c r="F1413" s="6">
        <v>34021.5</v>
      </c>
      <c r="G1413" s="2">
        <v>0.93</v>
      </c>
      <c r="H1413" s="2">
        <v>1.36</v>
      </c>
      <c r="I1413" s="2">
        <v>1.78</v>
      </c>
      <c r="J1413" s="47">
        <f t="shared" si="110"/>
        <v>0.4623655913978495</v>
      </c>
      <c r="K1413" s="47">
        <f t="shared" si="111"/>
        <v>0.30882352941176461</v>
      </c>
      <c r="L1413" s="8">
        <v>48.41</v>
      </c>
      <c r="M1413" s="8">
        <v>36.9</v>
      </c>
      <c r="N1413" s="8">
        <v>28.22</v>
      </c>
      <c r="O1413" s="17">
        <f t="shared" si="112"/>
        <v>0.79806976744186031</v>
      </c>
      <c r="P1413" s="17">
        <f t="shared" si="113"/>
        <v>0.91379047619047649</v>
      </c>
      <c r="Q1413" s="5">
        <v>1.8</v>
      </c>
      <c r="R1413" s="9">
        <v>5.25</v>
      </c>
      <c r="S1413" s="9">
        <v>4.53</v>
      </c>
      <c r="T1413" s="9">
        <v>4164.5497999999998</v>
      </c>
      <c r="U1413" s="9">
        <v>2968.9</v>
      </c>
      <c r="V1413" s="45">
        <f t="shared" si="114"/>
        <v>0.40272484758664812</v>
      </c>
      <c r="W1413" s="12">
        <v>7.41</v>
      </c>
      <c r="X1413" s="12">
        <v>0.48</v>
      </c>
      <c r="Y1413" s="12">
        <v>20210826</v>
      </c>
    </row>
    <row r="1414" spans="1:25" x14ac:dyDescent="0.45">
      <c r="A1414" s="3" t="s">
        <v>2541</v>
      </c>
      <c r="B1414" s="3" t="s">
        <v>2542</v>
      </c>
      <c r="C1414" s="6" t="s">
        <v>520</v>
      </c>
      <c r="D1414" s="6" t="s">
        <v>303</v>
      </c>
      <c r="E1414" s="6" t="s">
        <v>2543</v>
      </c>
      <c r="F1414" s="6">
        <v>6058.09</v>
      </c>
      <c r="G1414" s="2">
        <v>0.45</v>
      </c>
      <c r="H1414" s="2">
        <v>0.94</v>
      </c>
      <c r="I1414" s="2">
        <v>0.98</v>
      </c>
      <c r="J1414" s="47">
        <f t="shared" si="110"/>
        <v>1.0888888888888888</v>
      </c>
      <c r="K1414" s="47">
        <f t="shared" si="111"/>
        <v>4.2553191489361743E-2</v>
      </c>
      <c r="M1414" s="8">
        <v>13.44</v>
      </c>
      <c r="N1414" s="8">
        <v>12.89</v>
      </c>
      <c r="O1414" s="17">
        <f t="shared" si="112"/>
        <v>0.12342857142857143</v>
      </c>
      <c r="P1414" s="17">
        <f t="shared" si="113"/>
        <v>3.0291499999999969</v>
      </c>
      <c r="T1414" s="9">
        <v>24573.490229999999</v>
      </c>
      <c r="U1414" s="9">
        <v>22598.38</v>
      </c>
      <c r="V1414" s="45">
        <f t="shared" si="114"/>
        <v>8.740052295784026E-2</v>
      </c>
      <c r="X1414" s="12">
        <v>4.8099999999999996</v>
      </c>
      <c r="Y1414" s="12">
        <v>20210610</v>
      </c>
    </row>
    <row r="1415" spans="1:25" x14ac:dyDescent="0.45">
      <c r="A1415" s="3" t="s">
        <v>2544</v>
      </c>
      <c r="B1415" s="3" t="s">
        <v>2545</v>
      </c>
      <c r="C1415" s="6" t="s">
        <v>518</v>
      </c>
      <c r="D1415" s="6" t="s">
        <v>234</v>
      </c>
      <c r="E1415" s="6" t="s">
        <v>1642</v>
      </c>
      <c r="F1415" s="6">
        <v>172420.77</v>
      </c>
      <c r="G1415" s="2">
        <v>5.91</v>
      </c>
      <c r="H1415" s="2">
        <v>6.96</v>
      </c>
      <c r="I1415" s="2">
        <v>6.75</v>
      </c>
      <c r="J1415" s="47">
        <f t="shared" si="110"/>
        <v>0.17766497461928932</v>
      </c>
      <c r="K1415" s="47">
        <f t="shared" si="111"/>
        <v>-3.0172413793103443E-2</v>
      </c>
      <c r="L1415" s="8">
        <v>11.93</v>
      </c>
      <c r="M1415" s="8">
        <v>13.31</v>
      </c>
      <c r="N1415" s="8">
        <v>13.73</v>
      </c>
      <c r="O1415" s="17">
        <f t="shared" si="112"/>
        <v>0.74916285714285724</v>
      </c>
      <c r="P1415" s="17">
        <f t="shared" si="113"/>
        <v>-4.5505142857142866</v>
      </c>
      <c r="Q1415" s="5">
        <v>1.97</v>
      </c>
      <c r="R1415" s="9">
        <v>15.44</v>
      </c>
      <c r="S1415" s="9">
        <v>9.41</v>
      </c>
      <c r="T1415" s="9">
        <v>55646.332029999998</v>
      </c>
      <c r="U1415" s="9">
        <v>52047</v>
      </c>
      <c r="V1415" s="45">
        <f t="shared" si="114"/>
        <v>6.9155417795454061E-2</v>
      </c>
      <c r="W1415" s="12">
        <v>29.07</v>
      </c>
      <c r="X1415" s="12">
        <v>1.51</v>
      </c>
      <c r="Y1415" s="12">
        <v>20210715</v>
      </c>
    </row>
    <row r="1416" spans="1:25" x14ac:dyDescent="0.45">
      <c r="A1416" s="3" t="s">
        <v>2546</v>
      </c>
      <c r="B1416" s="3" t="s">
        <v>2547</v>
      </c>
      <c r="C1416" s="6" t="s">
        <v>518</v>
      </c>
      <c r="D1416" s="6" t="s">
        <v>272</v>
      </c>
      <c r="E1416" s="6" t="s">
        <v>297</v>
      </c>
      <c r="F1416" s="6">
        <v>6541.73</v>
      </c>
      <c r="G1416" s="2">
        <v>4.25</v>
      </c>
      <c r="H1416" s="2">
        <v>4.71</v>
      </c>
      <c r="I1416" s="2">
        <v>5.41</v>
      </c>
      <c r="J1416" s="47">
        <f t="shared" si="110"/>
        <v>0.10823529411764705</v>
      </c>
      <c r="K1416" s="47">
        <f t="shared" si="111"/>
        <v>0.14861995753715504</v>
      </c>
      <c r="L1416" s="8">
        <v>39.119999999999997</v>
      </c>
      <c r="M1416" s="8">
        <v>35.49</v>
      </c>
      <c r="N1416" s="8">
        <v>30.87</v>
      </c>
      <c r="O1416" s="17">
        <f t="shared" si="112"/>
        <v>3.2789673913043482</v>
      </c>
      <c r="P1416" s="17">
        <f t="shared" si="113"/>
        <v>2.0771099999999993</v>
      </c>
      <c r="R1416" s="9">
        <v>21.32</v>
      </c>
      <c r="S1416" s="9">
        <v>4.76</v>
      </c>
      <c r="T1416" s="9">
        <v>1395.2769699999999</v>
      </c>
      <c r="U1416" s="9">
        <v>1348.22</v>
      </c>
      <c r="V1416" s="45">
        <f t="shared" si="114"/>
        <v>3.4903035112963658E-2</v>
      </c>
      <c r="W1416" s="12">
        <v>1.06</v>
      </c>
      <c r="X1416" s="12">
        <v>1.05</v>
      </c>
      <c r="Y1416" s="12">
        <v>20210804</v>
      </c>
    </row>
    <row r="1417" spans="1:25" x14ac:dyDescent="0.45">
      <c r="A1417" s="3" t="s">
        <v>2548</v>
      </c>
      <c r="B1417" s="3" t="s">
        <v>2549</v>
      </c>
      <c r="C1417" s="6" t="s">
        <v>520</v>
      </c>
      <c r="D1417" s="6" t="s">
        <v>234</v>
      </c>
      <c r="E1417" s="6" t="s">
        <v>244</v>
      </c>
      <c r="F1417" s="6">
        <v>18356.39</v>
      </c>
      <c r="G1417" s="2">
        <v>1.84</v>
      </c>
      <c r="H1417" s="2">
        <v>2.2200000000000002</v>
      </c>
      <c r="I1417" s="2">
        <v>2.3199999999999998</v>
      </c>
      <c r="J1417" s="47">
        <f t="shared" si="110"/>
        <v>0.20652173913043484</v>
      </c>
      <c r="K1417" s="47">
        <f t="shared" si="111"/>
        <v>4.5045045045044883E-2</v>
      </c>
      <c r="L1417" s="8">
        <v>8.4499999999999993</v>
      </c>
      <c r="M1417" s="8">
        <v>6.97</v>
      </c>
      <c r="N1417" s="8">
        <v>6.67</v>
      </c>
      <c r="O1417" s="17">
        <f t="shared" si="112"/>
        <v>0.33749473684210518</v>
      </c>
      <c r="P1417" s="17">
        <f t="shared" si="113"/>
        <v>1.4807400000000053</v>
      </c>
      <c r="U1417" s="9">
        <v>46153.43</v>
      </c>
      <c r="V1417" s="45">
        <f t="shared" si="114"/>
        <v>-1</v>
      </c>
      <c r="X1417" s="12">
        <v>1.72</v>
      </c>
      <c r="Y1417" s="12">
        <v>20210806</v>
      </c>
    </row>
    <row r="1418" spans="1:25" x14ac:dyDescent="0.45">
      <c r="A1418" s="3" t="s">
        <v>4828</v>
      </c>
      <c r="B1418" s="3" t="s">
        <v>4829</v>
      </c>
      <c r="C1418" s="6" t="s">
        <v>520</v>
      </c>
      <c r="D1418" s="6" t="s">
        <v>1042</v>
      </c>
      <c r="E1418" s="6" t="s">
        <v>1043</v>
      </c>
      <c r="F1418" s="6">
        <v>20896.7</v>
      </c>
      <c r="J1418" s="47" t="e">
        <f t="shared" si="110"/>
        <v>#DIV/0!</v>
      </c>
      <c r="K1418" s="47" t="e">
        <f t="shared" si="111"/>
        <v>#DIV/0!</v>
      </c>
      <c r="L1418" s="8">
        <v>14.5</v>
      </c>
      <c r="O1418" s="17" t="e">
        <f t="shared" si="112"/>
        <v>#DIV/0!</v>
      </c>
      <c r="P1418" s="17" t="e">
        <f t="shared" si="113"/>
        <v>#DIV/0!</v>
      </c>
      <c r="R1418" s="9">
        <v>3.52</v>
      </c>
      <c r="S1418" s="9">
        <v>25.61</v>
      </c>
      <c r="U1418" s="9">
        <v>121551.5</v>
      </c>
      <c r="V1418" s="45">
        <f t="shared" si="114"/>
        <v>-1</v>
      </c>
      <c r="W1418" s="12">
        <v>294</v>
      </c>
      <c r="X1418" s="12">
        <v>0</v>
      </c>
      <c r="Y1418" s="12">
        <v>20210812</v>
      </c>
    </row>
    <row r="1419" spans="1:25" x14ac:dyDescent="0.45">
      <c r="A1419" s="3" t="s">
        <v>2550</v>
      </c>
      <c r="B1419" s="3" t="s">
        <v>2551</v>
      </c>
      <c r="C1419" s="6" t="s">
        <v>518</v>
      </c>
      <c r="D1419" s="6" t="s">
        <v>189</v>
      </c>
      <c r="E1419" s="6" t="s">
        <v>195</v>
      </c>
      <c r="F1419" s="6">
        <v>38394.94</v>
      </c>
      <c r="G1419" s="2">
        <v>7.85</v>
      </c>
      <c r="H1419" s="2">
        <v>9.6</v>
      </c>
      <c r="I1419" s="2">
        <v>10.8</v>
      </c>
      <c r="J1419" s="47">
        <f t="shared" si="110"/>
        <v>0.22292993630573249</v>
      </c>
      <c r="K1419" s="47">
        <f t="shared" si="111"/>
        <v>0.12500000000000011</v>
      </c>
      <c r="L1419" s="8">
        <v>55.52</v>
      </c>
      <c r="M1419" s="8">
        <v>48.54</v>
      </c>
      <c r="N1419" s="8">
        <v>43.12</v>
      </c>
      <c r="O1419" s="17">
        <f t="shared" si="112"/>
        <v>2.1773657142857141</v>
      </c>
      <c r="P1419" s="17">
        <f t="shared" si="113"/>
        <v>3.4495999999999967</v>
      </c>
      <c r="R1419" s="9">
        <v>-173.63</v>
      </c>
      <c r="S1419" s="9">
        <v>10.3</v>
      </c>
      <c r="T1419" s="9">
        <v>1964.33203</v>
      </c>
      <c r="U1419" s="9">
        <v>1695.39</v>
      </c>
      <c r="V1419" s="45">
        <f t="shared" si="114"/>
        <v>0.15863136505464814</v>
      </c>
      <c r="W1419" s="12">
        <v>7.42</v>
      </c>
      <c r="X1419" s="12">
        <v>0.67</v>
      </c>
      <c r="Y1419" s="12">
        <v>20210727</v>
      </c>
    </row>
    <row r="1420" spans="1:25" x14ac:dyDescent="0.45">
      <c r="A1420" s="3" t="s">
        <v>2552</v>
      </c>
      <c r="B1420" s="3" t="s">
        <v>2553</v>
      </c>
      <c r="C1420" s="6" t="s">
        <v>519</v>
      </c>
      <c r="D1420" s="6" t="s">
        <v>189</v>
      </c>
      <c r="E1420" s="6" t="s">
        <v>202</v>
      </c>
      <c r="F1420" s="6">
        <v>1909932</v>
      </c>
      <c r="G1420" s="2">
        <v>5.69</v>
      </c>
      <c r="H1420" s="2">
        <v>7.8</v>
      </c>
      <c r="I1420" s="2">
        <v>8.2899999999999991</v>
      </c>
      <c r="J1420" s="47">
        <f t="shared" si="110"/>
        <v>0.37082601054481534</v>
      </c>
      <c r="K1420" s="47">
        <f t="shared" si="111"/>
        <v>6.2820512820512736E-2</v>
      </c>
      <c r="L1420" s="8">
        <v>34.93</v>
      </c>
      <c r="M1420" s="8">
        <v>32.53</v>
      </c>
      <c r="N1420" s="8">
        <v>30.58</v>
      </c>
      <c r="O1420" s="17">
        <f t="shared" si="112"/>
        <v>0.87723080568720402</v>
      </c>
      <c r="P1420" s="17">
        <f t="shared" si="113"/>
        <v>4.867836734693884</v>
      </c>
      <c r="Q1420" s="5">
        <v>2.5099999999999998</v>
      </c>
      <c r="R1420" s="9">
        <v>43.75</v>
      </c>
      <c r="S1420" s="9">
        <v>15.39</v>
      </c>
      <c r="T1420" s="9">
        <v>166009.01561999999</v>
      </c>
      <c r="U1420" s="9">
        <v>143015</v>
      </c>
      <c r="V1420" s="45">
        <f t="shared" si="114"/>
        <v>0.16078044694612448</v>
      </c>
      <c r="W1420" s="12">
        <v>10.8</v>
      </c>
      <c r="X1420" s="12">
        <v>0.88</v>
      </c>
      <c r="Y1420" s="12">
        <v>20210728</v>
      </c>
    </row>
    <row r="1421" spans="1:25" x14ac:dyDescent="0.45">
      <c r="A1421" s="3" t="s">
        <v>2554</v>
      </c>
      <c r="B1421" s="3" t="s">
        <v>2555</v>
      </c>
      <c r="C1421" s="6" t="s">
        <v>518</v>
      </c>
      <c r="D1421" s="6" t="s">
        <v>216</v>
      </c>
      <c r="E1421" s="6" t="s">
        <v>1102</v>
      </c>
      <c r="F1421" s="6">
        <v>4261.6499999999996</v>
      </c>
      <c r="G1421" s="2">
        <v>-6.12</v>
      </c>
      <c r="H1421" s="2">
        <v>-3.34</v>
      </c>
      <c r="I1421" s="2">
        <v>0.95</v>
      </c>
      <c r="J1421" s="47">
        <f t="shared" si="110"/>
        <v>0.45424836601307195</v>
      </c>
      <c r="K1421" s="47">
        <f t="shared" si="111"/>
        <v>1.284431137724551</v>
      </c>
      <c r="N1421" s="8">
        <v>185.04</v>
      </c>
      <c r="O1421" s="17">
        <f t="shared" si="112"/>
        <v>0</v>
      </c>
      <c r="P1421" s="17">
        <f t="shared" si="113"/>
        <v>1.4406377622377622</v>
      </c>
      <c r="R1421" s="9">
        <v>-34.950000000000003</v>
      </c>
      <c r="T1421" s="9">
        <v>390.84500000000003</v>
      </c>
      <c r="U1421" s="9">
        <v>603.32000000000005</v>
      </c>
      <c r="V1421" s="45">
        <f t="shared" si="114"/>
        <v>-0.35217629118875554</v>
      </c>
      <c r="W1421" s="12">
        <v>113.1</v>
      </c>
      <c r="X1421" s="12">
        <v>0</v>
      </c>
      <c r="Y1421" s="12">
        <v>20210813</v>
      </c>
    </row>
    <row r="1422" spans="1:25" x14ac:dyDescent="0.45">
      <c r="A1422" s="3" t="s">
        <v>2556</v>
      </c>
      <c r="B1422" s="3" t="s">
        <v>2557</v>
      </c>
      <c r="C1422" s="6" t="s">
        <v>518</v>
      </c>
      <c r="D1422" s="6" t="s">
        <v>189</v>
      </c>
      <c r="E1422" s="6" t="s">
        <v>1610</v>
      </c>
      <c r="F1422" s="6">
        <v>35480.9</v>
      </c>
      <c r="G1422" s="2">
        <v>7.58</v>
      </c>
      <c r="H1422" s="2">
        <v>8.81</v>
      </c>
      <c r="I1422" s="2">
        <v>9.73</v>
      </c>
      <c r="J1422" s="47">
        <f t="shared" si="110"/>
        <v>0.16226912928759901</v>
      </c>
      <c r="K1422" s="47">
        <f t="shared" si="111"/>
        <v>0.10442678774120316</v>
      </c>
      <c r="L1422" s="8">
        <v>25.91</v>
      </c>
      <c r="M1422" s="8">
        <v>23.75</v>
      </c>
      <c r="N1422" s="8">
        <v>21.48</v>
      </c>
      <c r="O1422" s="17">
        <f t="shared" si="112"/>
        <v>1.4636178861788611</v>
      </c>
      <c r="P1422" s="17">
        <f t="shared" si="113"/>
        <v>2.05694347826087</v>
      </c>
      <c r="Q1422" s="5">
        <v>2.64</v>
      </c>
      <c r="R1422" s="9">
        <v>-203.2</v>
      </c>
      <c r="S1422" s="9">
        <v>7.02</v>
      </c>
      <c r="T1422" s="9">
        <v>8066.5322200000001</v>
      </c>
      <c r="U1422" s="9">
        <v>7414</v>
      </c>
      <c r="V1422" s="45">
        <f t="shared" si="114"/>
        <v>8.8013517669274358E-2</v>
      </c>
      <c r="W1422" s="12">
        <v>15.43</v>
      </c>
      <c r="X1422" s="12">
        <v>1.36</v>
      </c>
      <c r="Y1422" s="12">
        <v>20210805</v>
      </c>
    </row>
    <row r="1423" spans="1:25" x14ac:dyDescent="0.45">
      <c r="A1423" s="3" t="s">
        <v>2558</v>
      </c>
      <c r="B1423" s="3" t="s">
        <v>2559</v>
      </c>
      <c r="C1423" s="6" t="s">
        <v>518</v>
      </c>
      <c r="D1423" s="6" t="s">
        <v>272</v>
      </c>
      <c r="E1423" s="6" t="s">
        <v>233</v>
      </c>
      <c r="F1423" s="6">
        <v>5121.75</v>
      </c>
      <c r="G1423" s="2">
        <v>4.57</v>
      </c>
      <c r="H1423" s="2">
        <v>4.74</v>
      </c>
      <c r="I1423" s="2">
        <v>5.2</v>
      </c>
      <c r="J1423" s="47">
        <f t="shared" si="110"/>
        <v>3.7199124726477004E-2</v>
      </c>
      <c r="K1423" s="47">
        <f t="shared" si="111"/>
        <v>9.7046413502109699E-2</v>
      </c>
      <c r="L1423" s="8">
        <v>19.809999999999999</v>
      </c>
      <c r="M1423" s="8">
        <v>19.3</v>
      </c>
      <c r="N1423" s="8">
        <v>17.600000000000001</v>
      </c>
      <c r="O1423" s="17">
        <f t="shared" si="112"/>
        <v>5.1882941176470618</v>
      </c>
      <c r="P1423" s="17">
        <f t="shared" si="113"/>
        <v>1.8135652173913046</v>
      </c>
      <c r="R1423" s="9">
        <v>21.19</v>
      </c>
      <c r="S1423" s="9">
        <v>3.49</v>
      </c>
      <c r="T1423" s="9">
        <v>3219.6000899999999</v>
      </c>
      <c r="U1423" s="9">
        <v>3192.4</v>
      </c>
      <c r="V1423" s="45">
        <f t="shared" si="114"/>
        <v>8.5202637514095406E-3</v>
      </c>
      <c r="W1423" s="12">
        <v>1.98</v>
      </c>
      <c r="X1423" s="12">
        <v>3.28</v>
      </c>
      <c r="Y1423" s="12">
        <v>20210714</v>
      </c>
    </row>
    <row r="1424" spans="1:25" x14ac:dyDescent="0.45">
      <c r="A1424" s="3" t="s">
        <v>2560</v>
      </c>
      <c r="B1424" s="3" t="s">
        <v>2561</v>
      </c>
      <c r="C1424" s="6" t="s">
        <v>518</v>
      </c>
      <c r="D1424" s="6" t="s">
        <v>189</v>
      </c>
      <c r="E1424" s="6" t="s">
        <v>248</v>
      </c>
      <c r="F1424" s="6">
        <v>4335.09</v>
      </c>
      <c r="G1424" s="2">
        <v>0.51</v>
      </c>
      <c r="H1424" s="2">
        <v>0.45</v>
      </c>
      <c r="I1424" s="2">
        <v>0.47</v>
      </c>
      <c r="J1424" s="47">
        <f t="shared" si="110"/>
        <v>-0.11764705882352941</v>
      </c>
      <c r="K1424" s="47">
        <f t="shared" si="111"/>
        <v>4.4444444444444363E-2</v>
      </c>
      <c r="M1424" s="8">
        <v>60.07</v>
      </c>
      <c r="N1424" s="8">
        <v>57.81</v>
      </c>
      <c r="O1424" s="17">
        <f t="shared" si="112"/>
        <v>-5.10595</v>
      </c>
      <c r="P1424" s="17">
        <f t="shared" si="113"/>
        <v>13.007250000000024</v>
      </c>
      <c r="T1424" s="9">
        <v>597.48698999999999</v>
      </c>
      <c r="U1424" s="9">
        <v>518.78</v>
      </c>
      <c r="V1424" s="45">
        <f t="shared" si="114"/>
        <v>0.15171554416130156</v>
      </c>
      <c r="W1424" s="12">
        <v>5.88</v>
      </c>
      <c r="X1424" s="12">
        <v>0</v>
      </c>
      <c r="Y1424" s="12">
        <v>20210811</v>
      </c>
    </row>
    <row r="1425" spans="1:25" x14ac:dyDescent="0.45">
      <c r="A1425" s="3" t="s">
        <v>4247</v>
      </c>
      <c r="B1425" s="3" t="s">
        <v>4248</v>
      </c>
      <c r="C1425" s="6" t="s">
        <v>519</v>
      </c>
      <c r="D1425" s="6" t="s">
        <v>189</v>
      </c>
      <c r="E1425" s="6" t="s">
        <v>202</v>
      </c>
      <c r="F1425" s="6">
        <v>4918.05</v>
      </c>
      <c r="H1425" s="2">
        <v>6.09</v>
      </c>
      <c r="I1425" s="2">
        <v>6.38</v>
      </c>
      <c r="J1425" s="47" t="e">
        <f t="shared" si="110"/>
        <v>#DIV/0!</v>
      </c>
      <c r="K1425" s="47">
        <f t="shared" si="111"/>
        <v>4.7619047619047623E-2</v>
      </c>
      <c r="L1425" s="8">
        <v>85.21</v>
      </c>
      <c r="M1425" s="8">
        <v>84.17</v>
      </c>
      <c r="N1425" s="8">
        <v>80.47</v>
      </c>
      <c r="O1425" s="17" t="e">
        <f t="shared" si="112"/>
        <v>#DIV/0!</v>
      </c>
      <c r="P1425" s="17">
        <f t="shared" si="113"/>
        <v>16.898699999999998</v>
      </c>
      <c r="R1425" s="9">
        <v>11.13</v>
      </c>
      <c r="S1425" s="9">
        <v>-1.65</v>
      </c>
      <c r="T1425" s="9">
        <v>504.39999</v>
      </c>
      <c r="U1425" s="9">
        <v>480.73</v>
      </c>
      <c r="V1425" s="45">
        <f t="shared" si="114"/>
        <v>4.9237596987914183E-2</v>
      </c>
      <c r="W1425" s="12">
        <v>910.53</v>
      </c>
      <c r="X1425" s="12">
        <v>0</v>
      </c>
      <c r="Y1425" s="12">
        <v>20210727</v>
      </c>
    </row>
    <row r="1426" spans="1:25" x14ac:dyDescent="0.45">
      <c r="A1426" s="3" t="s">
        <v>2562</v>
      </c>
      <c r="B1426" s="3" t="s">
        <v>2563</v>
      </c>
      <c r="C1426" s="6" t="s">
        <v>518</v>
      </c>
      <c r="D1426" s="6" t="s">
        <v>90</v>
      </c>
      <c r="E1426" s="6" t="s">
        <v>304</v>
      </c>
      <c r="F1426" s="6">
        <v>32791.39</v>
      </c>
      <c r="G1426" s="2">
        <v>-1.1399999999999999</v>
      </c>
      <c r="H1426" s="2">
        <v>8.19</v>
      </c>
      <c r="I1426" s="2">
        <v>5.08</v>
      </c>
      <c r="J1426" s="47">
        <f t="shared" si="110"/>
        <v>8.1842105263157894</v>
      </c>
      <c r="K1426" s="47">
        <f t="shared" si="111"/>
        <v>-0.37973137973137966</v>
      </c>
      <c r="L1426" s="8">
        <v>19.52</v>
      </c>
      <c r="M1426" s="8">
        <v>3.96</v>
      </c>
      <c r="N1426" s="8">
        <v>6.38</v>
      </c>
      <c r="O1426" s="17">
        <f t="shared" si="112"/>
        <v>4.8385852090032152E-3</v>
      </c>
      <c r="P1426" s="17">
        <f t="shared" si="113"/>
        <v>-0.16801350482315117</v>
      </c>
      <c r="Q1426" s="5">
        <v>2.59</v>
      </c>
      <c r="R1426" s="9">
        <v>5.03</v>
      </c>
      <c r="S1426" s="9">
        <v>-0.23</v>
      </c>
      <c r="T1426" s="9">
        <v>64968.140619999998</v>
      </c>
      <c r="U1426" s="9">
        <v>53270</v>
      </c>
      <c r="V1426" s="45">
        <f t="shared" si="114"/>
        <v>0.21960091270884172</v>
      </c>
      <c r="W1426" s="12">
        <v>22.93</v>
      </c>
      <c r="X1426" s="12">
        <v>0</v>
      </c>
      <c r="Y1426" s="12">
        <v>20210729</v>
      </c>
    </row>
    <row r="1427" spans="1:25" x14ac:dyDescent="0.45">
      <c r="A1427" s="3" t="s">
        <v>2564</v>
      </c>
      <c r="B1427" s="3" t="s">
        <v>2565</v>
      </c>
      <c r="C1427" s="6" t="s">
        <v>518</v>
      </c>
      <c r="D1427" s="6" t="s">
        <v>234</v>
      </c>
      <c r="E1427" s="6" t="s">
        <v>154</v>
      </c>
      <c r="F1427" s="6">
        <v>20283.54</v>
      </c>
      <c r="G1427" s="2">
        <v>9.34</v>
      </c>
      <c r="H1427" s="2">
        <v>13.33</v>
      </c>
      <c r="I1427" s="2">
        <v>12.53</v>
      </c>
      <c r="J1427" s="47">
        <f t="shared" si="110"/>
        <v>0.4271948608137045</v>
      </c>
      <c r="K1427" s="47">
        <f t="shared" si="111"/>
        <v>-6.0015003750937788E-2</v>
      </c>
      <c r="L1427" s="8">
        <v>13.73</v>
      </c>
      <c r="M1427" s="8">
        <v>11.83</v>
      </c>
      <c r="N1427" s="8">
        <v>12.58</v>
      </c>
      <c r="O1427" s="17">
        <f t="shared" si="112"/>
        <v>0.27692280701754385</v>
      </c>
      <c r="P1427" s="17">
        <f t="shared" si="113"/>
        <v>-2.0961424999999978</v>
      </c>
      <c r="Q1427" s="5">
        <v>0.78</v>
      </c>
      <c r="R1427" s="9">
        <v>10.39</v>
      </c>
      <c r="S1427" s="9">
        <v>3.95</v>
      </c>
      <c r="T1427" s="9">
        <v>6256.1269499999999</v>
      </c>
      <c r="U1427" s="9">
        <v>6281.16</v>
      </c>
      <c r="V1427" s="45">
        <f t="shared" si="114"/>
        <v>-3.9854182985308451E-3</v>
      </c>
      <c r="W1427" s="12">
        <v>15.2</v>
      </c>
      <c r="X1427" s="12">
        <v>2.79</v>
      </c>
      <c r="Y1427" s="12">
        <v>20210721</v>
      </c>
    </row>
    <row r="1428" spans="1:25" x14ac:dyDescent="0.45">
      <c r="A1428" s="3" t="s">
        <v>2566</v>
      </c>
      <c r="B1428" s="3" t="s">
        <v>2567</v>
      </c>
      <c r="C1428" s="6" t="s">
        <v>519</v>
      </c>
      <c r="D1428" s="6" t="s">
        <v>303</v>
      </c>
      <c r="E1428" s="6" t="s">
        <v>245</v>
      </c>
      <c r="F1428" s="6">
        <v>38316.839999999997</v>
      </c>
      <c r="G1428" s="2">
        <v>2.4</v>
      </c>
      <c r="H1428" s="2">
        <v>2.4500000000000002</v>
      </c>
      <c r="I1428" s="2">
        <v>2.93</v>
      </c>
      <c r="J1428" s="47">
        <f t="shared" si="110"/>
        <v>2.0833333333333447E-2</v>
      </c>
      <c r="K1428" s="47">
        <f t="shared" si="111"/>
        <v>0.19591836734693877</v>
      </c>
      <c r="L1428" s="8">
        <v>59.82</v>
      </c>
      <c r="M1428" s="8">
        <v>57.9</v>
      </c>
      <c r="N1428" s="8">
        <v>48.44</v>
      </c>
      <c r="O1428" s="17">
        <f t="shared" si="112"/>
        <v>27.791999999999849</v>
      </c>
      <c r="P1428" s="17">
        <f t="shared" si="113"/>
        <v>2.472458333333333</v>
      </c>
      <c r="Q1428" s="5">
        <v>5.44</v>
      </c>
      <c r="R1428" s="9">
        <v>-39.56</v>
      </c>
      <c r="S1428" s="9">
        <v>4.18</v>
      </c>
      <c r="T1428" s="9">
        <v>2859.3181100000002</v>
      </c>
      <c r="U1428" s="9">
        <v>2391.27</v>
      </c>
      <c r="V1428" s="45">
        <f t="shared" si="114"/>
        <v>0.19573202105993895</v>
      </c>
      <c r="W1428" s="12">
        <v>45.65</v>
      </c>
      <c r="X1428" s="12">
        <v>0</v>
      </c>
      <c r="Y1428" s="12">
        <v>20210803</v>
      </c>
    </row>
    <row r="1429" spans="1:25" x14ac:dyDescent="0.45">
      <c r="A1429" s="3" t="s">
        <v>2568</v>
      </c>
      <c r="B1429" s="3" t="s">
        <v>2569</v>
      </c>
      <c r="C1429" s="6" t="s">
        <v>518</v>
      </c>
      <c r="D1429" s="6" t="s">
        <v>189</v>
      </c>
      <c r="E1429" s="6" t="s">
        <v>237</v>
      </c>
      <c r="F1429" s="6">
        <v>29530.99</v>
      </c>
      <c r="G1429" s="2">
        <v>25</v>
      </c>
      <c r="H1429" s="2">
        <v>31.32</v>
      </c>
      <c r="I1429" s="2">
        <v>33.979999999999997</v>
      </c>
      <c r="J1429" s="47">
        <f t="shared" si="110"/>
        <v>0.25280000000000002</v>
      </c>
      <c r="K1429" s="47">
        <f t="shared" si="111"/>
        <v>8.4929757343550336E-2</v>
      </c>
      <c r="L1429" s="8">
        <v>45.12</v>
      </c>
      <c r="M1429" s="8">
        <v>40.520000000000003</v>
      </c>
      <c r="N1429" s="8">
        <v>37.35</v>
      </c>
      <c r="O1429" s="17">
        <f t="shared" si="112"/>
        <v>1.6028481012658229</v>
      </c>
      <c r="P1429" s="17">
        <f t="shared" si="113"/>
        <v>4.3977518796992543</v>
      </c>
      <c r="Q1429" s="5">
        <v>2.61</v>
      </c>
      <c r="R1429" s="9">
        <v>195.99</v>
      </c>
      <c r="S1429" s="9">
        <v>5.34</v>
      </c>
      <c r="T1429" s="9">
        <v>3487.0500400000001</v>
      </c>
      <c r="U1429" s="9">
        <v>3085.18</v>
      </c>
      <c r="V1429" s="45">
        <f t="shared" si="114"/>
        <v>0.13025821507983334</v>
      </c>
      <c r="W1429" s="12">
        <v>16.11</v>
      </c>
      <c r="X1429" s="12">
        <v>0</v>
      </c>
      <c r="Y1429" s="12">
        <v>20210729</v>
      </c>
    </row>
    <row r="1430" spans="1:25" x14ac:dyDescent="0.45">
      <c r="A1430" s="3" t="s">
        <v>4249</v>
      </c>
      <c r="B1430" s="3" t="s">
        <v>4250</v>
      </c>
      <c r="C1430" s="6" t="s">
        <v>518</v>
      </c>
      <c r="D1430" s="6" t="s">
        <v>289</v>
      </c>
      <c r="E1430" s="6" t="s">
        <v>271</v>
      </c>
      <c r="F1430" s="6">
        <v>3908.69</v>
      </c>
      <c r="G1430" s="2">
        <v>0.36</v>
      </c>
      <c r="H1430" s="2">
        <v>2.87</v>
      </c>
      <c r="I1430" s="2">
        <v>2.92</v>
      </c>
      <c r="J1430" s="47">
        <f t="shared" si="110"/>
        <v>6.9722222222222232</v>
      </c>
      <c r="K1430" s="47">
        <f t="shared" si="111"/>
        <v>1.7421602787456383E-2</v>
      </c>
      <c r="L1430" s="8">
        <v>31.88</v>
      </c>
      <c r="M1430" s="8">
        <v>11.66</v>
      </c>
      <c r="N1430" s="8">
        <v>11.46</v>
      </c>
      <c r="O1430" s="17">
        <f t="shared" si="112"/>
        <v>1.6723505976095617E-2</v>
      </c>
      <c r="P1430" s="17">
        <f t="shared" si="113"/>
        <v>6.5780400000000245</v>
      </c>
      <c r="R1430" s="9">
        <v>7.71</v>
      </c>
      <c r="S1430" s="9">
        <v>34.6</v>
      </c>
      <c r="T1430" s="9">
        <v>1302.10998</v>
      </c>
      <c r="U1430" s="9">
        <v>862.13</v>
      </c>
      <c r="V1430" s="45">
        <f t="shared" si="114"/>
        <v>0.5103406446823564</v>
      </c>
      <c r="W1430" s="12">
        <v>82.05</v>
      </c>
      <c r="X1430" s="12">
        <v>0.3</v>
      </c>
      <c r="Y1430" s="12">
        <v>20210727</v>
      </c>
    </row>
    <row r="1431" spans="1:25" x14ac:dyDescent="0.45">
      <c r="A1431" s="3" t="s">
        <v>2570</v>
      </c>
      <c r="B1431" s="3" t="s">
        <v>2571</v>
      </c>
      <c r="C1431" s="6" t="s">
        <v>518</v>
      </c>
      <c r="D1431" s="6" t="s">
        <v>234</v>
      </c>
      <c r="E1431" s="6" t="s">
        <v>243</v>
      </c>
      <c r="F1431" s="6">
        <v>4967.58</v>
      </c>
      <c r="G1431" s="2">
        <v>1.28</v>
      </c>
      <c r="H1431" s="2">
        <v>1.67</v>
      </c>
      <c r="I1431" s="2">
        <v>1.88</v>
      </c>
      <c r="J1431" s="47">
        <f t="shared" si="110"/>
        <v>0.30468749999999994</v>
      </c>
      <c r="K1431" s="47">
        <f t="shared" si="111"/>
        <v>0.12574850299401197</v>
      </c>
      <c r="L1431" s="8">
        <v>11.18</v>
      </c>
      <c r="M1431" s="8">
        <v>8.77</v>
      </c>
      <c r="N1431" s="8">
        <v>7.8</v>
      </c>
      <c r="O1431" s="17">
        <f t="shared" si="112"/>
        <v>0.28783589743589749</v>
      </c>
      <c r="P1431" s="17">
        <f t="shared" si="113"/>
        <v>0.62028571428571433</v>
      </c>
      <c r="Q1431" s="5">
        <v>1.75</v>
      </c>
      <c r="R1431" s="9">
        <v>9.98</v>
      </c>
      <c r="S1431" s="9">
        <v>3.84</v>
      </c>
      <c r="U1431" s="9">
        <v>1199.1500000000001</v>
      </c>
      <c r="V1431" s="45">
        <f t="shared" si="114"/>
        <v>-1</v>
      </c>
      <c r="W1431" s="12">
        <v>0</v>
      </c>
      <c r="X1431" s="12">
        <v>1.64</v>
      </c>
      <c r="Y1431" s="12">
        <v>20210803</v>
      </c>
    </row>
    <row r="1432" spans="1:25" x14ac:dyDescent="0.45">
      <c r="A1432" s="3" t="s">
        <v>2572</v>
      </c>
      <c r="B1432" s="3" t="s">
        <v>2573</v>
      </c>
      <c r="C1432" s="6" t="s">
        <v>518</v>
      </c>
      <c r="D1432" s="6" t="s">
        <v>210</v>
      </c>
      <c r="E1432" s="6" t="s">
        <v>1439</v>
      </c>
      <c r="F1432" s="6">
        <v>3838.43</v>
      </c>
      <c r="G1432" s="2">
        <v>10.4</v>
      </c>
      <c r="H1432" s="2">
        <v>14.62</v>
      </c>
      <c r="I1432" s="2">
        <v>17.559999999999999</v>
      </c>
      <c r="J1432" s="47">
        <f t="shared" si="110"/>
        <v>0.40576923076923066</v>
      </c>
      <c r="K1432" s="47">
        <f t="shared" si="111"/>
        <v>0.20109439124487002</v>
      </c>
      <c r="L1432" s="8">
        <v>8.0299999999999994</v>
      </c>
      <c r="M1432" s="8">
        <v>6.94</v>
      </c>
      <c r="N1432" s="8">
        <v>5.78</v>
      </c>
      <c r="O1432" s="17">
        <f t="shared" si="112"/>
        <v>0.17103317535545029</v>
      </c>
      <c r="P1432" s="17">
        <f t="shared" si="113"/>
        <v>0.28742721088435375</v>
      </c>
      <c r="R1432" s="9">
        <v>21.26</v>
      </c>
      <c r="S1432" s="9">
        <v>9.3000000000000007</v>
      </c>
      <c r="T1432" s="9">
        <v>4826.1811500000003</v>
      </c>
      <c r="U1432" s="9">
        <v>4501.22</v>
      </c>
      <c r="V1432" s="45">
        <f t="shared" si="114"/>
        <v>7.2194016288917237E-2</v>
      </c>
      <c r="W1432" s="12">
        <v>39.270000000000003</v>
      </c>
      <c r="X1432" s="12">
        <v>0</v>
      </c>
      <c r="Y1432" s="12">
        <v>20210728</v>
      </c>
    </row>
    <row r="1433" spans="1:25" x14ac:dyDescent="0.45">
      <c r="A1433" s="3" t="s">
        <v>2574</v>
      </c>
      <c r="B1433" s="3" t="s">
        <v>2575</v>
      </c>
      <c r="C1433" s="6" t="s">
        <v>520</v>
      </c>
      <c r="D1433" s="6" t="s">
        <v>90</v>
      </c>
      <c r="E1433" s="6" t="s">
        <v>196</v>
      </c>
      <c r="F1433" s="6">
        <v>12360.62</v>
      </c>
      <c r="G1433" s="2">
        <v>0.1</v>
      </c>
      <c r="H1433" s="2">
        <v>4.93</v>
      </c>
      <c r="I1433" s="2">
        <v>5.63</v>
      </c>
      <c r="J1433" s="47">
        <f t="shared" si="110"/>
        <v>48.3</v>
      </c>
      <c r="K1433" s="47">
        <f t="shared" si="111"/>
        <v>0.14198782961460452</v>
      </c>
      <c r="M1433" s="8">
        <v>8.32</v>
      </c>
      <c r="N1433" s="8">
        <v>7.29</v>
      </c>
      <c r="O1433" s="17">
        <f t="shared" si="112"/>
        <v>1.7225672877846791E-3</v>
      </c>
      <c r="P1433" s="17">
        <f t="shared" si="113"/>
        <v>0.51342428571428556</v>
      </c>
      <c r="R1433" s="9">
        <v>-0.52</v>
      </c>
      <c r="T1433" s="9">
        <v>32818.179680000001</v>
      </c>
      <c r="U1433" s="9">
        <v>30731.31</v>
      </c>
      <c r="V1433" s="45">
        <f t="shared" si="114"/>
        <v>6.7906954828804877E-2</v>
      </c>
      <c r="X1433" s="12">
        <v>1.99</v>
      </c>
      <c r="Y1433" s="12">
        <v>20210803</v>
      </c>
    </row>
    <row r="1434" spans="1:25" x14ac:dyDescent="0.45">
      <c r="A1434" s="3" t="s">
        <v>2576</v>
      </c>
      <c r="B1434" s="3" t="s">
        <v>2577</v>
      </c>
      <c r="C1434" s="6" t="s">
        <v>518</v>
      </c>
      <c r="D1434" s="6" t="s">
        <v>216</v>
      </c>
      <c r="E1434" s="6" t="s">
        <v>1102</v>
      </c>
      <c r="F1434" s="6">
        <v>12879.6</v>
      </c>
      <c r="G1434" s="2">
        <v>2.59</v>
      </c>
      <c r="H1434" s="2">
        <v>3.06</v>
      </c>
      <c r="I1434" s="2">
        <v>7.71</v>
      </c>
      <c r="J1434" s="47">
        <f t="shared" si="110"/>
        <v>0.18146718146718155</v>
      </c>
      <c r="K1434" s="47">
        <f t="shared" si="111"/>
        <v>1.5196078431372551</v>
      </c>
      <c r="L1434" s="8">
        <v>110.71</v>
      </c>
      <c r="M1434" s="8">
        <v>104.47</v>
      </c>
      <c r="N1434" s="8">
        <v>41.5</v>
      </c>
      <c r="O1434" s="17">
        <f t="shared" si="112"/>
        <v>5.7569638297872316</v>
      </c>
      <c r="P1434" s="17">
        <f t="shared" si="113"/>
        <v>0.27309677419354839</v>
      </c>
      <c r="R1434" s="9">
        <v>7.4</v>
      </c>
      <c r="S1434" s="9">
        <v>4.41</v>
      </c>
      <c r="T1434" s="9">
        <v>1894.1750400000001</v>
      </c>
      <c r="U1434" s="9">
        <v>1963.7</v>
      </c>
      <c r="V1434" s="45">
        <f t="shared" si="114"/>
        <v>-3.5405082242705076E-2</v>
      </c>
      <c r="W1434" s="12">
        <v>0.75</v>
      </c>
      <c r="X1434" s="12">
        <v>0</v>
      </c>
      <c r="Y1434" s="12">
        <v>20210923</v>
      </c>
    </row>
    <row r="1435" spans="1:25" x14ac:dyDescent="0.45">
      <c r="A1435" s="3" t="s">
        <v>2578</v>
      </c>
      <c r="B1435" s="3" t="s">
        <v>2579</v>
      </c>
      <c r="C1435" s="6" t="s">
        <v>519</v>
      </c>
      <c r="D1435" s="6" t="s">
        <v>189</v>
      </c>
      <c r="E1435" s="6" t="s">
        <v>298</v>
      </c>
      <c r="F1435" s="6">
        <v>4107.8</v>
      </c>
      <c r="G1435" s="2">
        <v>0.96</v>
      </c>
      <c r="H1435" s="2">
        <v>2.04</v>
      </c>
      <c r="I1435" s="2">
        <v>2.2999999999999998</v>
      </c>
      <c r="J1435" s="47">
        <f t="shared" si="110"/>
        <v>1.1250000000000002</v>
      </c>
      <c r="K1435" s="47">
        <f t="shared" si="111"/>
        <v>0.12745098039215674</v>
      </c>
      <c r="L1435" s="8">
        <v>35.19</v>
      </c>
      <c r="M1435" s="8">
        <v>29.36</v>
      </c>
      <c r="N1435" s="8">
        <v>26.03</v>
      </c>
      <c r="O1435" s="17">
        <f t="shared" si="112"/>
        <v>0.2609777777777777</v>
      </c>
      <c r="P1435" s="17">
        <f t="shared" si="113"/>
        <v>2.0423538461538482</v>
      </c>
      <c r="Q1435" s="5">
        <v>0.79</v>
      </c>
      <c r="R1435" s="9">
        <v>23.6</v>
      </c>
      <c r="S1435" s="9">
        <v>-3.61</v>
      </c>
      <c r="T1435" s="9">
        <v>605.04699000000005</v>
      </c>
      <c r="U1435" s="9">
        <v>530.04</v>
      </c>
      <c r="V1435" s="45">
        <f t="shared" si="114"/>
        <v>0.14151194249490623</v>
      </c>
      <c r="W1435" s="12">
        <v>8.51</v>
      </c>
      <c r="X1435" s="12">
        <v>0</v>
      </c>
      <c r="Y1435" s="12">
        <v>20210804</v>
      </c>
    </row>
    <row r="1436" spans="1:25" x14ac:dyDescent="0.45">
      <c r="A1436" s="3" t="s">
        <v>4830</v>
      </c>
      <c r="B1436" s="3" t="s">
        <v>4831</v>
      </c>
      <c r="C1436" s="6" t="s">
        <v>520</v>
      </c>
      <c r="D1436" s="6" t="s">
        <v>10</v>
      </c>
      <c r="E1436" s="6" t="s">
        <v>17</v>
      </c>
      <c r="F1436" s="6">
        <v>13645.52</v>
      </c>
      <c r="J1436" s="47" t="e">
        <f t="shared" si="110"/>
        <v>#DIV/0!</v>
      </c>
      <c r="K1436" s="47" t="e">
        <f t="shared" si="111"/>
        <v>#DIV/0!</v>
      </c>
      <c r="L1436" s="8">
        <v>52.8</v>
      </c>
      <c r="O1436" s="17" t="e">
        <f t="shared" si="112"/>
        <v>#DIV/0!</v>
      </c>
      <c r="P1436" s="17" t="e">
        <f t="shared" si="113"/>
        <v>#DIV/0!</v>
      </c>
      <c r="R1436" s="9">
        <v>9.1300000000000008</v>
      </c>
      <c r="S1436" s="9">
        <v>-3.17</v>
      </c>
      <c r="U1436" s="9">
        <v>4542.54</v>
      </c>
      <c r="V1436" s="45">
        <f t="shared" si="114"/>
        <v>-1</v>
      </c>
      <c r="X1436" s="12">
        <v>0.4</v>
      </c>
      <c r="Y1436" s="12">
        <v>20210802</v>
      </c>
    </row>
    <row r="1437" spans="1:25" x14ac:dyDescent="0.45">
      <c r="A1437" s="3" t="s">
        <v>2580</v>
      </c>
      <c r="B1437" s="3" t="s">
        <v>2581</v>
      </c>
      <c r="C1437" s="6" t="s">
        <v>518</v>
      </c>
      <c r="D1437" s="6" t="s">
        <v>210</v>
      </c>
      <c r="E1437" s="6" t="s">
        <v>912</v>
      </c>
      <c r="F1437" s="6">
        <v>8967.15</v>
      </c>
      <c r="G1437" s="2">
        <v>5.04</v>
      </c>
      <c r="H1437" s="2">
        <v>5.2</v>
      </c>
      <c r="I1437" s="2">
        <v>5.88</v>
      </c>
      <c r="J1437" s="47">
        <f t="shared" si="110"/>
        <v>3.1746031746031772E-2</v>
      </c>
      <c r="K1437" s="47">
        <f t="shared" si="111"/>
        <v>0.13076923076923072</v>
      </c>
      <c r="L1437" s="8">
        <v>21.43</v>
      </c>
      <c r="M1437" s="8">
        <v>23.19</v>
      </c>
      <c r="N1437" s="8">
        <v>20.52</v>
      </c>
      <c r="O1437" s="17">
        <f t="shared" si="112"/>
        <v>7.3048499999999947</v>
      </c>
      <c r="P1437" s="17">
        <f t="shared" si="113"/>
        <v>1.5691764705882358</v>
      </c>
      <c r="R1437" s="9">
        <v>20.48</v>
      </c>
      <c r="S1437" s="9">
        <v>7.31</v>
      </c>
      <c r="T1437" s="9">
        <v>7964.3950100000002</v>
      </c>
      <c r="U1437" s="9">
        <v>6320.98</v>
      </c>
      <c r="V1437" s="45">
        <f t="shared" si="114"/>
        <v>0.25999370509003361</v>
      </c>
      <c r="W1437" s="12">
        <v>42.86</v>
      </c>
      <c r="X1437" s="12">
        <v>0</v>
      </c>
      <c r="Y1437" s="12">
        <v>20210729</v>
      </c>
    </row>
    <row r="1438" spans="1:25" x14ac:dyDescent="0.45">
      <c r="A1438" s="3" t="s">
        <v>2582</v>
      </c>
      <c r="B1438" s="3" t="s">
        <v>2583</v>
      </c>
      <c r="C1438" s="6" t="s">
        <v>519</v>
      </c>
      <c r="D1438" s="6" t="s">
        <v>189</v>
      </c>
      <c r="E1438" s="6" t="s">
        <v>2584</v>
      </c>
      <c r="F1438" s="6">
        <v>88210.55</v>
      </c>
      <c r="G1438" s="2">
        <v>2.76</v>
      </c>
      <c r="H1438" s="2">
        <v>5.55</v>
      </c>
      <c r="I1438" s="2">
        <v>11.27</v>
      </c>
      <c r="J1438" s="47">
        <f t="shared" si="110"/>
        <v>1.0108695652173914</v>
      </c>
      <c r="K1438" s="47">
        <f t="shared" si="111"/>
        <v>1.0306306306306305</v>
      </c>
      <c r="L1438" s="8">
        <v>21.49</v>
      </c>
      <c r="M1438" s="8">
        <v>14.17</v>
      </c>
      <c r="N1438" s="8">
        <v>6.98</v>
      </c>
      <c r="O1438" s="17">
        <f t="shared" si="112"/>
        <v>0.1401763440860215</v>
      </c>
      <c r="P1438" s="17">
        <f t="shared" si="113"/>
        <v>6.772552447552449E-2</v>
      </c>
      <c r="Q1438" s="5">
        <v>0.9</v>
      </c>
      <c r="R1438" s="9">
        <v>9.81</v>
      </c>
      <c r="S1438" s="9">
        <v>11.08</v>
      </c>
      <c r="T1438" s="9">
        <v>27016.314450000002</v>
      </c>
      <c r="U1438" s="9">
        <v>21435</v>
      </c>
      <c r="V1438" s="45">
        <f t="shared" si="114"/>
        <v>0.26038322603219044</v>
      </c>
      <c r="W1438" s="12">
        <v>3.16</v>
      </c>
      <c r="X1438" s="12">
        <v>0</v>
      </c>
      <c r="Y1438" s="12">
        <v>20210630</v>
      </c>
    </row>
    <row r="1439" spans="1:25" x14ac:dyDescent="0.45">
      <c r="A1439" s="3" t="s">
        <v>4832</v>
      </c>
      <c r="B1439" s="3" t="s">
        <v>4833</v>
      </c>
      <c r="C1439" s="6" t="s">
        <v>518</v>
      </c>
      <c r="D1439" s="6" t="s">
        <v>234</v>
      </c>
      <c r="E1439" s="6" t="s">
        <v>904</v>
      </c>
      <c r="F1439" s="6">
        <v>22359.91</v>
      </c>
      <c r="J1439" s="47" t="e">
        <f t="shared" si="110"/>
        <v>#DIV/0!</v>
      </c>
      <c r="K1439" s="47" t="e">
        <f t="shared" si="111"/>
        <v>#DIV/0!</v>
      </c>
      <c r="O1439" s="17" t="e">
        <f t="shared" si="112"/>
        <v>#DIV/0!</v>
      </c>
      <c r="P1439" s="17" t="e">
        <f t="shared" si="113"/>
        <v>#DIV/0!</v>
      </c>
      <c r="V1439" s="45" t="e">
        <f t="shared" si="114"/>
        <v>#DIV/0!</v>
      </c>
      <c r="X1439" s="12">
        <v>1.95</v>
      </c>
    </row>
    <row r="1440" spans="1:25" x14ac:dyDescent="0.45">
      <c r="A1440" s="3" t="s">
        <v>2585</v>
      </c>
      <c r="B1440" s="3" t="s">
        <v>2586</v>
      </c>
      <c r="C1440" s="6" t="s">
        <v>518</v>
      </c>
      <c r="D1440" s="6" t="s">
        <v>234</v>
      </c>
      <c r="E1440" s="6" t="s">
        <v>105</v>
      </c>
      <c r="F1440" s="6">
        <v>73471.42</v>
      </c>
      <c r="G1440" s="2">
        <v>0.56999999999999995</v>
      </c>
      <c r="H1440" s="2">
        <v>0.6</v>
      </c>
      <c r="I1440" s="2">
        <v>0.69</v>
      </c>
      <c r="J1440" s="47">
        <f t="shared" si="110"/>
        <v>5.2631578947368474E-2</v>
      </c>
      <c r="K1440" s="47">
        <f t="shared" si="111"/>
        <v>0.14999999999999997</v>
      </c>
      <c r="L1440" s="8">
        <v>10.210000000000001</v>
      </c>
      <c r="M1440" s="8">
        <v>9.5299999999999994</v>
      </c>
      <c r="N1440" s="8">
        <v>8.2899999999999991</v>
      </c>
      <c r="O1440" s="17">
        <f t="shared" si="112"/>
        <v>1.810699999999998</v>
      </c>
      <c r="P1440" s="17">
        <f t="shared" si="113"/>
        <v>0.55266666666666675</v>
      </c>
      <c r="R1440" s="9">
        <v>4.55</v>
      </c>
      <c r="S1440" s="9">
        <v>5.2</v>
      </c>
      <c r="U1440" s="9">
        <v>56842.52</v>
      </c>
      <c r="V1440" s="45">
        <f t="shared" si="114"/>
        <v>-1</v>
      </c>
      <c r="X1440" s="12">
        <v>1.72</v>
      </c>
      <c r="Y1440" s="12">
        <v>20210803</v>
      </c>
    </row>
    <row r="1441" spans="1:25" x14ac:dyDescent="0.45">
      <c r="A1441" s="3" t="s">
        <v>4251</v>
      </c>
      <c r="B1441" s="3" t="s">
        <v>4252</v>
      </c>
      <c r="C1441" s="6" t="s">
        <v>518</v>
      </c>
      <c r="D1441" s="6" t="s">
        <v>289</v>
      </c>
      <c r="E1441" s="6" t="s">
        <v>271</v>
      </c>
      <c r="F1441" s="6">
        <v>3623.76</v>
      </c>
      <c r="G1441" s="2">
        <v>-1.29</v>
      </c>
      <c r="H1441" s="2">
        <v>0.28999999999999998</v>
      </c>
      <c r="I1441" s="2">
        <v>0.19</v>
      </c>
      <c r="J1441" s="47">
        <f t="shared" si="110"/>
        <v>1.2248062015503876</v>
      </c>
      <c r="K1441" s="47">
        <f t="shared" si="111"/>
        <v>-0.34482758620689652</v>
      </c>
      <c r="M1441" s="8">
        <v>81.400000000000006</v>
      </c>
      <c r="N1441" s="8">
        <v>121.4</v>
      </c>
      <c r="O1441" s="17">
        <f t="shared" si="112"/>
        <v>0.66459493670886083</v>
      </c>
      <c r="P1441" s="17">
        <f t="shared" si="113"/>
        <v>-3.5206000000000004</v>
      </c>
      <c r="R1441" s="9">
        <v>-3.09</v>
      </c>
      <c r="S1441" s="9">
        <v>1.74</v>
      </c>
      <c r="T1441" s="9">
        <v>2022.22802</v>
      </c>
      <c r="U1441" s="9">
        <v>1967.34</v>
      </c>
      <c r="V1441" s="45">
        <f t="shared" si="114"/>
        <v>2.7899610641780322E-2</v>
      </c>
      <c r="W1441" s="12">
        <v>137.5</v>
      </c>
      <c r="X1441" s="12">
        <v>2.13</v>
      </c>
      <c r="Y1441" s="12">
        <v>20210805</v>
      </c>
    </row>
    <row r="1442" spans="1:25" x14ac:dyDescent="0.45">
      <c r="A1442" s="3" t="s">
        <v>4834</v>
      </c>
      <c r="B1442" s="3" t="s">
        <v>4835</v>
      </c>
      <c r="C1442" s="6" t="s">
        <v>520</v>
      </c>
      <c r="D1442" s="6" t="s">
        <v>234</v>
      </c>
      <c r="E1442" s="6" t="s">
        <v>243</v>
      </c>
      <c r="F1442" s="6">
        <v>39325.769999999997</v>
      </c>
      <c r="J1442" s="47" t="e">
        <f t="shared" si="110"/>
        <v>#DIV/0!</v>
      </c>
      <c r="K1442" s="47" t="e">
        <f t="shared" si="111"/>
        <v>#DIV/0!</v>
      </c>
      <c r="L1442" s="8">
        <v>21.26</v>
      </c>
      <c r="O1442" s="17" t="e">
        <f t="shared" si="112"/>
        <v>#DIV/0!</v>
      </c>
      <c r="P1442" s="17" t="e">
        <f t="shared" si="113"/>
        <v>#DIV/0!</v>
      </c>
      <c r="R1442" s="9">
        <v>5.61</v>
      </c>
      <c r="S1442" s="9">
        <v>1.25</v>
      </c>
      <c r="U1442" s="9">
        <v>62695.519999999997</v>
      </c>
      <c r="V1442" s="45">
        <f t="shared" si="114"/>
        <v>-1</v>
      </c>
      <c r="X1442" s="12">
        <v>2.91</v>
      </c>
      <c r="Y1442" s="12">
        <v>20210804</v>
      </c>
    </row>
    <row r="1443" spans="1:25" x14ac:dyDescent="0.45">
      <c r="A1443" s="3" t="s">
        <v>2587</v>
      </c>
      <c r="B1443" s="3" t="s">
        <v>2588</v>
      </c>
      <c r="C1443" s="6" t="s">
        <v>518</v>
      </c>
      <c r="D1443" s="6" t="s">
        <v>289</v>
      </c>
      <c r="E1443" s="6" t="s">
        <v>278</v>
      </c>
      <c r="F1443" s="6">
        <v>3677.58</v>
      </c>
      <c r="G1443" s="2">
        <v>13.36</v>
      </c>
      <c r="H1443" s="2">
        <v>9.41</v>
      </c>
      <c r="I1443" s="2">
        <v>8.51</v>
      </c>
      <c r="J1443" s="47">
        <f t="shared" si="110"/>
        <v>-0.2956586826347305</v>
      </c>
      <c r="K1443" s="47">
        <f t="shared" si="111"/>
        <v>-9.5642933049946907E-2</v>
      </c>
      <c r="L1443" s="8">
        <v>10.92</v>
      </c>
      <c r="M1443" s="8">
        <v>14.52</v>
      </c>
      <c r="N1443" s="8">
        <v>16.059999999999999</v>
      </c>
      <c r="O1443" s="17">
        <f t="shared" si="112"/>
        <v>-0.49110683544303801</v>
      </c>
      <c r="P1443" s="17">
        <f t="shared" si="113"/>
        <v>-1.6791622222222216</v>
      </c>
      <c r="R1443" s="9">
        <v>42.87</v>
      </c>
      <c r="S1443" s="9">
        <v>1.23</v>
      </c>
      <c r="T1443" s="9">
        <v>15935.853510000001</v>
      </c>
      <c r="U1443" s="9">
        <v>11264.3</v>
      </c>
      <c r="V1443" s="45">
        <f t="shared" si="114"/>
        <v>0.41472204309189226</v>
      </c>
      <c r="W1443" s="12">
        <v>31.37</v>
      </c>
      <c r="X1443" s="12">
        <v>0.73</v>
      </c>
      <c r="Y1443" s="12">
        <v>20210720</v>
      </c>
    </row>
    <row r="1444" spans="1:25" x14ac:dyDescent="0.45">
      <c r="A1444" s="3" t="s">
        <v>4836</v>
      </c>
      <c r="B1444" s="3" t="s">
        <v>4837</v>
      </c>
      <c r="C1444" s="6" t="s">
        <v>519</v>
      </c>
      <c r="D1444" s="6" t="s">
        <v>189</v>
      </c>
      <c r="E1444" s="6" t="s">
        <v>2122</v>
      </c>
      <c r="F1444" s="6">
        <v>3356.47</v>
      </c>
      <c r="G1444" s="2">
        <v>-0.1</v>
      </c>
      <c r="H1444" s="2">
        <v>-0.17</v>
      </c>
      <c r="J1444" s="47">
        <f t="shared" si="110"/>
        <v>-0.70000000000000007</v>
      </c>
      <c r="K1444" s="47">
        <f t="shared" si="111"/>
        <v>1</v>
      </c>
      <c r="O1444" s="17">
        <f t="shared" si="112"/>
        <v>0</v>
      </c>
      <c r="P1444" s="17">
        <f t="shared" si="113"/>
        <v>0</v>
      </c>
      <c r="R1444" s="9">
        <v>-85.01</v>
      </c>
      <c r="S1444" s="9">
        <v>-21.18</v>
      </c>
      <c r="T1444" s="9">
        <v>3.18</v>
      </c>
      <c r="U1444" s="9">
        <v>3.09</v>
      </c>
      <c r="V1444" s="45">
        <f t="shared" si="114"/>
        <v>2.9126213592233108E-2</v>
      </c>
      <c r="W1444" s="12">
        <v>-100</v>
      </c>
      <c r="X1444" s="12">
        <v>0</v>
      </c>
      <c r="Y1444" s="12">
        <v>20210804</v>
      </c>
    </row>
    <row r="1445" spans="1:25" x14ac:dyDescent="0.45">
      <c r="A1445" s="3" t="s">
        <v>2589</v>
      </c>
      <c r="B1445" s="3" t="s">
        <v>2590</v>
      </c>
      <c r="C1445" s="6" t="s">
        <v>519</v>
      </c>
      <c r="D1445" s="6" t="s">
        <v>189</v>
      </c>
      <c r="E1445" s="6" t="s">
        <v>298</v>
      </c>
      <c r="F1445" s="6">
        <v>27636.09</v>
      </c>
      <c r="G1445" s="2">
        <v>2.2599999999999998</v>
      </c>
      <c r="H1445" s="2">
        <v>3.13</v>
      </c>
      <c r="I1445" s="2">
        <v>3.55</v>
      </c>
      <c r="J1445" s="47">
        <f t="shared" si="110"/>
        <v>0.38495575221238948</v>
      </c>
      <c r="K1445" s="47">
        <f t="shared" si="111"/>
        <v>0.13418530351437699</v>
      </c>
      <c r="L1445" s="8">
        <v>36.130000000000003</v>
      </c>
      <c r="M1445" s="8">
        <v>32.92</v>
      </c>
      <c r="N1445" s="8">
        <v>29.02</v>
      </c>
      <c r="O1445" s="17">
        <f t="shared" si="112"/>
        <v>0.85516321839080434</v>
      </c>
      <c r="P1445" s="17">
        <f t="shared" si="113"/>
        <v>2.1626809523809523</v>
      </c>
      <c r="Q1445" s="5">
        <v>3.29</v>
      </c>
      <c r="R1445" s="9">
        <v>41.37</v>
      </c>
      <c r="S1445" s="9">
        <v>0.41</v>
      </c>
      <c r="T1445" s="9">
        <v>2597.94409</v>
      </c>
      <c r="U1445" s="9">
        <v>2191.4</v>
      </c>
      <c r="V1445" s="45">
        <f t="shared" si="114"/>
        <v>0.18551797481062327</v>
      </c>
      <c r="W1445" s="12">
        <v>9.33</v>
      </c>
      <c r="X1445" s="12">
        <v>0</v>
      </c>
      <c r="Y1445" s="12">
        <v>20210727</v>
      </c>
    </row>
    <row r="1446" spans="1:25" x14ac:dyDescent="0.45">
      <c r="A1446" s="3" t="s">
        <v>2591</v>
      </c>
      <c r="B1446" s="3" t="s">
        <v>2592</v>
      </c>
      <c r="C1446" s="6" t="s">
        <v>519</v>
      </c>
      <c r="D1446" s="6" t="s">
        <v>279</v>
      </c>
      <c r="E1446" s="6" t="s">
        <v>262</v>
      </c>
      <c r="F1446" s="6">
        <v>4430.07</v>
      </c>
      <c r="G1446" s="2">
        <v>0.14000000000000001</v>
      </c>
      <c r="H1446" s="2">
        <v>0.39</v>
      </c>
      <c r="I1446" s="2">
        <v>0.52</v>
      </c>
      <c r="J1446" s="47">
        <f t="shared" si="110"/>
        <v>1.7857142857142856</v>
      </c>
      <c r="K1446" s="47">
        <f t="shared" si="111"/>
        <v>0.33333333333333331</v>
      </c>
      <c r="L1446" s="8">
        <v>405.36</v>
      </c>
      <c r="M1446" s="8">
        <v>226.73</v>
      </c>
      <c r="N1446" s="8">
        <v>170.41</v>
      </c>
      <c r="O1446" s="17">
        <f t="shared" si="112"/>
        <v>1.2696880000000001</v>
      </c>
      <c r="P1446" s="17">
        <f t="shared" si="113"/>
        <v>5.1123000000000003</v>
      </c>
      <c r="R1446" s="9">
        <v>8.69</v>
      </c>
      <c r="T1446" s="9">
        <v>248.61999</v>
      </c>
      <c r="U1446" s="9">
        <v>139.66999999999999</v>
      </c>
      <c r="V1446" s="45">
        <f t="shared" si="114"/>
        <v>0.78005291043173208</v>
      </c>
      <c r="W1446" s="12">
        <v>333.33</v>
      </c>
      <c r="X1446" s="12">
        <v>0</v>
      </c>
      <c r="Y1446" s="12">
        <v>20210810</v>
      </c>
    </row>
    <row r="1447" spans="1:25" x14ac:dyDescent="0.45">
      <c r="A1447" s="3" t="s">
        <v>2593</v>
      </c>
      <c r="B1447" s="3" t="s">
        <v>2594</v>
      </c>
      <c r="C1447" s="6" t="s">
        <v>519</v>
      </c>
      <c r="D1447" s="6" t="s">
        <v>189</v>
      </c>
      <c r="E1447" s="6" t="s">
        <v>214</v>
      </c>
      <c r="F1447" s="6">
        <v>5402.47</v>
      </c>
      <c r="G1447" s="2">
        <v>1.2</v>
      </c>
      <c r="H1447" s="2">
        <v>1.36</v>
      </c>
      <c r="I1447" s="2">
        <v>1.65</v>
      </c>
      <c r="J1447" s="47">
        <f t="shared" si="110"/>
        <v>0.13333333333333347</v>
      </c>
      <c r="K1447" s="47">
        <f t="shared" si="111"/>
        <v>0.21323529411764691</v>
      </c>
      <c r="L1447" s="8">
        <v>31.1</v>
      </c>
      <c r="M1447" s="8">
        <v>30.3</v>
      </c>
      <c r="N1447" s="8">
        <v>24.8</v>
      </c>
      <c r="O1447" s="17">
        <f t="shared" si="112"/>
        <v>2.2724999999999977</v>
      </c>
      <c r="P1447" s="17">
        <f t="shared" si="113"/>
        <v>1.1630344827586214</v>
      </c>
      <c r="R1447" s="9">
        <v>9.89</v>
      </c>
      <c r="S1447" s="9">
        <v>1.65</v>
      </c>
      <c r="T1447" s="9">
        <v>1395.5479700000001</v>
      </c>
      <c r="U1447" s="9">
        <v>1286.67</v>
      </c>
      <c r="V1447" s="45">
        <f t="shared" si="114"/>
        <v>8.4619964715117318E-2</v>
      </c>
      <c r="W1447" s="12">
        <v>3.23</v>
      </c>
      <c r="X1447" s="12">
        <v>2.63</v>
      </c>
      <c r="Y1447" s="12">
        <v>20210729</v>
      </c>
    </row>
    <row r="1448" spans="1:25" x14ac:dyDescent="0.45">
      <c r="A1448" s="3" t="s">
        <v>2595</v>
      </c>
      <c r="B1448" s="3" t="s">
        <v>2596</v>
      </c>
      <c r="C1448" s="6" t="s">
        <v>518</v>
      </c>
      <c r="D1448" s="6" t="s">
        <v>46</v>
      </c>
      <c r="E1448" s="6" t="s">
        <v>80</v>
      </c>
      <c r="F1448" s="6">
        <v>4429.67</v>
      </c>
      <c r="G1448" s="2">
        <v>-0.95</v>
      </c>
      <c r="H1448" s="2">
        <v>1.72</v>
      </c>
      <c r="I1448" s="2">
        <v>3.07</v>
      </c>
      <c r="J1448" s="47">
        <f t="shared" si="110"/>
        <v>2.8105263157894735</v>
      </c>
      <c r="K1448" s="47">
        <f t="shared" si="111"/>
        <v>0.78488372093023251</v>
      </c>
      <c r="L1448" s="8">
        <v>33.9</v>
      </c>
      <c r="M1448" s="8">
        <v>25.9</v>
      </c>
      <c r="N1448" s="8">
        <v>14.49</v>
      </c>
      <c r="O1448" s="17">
        <f t="shared" si="112"/>
        <v>9.2153558052434456E-2</v>
      </c>
      <c r="P1448" s="17">
        <f t="shared" si="113"/>
        <v>0.18461333333333335</v>
      </c>
      <c r="R1448" s="9">
        <v>-3.44</v>
      </c>
      <c r="S1448" s="9">
        <v>2.19</v>
      </c>
      <c r="T1448" s="9">
        <v>8850.0449200000003</v>
      </c>
      <c r="U1448" s="9">
        <v>7503</v>
      </c>
      <c r="V1448" s="45">
        <f t="shared" si="114"/>
        <v>0.17953417566306815</v>
      </c>
      <c r="W1448" s="12">
        <v>89.47</v>
      </c>
      <c r="X1448" s="12">
        <v>0</v>
      </c>
      <c r="Y1448" s="12">
        <v>20210908</v>
      </c>
    </row>
    <row r="1449" spans="1:25" x14ac:dyDescent="0.45">
      <c r="A1449" s="3" t="s">
        <v>4253</v>
      </c>
      <c r="B1449" s="3" t="s">
        <v>4254</v>
      </c>
      <c r="C1449" s="6" t="s">
        <v>519</v>
      </c>
      <c r="D1449" s="6" t="s">
        <v>234</v>
      </c>
      <c r="E1449" s="6" t="s">
        <v>218</v>
      </c>
      <c r="F1449" s="6">
        <v>3428.7</v>
      </c>
      <c r="G1449" s="2">
        <v>3.25</v>
      </c>
      <c r="H1449" s="2">
        <v>4.2</v>
      </c>
      <c r="I1449" s="2">
        <v>3.34</v>
      </c>
      <c r="J1449" s="47">
        <f t="shared" si="110"/>
        <v>0.29230769230769238</v>
      </c>
      <c r="K1449" s="47">
        <f t="shared" si="111"/>
        <v>-0.20476190476190484</v>
      </c>
      <c r="L1449" s="8">
        <v>4.24</v>
      </c>
      <c r="M1449" s="8">
        <v>4.55</v>
      </c>
      <c r="N1449" s="8">
        <v>5.71</v>
      </c>
      <c r="O1449" s="17">
        <f t="shared" si="112"/>
        <v>0.15565789473684208</v>
      </c>
      <c r="P1449" s="17">
        <f t="shared" si="113"/>
        <v>-0.27886046511627893</v>
      </c>
      <c r="R1449" s="9">
        <v>35.17</v>
      </c>
      <c r="S1449" s="9">
        <v>-3.25</v>
      </c>
      <c r="T1449" s="9">
        <v>1046.0500400000001</v>
      </c>
      <c r="U1449" s="9">
        <v>3728</v>
      </c>
      <c r="V1449" s="45">
        <f t="shared" si="114"/>
        <v>-0.71940717811158794</v>
      </c>
      <c r="W1449" s="12">
        <v>119.23</v>
      </c>
      <c r="X1449" s="12">
        <v>3.35</v>
      </c>
      <c r="Y1449" s="12">
        <v>20210720</v>
      </c>
    </row>
    <row r="1450" spans="1:25" x14ac:dyDescent="0.45">
      <c r="A1450" s="3" t="s">
        <v>2597</v>
      </c>
      <c r="B1450" s="3" t="s">
        <v>2598</v>
      </c>
      <c r="C1450" s="6" t="s">
        <v>519</v>
      </c>
      <c r="D1450" s="6" t="s">
        <v>279</v>
      </c>
      <c r="E1450" s="6" t="s">
        <v>258</v>
      </c>
      <c r="F1450" s="6">
        <v>9305.2199999999993</v>
      </c>
      <c r="G1450" s="2">
        <v>1.21</v>
      </c>
      <c r="H1450" s="2">
        <v>2.31</v>
      </c>
      <c r="I1450" s="2">
        <v>3.96</v>
      </c>
      <c r="J1450" s="47">
        <f t="shared" si="110"/>
        <v>0.90909090909090917</v>
      </c>
      <c r="K1450" s="47">
        <f t="shared" si="111"/>
        <v>0.71428571428571419</v>
      </c>
      <c r="L1450" s="8">
        <v>24</v>
      </c>
      <c r="M1450" s="8">
        <v>42.57</v>
      </c>
      <c r="N1450" s="8">
        <v>24.84</v>
      </c>
      <c r="O1450" s="17">
        <f t="shared" si="112"/>
        <v>0.46826999999999996</v>
      </c>
      <c r="P1450" s="17">
        <f t="shared" si="113"/>
        <v>0.34776000000000007</v>
      </c>
      <c r="R1450" s="9">
        <v>40.53</v>
      </c>
      <c r="S1450" s="9">
        <v>63.31</v>
      </c>
      <c r="T1450" s="9">
        <v>1149.3339800000001</v>
      </c>
      <c r="U1450" s="9">
        <v>1045.9000000000001</v>
      </c>
      <c r="V1450" s="45">
        <f t="shared" si="114"/>
        <v>9.8894712687637457E-2</v>
      </c>
      <c r="W1450" s="12">
        <v>-29.79</v>
      </c>
      <c r="X1450" s="12">
        <v>0</v>
      </c>
      <c r="Y1450" s="12">
        <v>20210802</v>
      </c>
    </row>
    <row r="1451" spans="1:25" x14ac:dyDescent="0.45">
      <c r="A1451" s="3" t="s">
        <v>2599</v>
      </c>
      <c r="B1451" s="3" t="s">
        <v>2600</v>
      </c>
      <c r="C1451" s="6" t="s">
        <v>518</v>
      </c>
      <c r="D1451" s="6" t="s">
        <v>216</v>
      </c>
      <c r="E1451" s="6" t="s">
        <v>1102</v>
      </c>
      <c r="F1451" s="6">
        <v>12082.01</v>
      </c>
      <c r="G1451" s="2">
        <v>-8.64</v>
      </c>
      <c r="H1451" s="2">
        <v>-6.31</v>
      </c>
      <c r="I1451" s="2">
        <v>0.34</v>
      </c>
      <c r="J1451" s="47">
        <f t="shared" si="110"/>
        <v>0.26967592592592604</v>
      </c>
      <c r="K1451" s="47">
        <f t="shared" si="111"/>
        <v>1.0538827258320127</v>
      </c>
      <c r="N1451" s="8">
        <v>95.26</v>
      </c>
      <c r="O1451" s="17">
        <f t="shared" si="112"/>
        <v>0</v>
      </c>
      <c r="P1451" s="17">
        <f t="shared" si="113"/>
        <v>0.9038956390977444</v>
      </c>
      <c r="R1451" s="9">
        <v>-61.96</v>
      </c>
      <c r="S1451" s="9">
        <v>-29.79</v>
      </c>
      <c r="T1451" s="9">
        <v>1078.79394</v>
      </c>
      <c r="U1451" s="9">
        <v>1279.9100000000001</v>
      </c>
      <c r="V1451" s="45">
        <f t="shared" si="114"/>
        <v>-0.15713297028697334</v>
      </c>
      <c r="W1451" s="12">
        <v>1.46</v>
      </c>
      <c r="X1451" s="12">
        <v>0</v>
      </c>
      <c r="Y1451" s="12">
        <v>20210805</v>
      </c>
    </row>
    <row r="1452" spans="1:25" x14ac:dyDescent="0.45">
      <c r="A1452" s="3" t="s">
        <v>4838</v>
      </c>
      <c r="B1452" s="3" t="s">
        <v>4839</v>
      </c>
      <c r="C1452" s="6" t="s">
        <v>520</v>
      </c>
      <c r="D1452" s="6" t="s">
        <v>90</v>
      </c>
      <c r="E1452" s="6" t="s">
        <v>267</v>
      </c>
      <c r="F1452" s="6">
        <v>17588.07</v>
      </c>
      <c r="J1452" s="47" t="e">
        <f t="shared" si="110"/>
        <v>#DIV/0!</v>
      </c>
      <c r="K1452" s="47" t="e">
        <f t="shared" si="111"/>
        <v>#DIV/0!</v>
      </c>
      <c r="O1452" s="17" t="e">
        <f t="shared" si="112"/>
        <v>#DIV/0!</v>
      </c>
      <c r="P1452" s="17" t="e">
        <f t="shared" si="113"/>
        <v>#DIV/0!</v>
      </c>
      <c r="U1452" s="9">
        <v>3922</v>
      </c>
      <c r="V1452" s="45">
        <f t="shared" si="114"/>
        <v>-1</v>
      </c>
      <c r="X1452" s="12">
        <v>1.23</v>
      </c>
    </row>
    <row r="1453" spans="1:25" x14ac:dyDescent="0.45">
      <c r="A1453" s="3" t="s">
        <v>2601</v>
      </c>
      <c r="B1453" s="3" t="s">
        <v>2602</v>
      </c>
      <c r="C1453" s="6" t="s">
        <v>519</v>
      </c>
      <c r="D1453" s="6" t="s">
        <v>189</v>
      </c>
      <c r="E1453" s="6" t="s">
        <v>248</v>
      </c>
      <c r="F1453" s="6">
        <v>5845.37</v>
      </c>
      <c r="G1453" s="2">
        <v>-0.17</v>
      </c>
      <c r="H1453" s="2">
        <v>-0.23</v>
      </c>
      <c r="I1453" s="2">
        <v>-0.16</v>
      </c>
      <c r="J1453" s="47">
        <f t="shared" si="110"/>
        <v>-0.3529411764705882</v>
      </c>
      <c r="K1453" s="47">
        <f t="shared" si="111"/>
        <v>0.30434782608695654</v>
      </c>
      <c r="O1453" s="17">
        <f t="shared" si="112"/>
        <v>0</v>
      </c>
      <c r="P1453" s="17">
        <f t="shared" si="113"/>
        <v>0</v>
      </c>
      <c r="R1453" s="9">
        <v>-9.82</v>
      </c>
      <c r="T1453" s="9">
        <v>258.29097999999999</v>
      </c>
      <c r="U1453" s="9">
        <v>138.18</v>
      </c>
      <c r="V1453" s="45">
        <f t="shared" si="114"/>
        <v>0.86923563467940357</v>
      </c>
      <c r="W1453" s="12">
        <v>20</v>
      </c>
      <c r="X1453" s="12">
        <v>0</v>
      </c>
    </row>
    <row r="1454" spans="1:25" x14ac:dyDescent="0.45">
      <c r="A1454" s="3" t="s">
        <v>2603</v>
      </c>
      <c r="B1454" s="3" t="s">
        <v>2604</v>
      </c>
      <c r="C1454" s="6" t="s">
        <v>518</v>
      </c>
      <c r="D1454" s="6" t="s">
        <v>189</v>
      </c>
      <c r="E1454" s="6" t="s">
        <v>200</v>
      </c>
      <c r="F1454" s="6">
        <v>6284.51</v>
      </c>
      <c r="G1454" s="2">
        <v>1.76</v>
      </c>
      <c r="H1454" s="2">
        <v>2.76</v>
      </c>
      <c r="I1454" s="2">
        <v>3.59</v>
      </c>
      <c r="J1454" s="47">
        <f t="shared" si="110"/>
        <v>0.56818181818181801</v>
      </c>
      <c r="K1454" s="47">
        <f t="shared" si="111"/>
        <v>0.30072463768115948</v>
      </c>
      <c r="L1454" s="8">
        <v>25.14</v>
      </c>
      <c r="M1454" s="8">
        <v>17.41</v>
      </c>
      <c r="N1454" s="8">
        <v>13.39</v>
      </c>
      <c r="O1454" s="17">
        <f t="shared" si="112"/>
        <v>0.30641600000000013</v>
      </c>
      <c r="P1454" s="17">
        <f t="shared" si="113"/>
        <v>0.44525783132530111</v>
      </c>
      <c r="R1454" s="9">
        <v>23.42</v>
      </c>
      <c r="S1454" s="9">
        <v>0.13</v>
      </c>
      <c r="T1454" s="9">
        <v>7020.6440400000001</v>
      </c>
      <c r="U1454" s="9">
        <v>6207</v>
      </c>
      <c r="V1454" s="45">
        <f t="shared" si="114"/>
        <v>0.13108491058482361</v>
      </c>
      <c r="W1454" s="12">
        <v>8.51</v>
      </c>
      <c r="X1454" s="12">
        <v>0</v>
      </c>
      <c r="Y1454" s="12">
        <v>20210727</v>
      </c>
    </row>
    <row r="1455" spans="1:25" x14ac:dyDescent="0.45">
      <c r="A1455" s="3" t="s">
        <v>4255</v>
      </c>
      <c r="B1455" s="3" t="s">
        <v>4256</v>
      </c>
      <c r="C1455" s="6" t="s">
        <v>520</v>
      </c>
      <c r="D1455" s="6" t="s">
        <v>309</v>
      </c>
      <c r="E1455" s="6" t="s">
        <v>310</v>
      </c>
      <c r="F1455" s="6">
        <v>5638.22</v>
      </c>
      <c r="G1455" s="2">
        <v>1.17</v>
      </c>
      <c r="H1455" s="2">
        <v>7.12</v>
      </c>
      <c r="I1455" s="2">
        <v>1.62</v>
      </c>
      <c r="J1455" s="47">
        <f t="shared" si="110"/>
        <v>5.0854700854700861</v>
      </c>
      <c r="K1455" s="47">
        <f t="shared" si="111"/>
        <v>-0.77247191011235949</v>
      </c>
      <c r="L1455" s="8">
        <v>31.51</v>
      </c>
      <c r="M1455" s="8">
        <v>6.46</v>
      </c>
      <c r="N1455" s="8">
        <v>28.4</v>
      </c>
      <c r="O1455" s="17">
        <f t="shared" si="112"/>
        <v>1.2702857142857141E-2</v>
      </c>
      <c r="P1455" s="17">
        <f t="shared" si="113"/>
        <v>-0.36765090909090908</v>
      </c>
      <c r="T1455" s="9">
        <v>2609.0900799999999</v>
      </c>
      <c r="U1455" s="9">
        <v>2618.42</v>
      </c>
      <c r="V1455" s="45">
        <f t="shared" si="114"/>
        <v>-3.5631869600752089E-3</v>
      </c>
      <c r="W1455" s="12">
        <v>241.18</v>
      </c>
      <c r="X1455" s="12">
        <v>0</v>
      </c>
      <c r="Y1455" s="12">
        <v>20210610</v>
      </c>
    </row>
    <row r="1456" spans="1:25" x14ac:dyDescent="0.45">
      <c r="A1456" s="3" t="s">
        <v>2605</v>
      </c>
      <c r="B1456" s="3" t="s">
        <v>2606</v>
      </c>
      <c r="C1456" s="6" t="s">
        <v>519</v>
      </c>
      <c r="D1456" s="6" t="s">
        <v>234</v>
      </c>
      <c r="E1456" s="6" t="s">
        <v>1079</v>
      </c>
      <c r="F1456" s="6">
        <v>27751.46</v>
      </c>
      <c r="G1456" s="2">
        <v>6.04</v>
      </c>
      <c r="H1456" s="2">
        <v>6.87</v>
      </c>
      <c r="I1456" s="2">
        <v>7.09</v>
      </c>
      <c r="J1456" s="47">
        <f t="shared" si="110"/>
        <v>0.13741721854304637</v>
      </c>
      <c r="K1456" s="47">
        <f t="shared" si="111"/>
        <v>3.2023289665211029E-2</v>
      </c>
      <c r="L1456" s="8">
        <v>25.51</v>
      </c>
      <c r="M1456" s="8">
        <v>24.63</v>
      </c>
      <c r="N1456" s="8">
        <v>23.86</v>
      </c>
      <c r="O1456" s="17">
        <f t="shared" si="112"/>
        <v>1.7923518072289155</v>
      </c>
      <c r="P1456" s="17">
        <f t="shared" si="113"/>
        <v>7.4508272727272811</v>
      </c>
      <c r="Q1456" s="5">
        <v>4.28</v>
      </c>
      <c r="R1456" s="9">
        <v>18.04</v>
      </c>
      <c r="S1456" s="9">
        <v>9.2200000000000006</v>
      </c>
      <c r="T1456" s="9">
        <v>3281.75</v>
      </c>
      <c r="U1456" s="9">
        <v>5627</v>
      </c>
      <c r="V1456" s="45">
        <f t="shared" si="114"/>
        <v>-0.41678514306024522</v>
      </c>
      <c r="W1456" s="12">
        <v>12.64</v>
      </c>
      <c r="X1456" s="12">
        <v>1.1599999999999999</v>
      </c>
      <c r="Y1456" s="12">
        <v>20210728</v>
      </c>
    </row>
    <row r="1457" spans="1:25" x14ac:dyDescent="0.45">
      <c r="A1457" s="3" t="s">
        <v>2607</v>
      </c>
      <c r="B1457" s="3" t="s">
        <v>2608</v>
      </c>
      <c r="C1457" s="6" t="s">
        <v>520</v>
      </c>
      <c r="D1457" s="6" t="s">
        <v>189</v>
      </c>
      <c r="E1457" s="6" t="s">
        <v>911</v>
      </c>
      <c r="F1457" s="6">
        <v>11504.44</v>
      </c>
      <c r="G1457" s="2">
        <v>1.99</v>
      </c>
      <c r="H1457" s="2">
        <v>2.58</v>
      </c>
      <c r="I1457" s="2">
        <v>2.64</v>
      </c>
      <c r="J1457" s="47">
        <f t="shared" si="110"/>
        <v>0.29648241206030157</v>
      </c>
      <c r="K1457" s="47">
        <f t="shared" si="111"/>
        <v>2.3255813953488393E-2</v>
      </c>
      <c r="L1457" s="8">
        <v>17.22</v>
      </c>
      <c r="M1457" s="8">
        <v>14.92</v>
      </c>
      <c r="N1457" s="8">
        <v>14.55</v>
      </c>
      <c r="O1457" s="17">
        <f t="shared" si="112"/>
        <v>0.50323389830508469</v>
      </c>
      <c r="P1457" s="17">
        <f t="shared" si="113"/>
        <v>6.2564999999999955</v>
      </c>
      <c r="R1457" s="9">
        <v>10.54</v>
      </c>
      <c r="S1457" s="9">
        <v>1.08</v>
      </c>
      <c r="T1457" s="9">
        <v>7519.4799800000001</v>
      </c>
      <c r="U1457" s="9">
        <v>7182.24</v>
      </c>
      <c r="V1457" s="45">
        <f t="shared" si="114"/>
        <v>4.6954707723495775E-2</v>
      </c>
      <c r="W1457" s="12">
        <v>23.33</v>
      </c>
      <c r="X1457" s="12">
        <v>0.93</v>
      </c>
      <c r="Y1457" s="12">
        <v>20210726</v>
      </c>
    </row>
    <row r="1458" spans="1:25" x14ac:dyDescent="0.45">
      <c r="A1458" s="3" t="s">
        <v>4257</v>
      </c>
      <c r="B1458" s="3" t="s">
        <v>4258</v>
      </c>
      <c r="C1458" s="6" t="s">
        <v>520</v>
      </c>
      <c r="D1458" s="6" t="s">
        <v>272</v>
      </c>
      <c r="E1458" s="6" t="s">
        <v>207</v>
      </c>
      <c r="F1458" s="6">
        <v>6775.57</v>
      </c>
      <c r="H1458" s="2">
        <v>5.32</v>
      </c>
      <c r="I1458" s="2">
        <v>4.22</v>
      </c>
      <c r="J1458" s="47" t="e">
        <f t="shared" si="110"/>
        <v>#DIV/0!</v>
      </c>
      <c r="K1458" s="47">
        <f t="shared" si="111"/>
        <v>-0.20676691729323318</v>
      </c>
      <c r="M1458" s="8">
        <v>5.43</v>
      </c>
      <c r="N1458" s="8">
        <v>6.84</v>
      </c>
      <c r="O1458" s="17" t="e">
        <f t="shared" si="112"/>
        <v>#DIV/0!</v>
      </c>
      <c r="P1458" s="17">
        <f t="shared" si="113"/>
        <v>-0.33080727272727256</v>
      </c>
      <c r="T1458" s="9">
        <v>10348.62011</v>
      </c>
      <c r="U1458" s="9">
        <v>7300.72</v>
      </c>
      <c r="V1458" s="45">
        <f t="shared" si="114"/>
        <v>0.41747938696457326</v>
      </c>
      <c r="X1458" s="12">
        <v>4.3099999999999996</v>
      </c>
    </row>
    <row r="1459" spans="1:25" x14ac:dyDescent="0.45">
      <c r="A1459" s="3" t="s">
        <v>2609</v>
      </c>
      <c r="B1459" s="3" t="s">
        <v>453</v>
      </c>
      <c r="C1459" s="6" t="s">
        <v>519</v>
      </c>
      <c r="D1459" s="6" t="s">
        <v>272</v>
      </c>
      <c r="E1459" s="6" t="s">
        <v>254</v>
      </c>
      <c r="F1459" s="6">
        <v>12900.82</v>
      </c>
      <c r="G1459" s="2">
        <v>5.43</v>
      </c>
      <c r="H1459" s="2">
        <v>7.56</v>
      </c>
      <c r="I1459" s="2">
        <v>8.31</v>
      </c>
      <c r="J1459" s="47">
        <f t="shared" si="110"/>
        <v>0.39226519337016574</v>
      </c>
      <c r="K1459" s="47">
        <f t="shared" si="111"/>
        <v>9.9206349206349326E-2</v>
      </c>
      <c r="L1459" s="8">
        <v>34.43</v>
      </c>
      <c r="M1459" s="8">
        <v>29.38</v>
      </c>
      <c r="N1459" s="8">
        <v>26.74</v>
      </c>
      <c r="O1459" s="17">
        <f t="shared" si="112"/>
        <v>0.74898309859154921</v>
      </c>
      <c r="P1459" s="17">
        <f t="shared" si="113"/>
        <v>2.6953919999999965</v>
      </c>
      <c r="Q1459" s="5">
        <v>2.2599999999999998</v>
      </c>
      <c r="R1459" s="9">
        <v>20.6</v>
      </c>
      <c r="S1459" s="9">
        <v>3.73</v>
      </c>
      <c r="T1459" s="9">
        <v>2329.82006</v>
      </c>
      <c r="U1459" s="9">
        <v>2121.1</v>
      </c>
      <c r="V1459" s="45">
        <f t="shared" si="114"/>
        <v>9.840180095233611E-2</v>
      </c>
      <c r="W1459" s="12">
        <v>28.48</v>
      </c>
      <c r="X1459" s="12">
        <v>0.7</v>
      </c>
      <c r="Y1459" s="12">
        <v>20210818</v>
      </c>
    </row>
    <row r="1460" spans="1:25" x14ac:dyDescent="0.45">
      <c r="A1460" s="3" t="s">
        <v>4840</v>
      </c>
      <c r="B1460" s="3" t="s">
        <v>4841</v>
      </c>
      <c r="C1460" s="6" t="s">
        <v>520</v>
      </c>
      <c r="D1460" s="6" t="s">
        <v>234</v>
      </c>
      <c r="E1460" s="6" t="s">
        <v>523</v>
      </c>
      <c r="F1460" s="6">
        <v>3382.99</v>
      </c>
      <c r="J1460" s="47" t="e">
        <f t="shared" si="110"/>
        <v>#DIV/0!</v>
      </c>
      <c r="K1460" s="47" t="e">
        <f t="shared" si="111"/>
        <v>#DIV/0!</v>
      </c>
      <c r="O1460" s="17" t="e">
        <f t="shared" si="112"/>
        <v>#DIV/0!</v>
      </c>
      <c r="P1460" s="17" t="e">
        <f t="shared" si="113"/>
        <v>#DIV/0!</v>
      </c>
      <c r="U1460" s="9">
        <v>7613.3</v>
      </c>
      <c r="V1460" s="45">
        <f t="shared" si="114"/>
        <v>-1</v>
      </c>
      <c r="X1460" s="12">
        <v>2.25</v>
      </c>
    </row>
    <row r="1461" spans="1:25" x14ac:dyDescent="0.45">
      <c r="A1461" s="3" t="s">
        <v>2610</v>
      </c>
      <c r="B1461" s="3" t="s">
        <v>2611</v>
      </c>
      <c r="C1461" s="6" t="s">
        <v>518</v>
      </c>
      <c r="D1461" s="6" t="s">
        <v>327</v>
      </c>
      <c r="E1461" s="6" t="s">
        <v>321</v>
      </c>
      <c r="F1461" s="6">
        <v>142106.69</v>
      </c>
      <c r="G1461" s="2">
        <v>2.2999999999999998</v>
      </c>
      <c r="H1461" s="2">
        <v>2.5099999999999998</v>
      </c>
      <c r="I1461" s="2">
        <v>2.76</v>
      </c>
      <c r="J1461" s="47">
        <f t="shared" si="110"/>
        <v>9.1304347826086943E-2</v>
      </c>
      <c r="K1461" s="47">
        <f t="shared" si="111"/>
        <v>9.9601593625498017E-2</v>
      </c>
      <c r="L1461" s="8">
        <v>11.43</v>
      </c>
      <c r="M1461" s="8">
        <v>28.89</v>
      </c>
      <c r="N1461" s="8">
        <v>26.25</v>
      </c>
      <c r="O1461" s="17">
        <f t="shared" si="112"/>
        <v>3.164142857142858</v>
      </c>
      <c r="P1461" s="17">
        <f t="shared" si="113"/>
        <v>2.6355</v>
      </c>
      <c r="Q1461" s="5">
        <v>3.71</v>
      </c>
      <c r="R1461" s="9">
        <v>10.81</v>
      </c>
      <c r="S1461" s="9">
        <v>2.92</v>
      </c>
      <c r="T1461" s="9">
        <v>20557.425780000001</v>
      </c>
      <c r="U1461" s="9">
        <v>17997</v>
      </c>
      <c r="V1461" s="45">
        <f t="shared" si="114"/>
        <v>0.14226958826471087</v>
      </c>
      <c r="W1461" s="12">
        <v>11.67</v>
      </c>
      <c r="X1461" s="12">
        <v>2.13</v>
      </c>
      <c r="Y1461" s="12">
        <v>20210723</v>
      </c>
    </row>
    <row r="1462" spans="1:25" x14ac:dyDescent="0.45">
      <c r="A1462" s="3" t="s">
        <v>2612</v>
      </c>
      <c r="B1462" s="3" t="s">
        <v>2613</v>
      </c>
      <c r="C1462" s="6" t="s">
        <v>518</v>
      </c>
      <c r="D1462" s="6" t="s">
        <v>90</v>
      </c>
      <c r="E1462" s="6" t="s">
        <v>268</v>
      </c>
      <c r="F1462" s="6">
        <v>56073.32</v>
      </c>
      <c r="G1462" s="2">
        <v>2.5299999999999998</v>
      </c>
      <c r="H1462" s="2">
        <v>3.31</v>
      </c>
      <c r="I1462" s="2">
        <v>3.64</v>
      </c>
      <c r="J1462" s="47">
        <f t="shared" si="110"/>
        <v>0.3083003952569171</v>
      </c>
      <c r="K1462" s="47">
        <f t="shared" si="111"/>
        <v>9.9697885196374639E-2</v>
      </c>
      <c r="L1462" s="8">
        <v>23.49</v>
      </c>
      <c r="M1462" s="8">
        <v>21.16</v>
      </c>
      <c r="N1462" s="8">
        <v>19.25</v>
      </c>
      <c r="O1462" s="17">
        <f t="shared" si="112"/>
        <v>0.68634358974358955</v>
      </c>
      <c r="P1462" s="17">
        <f t="shared" si="113"/>
        <v>1.9308333333333332</v>
      </c>
      <c r="R1462" s="9">
        <v>10.18</v>
      </c>
      <c r="S1462" s="9">
        <v>10.57</v>
      </c>
      <c r="T1462" s="9">
        <v>12621.07324</v>
      </c>
      <c r="U1462" s="9">
        <v>11497</v>
      </c>
      <c r="V1462" s="45">
        <f t="shared" si="114"/>
        <v>9.777100460989821E-2</v>
      </c>
      <c r="W1462" s="12">
        <v>-1.33</v>
      </c>
      <c r="X1462" s="12">
        <v>3.14</v>
      </c>
      <c r="Y1462" s="12">
        <v>20210729</v>
      </c>
    </row>
    <row r="1463" spans="1:25" x14ac:dyDescent="0.45">
      <c r="A1463" s="3" t="s">
        <v>2614</v>
      </c>
      <c r="B1463" s="3" t="s">
        <v>2615</v>
      </c>
      <c r="C1463" s="6" t="s">
        <v>519</v>
      </c>
      <c r="D1463" s="6" t="s">
        <v>279</v>
      </c>
      <c r="E1463" s="6" t="s">
        <v>256</v>
      </c>
      <c r="F1463" s="6">
        <v>5023.68</v>
      </c>
      <c r="G1463" s="2">
        <v>7.0000000000000007E-2</v>
      </c>
      <c r="H1463" s="2">
        <v>-0.2</v>
      </c>
      <c r="I1463" s="2">
        <v>0.01</v>
      </c>
      <c r="J1463" s="47">
        <f t="shared" si="110"/>
        <v>-3.8571428571428572</v>
      </c>
      <c r="K1463" s="47">
        <f t="shared" si="111"/>
        <v>1.05</v>
      </c>
      <c r="L1463" s="8">
        <v>355</v>
      </c>
      <c r="N1463" s="8">
        <v>4260</v>
      </c>
      <c r="O1463" s="17">
        <f t="shared" si="112"/>
        <v>0</v>
      </c>
      <c r="P1463" s="17">
        <f t="shared" si="113"/>
        <v>40.571428571428569</v>
      </c>
      <c r="R1463" s="9">
        <v>0.83</v>
      </c>
      <c r="S1463" s="9">
        <v>19.86</v>
      </c>
      <c r="T1463" s="9">
        <v>501.41399999999999</v>
      </c>
      <c r="U1463" s="9">
        <v>444.45</v>
      </c>
      <c r="V1463" s="45">
        <f t="shared" si="114"/>
        <v>0.12816739790752615</v>
      </c>
      <c r="W1463" s="12">
        <v>-500</v>
      </c>
      <c r="X1463" s="12">
        <v>0</v>
      </c>
      <c r="Y1463" s="12">
        <v>20210727</v>
      </c>
    </row>
    <row r="1464" spans="1:25" x14ac:dyDescent="0.45">
      <c r="A1464" s="3" t="s">
        <v>2616</v>
      </c>
      <c r="B1464" s="3" t="s">
        <v>2617</v>
      </c>
      <c r="C1464" s="6" t="s">
        <v>519</v>
      </c>
      <c r="D1464" s="6" t="s">
        <v>279</v>
      </c>
      <c r="E1464" s="6" t="s">
        <v>264</v>
      </c>
      <c r="F1464" s="6">
        <v>4804.24</v>
      </c>
      <c r="G1464" s="2">
        <v>0.57999999999999996</v>
      </c>
      <c r="H1464" s="2">
        <v>0.67</v>
      </c>
      <c r="I1464" s="2">
        <v>0.73</v>
      </c>
      <c r="J1464" s="47">
        <f t="shared" si="110"/>
        <v>0.15517241379310359</v>
      </c>
      <c r="K1464" s="47">
        <f t="shared" si="111"/>
        <v>8.9552238805970061E-2</v>
      </c>
      <c r="L1464" s="8">
        <v>38.700000000000003</v>
      </c>
      <c r="M1464" s="8">
        <v>67.33</v>
      </c>
      <c r="N1464" s="8">
        <v>61.49</v>
      </c>
      <c r="O1464" s="17">
        <f t="shared" si="112"/>
        <v>4.3390444444444398</v>
      </c>
      <c r="P1464" s="17">
        <f t="shared" si="113"/>
        <v>6.8663833333333413</v>
      </c>
      <c r="R1464" s="9">
        <v>8.0299999999999994</v>
      </c>
      <c r="S1464" s="9">
        <v>6.24</v>
      </c>
      <c r="T1464" s="9">
        <v>504.1</v>
      </c>
      <c r="U1464" s="9">
        <v>418.17</v>
      </c>
      <c r="V1464" s="45">
        <f t="shared" si="114"/>
        <v>0.20549058995145517</v>
      </c>
      <c r="W1464" s="12">
        <v>-7.41</v>
      </c>
      <c r="X1464" s="12">
        <v>0</v>
      </c>
      <c r="Y1464" s="12">
        <v>20210720</v>
      </c>
    </row>
    <row r="1465" spans="1:25" x14ac:dyDescent="0.45">
      <c r="A1465" s="3" t="s">
        <v>2618</v>
      </c>
      <c r="B1465" s="3" t="s">
        <v>2619</v>
      </c>
      <c r="C1465" s="6" t="s">
        <v>518</v>
      </c>
      <c r="D1465" s="6" t="s">
        <v>289</v>
      </c>
      <c r="E1465" s="6" t="s">
        <v>430</v>
      </c>
      <c r="F1465" s="6">
        <v>5482.49</v>
      </c>
      <c r="G1465" s="2">
        <v>-1.17</v>
      </c>
      <c r="H1465" s="2">
        <v>3.64</v>
      </c>
      <c r="I1465" s="2">
        <v>2.63</v>
      </c>
      <c r="J1465" s="47">
        <f t="shared" si="110"/>
        <v>4.1111111111111116</v>
      </c>
      <c r="K1465" s="47">
        <f t="shared" si="111"/>
        <v>-0.27747252747252754</v>
      </c>
      <c r="L1465" s="8">
        <v>14.56</v>
      </c>
      <c r="M1465" s="8">
        <v>19.87</v>
      </c>
      <c r="N1465" s="8">
        <v>27.51</v>
      </c>
      <c r="O1465" s="17">
        <f t="shared" si="112"/>
        <v>4.8332432432432432E-2</v>
      </c>
      <c r="P1465" s="17">
        <f t="shared" si="113"/>
        <v>-0.99144950495049478</v>
      </c>
      <c r="Q1465" s="5">
        <v>1.08</v>
      </c>
      <c r="R1465" s="9">
        <v>6.31</v>
      </c>
      <c r="S1465" s="9">
        <v>7.97</v>
      </c>
      <c r="T1465" s="9">
        <v>1373.51</v>
      </c>
      <c r="U1465" s="9">
        <v>917</v>
      </c>
      <c r="V1465" s="45">
        <f t="shared" si="114"/>
        <v>0.4978298800436205</v>
      </c>
      <c r="W1465" s="12">
        <v>582.04999999999995</v>
      </c>
      <c r="X1465" s="12">
        <v>3.53</v>
      </c>
      <c r="Y1465" s="12">
        <v>20210723</v>
      </c>
    </row>
    <row r="1466" spans="1:25" x14ac:dyDescent="0.45">
      <c r="A1466" s="3" t="s">
        <v>2620</v>
      </c>
      <c r="B1466" s="3" t="s">
        <v>2621</v>
      </c>
      <c r="C1466" s="6" t="s">
        <v>518</v>
      </c>
      <c r="D1466" s="6" t="s">
        <v>189</v>
      </c>
      <c r="E1466" s="6" t="s">
        <v>248</v>
      </c>
      <c r="F1466" s="6">
        <v>27996.720000000001</v>
      </c>
      <c r="G1466" s="2">
        <v>-0.13</v>
      </c>
      <c r="H1466" s="2">
        <v>-0.11</v>
      </c>
      <c r="I1466" s="2">
        <v>0.01</v>
      </c>
      <c r="J1466" s="47">
        <f t="shared" si="110"/>
        <v>0.15384615384615388</v>
      </c>
      <c r="K1466" s="47">
        <f t="shared" si="111"/>
        <v>1.0909090909090908</v>
      </c>
      <c r="N1466" s="8">
        <v>6309.1</v>
      </c>
      <c r="O1466" s="17">
        <f t="shared" si="112"/>
        <v>0</v>
      </c>
      <c r="P1466" s="17">
        <f t="shared" si="113"/>
        <v>57.833416666666679</v>
      </c>
      <c r="R1466" s="9">
        <v>-11.84</v>
      </c>
      <c r="T1466" s="9">
        <v>612.16399999999999</v>
      </c>
      <c r="U1466" s="9">
        <v>431.06</v>
      </c>
      <c r="V1466" s="45">
        <f t="shared" si="114"/>
        <v>0.42013640792465085</v>
      </c>
      <c r="W1466" s="12">
        <v>0</v>
      </c>
      <c r="X1466" s="12">
        <v>0</v>
      </c>
      <c r="Y1466" s="12">
        <v>20210805</v>
      </c>
    </row>
    <row r="1467" spans="1:25" x14ac:dyDescent="0.45">
      <c r="A1467" s="3" t="s">
        <v>4842</v>
      </c>
      <c r="B1467" s="3" t="s">
        <v>4843</v>
      </c>
      <c r="C1467" s="6" t="s">
        <v>518</v>
      </c>
      <c r="D1467" s="6" t="s">
        <v>90</v>
      </c>
      <c r="E1467" s="6" t="s">
        <v>198</v>
      </c>
      <c r="F1467" s="6">
        <v>3682.79</v>
      </c>
      <c r="J1467" s="47" t="e">
        <f t="shared" si="110"/>
        <v>#DIV/0!</v>
      </c>
      <c r="K1467" s="47" t="e">
        <f t="shared" si="111"/>
        <v>#DIV/0!</v>
      </c>
      <c r="L1467" s="8">
        <v>14.45</v>
      </c>
      <c r="O1467" s="17" t="e">
        <f t="shared" si="112"/>
        <v>#DIV/0!</v>
      </c>
      <c r="P1467" s="17" t="e">
        <f t="shared" si="113"/>
        <v>#DIV/0!</v>
      </c>
      <c r="R1467" s="9">
        <v>34.79</v>
      </c>
      <c r="S1467" s="9">
        <v>-0.09</v>
      </c>
      <c r="U1467" s="9">
        <v>2010.93</v>
      </c>
      <c r="V1467" s="45">
        <f t="shared" si="114"/>
        <v>-1</v>
      </c>
      <c r="X1467" s="12">
        <v>2.2599999999999998</v>
      </c>
      <c r="Y1467" s="12">
        <v>20210804</v>
      </c>
    </row>
    <row r="1468" spans="1:25" x14ac:dyDescent="0.45">
      <c r="A1468" s="3" t="s">
        <v>2622</v>
      </c>
      <c r="B1468" s="3" t="s">
        <v>2623</v>
      </c>
      <c r="C1468" s="6" t="s">
        <v>518</v>
      </c>
      <c r="D1468" s="6" t="s">
        <v>189</v>
      </c>
      <c r="E1468" s="6" t="s">
        <v>248</v>
      </c>
      <c r="F1468" s="6">
        <v>4205.3100000000004</v>
      </c>
      <c r="G1468" s="2">
        <v>-0.52</v>
      </c>
      <c r="H1468" s="2">
        <v>-0.82</v>
      </c>
      <c r="I1468" s="2">
        <v>-0.03</v>
      </c>
      <c r="J1468" s="47">
        <f t="shared" si="110"/>
        <v>-0.57692307692307676</v>
      </c>
      <c r="K1468" s="47">
        <f t="shared" si="111"/>
        <v>0.96341463414634143</v>
      </c>
      <c r="O1468" s="17">
        <f t="shared" si="112"/>
        <v>0</v>
      </c>
      <c r="P1468" s="17">
        <f t="shared" si="113"/>
        <v>0</v>
      </c>
      <c r="R1468" s="9">
        <v>-39.090000000000003</v>
      </c>
      <c r="S1468" s="9">
        <v>29.79</v>
      </c>
      <c r="T1468" s="9">
        <v>711.29399999999998</v>
      </c>
      <c r="U1468" s="9">
        <v>667.65</v>
      </c>
      <c r="V1468" s="45">
        <f t="shared" si="114"/>
        <v>6.5369579869692218E-2</v>
      </c>
      <c r="W1468" s="12">
        <v>41.3</v>
      </c>
      <c r="X1468" s="12">
        <v>0</v>
      </c>
      <c r="Y1468" s="12">
        <v>20210803</v>
      </c>
    </row>
    <row r="1469" spans="1:25" x14ac:dyDescent="0.45">
      <c r="A1469" s="3" t="s">
        <v>2624</v>
      </c>
      <c r="B1469" s="3" t="s">
        <v>2625</v>
      </c>
      <c r="C1469" s="6" t="s">
        <v>519</v>
      </c>
      <c r="D1469" s="6" t="s">
        <v>289</v>
      </c>
      <c r="E1469" s="6" t="s">
        <v>275</v>
      </c>
      <c r="F1469" s="6">
        <v>7026.03</v>
      </c>
      <c r="G1469" s="2">
        <v>-0.55000000000000004</v>
      </c>
      <c r="H1469" s="2">
        <v>1.1499999999999999</v>
      </c>
      <c r="I1469" s="2">
        <v>1.48</v>
      </c>
      <c r="J1469" s="47">
        <f t="shared" si="110"/>
        <v>3.0909090909090904</v>
      </c>
      <c r="K1469" s="47">
        <f t="shared" si="111"/>
        <v>0.2869565217391305</v>
      </c>
      <c r="M1469" s="8">
        <v>34.72</v>
      </c>
      <c r="N1469" s="8">
        <v>27.07</v>
      </c>
      <c r="O1469" s="17">
        <f t="shared" si="112"/>
        <v>0.11232941176470589</v>
      </c>
      <c r="P1469" s="17">
        <f t="shared" si="113"/>
        <v>0.94334848484848466</v>
      </c>
      <c r="R1469" s="9">
        <v>-28.02</v>
      </c>
      <c r="T1469" s="9">
        <v>1367.0799500000001</v>
      </c>
      <c r="U1469" s="9">
        <v>451.65</v>
      </c>
      <c r="V1469" s="45">
        <f t="shared" si="114"/>
        <v>2.0268569688918414</v>
      </c>
      <c r="W1469" s="12">
        <v>-520</v>
      </c>
      <c r="X1469" s="12">
        <v>1</v>
      </c>
      <c r="Y1469" s="12">
        <v>20210802</v>
      </c>
    </row>
    <row r="1470" spans="1:25" x14ac:dyDescent="0.45">
      <c r="A1470" s="3" t="s">
        <v>2626</v>
      </c>
      <c r="B1470" s="3" t="s">
        <v>2627</v>
      </c>
      <c r="C1470" s="6" t="s">
        <v>518</v>
      </c>
      <c r="D1470" s="6" t="s">
        <v>327</v>
      </c>
      <c r="E1470" s="6" t="s">
        <v>354</v>
      </c>
      <c r="F1470" s="6">
        <v>4973.47</v>
      </c>
      <c r="G1470" s="2">
        <v>2.87</v>
      </c>
      <c r="H1470" s="2">
        <v>3.95</v>
      </c>
      <c r="I1470" s="2">
        <v>4.4400000000000004</v>
      </c>
      <c r="J1470" s="47">
        <f t="shared" si="110"/>
        <v>0.37630662020905925</v>
      </c>
      <c r="K1470" s="47">
        <f t="shared" si="111"/>
        <v>0.12405063291139246</v>
      </c>
      <c r="L1470" s="8">
        <v>16.190000000000001</v>
      </c>
      <c r="M1470" s="8">
        <v>13.82</v>
      </c>
      <c r="N1470" s="8">
        <v>12.3</v>
      </c>
      <c r="O1470" s="17">
        <f t="shared" si="112"/>
        <v>0.36725370370370369</v>
      </c>
      <c r="P1470" s="17">
        <f t="shared" si="113"/>
        <v>0.99153061224489758</v>
      </c>
      <c r="R1470" s="9">
        <v>14.69</v>
      </c>
      <c r="S1470" s="9">
        <v>1.34</v>
      </c>
      <c r="T1470" s="9">
        <v>1891.9150299999999</v>
      </c>
      <c r="U1470" s="9">
        <v>1546.29</v>
      </c>
      <c r="V1470" s="45">
        <f t="shared" si="114"/>
        <v>0.22351889360986615</v>
      </c>
      <c r="W1470" s="12">
        <v>9.84</v>
      </c>
      <c r="X1470" s="12">
        <v>3.26</v>
      </c>
      <c r="Y1470" s="12">
        <v>20210805</v>
      </c>
    </row>
    <row r="1471" spans="1:25" x14ac:dyDescent="0.45">
      <c r="A1471" s="3" t="s">
        <v>2628</v>
      </c>
      <c r="B1471" s="3" t="s">
        <v>2629</v>
      </c>
      <c r="C1471" s="6" t="s">
        <v>519</v>
      </c>
      <c r="D1471" s="6" t="s">
        <v>216</v>
      </c>
      <c r="E1471" s="6" t="s">
        <v>1449</v>
      </c>
      <c r="F1471" s="6">
        <v>215409.48</v>
      </c>
      <c r="G1471" s="2">
        <v>6.27</v>
      </c>
      <c r="H1471" s="2">
        <v>10.43</v>
      </c>
      <c r="I1471" s="2">
        <v>12.82</v>
      </c>
      <c r="J1471" s="47">
        <f t="shared" si="110"/>
        <v>0.66347687400318989</v>
      </c>
      <c r="K1471" s="47">
        <f t="shared" si="111"/>
        <v>0.22914669223394063</v>
      </c>
      <c r="L1471" s="8">
        <v>58.74</v>
      </c>
      <c r="M1471" s="8">
        <v>46.6</v>
      </c>
      <c r="N1471" s="8">
        <v>37.89</v>
      </c>
      <c r="O1471" s="17">
        <f t="shared" si="112"/>
        <v>0.70236057692307685</v>
      </c>
      <c r="P1471" s="17">
        <f t="shared" si="113"/>
        <v>1.6535259414225936</v>
      </c>
      <c r="Q1471" s="5">
        <v>1.43</v>
      </c>
      <c r="R1471" s="9">
        <v>34.47</v>
      </c>
      <c r="S1471" s="9">
        <v>30.31</v>
      </c>
      <c r="T1471" s="9">
        <v>29704.20507</v>
      </c>
      <c r="U1471" s="9">
        <v>24996.06</v>
      </c>
      <c r="V1471" s="45">
        <f t="shared" si="114"/>
        <v>0.1883554876248496</v>
      </c>
      <c r="W1471" s="12">
        <v>25.84</v>
      </c>
      <c r="X1471" s="12">
        <v>0</v>
      </c>
      <c r="Y1471" s="12">
        <v>20210715</v>
      </c>
    </row>
    <row r="1472" spans="1:25" x14ac:dyDescent="0.45">
      <c r="A1472" s="3" t="s">
        <v>4259</v>
      </c>
      <c r="B1472" s="3" t="s">
        <v>4260</v>
      </c>
      <c r="C1472" s="6" t="s">
        <v>1003</v>
      </c>
      <c r="D1472" s="6" t="s">
        <v>90</v>
      </c>
      <c r="E1472" s="6" t="s">
        <v>267</v>
      </c>
      <c r="F1472" s="6">
        <v>3172.08</v>
      </c>
      <c r="G1472" s="2">
        <v>-0.11</v>
      </c>
      <c r="H1472" s="2">
        <v>-0.1</v>
      </c>
      <c r="I1472" s="2">
        <v>-0.1</v>
      </c>
      <c r="J1472" s="47">
        <f t="shared" si="110"/>
        <v>9.090909090909087E-2</v>
      </c>
      <c r="K1472" s="47">
        <f t="shared" si="111"/>
        <v>0</v>
      </c>
      <c r="O1472" s="17">
        <f t="shared" si="112"/>
        <v>0</v>
      </c>
      <c r="P1472" s="17" t="e">
        <f t="shared" si="113"/>
        <v>#DIV/0!</v>
      </c>
      <c r="R1472" s="9">
        <v>-30.66</v>
      </c>
      <c r="V1472" s="45" t="e">
        <f t="shared" si="114"/>
        <v>#DIV/0!</v>
      </c>
      <c r="W1472" s="12">
        <v>0</v>
      </c>
      <c r="X1472" s="12">
        <v>0</v>
      </c>
      <c r="Y1472" s="12">
        <v>20210629</v>
      </c>
    </row>
    <row r="1473" spans="1:25" x14ac:dyDescent="0.45">
      <c r="A1473" s="3" t="s">
        <v>2630</v>
      </c>
      <c r="B1473" s="3" t="s">
        <v>2631</v>
      </c>
      <c r="C1473" s="6" t="s">
        <v>518</v>
      </c>
      <c r="D1473" s="6" t="s">
        <v>327</v>
      </c>
      <c r="E1473" s="6" t="s">
        <v>321</v>
      </c>
      <c r="F1473" s="6">
        <v>46096.6</v>
      </c>
      <c r="G1473" s="2">
        <v>3.61</v>
      </c>
      <c r="H1473" s="2">
        <v>3.97</v>
      </c>
      <c r="I1473" s="2">
        <v>4.46</v>
      </c>
      <c r="J1473" s="47">
        <f t="shared" si="110"/>
        <v>9.9722991689750781E-2</v>
      </c>
      <c r="K1473" s="47">
        <f t="shared" si="111"/>
        <v>0.12342569269521404</v>
      </c>
      <c r="M1473" s="8">
        <v>16.34</v>
      </c>
      <c r="N1473" s="8">
        <v>14.56</v>
      </c>
      <c r="O1473" s="17">
        <f t="shared" si="112"/>
        <v>1.6385388888888872</v>
      </c>
      <c r="P1473" s="17">
        <f t="shared" si="113"/>
        <v>1.1796571428571436</v>
      </c>
      <c r="Q1473" s="5">
        <v>5.98</v>
      </c>
      <c r="T1473" s="9">
        <v>20996.70507</v>
      </c>
      <c r="U1473" s="9">
        <v>19334.919999999998</v>
      </c>
      <c r="V1473" s="45">
        <f t="shared" si="114"/>
        <v>8.594734656259255E-2</v>
      </c>
      <c r="X1473" s="12">
        <v>6.96</v>
      </c>
    </row>
    <row r="1474" spans="1:25" x14ac:dyDescent="0.45">
      <c r="A1474" s="3" t="s">
        <v>2632</v>
      </c>
      <c r="B1474" s="3" t="s">
        <v>2633</v>
      </c>
      <c r="C1474" s="6" t="s">
        <v>520</v>
      </c>
      <c r="D1474" s="6" t="s">
        <v>90</v>
      </c>
      <c r="E1474" s="6" t="s">
        <v>268</v>
      </c>
      <c r="F1474" s="6">
        <v>60383.89</v>
      </c>
      <c r="G1474" s="2">
        <v>1.1399999999999999</v>
      </c>
      <c r="H1474" s="2">
        <v>3.61</v>
      </c>
      <c r="I1474" s="2">
        <v>2.92</v>
      </c>
      <c r="J1474" s="47">
        <f t="shared" si="110"/>
        <v>2.1666666666666665</v>
      </c>
      <c r="K1474" s="47">
        <f t="shared" si="111"/>
        <v>-0.19113573407202214</v>
      </c>
      <c r="M1474" s="8">
        <v>6.14</v>
      </c>
      <c r="N1474" s="8">
        <v>7.59</v>
      </c>
      <c r="O1474" s="17">
        <f t="shared" si="112"/>
        <v>2.8338461538461538E-2</v>
      </c>
      <c r="P1474" s="17">
        <f t="shared" si="113"/>
        <v>-0.39710000000000006</v>
      </c>
      <c r="T1474" s="9">
        <v>42521.378900000003</v>
      </c>
      <c r="U1474" s="9">
        <v>30902</v>
      </c>
      <c r="V1474" s="45">
        <f t="shared" si="114"/>
        <v>0.37600734256682428</v>
      </c>
      <c r="X1474" s="12">
        <v>3.08</v>
      </c>
    </row>
    <row r="1475" spans="1:25" x14ac:dyDescent="0.45">
      <c r="A1475" s="3" t="s">
        <v>4261</v>
      </c>
      <c r="B1475" s="3" t="s">
        <v>4262</v>
      </c>
      <c r="C1475" s="6" t="s">
        <v>518</v>
      </c>
      <c r="D1475" s="6" t="s">
        <v>90</v>
      </c>
      <c r="E1475" s="6" t="s">
        <v>198</v>
      </c>
      <c r="F1475" s="6">
        <v>3316.39</v>
      </c>
      <c r="G1475" s="2">
        <v>4.22</v>
      </c>
      <c r="H1475" s="2">
        <v>5.32</v>
      </c>
      <c r="I1475" s="2">
        <v>5.98</v>
      </c>
      <c r="J1475" s="47">
        <f t="shared" ref="J1475:J1538" si="115">(H1475-G1475)/ABS(G1475)</f>
        <v>0.26066350710900488</v>
      </c>
      <c r="K1475" s="47">
        <f t="shared" ref="K1475:K1538" si="116">(I1475-H1475)/ABS(H1475)</f>
        <v>0.12406015037593987</v>
      </c>
      <c r="L1475" s="8">
        <v>16.5</v>
      </c>
      <c r="M1475" s="8">
        <v>15.58</v>
      </c>
      <c r="N1475" s="8">
        <v>13.85</v>
      </c>
      <c r="O1475" s="17">
        <f t="shared" ref="O1475:O1538" si="117">M1475/(J1475*100)</f>
        <v>0.59770545454545421</v>
      </c>
      <c r="P1475" s="17">
        <f t="shared" ref="P1475:P1538" si="118">N1475/(K1475*100)</f>
        <v>1.1163939393939393</v>
      </c>
      <c r="R1475" s="9">
        <v>33.94</v>
      </c>
      <c r="S1475" s="9">
        <v>8.86</v>
      </c>
      <c r="T1475" s="9">
        <v>1315.40002</v>
      </c>
      <c r="U1475" s="9">
        <v>1216.0999999999999</v>
      </c>
      <c r="V1475" s="45">
        <f t="shared" ref="V1475:V1538" si="119">(T1475-U1475)/U1475</f>
        <v>8.1654485650851191E-2</v>
      </c>
      <c r="W1475" s="12">
        <v>18.690000000000001</v>
      </c>
      <c r="X1475" s="12">
        <v>0</v>
      </c>
      <c r="Y1475" s="12">
        <v>20210804</v>
      </c>
    </row>
    <row r="1476" spans="1:25" x14ac:dyDescent="0.45">
      <c r="A1476" s="3" t="s">
        <v>2634</v>
      </c>
      <c r="B1476" s="3" t="s">
        <v>2635</v>
      </c>
      <c r="C1476" s="6" t="s">
        <v>518</v>
      </c>
      <c r="D1476" s="6" t="s">
        <v>234</v>
      </c>
      <c r="E1476" s="6" t="s">
        <v>286</v>
      </c>
      <c r="F1476" s="6">
        <v>3078.41</v>
      </c>
      <c r="G1476" s="2">
        <v>5.59</v>
      </c>
      <c r="H1476" s="2">
        <v>5.3</v>
      </c>
      <c r="I1476" s="2">
        <v>5.65</v>
      </c>
      <c r="J1476" s="47">
        <f t="shared" si="115"/>
        <v>-5.1878354203935606E-2</v>
      </c>
      <c r="K1476" s="47">
        <f t="shared" si="116"/>
        <v>6.60377358490567E-2</v>
      </c>
      <c r="L1476" s="8">
        <v>12.23</v>
      </c>
      <c r="M1476" s="8">
        <v>12.67</v>
      </c>
      <c r="N1476" s="8">
        <v>11.88</v>
      </c>
      <c r="O1476" s="17">
        <f t="shared" si="117"/>
        <v>-2.4422517241379307</v>
      </c>
      <c r="P1476" s="17">
        <f t="shared" si="118"/>
        <v>1.798971428571426</v>
      </c>
      <c r="R1476" s="9">
        <v>10.47</v>
      </c>
      <c r="S1476" s="9">
        <v>7.58</v>
      </c>
      <c r="T1476" s="9">
        <v>323.73498000000001</v>
      </c>
      <c r="U1476" s="9">
        <v>332.81</v>
      </c>
      <c r="V1476" s="45">
        <f t="shared" si="119"/>
        <v>-2.7267870556774119E-2</v>
      </c>
      <c r="W1476" s="12">
        <v>-4.62</v>
      </c>
      <c r="X1476" s="12">
        <v>6.57</v>
      </c>
      <c r="Y1476" s="12">
        <v>20210809</v>
      </c>
    </row>
    <row r="1477" spans="1:25" x14ac:dyDescent="0.45">
      <c r="A1477" s="3" t="s">
        <v>2636</v>
      </c>
      <c r="B1477" s="3" t="s">
        <v>2637</v>
      </c>
      <c r="C1477" s="6" t="s">
        <v>520</v>
      </c>
      <c r="D1477" s="6" t="s">
        <v>272</v>
      </c>
      <c r="E1477" s="6" t="s">
        <v>2638</v>
      </c>
      <c r="F1477" s="6">
        <v>13325.97</v>
      </c>
      <c r="G1477" s="2">
        <v>0.13</v>
      </c>
      <c r="H1477" s="2">
        <v>0.66</v>
      </c>
      <c r="I1477" s="2">
        <v>0.83</v>
      </c>
      <c r="J1477" s="47">
        <f t="shared" si="115"/>
        <v>4.0769230769230766</v>
      </c>
      <c r="K1477" s="47">
        <f t="shared" si="116"/>
        <v>0.25757575757575746</v>
      </c>
      <c r="L1477" s="8">
        <v>28.3</v>
      </c>
      <c r="M1477" s="8">
        <v>9.86</v>
      </c>
      <c r="N1477" s="8">
        <v>7.84</v>
      </c>
      <c r="O1477" s="17">
        <f t="shared" si="117"/>
        <v>2.4184905660377357E-2</v>
      </c>
      <c r="P1477" s="17">
        <f t="shared" si="118"/>
        <v>0.30437647058823541</v>
      </c>
      <c r="Q1477" s="5">
        <v>2.89</v>
      </c>
      <c r="R1477" s="9">
        <v>5.31</v>
      </c>
      <c r="S1477" s="9">
        <v>12.66</v>
      </c>
      <c r="U1477" s="9">
        <v>15553.89</v>
      </c>
      <c r="V1477" s="45">
        <f t="shared" si="119"/>
        <v>-1</v>
      </c>
      <c r="X1477" s="12">
        <v>1.73</v>
      </c>
      <c r="Y1477" s="12">
        <v>20210728</v>
      </c>
    </row>
    <row r="1478" spans="1:25" x14ac:dyDescent="0.45">
      <c r="A1478" s="3" t="s">
        <v>2639</v>
      </c>
      <c r="B1478" s="3" t="s">
        <v>2640</v>
      </c>
      <c r="C1478" s="6" t="s">
        <v>518</v>
      </c>
      <c r="D1478" s="6" t="s">
        <v>327</v>
      </c>
      <c r="E1478" s="6" t="s">
        <v>321</v>
      </c>
      <c r="F1478" s="6">
        <v>10048.6</v>
      </c>
      <c r="G1478" s="2">
        <v>1.3</v>
      </c>
      <c r="H1478" s="2">
        <v>1.34</v>
      </c>
      <c r="I1478" s="2">
        <v>1.41</v>
      </c>
      <c r="J1478" s="47">
        <f t="shared" si="115"/>
        <v>3.0769230769230795E-2</v>
      </c>
      <c r="K1478" s="47">
        <f t="shared" si="116"/>
        <v>5.2238805970149134E-2</v>
      </c>
      <c r="L1478" s="8">
        <v>19.260000000000002</v>
      </c>
      <c r="M1478" s="8">
        <v>19.07</v>
      </c>
      <c r="N1478" s="8">
        <v>18.170000000000002</v>
      </c>
      <c r="O1478" s="17">
        <f t="shared" si="117"/>
        <v>6.1977499999999957</v>
      </c>
      <c r="P1478" s="17">
        <f t="shared" si="118"/>
        <v>3.4782571428571512</v>
      </c>
      <c r="Q1478" s="5">
        <v>3.09</v>
      </c>
      <c r="R1478" s="9">
        <v>11.3</v>
      </c>
      <c r="S1478" s="9">
        <v>2.11</v>
      </c>
      <c r="T1478" s="9">
        <v>5479.6098599999996</v>
      </c>
      <c r="U1478" s="9">
        <v>4681.7</v>
      </c>
      <c r="V1478" s="45">
        <f t="shared" si="119"/>
        <v>0.17043165089604198</v>
      </c>
      <c r="W1478" s="12">
        <v>0</v>
      </c>
      <c r="X1478" s="12">
        <v>3.43</v>
      </c>
      <c r="Y1478" s="12">
        <v>20210804</v>
      </c>
    </row>
    <row r="1479" spans="1:25" x14ac:dyDescent="0.45">
      <c r="A1479" s="3" t="s">
        <v>2641</v>
      </c>
      <c r="B1479" s="3" t="s">
        <v>2642</v>
      </c>
      <c r="C1479" s="6" t="s">
        <v>519</v>
      </c>
      <c r="D1479" s="6" t="s">
        <v>189</v>
      </c>
      <c r="E1479" s="6" t="s">
        <v>248</v>
      </c>
      <c r="F1479" s="6">
        <v>14374.87</v>
      </c>
      <c r="G1479" s="2">
        <v>5.67</v>
      </c>
      <c r="H1479" s="2">
        <v>6.26</v>
      </c>
      <c r="I1479" s="2">
        <v>7.1</v>
      </c>
      <c r="J1479" s="47">
        <f t="shared" si="115"/>
        <v>0.1040564373897707</v>
      </c>
      <c r="K1479" s="47">
        <f t="shared" si="116"/>
        <v>0.13418530351437699</v>
      </c>
      <c r="L1479" s="8">
        <v>38.450000000000003</v>
      </c>
      <c r="M1479" s="8">
        <v>36.409999999999997</v>
      </c>
      <c r="N1479" s="8">
        <v>32.11</v>
      </c>
      <c r="O1479" s="17">
        <f t="shared" si="117"/>
        <v>3.4990627118644069</v>
      </c>
      <c r="P1479" s="17">
        <f t="shared" si="118"/>
        <v>2.392959523809524</v>
      </c>
      <c r="Q1479" s="5">
        <v>3.4</v>
      </c>
      <c r="R1479" s="9">
        <v>12.17</v>
      </c>
      <c r="S1479" s="9">
        <v>12.66</v>
      </c>
      <c r="T1479" s="9">
        <v>1816.01403</v>
      </c>
      <c r="U1479" s="9">
        <v>1648.02</v>
      </c>
      <c r="V1479" s="45">
        <f t="shared" si="119"/>
        <v>0.10193688790184589</v>
      </c>
      <c r="W1479" s="12">
        <v>2.67</v>
      </c>
      <c r="X1479" s="12">
        <v>0</v>
      </c>
      <c r="Y1479" s="12">
        <v>20210805</v>
      </c>
    </row>
    <row r="1480" spans="1:25" x14ac:dyDescent="0.45">
      <c r="A1480" s="3" t="s">
        <v>4844</v>
      </c>
      <c r="B1480" s="3" t="s">
        <v>4845</v>
      </c>
      <c r="C1480" s="6" t="s">
        <v>520</v>
      </c>
      <c r="D1480" s="6" t="s">
        <v>90</v>
      </c>
      <c r="E1480" s="6" t="s">
        <v>268</v>
      </c>
      <c r="F1480" s="6">
        <v>57759.43</v>
      </c>
      <c r="J1480" s="47" t="e">
        <f t="shared" si="115"/>
        <v>#DIV/0!</v>
      </c>
      <c r="K1480" s="47" t="e">
        <f t="shared" si="116"/>
        <v>#DIV/0!</v>
      </c>
      <c r="O1480" s="17" t="e">
        <f t="shared" si="117"/>
        <v>#DIV/0!</v>
      </c>
      <c r="P1480" s="17" t="e">
        <f t="shared" si="118"/>
        <v>#DIV/0!</v>
      </c>
      <c r="U1480" s="9">
        <v>15545</v>
      </c>
      <c r="V1480" s="45">
        <f t="shared" si="119"/>
        <v>-1</v>
      </c>
      <c r="X1480" s="12">
        <v>6.23</v>
      </c>
      <c r="Y1480" s="12">
        <v>20210615</v>
      </c>
    </row>
    <row r="1481" spans="1:25" x14ac:dyDescent="0.45">
      <c r="A1481" s="3" t="s">
        <v>3857</v>
      </c>
      <c r="B1481" s="3" t="s">
        <v>3858</v>
      </c>
      <c r="C1481" s="6" t="s">
        <v>520</v>
      </c>
      <c r="D1481" s="6" t="s">
        <v>189</v>
      </c>
      <c r="E1481" s="6" t="s">
        <v>914</v>
      </c>
      <c r="F1481" s="6">
        <v>4154.13</v>
      </c>
      <c r="G1481" s="2">
        <v>-0.87</v>
      </c>
      <c r="H1481" s="2">
        <v>0.46</v>
      </c>
      <c r="I1481" s="2">
        <v>0.57999999999999996</v>
      </c>
      <c r="J1481" s="47">
        <f t="shared" si="115"/>
        <v>1.5287356321839081</v>
      </c>
      <c r="K1481" s="47">
        <f t="shared" si="116"/>
        <v>0.26086956521739119</v>
      </c>
      <c r="M1481" s="8">
        <v>23.87</v>
      </c>
      <c r="N1481" s="8">
        <v>18.93</v>
      </c>
      <c r="O1481" s="17">
        <f t="shared" si="117"/>
        <v>0.15614210526315789</v>
      </c>
      <c r="P1481" s="17">
        <f t="shared" si="118"/>
        <v>0.72565000000000035</v>
      </c>
      <c r="Q1481" s="5">
        <v>0.43</v>
      </c>
      <c r="R1481" s="9">
        <v>-6.38</v>
      </c>
      <c r="S1481" s="9">
        <v>-9.64</v>
      </c>
      <c r="T1481" s="9">
        <v>4926.1098599999996</v>
      </c>
      <c r="U1481" s="9">
        <v>4258.1899999999996</v>
      </c>
      <c r="V1481" s="45">
        <f t="shared" si="119"/>
        <v>0.15685534464173745</v>
      </c>
      <c r="W1481" s="12">
        <v>-47.37</v>
      </c>
      <c r="X1481" s="12">
        <v>0.63</v>
      </c>
      <c r="Y1481" s="12">
        <v>20210805</v>
      </c>
    </row>
    <row r="1482" spans="1:25" x14ac:dyDescent="0.45">
      <c r="A1482" s="3" t="s">
        <v>3859</v>
      </c>
      <c r="B1482" s="3" t="s">
        <v>3860</v>
      </c>
      <c r="C1482" s="6" t="s">
        <v>518</v>
      </c>
      <c r="D1482" s="6" t="s">
        <v>46</v>
      </c>
      <c r="E1482" s="6" t="s">
        <v>66</v>
      </c>
      <c r="F1482" s="6">
        <v>67063.600000000006</v>
      </c>
      <c r="G1482" s="2">
        <v>-0.62</v>
      </c>
      <c r="H1482" s="2">
        <v>-0.65</v>
      </c>
      <c r="I1482" s="2">
        <v>-0.15</v>
      </c>
      <c r="J1482" s="47">
        <f t="shared" si="115"/>
        <v>-4.8387096774193589E-2</v>
      </c>
      <c r="K1482" s="47">
        <f t="shared" si="116"/>
        <v>0.76923076923076916</v>
      </c>
      <c r="O1482" s="17">
        <f t="shared" si="117"/>
        <v>0</v>
      </c>
      <c r="P1482" s="17">
        <f t="shared" si="118"/>
        <v>0</v>
      </c>
      <c r="R1482" s="9">
        <v>-61.18</v>
      </c>
      <c r="T1482" s="9">
        <v>5186.5829999999996</v>
      </c>
      <c r="U1482" s="9">
        <v>2491.64</v>
      </c>
      <c r="V1482" s="45">
        <f t="shared" si="119"/>
        <v>1.0815940505048882</v>
      </c>
      <c r="W1482" s="12">
        <v>0</v>
      </c>
      <c r="X1482" s="12">
        <v>0</v>
      </c>
      <c r="Y1482" s="12">
        <v>20210810</v>
      </c>
    </row>
    <row r="1483" spans="1:25" x14ac:dyDescent="0.45">
      <c r="A1483" s="3" t="s">
        <v>2643</v>
      </c>
      <c r="B1483" s="3" t="s">
        <v>2644</v>
      </c>
      <c r="C1483" s="6" t="s">
        <v>520</v>
      </c>
      <c r="D1483" s="6" t="s">
        <v>189</v>
      </c>
      <c r="E1483" s="6" t="s">
        <v>211</v>
      </c>
      <c r="F1483" s="6">
        <v>66783.91</v>
      </c>
      <c r="G1483" s="2">
        <v>0.47</v>
      </c>
      <c r="H1483" s="2">
        <v>0.6</v>
      </c>
      <c r="I1483" s="2">
        <v>0.76</v>
      </c>
      <c r="J1483" s="47">
        <f t="shared" si="115"/>
        <v>0.27659574468085107</v>
      </c>
      <c r="K1483" s="47">
        <f t="shared" si="116"/>
        <v>0.26666666666666672</v>
      </c>
      <c r="L1483" s="8">
        <v>57.14</v>
      </c>
      <c r="M1483" s="8">
        <v>46.67</v>
      </c>
      <c r="N1483" s="8">
        <v>36.6</v>
      </c>
      <c r="O1483" s="17">
        <f t="shared" si="117"/>
        <v>1.6873</v>
      </c>
      <c r="P1483" s="17">
        <f t="shared" si="118"/>
        <v>1.3724999999999998</v>
      </c>
      <c r="Q1483" s="5">
        <v>2.41</v>
      </c>
      <c r="R1483" s="9">
        <v>12.04</v>
      </c>
      <c r="S1483" s="9">
        <v>7.85</v>
      </c>
      <c r="T1483" s="9">
        <v>16552.380850000001</v>
      </c>
      <c r="U1483" s="9">
        <v>15264.65</v>
      </c>
      <c r="V1483" s="45">
        <f t="shared" si="119"/>
        <v>8.436032598192568E-2</v>
      </c>
      <c r="X1483" s="12">
        <v>0.4</v>
      </c>
      <c r="Y1483" s="12">
        <v>20210720</v>
      </c>
    </row>
    <row r="1484" spans="1:25" x14ac:dyDescent="0.45">
      <c r="A1484" s="3" t="s">
        <v>2645</v>
      </c>
      <c r="B1484" s="3" t="s">
        <v>2646</v>
      </c>
      <c r="C1484" s="6" t="s">
        <v>518</v>
      </c>
      <c r="D1484" s="6" t="s">
        <v>327</v>
      </c>
      <c r="E1484" s="6" t="s">
        <v>354</v>
      </c>
      <c r="F1484" s="6">
        <v>4217.76</v>
      </c>
      <c r="G1484" s="2">
        <v>2.0699999999999998</v>
      </c>
      <c r="H1484" s="2">
        <v>2.0699999999999998</v>
      </c>
      <c r="I1484" s="2">
        <v>2.25</v>
      </c>
      <c r="J1484" s="47">
        <f t="shared" si="115"/>
        <v>0</v>
      </c>
      <c r="K1484" s="47">
        <f t="shared" si="116"/>
        <v>8.6956521739130516E-2</v>
      </c>
      <c r="L1484" s="8">
        <v>15.98</v>
      </c>
      <c r="M1484" s="8">
        <v>21.12</v>
      </c>
      <c r="N1484" s="8">
        <v>19.440000000000001</v>
      </c>
      <c r="O1484" s="17" t="e">
        <f t="shared" si="117"/>
        <v>#DIV/0!</v>
      </c>
      <c r="P1484" s="17">
        <f t="shared" si="118"/>
        <v>2.235599999999998</v>
      </c>
      <c r="Q1484" s="5">
        <v>2.98</v>
      </c>
      <c r="R1484" s="9">
        <v>14.67</v>
      </c>
      <c r="S1484" s="9">
        <v>0.11</v>
      </c>
      <c r="T1484" s="9">
        <v>1923.4499499999999</v>
      </c>
      <c r="U1484" s="9">
        <v>1953.67</v>
      </c>
      <c r="V1484" s="45">
        <f t="shared" si="119"/>
        <v>-1.5468349311808098E-2</v>
      </c>
      <c r="W1484" s="12">
        <v>52.59</v>
      </c>
      <c r="X1484" s="12">
        <v>3.04</v>
      </c>
      <c r="Y1484" s="12">
        <v>20210806</v>
      </c>
    </row>
    <row r="1485" spans="1:25" x14ac:dyDescent="0.45">
      <c r="A1485" s="3" t="s">
        <v>2647</v>
      </c>
      <c r="B1485" s="3" t="s">
        <v>2648</v>
      </c>
      <c r="C1485" s="6" t="s">
        <v>518</v>
      </c>
      <c r="D1485" s="6" t="s">
        <v>216</v>
      </c>
      <c r="E1485" s="6" t="s">
        <v>302</v>
      </c>
      <c r="F1485" s="6">
        <v>208302.84</v>
      </c>
      <c r="G1485" s="2">
        <v>3.13</v>
      </c>
      <c r="H1485" s="2">
        <v>3.86</v>
      </c>
      <c r="I1485" s="2">
        <v>4.6500000000000004</v>
      </c>
      <c r="J1485" s="47">
        <f t="shared" si="115"/>
        <v>0.23322683706070288</v>
      </c>
      <c r="K1485" s="47">
        <f t="shared" si="116"/>
        <v>0.2046632124352333</v>
      </c>
      <c r="L1485" s="8">
        <v>62.19</v>
      </c>
      <c r="M1485" s="8">
        <v>34.18</v>
      </c>
      <c r="N1485" s="8">
        <v>28.38</v>
      </c>
      <c r="O1485" s="17">
        <f t="shared" si="117"/>
        <v>1.4655260273972603</v>
      </c>
      <c r="P1485" s="17">
        <f t="shared" si="118"/>
        <v>1.3866683544303786</v>
      </c>
      <c r="Q1485" s="5">
        <v>1.63</v>
      </c>
      <c r="R1485" s="9">
        <v>34.409999999999997</v>
      </c>
      <c r="S1485" s="9">
        <v>4.28</v>
      </c>
      <c r="T1485" s="9">
        <v>48796.417959999999</v>
      </c>
      <c r="U1485" s="9">
        <v>37403</v>
      </c>
      <c r="V1485" s="45">
        <f t="shared" si="119"/>
        <v>0.30461240969975667</v>
      </c>
      <c r="W1485" s="12">
        <v>20</v>
      </c>
      <c r="X1485" s="12">
        <v>0.83</v>
      </c>
      <c r="Y1485" s="12">
        <v>20210624</v>
      </c>
    </row>
    <row r="1486" spans="1:25" x14ac:dyDescent="0.45">
      <c r="A1486" s="3" t="s">
        <v>2649</v>
      </c>
      <c r="B1486" s="3" t="s">
        <v>2650</v>
      </c>
      <c r="C1486" s="6" t="s">
        <v>519</v>
      </c>
      <c r="D1486" s="6" t="s">
        <v>46</v>
      </c>
      <c r="E1486" s="6" t="s">
        <v>63</v>
      </c>
      <c r="F1486" s="6">
        <v>6888.44</v>
      </c>
      <c r="G1486" s="2">
        <v>-0.63</v>
      </c>
      <c r="H1486" s="2">
        <v>-1.07</v>
      </c>
      <c r="I1486" s="2">
        <v>-1.06</v>
      </c>
      <c r="J1486" s="47">
        <f t="shared" si="115"/>
        <v>-0.69841269841269848</v>
      </c>
      <c r="K1486" s="47">
        <f t="shared" si="116"/>
        <v>9.3457943925233725E-3</v>
      </c>
      <c r="O1486" s="17">
        <f t="shared" si="117"/>
        <v>0</v>
      </c>
      <c r="P1486" s="17">
        <f t="shared" si="118"/>
        <v>0</v>
      </c>
      <c r="R1486" s="9">
        <v>-47.45</v>
      </c>
      <c r="T1486" s="9">
        <v>21.6</v>
      </c>
      <c r="U1486" s="9">
        <v>0.09</v>
      </c>
      <c r="V1486" s="45">
        <f t="shared" si="119"/>
        <v>239.00000000000003</v>
      </c>
      <c r="W1486" s="12">
        <v>48.15</v>
      </c>
      <c r="X1486" s="12">
        <v>0</v>
      </c>
      <c r="Y1486" s="12">
        <v>20210803</v>
      </c>
    </row>
    <row r="1487" spans="1:25" x14ac:dyDescent="0.45">
      <c r="A1487" s="3" t="s">
        <v>2651</v>
      </c>
      <c r="B1487" s="3" t="s">
        <v>2652</v>
      </c>
      <c r="C1487" s="6" t="s">
        <v>519</v>
      </c>
      <c r="D1487" s="6" t="s">
        <v>279</v>
      </c>
      <c r="E1487" s="6" t="s">
        <v>258</v>
      </c>
      <c r="F1487" s="6">
        <v>3064.61</v>
      </c>
      <c r="G1487" s="2">
        <v>-2.57</v>
      </c>
      <c r="H1487" s="2">
        <v>-2.87</v>
      </c>
      <c r="I1487" s="2">
        <v>-1.76</v>
      </c>
      <c r="J1487" s="47">
        <f t="shared" si="115"/>
        <v>-0.11673151750972774</v>
      </c>
      <c r="K1487" s="47">
        <f t="shared" si="116"/>
        <v>0.38675958188153314</v>
      </c>
      <c r="O1487" s="17">
        <f t="shared" si="117"/>
        <v>0</v>
      </c>
      <c r="P1487" s="17">
        <f t="shared" si="118"/>
        <v>0</v>
      </c>
      <c r="R1487" s="9">
        <v>-38.119999999999997</v>
      </c>
      <c r="S1487" s="9">
        <v>-7.4</v>
      </c>
      <c r="T1487" s="9">
        <v>109.59899</v>
      </c>
      <c r="U1487" s="9">
        <v>152.91</v>
      </c>
      <c r="V1487" s="45">
        <f t="shared" si="119"/>
        <v>-0.28324511150349879</v>
      </c>
      <c r="W1487" s="12">
        <v>5.56</v>
      </c>
      <c r="X1487" s="12">
        <v>0</v>
      </c>
      <c r="Y1487" s="12">
        <v>20210805</v>
      </c>
    </row>
    <row r="1488" spans="1:25" x14ac:dyDescent="0.45">
      <c r="A1488" s="3" t="s">
        <v>2653</v>
      </c>
      <c r="B1488" s="3" t="s">
        <v>2654</v>
      </c>
      <c r="C1488" s="6" t="s">
        <v>519</v>
      </c>
      <c r="D1488" s="6" t="s">
        <v>272</v>
      </c>
      <c r="E1488" s="6" t="s">
        <v>297</v>
      </c>
      <c r="F1488" s="6">
        <v>16586.43</v>
      </c>
      <c r="G1488" s="2">
        <v>1.42</v>
      </c>
      <c r="H1488" s="2">
        <v>1.7</v>
      </c>
      <c r="I1488" s="2">
        <v>1.88</v>
      </c>
      <c r="J1488" s="47">
        <f t="shared" si="115"/>
        <v>0.19718309859154931</v>
      </c>
      <c r="K1488" s="47">
        <f t="shared" si="116"/>
        <v>0.10588235294117644</v>
      </c>
      <c r="L1488" s="8">
        <v>19.72</v>
      </c>
      <c r="M1488" s="8">
        <v>16.82</v>
      </c>
      <c r="N1488" s="8">
        <v>15.24</v>
      </c>
      <c r="O1488" s="17">
        <f t="shared" si="117"/>
        <v>0.85301428571428561</v>
      </c>
      <c r="P1488" s="17">
        <f t="shared" si="118"/>
        <v>1.4393333333333336</v>
      </c>
      <c r="Q1488" s="5">
        <v>2.4</v>
      </c>
      <c r="R1488" s="9">
        <v>-161.81</v>
      </c>
      <c r="S1488" s="9">
        <v>-10</v>
      </c>
      <c r="T1488" s="9">
        <v>2770.9729000000002</v>
      </c>
      <c r="U1488" s="9">
        <v>2551</v>
      </c>
      <c r="V1488" s="45">
        <f t="shared" si="119"/>
        <v>8.6230066640533204E-2</v>
      </c>
      <c r="W1488" s="12">
        <v>8.11</v>
      </c>
      <c r="X1488" s="12">
        <v>1.75</v>
      </c>
      <c r="Y1488" s="12">
        <v>20210805</v>
      </c>
    </row>
    <row r="1489" spans="1:25" x14ac:dyDescent="0.45">
      <c r="A1489" s="3" t="s">
        <v>2655</v>
      </c>
      <c r="B1489" s="3" t="s">
        <v>2656</v>
      </c>
      <c r="C1489" s="6" t="s">
        <v>518</v>
      </c>
      <c r="D1489" s="6" t="s">
        <v>175</v>
      </c>
      <c r="E1489" s="6" t="s">
        <v>193</v>
      </c>
      <c r="F1489" s="6">
        <v>9622.06</v>
      </c>
      <c r="G1489" s="2">
        <v>1.58</v>
      </c>
      <c r="H1489" s="2">
        <v>1.55</v>
      </c>
      <c r="I1489" s="2">
        <v>1.68</v>
      </c>
      <c r="J1489" s="47">
        <f t="shared" si="115"/>
        <v>-1.8987341772151913E-2</v>
      </c>
      <c r="K1489" s="47">
        <f t="shared" si="116"/>
        <v>8.3870967741935407E-2</v>
      </c>
      <c r="L1489" s="8">
        <v>14.59</v>
      </c>
      <c r="M1489" s="8">
        <v>17.32</v>
      </c>
      <c r="N1489" s="8">
        <v>15.94</v>
      </c>
      <c r="O1489" s="17">
        <f t="shared" si="117"/>
        <v>-9.1218666666666604</v>
      </c>
      <c r="P1489" s="17">
        <f t="shared" si="118"/>
        <v>1.9005384615384631</v>
      </c>
      <c r="R1489" s="9">
        <v>25.28</v>
      </c>
      <c r="S1489" s="9">
        <v>-0.65</v>
      </c>
      <c r="T1489" s="9">
        <v>3481.2719699999998</v>
      </c>
      <c r="U1489" s="9">
        <v>6290</v>
      </c>
      <c r="V1489" s="45">
        <f t="shared" si="119"/>
        <v>-0.44653863751987283</v>
      </c>
      <c r="W1489" s="12">
        <v>46.88</v>
      </c>
      <c r="X1489" s="12">
        <v>0.89</v>
      </c>
      <c r="Y1489" s="12">
        <v>20210804</v>
      </c>
    </row>
    <row r="1490" spans="1:25" x14ac:dyDescent="0.45">
      <c r="A1490" s="3" t="s">
        <v>2657</v>
      </c>
      <c r="B1490" s="3" t="s">
        <v>2658</v>
      </c>
      <c r="C1490" s="6" t="s">
        <v>518</v>
      </c>
      <c r="D1490" s="6" t="s">
        <v>234</v>
      </c>
      <c r="E1490" s="6" t="s">
        <v>285</v>
      </c>
      <c r="F1490" s="6">
        <v>13341.73</v>
      </c>
      <c r="G1490" s="2">
        <v>1.0900000000000001</v>
      </c>
      <c r="H1490" s="2">
        <v>1.1000000000000001</v>
      </c>
      <c r="I1490" s="2">
        <v>1.05</v>
      </c>
      <c r="J1490" s="47">
        <f t="shared" si="115"/>
        <v>9.174311926605512E-3</v>
      </c>
      <c r="K1490" s="47">
        <f t="shared" si="116"/>
        <v>-4.5454545454545491E-2</v>
      </c>
      <c r="L1490" s="8">
        <v>8.08</v>
      </c>
      <c r="M1490" s="8">
        <v>8.67</v>
      </c>
      <c r="N1490" s="8">
        <v>9.06</v>
      </c>
      <c r="O1490" s="17">
        <f t="shared" si="117"/>
        <v>9.4502999999999933</v>
      </c>
      <c r="P1490" s="17">
        <f t="shared" si="118"/>
        <v>-1.9931999999999983</v>
      </c>
      <c r="Q1490" s="5">
        <v>1.73</v>
      </c>
      <c r="R1490" s="9">
        <v>14.15</v>
      </c>
      <c r="S1490" s="9">
        <v>7.5</v>
      </c>
      <c r="T1490" s="9">
        <v>1940.1949400000001</v>
      </c>
      <c r="U1490" s="9">
        <v>2229.63</v>
      </c>
      <c r="V1490" s="45">
        <f t="shared" si="119"/>
        <v>-0.12981304521377987</v>
      </c>
      <c r="W1490" s="12">
        <v>11.54</v>
      </c>
      <c r="X1490" s="12">
        <v>9.2200000000000006</v>
      </c>
      <c r="Y1490" s="12">
        <v>20210804</v>
      </c>
    </row>
    <row r="1491" spans="1:25" x14ac:dyDescent="0.45">
      <c r="A1491" s="3" t="s">
        <v>2659</v>
      </c>
      <c r="B1491" s="3" t="s">
        <v>2660</v>
      </c>
      <c r="C1491" s="6" t="s">
        <v>518</v>
      </c>
      <c r="D1491" s="6" t="s">
        <v>234</v>
      </c>
      <c r="E1491" s="6" t="s">
        <v>1642</v>
      </c>
      <c r="F1491" s="6">
        <v>16542.72</v>
      </c>
      <c r="G1491" s="2">
        <v>0.64</v>
      </c>
      <c r="H1491" s="2">
        <v>0.76</v>
      </c>
      <c r="I1491" s="2">
        <v>0.86</v>
      </c>
      <c r="J1491" s="47">
        <f t="shared" si="115"/>
        <v>0.1875</v>
      </c>
      <c r="K1491" s="47">
        <f t="shared" si="116"/>
        <v>0.13157894736842102</v>
      </c>
      <c r="L1491" s="8">
        <v>12.02</v>
      </c>
      <c r="M1491" s="8">
        <v>7.07</v>
      </c>
      <c r="N1491" s="8">
        <v>6.29</v>
      </c>
      <c r="O1491" s="17">
        <f t="shared" si="117"/>
        <v>0.37706666666666666</v>
      </c>
      <c r="P1491" s="17">
        <f t="shared" si="118"/>
        <v>0.47804000000000008</v>
      </c>
      <c r="Q1491" s="5">
        <v>1.28</v>
      </c>
      <c r="R1491" s="9">
        <v>5.44</v>
      </c>
      <c r="S1491" s="9">
        <v>4.04</v>
      </c>
      <c r="T1491" s="9">
        <v>13723.809569999999</v>
      </c>
      <c r="U1491" s="9">
        <v>15257</v>
      </c>
      <c r="V1491" s="45">
        <f t="shared" si="119"/>
        <v>-0.10049095038343059</v>
      </c>
      <c r="W1491" s="12">
        <v>-80.77</v>
      </c>
      <c r="X1491" s="12">
        <v>4.3</v>
      </c>
      <c r="Y1491" s="12">
        <v>20210804</v>
      </c>
    </row>
    <row r="1492" spans="1:25" x14ac:dyDescent="0.45">
      <c r="A1492" s="3" t="s">
        <v>3861</v>
      </c>
      <c r="B1492" s="3" t="s">
        <v>2661</v>
      </c>
      <c r="C1492" s="6" t="s">
        <v>520</v>
      </c>
      <c r="D1492" s="6" t="s">
        <v>90</v>
      </c>
      <c r="E1492" s="6" t="s">
        <v>198</v>
      </c>
      <c r="F1492" s="6">
        <v>7313.76</v>
      </c>
      <c r="H1492" s="2">
        <v>2.29</v>
      </c>
      <c r="I1492" s="2">
        <v>2.52</v>
      </c>
      <c r="J1492" s="47" t="e">
        <f t="shared" si="115"/>
        <v>#DIV/0!</v>
      </c>
      <c r="K1492" s="47">
        <f t="shared" si="116"/>
        <v>0.10043668122270741</v>
      </c>
      <c r="L1492" s="8">
        <v>28.22</v>
      </c>
      <c r="M1492" s="8">
        <v>22.18</v>
      </c>
      <c r="N1492" s="8">
        <v>20.16</v>
      </c>
      <c r="O1492" s="17" t="e">
        <f t="shared" si="117"/>
        <v>#DIV/0!</v>
      </c>
      <c r="P1492" s="17">
        <f t="shared" si="118"/>
        <v>2.007234782608696</v>
      </c>
      <c r="R1492" s="9">
        <v>16.239999999999998</v>
      </c>
      <c r="S1492" s="9">
        <v>4.3899999999999997</v>
      </c>
      <c r="T1492" s="9">
        <v>1909.08996</v>
      </c>
      <c r="U1492" s="9">
        <v>1902.9</v>
      </c>
      <c r="V1492" s="45">
        <f t="shared" si="119"/>
        <v>3.252908718272073E-3</v>
      </c>
      <c r="X1492" s="12">
        <v>0.64</v>
      </c>
      <c r="Y1492" s="12">
        <v>20210611</v>
      </c>
    </row>
    <row r="1493" spans="1:25" x14ac:dyDescent="0.45">
      <c r="A1493" s="3" t="s">
        <v>4846</v>
      </c>
      <c r="B1493" s="3" t="s">
        <v>4847</v>
      </c>
      <c r="C1493" s="6" t="s">
        <v>520</v>
      </c>
      <c r="D1493" s="6" t="s">
        <v>234</v>
      </c>
      <c r="E1493" s="6" t="s">
        <v>241</v>
      </c>
      <c r="F1493" s="6">
        <v>15747.69</v>
      </c>
      <c r="J1493" s="47" t="e">
        <f t="shared" si="115"/>
        <v>#DIV/0!</v>
      </c>
      <c r="K1493" s="47" t="e">
        <f t="shared" si="116"/>
        <v>#DIV/0!</v>
      </c>
      <c r="O1493" s="17" t="e">
        <f t="shared" si="117"/>
        <v>#DIV/0!</v>
      </c>
      <c r="P1493" s="17" t="e">
        <f t="shared" si="118"/>
        <v>#DIV/0!</v>
      </c>
      <c r="U1493" s="9">
        <v>22915.599999999999</v>
      </c>
      <c r="V1493" s="45">
        <f t="shared" si="119"/>
        <v>-1</v>
      </c>
      <c r="X1493" s="12">
        <v>5.62</v>
      </c>
    </row>
    <row r="1494" spans="1:25" x14ac:dyDescent="0.45">
      <c r="A1494" s="3" t="s">
        <v>2662</v>
      </c>
      <c r="B1494" s="3" t="s">
        <v>2663</v>
      </c>
      <c r="C1494" s="6" t="s">
        <v>518</v>
      </c>
      <c r="D1494" s="6" t="s">
        <v>234</v>
      </c>
      <c r="E1494" s="6" t="s">
        <v>288</v>
      </c>
      <c r="F1494" s="6">
        <v>8714.06</v>
      </c>
      <c r="G1494" s="2">
        <v>2.62</v>
      </c>
      <c r="H1494" s="2">
        <v>2.69</v>
      </c>
      <c r="I1494" s="2">
        <v>2.83</v>
      </c>
      <c r="J1494" s="47">
        <f t="shared" si="115"/>
        <v>2.6717557251908334E-2</v>
      </c>
      <c r="K1494" s="47">
        <f t="shared" si="116"/>
        <v>5.2044609665427559E-2</v>
      </c>
      <c r="L1494" s="8">
        <v>18.25</v>
      </c>
      <c r="M1494" s="8">
        <v>18.43</v>
      </c>
      <c r="N1494" s="8">
        <v>17.510000000000002</v>
      </c>
      <c r="O1494" s="17">
        <f t="shared" si="117"/>
        <v>6.898085714285731</v>
      </c>
      <c r="P1494" s="17">
        <f t="shared" si="118"/>
        <v>3.3644214285714256</v>
      </c>
      <c r="Q1494" s="5">
        <v>4.7</v>
      </c>
      <c r="R1494" s="9">
        <v>5.57</v>
      </c>
      <c r="S1494" s="9">
        <v>6.3</v>
      </c>
      <c r="T1494" s="9">
        <v>694.48602000000005</v>
      </c>
      <c r="U1494" s="9">
        <v>660.68</v>
      </c>
      <c r="V1494" s="45">
        <f t="shared" si="119"/>
        <v>5.1168523339589676E-2</v>
      </c>
      <c r="W1494" s="12">
        <v>18.75</v>
      </c>
      <c r="X1494" s="12">
        <v>4.1900000000000004</v>
      </c>
      <c r="Y1494" s="12">
        <v>20210802</v>
      </c>
    </row>
    <row r="1495" spans="1:25" x14ac:dyDescent="0.45">
      <c r="A1495" s="3" t="s">
        <v>2664</v>
      </c>
      <c r="B1495" s="3" t="s">
        <v>2665</v>
      </c>
      <c r="C1495" s="6" t="s">
        <v>518</v>
      </c>
      <c r="D1495" s="6" t="s">
        <v>10</v>
      </c>
      <c r="E1495" s="6" t="s">
        <v>17</v>
      </c>
      <c r="F1495" s="6">
        <v>59974.15</v>
      </c>
      <c r="G1495" s="2">
        <v>22.72</v>
      </c>
      <c r="H1495" s="2">
        <v>24.51</v>
      </c>
      <c r="I1495" s="2">
        <v>25.51</v>
      </c>
      <c r="J1495" s="47">
        <f t="shared" si="115"/>
        <v>7.8785211267605751E-2</v>
      </c>
      <c r="K1495" s="47">
        <f t="shared" si="116"/>
        <v>4.0799673602611178E-2</v>
      </c>
      <c r="L1495" s="8">
        <v>14.87</v>
      </c>
      <c r="M1495" s="8">
        <v>15.2</v>
      </c>
      <c r="N1495" s="8">
        <v>14.61</v>
      </c>
      <c r="O1495" s="17">
        <f t="shared" si="117"/>
        <v>1.9292960893854718</v>
      </c>
      <c r="P1495" s="17">
        <f t="shared" si="118"/>
        <v>3.580911</v>
      </c>
      <c r="R1495" s="9">
        <v>40.4</v>
      </c>
      <c r="S1495" s="9">
        <v>11.19</v>
      </c>
      <c r="T1495" s="9">
        <v>35653.523430000001</v>
      </c>
      <c r="U1495" s="9">
        <v>36799</v>
      </c>
      <c r="V1495" s="45">
        <f t="shared" si="119"/>
        <v>-3.1127926574091656E-2</v>
      </c>
      <c r="W1495" s="12">
        <v>19.89</v>
      </c>
      <c r="X1495" s="12">
        <v>1.69</v>
      </c>
      <c r="Y1495" s="12">
        <v>20210729</v>
      </c>
    </row>
    <row r="1496" spans="1:25" x14ac:dyDescent="0.45">
      <c r="A1496" s="3" t="s">
        <v>2666</v>
      </c>
      <c r="B1496" s="3" t="s">
        <v>2667</v>
      </c>
      <c r="C1496" s="6" t="s">
        <v>518</v>
      </c>
      <c r="D1496" s="6" t="s">
        <v>189</v>
      </c>
      <c r="E1496" s="6" t="s">
        <v>1610</v>
      </c>
      <c r="F1496" s="6">
        <v>30837.66</v>
      </c>
      <c r="G1496" s="2">
        <v>0.26</v>
      </c>
      <c r="H1496" s="2">
        <v>0.28999999999999998</v>
      </c>
      <c r="I1496" s="2">
        <v>0.3</v>
      </c>
      <c r="J1496" s="47">
        <f t="shared" si="115"/>
        <v>0.11538461538461527</v>
      </c>
      <c r="K1496" s="47">
        <f t="shared" si="116"/>
        <v>3.4482758620689689E-2</v>
      </c>
      <c r="L1496" s="8">
        <v>14.45</v>
      </c>
      <c r="M1496" s="8">
        <v>18.670000000000002</v>
      </c>
      <c r="N1496" s="8">
        <v>18.45</v>
      </c>
      <c r="O1496" s="17">
        <f t="shared" si="117"/>
        <v>1.6180666666666685</v>
      </c>
      <c r="P1496" s="17">
        <f t="shared" si="118"/>
        <v>5.3504999999999949</v>
      </c>
      <c r="Q1496" s="5">
        <v>12.53</v>
      </c>
      <c r="R1496" s="9">
        <v>12.88</v>
      </c>
      <c r="S1496" s="9">
        <v>1.71</v>
      </c>
      <c r="T1496" s="9">
        <v>25721.519530000001</v>
      </c>
      <c r="U1496" s="9">
        <v>24976.55</v>
      </c>
      <c r="V1496" s="45">
        <f t="shared" si="119"/>
        <v>2.9826758699660366E-2</v>
      </c>
      <c r="W1496" s="12">
        <v>700</v>
      </c>
      <c r="X1496" s="12">
        <v>0</v>
      </c>
      <c r="Y1496" s="12">
        <v>20210730</v>
      </c>
    </row>
    <row r="1497" spans="1:25" x14ac:dyDescent="0.45">
      <c r="A1497" s="3" t="s">
        <v>2668</v>
      </c>
      <c r="B1497" s="3" t="s">
        <v>2669</v>
      </c>
      <c r="C1497" s="6" t="s">
        <v>518</v>
      </c>
      <c r="D1497" s="6" t="s">
        <v>225</v>
      </c>
      <c r="E1497" s="6" t="s">
        <v>226</v>
      </c>
      <c r="F1497" s="6">
        <v>5349.66</v>
      </c>
      <c r="G1497" s="2">
        <v>1.59</v>
      </c>
      <c r="H1497" s="2">
        <v>1.92</v>
      </c>
      <c r="I1497" s="2">
        <v>2.09</v>
      </c>
      <c r="J1497" s="47">
        <f t="shared" si="115"/>
        <v>0.20754716981132065</v>
      </c>
      <c r="K1497" s="47">
        <f t="shared" si="116"/>
        <v>8.854166666666663E-2</v>
      </c>
      <c r="L1497" s="8">
        <v>17.96</v>
      </c>
      <c r="M1497" s="8">
        <v>16.149999999999999</v>
      </c>
      <c r="N1497" s="8">
        <v>14.87</v>
      </c>
      <c r="O1497" s="17">
        <f t="shared" si="117"/>
        <v>0.77813636363636396</v>
      </c>
      <c r="P1497" s="17">
        <f t="shared" si="118"/>
        <v>1.6794352941176478</v>
      </c>
      <c r="R1497" s="9">
        <v>12.4</v>
      </c>
      <c r="S1497" s="9">
        <v>8.6</v>
      </c>
      <c r="T1497" s="9">
        <v>3226.0429600000002</v>
      </c>
      <c r="U1497" s="9">
        <v>2873.67</v>
      </c>
      <c r="V1497" s="45">
        <f t="shared" si="119"/>
        <v>0.12262123347496412</v>
      </c>
      <c r="W1497" s="12">
        <v>21.74</v>
      </c>
      <c r="X1497" s="12">
        <v>0</v>
      </c>
      <c r="Y1497" s="12">
        <v>20210805</v>
      </c>
    </row>
    <row r="1498" spans="1:25" x14ac:dyDescent="0.45">
      <c r="A1498" s="3" t="s">
        <v>2670</v>
      </c>
      <c r="B1498" s="3" t="s">
        <v>2671</v>
      </c>
      <c r="C1498" s="6" t="s">
        <v>518</v>
      </c>
      <c r="D1498" s="6" t="s">
        <v>175</v>
      </c>
      <c r="E1498" s="6" t="s">
        <v>305</v>
      </c>
      <c r="F1498" s="6">
        <v>6715.16</v>
      </c>
      <c r="G1498" s="2">
        <v>-0.11</v>
      </c>
      <c r="H1498" s="2">
        <v>-0.48</v>
      </c>
      <c r="I1498" s="2">
        <v>0.16</v>
      </c>
      <c r="J1498" s="47">
        <f t="shared" si="115"/>
        <v>-3.3636363636363638</v>
      </c>
      <c r="K1498" s="47">
        <f t="shared" si="116"/>
        <v>1.3333333333333335</v>
      </c>
      <c r="N1498" s="8">
        <v>109.3</v>
      </c>
      <c r="O1498" s="17">
        <f t="shared" si="117"/>
        <v>0</v>
      </c>
      <c r="P1498" s="17">
        <f t="shared" si="118"/>
        <v>0.81974999999999987</v>
      </c>
      <c r="R1498" s="9">
        <v>-5.6</v>
      </c>
      <c r="S1498" s="9">
        <v>-2.67</v>
      </c>
      <c r="T1498" s="9">
        <v>5593.9492099999998</v>
      </c>
      <c r="U1498" s="9">
        <v>6090</v>
      </c>
      <c r="V1498" s="45">
        <f t="shared" si="119"/>
        <v>-8.1453331691297245E-2</v>
      </c>
      <c r="W1498" s="12">
        <v>-21.74</v>
      </c>
      <c r="X1498" s="12">
        <v>0</v>
      </c>
      <c r="Y1498" s="12">
        <v>20210727</v>
      </c>
    </row>
    <row r="1499" spans="1:25" x14ac:dyDescent="0.45">
      <c r="A1499" s="3" t="s">
        <v>2672</v>
      </c>
      <c r="B1499" s="3" t="s">
        <v>2673</v>
      </c>
      <c r="C1499" s="6" t="s">
        <v>518</v>
      </c>
      <c r="D1499" s="6" t="s">
        <v>289</v>
      </c>
      <c r="E1499" s="6" t="s">
        <v>400</v>
      </c>
      <c r="F1499" s="6">
        <v>3378.14</v>
      </c>
      <c r="G1499" s="2">
        <v>-2.2599999999999998</v>
      </c>
      <c r="H1499" s="2">
        <v>-1.1200000000000001</v>
      </c>
      <c r="I1499" s="2">
        <v>-1.1000000000000001</v>
      </c>
      <c r="J1499" s="47">
        <f t="shared" si="115"/>
        <v>0.50442477876106184</v>
      </c>
      <c r="K1499" s="47">
        <f t="shared" si="116"/>
        <v>1.785714285714287E-2</v>
      </c>
      <c r="O1499" s="17">
        <f t="shared" si="117"/>
        <v>0</v>
      </c>
      <c r="P1499" s="17">
        <f t="shared" si="118"/>
        <v>0</v>
      </c>
      <c r="R1499" s="9">
        <v>-7.31</v>
      </c>
      <c r="T1499" s="9">
        <v>230.53100000000001</v>
      </c>
      <c r="U1499" s="9">
        <v>160.82</v>
      </c>
      <c r="V1499" s="45">
        <f t="shared" si="119"/>
        <v>0.43347220494963323</v>
      </c>
      <c r="W1499" s="12">
        <v>8.82</v>
      </c>
      <c r="X1499" s="12">
        <v>0</v>
      </c>
      <c r="Y1499" s="12">
        <v>20210804</v>
      </c>
    </row>
    <row r="1500" spans="1:25" x14ac:dyDescent="0.45">
      <c r="A1500" s="3" t="s">
        <v>2674</v>
      </c>
      <c r="B1500" s="3" t="s">
        <v>2675</v>
      </c>
      <c r="C1500" s="6" t="s">
        <v>519</v>
      </c>
      <c r="D1500" s="6" t="s">
        <v>189</v>
      </c>
      <c r="E1500" s="6" t="s">
        <v>211</v>
      </c>
      <c r="F1500" s="6">
        <v>4853.66</v>
      </c>
      <c r="G1500" s="2">
        <v>1.85</v>
      </c>
      <c r="H1500" s="2">
        <v>2.16</v>
      </c>
      <c r="I1500" s="2">
        <v>2.56</v>
      </c>
      <c r="J1500" s="47">
        <f t="shared" si="115"/>
        <v>0.16756756756756758</v>
      </c>
      <c r="K1500" s="47">
        <f t="shared" si="116"/>
        <v>0.18518518518518512</v>
      </c>
      <c r="L1500" s="8">
        <v>68.239999999999995</v>
      </c>
      <c r="M1500" s="8">
        <v>63.51</v>
      </c>
      <c r="N1500" s="8">
        <v>53.69</v>
      </c>
      <c r="O1500" s="17">
        <f t="shared" si="117"/>
        <v>3.7901129032258059</v>
      </c>
      <c r="P1500" s="17">
        <f t="shared" si="118"/>
        <v>2.8992600000000008</v>
      </c>
      <c r="R1500" s="9">
        <v>15.66</v>
      </c>
      <c r="S1500" s="9">
        <v>12.01</v>
      </c>
      <c r="T1500" s="9">
        <v>650.64898000000005</v>
      </c>
      <c r="U1500" s="9">
        <v>590.62</v>
      </c>
      <c r="V1500" s="45">
        <f t="shared" si="119"/>
        <v>0.10163722867495183</v>
      </c>
      <c r="W1500" s="12">
        <v>52.63</v>
      </c>
      <c r="X1500" s="12">
        <v>0</v>
      </c>
      <c r="Y1500" s="12">
        <v>20210805</v>
      </c>
    </row>
    <row r="1501" spans="1:25" x14ac:dyDescent="0.45">
      <c r="A1501" s="3" t="s">
        <v>2676</v>
      </c>
      <c r="B1501" s="3" t="s">
        <v>2677</v>
      </c>
      <c r="C1501" s="6" t="s">
        <v>518</v>
      </c>
      <c r="D1501" s="6" t="s">
        <v>189</v>
      </c>
      <c r="E1501" s="6" t="s">
        <v>204</v>
      </c>
      <c r="F1501" s="6">
        <v>91756.05</v>
      </c>
      <c r="G1501" s="2">
        <v>4.55</v>
      </c>
      <c r="H1501" s="2">
        <v>5.5</v>
      </c>
      <c r="I1501" s="2">
        <v>7.03</v>
      </c>
      <c r="J1501" s="47">
        <f t="shared" si="115"/>
        <v>0.20879120879120883</v>
      </c>
      <c r="K1501" s="47">
        <f t="shared" si="116"/>
        <v>0.27818181818181825</v>
      </c>
      <c r="L1501" s="8">
        <v>90.59</v>
      </c>
      <c r="M1501" s="8">
        <v>84.5</v>
      </c>
      <c r="N1501" s="8">
        <v>66.069999999999993</v>
      </c>
      <c r="O1501" s="17">
        <f t="shared" si="117"/>
        <v>4.0471052631578939</v>
      </c>
      <c r="P1501" s="17">
        <f t="shared" si="118"/>
        <v>2.3750653594771234</v>
      </c>
      <c r="Q1501" s="5">
        <v>3.04</v>
      </c>
      <c r="R1501" s="9">
        <v>9.32</v>
      </c>
      <c r="S1501" s="9">
        <v>34.39</v>
      </c>
      <c r="T1501" s="9">
        <v>5723.1420799999996</v>
      </c>
      <c r="U1501" s="9">
        <v>4519.4799999999996</v>
      </c>
      <c r="V1501" s="45">
        <f t="shared" si="119"/>
        <v>0.26632755980776551</v>
      </c>
      <c r="W1501" s="12">
        <v>13.43</v>
      </c>
      <c r="X1501" s="12">
        <v>0</v>
      </c>
      <c r="Y1501" s="12">
        <v>20210804</v>
      </c>
    </row>
    <row r="1502" spans="1:25" x14ac:dyDescent="0.45">
      <c r="A1502" s="3" t="s">
        <v>4848</v>
      </c>
      <c r="B1502" s="3" t="s">
        <v>4849</v>
      </c>
      <c r="C1502" s="6" t="s">
        <v>520</v>
      </c>
      <c r="D1502" s="6" t="s">
        <v>309</v>
      </c>
      <c r="E1502" s="6" t="s">
        <v>315</v>
      </c>
      <c r="F1502" s="6">
        <v>7660.98</v>
      </c>
      <c r="J1502" s="47" t="e">
        <f t="shared" si="115"/>
        <v>#DIV/0!</v>
      </c>
      <c r="K1502" s="47" t="e">
        <f t="shared" si="116"/>
        <v>#DIV/0!</v>
      </c>
      <c r="L1502" s="8">
        <v>4.3499999999999996</v>
      </c>
      <c r="O1502" s="17" t="e">
        <f t="shared" si="117"/>
        <v>#DIV/0!</v>
      </c>
      <c r="P1502" s="17" t="e">
        <f t="shared" si="118"/>
        <v>#DIV/0!</v>
      </c>
      <c r="R1502" s="9">
        <v>35.72</v>
      </c>
      <c r="S1502" s="9">
        <v>-4.72</v>
      </c>
      <c r="U1502" s="9">
        <v>15173.64</v>
      </c>
      <c r="V1502" s="45">
        <f t="shared" si="119"/>
        <v>-1</v>
      </c>
      <c r="X1502" s="12">
        <v>0.31</v>
      </c>
      <c r="Y1502" s="12">
        <v>20210804</v>
      </c>
    </row>
    <row r="1503" spans="1:25" x14ac:dyDescent="0.45">
      <c r="A1503" s="3" t="s">
        <v>4850</v>
      </c>
      <c r="B1503" s="3" t="s">
        <v>4851</v>
      </c>
      <c r="C1503" s="6" t="s">
        <v>520</v>
      </c>
      <c r="D1503" s="6" t="s">
        <v>90</v>
      </c>
      <c r="E1503" s="6" t="s">
        <v>304</v>
      </c>
      <c r="F1503" s="6">
        <v>16991.740000000002</v>
      </c>
      <c r="J1503" s="47" t="e">
        <f t="shared" si="115"/>
        <v>#DIV/0!</v>
      </c>
      <c r="K1503" s="47" t="e">
        <f t="shared" si="116"/>
        <v>#DIV/0!</v>
      </c>
      <c r="O1503" s="17" t="e">
        <f t="shared" si="117"/>
        <v>#DIV/0!</v>
      </c>
      <c r="P1503" s="17" t="e">
        <f t="shared" si="118"/>
        <v>#DIV/0!</v>
      </c>
      <c r="R1503" s="9">
        <v>-1.04</v>
      </c>
      <c r="S1503" s="9">
        <v>4.38</v>
      </c>
      <c r="U1503" s="9">
        <v>45558.95</v>
      </c>
      <c r="V1503" s="45">
        <f t="shared" si="119"/>
        <v>-1</v>
      </c>
      <c r="X1503" s="12">
        <v>0.65</v>
      </c>
      <c r="Y1503" s="12">
        <v>20210803</v>
      </c>
    </row>
    <row r="1504" spans="1:25" x14ac:dyDescent="0.45">
      <c r="A1504" s="3" t="s">
        <v>4852</v>
      </c>
      <c r="B1504" s="3" t="s">
        <v>4853</v>
      </c>
      <c r="C1504" s="6" t="s">
        <v>520</v>
      </c>
      <c r="D1504" s="6" t="s">
        <v>272</v>
      </c>
      <c r="E1504" s="6" t="s">
        <v>2638</v>
      </c>
      <c r="F1504" s="6">
        <v>4906.46</v>
      </c>
      <c r="J1504" s="47" t="e">
        <f t="shared" si="115"/>
        <v>#DIV/0!</v>
      </c>
      <c r="K1504" s="47" t="e">
        <f t="shared" si="116"/>
        <v>#DIV/0!</v>
      </c>
      <c r="L1504" s="8">
        <v>638.66999999999996</v>
      </c>
      <c r="O1504" s="17" t="e">
        <f t="shared" si="117"/>
        <v>#DIV/0!</v>
      </c>
      <c r="P1504" s="17" t="e">
        <f t="shared" si="118"/>
        <v>#DIV/0!</v>
      </c>
      <c r="R1504" s="9">
        <v>0.1</v>
      </c>
      <c r="S1504" s="9">
        <v>-7.88</v>
      </c>
      <c r="U1504" s="9">
        <v>7052.41</v>
      </c>
      <c r="V1504" s="45">
        <f t="shared" si="119"/>
        <v>-1</v>
      </c>
      <c r="X1504" s="12">
        <v>0.73</v>
      </c>
      <c r="Y1504" s="12">
        <v>20210803</v>
      </c>
    </row>
    <row r="1505" spans="1:25" x14ac:dyDescent="0.45">
      <c r="A1505" s="3" t="s">
        <v>4854</v>
      </c>
      <c r="B1505" s="3" t="s">
        <v>4855</v>
      </c>
      <c r="C1505" s="6" t="s">
        <v>520</v>
      </c>
      <c r="D1505" s="6" t="s">
        <v>216</v>
      </c>
      <c r="E1505" s="6" t="s">
        <v>1052</v>
      </c>
      <c r="F1505" s="6">
        <v>93634.880000000005</v>
      </c>
      <c r="J1505" s="47" t="e">
        <f t="shared" si="115"/>
        <v>#DIV/0!</v>
      </c>
      <c r="K1505" s="47" t="e">
        <f t="shared" si="116"/>
        <v>#DIV/0!</v>
      </c>
      <c r="O1505" s="17" t="e">
        <f t="shared" si="117"/>
        <v>#DIV/0!</v>
      </c>
      <c r="P1505" s="17" t="e">
        <f t="shared" si="118"/>
        <v>#DIV/0!</v>
      </c>
      <c r="U1505" s="9">
        <v>4001</v>
      </c>
      <c r="V1505" s="45">
        <f t="shared" si="119"/>
        <v>-1</v>
      </c>
      <c r="X1505" s="12">
        <v>0.12</v>
      </c>
      <c r="Y1505" s="12">
        <v>20210705</v>
      </c>
    </row>
    <row r="1506" spans="1:25" x14ac:dyDescent="0.45">
      <c r="A1506" s="3" t="s">
        <v>4856</v>
      </c>
      <c r="B1506" s="3" t="s">
        <v>4857</v>
      </c>
      <c r="C1506" s="6" t="s">
        <v>520</v>
      </c>
      <c r="D1506" s="6" t="s">
        <v>234</v>
      </c>
      <c r="E1506" s="6" t="s">
        <v>105</v>
      </c>
      <c r="F1506" s="6">
        <v>45075.96</v>
      </c>
      <c r="J1506" s="47" t="e">
        <f t="shared" si="115"/>
        <v>#DIV/0!</v>
      </c>
      <c r="K1506" s="47" t="e">
        <f t="shared" si="116"/>
        <v>#DIV/0!</v>
      </c>
      <c r="L1506" s="8">
        <v>14.65</v>
      </c>
      <c r="O1506" s="17" t="e">
        <f t="shared" si="117"/>
        <v>#DIV/0!</v>
      </c>
      <c r="P1506" s="17" t="e">
        <f t="shared" si="118"/>
        <v>#DIV/0!</v>
      </c>
      <c r="R1506" s="9">
        <v>7.91</v>
      </c>
      <c r="S1506" s="9">
        <v>-3.55</v>
      </c>
      <c r="U1506" s="9">
        <v>12060.52</v>
      </c>
      <c r="V1506" s="45">
        <f t="shared" si="119"/>
        <v>-1</v>
      </c>
      <c r="X1506" s="12">
        <v>0.4</v>
      </c>
      <c r="Y1506" s="12">
        <v>20210716</v>
      </c>
    </row>
    <row r="1507" spans="1:25" x14ac:dyDescent="0.45">
      <c r="A1507" s="3" t="s">
        <v>4263</v>
      </c>
      <c r="B1507" s="3" t="s">
        <v>4264</v>
      </c>
      <c r="C1507" s="6" t="s">
        <v>518</v>
      </c>
      <c r="D1507" s="6" t="s">
        <v>327</v>
      </c>
      <c r="E1507" s="6" t="s">
        <v>321</v>
      </c>
      <c r="F1507" s="6">
        <v>8975.1299999999992</v>
      </c>
      <c r="G1507" s="2">
        <v>4.82</v>
      </c>
      <c r="H1507" s="2">
        <v>3.86</v>
      </c>
      <c r="I1507" s="2">
        <v>6.33</v>
      </c>
      <c r="J1507" s="47">
        <f t="shared" si="115"/>
        <v>-0.19917012448132787</v>
      </c>
      <c r="K1507" s="47">
        <f t="shared" si="116"/>
        <v>0.63989637305699487</v>
      </c>
      <c r="L1507" s="8">
        <v>14.1</v>
      </c>
      <c r="M1507" s="8">
        <v>9.49</v>
      </c>
      <c r="N1507" s="8">
        <v>5.79</v>
      </c>
      <c r="O1507" s="17">
        <f t="shared" si="117"/>
        <v>-0.47647708333333316</v>
      </c>
      <c r="P1507" s="17">
        <f t="shared" si="118"/>
        <v>9.0483400809716591E-2</v>
      </c>
      <c r="Q1507" s="5">
        <v>0.3</v>
      </c>
      <c r="R1507" s="9">
        <v>37.01</v>
      </c>
      <c r="S1507" s="9">
        <v>-4.96</v>
      </c>
      <c r="T1507" s="9">
        <v>12630.230460000001</v>
      </c>
      <c r="U1507" s="9">
        <v>9093</v>
      </c>
      <c r="V1507" s="45">
        <f t="shared" si="119"/>
        <v>0.38900587924777308</v>
      </c>
      <c r="W1507" s="12">
        <v>-48.78</v>
      </c>
      <c r="X1507" s="12">
        <v>3.55</v>
      </c>
      <c r="Y1507" s="12">
        <v>20210805</v>
      </c>
    </row>
    <row r="1508" spans="1:25" x14ac:dyDescent="0.45">
      <c r="A1508" s="3" t="s">
        <v>2679</v>
      </c>
      <c r="B1508" s="3" t="s">
        <v>2680</v>
      </c>
      <c r="C1508" s="6" t="s">
        <v>520</v>
      </c>
      <c r="D1508" s="6" t="s">
        <v>175</v>
      </c>
      <c r="E1508" s="6" t="s">
        <v>305</v>
      </c>
      <c r="F1508" s="6">
        <v>18781.900000000001</v>
      </c>
      <c r="G1508" s="2">
        <v>1.01</v>
      </c>
      <c r="H1508" s="2">
        <v>1.05</v>
      </c>
      <c r="I1508" s="2">
        <v>1.1399999999999999</v>
      </c>
      <c r="J1508" s="47">
        <f t="shared" si="115"/>
        <v>3.9603960396039639E-2</v>
      </c>
      <c r="K1508" s="47">
        <f t="shared" si="116"/>
        <v>8.5714285714285576E-2</v>
      </c>
      <c r="L1508" s="8">
        <v>36.22</v>
      </c>
      <c r="M1508" s="8">
        <v>29.32</v>
      </c>
      <c r="N1508" s="8">
        <v>27.01</v>
      </c>
      <c r="O1508" s="17">
        <f t="shared" si="117"/>
        <v>7.4032999999999936</v>
      </c>
      <c r="P1508" s="17">
        <f t="shared" si="118"/>
        <v>3.151166666666672</v>
      </c>
      <c r="R1508" s="9">
        <v>18.86</v>
      </c>
      <c r="T1508" s="9">
        <v>5558.20507</v>
      </c>
      <c r="U1508" s="9">
        <v>4865.46</v>
      </c>
      <c r="V1508" s="45">
        <f t="shared" si="119"/>
        <v>0.14238017988021687</v>
      </c>
      <c r="X1508" s="12">
        <v>0.41</v>
      </c>
      <c r="Y1508" s="12">
        <v>20210615</v>
      </c>
    </row>
    <row r="1509" spans="1:25" x14ac:dyDescent="0.45">
      <c r="A1509" s="3" t="s">
        <v>2681</v>
      </c>
      <c r="B1509" s="3" t="s">
        <v>2682</v>
      </c>
      <c r="C1509" s="6" t="s">
        <v>518</v>
      </c>
      <c r="D1509" s="6" t="s">
        <v>234</v>
      </c>
      <c r="E1509" s="6" t="s">
        <v>285</v>
      </c>
      <c r="F1509" s="6">
        <v>5184.45</v>
      </c>
      <c r="G1509" s="2">
        <v>1.45</v>
      </c>
      <c r="H1509" s="2">
        <v>1.37</v>
      </c>
      <c r="I1509" s="2">
        <v>1.71</v>
      </c>
      <c r="J1509" s="47">
        <f t="shared" si="115"/>
        <v>-5.5172413793103343E-2</v>
      </c>
      <c r="K1509" s="47">
        <f t="shared" si="116"/>
        <v>0.24817518248175169</v>
      </c>
      <c r="L1509" s="8">
        <v>8.48</v>
      </c>
      <c r="M1509" s="8">
        <v>8.1199999999999992</v>
      </c>
      <c r="N1509" s="8">
        <v>6.51</v>
      </c>
      <c r="O1509" s="17">
        <f t="shared" si="117"/>
        <v>-1.4717500000000026</v>
      </c>
      <c r="P1509" s="17">
        <f t="shared" si="118"/>
        <v>0.26231470588235306</v>
      </c>
      <c r="R1509" s="9">
        <v>12.82</v>
      </c>
      <c r="S1509" s="9">
        <v>4.79</v>
      </c>
      <c r="T1509" s="9">
        <v>583.90599999999995</v>
      </c>
      <c r="U1509" s="9">
        <v>1946.59</v>
      </c>
      <c r="V1509" s="45">
        <f t="shared" si="119"/>
        <v>-0.70003647403921732</v>
      </c>
      <c r="W1509" s="12">
        <v>0</v>
      </c>
      <c r="X1509" s="12">
        <v>7.2</v>
      </c>
      <c r="Y1509" s="12">
        <v>20210728</v>
      </c>
    </row>
    <row r="1510" spans="1:25" x14ac:dyDescent="0.45">
      <c r="A1510" s="3" t="s">
        <v>4265</v>
      </c>
      <c r="B1510" s="3" t="s">
        <v>4266</v>
      </c>
      <c r="C1510" s="6" t="s">
        <v>518</v>
      </c>
      <c r="D1510" s="6" t="s">
        <v>234</v>
      </c>
      <c r="E1510" s="6" t="s">
        <v>286</v>
      </c>
      <c r="F1510" s="6">
        <v>3732.25</v>
      </c>
      <c r="G1510" s="2">
        <v>1.69</v>
      </c>
      <c r="H1510" s="2">
        <v>1.96</v>
      </c>
      <c r="I1510" s="2">
        <v>2.08</v>
      </c>
      <c r="J1510" s="47">
        <f t="shared" si="115"/>
        <v>0.15976331360946747</v>
      </c>
      <c r="K1510" s="47">
        <f t="shared" si="116"/>
        <v>6.1224489795918421E-2</v>
      </c>
      <c r="L1510" s="8">
        <v>27.07</v>
      </c>
      <c r="M1510" s="8">
        <v>24.86</v>
      </c>
      <c r="N1510" s="8">
        <v>23.48</v>
      </c>
      <c r="O1510" s="17">
        <f t="shared" si="117"/>
        <v>1.5560518518518518</v>
      </c>
      <c r="P1510" s="17">
        <f t="shared" si="118"/>
        <v>3.8350666666666635</v>
      </c>
      <c r="R1510" s="9">
        <v>5.16</v>
      </c>
      <c r="S1510" s="9">
        <v>22.51</v>
      </c>
      <c r="T1510" s="9">
        <v>510.15499</v>
      </c>
      <c r="U1510" s="9">
        <v>432.22</v>
      </c>
      <c r="V1510" s="45">
        <f t="shared" si="119"/>
        <v>0.18031324325574929</v>
      </c>
      <c r="W1510" s="12">
        <v>8.89</v>
      </c>
      <c r="X1510" s="12">
        <v>2.87</v>
      </c>
      <c r="Y1510" s="12">
        <v>20210805</v>
      </c>
    </row>
    <row r="1511" spans="1:25" x14ac:dyDescent="0.45">
      <c r="A1511" s="3" t="s">
        <v>2683</v>
      </c>
      <c r="B1511" s="3" t="s">
        <v>2684</v>
      </c>
      <c r="C1511" s="6" t="s">
        <v>520</v>
      </c>
      <c r="D1511" s="6" t="s">
        <v>46</v>
      </c>
      <c r="E1511" s="6" t="s">
        <v>66</v>
      </c>
      <c r="F1511" s="6">
        <v>21356.84</v>
      </c>
      <c r="G1511" s="2">
        <v>-2.14</v>
      </c>
      <c r="H1511" s="2">
        <v>0.11</v>
      </c>
      <c r="I1511" s="2">
        <v>0.99</v>
      </c>
      <c r="J1511" s="47">
        <f t="shared" si="115"/>
        <v>1.0514018691588785</v>
      </c>
      <c r="K1511" s="47">
        <f t="shared" si="116"/>
        <v>8</v>
      </c>
      <c r="M1511" s="8">
        <v>89.29</v>
      </c>
      <c r="N1511" s="8">
        <v>10.220000000000001</v>
      </c>
      <c r="O1511" s="17">
        <f t="shared" si="117"/>
        <v>0.84924711111111117</v>
      </c>
      <c r="P1511" s="17">
        <f t="shared" si="118"/>
        <v>1.2775000000000002E-2</v>
      </c>
      <c r="R1511" s="9">
        <v>-7.99</v>
      </c>
      <c r="S1511" s="9">
        <v>-7.54</v>
      </c>
      <c r="T1511" s="9">
        <v>84157.960930000001</v>
      </c>
      <c r="U1511" s="9">
        <v>74174.850000000006</v>
      </c>
      <c r="V1511" s="45">
        <f t="shared" si="119"/>
        <v>0.13458889273116151</v>
      </c>
      <c r="W1511" s="12">
        <v>-400</v>
      </c>
      <c r="X1511" s="12">
        <v>0</v>
      </c>
      <c r="Y1511" s="12">
        <v>20210727</v>
      </c>
    </row>
    <row r="1512" spans="1:25" x14ac:dyDescent="0.45">
      <c r="A1512" s="3" t="s">
        <v>2685</v>
      </c>
      <c r="B1512" s="3" t="s">
        <v>2686</v>
      </c>
      <c r="C1512" s="6" t="s">
        <v>518</v>
      </c>
      <c r="D1512" s="6" t="s">
        <v>309</v>
      </c>
      <c r="E1512" s="6" t="s">
        <v>311</v>
      </c>
      <c r="F1512" s="6">
        <v>68505.98</v>
      </c>
      <c r="G1512" s="2">
        <v>9.1</v>
      </c>
      <c r="H1512" s="2">
        <v>11.21</v>
      </c>
      <c r="I1512" s="2">
        <v>12.87</v>
      </c>
      <c r="J1512" s="47">
        <f t="shared" si="115"/>
        <v>0.23186813186813202</v>
      </c>
      <c r="K1512" s="47">
        <f t="shared" si="116"/>
        <v>0.14808206958073133</v>
      </c>
      <c r="L1512" s="8">
        <v>29.31</v>
      </c>
      <c r="M1512" s="8">
        <v>24.41</v>
      </c>
      <c r="N1512" s="8">
        <v>21.28</v>
      </c>
      <c r="O1512" s="17">
        <f t="shared" si="117"/>
        <v>1.052753554502369</v>
      </c>
      <c r="P1512" s="17">
        <f t="shared" si="118"/>
        <v>1.4370409638554231</v>
      </c>
      <c r="Q1512" s="5">
        <v>2.1</v>
      </c>
      <c r="R1512" s="9">
        <v>16.07</v>
      </c>
      <c r="S1512" s="9">
        <v>0.71</v>
      </c>
      <c r="T1512" s="9">
        <v>10801.82812</v>
      </c>
      <c r="U1512" s="9">
        <v>9789</v>
      </c>
      <c r="V1512" s="45">
        <f t="shared" si="119"/>
        <v>0.10346594340586374</v>
      </c>
      <c r="W1512" s="12">
        <v>4.3099999999999996</v>
      </c>
      <c r="X1512" s="12">
        <v>1.45</v>
      </c>
      <c r="Y1512" s="12">
        <v>20210804</v>
      </c>
    </row>
    <row r="1513" spans="1:25" x14ac:dyDescent="0.45">
      <c r="A1513" s="3" t="s">
        <v>4267</v>
      </c>
      <c r="B1513" s="3" t="s">
        <v>4268</v>
      </c>
      <c r="C1513" s="6" t="s">
        <v>519</v>
      </c>
      <c r="D1513" s="6" t="s">
        <v>303</v>
      </c>
      <c r="E1513" s="6" t="s">
        <v>4269</v>
      </c>
      <c r="F1513" s="6">
        <v>3708.72</v>
      </c>
      <c r="G1513" s="2">
        <v>5.93</v>
      </c>
      <c r="H1513" s="2">
        <v>6.71</v>
      </c>
      <c r="I1513" s="2">
        <v>7.3</v>
      </c>
      <c r="J1513" s="47">
        <f t="shared" si="115"/>
        <v>0.13153456998313665</v>
      </c>
      <c r="K1513" s="47">
        <f t="shared" si="116"/>
        <v>8.7928464977645282E-2</v>
      </c>
      <c r="L1513" s="8">
        <v>16.96</v>
      </c>
      <c r="M1513" s="8">
        <v>15.65</v>
      </c>
      <c r="N1513" s="8">
        <v>14.38</v>
      </c>
      <c r="O1513" s="17">
        <f t="shared" si="117"/>
        <v>1.1898012820512816</v>
      </c>
      <c r="P1513" s="17">
        <f t="shared" si="118"/>
        <v>1.6354203389830513</v>
      </c>
      <c r="Q1513" s="5">
        <v>1.57</v>
      </c>
      <c r="R1513" s="9">
        <v>16.91</v>
      </c>
      <c r="S1513" s="9">
        <v>10.25</v>
      </c>
      <c r="T1513" s="9">
        <v>8888.6845699999994</v>
      </c>
      <c r="U1513" s="9">
        <v>8340.58</v>
      </c>
      <c r="V1513" s="45">
        <f t="shared" si="119"/>
        <v>6.5715402286171884E-2</v>
      </c>
      <c r="W1513" s="12">
        <v>-9.7200000000000006</v>
      </c>
      <c r="X1513" s="12">
        <v>0</v>
      </c>
      <c r="Y1513" s="12">
        <v>20210805</v>
      </c>
    </row>
    <row r="1514" spans="1:25" x14ac:dyDescent="0.45">
      <c r="A1514" s="3" t="s">
        <v>2687</v>
      </c>
      <c r="B1514" s="3" t="s">
        <v>2688</v>
      </c>
      <c r="C1514" s="6" t="s">
        <v>518</v>
      </c>
      <c r="D1514" s="6" t="s">
        <v>175</v>
      </c>
      <c r="E1514" s="6" t="s">
        <v>1922</v>
      </c>
      <c r="F1514" s="6">
        <v>3525.61</v>
      </c>
      <c r="G1514" s="2">
        <v>4.45</v>
      </c>
      <c r="H1514" s="2">
        <v>4.1100000000000003</v>
      </c>
      <c r="I1514" s="2">
        <v>4.7699999999999996</v>
      </c>
      <c r="J1514" s="47">
        <f t="shared" si="115"/>
        <v>-7.6404494382022431E-2</v>
      </c>
      <c r="K1514" s="47">
        <f t="shared" si="116"/>
        <v>0.16058394160583922</v>
      </c>
      <c r="L1514" s="8">
        <v>19.149999999999999</v>
      </c>
      <c r="M1514" s="8">
        <v>22.21</v>
      </c>
      <c r="N1514" s="8">
        <v>19.11</v>
      </c>
      <c r="O1514" s="17">
        <f t="shared" si="117"/>
        <v>-2.9068970588235312</v>
      </c>
      <c r="P1514" s="17">
        <f t="shared" si="118"/>
        <v>1.1900318181818195</v>
      </c>
      <c r="Q1514" s="5">
        <v>1.48</v>
      </c>
      <c r="R1514" s="9">
        <v>271.01</v>
      </c>
      <c r="S1514" s="9">
        <v>11.15</v>
      </c>
      <c r="T1514" s="9">
        <v>4618.90283</v>
      </c>
      <c r="U1514" s="9">
        <v>4287</v>
      </c>
      <c r="V1514" s="45">
        <f t="shared" si="119"/>
        <v>7.7420767436435736E-2</v>
      </c>
      <c r="W1514" s="12">
        <v>16.670000000000002</v>
      </c>
      <c r="X1514" s="12">
        <v>1.97</v>
      </c>
      <c r="Y1514" s="12">
        <v>20210802</v>
      </c>
    </row>
    <row r="1515" spans="1:25" x14ac:dyDescent="0.45">
      <c r="A1515" s="3" t="s">
        <v>2689</v>
      </c>
      <c r="B1515" s="3" t="s">
        <v>2690</v>
      </c>
      <c r="C1515" s="6" t="s">
        <v>520</v>
      </c>
      <c r="D1515" s="6" t="s">
        <v>225</v>
      </c>
      <c r="E1515" s="6" t="s">
        <v>226</v>
      </c>
      <c r="F1515" s="6">
        <v>364700.63</v>
      </c>
      <c r="G1515" s="2">
        <v>4.7699999999999996</v>
      </c>
      <c r="H1515" s="2">
        <v>4.76</v>
      </c>
      <c r="I1515" s="2">
        <v>5.14</v>
      </c>
      <c r="J1515" s="47">
        <f t="shared" si="115"/>
        <v>-2.0964360587001651E-3</v>
      </c>
      <c r="K1515" s="47">
        <f t="shared" si="116"/>
        <v>7.9831932773109224E-2</v>
      </c>
      <c r="M1515" s="8">
        <v>26.63</v>
      </c>
      <c r="N1515" s="8">
        <v>24.65</v>
      </c>
      <c r="O1515" s="17">
        <f t="shared" si="117"/>
        <v>-127.02510000000269</v>
      </c>
      <c r="P1515" s="17">
        <f t="shared" si="118"/>
        <v>3.0877368421052638</v>
      </c>
      <c r="Q1515" s="5">
        <v>3.53</v>
      </c>
      <c r="T1515" s="9">
        <v>93499.265620000006</v>
      </c>
      <c r="U1515" s="9">
        <v>89948.6</v>
      </c>
      <c r="V1515" s="45">
        <f t="shared" si="119"/>
        <v>3.9474384481804049E-2</v>
      </c>
      <c r="X1515" s="12">
        <v>1.99</v>
      </c>
    </row>
    <row r="1516" spans="1:25" x14ac:dyDescent="0.45">
      <c r="A1516" s="3" t="s">
        <v>2691</v>
      </c>
      <c r="B1516" s="3" t="s">
        <v>2692</v>
      </c>
      <c r="C1516" s="6" t="s">
        <v>519</v>
      </c>
      <c r="D1516" s="6" t="s">
        <v>189</v>
      </c>
      <c r="E1516" s="6" t="s">
        <v>203</v>
      </c>
      <c r="F1516" s="6">
        <v>18255.52</v>
      </c>
      <c r="G1516" s="2">
        <v>4.01</v>
      </c>
      <c r="H1516" s="2">
        <v>4.62</v>
      </c>
      <c r="I1516" s="2">
        <v>5.16</v>
      </c>
      <c r="J1516" s="47">
        <f t="shared" si="115"/>
        <v>0.15211970074812978</v>
      </c>
      <c r="K1516" s="47">
        <f t="shared" si="116"/>
        <v>0.11688311688311689</v>
      </c>
      <c r="L1516" s="8">
        <v>20.25</v>
      </c>
      <c r="M1516" s="8">
        <v>17.739999999999998</v>
      </c>
      <c r="N1516" s="8">
        <v>15.88</v>
      </c>
      <c r="O1516" s="17">
        <f t="shared" si="117"/>
        <v>1.1661868852459008</v>
      </c>
      <c r="P1516" s="17">
        <f t="shared" si="118"/>
        <v>1.3586222222222222</v>
      </c>
      <c r="Q1516" s="5">
        <v>2.02</v>
      </c>
      <c r="R1516" s="9">
        <v>164.35</v>
      </c>
      <c r="S1516" s="9">
        <v>0.4</v>
      </c>
      <c r="T1516" s="9">
        <v>6135.0361300000004</v>
      </c>
      <c r="U1516" s="9">
        <v>5744</v>
      </c>
      <c r="V1516" s="45">
        <f t="shared" si="119"/>
        <v>6.8077320682451328E-2</v>
      </c>
      <c r="W1516" s="12">
        <v>4.46</v>
      </c>
      <c r="X1516" s="12">
        <v>2.34</v>
      </c>
      <c r="Y1516" s="12">
        <v>20210825</v>
      </c>
    </row>
    <row r="1517" spans="1:25" x14ac:dyDescent="0.45">
      <c r="A1517" s="3" t="s">
        <v>2693</v>
      </c>
      <c r="B1517" s="3" t="s">
        <v>2694</v>
      </c>
      <c r="C1517" s="6" t="s">
        <v>518</v>
      </c>
      <c r="D1517" s="6" t="s">
        <v>225</v>
      </c>
      <c r="E1517" s="6" t="s">
        <v>1269</v>
      </c>
      <c r="F1517" s="6">
        <v>15370.35</v>
      </c>
      <c r="G1517" s="2">
        <v>-0.02</v>
      </c>
      <c r="H1517" s="2">
        <v>0.04</v>
      </c>
      <c r="I1517" s="2">
        <v>0.08</v>
      </c>
      <c r="J1517" s="47">
        <f t="shared" si="115"/>
        <v>3</v>
      </c>
      <c r="K1517" s="47">
        <f t="shared" si="116"/>
        <v>1</v>
      </c>
      <c r="M1517" s="8">
        <v>558.25</v>
      </c>
      <c r="N1517" s="8">
        <v>279.13</v>
      </c>
      <c r="O1517" s="17">
        <f t="shared" si="117"/>
        <v>1.8608333333333333</v>
      </c>
      <c r="P1517" s="17">
        <f t="shared" si="118"/>
        <v>2.7913000000000001</v>
      </c>
      <c r="R1517" s="9">
        <v>1.0900000000000001</v>
      </c>
      <c r="T1517" s="9">
        <v>1391.81005</v>
      </c>
      <c r="U1517" s="9">
        <v>7167.92</v>
      </c>
      <c r="V1517" s="45">
        <f t="shared" si="119"/>
        <v>-0.80582790405026838</v>
      </c>
      <c r="W1517" s="12">
        <v>-175</v>
      </c>
      <c r="X1517" s="12">
        <v>0</v>
      </c>
      <c r="Y1517" s="12">
        <v>20210813</v>
      </c>
    </row>
    <row r="1518" spans="1:25" x14ac:dyDescent="0.45">
      <c r="A1518" s="3" t="s">
        <v>2695</v>
      </c>
      <c r="B1518" s="3" t="s">
        <v>2696</v>
      </c>
      <c r="C1518" s="6" t="s">
        <v>520</v>
      </c>
      <c r="D1518" s="6" t="s">
        <v>216</v>
      </c>
      <c r="E1518" s="6" t="s">
        <v>306</v>
      </c>
      <c r="F1518" s="6">
        <v>80791.94</v>
      </c>
      <c r="G1518" s="2">
        <v>4.08</v>
      </c>
      <c r="H1518" s="2">
        <v>3.89</v>
      </c>
      <c r="I1518" s="2">
        <v>3.84</v>
      </c>
      <c r="J1518" s="47">
        <f t="shared" si="115"/>
        <v>-4.6568627450980379E-2</v>
      </c>
      <c r="K1518" s="47">
        <f t="shared" si="116"/>
        <v>-1.2853470437018063E-2</v>
      </c>
      <c r="L1518" s="8">
        <v>16.18</v>
      </c>
      <c r="M1518" s="8">
        <v>19.73</v>
      </c>
      <c r="N1518" s="8">
        <v>19.989999999999998</v>
      </c>
      <c r="O1518" s="17">
        <f t="shared" si="117"/>
        <v>-4.2367578947368436</v>
      </c>
      <c r="P1518" s="17">
        <f t="shared" si="118"/>
        <v>-15.552219999999918</v>
      </c>
      <c r="R1518" s="9">
        <v>28.05</v>
      </c>
      <c r="S1518" s="9">
        <v>36.78</v>
      </c>
      <c r="T1518" s="9">
        <v>15042.85644</v>
      </c>
      <c r="U1518" s="9">
        <v>16593.41</v>
      </c>
      <c r="V1518" s="45">
        <f t="shared" si="119"/>
        <v>-9.344393708104605E-2</v>
      </c>
      <c r="W1518" s="12">
        <v>267.86</v>
      </c>
      <c r="X1518" s="12">
        <v>1.01</v>
      </c>
      <c r="Y1518" s="12">
        <v>20210805</v>
      </c>
    </row>
    <row r="1519" spans="1:25" x14ac:dyDescent="0.45">
      <c r="A1519" s="3" t="s">
        <v>3862</v>
      </c>
      <c r="B1519" s="3" t="s">
        <v>3863</v>
      </c>
      <c r="C1519" s="6" t="s">
        <v>519</v>
      </c>
      <c r="D1519" s="6" t="s">
        <v>189</v>
      </c>
      <c r="E1519" s="6" t="s">
        <v>249</v>
      </c>
      <c r="F1519" s="6">
        <v>73899.73</v>
      </c>
      <c r="G1519" s="2">
        <v>2.85</v>
      </c>
      <c r="H1519" s="2">
        <v>3.62</v>
      </c>
      <c r="I1519" s="2">
        <v>4.5199999999999996</v>
      </c>
      <c r="J1519" s="47">
        <f t="shared" si="115"/>
        <v>0.27017543859649124</v>
      </c>
      <c r="K1519" s="47">
        <f t="shared" si="116"/>
        <v>0.24861878453038658</v>
      </c>
      <c r="L1519" s="8">
        <v>16.34</v>
      </c>
      <c r="M1519" s="8">
        <v>30.5</v>
      </c>
      <c r="N1519" s="8">
        <v>24.42</v>
      </c>
      <c r="O1519" s="17">
        <f t="shared" si="117"/>
        <v>1.1288961038961038</v>
      </c>
      <c r="P1519" s="17">
        <f t="shared" si="118"/>
        <v>0.98222666666666747</v>
      </c>
      <c r="Q1519" s="5">
        <v>0.99</v>
      </c>
      <c r="R1519" s="9">
        <v>15.15</v>
      </c>
      <c r="S1519" s="9">
        <v>16.62</v>
      </c>
      <c r="T1519" s="9">
        <v>13706.59375</v>
      </c>
      <c r="U1519" s="9">
        <v>11289.98</v>
      </c>
      <c r="V1519" s="45">
        <f t="shared" si="119"/>
        <v>0.21404942701404259</v>
      </c>
      <c r="W1519" s="12">
        <v>28.21</v>
      </c>
      <c r="X1519" s="12">
        <v>1.08</v>
      </c>
      <c r="Y1519" s="12">
        <v>20210812</v>
      </c>
    </row>
    <row r="1520" spans="1:25" x14ac:dyDescent="0.45">
      <c r="A1520" s="3" t="s">
        <v>4858</v>
      </c>
      <c r="B1520" s="3" t="s">
        <v>4859</v>
      </c>
      <c r="C1520" s="6" t="s">
        <v>520</v>
      </c>
      <c r="D1520" s="6" t="s">
        <v>234</v>
      </c>
      <c r="E1520" s="6" t="s">
        <v>105</v>
      </c>
      <c r="F1520" s="6">
        <v>25609.29</v>
      </c>
      <c r="J1520" s="47" t="e">
        <f t="shared" si="115"/>
        <v>#DIV/0!</v>
      </c>
      <c r="K1520" s="47" t="e">
        <f t="shared" si="116"/>
        <v>#DIV/0!</v>
      </c>
      <c r="L1520" s="8">
        <v>12.76</v>
      </c>
      <c r="O1520" s="17" t="e">
        <f t="shared" si="117"/>
        <v>#DIV/0!</v>
      </c>
      <c r="P1520" s="17" t="e">
        <f t="shared" si="118"/>
        <v>#DIV/0!</v>
      </c>
      <c r="R1520" s="9">
        <v>21.74</v>
      </c>
      <c r="S1520" s="9">
        <v>9.43</v>
      </c>
      <c r="U1520" s="9">
        <v>8366.6</v>
      </c>
      <c r="V1520" s="45">
        <f t="shared" si="119"/>
        <v>-1</v>
      </c>
      <c r="X1520" s="12">
        <v>2.12</v>
      </c>
      <c r="Y1520" s="12">
        <v>20210825</v>
      </c>
    </row>
    <row r="1521" spans="1:25" x14ac:dyDescent="0.45">
      <c r="A1521" s="3" t="s">
        <v>2697</v>
      </c>
      <c r="B1521" s="3" t="s">
        <v>2698</v>
      </c>
      <c r="C1521" s="6" t="s">
        <v>519</v>
      </c>
      <c r="D1521" s="6" t="s">
        <v>279</v>
      </c>
      <c r="E1521" s="6" t="s">
        <v>256</v>
      </c>
      <c r="F1521" s="6">
        <v>5481.59</v>
      </c>
      <c r="G1521" s="2">
        <v>-2.29</v>
      </c>
      <c r="H1521" s="2">
        <v>-2.73</v>
      </c>
      <c r="I1521" s="2">
        <v>-2.82</v>
      </c>
      <c r="J1521" s="47">
        <f t="shared" si="115"/>
        <v>-0.19213973799126635</v>
      </c>
      <c r="K1521" s="47">
        <f t="shared" si="116"/>
        <v>-3.2967032967032912E-2</v>
      </c>
      <c r="O1521" s="17">
        <f t="shared" si="117"/>
        <v>0</v>
      </c>
      <c r="P1521" s="17">
        <f t="shared" si="118"/>
        <v>0</v>
      </c>
      <c r="R1521" s="9">
        <v>-33.89</v>
      </c>
      <c r="S1521" s="9">
        <v>38.130000000000003</v>
      </c>
      <c r="T1521" s="9">
        <v>31.232990000000001</v>
      </c>
      <c r="U1521" s="9">
        <v>57.99</v>
      </c>
      <c r="V1521" s="45">
        <f t="shared" si="119"/>
        <v>-0.46140731160544923</v>
      </c>
      <c r="W1521" s="12">
        <v>-4.55</v>
      </c>
      <c r="X1521" s="12">
        <v>0</v>
      </c>
      <c r="Y1521" s="12">
        <v>20210805</v>
      </c>
    </row>
    <row r="1522" spans="1:25" x14ac:dyDescent="0.45">
      <c r="A1522" s="3" t="s">
        <v>2699</v>
      </c>
      <c r="B1522" s="3" t="s">
        <v>2700</v>
      </c>
      <c r="C1522" s="6" t="s">
        <v>519</v>
      </c>
      <c r="D1522" s="6" t="s">
        <v>189</v>
      </c>
      <c r="E1522" s="6" t="s">
        <v>204</v>
      </c>
      <c r="F1522" s="6">
        <v>7068.14</v>
      </c>
      <c r="G1522" s="2">
        <v>-2.67</v>
      </c>
      <c r="H1522" s="2">
        <v>-1.65</v>
      </c>
      <c r="I1522" s="2">
        <v>-1.49</v>
      </c>
      <c r="J1522" s="47">
        <f t="shared" si="115"/>
        <v>0.38202247191011235</v>
      </c>
      <c r="K1522" s="47">
        <f t="shared" si="116"/>
        <v>9.6969696969696928E-2</v>
      </c>
      <c r="O1522" s="17">
        <f t="shared" si="117"/>
        <v>0</v>
      </c>
      <c r="P1522" s="17">
        <f t="shared" si="118"/>
        <v>0</v>
      </c>
      <c r="S1522" s="9">
        <v>20.21</v>
      </c>
      <c r="T1522" s="9">
        <v>1367.74694</v>
      </c>
      <c r="U1522" s="9">
        <v>1307.68</v>
      </c>
      <c r="V1522" s="45">
        <f t="shared" si="119"/>
        <v>4.593397467270275E-2</v>
      </c>
      <c r="W1522" s="12">
        <v>12.77</v>
      </c>
      <c r="X1522" s="12">
        <v>0</v>
      </c>
      <c r="Y1522" s="12">
        <v>20210826</v>
      </c>
    </row>
    <row r="1523" spans="1:25" x14ac:dyDescent="0.45">
      <c r="A1523" s="3" t="s">
        <v>2701</v>
      </c>
      <c r="B1523" s="3" t="s">
        <v>2702</v>
      </c>
      <c r="C1523" s="6" t="s">
        <v>518</v>
      </c>
      <c r="D1523" s="6" t="s">
        <v>90</v>
      </c>
      <c r="E1523" s="6" t="s">
        <v>443</v>
      </c>
      <c r="F1523" s="6">
        <v>37086.339999999997</v>
      </c>
      <c r="G1523" s="2">
        <v>1.71</v>
      </c>
      <c r="H1523" s="2">
        <v>3.24</v>
      </c>
      <c r="I1523" s="2">
        <v>3.48</v>
      </c>
      <c r="J1523" s="47">
        <f t="shared" si="115"/>
        <v>0.89473684210526327</v>
      </c>
      <c r="K1523" s="47">
        <f t="shared" si="116"/>
        <v>7.4074074074074001E-2</v>
      </c>
      <c r="L1523" s="8">
        <v>29.43</v>
      </c>
      <c r="M1523" s="8">
        <v>20.05</v>
      </c>
      <c r="N1523" s="8">
        <v>18.71</v>
      </c>
      <c r="O1523" s="17">
        <f t="shared" si="117"/>
        <v>0.22408823529411762</v>
      </c>
      <c r="P1523" s="17">
        <f t="shared" si="118"/>
        <v>2.5258500000000024</v>
      </c>
      <c r="Q1523" s="5">
        <v>2.5099999999999998</v>
      </c>
      <c r="R1523" s="9">
        <v>5.62</v>
      </c>
      <c r="S1523" s="9">
        <v>53.15</v>
      </c>
      <c r="T1523" s="9">
        <v>23355.498039999999</v>
      </c>
      <c r="U1523" s="9">
        <v>20908</v>
      </c>
      <c r="V1523" s="45">
        <f t="shared" si="119"/>
        <v>0.11706036158408258</v>
      </c>
      <c r="W1523" s="12">
        <v>222.22</v>
      </c>
      <c r="X1523" s="12">
        <v>2.08</v>
      </c>
      <c r="Y1523" s="12">
        <v>20210809</v>
      </c>
    </row>
    <row r="1524" spans="1:25" x14ac:dyDescent="0.45">
      <c r="A1524" s="3" t="s">
        <v>2703</v>
      </c>
      <c r="B1524" s="3" t="s">
        <v>2704</v>
      </c>
      <c r="C1524" s="6" t="s">
        <v>519</v>
      </c>
      <c r="D1524" s="6" t="s">
        <v>279</v>
      </c>
      <c r="E1524" s="6" t="s">
        <v>266</v>
      </c>
      <c r="F1524" s="6">
        <v>9169.92</v>
      </c>
      <c r="G1524" s="2">
        <v>-2.54</v>
      </c>
      <c r="H1524" s="2">
        <v>-3.93</v>
      </c>
      <c r="I1524" s="2">
        <v>-3.22</v>
      </c>
      <c r="J1524" s="47">
        <f t="shared" si="115"/>
        <v>-0.547244094488189</v>
      </c>
      <c r="K1524" s="47">
        <f t="shared" si="116"/>
        <v>0.18066157760814247</v>
      </c>
      <c r="O1524" s="17">
        <f t="shared" si="117"/>
        <v>0</v>
      </c>
      <c r="P1524" s="17">
        <f t="shared" si="118"/>
        <v>0</v>
      </c>
      <c r="R1524" s="9">
        <v>-59.71</v>
      </c>
      <c r="S1524" s="9">
        <v>16.46</v>
      </c>
      <c r="T1524" s="9">
        <v>560.37401999999997</v>
      </c>
      <c r="U1524" s="9">
        <v>391.01</v>
      </c>
      <c r="V1524" s="45">
        <f t="shared" si="119"/>
        <v>0.43314498350425817</v>
      </c>
      <c r="W1524" s="12">
        <v>29.52</v>
      </c>
      <c r="X1524" s="12">
        <v>0</v>
      </c>
      <c r="Y1524" s="12">
        <v>20210804</v>
      </c>
    </row>
    <row r="1525" spans="1:25" x14ac:dyDescent="0.45">
      <c r="A1525" s="3" t="s">
        <v>2705</v>
      </c>
      <c r="B1525" s="3" t="s">
        <v>2706</v>
      </c>
      <c r="C1525" s="6" t="s">
        <v>519</v>
      </c>
      <c r="D1525" s="6" t="s">
        <v>234</v>
      </c>
      <c r="E1525" s="6" t="s">
        <v>154</v>
      </c>
      <c r="F1525" s="6">
        <v>24689.599999999999</v>
      </c>
      <c r="G1525" s="2">
        <v>5.83</v>
      </c>
      <c r="H1525" s="2">
        <v>6.88</v>
      </c>
      <c r="I1525" s="2">
        <v>7.5</v>
      </c>
      <c r="J1525" s="47">
        <f t="shared" si="115"/>
        <v>0.18010291595197253</v>
      </c>
      <c r="K1525" s="47">
        <f t="shared" si="116"/>
        <v>9.0116279069767463E-2</v>
      </c>
      <c r="L1525" s="8">
        <v>19.87</v>
      </c>
      <c r="M1525" s="8">
        <v>17.25</v>
      </c>
      <c r="N1525" s="8">
        <v>15.81</v>
      </c>
      <c r="O1525" s="17">
        <f t="shared" si="117"/>
        <v>0.95778571428571446</v>
      </c>
      <c r="P1525" s="17">
        <f t="shared" si="118"/>
        <v>1.7543999999999995</v>
      </c>
      <c r="Q1525" s="5">
        <v>1.18</v>
      </c>
      <c r="R1525" s="9">
        <v>12.22</v>
      </c>
      <c r="S1525" s="9">
        <v>6.75</v>
      </c>
      <c r="T1525" s="9">
        <v>6338.3598599999996</v>
      </c>
      <c r="U1525" s="9">
        <v>6301.1</v>
      </c>
      <c r="V1525" s="45">
        <f t="shared" si="119"/>
        <v>5.9132310231545613E-3</v>
      </c>
      <c r="W1525" s="12">
        <v>12.58</v>
      </c>
      <c r="X1525" s="12">
        <v>2.36</v>
      </c>
      <c r="Y1525" s="12">
        <v>20210728</v>
      </c>
    </row>
    <row r="1526" spans="1:25" x14ac:dyDescent="0.45">
      <c r="A1526" s="3" t="s">
        <v>4860</v>
      </c>
      <c r="B1526" s="3" t="s">
        <v>4861</v>
      </c>
      <c r="C1526" s="6" t="s">
        <v>520</v>
      </c>
      <c r="D1526" s="6" t="s">
        <v>327</v>
      </c>
      <c r="E1526" s="6" t="s">
        <v>209</v>
      </c>
      <c r="F1526" s="6">
        <v>99440.31</v>
      </c>
      <c r="J1526" s="47" t="e">
        <f t="shared" si="115"/>
        <v>#DIV/0!</v>
      </c>
      <c r="K1526" s="47" t="e">
        <f t="shared" si="116"/>
        <v>#DIV/0!</v>
      </c>
      <c r="L1526" s="8">
        <v>11.3</v>
      </c>
      <c r="O1526" s="17" t="e">
        <f t="shared" si="117"/>
        <v>#DIV/0!</v>
      </c>
      <c r="P1526" s="17" t="e">
        <f t="shared" si="118"/>
        <v>#DIV/0!</v>
      </c>
      <c r="R1526" s="9">
        <v>9.11</v>
      </c>
      <c r="S1526" s="9">
        <v>1.95</v>
      </c>
      <c r="U1526" s="9">
        <v>112678.39999999999</v>
      </c>
      <c r="V1526" s="45">
        <f t="shared" si="119"/>
        <v>-1</v>
      </c>
      <c r="X1526" s="12">
        <v>3.04</v>
      </c>
      <c r="Y1526" s="12">
        <v>20210810</v>
      </c>
    </row>
    <row r="1527" spans="1:25" x14ac:dyDescent="0.45">
      <c r="A1527" s="3" t="s">
        <v>2707</v>
      </c>
      <c r="B1527" s="3" t="s">
        <v>2708</v>
      </c>
      <c r="C1527" s="6" t="s">
        <v>519</v>
      </c>
      <c r="D1527" s="6" t="s">
        <v>189</v>
      </c>
      <c r="E1527" s="6" t="s">
        <v>202</v>
      </c>
      <c r="F1527" s="6">
        <v>15705.34</v>
      </c>
      <c r="G1527" s="2">
        <v>0.82</v>
      </c>
      <c r="H1527" s="2">
        <v>0.78</v>
      </c>
      <c r="I1527" s="2">
        <v>0.87</v>
      </c>
      <c r="J1527" s="47">
        <f t="shared" si="115"/>
        <v>-4.878048780487796E-2</v>
      </c>
      <c r="K1527" s="47">
        <f t="shared" si="116"/>
        <v>0.11538461538461534</v>
      </c>
      <c r="L1527" s="8">
        <v>72.239999999999995</v>
      </c>
      <c r="M1527" s="8">
        <v>70.39</v>
      </c>
      <c r="N1527" s="8">
        <v>63.1</v>
      </c>
      <c r="O1527" s="17">
        <f t="shared" si="117"/>
        <v>-14.429950000000026</v>
      </c>
      <c r="P1527" s="17">
        <f t="shared" si="118"/>
        <v>5.4686666666666692</v>
      </c>
      <c r="R1527" s="9">
        <v>10.199999999999999</v>
      </c>
      <c r="S1527" s="9">
        <v>-6.57</v>
      </c>
      <c r="T1527" s="9">
        <v>1373.6729700000001</v>
      </c>
      <c r="U1527" s="9">
        <v>1478.9</v>
      </c>
      <c r="V1527" s="45">
        <f t="shared" si="119"/>
        <v>-7.1152228007302726E-2</v>
      </c>
      <c r="W1527" s="12">
        <v>17.649999999999999</v>
      </c>
      <c r="X1527" s="12">
        <v>0</v>
      </c>
      <c r="Y1527" s="12">
        <v>20210804</v>
      </c>
    </row>
    <row r="1528" spans="1:25" x14ac:dyDescent="0.45">
      <c r="A1528" s="3" t="s">
        <v>2709</v>
      </c>
      <c r="B1528" s="3" t="s">
        <v>2710</v>
      </c>
      <c r="C1528" s="6" t="s">
        <v>518</v>
      </c>
      <c r="D1528" s="6" t="s">
        <v>90</v>
      </c>
      <c r="E1528" s="6" t="s">
        <v>304</v>
      </c>
      <c r="F1528" s="6">
        <v>32192.45</v>
      </c>
      <c r="G1528" s="2">
        <v>3.22</v>
      </c>
      <c r="H1528" s="2">
        <v>12.02</v>
      </c>
      <c r="I1528" s="2">
        <v>4.45</v>
      </c>
      <c r="J1528" s="47">
        <f t="shared" si="115"/>
        <v>2.7329192546583845</v>
      </c>
      <c r="K1528" s="47">
        <f t="shared" si="116"/>
        <v>-0.62978369384359401</v>
      </c>
      <c r="L1528" s="8">
        <v>19.809999999999999</v>
      </c>
      <c r="M1528" s="8">
        <v>8.9499999999999993</v>
      </c>
      <c r="N1528" s="8">
        <v>24.16</v>
      </c>
      <c r="O1528" s="17">
        <f t="shared" si="117"/>
        <v>3.2748863636363638E-2</v>
      </c>
      <c r="P1528" s="17">
        <f t="shared" si="118"/>
        <v>-0.38362377807133419</v>
      </c>
      <c r="Q1528" s="5">
        <v>0.75</v>
      </c>
      <c r="R1528" s="9">
        <v>14.9</v>
      </c>
      <c r="S1528" s="9">
        <v>6.77</v>
      </c>
      <c r="T1528" s="9">
        <v>29129.01367</v>
      </c>
      <c r="U1528" s="9">
        <v>20139.66</v>
      </c>
      <c r="V1528" s="45">
        <f t="shared" si="119"/>
        <v>0.4463508157535927</v>
      </c>
      <c r="W1528" s="12">
        <v>-1.27</v>
      </c>
      <c r="X1528" s="12">
        <v>1.51</v>
      </c>
      <c r="Y1528" s="12">
        <v>20210722</v>
      </c>
    </row>
    <row r="1529" spans="1:25" x14ac:dyDescent="0.45">
      <c r="A1529" s="3" t="s">
        <v>4270</v>
      </c>
      <c r="B1529" s="3" t="s">
        <v>4271</v>
      </c>
      <c r="C1529" s="6" t="s">
        <v>518</v>
      </c>
      <c r="D1529" s="6" t="s">
        <v>225</v>
      </c>
      <c r="E1529" s="6" t="s">
        <v>1269</v>
      </c>
      <c r="F1529" s="6">
        <v>3124.64</v>
      </c>
      <c r="G1529" s="2">
        <v>3.41</v>
      </c>
      <c r="H1529" s="2">
        <v>4.26</v>
      </c>
      <c r="I1529" s="2">
        <v>4.47</v>
      </c>
      <c r="J1529" s="47">
        <f t="shared" si="115"/>
        <v>0.24926686217008787</v>
      </c>
      <c r="K1529" s="47">
        <f t="shared" si="116"/>
        <v>4.9295774647887321E-2</v>
      </c>
      <c r="L1529" s="8">
        <v>14.87</v>
      </c>
      <c r="M1529" s="8">
        <v>14.66</v>
      </c>
      <c r="N1529" s="8">
        <v>13.96</v>
      </c>
      <c r="O1529" s="17">
        <f t="shared" si="117"/>
        <v>0.58812470588235322</v>
      </c>
      <c r="P1529" s="17">
        <f t="shared" si="118"/>
        <v>2.8318857142857148</v>
      </c>
      <c r="R1529" s="9">
        <v>25.88</v>
      </c>
      <c r="S1529" s="9">
        <v>3.41</v>
      </c>
      <c r="T1529" s="9">
        <v>2845.5029199999999</v>
      </c>
      <c r="U1529" s="9">
        <v>2581.9299999999998</v>
      </c>
      <c r="V1529" s="45">
        <f t="shared" si="119"/>
        <v>0.10208368158702989</v>
      </c>
      <c r="W1529" s="12">
        <v>26.39</v>
      </c>
      <c r="X1529" s="12">
        <v>2.4300000000000002</v>
      </c>
      <c r="Y1529" s="12">
        <v>20210804</v>
      </c>
    </row>
    <row r="1530" spans="1:25" x14ac:dyDescent="0.45">
      <c r="A1530" s="3" t="s">
        <v>3864</v>
      </c>
      <c r="B1530" s="3" t="s">
        <v>3865</v>
      </c>
      <c r="C1530" s="6" t="s">
        <v>519</v>
      </c>
      <c r="D1530" s="6" t="s">
        <v>279</v>
      </c>
      <c r="E1530" s="6" t="s">
        <v>264</v>
      </c>
      <c r="F1530" s="6">
        <v>3357.69</v>
      </c>
      <c r="G1530" s="2">
        <v>1.18</v>
      </c>
      <c r="H1530" s="2">
        <v>2.16</v>
      </c>
      <c r="I1530" s="2">
        <v>2.71</v>
      </c>
      <c r="J1530" s="47">
        <f t="shared" si="115"/>
        <v>0.83050847457627142</v>
      </c>
      <c r="K1530" s="47">
        <f t="shared" si="116"/>
        <v>0.25462962962962954</v>
      </c>
      <c r="L1530" s="8">
        <v>59.1</v>
      </c>
      <c r="M1530" s="8">
        <v>30.03</v>
      </c>
      <c r="N1530" s="8">
        <v>23.99</v>
      </c>
      <c r="O1530" s="17">
        <f t="shared" si="117"/>
        <v>0.36158571428571418</v>
      </c>
      <c r="P1530" s="17">
        <f t="shared" si="118"/>
        <v>0.94215272727272747</v>
      </c>
      <c r="Q1530" s="5">
        <v>2.4900000000000002</v>
      </c>
      <c r="R1530" s="9">
        <v>6.47</v>
      </c>
      <c r="S1530" s="9">
        <v>3.86</v>
      </c>
      <c r="T1530" s="9">
        <v>1202.03503</v>
      </c>
      <c r="U1530" s="9">
        <v>1050.58</v>
      </c>
      <c r="V1530" s="45">
        <f t="shared" si="119"/>
        <v>0.14416325267947239</v>
      </c>
      <c r="W1530" s="12">
        <v>12.12</v>
      </c>
      <c r="X1530" s="12">
        <v>0</v>
      </c>
      <c r="Y1530" s="12">
        <v>20210803</v>
      </c>
    </row>
    <row r="1531" spans="1:25" x14ac:dyDescent="0.45">
      <c r="A1531" s="3" t="s">
        <v>2711</v>
      </c>
      <c r="B1531" s="3" t="s">
        <v>2712</v>
      </c>
      <c r="C1531" s="6" t="s">
        <v>519</v>
      </c>
      <c r="D1531" s="6" t="s">
        <v>279</v>
      </c>
      <c r="E1531" s="6" t="s">
        <v>256</v>
      </c>
      <c r="F1531" s="6">
        <v>15533.16</v>
      </c>
      <c r="G1531" s="2">
        <v>-5.93</v>
      </c>
      <c r="H1531" s="2">
        <v>-6.42</v>
      </c>
      <c r="I1531" s="2">
        <v>30.21</v>
      </c>
      <c r="J1531" s="47">
        <f t="shared" si="115"/>
        <v>-8.2630691399662767E-2</v>
      </c>
      <c r="K1531" s="47">
        <f t="shared" si="116"/>
        <v>5.7056074766355147</v>
      </c>
      <c r="N1531" s="8">
        <v>6.94</v>
      </c>
      <c r="O1531" s="17">
        <f t="shared" si="117"/>
        <v>0</v>
      </c>
      <c r="P1531" s="17">
        <f t="shared" si="118"/>
        <v>1.2163472563472562E-2</v>
      </c>
      <c r="R1531" s="9">
        <v>-125.71</v>
      </c>
      <c r="S1531" s="9">
        <v>67.53</v>
      </c>
      <c r="T1531" s="9">
        <v>1941.77001</v>
      </c>
      <c r="U1531" s="9">
        <v>475.6</v>
      </c>
      <c r="V1531" s="45">
        <f t="shared" si="119"/>
        <v>3.0827796677880568</v>
      </c>
      <c r="W1531" s="12">
        <v>-15.09</v>
      </c>
      <c r="X1531" s="12">
        <v>0</v>
      </c>
      <c r="Y1531" s="12">
        <v>20210809</v>
      </c>
    </row>
    <row r="1532" spans="1:25" x14ac:dyDescent="0.45">
      <c r="A1532" s="3" t="s">
        <v>2713</v>
      </c>
      <c r="B1532" s="3" t="s">
        <v>2714</v>
      </c>
      <c r="C1532" s="6" t="s">
        <v>519</v>
      </c>
      <c r="D1532" s="6" t="s">
        <v>279</v>
      </c>
      <c r="E1532" s="6" t="s">
        <v>266</v>
      </c>
      <c r="F1532" s="6">
        <v>21912.26</v>
      </c>
      <c r="G1532" s="2">
        <v>0.27</v>
      </c>
      <c r="H1532" s="2">
        <v>0.08</v>
      </c>
      <c r="I1532" s="2">
        <v>0.42</v>
      </c>
      <c r="J1532" s="47">
        <f t="shared" si="115"/>
        <v>-0.70370370370370372</v>
      </c>
      <c r="K1532" s="47">
        <f t="shared" si="116"/>
        <v>4.2499999999999991</v>
      </c>
      <c r="L1532" s="8">
        <v>1926.27</v>
      </c>
      <c r="M1532" s="8">
        <v>2763.78</v>
      </c>
      <c r="N1532" s="8">
        <v>506.51</v>
      </c>
      <c r="O1532" s="17">
        <f t="shared" si="117"/>
        <v>-39.274768421052634</v>
      </c>
      <c r="P1532" s="17">
        <f t="shared" si="118"/>
        <v>1.191788235294118</v>
      </c>
      <c r="R1532" s="9">
        <v>3.3</v>
      </c>
      <c r="S1532" s="9">
        <v>56.11</v>
      </c>
      <c r="T1532" s="9">
        <v>574.29301999999996</v>
      </c>
      <c r="U1532" s="9">
        <v>494.37</v>
      </c>
      <c r="V1532" s="45">
        <f t="shared" si="119"/>
        <v>0.16166640370572638</v>
      </c>
      <c r="W1532" s="12">
        <v>-500</v>
      </c>
      <c r="X1532" s="12">
        <v>0</v>
      </c>
      <c r="Y1532" s="12">
        <v>20210729</v>
      </c>
    </row>
    <row r="1533" spans="1:25" x14ac:dyDescent="0.45">
      <c r="A1533" s="3" t="s">
        <v>2715</v>
      </c>
      <c r="B1533" s="3" t="s">
        <v>2716</v>
      </c>
      <c r="C1533" s="6" t="s">
        <v>519</v>
      </c>
      <c r="D1533" s="6" t="s">
        <v>189</v>
      </c>
      <c r="E1533" s="6" t="s">
        <v>2107</v>
      </c>
      <c r="F1533" s="6">
        <v>432567.59</v>
      </c>
      <c r="G1533" s="2">
        <v>9.7200000000000006</v>
      </c>
      <c r="H1533" s="2">
        <v>15.84</v>
      </c>
      <c r="I1533" s="2">
        <v>17.41</v>
      </c>
      <c r="J1533" s="47">
        <f t="shared" si="115"/>
        <v>0.62962962962962954</v>
      </c>
      <c r="K1533" s="47">
        <f t="shared" si="116"/>
        <v>9.911616161616163E-2</v>
      </c>
      <c r="L1533" s="8">
        <v>58.59</v>
      </c>
      <c r="M1533" s="8">
        <v>43.84</v>
      </c>
      <c r="N1533" s="8">
        <v>39.89</v>
      </c>
      <c r="O1533" s="17">
        <f t="shared" si="117"/>
        <v>0.69628235294117657</v>
      </c>
      <c r="P1533" s="17">
        <f t="shared" si="118"/>
        <v>4.024570700636942</v>
      </c>
      <c r="Q1533" s="5">
        <v>2.5</v>
      </c>
      <c r="R1533" s="9">
        <v>37.979999999999997</v>
      </c>
      <c r="S1533" s="9">
        <v>21.44</v>
      </c>
      <c r="T1533" s="9">
        <v>24788.242180000001</v>
      </c>
      <c r="U1533" s="9">
        <v>16675</v>
      </c>
      <c r="V1533" s="45">
        <f t="shared" si="119"/>
        <v>0.48655125517241388</v>
      </c>
      <c r="W1533" s="12">
        <v>11.59</v>
      </c>
      <c r="X1533" s="12">
        <v>0.09</v>
      </c>
      <c r="Y1533" s="12">
        <v>20210818</v>
      </c>
    </row>
    <row r="1534" spans="1:25" x14ac:dyDescent="0.45">
      <c r="A1534" s="3" t="s">
        <v>2717</v>
      </c>
      <c r="B1534" s="3" t="s">
        <v>2718</v>
      </c>
      <c r="C1534" s="6" t="s">
        <v>518</v>
      </c>
      <c r="D1534" s="6" t="s">
        <v>279</v>
      </c>
      <c r="E1534" s="6" t="s">
        <v>250</v>
      </c>
      <c r="F1534" s="6">
        <v>196602.25</v>
      </c>
      <c r="G1534" s="2">
        <v>2.82</v>
      </c>
      <c r="H1534" s="2">
        <v>3.12</v>
      </c>
      <c r="I1534" s="2">
        <v>3.39</v>
      </c>
      <c r="J1534" s="47">
        <f t="shared" si="115"/>
        <v>0.10638297872340435</v>
      </c>
      <c r="K1534" s="47">
        <f t="shared" si="116"/>
        <v>8.6538461538461536E-2</v>
      </c>
      <c r="L1534" s="8">
        <v>28.99</v>
      </c>
      <c r="M1534" s="8">
        <v>26.8</v>
      </c>
      <c r="N1534" s="8">
        <v>24.59</v>
      </c>
      <c r="O1534" s="17">
        <f t="shared" si="117"/>
        <v>2.5191999999999974</v>
      </c>
      <c r="P1534" s="17">
        <f t="shared" si="118"/>
        <v>2.8415111111111111</v>
      </c>
      <c r="Q1534" s="5">
        <v>3.02</v>
      </c>
      <c r="R1534" s="9">
        <v>71.900000000000006</v>
      </c>
      <c r="S1534" s="9">
        <v>3.9</v>
      </c>
      <c r="T1534" s="9">
        <v>21249.089840000001</v>
      </c>
      <c r="U1534" s="9">
        <v>19448.509999999998</v>
      </c>
      <c r="V1534" s="45">
        <f t="shared" si="119"/>
        <v>9.2581891363400198E-2</v>
      </c>
      <c r="W1534" s="12">
        <v>11.39</v>
      </c>
      <c r="X1534" s="12">
        <v>1.59</v>
      </c>
      <c r="Y1534" s="12">
        <v>20210805</v>
      </c>
    </row>
    <row r="1535" spans="1:25" x14ac:dyDescent="0.45">
      <c r="A1535" s="3" t="s">
        <v>2719</v>
      </c>
      <c r="B1535" s="3" t="s">
        <v>2720</v>
      </c>
      <c r="C1535" s="6" t="s">
        <v>518</v>
      </c>
      <c r="D1535" s="6" t="s">
        <v>210</v>
      </c>
      <c r="E1535" s="6" t="s">
        <v>1439</v>
      </c>
      <c r="F1535" s="6">
        <v>17432.47</v>
      </c>
      <c r="G1535" s="2">
        <v>229.38</v>
      </c>
      <c r="H1535" s="2">
        <v>320.37</v>
      </c>
      <c r="I1535" s="2">
        <v>360.52</v>
      </c>
      <c r="J1535" s="47">
        <f t="shared" si="115"/>
        <v>0.3966780015694481</v>
      </c>
      <c r="K1535" s="47">
        <f t="shared" si="116"/>
        <v>0.12532384430502225</v>
      </c>
      <c r="L1535" s="8">
        <v>19.350000000000001</v>
      </c>
      <c r="M1535" s="8">
        <v>14.96</v>
      </c>
      <c r="N1535" s="8">
        <v>13.29</v>
      </c>
      <c r="O1535" s="17">
        <f t="shared" si="117"/>
        <v>0.37713208044840096</v>
      </c>
      <c r="P1535" s="17">
        <f t="shared" si="118"/>
        <v>1.0604526276463269</v>
      </c>
      <c r="R1535" s="9">
        <v>33.36</v>
      </c>
      <c r="S1535" s="9">
        <v>6.88</v>
      </c>
      <c r="T1535" s="9">
        <v>9163.58007</v>
      </c>
      <c r="U1535" s="9">
        <v>7328.89</v>
      </c>
      <c r="V1535" s="45">
        <f t="shared" si="119"/>
        <v>0.25033669082221177</v>
      </c>
      <c r="W1535" s="12">
        <v>2.12</v>
      </c>
      <c r="X1535" s="12">
        <v>0</v>
      </c>
      <c r="Y1535" s="12">
        <v>20210728</v>
      </c>
    </row>
    <row r="1536" spans="1:25" x14ac:dyDescent="0.45">
      <c r="A1536" s="3" t="s">
        <v>2721</v>
      </c>
      <c r="B1536" s="3" t="s">
        <v>2722</v>
      </c>
      <c r="C1536" s="6" t="s">
        <v>518</v>
      </c>
      <c r="D1536" s="6" t="s">
        <v>279</v>
      </c>
      <c r="E1536" s="6" t="s">
        <v>262</v>
      </c>
      <c r="F1536" s="6">
        <v>5338.07</v>
      </c>
      <c r="G1536" s="2">
        <v>-2.62</v>
      </c>
      <c r="H1536" s="2">
        <v>-2.41</v>
      </c>
      <c r="I1536" s="2">
        <v>-1.57</v>
      </c>
      <c r="J1536" s="47">
        <f t="shared" si="115"/>
        <v>8.0152671755725172E-2</v>
      </c>
      <c r="K1536" s="47">
        <f t="shared" si="116"/>
        <v>0.34854771784232369</v>
      </c>
      <c r="O1536" s="17">
        <f t="shared" si="117"/>
        <v>0</v>
      </c>
      <c r="P1536" s="17">
        <f t="shared" si="118"/>
        <v>0</v>
      </c>
      <c r="R1536" s="9">
        <v>-23.26</v>
      </c>
      <c r="S1536" s="9">
        <v>15.45</v>
      </c>
      <c r="T1536" s="9">
        <v>446.15499</v>
      </c>
      <c r="U1536" s="9">
        <v>362.05</v>
      </c>
      <c r="V1536" s="45">
        <f t="shared" si="119"/>
        <v>0.2323021405883165</v>
      </c>
      <c r="W1536" s="12">
        <v>1.1599999999999999</v>
      </c>
      <c r="X1536" s="12">
        <v>0</v>
      </c>
      <c r="Y1536" s="12">
        <v>20210804</v>
      </c>
    </row>
    <row r="1537" spans="1:25" x14ac:dyDescent="0.45">
      <c r="A1537" s="3" t="s">
        <v>2723</v>
      </c>
      <c r="B1537" s="3" t="s">
        <v>2724</v>
      </c>
      <c r="C1537" s="6" t="s">
        <v>518</v>
      </c>
      <c r="D1537" s="6" t="s">
        <v>279</v>
      </c>
      <c r="E1537" s="6" t="s">
        <v>250</v>
      </c>
      <c r="F1537" s="6">
        <v>211086.8</v>
      </c>
      <c r="G1537" s="2">
        <v>5.8</v>
      </c>
      <c r="H1537" s="2">
        <v>6.32</v>
      </c>
      <c r="I1537" s="2">
        <v>6.76</v>
      </c>
      <c r="J1537" s="47">
        <f t="shared" si="115"/>
        <v>8.9655172413793185E-2</v>
      </c>
      <c r="K1537" s="47">
        <f t="shared" si="116"/>
        <v>6.9620253164556875E-2</v>
      </c>
      <c r="L1537" s="8">
        <v>16.100000000000001</v>
      </c>
      <c r="M1537" s="8">
        <v>14.59</v>
      </c>
      <c r="N1537" s="8">
        <v>13.64</v>
      </c>
      <c r="O1537" s="17">
        <f t="shared" si="117"/>
        <v>1.6273461538461524</v>
      </c>
      <c r="P1537" s="17">
        <f t="shared" si="118"/>
        <v>1.9592000000000027</v>
      </c>
      <c r="Q1537" s="5">
        <v>2.25</v>
      </c>
      <c r="R1537" s="9">
        <v>24.15</v>
      </c>
      <c r="S1537" s="9">
        <v>-0.18</v>
      </c>
      <c r="T1537" s="9">
        <v>52174.394529999998</v>
      </c>
      <c r="U1537" s="9">
        <v>48659</v>
      </c>
      <c r="V1537" s="45">
        <f t="shared" si="119"/>
        <v>7.2245515320906672E-2</v>
      </c>
      <c r="W1537" s="12">
        <v>-3.18</v>
      </c>
      <c r="X1537" s="12">
        <v>2.25</v>
      </c>
      <c r="Y1537" s="12">
        <v>20210720</v>
      </c>
    </row>
    <row r="1538" spans="1:25" x14ac:dyDescent="0.45">
      <c r="A1538" s="3" t="s">
        <v>2725</v>
      </c>
      <c r="B1538" s="3" t="s">
        <v>2726</v>
      </c>
      <c r="C1538" s="6" t="s">
        <v>518</v>
      </c>
      <c r="D1538" s="6" t="s">
        <v>279</v>
      </c>
      <c r="E1538" s="6" t="s">
        <v>264</v>
      </c>
      <c r="F1538" s="6">
        <v>6937.52</v>
      </c>
      <c r="G1538" s="2">
        <v>0.82</v>
      </c>
      <c r="H1538" s="2">
        <v>1.87</v>
      </c>
      <c r="I1538" s="2">
        <v>2.04</v>
      </c>
      <c r="J1538" s="47">
        <f t="shared" si="115"/>
        <v>1.2804878048780493</v>
      </c>
      <c r="K1538" s="47">
        <f t="shared" si="116"/>
        <v>9.090909090909087E-2</v>
      </c>
      <c r="L1538" s="8">
        <v>29.16</v>
      </c>
      <c r="M1538" s="8">
        <v>23.14</v>
      </c>
      <c r="N1538" s="8">
        <v>21.18</v>
      </c>
      <c r="O1538" s="17">
        <f t="shared" si="117"/>
        <v>0.1807123809523809</v>
      </c>
      <c r="P1538" s="17">
        <f t="shared" si="118"/>
        <v>2.329800000000001</v>
      </c>
      <c r="Q1538" s="5">
        <v>0.88</v>
      </c>
      <c r="R1538" s="9">
        <v>6.93</v>
      </c>
      <c r="T1538" s="9">
        <v>2821.05908</v>
      </c>
      <c r="U1538" s="9">
        <v>2282</v>
      </c>
      <c r="V1538" s="45">
        <f t="shared" si="119"/>
        <v>0.23622220858895707</v>
      </c>
      <c r="W1538" s="12">
        <v>74.19</v>
      </c>
      <c r="X1538" s="12">
        <v>0</v>
      </c>
      <c r="Y1538" s="12">
        <v>20210729</v>
      </c>
    </row>
    <row r="1539" spans="1:25" x14ac:dyDescent="0.45">
      <c r="A1539" s="3" t="s">
        <v>2727</v>
      </c>
      <c r="B1539" s="3" t="s">
        <v>2728</v>
      </c>
      <c r="C1539" s="6" t="s">
        <v>518</v>
      </c>
      <c r="D1539" s="6" t="s">
        <v>189</v>
      </c>
      <c r="E1539" s="6" t="s">
        <v>211</v>
      </c>
      <c r="F1539" s="6">
        <v>5444.5</v>
      </c>
      <c r="G1539" s="2">
        <v>1.49</v>
      </c>
      <c r="H1539" s="2">
        <v>1.73</v>
      </c>
      <c r="I1539" s="2">
        <v>1.88</v>
      </c>
      <c r="J1539" s="47">
        <f t="shared" ref="J1539:J1602" si="120">(H1539-G1539)/ABS(G1539)</f>
        <v>0.16107382550335569</v>
      </c>
      <c r="K1539" s="47">
        <f t="shared" ref="K1539:K1602" si="121">(I1539-H1539)/ABS(H1539)</f>
        <v>8.6705202312138671E-2</v>
      </c>
      <c r="L1539" s="8">
        <v>20.29</v>
      </c>
      <c r="M1539" s="8">
        <v>18.73</v>
      </c>
      <c r="N1539" s="8">
        <v>17.27</v>
      </c>
      <c r="O1539" s="17">
        <f t="shared" ref="O1539:O1602" si="122">M1539/(J1539*100)</f>
        <v>1.1628208333333334</v>
      </c>
      <c r="P1539" s="17">
        <f t="shared" ref="P1539:P1602" si="123">N1539/(K1539*100)</f>
        <v>1.9918066666666678</v>
      </c>
      <c r="Q1539" s="5">
        <v>2.0099999999999998</v>
      </c>
      <c r="R1539" s="9">
        <v>11.02</v>
      </c>
      <c r="S1539" s="9">
        <v>-1.8</v>
      </c>
      <c r="T1539" s="9">
        <v>2199.7329100000002</v>
      </c>
      <c r="U1539" s="9">
        <v>1998.6</v>
      </c>
      <c r="V1539" s="45">
        <f t="shared" ref="V1539:V1602" si="124">(T1539-U1539)/U1539</f>
        <v>0.10063690083058155</v>
      </c>
      <c r="W1539" s="12">
        <v>22.86</v>
      </c>
      <c r="X1539" s="12">
        <v>2.16</v>
      </c>
      <c r="Y1539" s="12">
        <v>20210730</v>
      </c>
    </row>
    <row r="1540" spans="1:25" x14ac:dyDescent="0.45">
      <c r="A1540" s="3" t="s">
        <v>2729</v>
      </c>
      <c r="B1540" s="3" t="s">
        <v>2730</v>
      </c>
      <c r="C1540" s="6" t="s">
        <v>518</v>
      </c>
      <c r="D1540" s="6" t="s">
        <v>279</v>
      </c>
      <c r="E1540" s="6" t="s">
        <v>265</v>
      </c>
      <c r="F1540" s="6">
        <v>6099.03</v>
      </c>
      <c r="G1540" s="2">
        <v>-2.7</v>
      </c>
      <c r="H1540" s="2">
        <v>-2.61</v>
      </c>
      <c r="I1540" s="2">
        <v>-2.42</v>
      </c>
      <c r="J1540" s="47">
        <f t="shared" si="120"/>
        <v>3.3333333333333444E-2</v>
      </c>
      <c r="K1540" s="47">
        <f t="shared" si="121"/>
        <v>7.2796934865900373E-2</v>
      </c>
      <c r="O1540" s="17">
        <f t="shared" si="122"/>
        <v>0</v>
      </c>
      <c r="P1540" s="17">
        <f t="shared" si="123"/>
        <v>0</v>
      </c>
      <c r="R1540" s="9">
        <v>-31.82</v>
      </c>
      <c r="S1540" s="9">
        <v>87.41</v>
      </c>
      <c r="T1540" s="9">
        <v>464.41</v>
      </c>
      <c r="U1540" s="9">
        <v>279.60000000000002</v>
      </c>
      <c r="V1540" s="45">
        <f t="shared" si="124"/>
        <v>0.66097997138769671</v>
      </c>
      <c r="W1540" s="12">
        <v>-5</v>
      </c>
      <c r="X1540" s="12">
        <v>0</v>
      </c>
      <c r="Y1540" s="12">
        <v>20210803</v>
      </c>
    </row>
    <row r="1541" spans="1:25" x14ac:dyDescent="0.45">
      <c r="A1541" s="3" t="s">
        <v>3866</v>
      </c>
      <c r="B1541" s="3" t="s">
        <v>3867</v>
      </c>
      <c r="C1541" s="6" t="s">
        <v>520</v>
      </c>
      <c r="D1541" s="6" t="s">
        <v>90</v>
      </c>
      <c r="E1541" s="6" t="s">
        <v>198</v>
      </c>
      <c r="F1541" s="6">
        <v>17002.82</v>
      </c>
      <c r="G1541" s="2">
        <v>1.59</v>
      </c>
      <c r="H1541" s="2">
        <v>1.75</v>
      </c>
      <c r="I1541" s="2">
        <v>1.83</v>
      </c>
      <c r="J1541" s="47">
        <f t="shared" si="120"/>
        <v>0.10062893081761001</v>
      </c>
      <c r="K1541" s="47">
        <f t="shared" si="121"/>
        <v>4.5714285714285756E-2</v>
      </c>
      <c r="L1541" s="8">
        <v>45.98</v>
      </c>
      <c r="M1541" s="8">
        <v>42.65</v>
      </c>
      <c r="N1541" s="8">
        <v>40.71</v>
      </c>
      <c r="O1541" s="17">
        <f t="shared" si="122"/>
        <v>4.2383437500000021</v>
      </c>
      <c r="P1541" s="17">
        <f t="shared" si="123"/>
        <v>8.905312499999992</v>
      </c>
      <c r="Q1541" s="5">
        <v>9.27</v>
      </c>
      <c r="R1541" s="9">
        <v>26.92</v>
      </c>
      <c r="S1541" s="9">
        <v>0.62</v>
      </c>
      <c r="T1541" s="9">
        <v>2381.87988</v>
      </c>
      <c r="U1541" s="9">
        <v>2146.6799999999998</v>
      </c>
      <c r="V1541" s="45">
        <f t="shared" si="124"/>
        <v>0.10956448096595679</v>
      </c>
      <c r="W1541" s="12">
        <v>13.33</v>
      </c>
      <c r="X1541" s="12">
        <v>0.76</v>
      </c>
      <c r="Y1541" s="12">
        <v>20210810</v>
      </c>
    </row>
    <row r="1542" spans="1:25" x14ac:dyDescent="0.45">
      <c r="A1542" s="3" t="s">
        <v>4272</v>
      </c>
      <c r="B1542" s="3" t="s">
        <v>4273</v>
      </c>
      <c r="C1542" s="6" t="s">
        <v>519</v>
      </c>
      <c r="D1542" s="6" t="s">
        <v>327</v>
      </c>
      <c r="E1542" s="6" t="s">
        <v>321</v>
      </c>
      <c r="F1542" s="6">
        <v>3276.66</v>
      </c>
      <c r="G1542" s="2">
        <v>3.36</v>
      </c>
      <c r="H1542" s="2">
        <v>3.52</v>
      </c>
      <c r="I1542" s="2">
        <v>3.7</v>
      </c>
      <c r="J1542" s="47">
        <f t="shared" si="120"/>
        <v>4.7619047619047665E-2</v>
      </c>
      <c r="K1542" s="47">
        <f t="shared" si="121"/>
        <v>5.1136363636363681E-2</v>
      </c>
      <c r="L1542" s="8">
        <v>18.16</v>
      </c>
      <c r="M1542" s="8">
        <v>18.39</v>
      </c>
      <c r="N1542" s="8">
        <v>17.48</v>
      </c>
      <c r="O1542" s="17">
        <f t="shared" si="122"/>
        <v>3.8618999999999963</v>
      </c>
      <c r="P1542" s="17">
        <f t="shared" si="123"/>
        <v>3.4183111111111084</v>
      </c>
      <c r="Q1542" s="5">
        <v>3.78</v>
      </c>
      <c r="R1542" s="9">
        <v>8.69</v>
      </c>
      <c r="S1542" s="9">
        <v>-0.9</v>
      </c>
      <c r="T1542" s="9">
        <v>1320.09997</v>
      </c>
      <c r="U1542" s="9">
        <v>1198.67</v>
      </c>
      <c r="V1542" s="45">
        <f t="shared" si="124"/>
        <v>0.10130392017819742</v>
      </c>
      <c r="W1542" s="12">
        <v>5.88</v>
      </c>
      <c r="X1542" s="12">
        <v>3.84</v>
      </c>
      <c r="Y1542" s="12">
        <v>20210727</v>
      </c>
    </row>
    <row r="1543" spans="1:25" x14ac:dyDescent="0.45">
      <c r="A1543" s="3" t="s">
        <v>4862</v>
      </c>
      <c r="B1543" s="3" t="s">
        <v>4863</v>
      </c>
      <c r="C1543" s="6" t="s">
        <v>518</v>
      </c>
      <c r="D1543" s="6" t="s">
        <v>234</v>
      </c>
      <c r="E1543" s="6" t="s">
        <v>105</v>
      </c>
      <c r="F1543" s="6">
        <v>34034.769999999997</v>
      </c>
      <c r="G1543" s="2">
        <v>-0.11</v>
      </c>
      <c r="J1543" s="47">
        <f t="shared" si="120"/>
        <v>1</v>
      </c>
      <c r="K1543" s="47" t="e">
        <f t="shared" si="121"/>
        <v>#DIV/0!</v>
      </c>
      <c r="L1543" s="8">
        <v>16.510000000000002</v>
      </c>
      <c r="O1543" s="17">
        <f t="shared" si="122"/>
        <v>0</v>
      </c>
      <c r="P1543" s="17" t="e">
        <f t="shared" si="123"/>
        <v>#DIV/0!</v>
      </c>
      <c r="R1543" s="9">
        <v>3.76</v>
      </c>
      <c r="S1543" s="9">
        <v>-1.45</v>
      </c>
      <c r="U1543" s="9">
        <v>16845.41</v>
      </c>
      <c r="V1543" s="45">
        <f t="shared" si="124"/>
        <v>-1</v>
      </c>
      <c r="X1543" s="12">
        <v>1.4</v>
      </c>
      <c r="Y1543" s="12">
        <v>20210730</v>
      </c>
    </row>
    <row r="1544" spans="1:25" x14ac:dyDescent="0.45">
      <c r="A1544" s="3" t="s">
        <v>2731</v>
      </c>
      <c r="B1544" s="3" t="s">
        <v>2732</v>
      </c>
      <c r="C1544" s="6" t="s">
        <v>519</v>
      </c>
      <c r="D1544" s="6" t="s">
        <v>225</v>
      </c>
      <c r="E1544" s="6" t="s">
        <v>206</v>
      </c>
      <c r="F1544" s="6">
        <v>11896.51</v>
      </c>
      <c r="G1544" s="2">
        <v>1.71</v>
      </c>
      <c r="H1544" s="2">
        <v>1.73</v>
      </c>
      <c r="I1544" s="2">
        <v>1.92</v>
      </c>
      <c r="J1544" s="47">
        <f t="shared" si="120"/>
        <v>1.169590643274855E-2</v>
      </c>
      <c r="K1544" s="47">
        <f t="shared" si="121"/>
        <v>0.1098265895953757</v>
      </c>
      <c r="L1544" s="8">
        <v>13.98</v>
      </c>
      <c r="M1544" s="8">
        <v>16.14</v>
      </c>
      <c r="N1544" s="8">
        <v>14.53</v>
      </c>
      <c r="O1544" s="17">
        <f t="shared" si="122"/>
        <v>13.799699999999989</v>
      </c>
      <c r="P1544" s="17">
        <f t="shared" si="123"/>
        <v>1.3229947368421056</v>
      </c>
      <c r="R1544" s="9">
        <v>22.6</v>
      </c>
      <c r="S1544" s="9">
        <v>-8.4600000000000009</v>
      </c>
      <c r="T1544" s="9">
        <v>10114.62988</v>
      </c>
      <c r="U1544" s="9">
        <v>9385</v>
      </c>
      <c r="V1544" s="45">
        <f t="shared" si="124"/>
        <v>7.7744259989344741E-2</v>
      </c>
      <c r="W1544" s="12">
        <v>114.29</v>
      </c>
      <c r="X1544" s="12">
        <v>3.29</v>
      </c>
      <c r="Y1544" s="12">
        <v>20210730</v>
      </c>
    </row>
    <row r="1545" spans="1:25" x14ac:dyDescent="0.45">
      <c r="A1545" s="3" t="s">
        <v>4274</v>
      </c>
      <c r="B1545" s="3" t="s">
        <v>4864</v>
      </c>
      <c r="C1545" s="6" t="s">
        <v>519</v>
      </c>
      <c r="D1545" s="6" t="s">
        <v>216</v>
      </c>
      <c r="E1545" s="6" t="s">
        <v>217</v>
      </c>
      <c r="F1545" s="6">
        <v>14923.91</v>
      </c>
      <c r="J1545" s="47" t="e">
        <f t="shared" si="120"/>
        <v>#DIV/0!</v>
      </c>
      <c r="K1545" s="47" t="e">
        <f t="shared" si="121"/>
        <v>#DIV/0!</v>
      </c>
      <c r="L1545" s="8">
        <v>52.63</v>
      </c>
      <c r="O1545" s="17" t="e">
        <f t="shared" si="122"/>
        <v>#DIV/0!</v>
      </c>
      <c r="P1545" s="17" t="e">
        <f t="shared" si="123"/>
        <v>#DIV/0!</v>
      </c>
      <c r="R1545" s="9">
        <v>3.26</v>
      </c>
      <c r="S1545" s="9">
        <v>3.07</v>
      </c>
      <c r="U1545" s="9">
        <v>9008</v>
      </c>
      <c r="V1545" s="45">
        <f t="shared" si="124"/>
        <v>-1</v>
      </c>
      <c r="X1545" s="12">
        <v>0.79</v>
      </c>
      <c r="Y1545" s="12">
        <v>20210805</v>
      </c>
    </row>
    <row r="1546" spans="1:25" x14ac:dyDescent="0.45">
      <c r="A1546" s="3" t="s">
        <v>4274</v>
      </c>
      <c r="B1546" s="3" t="s">
        <v>4275</v>
      </c>
      <c r="C1546" s="6" t="s">
        <v>519</v>
      </c>
      <c r="D1546" s="6" t="s">
        <v>216</v>
      </c>
      <c r="E1546" s="6" t="s">
        <v>217</v>
      </c>
      <c r="F1546" s="6">
        <v>15674.24</v>
      </c>
      <c r="G1546" s="2">
        <v>0.12</v>
      </c>
      <c r="H1546" s="2">
        <v>0.45</v>
      </c>
      <c r="I1546" s="2">
        <v>0.56999999999999995</v>
      </c>
      <c r="J1546" s="47">
        <f t="shared" si="120"/>
        <v>2.7500000000000004</v>
      </c>
      <c r="K1546" s="47">
        <f t="shared" si="121"/>
        <v>0.26666666666666655</v>
      </c>
      <c r="L1546" s="8">
        <v>55.27</v>
      </c>
      <c r="M1546" s="8">
        <v>58.96</v>
      </c>
      <c r="N1546" s="8">
        <v>46.54</v>
      </c>
      <c r="O1546" s="17">
        <f t="shared" si="122"/>
        <v>0.21439999999999995</v>
      </c>
      <c r="P1546" s="17">
        <f t="shared" si="123"/>
        <v>1.7452500000000009</v>
      </c>
      <c r="R1546" s="9">
        <v>3.26</v>
      </c>
      <c r="S1546" s="9">
        <v>3.07</v>
      </c>
      <c r="T1546" s="9">
        <v>9108.0048800000004</v>
      </c>
      <c r="U1546" s="9">
        <v>9008</v>
      </c>
      <c r="V1546" s="45">
        <f t="shared" si="124"/>
        <v>1.1101785079928999E-2</v>
      </c>
      <c r="W1546" s="12">
        <v>800</v>
      </c>
      <c r="X1546" s="12">
        <v>0.75</v>
      </c>
      <c r="Y1546" s="12">
        <v>20210805</v>
      </c>
    </row>
    <row r="1547" spans="1:25" x14ac:dyDescent="0.45">
      <c r="A1547" s="3" t="s">
        <v>2733</v>
      </c>
      <c r="B1547" s="3" t="s">
        <v>2734</v>
      </c>
      <c r="C1547" s="6" t="s">
        <v>520</v>
      </c>
      <c r="D1547" s="6" t="s">
        <v>303</v>
      </c>
      <c r="E1547" s="6" t="s">
        <v>290</v>
      </c>
      <c r="F1547" s="6">
        <v>15658.77</v>
      </c>
      <c r="G1547" s="2">
        <v>1.52</v>
      </c>
      <c r="H1547" s="2">
        <v>3.35</v>
      </c>
      <c r="I1547" s="2">
        <v>3.55</v>
      </c>
      <c r="J1547" s="47">
        <f t="shared" si="120"/>
        <v>1.2039473684210527</v>
      </c>
      <c r="K1547" s="47">
        <f t="shared" si="121"/>
        <v>5.9701492537313348E-2</v>
      </c>
      <c r="M1547" s="8">
        <v>17.579999999999998</v>
      </c>
      <c r="N1547" s="8">
        <v>16.59</v>
      </c>
      <c r="O1547" s="17">
        <f t="shared" si="122"/>
        <v>0.14601967213114753</v>
      </c>
      <c r="P1547" s="17">
        <f t="shared" si="123"/>
        <v>2.7788250000000039</v>
      </c>
      <c r="T1547" s="9">
        <v>6200.7597599999999</v>
      </c>
      <c r="U1547" s="9">
        <v>5228.55</v>
      </c>
      <c r="V1547" s="45">
        <f t="shared" si="124"/>
        <v>0.18594251943655501</v>
      </c>
      <c r="X1547" s="12">
        <v>0</v>
      </c>
    </row>
    <row r="1548" spans="1:25" x14ac:dyDescent="0.45">
      <c r="A1548" s="3" t="s">
        <v>2735</v>
      </c>
      <c r="B1548" s="3" t="s">
        <v>2736</v>
      </c>
      <c r="C1548" s="6" t="s">
        <v>519</v>
      </c>
      <c r="D1548" s="6" t="s">
        <v>189</v>
      </c>
      <c r="E1548" s="6" t="s">
        <v>298</v>
      </c>
      <c r="F1548" s="6">
        <v>54427.6</v>
      </c>
      <c r="G1548" s="2">
        <v>6.05</v>
      </c>
      <c r="H1548" s="2">
        <v>9.6199999999999992</v>
      </c>
      <c r="I1548" s="2">
        <v>10.58</v>
      </c>
      <c r="J1548" s="47">
        <f t="shared" si="120"/>
        <v>0.59008264462809912</v>
      </c>
      <c r="K1548" s="47">
        <f t="shared" si="121"/>
        <v>9.9792099792099895E-2</v>
      </c>
      <c r="L1548" s="8">
        <v>26.71</v>
      </c>
      <c r="M1548" s="8">
        <v>20.52</v>
      </c>
      <c r="N1548" s="8">
        <v>18.66</v>
      </c>
      <c r="O1548" s="17">
        <f t="shared" si="122"/>
        <v>0.34774789915966386</v>
      </c>
      <c r="P1548" s="17">
        <f t="shared" si="123"/>
        <v>1.8698874999999981</v>
      </c>
      <c r="Q1548" s="5">
        <v>2.0499999999999998</v>
      </c>
      <c r="R1548" s="9">
        <v>19.690000000000001</v>
      </c>
      <c r="S1548" s="9">
        <v>-0.48</v>
      </c>
      <c r="T1548" s="9">
        <v>10551.89941</v>
      </c>
      <c r="U1548" s="9">
        <v>8612</v>
      </c>
      <c r="V1548" s="45">
        <f t="shared" si="124"/>
        <v>0.22525538899210404</v>
      </c>
      <c r="W1548" s="12">
        <v>4.5199999999999996</v>
      </c>
      <c r="X1548" s="12">
        <v>1.1399999999999999</v>
      </c>
      <c r="Y1548" s="12">
        <v>20210726</v>
      </c>
    </row>
    <row r="1549" spans="1:25" x14ac:dyDescent="0.45">
      <c r="A1549" s="3" t="s">
        <v>2737</v>
      </c>
      <c r="B1549" s="3" t="s">
        <v>2738</v>
      </c>
      <c r="C1549" s="6" t="s">
        <v>519</v>
      </c>
      <c r="D1549" s="6" t="s">
        <v>216</v>
      </c>
      <c r="E1549" s="6" t="s">
        <v>1449</v>
      </c>
      <c r="F1549" s="6">
        <v>6278.71</v>
      </c>
      <c r="G1549" s="2">
        <v>15.73</v>
      </c>
      <c r="H1549" s="2">
        <v>16.57</v>
      </c>
      <c r="I1549" s="2">
        <v>21.83</v>
      </c>
      <c r="J1549" s="47">
        <f t="shared" si="120"/>
        <v>5.340114431023521E-2</v>
      </c>
      <c r="K1549" s="47">
        <f t="shared" si="121"/>
        <v>0.31744115872057921</v>
      </c>
      <c r="L1549" s="8">
        <v>7.9</v>
      </c>
      <c r="M1549" s="8">
        <v>8.8699999999999992</v>
      </c>
      <c r="N1549" s="8">
        <v>6.73</v>
      </c>
      <c r="O1549" s="17">
        <f t="shared" si="122"/>
        <v>1.6610130952380955</v>
      </c>
      <c r="P1549" s="17">
        <f t="shared" si="123"/>
        <v>0.21200779467680619</v>
      </c>
      <c r="Q1549" s="5">
        <v>0.89</v>
      </c>
      <c r="R1549" s="9">
        <v>35.700000000000003</v>
      </c>
      <c r="S1549" s="9">
        <v>34.83</v>
      </c>
      <c r="T1549" s="9">
        <v>4574.93505</v>
      </c>
      <c r="U1549" s="9">
        <v>4501.2700000000004</v>
      </c>
      <c r="V1549" s="45">
        <f t="shared" si="124"/>
        <v>1.6365392433690847E-2</v>
      </c>
      <c r="W1549" s="12">
        <v>42.12</v>
      </c>
      <c r="X1549" s="12">
        <v>1.91</v>
      </c>
      <c r="Y1549" s="12">
        <v>20210804</v>
      </c>
    </row>
    <row r="1550" spans="1:25" x14ac:dyDescent="0.45">
      <c r="A1550" s="3" t="s">
        <v>2739</v>
      </c>
      <c r="B1550" s="3" t="s">
        <v>2740</v>
      </c>
      <c r="C1550" s="6" t="s">
        <v>518</v>
      </c>
      <c r="D1550" s="6" t="s">
        <v>234</v>
      </c>
      <c r="E1550" s="6" t="s">
        <v>1140</v>
      </c>
      <c r="F1550" s="6">
        <v>5548.21</v>
      </c>
      <c r="G1550" s="2">
        <v>0.89</v>
      </c>
      <c r="H1550" s="2">
        <v>1.21</v>
      </c>
      <c r="I1550" s="2">
        <v>1.22</v>
      </c>
      <c r="J1550" s="47">
        <f t="shared" si="120"/>
        <v>0.35955056179775274</v>
      </c>
      <c r="K1550" s="47">
        <f t="shared" si="121"/>
        <v>8.2644628099173625E-3</v>
      </c>
      <c r="L1550" s="8">
        <v>11.93</v>
      </c>
      <c r="M1550" s="8">
        <v>9.89</v>
      </c>
      <c r="N1550" s="8">
        <v>9.82</v>
      </c>
      <c r="O1550" s="17">
        <f t="shared" si="122"/>
        <v>0.27506562500000004</v>
      </c>
      <c r="P1550" s="17">
        <f t="shared" si="123"/>
        <v>11.88219999999999</v>
      </c>
      <c r="Q1550" s="5">
        <v>0.99</v>
      </c>
      <c r="R1550" s="9">
        <v>8</v>
      </c>
      <c r="S1550" s="9">
        <v>-0.1</v>
      </c>
      <c r="T1550" s="9">
        <v>1348.82897</v>
      </c>
      <c r="U1550" s="9">
        <v>1769.07</v>
      </c>
      <c r="V1550" s="45">
        <f t="shared" si="124"/>
        <v>-0.23754912468132969</v>
      </c>
      <c r="W1550" s="12">
        <v>7.41</v>
      </c>
      <c r="X1550" s="12">
        <v>5.7</v>
      </c>
      <c r="Y1550" s="12">
        <v>20210804</v>
      </c>
    </row>
    <row r="1551" spans="1:25" x14ac:dyDescent="0.45">
      <c r="A1551" s="3" t="s">
        <v>2741</v>
      </c>
      <c r="B1551" s="3" t="s">
        <v>2742</v>
      </c>
      <c r="C1551" s="6" t="s">
        <v>518</v>
      </c>
      <c r="D1551" s="6" t="s">
        <v>225</v>
      </c>
      <c r="E1551" s="6" t="s">
        <v>2743</v>
      </c>
      <c r="F1551" s="6">
        <v>7033.38</v>
      </c>
      <c r="G1551" s="2">
        <v>0.95</v>
      </c>
      <c r="H1551" s="2">
        <v>1.1499999999999999</v>
      </c>
      <c r="I1551" s="2">
        <v>1.44</v>
      </c>
      <c r="J1551" s="47">
        <f t="shared" si="120"/>
        <v>0.21052631578947364</v>
      </c>
      <c r="K1551" s="47">
        <f t="shared" si="121"/>
        <v>0.2521739130434783</v>
      </c>
      <c r="L1551" s="8">
        <v>39.53</v>
      </c>
      <c r="M1551" s="8">
        <v>36.28</v>
      </c>
      <c r="N1551" s="8">
        <v>29.1</v>
      </c>
      <c r="O1551" s="17">
        <f t="shared" si="122"/>
        <v>1.7233000000000005</v>
      </c>
      <c r="P1551" s="17">
        <f t="shared" si="123"/>
        <v>1.1539655172413792</v>
      </c>
      <c r="R1551" s="9">
        <v>13.84</v>
      </c>
      <c r="S1551" s="9">
        <v>3.67</v>
      </c>
      <c r="T1551" s="9">
        <v>2028.125</v>
      </c>
      <c r="U1551" s="9">
        <v>1783.64</v>
      </c>
      <c r="V1551" s="45">
        <f t="shared" si="124"/>
        <v>0.1370708214662151</v>
      </c>
      <c r="W1551" s="12">
        <v>73.33</v>
      </c>
      <c r="X1551" s="12">
        <v>0.67</v>
      </c>
      <c r="Y1551" s="12">
        <v>20210804</v>
      </c>
    </row>
    <row r="1552" spans="1:25" x14ac:dyDescent="0.45">
      <c r="A1552" s="3" t="s">
        <v>2744</v>
      </c>
      <c r="B1552" s="3" t="s">
        <v>2745</v>
      </c>
      <c r="C1552" s="6" t="s">
        <v>518</v>
      </c>
      <c r="D1552" s="6" t="s">
        <v>234</v>
      </c>
      <c r="E1552" s="6" t="s">
        <v>288</v>
      </c>
      <c r="F1552" s="6">
        <v>26504.61</v>
      </c>
      <c r="G1552" s="2">
        <v>3.39</v>
      </c>
      <c r="H1552" s="2">
        <v>3.46</v>
      </c>
      <c r="I1552" s="2">
        <v>3.66</v>
      </c>
      <c r="J1552" s="47">
        <f t="shared" si="120"/>
        <v>2.064896755162237E-2</v>
      </c>
      <c r="K1552" s="47">
        <f t="shared" si="121"/>
        <v>5.780346820809254E-2</v>
      </c>
      <c r="L1552" s="8">
        <v>21.06</v>
      </c>
      <c r="M1552" s="8">
        <v>20.52</v>
      </c>
      <c r="N1552" s="8">
        <v>19.36</v>
      </c>
      <c r="O1552" s="17">
        <f t="shared" si="122"/>
        <v>9.9375428571428817</v>
      </c>
      <c r="P1552" s="17">
        <f t="shared" si="123"/>
        <v>3.3492799999999967</v>
      </c>
      <c r="Q1552" s="5">
        <v>5.0999999999999996</v>
      </c>
      <c r="R1552" s="9">
        <v>3.17</v>
      </c>
      <c r="S1552" s="9">
        <v>10.61</v>
      </c>
      <c r="T1552" s="9">
        <v>1856.7080000000001</v>
      </c>
      <c r="U1552" s="9">
        <v>1651.63</v>
      </c>
      <c r="V1552" s="45">
        <f t="shared" si="124"/>
        <v>0.12416703498967684</v>
      </c>
      <c r="W1552" s="12">
        <v>1.18</v>
      </c>
      <c r="X1552" s="12">
        <v>3.97</v>
      </c>
      <c r="Y1552" s="12">
        <v>20210802</v>
      </c>
    </row>
    <row r="1553" spans="1:25" x14ac:dyDescent="0.45">
      <c r="A1553" s="3" t="s">
        <v>4276</v>
      </c>
      <c r="B1553" s="3" t="s">
        <v>4277</v>
      </c>
      <c r="C1553" s="6" t="s">
        <v>520</v>
      </c>
      <c r="D1553" s="6" t="s">
        <v>189</v>
      </c>
      <c r="E1553" s="6" t="s">
        <v>1057</v>
      </c>
      <c r="F1553" s="6">
        <v>18590.55</v>
      </c>
      <c r="G1553" s="2">
        <v>3.95</v>
      </c>
      <c r="H1553" s="2">
        <v>4.46</v>
      </c>
      <c r="I1553" s="2">
        <v>4.93</v>
      </c>
      <c r="J1553" s="47">
        <f t="shared" si="120"/>
        <v>0.12911392405063285</v>
      </c>
      <c r="K1553" s="47">
        <f t="shared" si="121"/>
        <v>0.10538116591928245</v>
      </c>
      <c r="M1553" s="8">
        <v>46.86</v>
      </c>
      <c r="N1553" s="8">
        <v>42.39</v>
      </c>
      <c r="O1553" s="17">
        <f t="shared" si="122"/>
        <v>3.6293529411764722</v>
      </c>
      <c r="P1553" s="17">
        <f t="shared" si="123"/>
        <v>4.0225404255319175</v>
      </c>
      <c r="T1553" s="9">
        <v>863.03997000000004</v>
      </c>
      <c r="V1553" s="45" t="e">
        <f t="shared" si="124"/>
        <v>#DIV/0!</v>
      </c>
      <c r="X1553" s="12">
        <v>0</v>
      </c>
    </row>
    <row r="1554" spans="1:25" x14ac:dyDescent="0.45">
      <c r="A1554" s="3" t="s">
        <v>4865</v>
      </c>
      <c r="B1554" s="3" t="s">
        <v>4866</v>
      </c>
      <c r="C1554" s="6" t="s">
        <v>520</v>
      </c>
      <c r="D1554" s="6" t="s">
        <v>210</v>
      </c>
      <c r="E1554" s="6" t="s">
        <v>191</v>
      </c>
      <c r="F1554" s="6">
        <v>6699.26</v>
      </c>
      <c r="J1554" s="47" t="e">
        <f t="shared" si="120"/>
        <v>#DIV/0!</v>
      </c>
      <c r="K1554" s="47" t="e">
        <f t="shared" si="121"/>
        <v>#DIV/0!</v>
      </c>
      <c r="L1554" s="8">
        <v>7.24</v>
      </c>
      <c r="O1554" s="17" t="e">
        <f t="shared" si="122"/>
        <v>#DIV/0!</v>
      </c>
      <c r="P1554" s="17" t="e">
        <f t="shared" si="123"/>
        <v>#DIV/0!</v>
      </c>
      <c r="R1554" s="9">
        <v>11.47</v>
      </c>
      <c r="U1554" s="9">
        <v>19072</v>
      </c>
      <c r="V1554" s="45">
        <f t="shared" si="124"/>
        <v>-1</v>
      </c>
      <c r="X1554" s="12">
        <v>0</v>
      </c>
      <c r="Y1554" s="12">
        <v>20210611</v>
      </c>
    </row>
    <row r="1555" spans="1:25" x14ac:dyDescent="0.45">
      <c r="A1555" s="3" t="s">
        <v>2746</v>
      </c>
      <c r="B1555" s="3" t="s">
        <v>2747</v>
      </c>
      <c r="C1555" s="6" t="s">
        <v>518</v>
      </c>
      <c r="D1555" s="6" t="s">
        <v>210</v>
      </c>
      <c r="E1555" s="6" t="s">
        <v>191</v>
      </c>
      <c r="F1555" s="6">
        <v>10681.25</v>
      </c>
      <c r="G1555" s="2">
        <v>4.55</v>
      </c>
      <c r="H1555" s="2">
        <v>8.0399999999999991</v>
      </c>
      <c r="I1555" s="2">
        <v>8.6999999999999993</v>
      </c>
      <c r="J1555" s="47">
        <f t="shared" si="120"/>
        <v>0.76703296703296686</v>
      </c>
      <c r="K1555" s="47">
        <f t="shared" si="121"/>
        <v>8.2089552238805999E-2</v>
      </c>
      <c r="L1555" s="8">
        <v>16.47</v>
      </c>
      <c r="M1555" s="8">
        <v>12.72</v>
      </c>
      <c r="N1555" s="8">
        <v>11.76</v>
      </c>
      <c r="O1555" s="17">
        <f t="shared" si="122"/>
        <v>0.16583381088825219</v>
      </c>
      <c r="P1555" s="17">
        <f t="shared" si="123"/>
        <v>1.4325818181818175</v>
      </c>
      <c r="R1555" s="9">
        <v>17.38</v>
      </c>
      <c r="S1555" s="9">
        <v>5.73</v>
      </c>
      <c r="T1555" s="9">
        <v>7954.27783</v>
      </c>
      <c r="U1555" s="9">
        <v>7055</v>
      </c>
      <c r="V1555" s="45">
        <f t="shared" si="124"/>
        <v>0.12746673706591069</v>
      </c>
      <c r="W1555" s="12">
        <v>21.83</v>
      </c>
      <c r="X1555" s="12">
        <v>1.02</v>
      </c>
      <c r="Y1555" s="12">
        <v>20210804</v>
      </c>
    </row>
    <row r="1556" spans="1:25" x14ac:dyDescent="0.45">
      <c r="A1556" s="3" t="s">
        <v>2748</v>
      </c>
      <c r="B1556" s="3" t="s">
        <v>2749</v>
      </c>
      <c r="C1556" s="6" t="s">
        <v>520</v>
      </c>
      <c r="D1556" s="6" t="s">
        <v>303</v>
      </c>
      <c r="E1556" s="6" t="s">
        <v>245</v>
      </c>
      <c r="F1556" s="6">
        <v>20138.849999999999</v>
      </c>
      <c r="G1556" s="2">
        <v>-0.59</v>
      </c>
      <c r="H1556" s="2">
        <v>-0.53</v>
      </c>
      <c r="I1556" s="2">
        <v>-0.28999999999999998</v>
      </c>
      <c r="J1556" s="47">
        <f t="shared" si="120"/>
        <v>0.1016949152542372</v>
      </c>
      <c r="K1556" s="47">
        <f t="shared" si="121"/>
        <v>0.45283018867924535</v>
      </c>
      <c r="O1556" s="17">
        <f t="shared" si="122"/>
        <v>0</v>
      </c>
      <c r="P1556" s="17">
        <f t="shared" si="123"/>
        <v>0</v>
      </c>
      <c r="T1556" s="9">
        <v>3328.2199700000001</v>
      </c>
      <c r="U1556" s="9">
        <v>2986.82</v>
      </c>
      <c r="V1556" s="45">
        <f t="shared" si="124"/>
        <v>0.11430215747852228</v>
      </c>
      <c r="X1556" s="12">
        <v>0</v>
      </c>
    </row>
    <row r="1557" spans="1:25" x14ac:dyDescent="0.45">
      <c r="A1557" s="3" t="s">
        <v>3868</v>
      </c>
      <c r="B1557" s="3" t="s">
        <v>3869</v>
      </c>
      <c r="C1557" s="6" t="s">
        <v>519</v>
      </c>
      <c r="D1557" s="6" t="s">
        <v>279</v>
      </c>
      <c r="E1557" s="6" t="s">
        <v>266</v>
      </c>
      <c r="F1557" s="6">
        <v>4672.05</v>
      </c>
      <c r="G1557" s="2">
        <v>0.52</v>
      </c>
      <c r="H1557" s="2">
        <v>0.67</v>
      </c>
      <c r="I1557" s="2">
        <v>0.75</v>
      </c>
      <c r="J1557" s="47">
        <f t="shared" si="120"/>
        <v>0.28846153846153849</v>
      </c>
      <c r="K1557" s="47">
        <f t="shared" si="121"/>
        <v>0.11940298507462679</v>
      </c>
      <c r="M1557" s="8">
        <v>31.33</v>
      </c>
      <c r="N1557" s="8">
        <v>27.84</v>
      </c>
      <c r="O1557" s="17">
        <f t="shared" si="122"/>
        <v>1.0861066666666666</v>
      </c>
      <c r="P1557" s="17">
        <f t="shared" si="123"/>
        <v>2.3316000000000012</v>
      </c>
      <c r="Q1557" s="5">
        <v>0.85</v>
      </c>
      <c r="T1557" s="9">
        <v>1941.5169599999999</v>
      </c>
      <c r="U1557" s="9">
        <v>1766.2</v>
      </c>
      <c r="V1557" s="45">
        <f t="shared" si="124"/>
        <v>9.9262235307439634E-2</v>
      </c>
      <c r="W1557" s="12">
        <v>36.840000000000003</v>
      </c>
      <c r="X1557" s="12">
        <v>0</v>
      </c>
      <c r="Y1557" s="12">
        <v>20210804</v>
      </c>
    </row>
    <row r="1558" spans="1:25" x14ac:dyDescent="0.45">
      <c r="A1558" s="3" t="s">
        <v>2750</v>
      </c>
      <c r="B1558" s="3" t="s">
        <v>2751</v>
      </c>
      <c r="C1558" s="6" t="s">
        <v>518</v>
      </c>
      <c r="D1558" s="6" t="s">
        <v>175</v>
      </c>
      <c r="E1558" s="6" t="s">
        <v>305</v>
      </c>
      <c r="F1558" s="6">
        <v>4949.0200000000004</v>
      </c>
      <c r="G1558" s="2">
        <v>-0.56000000000000005</v>
      </c>
      <c r="H1558" s="2">
        <v>-0.48</v>
      </c>
      <c r="I1558" s="2">
        <v>-0.25</v>
      </c>
      <c r="J1558" s="47">
        <f t="shared" si="120"/>
        <v>0.14285714285714296</v>
      </c>
      <c r="K1558" s="47">
        <f t="shared" si="121"/>
        <v>0.47916666666666663</v>
      </c>
      <c r="O1558" s="17">
        <f t="shared" si="122"/>
        <v>0</v>
      </c>
      <c r="P1558" s="17">
        <f t="shared" si="123"/>
        <v>0</v>
      </c>
      <c r="R1558" s="9">
        <v>-5.32</v>
      </c>
      <c r="T1558" s="9">
        <v>732.84001999999998</v>
      </c>
      <c r="U1558" s="9">
        <v>480.04</v>
      </c>
      <c r="V1558" s="45">
        <f t="shared" si="124"/>
        <v>0.52662282309807507</v>
      </c>
      <c r="W1558" s="12">
        <v>18.75</v>
      </c>
      <c r="X1558" s="12">
        <v>0</v>
      </c>
      <c r="Y1558" s="12">
        <v>20210803</v>
      </c>
    </row>
    <row r="1559" spans="1:25" x14ac:dyDescent="0.45">
      <c r="A1559" s="3" t="s">
        <v>2752</v>
      </c>
      <c r="B1559" s="3" t="s">
        <v>2753</v>
      </c>
      <c r="C1559" s="6" t="s">
        <v>520</v>
      </c>
      <c r="D1559" s="6" t="s">
        <v>279</v>
      </c>
      <c r="E1559" s="6" t="s">
        <v>262</v>
      </c>
      <c r="F1559" s="6">
        <v>30036.75</v>
      </c>
      <c r="G1559" s="2">
        <v>0.18</v>
      </c>
      <c r="H1559" s="2">
        <v>0.59</v>
      </c>
      <c r="I1559" s="2">
        <v>0.8</v>
      </c>
      <c r="J1559" s="47">
        <f t="shared" si="120"/>
        <v>2.2777777777777777</v>
      </c>
      <c r="K1559" s="47">
        <f t="shared" si="121"/>
        <v>0.35593220338983067</v>
      </c>
      <c r="L1559" s="8">
        <v>78.25</v>
      </c>
      <c r="M1559" s="8">
        <v>36.93</v>
      </c>
      <c r="N1559" s="8">
        <v>27.27</v>
      </c>
      <c r="O1559" s="17">
        <f t="shared" si="122"/>
        <v>0.16213170731707319</v>
      </c>
      <c r="P1559" s="17">
        <f t="shared" si="123"/>
        <v>0.76615714285714254</v>
      </c>
      <c r="Q1559" s="5">
        <v>2.08</v>
      </c>
      <c r="T1559" s="9">
        <v>7477.2402300000003</v>
      </c>
      <c r="U1559" s="9">
        <v>6891.89</v>
      </c>
      <c r="V1559" s="45">
        <f t="shared" si="124"/>
        <v>8.493319394244539E-2</v>
      </c>
      <c r="W1559" s="12">
        <v>71.430000000000007</v>
      </c>
      <c r="X1559" s="12">
        <v>0.73</v>
      </c>
      <c r="Y1559" s="12">
        <v>20210804</v>
      </c>
    </row>
    <row r="1560" spans="1:25" x14ac:dyDescent="0.45">
      <c r="A1560" s="3" t="s">
        <v>2754</v>
      </c>
      <c r="B1560" s="3" t="s">
        <v>2755</v>
      </c>
      <c r="C1560" s="6" t="s">
        <v>519</v>
      </c>
      <c r="D1560" s="6" t="s">
        <v>309</v>
      </c>
      <c r="E1560" s="6" t="s">
        <v>2160</v>
      </c>
      <c r="F1560" s="6">
        <v>28964.49</v>
      </c>
      <c r="G1560" s="2">
        <v>5.61</v>
      </c>
      <c r="H1560" s="2">
        <v>7.9</v>
      </c>
      <c r="I1560" s="2">
        <v>8.89</v>
      </c>
      <c r="J1560" s="47">
        <f t="shared" si="120"/>
        <v>0.40819964349376114</v>
      </c>
      <c r="K1560" s="47">
        <f t="shared" si="121"/>
        <v>0.12531645569620256</v>
      </c>
      <c r="L1560" s="8">
        <v>39.840000000000003</v>
      </c>
      <c r="M1560" s="8">
        <v>31.61</v>
      </c>
      <c r="N1560" s="8">
        <v>28.09</v>
      </c>
      <c r="O1560" s="17">
        <f t="shared" si="122"/>
        <v>0.77437598253275108</v>
      </c>
      <c r="P1560" s="17">
        <f t="shared" si="123"/>
        <v>2.241525252525252</v>
      </c>
      <c r="Q1560" s="5">
        <v>1.44</v>
      </c>
      <c r="R1560" s="9">
        <v>23.32</v>
      </c>
      <c r="S1560" s="9">
        <v>8.3800000000000008</v>
      </c>
      <c r="T1560" s="9">
        <v>4889.6679599999998</v>
      </c>
      <c r="U1560" s="9">
        <v>4015.13</v>
      </c>
      <c r="V1560" s="45">
        <f t="shared" si="124"/>
        <v>0.21781062132483869</v>
      </c>
      <c r="W1560" s="12">
        <v>7.59</v>
      </c>
      <c r="X1560" s="12">
        <v>0.32</v>
      </c>
      <c r="Y1560" s="12">
        <v>20210729</v>
      </c>
    </row>
    <row r="1561" spans="1:25" x14ac:dyDescent="0.45">
      <c r="A1561" s="3" t="s">
        <v>4867</v>
      </c>
      <c r="B1561" s="3" t="s">
        <v>4868</v>
      </c>
      <c r="C1561" s="6" t="s">
        <v>520</v>
      </c>
      <c r="D1561" s="6" t="s">
        <v>175</v>
      </c>
      <c r="E1561" s="6" t="s">
        <v>305</v>
      </c>
      <c r="F1561" s="6">
        <v>3953.13</v>
      </c>
      <c r="J1561" s="47" t="e">
        <f t="shared" si="120"/>
        <v>#DIV/0!</v>
      </c>
      <c r="K1561" s="47" t="e">
        <f t="shared" si="121"/>
        <v>#DIV/0!</v>
      </c>
      <c r="O1561" s="17" t="e">
        <f t="shared" si="122"/>
        <v>#DIV/0!</v>
      </c>
      <c r="P1561" s="17" t="e">
        <f t="shared" si="123"/>
        <v>#DIV/0!</v>
      </c>
      <c r="V1561" s="45" t="e">
        <f t="shared" si="124"/>
        <v>#DIV/0!</v>
      </c>
      <c r="X1561" s="12">
        <v>0</v>
      </c>
    </row>
    <row r="1562" spans="1:25" x14ac:dyDescent="0.45">
      <c r="A1562" s="3" t="s">
        <v>4278</v>
      </c>
      <c r="B1562" s="3" t="s">
        <v>4279</v>
      </c>
      <c r="C1562" s="6" t="s">
        <v>518</v>
      </c>
      <c r="D1562" s="6" t="s">
        <v>234</v>
      </c>
      <c r="E1562" s="6" t="s">
        <v>286</v>
      </c>
      <c r="F1562" s="6">
        <v>3345.07</v>
      </c>
      <c r="G1562" s="2">
        <v>2.1</v>
      </c>
      <c r="H1562" s="2">
        <v>2.23</v>
      </c>
      <c r="I1562" s="2">
        <v>2.34</v>
      </c>
      <c r="J1562" s="47">
        <f t="shared" si="120"/>
        <v>6.1904761904761851E-2</v>
      </c>
      <c r="K1562" s="47">
        <f t="shared" si="121"/>
        <v>4.9327354260089634E-2</v>
      </c>
      <c r="L1562" s="8">
        <v>13.72</v>
      </c>
      <c r="M1562" s="8">
        <v>13.37</v>
      </c>
      <c r="N1562" s="8">
        <v>12.73</v>
      </c>
      <c r="O1562" s="17">
        <f t="shared" si="122"/>
        <v>2.1597692307692324</v>
      </c>
      <c r="P1562" s="17">
        <f t="shared" si="123"/>
        <v>2.5807181818181846</v>
      </c>
      <c r="Q1562" s="5">
        <v>2.4700000000000002</v>
      </c>
      <c r="R1562" s="9">
        <v>4.16</v>
      </c>
      <c r="S1562" s="9">
        <v>1.6</v>
      </c>
      <c r="T1562" s="9">
        <v>648.59496999999999</v>
      </c>
      <c r="U1562" s="9">
        <v>609.36</v>
      </c>
      <c r="V1562" s="45">
        <f t="shared" si="124"/>
        <v>6.4387176709990765E-2</v>
      </c>
      <c r="W1562" s="12">
        <v>1.82</v>
      </c>
      <c r="X1562" s="12">
        <v>3.69</v>
      </c>
      <c r="Y1562" s="12">
        <v>20210729</v>
      </c>
    </row>
    <row r="1563" spans="1:25" x14ac:dyDescent="0.45">
      <c r="A1563" s="3" t="s">
        <v>2756</v>
      </c>
      <c r="B1563" s="3" t="s">
        <v>2757</v>
      </c>
      <c r="C1563" s="6" t="s">
        <v>518</v>
      </c>
      <c r="D1563" s="6" t="s">
        <v>327</v>
      </c>
      <c r="E1563" s="6" t="s">
        <v>321</v>
      </c>
      <c r="F1563" s="6">
        <v>6902</v>
      </c>
      <c r="G1563" s="2">
        <v>2.0499999999999998</v>
      </c>
      <c r="H1563" s="2">
        <v>2.12</v>
      </c>
      <c r="I1563" s="2">
        <v>2.2200000000000002</v>
      </c>
      <c r="J1563" s="47">
        <f t="shared" si="120"/>
        <v>3.4146341463414775E-2</v>
      </c>
      <c r="K1563" s="47">
        <f t="shared" si="121"/>
        <v>4.7169811320754755E-2</v>
      </c>
      <c r="L1563" s="8">
        <v>14.49</v>
      </c>
      <c r="M1563" s="8">
        <v>16.3</v>
      </c>
      <c r="N1563" s="8">
        <v>15.53</v>
      </c>
      <c r="O1563" s="17">
        <f t="shared" si="122"/>
        <v>4.773571428571409</v>
      </c>
      <c r="P1563" s="17">
        <f t="shared" si="123"/>
        <v>3.2923599999999973</v>
      </c>
      <c r="Q1563" s="5">
        <v>3.69</v>
      </c>
      <c r="R1563" s="9">
        <v>13.22</v>
      </c>
      <c r="S1563" s="9">
        <v>1.51</v>
      </c>
      <c r="U1563" s="9">
        <v>2122.3000000000002</v>
      </c>
      <c r="V1563" s="45">
        <f t="shared" si="124"/>
        <v>-1</v>
      </c>
      <c r="W1563" s="12">
        <v>44.44</v>
      </c>
      <c r="X1563" s="12">
        <v>4.67</v>
      </c>
      <c r="Y1563" s="12">
        <v>20210805</v>
      </c>
    </row>
    <row r="1564" spans="1:25" x14ac:dyDescent="0.45">
      <c r="A1564" s="3" t="s">
        <v>2758</v>
      </c>
      <c r="B1564" s="3" t="s">
        <v>2759</v>
      </c>
      <c r="C1564" s="6" t="s">
        <v>518</v>
      </c>
      <c r="D1564" s="6" t="s">
        <v>327</v>
      </c>
      <c r="E1564" s="6" t="s">
        <v>354</v>
      </c>
      <c r="F1564" s="6">
        <v>4081.77</v>
      </c>
      <c r="G1564" s="2">
        <v>3.66</v>
      </c>
      <c r="H1564" s="2">
        <v>3.78</v>
      </c>
      <c r="I1564" s="2">
        <v>4.07</v>
      </c>
      <c r="J1564" s="47">
        <f t="shared" si="120"/>
        <v>3.2786885245901544E-2</v>
      </c>
      <c r="K1564" s="47">
        <f t="shared" si="121"/>
        <v>7.6719576719576854E-2</v>
      </c>
      <c r="L1564" s="8">
        <v>20.440000000000001</v>
      </c>
      <c r="M1564" s="8">
        <v>20.28</v>
      </c>
      <c r="N1564" s="8">
        <v>18.829999999999998</v>
      </c>
      <c r="O1564" s="17">
        <f t="shared" si="122"/>
        <v>6.1854000000000182</v>
      </c>
      <c r="P1564" s="17">
        <f t="shared" si="123"/>
        <v>2.4543931034482713</v>
      </c>
      <c r="Q1564" s="5">
        <v>4.0599999999999996</v>
      </c>
      <c r="R1564" s="9">
        <v>8.98</v>
      </c>
      <c r="S1564" s="9">
        <v>2.33</v>
      </c>
      <c r="T1564" s="9">
        <v>1633.23498</v>
      </c>
      <c r="U1564" s="9">
        <v>1530.27</v>
      </c>
      <c r="V1564" s="45">
        <f t="shared" si="124"/>
        <v>6.728549863749532E-2</v>
      </c>
      <c r="W1564" s="12">
        <v>0.56000000000000005</v>
      </c>
      <c r="X1564" s="12">
        <v>3.03</v>
      </c>
      <c r="Y1564" s="12">
        <v>20210726</v>
      </c>
    </row>
    <row r="1565" spans="1:25" x14ac:dyDescent="0.45">
      <c r="A1565" s="3" t="s">
        <v>4869</v>
      </c>
      <c r="B1565" s="3" t="s">
        <v>4870</v>
      </c>
      <c r="C1565" s="6" t="s">
        <v>520</v>
      </c>
      <c r="D1565" s="6" t="s">
        <v>289</v>
      </c>
      <c r="E1565" s="6" t="s">
        <v>275</v>
      </c>
      <c r="F1565" s="6">
        <v>90018.86</v>
      </c>
      <c r="J1565" s="47" t="e">
        <f t="shared" si="120"/>
        <v>#DIV/0!</v>
      </c>
      <c r="K1565" s="47" t="e">
        <f t="shared" si="121"/>
        <v>#DIV/0!</v>
      </c>
      <c r="L1565" s="8">
        <v>9.75</v>
      </c>
      <c r="O1565" s="17" t="e">
        <f t="shared" si="122"/>
        <v>#DIV/0!</v>
      </c>
      <c r="P1565" s="17" t="e">
        <f t="shared" si="123"/>
        <v>#DIV/0!</v>
      </c>
      <c r="R1565" s="9">
        <v>4.75</v>
      </c>
      <c r="S1565" s="9">
        <v>-1.7</v>
      </c>
      <c r="U1565" s="9">
        <v>87433.48</v>
      </c>
      <c r="V1565" s="45">
        <f t="shared" si="124"/>
        <v>-1</v>
      </c>
      <c r="X1565" s="12">
        <v>4.3499999999999996</v>
      </c>
      <c r="Y1565" s="12">
        <v>20210826</v>
      </c>
    </row>
    <row r="1566" spans="1:25" x14ac:dyDescent="0.45">
      <c r="A1566" s="3" t="s">
        <v>2760</v>
      </c>
      <c r="B1566" s="3" t="s">
        <v>2761</v>
      </c>
      <c r="C1566" s="6" t="s">
        <v>518</v>
      </c>
      <c r="D1566" s="6" t="s">
        <v>234</v>
      </c>
      <c r="E1566" s="6" t="s">
        <v>286</v>
      </c>
      <c r="F1566" s="6">
        <v>8795.39</v>
      </c>
      <c r="G1566" s="2">
        <v>3.23</v>
      </c>
      <c r="H1566" s="2">
        <v>3.36</v>
      </c>
      <c r="I1566" s="2">
        <v>3.44</v>
      </c>
      <c r="J1566" s="47">
        <f t="shared" si="120"/>
        <v>4.0247678018575817E-2</v>
      </c>
      <c r="K1566" s="47">
        <f t="shared" si="121"/>
        <v>2.3809523809523832E-2</v>
      </c>
      <c r="L1566" s="8">
        <v>11.36</v>
      </c>
      <c r="M1566" s="8">
        <v>11.14</v>
      </c>
      <c r="N1566" s="8">
        <v>10.86</v>
      </c>
      <c r="O1566" s="17">
        <f t="shared" si="122"/>
        <v>2.767861538461541</v>
      </c>
      <c r="P1566" s="17">
        <f t="shared" si="123"/>
        <v>4.5611999999999959</v>
      </c>
      <c r="Q1566" s="5">
        <v>4.5999999999999996</v>
      </c>
      <c r="R1566" s="9">
        <v>5.63</v>
      </c>
      <c r="S1566" s="9">
        <v>0.74</v>
      </c>
      <c r="T1566" s="9">
        <v>1076.3919599999999</v>
      </c>
      <c r="U1566" s="9">
        <v>892.38</v>
      </c>
      <c r="V1566" s="45">
        <f t="shared" si="124"/>
        <v>0.206203590398709</v>
      </c>
      <c r="W1566" s="12">
        <v>3.66</v>
      </c>
      <c r="X1566" s="12">
        <v>7.17</v>
      </c>
      <c r="Y1566" s="12">
        <v>20210804</v>
      </c>
    </row>
    <row r="1567" spans="1:25" x14ac:dyDescent="0.45">
      <c r="A1567" s="3" t="s">
        <v>4280</v>
      </c>
      <c r="B1567" s="3" t="s">
        <v>4281</v>
      </c>
      <c r="C1567" s="6" t="s">
        <v>518</v>
      </c>
      <c r="D1567" s="6" t="s">
        <v>272</v>
      </c>
      <c r="E1567" s="6" t="s">
        <v>4022</v>
      </c>
      <c r="F1567" s="6">
        <v>3024.02</v>
      </c>
      <c r="G1567" s="2">
        <v>1.17</v>
      </c>
      <c r="H1567" s="2">
        <v>1.65</v>
      </c>
      <c r="I1567" s="2">
        <v>1.89</v>
      </c>
      <c r="J1567" s="47">
        <f t="shared" si="120"/>
        <v>0.41025641025641024</v>
      </c>
      <c r="K1567" s="47">
        <f t="shared" si="121"/>
        <v>0.14545454545454545</v>
      </c>
      <c r="L1567" s="8">
        <v>16.37</v>
      </c>
      <c r="M1567" s="8">
        <v>11.61</v>
      </c>
      <c r="N1567" s="8">
        <v>10.14</v>
      </c>
      <c r="O1567" s="17">
        <f t="shared" si="122"/>
        <v>0.28299374999999999</v>
      </c>
      <c r="P1567" s="17">
        <f t="shared" si="123"/>
        <v>0.69712500000000011</v>
      </c>
      <c r="Q1567" s="5">
        <v>0.57999999999999996</v>
      </c>
      <c r="R1567" s="9">
        <v>76.7</v>
      </c>
      <c r="S1567" s="9">
        <v>-1.76</v>
      </c>
      <c r="T1567" s="9">
        <v>6175.0668900000001</v>
      </c>
      <c r="U1567" s="9">
        <v>6091</v>
      </c>
      <c r="V1567" s="45">
        <f t="shared" si="124"/>
        <v>1.3801820719093754E-2</v>
      </c>
      <c r="W1567" s="12">
        <v>25</v>
      </c>
      <c r="X1567" s="12">
        <v>0</v>
      </c>
      <c r="Y1567" s="12">
        <v>20210803</v>
      </c>
    </row>
    <row r="1568" spans="1:25" x14ac:dyDescent="0.45">
      <c r="A1568" s="3" t="s">
        <v>4871</v>
      </c>
      <c r="B1568" s="3" t="s">
        <v>4872</v>
      </c>
      <c r="C1568" s="6" t="s">
        <v>518</v>
      </c>
      <c r="D1568" s="6" t="s">
        <v>327</v>
      </c>
      <c r="E1568" s="6" t="s">
        <v>209</v>
      </c>
      <c r="F1568" s="6">
        <v>9042.4599999999991</v>
      </c>
      <c r="J1568" s="47" t="e">
        <f t="shared" si="120"/>
        <v>#DIV/0!</v>
      </c>
      <c r="K1568" s="47" t="e">
        <f t="shared" si="121"/>
        <v>#DIV/0!</v>
      </c>
      <c r="O1568" s="17" t="e">
        <f t="shared" si="122"/>
        <v>#DIV/0!</v>
      </c>
      <c r="P1568" s="17" t="e">
        <f t="shared" si="123"/>
        <v>#DIV/0!</v>
      </c>
      <c r="R1568" s="9">
        <v>-101.77</v>
      </c>
      <c r="U1568" s="9">
        <v>1801.16</v>
      </c>
      <c r="V1568" s="45">
        <f t="shared" si="124"/>
        <v>-1</v>
      </c>
      <c r="X1568" s="12">
        <v>0</v>
      </c>
      <c r="Y1568" s="12">
        <v>20210812</v>
      </c>
    </row>
    <row r="1569" spans="1:25" x14ac:dyDescent="0.45">
      <c r="A1569" s="3" t="s">
        <v>4873</v>
      </c>
      <c r="B1569" s="3" t="s">
        <v>4874</v>
      </c>
      <c r="C1569" s="6" t="s">
        <v>518</v>
      </c>
      <c r="D1569" s="6" t="s">
        <v>234</v>
      </c>
      <c r="E1569" s="6" t="s">
        <v>904</v>
      </c>
      <c r="F1569" s="6">
        <v>3067.85</v>
      </c>
      <c r="J1569" s="47" t="e">
        <f t="shared" si="120"/>
        <v>#DIV/0!</v>
      </c>
      <c r="K1569" s="47" t="e">
        <f t="shared" si="121"/>
        <v>#DIV/0!</v>
      </c>
      <c r="O1569" s="17" t="e">
        <f t="shared" si="122"/>
        <v>#DIV/0!</v>
      </c>
      <c r="P1569" s="17" t="e">
        <f t="shared" si="123"/>
        <v>#DIV/0!</v>
      </c>
      <c r="V1569" s="45" t="e">
        <f t="shared" si="124"/>
        <v>#DIV/0!</v>
      </c>
      <c r="X1569" s="12">
        <v>0.8</v>
      </c>
    </row>
    <row r="1570" spans="1:25" x14ac:dyDescent="0.45">
      <c r="A1570" s="3" t="s">
        <v>2762</v>
      </c>
      <c r="B1570" s="3" t="s">
        <v>2763</v>
      </c>
      <c r="C1570" s="6" t="s">
        <v>518</v>
      </c>
      <c r="D1570" s="6" t="s">
        <v>327</v>
      </c>
      <c r="E1570" s="6" t="s">
        <v>354</v>
      </c>
      <c r="F1570" s="6">
        <v>24433.22</v>
      </c>
      <c r="G1570" s="2">
        <v>1.46</v>
      </c>
      <c r="H1570" s="2">
        <v>3.31</v>
      </c>
      <c r="I1570" s="2">
        <v>3.49</v>
      </c>
      <c r="J1570" s="47">
        <f t="shared" si="120"/>
        <v>1.2671232876712331</v>
      </c>
      <c r="K1570" s="47">
        <f t="shared" si="121"/>
        <v>5.4380664652568023E-2</v>
      </c>
      <c r="L1570" s="8">
        <v>21.34</v>
      </c>
      <c r="M1570" s="8">
        <v>16.55</v>
      </c>
      <c r="N1570" s="8">
        <v>15.7</v>
      </c>
      <c r="O1570" s="17">
        <f t="shared" si="122"/>
        <v>0.1306108108108108</v>
      </c>
      <c r="P1570" s="17">
        <f t="shared" si="123"/>
        <v>2.8870555555555533</v>
      </c>
      <c r="Q1570" s="5">
        <v>2.76</v>
      </c>
      <c r="R1570" s="9">
        <v>18.61</v>
      </c>
      <c r="S1570" s="9">
        <v>-0.17</v>
      </c>
      <c r="T1570" s="9">
        <v>13931.440420000001</v>
      </c>
      <c r="U1570" s="9">
        <v>8542.24</v>
      </c>
      <c r="V1570" s="45">
        <f t="shared" si="124"/>
        <v>0.63088843441532916</v>
      </c>
      <c r="W1570" s="12">
        <v>8.86</v>
      </c>
      <c r="X1570" s="12">
        <v>6.82</v>
      </c>
      <c r="Y1570" s="12">
        <v>20210727</v>
      </c>
    </row>
    <row r="1571" spans="1:25" x14ac:dyDescent="0.45">
      <c r="A1571" s="3" t="s">
        <v>2764</v>
      </c>
      <c r="B1571" s="3" t="s">
        <v>2765</v>
      </c>
      <c r="C1571" s="6" t="s">
        <v>519</v>
      </c>
      <c r="D1571" s="6" t="s">
        <v>189</v>
      </c>
      <c r="E1571" s="6" t="s">
        <v>249</v>
      </c>
      <c r="F1571" s="6">
        <v>28494.1</v>
      </c>
      <c r="G1571" s="2">
        <v>0.04</v>
      </c>
      <c r="H1571" s="2">
        <v>-1.1299999999999999</v>
      </c>
      <c r="I1571" s="2">
        <v>-0.78</v>
      </c>
      <c r="J1571" s="47">
        <f t="shared" si="120"/>
        <v>-29.249999999999996</v>
      </c>
      <c r="K1571" s="47">
        <f t="shared" si="121"/>
        <v>0.30973451327433621</v>
      </c>
      <c r="L1571" s="8">
        <v>3102.29</v>
      </c>
      <c r="O1571" s="17">
        <f t="shared" si="122"/>
        <v>0</v>
      </c>
      <c r="P1571" s="17">
        <f t="shared" si="123"/>
        <v>0</v>
      </c>
      <c r="R1571" s="9">
        <v>-30.9</v>
      </c>
      <c r="S1571" s="9">
        <v>49.93</v>
      </c>
      <c r="T1571" s="9">
        <v>1210.9589800000001</v>
      </c>
      <c r="U1571" s="9">
        <v>835.42</v>
      </c>
      <c r="V1571" s="45">
        <f t="shared" si="124"/>
        <v>0.44952117497785565</v>
      </c>
      <c r="W1571" s="12">
        <v>50</v>
      </c>
      <c r="X1571" s="12">
        <v>0</v>
      </c>
      <c r="Y1571" s="12">
        <v>20210826</v>
      </c>
    </row>
    <row r="1572" spans="1:25" x14ac:dyDescent="0.45">
      <c r="A1572" s="3" t="s">
        <v>2766</v>
      </c>
      <c r="B1572" s="3" t="s">
        <v>2767</v>
      </c>
      <c r="C1572" s="6" t="s">
        <v>520</v>
      </c>
      <c r="D1572" s="6" t="s">
        <v>216</v>
      </c>
      <c r="E1572" s="6" t="s">
        <v>231</v>
      </c>
      <c r="F1572" s="6">
        <v>50150.85</v>
      </c>
      <c r="G1572" s="2">
        <v>-0.27</v>
      </c>
      <c r="H1572" s="2">
        <v>-0.03</v>
      </c>
      <c r="I1572" s="2">
        <v>0.6</v>
      </c>
      <c r="J1572" s="47">
        <f t="shared" si="120"/>
        <v>0.88888888888888895</v>
      </c>
      <c r="K1572" s="47">
        <f t="shared" si="121"/>
        <v>21</v>
      </c>
      <c r="N1572" s="8">
        <v>50.83</v>
      </c>
      <c r="O1572" s="17">
        <f t="shared" si="122"/>
        <v>0</v>
      </c>
      <c r="P1572" s="17">
        <f t="shared" si="123"/>
        <v>2.4204761904761903E-2</v>
      </c>
      <c r="R1572" s="9">
        <v>-5.2</v>
      </c>
      <c r="S1572" s="9">
        <v>-11.43</v>
      </c>
      <c r="T1572" s="9">
        <v>2788.2900300000001</v>
      </c>
      <c r="U1572" s="9">
        <v>1609.77</v>
      </c>
      <c r="V1572" s="45">
        <f t="shared" si="124"/>
        <v>0.73210460500568408</v>
      </c>
      <c r="X1572" s="12">
        <v>0.06</v>
      </c>
      <c r="Y1572" s="12">
        <v>20210729</v>
      </c>
    </row>
    <row r="1573" spans="1:25" x14ac:dyDescent="0.45">
      <c r="A1573" s="3" t="s">
        <v>2768</v>
      </c>
      <c r="B1573" s="3" t="s">
        <v>2769</v>
      </c>
      <c r="C1573" s="6" t="s">
        <v>519</v>
      </c>
      <c r="D1573" s="6" t="s">
        <v>189</v>
      </c>
      <c r="E1573" s="6" t="s">
        <v>211</v>
      </c>
      <c r="F1573" s="6">
        <v>10148.23</v>
      </c>
      <c r="G1573" s="2">
        <v>2.2999999999999998</v>
      </c>
      <c r="H1573" s="2">
        <v>4.0599999999999996</v>
      </c>
      <c r="I1573" s="2">
        <v>5.38</v>
      </c>
      <c r="J1573" s="47">
        <f t="shared" si="120"/>
        <v>0.76521739130434774</v>
      </c>
      <c r="K1573" s="47">
        <f t="shared" si="121"/>
        <v>0.32512315270935971</v>
      </c>
      <c r="L1573" s="8">
        <v>69.900000000000006</v>
      </c>
      <c r="M1573" s="8">
        <v>53.07</v>
      </c>
      <c r="N1573" s="8">
        <v>40.04</v>
      </c>
      <c r="O1573" s="17">
        <f t="shared" si="122"/>
        <v>0.69352840909090918</v>
      </c>
      <c r="P1573" s="17">
        <f t="shared" si="123"/>
        <v>1.2315333333333329</v>
      </c>
      <c r="Q1573" s="5">
        <v>1.77</v>
      </c>
      <c r="R1573" s="9">
        <v>16.39</v>
      </c>
      <c r="S1573" s="9">
        <v>18.329999999999998</v>
      </c>
      <c r="T1573" s="9">
        <v>553.46501999999998</v>
      </c>
      <c r="U1573" s="9">
        <v>428.87</v>
      </c>
      <c r="V1573" s="45">
        <f t="shared" si="124"/>
        <v>0.29051931820831484</v>
      </c>
      <c r="W1573" s="12">
        <v>61.19</v>
      </c>
      <c r="X1573" s="12">
        <v>0.37</v>
      </c>
      <c r="Y1573" s="12">
        <v>20210805</v>
      </c>
    </row>
    <row r="1574" spans="1:25" x14ac:dyDescent="0.45">
      <c r="A1574" s="3" t="s">
        <v>4282</v>
      </c>
      <c r="B1574" s="3" t="s">
        <v>4283</v>
      </c>
      <c r="C1574" s="6" t="s">
        <v>519</v>
      </c>
      <c r="D1574" s="6" t="s">
        <v>279</v>
      </c>
      <c r="E1574" s="6" t="s">
        <v>265</v>
      </c>
      <c r="F1574" s="6">
        <v>4264.0200000000004</v>
      </c>
      <c r="H1574" s="2">
        <v>-0.18</v>
      </c>
      <c r="I1574" s="2">
        <v>-0.1</v>
      </c>
      <c r="J1574" s="47" t="e">
        <f t="shared" si="120"/>
        <v>#DIV/0!</v>
      </c>
      <c r="K1574" s="47">
        <f t="shared" si="121"/>
        <v>0.44444444444444442</v>
      </c>
      <c r="O1574" s="17" t="e">
        <f t="shared" si="122"/>
        <v>#DIV/0!</v>
      </c>
      <c r="P1574" s="17">
        <f t="shared" si="123"/>
        <v>0</v>
      </c>
      <c r="T1574" s="9">
        <v>91.58699</v>
      </c>
      <c r="U1574" s="9">
        <v>54.07</v>
      </c>
      <c r="V1574" s="45">
        <f t="shared" si="124"/>
        <v>0.69385962641020893</v>
      </c>
      <c r="W1574" s="12">
        <v>-269.23</v>
      </c>
      <c r="X1574" s="12">
        <v>0</v>
      </c>
      <c r="Y1574" s="12">
        <v>20210819</v>
      </c>
    </row>
    <row r="1575" spans="1:25" x14ac:dyDescent="0.45">
      <c r="A1575" s="3" t="s">
        <v>2770</v>
      </c>
      <c r="B1575" s="3" t="s">
        <v>2771</v>
      </c>
      <c r="C1575" s="6" t="s">
        <v>519</v>
      </c>
      <c r="D1575" s="6" t="s">
        <v>225</v>
      </c>
      <c r="E1575" s="6" t="s">
        <v>206</v>
      </c>
      <c r="F1575" s="6">
        <v>5630.16</v>
      </c>
      <c r="G1575" s="2">
        <v>3.04</v>
      </c>
      <c r="H1575" s="2">
        <v>2.91</v>
      </c>
      <c r="I1575" s="2">
        <v>3.33</v>
      </c>
      <c r="J1575" s="47">
        <f t="shared" si="120"/>
        <v>-4.2763157894736809E-2</v>
      </c>
      <c r="K1575" s="47">
        <f t="shared" si="121"/>
        <v>0.14432989690721645</v>
      </c>
      <c r="L1575" s="8">
        <v>24.92</v>
      </c>
      <c r="M1575" s="8">
        <v>29.64</v>
      </c>
      <c r="N1575" s="8">
        <v>25.92</v>
      </c>
      <c r="O1575" s="17">
        <f t="shared" si="122"/>
        <v>-6.9312000000000058</v>
      </c>
      <c r="P1575" s="17">
        <f t="shared" si="123"/>
        <v>1.7958857142857148</v>
      </c>
      <c r="Q1575" s="5">
        <v>2.06</v>
      </c>
      <c r="R1575" s="9">
        <v>17.59</v>
      </c>
      <c r="S1575" s="9">
        <v>18.47</v>
      </c>
      <c r="T1575" s="9">
        <v>1871.604</v>
      </c>
      <c r="U1575" s="9">
        <v>1808.82</v>
      </c>
      <c r="V1575" s="45">
        <f t="shared" si="124"/>
        <v>3.4709921385212519E-2</v>
      </c>
      <c r="W1575" s="12">
        <v>21.21</v>
      </c>
      <c r="X1575" s="12">
        <v>0</v>
      </c>
      <c r="Y1575" s="12">
        <v>20210826</v>
      </c>
    </row>
    <row r="1576" spans="1:25" x14ac:dyDescent="0.45">
      <c r="A1576" s="3" t="s">
        <v>2772</v>
      </c>
      <c r="B1576" s="3" t="s">
        <v>2773</v>
      </c>
      <c r="C1576" s="6" t="s">
        <v>518</v>
      </c>
      <c r="D1576" s="6" t="s">
        <v>90</v>
      </c>
      <c r="E1576" s="6" t="s">
        <v>196</v>
      </c>
      <c r="F1576" s="6">
        <v>7699.47</v>
      </c>
      <c r="G1576" s="2">
        <v>-2.44</v>
      </c>
      <c r="H1576" s="2">
        <v>5.43</v>
      </c>
      <c r="I1576" s="2">
        <v>5.46</v>
      </c>
      <c r="J1576" s="47">
        <f t="shared" si="120"/>
        <v>3.2254098360655736</v>
      </c>
      <c r="K1576" s="47">
        <f t="shared" si="121"/>
        <v>5.5248618784530844E-3</v>
      </c>
      <c r="L1576" s="8">
        <v>83.26</v>
      </c>
      <c r="M1576" s="8">
        <v>8.89</v>
      </c>
      <c r="N1576" s="8">
        <v>8.84</v>
      </c>
      <c r="O1576" s="17">
        <f t="shared" si="122"/>
        <v>2.7562388818297336E-2</v>
      </c>
      <c r="P1576" s="17">
        <f t="shared" si="123"/>
        <v>16.000399999999868</v>
      </c>
      <c r="R1576" s="9">
        <v>5.74</v>
      </c>
      <c r="S1576" s="9">
        <v>2.21</v>
      </c>
      <c r="T1576" s="9">
        <v>7779.2402300000003</v>
      </c>
      <c r="U1576" s="9">
        <v>5758</v>
      </c>
      <c r="V1576" s="45">
        <f t="shared" si="124"/>
        <v>0.35103164814171595</v>
      </c>
      <c r="W1576" s="12">
        <v>14.18</v>
      </c>
      <c r="X1576" s="12">
        <v>1.66</v>
      </c>
      <c r="Y1576" s="12">
        <v>20210804</v>
      </c>
    </row>
    <row r="1577" spans="1:25" x14ac:dyDescent="0.45">
      <c r="A1577" s="3" t="s">
        <v>4284</v>
      </c>
      <c r="B1577" s="3" t="s">
        <v>4285</v>
      </c>
      <c r="C1577" s="6" t="s">
        <v>518</v>
      </c>
      <c r="D1577" s="6" t="s">
        <v>189</v>
      </c>
      <c r="E1577" s="6" t="s">
        <v>248</v>
      </c>
      <c r="F1577" s="6">
        <v>5916.76</v>
      </c>
      <c r="H1577" s="2">
        <v>7.0000000000000007E-2</v>
      </c>
      <c r="I1577" s="2">
        <v>0.09</v>
      </c>
      <c r="J1577" s="47" t="e">
        <f t="shared" si="120"/>
        <v>#DIV/0!</v>
      </c>
      <c r="K1577" s="47">
        <f t="shared" si="121"/>
        <v>0.28571428571428553</v>
      </c>
      <c r="M1577" s="8">
        <v>573</v>
      </c>
      <c r="N1577" s="8">
        <v>466.39</v>
      </c>
      <c r="O1577" s="17" t="e">
        <f t="shared" si="122"/>
        <v>#DIV/0!</v>
      </c>
      <c r="P1577" s="17">
        <f t="shared" si="123"/>
        <v>16.323650000000011</v>
      </c>
      <c r="T1577" s="9">
        <v>141.42500000000001</v>
      </c>
      <c r="U1577" s="9">
        <v>98.42</v>
      </c>
      <c r="V1577" s="45">
        <f t="shared" si="124"/>
        <v>0.43695387116439754</v>
      </c>
      <c r="W1577" s="12">
        <v>200</v>
      </c>
      <c r="X1577" s="12">
        <v>0</v>
      </c>
      <c r="Y1577" s="12">
        <v>20210810</v>
      </c>
    </row>
    <row r="1578" spans="1:25" x14ac:dyDescent="0.45">
      <c r="A1578" s="3" t="s">
        <v>2774</v>
      </c>
      <c r="B1578" s="3" t="s">
        <v>2775</v>
      </c>
      <c r="C1578" s="6" t="s">
        <v>518</v>
      </c>
      <c r="D1578" s="6" t="s">
        <v>175</v>
      </c>
      <c r="E1578" s="6" t="s">
        <v>9</v>
      </c>
      <c r="F1578" s="6">
        <v>17965.7</v>
      </c>
      <c r="G1578" s="2">
        <v>4.6500000000000004</v>
      </c>
      <c r="H1578" s="2">
        <v>6.06</v>
      </c>
      <c r="I1578" s="2">
        <v>6.42</v>
      </c>
      <c r="J1578" s="47">
        <f t="shared" si="120"/>
        <v>0.30322580645161273</v>
      </c>
      <c r="K1578" s="47">
        <f t="shared" si="121"/>
        <v>5.9405940594059466E-2</v>
      </c>
      <c r="L1578" s="8">
        <v>15.58</v>
      </c>
      <c r="M1578" s="8">
        <v>13.79</v>
      </c>
      <c r="N1578" s="8">
        <v>13</v>
      </c>
      <c r="O1578" s="17">
        <f t="shared" si="122"/>
        <v>0.45477659574468104</v>
      </c>
      <c r="P1578" s="17">
        <f t="shared" si="123"/>
        <v>2.1883333333333312</v>
      </c>
      <c r="Q1578" s="5">
        <v>1.44</v>
      </c>
      <c r="R1578" s="9">
        <v>34.979999999999997</v>
      </c>
      <c r="S1578" s="9">
        <v>-2.83</v>
      </c>
      <c r="T1578" s="9">
        <v>14214.41992</v>
      </c>
      <c r="U1578" s="9">
        <v>13171.1</v>
      </c>
      <c r="V1578" s="45">
        <f t="shared" si="124"/>
        <v>7.9212815937924688E-2</v>
      </c>
      <c r="W1578" s="12">
        <v>16.670000000000002</v>
      </c>
      <c r="X1578" s="12">
        <v>3.35</v>
      </c>
      <c r="Y1578" s="12">
        <v>20210727</v>
      </c>
    </row>
    <row r="1579" spans="1:25" x14ac:dyDescent="0.45">
      <c r="A1579" s="3" t="s">
        <v>2776</v>
      </c>
      <c r="B1579" s="3" t="s">
        <v>2777</v>
      </c>
      <c r="C1579" s="6" t="s">
        <v>519</v>
      </c>
      <c r="D1579" s="6" t="s">
        <v>279</v>
      </c>
      <c r="E1579" s="6" t="s">
        <v>265</v>
      </c>
      <c r="F1579" s="6">
        <v>6003.83</v>
      </c>
      <c r="G1579" s="2">
        <v>2.4900000000000002</v>
      </c>
      <c r="H1579" s="2">
        <v>3.59</v>
      </c>
      <c r="I1579" s="2">
        <v>3.98</v>
      </c>
      <c r="J1579" s="47">
        <f t="shared" si="120"/>
        <v>0.4417670682730922</v>
      </c>
      <c r="K1579" s="47">
        <f t="shared" si="121"/>
        <v>0.10863509749303625</v>
      </c>
      <c r="L1579" s="8">
        <v>51.29</v>
      </c>
      <c r="M1579" s="8">
        <v>38.72</v>
      </c>
      <c r="N1579" s="8">
        <v>34.950000000000003</v>
      </c>
      <c r="O1579" s="17">
        <f t="shared" si="122"/>
        <v>0.87648000000000037</v>
      </c>
      <c r="P1579" s="17">
        <f t="shared" si="123"/>
        <v>3.2171923076923066</v>
      </c>
      <c r="Q1579" s="5">
        <v>3.23</v>
      </c>
      <c r="R1579" s="9">
        <v>8.84</v>
      </c>
      <c r="S1579" s="9">
        <v>9.06</v>
      </c>
      <c r="T1579" s="9">
        <v>1092.68994</v>
      </c>
      <c r="U1579" s="9">
        <v>892.21</v>
      </c>
      <c r="V1579" s="45">
        <f t="shared" si="124"/>
        <v>0.22470039564676469</v>
      </c>
      <c r="W1579" s="12">
        <v>23.88</v>
      </c>
      <c r="X1579" s="12">
        <v>0</v>
      </c>
      <c r="Y1579" s="12">
        <v>20210727</v>
      </c>
    </row>
    <row r="1580" spans="1:25" x14ac:dyDescent="0.45">
      <c r="A1580" s="3" t="s">
        <v>2778</v>
      </c>
      <c r="B1580" s="3" t="s">
        <v>2779</v>
      </c>
      <c r="C1580" s="6" t="s">
        <v>518</v>
      </c>
      <c r="D1580" s="6" t="s">
        <v>234</v>
      </c>
      <c r="E1580" s="6" t="s">
        <v>218</v>
      </c>
      <c r="F1580" s="6">
        <v>8053.83</v>
      </c>
      <c r="G1580" s="2">
        <v>5.25</v>
      </c>
      <c r="H1580" s="2">
        <v>9.4499999999999993</v>
      </c>
      <c r="I1580" s="2">
        <v>8.2200000000000006</v>
      </c>
      <c r="J1580" s="47">
        <f t="shared" si="120"/>
        <v>0.79999999999999982</v>
      </c>
      <c r="K1580" s="47">
        <f t="shared" si="121"/>
        <v>-0.13015873015873003</v>
      </c>
      <c r="L1580" s="8">
        <v>6.56</v>
      </c>
      <c r="M1580" s="8">
        <v>6.34</v>
      </c>
      <c r="N1580" s="8">
        <v>7.29</v>
      </c>
      <c r="O1580" s="17">
        <f t="shared" si="122"/>
        <v>7.9250000000000015E-2</v>
      </c>
      <c r="P1580" s="17">
        <f t="shared" si="123"/>
        <v>-0.56008536585365909</v>
      </c>
      <c r="R1580" s="9">
        <v>37.69</v>
      </c>
      <c r="S1580" s="9">
        <v>8.34</v>
      </c>
      <c r="T1580" s="9">
        <v>3348.1498999999999</v>
      </c>
      <c r="U1580" s="9">
        <v>4891</v>
      </c>
      <c r="V1580" s="45">
        <f t="shared" si="124"/>
        <v>-0.31544675935391536</v>
      </c>
      <c r="W1580" s="12">
        <v>58.96</v>
      </c>
      <c r="X1580" s="12">
        <v>4.68</v>
      </c>
      <c r="Y1580" s="12">
        <v>20210726</v>
      </c>
    </row>
    <row r="1581" spans="1:25" x14ac:dyDescent="0.45">
      <c r="A1581" s="3" t="s">
        <v>4286</v>
      </c>
      <c r="B1581" s="3" t="s">
        <v>4287</v>
      </c>
      <c r="C1581" s="6" t="s">
        <v>518</v>
      </c>
      <c r="D1581" s="6" t="s">
        <v>279</v>
      </c>
      <c r="E1581" s="6" t="s">
        <v>264</v>
      </c>
      <c r="F1581" s="6">
        <v>3483.85</v>
      </c>
      <c r="G1581" s="2">
        <v>1.95</v>
      </c>
      <c r="H1581" s="2">
        <v>3.79</v>
      </c>
      <c r="I1581" s="2">
        <v>3.39</v>
      </c>
      <c r="J1581" s="47">
        <f t="shared" si="120"/>
        <v>0.94358974358974368</v>
      </c>
      <c r="K1581" s="47">
        <f t="shared" si="121"/>
        <v>-0.10554089709762531</v>
      </c>
      <c r="L1581" s="8">
        <v>12.46</v>
      </c>
      <c r="M1581" s="8">
        <v>12.23</v>
      </c>
      <c r="N1581" s="8">
        <v>13.68</v>
      </c>
      <c r="O1581" s="17">
        <f t="shared" si="122"/>
        <v>0.12961141304347826</v>
      </c>
      <c r="P1581" s="17">
        <f t="shared" si="123"/>
        <v>-1.2961800000000003</v>
      </c>
      <c r="Q1581" s="5">
        <v>0.66</v>
      </c>
      <c r="R1581" s="9">
        <v>43.12</v>
      </c>
      <c r="S1581" s="9">
        <v>-2.4</v>
      </c>
      <c r="T1581" s="9">
        <v>9610.0995999999996</v>
      </c>
      <c r="U1581" s="9">
        <v>8480.18</v>
      </c>
      <c r="V1581" s="45">
        <f t="shared" si="124"/>
        <v>0.13324240759040482</v>
      </c>
      <c r="W1581" s="12">
        <v>61.86</v>
      </c>
      <c r="X1581" s="12">
        <v>0.02</v>
      </c>
      <c r="Y1581" s="12">
        <v>20210803</v>
      </c>
    </row>
    <row r="1582" spans="1:25" x14ac:dyDescent="0.45">
      <c r="A1582" s="3" t="s">
        <v>2780</v>
      </c>
      <c r="B1582" s="3" t="s">
        <v>2781</v>
      </c>
      <c r="C1582" s="6" t="s">
        <v>520</v>
      </c>
      <c r="D1582" s="6" t="s">
        <v>189</v>
      </c>
      <c r="E1582" s="6" t="s">
        <v>211</v>
      </c>
      <c r="F1582" s="6">
        <v>15635.42</v>
      </c>
      <c r="G1582" s="2">
        <v>2.12</v>
      </c>
      <c r="H1582" s="2">
        <v>2.57</v>
      </c>
      <c r="I1582" s="2">
        <v>2.85</v>
      </c>
      <c r="J1582" s="47">
        <f t="shared" si="120"/>
        <v>0.2122641509433961</v>
      </c>
      <c r="K1582" s="47">
        <f t="shared" si="121"/>
        <v>0.10894941634241255</v>
      </c>
      <c r="M1582" s="8">
        <v>29.5</v>
      </c>
      <c r="N1582" s="8">
        <v>26.6</v>
      </c>
      <c r="O1582" s="17">
        <f t="shared" si="122"/>
        <v>1.3897777777777784</v>
      </c>
      <c r="P1582" s="17">
        <f t="shared" si="123"/>
        <v>2.4414999999999982</v>
      </c>
      <c r="T1582" s="9">
        <v>6322.7299800000001</v>
      </c>
      <c r="U1582" s="9">
        <v>6237.42</v>
      </c>
      <c r="V1582" s="45">
        <f t="shared" si="124"/>
        <v>1.3677126119453235E-2</v>
      </c>
      <c r="W1582" s="12">
        <v>309.08999999999997</v>
      </c>
      <c r="X1582" s="12">
        <v>0.8</v>
      </c>
    </row>
    <row r="1583" spans="1:25" x14ac:dyDescent="0.45">
      <c r="A1583" s="3" t="s">
        <v>2782</v>
      </c>
      <c r="B1583" s="3" t="s">
        <v>2783</v>
      </c>
      <c r="C1583" s="6" t="s">
        <v>519</v>
      </c>
      <c r="D1583" s="6" t="s">
        <v>189</v>
      </c>
      <c r="E1583" s="6" t="s">
        <v>298</v>
      </c>
      <c r="F1583" s="6">
        <v>15901.78</v>
      </c>
      <c r="G1583" s="2">
        <v>0.77</v>
      </c>
      <c r="H1583" s="2">
        <v>1.93</v>
      </c>
      <c r="I1583" s="2">
        <v>2.31</v>
      </c>
      <c r="J1583" s="47">
        <f t="shared" si="120"/>
        <v>1.5064935064935063</v>
      </c>
      <c r="K1583" s="47">
        <f t="shared" si="121"/>
        <v>0.19689119170984462</v>
      </c>
      <c r="L1583" s="8">
        <v>34.17</v>
      </c>
      <c r="M1583" s="8">
        <v>19.29</v>
      </c>
      <c r="N1583" s="8">
        <v>16.100000000000001</v>
      </c>
      <c r="O1583" s="17">
        <f t="shared" si="122"/>
        <v>0.12804568965517243</v>
      </c>
      <c r="P1583" s="17">
        <f t="shared" si="123"/>
        <v>0.81771052631578933</v>
      </c>
      <c r="R1583" s="9">
        <v>13.23</v>
      </c>
      <c r="S1583" s="9">
        <v>7.37</v>
      </c>
      <c r="T1583" s="9">
        <v>6308.4448199999997</v>
      </c>
      <c r="U1583" s="9">
        <v>5255</v>
      </c>
      <c r="V1583" s="45">
        <f t="shared" si="124"/>
        <v>0.20046523691722165</v>
      </c>
      <c r="W1583" s="12">
        <v>2.94</v>
      </c>
      <c r="X1583" s="12">
        <v>0</v>
      </c>
      <c r="Y1583" s="12">
        <v>20210813</v>
      </c>
    </row>
    <row r="1584" spans="1:25" x14ac:dyDescent="0.45">
      <c r="A1584" s="3" t="s">
        <v>3870</v>
      </c>
      <c r="B1584" s="3" t="s">
        <v>3871</v>
      </c>
      <c r="C1584" s="6" t="s">
        <v>519</v>
      </c>
      <c r="D1584" s="6" t="s">
        <v>234</v>
      </c>
      <c r="E1584" s="6" t="s">
        <v>168</v>
      </c>
      <c r="F1584" s="6">
        <v>3113.05</v>
      </c>
      <c r="G1584" s="2">
        <v>1.3</v>
      </c>
      <c r="H1584" s="2">
        <v>1.41</v>
      </c>
      <c r="I1584" s="2">
        <v>1.46</v>
      </c>
      <c r="J1584" s="47">
        <f t="shared" si="120"/>
        <v>8.4615384615384523E-2</v>
      </c>
      <c r="K1584" s="47">
        <f t="shared" si="121"/>
        <v>3.5460992907801449E-2</v>
      </c>
      <c r="L1584" s="8">
        <v>10.62</v>
      </c>
      <c r="M1584" s="8">
        <v>13.33</v>
      </c>
      <c r="N1584" s="8">
        <v>12.91</v>
      </c>
      <c r="O1584" s="17">
        <f t="shared" si="122"/>
        <v>1.5753636363636381</v>
      </c>
      <c r="P1584" s="17">
        <f t="shared" si="123"/>
        <v>3.6406199999999971</v>
      </c>
      <c r="R1584" s="9">
        <v>10.050000000000001</v>
      </c>
      <c r="S1584" s="9">
        <v>8.6300000000000008</v>
      </c>
      <c r="T1584" s="9">
        <v>809.09996999999998</v>
      </c>
      <c r="U1584" s="9">
        <v>902.58</v>
      </c>
      <c r="V1584" s="45">
        <f t="shared" si="124"/>
        <v>-0.10356979990693352</v>
      </c>
      <c r="W1584" s="12">
        <v>30</v>
      </c>
      <c r="X1584" s="12">
        <v>2.98</v>
      </c>
      <c r="Y1584" s="12">
        <v>20210719</v>
      </c>
    </row>
    <row r="1585" spans="1:25" x14ac:dyDescent="0.45">
      <c r="A1585" s="3" t="s">
        <v>2784</v>
      </c>
      <c r="B1585" s="3" t="s">
        <v>2785</v>
      </c>
      <c r="C1585" s="6" t="s">
        <v>519</v>
      </c>
      <c r="D1585" s="6" t="s">
        <v>279</v>
      </c>
      <c r="E1585" s="6" t="s">
        <v>265</v>
      </c>
      <c r="F1585" s="6">
        <v>4678.58</v>
      </c>
      <c r="G1585" s="2">
        <v>-0.86</v>
      </c>
      <c r="H1585" s="2">
        <v>-0.87</v>
      </c>
      <c r="I1585" s="2">
        <v>-0.44</v>
      </c>
      <c r="J1585" s="47">
        <f t="shared" si="120"/>
        <v>-1.1627906976744196E-2</v>
      </c>
      <c r="K1585" s="47">
        <f t="shared" si="121"/>
        <v>0.4942528735632184</v>
      </c>
      <c r="O1585" s="17">
        <f t="shared" si="122"/>
        <v>0</v>
      </c>
      <c r="P1585" s="17">
        <f t="shared" si="123"/>
        <v>0</v>
      </c>
      <c r="R1585" s="9">
        <v>-18.059999999999999</v>
      </c>
      <c r="T1585" s="9">
        <v>482.33699999999999</v>
      </c>
      <c r="U1585" s="9">
        <v>380.22</v>
      </c>
      <c r="V1585" s="45">
        <f t="shared" si="124"/>
        <v>0.2685734574719898</v>
      </c>
      <c r="W1585" s="12">
        <v>-107.14</v>
      </c>
      <c r="X1585" s="12">
        <v>0</v>
      </c>
      <c r="Y1585" s="12">
        <v>20210811</v>
      </c>
    </row>
    <row r="1586" spans="1:25" x14ac:dyDescent="0.45">
      <c r="A1586" s="3" t="s">
        <v>4875</v>
      </c>
      <c r="B1586" s="3" t="s">
        <v>4876</v>
      </c>
      <c r="C1586" s="6" t="s">
        <v>520</v>
      </c>
      <c r="D1586" s="6" t="s">
        <v>234</v>
      </c>
      <c r="E1586" s="6" t="s">
        <v>220</v>
      </c>
      <c r="F1586" s="6">
        <v>6423.67</v>
      </c>
      <c r="J1586" s="47" t="e">
        <f t="shared" si="120"/>
        <v>#DIV/0!</v>
      </c>
      <c r="K1586" s="47" t="e">
        <f t="shared" si="121"/>
        <v>#DIV/0!</v>
      </c>
      <c r="L1586" s="8">
        <v>3.11</v>
      </c>
      <c r="O1586" s="17" t="e">
        <f t="shared" si="122"/>
        <v>#DIV/0!</v>
      </c>
      <c r="P1586" s="17" t="e">
        <f t="shared" si="123"/>
        <v>#DIV/0!</v>
      </c>
      <c r="R1586" s="9">
        <v>30.64</v>
      </c>
      <c r="S1586" s="9">
        <v>-39.369999999999997</v>
      </c>
      <c r="U1586" s="9">
        <v>1141</v>
      </c>
      <c r="V1586" s="45">
        <f t="shared" si="124"/>
        <v>-1</v>
      </c>
      <c r="X1586" s="12">
        <v>0.32</v>
      </c>
      <c r="Y1586" s="12">
        <v>20210805</v>
      </c>
    </row>
    <row r="1587" spans="1:25" x14ac:dyDescent="0.45">
      <c r="A1587" s="3" t="s">
        <v>4288</v>
      </c>
      <c r="B1587" s="3" t="s">
        <v>4289</v>
      </c>
      <c r="C1587" s="6" t="s">
        <v>518</v>
      </c>
      <c r="D1587" s="6" t="s">
        <v>189</v>
      </c>
      <c r="E1587" s="6" t="s">
        <v>4290</v>
      </c>
      <c r="F1587" s="6">
        <v>3561.75</v>
      </c>
      <c r="G1587" s="2">
        <v>1.81</v>
      </c>
      <c r="H1587" s="2">
        <v>3.19</v>
      </c>
      <c r="I1587" s="2">
        <v>3.47</v>
      </c>
      <c r="J1587" s="47">
        <f t="shared" si="120"/>
        <v>0.76243093922651928</v>
      </c>
      <c r="K1587" s="47">
        <f t="shared" si="121"/>
        <v>8.7774294670846478E-2</v>
      </c>
      <c r="L1587" s="8">
        <v>32</v>
      </c>
      <c r="M1587" s="8">
        <v>22.74</v>
      </c>
      <c r="N1587" s="8">
        <v>20.93</v>
      </c>
      <c r="O1587" s="17">
        <f t="shared" si="122"/>
        <v>0.29825652173913048</v>
      </c>
      <c r="P1587" s="17">
        <f t="shared" si="123"/>
        <v>2.3845249999999978</v>
      </c>
      <c r="R1587" s="9">
        <v>8.9600000000000009</v>
      </c>
      <c r="S1587" s="9">
        <v>23.23</v>
      </c>
      <c r="T1587" s="9">
        <v>722.5</v>
      </c>
      <c r="U1587" s="9">
        <v>556.5</v>
      </c>
      <c r="V1587" s="45">
        <f t="shared" si="124"/>
        <v>0.29829290206648695</v>
      </c>
      <c r="W1587" s="12">
        <v>5.8</v>
      </c>
      <c r="X1587" s="12">
        <v>0</v>
      </c>
      <c r="Y1587" s="12">
        <v>20210803</v>
      </c>
    </row>
    <row r="1588" spans="1:25" x14ac:dyDescent="0.45">
      <c r="A1588" s="3" t="s">
        <v>2786</v>
      </c>
      <c r="B1588" s="3" t="s">
        <v>2787</v>
      </c>
      <c r="C1588" s="6" t="s">
        <v>519</v>
      </c>
      <c r="D1588" s="6" t="s">
        <v>279</v>
      </c>
      <c r="E1588" s="6" t="s">
        <v>263</v>
      </c>
      <c r="F1588" s="6">
        <v>3776.37</v>
      </c>
      <c r="G1588" s="2">
        <v>-7.0000000000000007E-2</v>
      </c>
      <c r="H1588" s="2">
        <v>0.36</v>
      </c>
      <c r="I1588" s="2">
        <v>0.63</v>
      </c>
      <c r="J1588" s="47">
        <f t="shared" si="120"/>
        <v>6.1428571428571423</v>
      </c>
      <c r="K1588" s="47">
        <f t="shared" si="121"/>
        <v>0.75000000000000011</v>
      </c>
      <c r="L1588" s="8">
        <v>420</v>
      </c>
      <c r="M1588" s="8">
        <v>58.33</v>
      </c>
      <c r="N1588" s="8">
        <v>33.33</v>
      </c>
      <c r="O1588" s="17">
        <f t="shared" si="122"/>
        <v>9.4955813953488385E-2</v>
      </c>
      <c r="P1588" s="17">
        <f t="shared" si="123"/>
        <v>0.44439999999999991</v>
      </c>
      <c r="R1588" s="9">
        <v>0.92</v>
      </c>
      <c r="S1588" s="9">
        <v>31.6</v>
      </c>
      <c r="T1588" s="9">
        <v>3239.8058999999998</v>
      </c>
      <c r="U1588" s="9">
        <v>3032.61</v>
      </c>
      <c r="V1588" s="45">
        <f t="shared" si="124"/>
        <v>6.8322632979512604E-2</v>
      </c>
      <c r="W1588" s="12">
        <v>-200</v>
      </c>
      <c r="X1588" s="12">
        <v>0</v>
      </c>
      <c r="Y1588" s="12">
        <v>20210803</v>
      </c>
    </row>
    <row r="1589" spans="1:25" x14ac:dyDescent="0.45">
      <c r="A1589" s="3" t="s">
        <v>4291</v>
      </c>
      <c r="B1589" s="3" t="s">
        <v>4292</v>
      </c>
      <c r="C1589" s="6" t="s">
        <v>519</v>
      </c>
      <c r="D1589" s="6" t="s">
        <v>175</v>
      </c>
      <c r="E1589" s="6" t="s">
        <v>305</v>
      </c>
      <c r="F1589" s="6">
        <v>10155.879999999999</v>
      </c>
      <c r="G1589" s="2">
        <v>-1.23</v>
      </c>
      <c r="H1589" s="2">
        <v>-1.31</v>
      </c>
      <c r="I1589" s="2">
        <v>-0.88</v>
      </c>
      <c r="J1589" s="47">
        <f t="shared" si="120"/>
        <v>-6.5040650406504127E-2</v>
      </c>
      <c r="K1589" s="47">
        <f t="shared" si="121"/>
        <v>0.32824427480916035</v>
      </c>
      <c r="O1589" s="17">
        <f t="shared" si="122"/>
        <v>0</v>
      </c>
      <c r="P1589" s="17">
        <f t="shared" si="123"/>
        <v>0</v>
      </c>
      <c r="R1589" s="9">
        <v>-30.78</v>
      </c>
      <c r="T1589" s="9">
        <v>4856.0541899999998</v>
      </c>
      <c r="U1589" s="9">
        <v>2583.12</v>
      </c>
      <c r="V1589" s="45">
        <f t="shared" si="124"/>
        <v>0.87991815711232935</v>
      </c>
      <c r="W1589" s="12">
        <v>91.67</v>
      </c>
      <c r="X1589" s="12">
        <v>0</v>
      </c>
      <c r="Y1589" s="12">
        <v>20210810</v>
      </c>
    </row>
    <row r="1590" spans="1:25" x14ac:dyDescent="0.45">
      <c r="A1590" s="3" t="s">
        <v>4293</v>
      </c>
      <c r="B1590" s="3" t="s">
        <v>4294</v>
      </c>
      <c r="C1590" s="6" t="s">
        <v>520</v>
      </c>
      <c r="D1590" s="6" t="s">
        <v>279</v>
      </c>
      <c r="E1590" s="6" t="s">
        <v>258</v>
      </c>
      <c r="F1590" s="6">
        <v>11053.58</v>
      </c>
      <c r="G1590" s="2">
        <v>1.42</v>
      </c>
      <c r="H1590" s="2">
        <v>1.47</v>
      </c>
      <c r="I1590" s="2">
        <v>1.87</v>
      </c>
      <c r="J1590" s="47">
        <f t="shared" si="120"/>
        <v>3.5211267605633839E-2</v>
      </c>
      <c r="K1590" s="47">
        <f t="shared" si="121"/>
        <v>0.27210884353741505</v>
      </c>
      <c r="L1590" s="8">
        <v>15.25</v>
      </c>
      <c r="M1590" s="8">
        <v>14.63</v>
      </c>
      <c r="N1590" s="8">
        <v>11.5</v>
      </c>
      <c r="O1590" s="17">
        <f t="shared" si="122"/>
        <v>4.1549199999999962</v>
      </c>
      <c r="P1590" s="17">
        <f t="shared" si="123"/>
        <v>0.42262499999999986</v>
      </c>
      <c r="R1590" s="9">
        <v>12.77</v>
      </c>
      <c r="S1590" s="9">
        <v>7.34</v>
      </c>
      <c r="T1590" s="9">
        <v>3263.6201099999998</v>
      </c>
      <c r="U1590" s="9">
        <v>2690.17</v>
      </c>
      <c r="V1590" s="45">
        <f t="shared" si="124"/>
        <v>0.21316500815933556</v>
      </c>
      <c r="X1590" s="12">
        <v>0</v>
      </c>
      <c r="Y1590" s="12">
        <v>20210615</v>
      </c>
    </row>
    <row r="1591" spans="1:25" x14ac:dyDescent="0.45">
      <c r="A1591" s="3" t="s">
        <v>2788</v>
      </c>
      <c r="B1591" s="3" t="s">
        <v>2789</v>
      </c>
      <c r="C1591" s="6" t="s">
        <v>518</v>
      </c>
      <c r="D1591" s="6" t="s">
        <v>289</v>
      </c>
      <c r="E1591" s="6" t="s">
        <v>430</v>
      </c>
      <c r="F1591" s="6">
        <v>3932.9</v>
      </c>
      <c r="G1591" s="2">
        <v>1.58</v>
      </c>
      <c r="H1591" s="2">
        <v>1.43</v>
      </c>
      <c r="I1591" s="2">
        <v>1.97</v>
      </c>
      <c r="J1591" s="47">
        <f t="shared" si="120"/>
        <v>-9.4936708860759569E-2</v>
      </c>
      <c r="K1591" s="47">
        <f t="shared" si="121"/>
        <v>0.37762237762237766</v>
      </c>
      <c r="L1591" s="8">
        <v>44.74</v>
      </c>
      <c r="M1591" s="8">
        <v>48.99</v>
      </c>
      <c r="N1591" s="8">
        <v>35.75</v>
      </c>
      <c r="O1591" s="17">
        <f t="shared" si="122"/>
        <v>-5.1602799999999958</v>
      </c>
      <c r="P1591" s="17">
        <f t="shared" si="123"/>
        <v>0.94671296296296281</v>
      </c>
      <c r="Q1591" s="5">
        <v>4.16</v>
      </c>
      <c r="R1591" s="9">
        <v>4.76</v>
      </c>
      <c r="S1591" s="9">
        <v>1.74</v>
      </c>
      <c r="T1591" s="9">
        <v>659.39000999999996</v>
      </c>
      <c r="U1591" s="9">
        <v>705.34</v>
      </c>
      <c r="V1591" s="45">
        <f t="shared" si="124"/>
        <v>-6.5145872912354422E-2</v>
      </c>
      <c r="W1591" s="12">
        <v>16.670000000000002</v>
      </c>
      <c r="X1591" s="12">
        <v>0.68</v>
      </c>
      <c r="Y1591" s="12">
        <v>20210803</v>
      </c>
    </row>
    <row r="1592" spans="1:25" x14ac:dyDescent="0.45">
      <c r="A1592" s="3" t="s">
        <v>2790</v>
      </c>
      <c r="B1592" s="3" t="s">
        <v>2791</v>
      </c>
      <c r="C1592" s="6" t="s">
        <v>518</v>
      </c>
      <c r="D1592" s="6" t="s">
        <v>189</v>
      </c>
      <c r="E1592" s="6" t="s">
        <v>378</v>
      </c>
      <c r="F1592" s="6">
        <v>34344.83</v>
      </c>
      <c r="G1592" s="2">
        <v>1.1399999999999999</v>
      </c>
      <c r="H1592" s="2">
        <v>1.17</v>
      </c>
      <c r="I1592" s="2">
        <v>1.33</v>
      </c>
      <c r="J1592" s="47">
        <f t="shared" si="120"/>
        <v>2.6315789473684237E-2</v>
      </c>
      <c r="K1592" s="47">
        <f t="shared" si="121"/>
        <v>0.13675213675213688</v>
      </c>
      <c r="M1592" s="8">
        <v>11.07</v>
      </c>
      <c r="N1592" s="8">
        <v>9.74</v>
      </c>
      <c r="O1592" s="17">
        <f t="shared" si="122"/>
        <v>4.2065999999999955</v>
      </c>
      <c r="P1592" s="17">
        <f t="shared" si="123"/>
        <v>0.71223749999999941</v>
      </c>
      <c r="T1592" s="9">
        <v>51163.605459999999</v>
      </c>
      <c r="U1592" s="9">
        <v>48280.92</v>
      </c>
      <c r="V1592" s="45">
        <f t="shared" si="124"/>
        <v>5.9706514706016386E-2</v>
      </c>
      <c r="X1592" s="12">
        <v>5.51</v>
      </c>
    </row>
    <row r="1593" spans="1:25" x14ac:dyDescent="0.45">
      <c r="A1593" s="3" t="s">
        <v>2792</v>
      </c>
      <c r="B1593" s="3" t="s">
        <v>2793</v>
      </c>
      <c r="C1593" s="6" t="s">
        <v>518</v>
      </c>
      <c r="D1593" s="6" t="s">
        <v>234</v>
      </c>
      <c r="E1593" s="6" t="s">
        <v>221</v>
      </c>
      <c r="F1593" s="6">
        <v>5769.26</v>
      </c>
      <c r="G1593" s="2">
        <v>1.32</v>
      </c>
      <c r="H1593" s="2">
        <v>1.21</v>
      </c>
      <c r="I1593" s="2">
        <v>1.3</v>
      </c>
      <c r="J1593" s="47">
        <f t="shared" si="120"/>
        <v>-8.3333333333333398E-2</v>
      </c>
      <c r="K1593" s="47">
        <f t="shared" si="121"/>
        <v>7.438016528925627E-2</v>
      </c>
      <c r="L1593" s="8">
        <v>12.08</v>
      </c>
      <c r="M1593" s="8">
        <v>12.2</v>
      </c>
      <c r="N1593" s="8">
        <v>11.3</v>
      </c>
      <c r="O1593" s="17">
        <f t="shared" si="122"/>
        <v>-1.4639999999999989</v>
      </c>
      <c r="P1593" s="17">
        <f t="shared" si="123"/>
        <v>1.5192222222222209</v>
      </c>
      <c r="R1593" s="9">
        <v>8.3000000000000007</v>
      </c>
      <c r="S1593" s="9">
        <v>93.33</v>
      </c>
      <c r="T1593" s="9">
        <v>960.77697000000001</v>
      </c>
      <c r="U1593" s="9">
        <v>803.29</v>
      </c>
      <c r="V1593" s="45">
        <f t="shared" si="124"/>
        <v>0.19605244681248371</v>
      </c>
      <c r="W1593" s="12">
        <v>-10.34</v>
      </c>
      <c r="X1593" s="12">
        <v>8.41</v>
      </c>
      <c r="Y1593" s="12">
        <v>20210803</v>
      </c>
    </row>
    <row r="1594" spans="1:25" x14ac:dyDescent="0.45">
      <c r="A1594" s="3" t="s">
        <v>2794</v>
      </c>
      <c r="B1594" s="3" t="s">
        <v>2795</v>
      </c>
      <c r="C1594" s="6" t="s">
        <v>518</v>
      </c>
      <c r="D1594" s="6" t="s">
        <v>189</v>
      </c>
      <c r="E1594" s="6" t="s">
        <v>202</v>
      </c>
      <c r="F1594" s="6">
        <v>243716.38</v>
      </c>
      <c r="G1594" s="2">
        <v>4.46</v>
      </c>
      <c r="H1594" s="2">
        <v>4.7699999999999996</v>
      </c>
      <c r="I1594" s="2">
        <v>5.17</v>
      </c>
      <c r="J1594" s="47">
        <f t="shared" si="120"/>
        <v>6.9506726457399012E-2</v>
      </c>
      <c r="K1594" s="47">
        <f t="shared" si="121"/>
        <v>8.3857442348008474E-2</v>
      </c>
      <c r="L1594" s="8">
        <v>19.43</v>
      </c>
      <c r="M1594" s="8">
        <v>17.73</v>
      </c>
      <c r="N1594" s="8">
        <v>16.34</v>
      </c>
      <c r="O1594" s="17">
        <f t="shared" si="122"/>
        <v>2.5508322580645193</v>
      </c>
      <c r="P1594" s="17">
        <f t="shared" si="123"/>
        <v>1.9485449999999978</v>
      </c>
      <c r="Q1594" s="5">
        <v>2.09</v>
      </c>
      <c r="R1594" s="9">
        <v>116.15</v>
      </c>
      <c r="S1594" s="9">
        <v>1.39</v>
      </c>
      <c r="T1594" s="9">
        <v>41405.929680000001</v>
      </c>
      <c r="U1594" s="9">
        <v>39068</v>
      </c>
      <c r="V1594" s="45">
        <f t="shared" si="124"/>
        <v>5.9842573973584549E-2</v>
      </c>
      <c r="W1594" s="12">
        <v>4.5</v>
      </c>
      <c r="X1594" s="12">
        <v>1.51</v>
      </c>
      <c r="Y1594" s="12">
        <v>20210615</v>
      </c>
    </row>
    <row r="1595" spans="1:25" x14ac:dyDescent="0.45">
      <c r="A1595" s="3" t="s">
        <v>2796</v>
      </c>
      <c r="B1595" s="3" t="s">
        <v>2797</v>
      </c>
      <c r="C1595" s="6" t="s">
        <v>518</v>
      </c>
      <c r="D1595" s="6" t="s">
        <v>234</v>
      </c>
      <c r="E1595" s="6" t="s">
        <v>243</v>
      </c>
      <c r="F1595" s="6">
        <v>7987.49</v>
      </c>
      <c r="G1595" s="2">
        <v>1.9</v>
      </c>
      <c r="H1595" s="2">
        <v>2.35</v>
      </c>
      <c r="I1595" s="2">
        <v>2.35</v>
      </c>
      <c r="J1595" s="47">
        <f t="shared" si="120"/>
        <v>0.23684210526315799</v>
      </c>
      <c r="K1595" s="47">
        <f t="shared" si="121"/>
        <v>0</v>
      </c>
      <c r="L1595" s="8">
        <v>10.57</v>
      </c>
      <c r="M1595" s="8">
        <v>11.15</v>
      </c>
      <c r="N1595" s="8">
        <v>11.15</v>
      </c>
      <c r="O1595" s="17">
        <f t="shared" si="122"/>
        <v>0.47077777777777763</v>
      </c>
      <c r="P1595" s="17" t="e">
        <f t="shared" si="123"/>
        <v>#DIV/0!</v>
      </c>
      <c r="R1595" s="9">
        <v>11.99</v>
      </c>
      <c r="S1595" s="9">
        <v>4.63</v>
      </c>
      <c r="T1595" s="9">
        <v>7231</v>
      </c>
      <c r="U1595" s="9">
        <v>7166</v>
      </c>
      <c r="V1595" s="45">
        <f t="shared" si="124"/>
        <v>9.0706112196483387E-3</v>
      </c>
      <c r="W1595" s="12">
        <v>53.33</v>
      </c>
      <c r="X1595" s="12">
        <v>3.36</v>
      </c>
      <c r="Y1595" s="12">
        <v>20210722</v>
      </c>
    </row>
    <row r="1596" spans="1:25" x14ac:dyDescent="0.45">
      <c r="A1596" s="3" t="s">
        <v>4877</v>
      </c>
      <c r="B1596" s="3" t="s">
        <v>4878</v>
      </c>
      <c r="C1596" s="6" t="s">
        <v>520</v>
      </c>
      <c r="D1596" s="6" t="s">
        <v>279</v>
      </c>
      <c r="E1596" s="6" t="s">
        <v>258</v>
      </c>
      <c r="F1596" s="6">
        <v>6012.32</v>
      </c>
      <c r="G1596" s="2">
        <v>0.97</v>
      </c>
      <c r="J1596" s="47">
        <f t="shared" si="120"/>
        <v>-1</v>
      </c>
      <c r="K1596" s="47" t="e">
        <f t="shared" si="121"/>
        <v>#DIV/0!</v>
      </c>
      <c r="L1596" s="8">
        <v>24.2</v>
      </c>
      <c r="O1596" s="17">
        <f t="shared" si="122"/>
        <v>0</v>
      </c>
      <c r="P1596" s="17" t="e">
        <f t="shared" si="123"/>
        <v>#DIV/0!</v>
      </c>
      <c r="R1596" s="9">
        <v>30.09</v>
      </c>
      <c r="S1596" s="9">
        <v>0.71</v>
      </c>
      <c r="U1596" s="9">
        <v>1231.4100000000001</v>
      </c>
      <c r="V1596" s="45">
        <f t="shared" si="124"/>
        <v>-1</v>
      </c>
      <c r="X1596" s="12">
        <v>2.48</v>
      </c>
      <c r="Y1596" s="12">
        <v>20210716</v>
      </c>
    </row>
    <row r="1597" spans="1:25" x14ac:dyDescent="0.45">
      <c r="A1597" s="3" t="s">
        <v>2798</v>
      </c>
      <c r="B1597" s="3" t="s">
        <v>2799</v>
      </c>
      <c r="C1597" s="6" t="s">
        <v>519</v>
      </c>
      <c r="D1597" s="6" t="s">
        <v>303</v>
      </c>
      <c r="E1597" s="6" t="s">
        <v>102</v>
      </c>
      <c r="F1597" s="6">
        <v>36832.76</v>
      </c>
      <c r="G1597" s="2">
        <v>23.25</v>
      </c>
      <c r="H1597" s="2">
        <v>25.51</v>
      </c>
      <c r="I1597" s="2">
        <v>27.34</v>
      </c>
      <c r="J1597" s="47">
        <f t="shared" si="120"/>
        <v>9.7204301075268881E-2</v>
      </c>
      <c r="K1597" s="47">
        <f t="shared" si="121"/>
        <v>7.1736573892591068E-2</v>
      </c>
      <c r="L1597" s="8">
        <v>19.829999999999998</v>
      </c>
      <c r="M1597" s="8">
        <v>20.7</v>
      </c>
      <c r="N1597" s="8">
        <v>19.309999999999999</v>
      </c>
      <c r="O1597" s="17">
        <f t="shared" si="122"/>
        <v>2.1295353982300873</v>
      </c>
      <c r="P1597" s="17">
        <f t="shared" si="123"/>
        <v>2.6917928961748658</v>
      </c>
      <c r="Q1597" s="5">
        <v>1.55</v>
      </c>
      <c r="R1597" s="9">
        <v>545.80999999999995</v>
      </c>
      <c r="S1597" s="9">
        <v>7.39</v>
      </c>
      <c r="T1597" s="9">
        <v>12022.85253</v>
      </c>
      <c r="U1597" s="9">
        <v>11604.49</v>
      </c>
      <c r="V1597" s="45">
        <f t="shared" si="124"/>
        <v>3.6051780819320825E-2</v>
      </c>
      <c r="W1597" s="12">
        <v>31.72</v>
      </c>
      <c r="X1597" s="12">
        <v>0</v>
      </c>
      <c r="Y1597" s="12">
        <v>20210804</v>
      </c>
    </row>
    <row r="1598" spans="1:25" x14ac:dyDescent="0.45">
      <c r="A1598" s="3" t="s">
        <v>2800</v>
      </c>
      <c r="B1598" s="3" t="s">
        <v>2801</v>
      </c>
      <c r="C1598" s="6" t="s">
        <v>520</v>
      </c>
      <c r="D1598" s="6" t="s">
        <v>309</v>
      </c>
      <c r="E1598" s="6" t="s">
        <v>315</v>
      </c>
      <c r="F1598" s="6">
        <v>10959.72</v>
      </c>
      <c r="G1598" s="2">
        <v>5.75</v>
      </c>
      <c r="H1598" s="2">
        <v>28.15</v>
      </c>
      <c r="I1598" s="2">
        <v>14.25</v>
      </c>
      <c r="J1598" s="47">
        <f t="shared" si="120"/>
        <v>3.8956521739130432</v>
      </c>
      <c r="K1598" s="47">
        <f t="shared" si="121"/>
        <v>-0.49378330373001772</v>
      </c>
      <c r="M1598" s="8">
        <v>3.06</v>
      </c>
      <c r="N1598" s="8">
        <v>6.04</v>
      </c>
      <c r="O1598" s="17">
        <f t="shared" si="122"/>
        <v>7.8549107142857153E-3</v>
      </c>
      <c r="P1598" s="17">
        <f t="shared" si="123"/>
        <v>-0.12232086330935253</v>
      </c>
      <c r="T1598" s="9">
        <v>12129</v>
      </c>
      <c r="U1598" s="9">
        <v>8191.3</v>
      </c>
      <c r="V1598" s="45">
        <f t="shared" si="124"/>
        <v>0.48071734645294395</v>
      </c>
      <c r="X1598" s="12">
        <v>15.8</v>
      </c>
    </row>
    <row r="1599" spans="1:25" x14ac:dyDescent="0.45">
      <c r="A1599" s="3" t="s">
        <v>4879</v>
      </c>
      <c r="B1599" s="3" t="s">
        <v>4880</v>
      </c>
      <c r="C1599" s="6" t="s">
        <v>520</v>
      </c>
      <c r="D1599" s="6" t="s">
        <v>189</v>
      </c>
      <c r="E1599" s="6" t="s">
        <v>908</v>
      </c>
      <c r="F1599" s="6">
        <v>5834.45</v>
      </c>
      <c r="J1599" s="47" t="e">
        <f t="shared" si="120"/>
        <v>#DIV/0!</v>
      </c>
      <c r="K1599" s="47" t="e">
        <f t="shared" si="121"/>
        <v>#DIV/0!</v>
      </c>
      <c r="O1599" s="17" t="e">
        <f t="shared" si="122"/>
        <v>#DIV/0!</v>
      </c>
      <c r="P1599" s="17" t="e">
        <f t="shared" si="123"/>
        <v>#DIV/0!</v>
      </c>
      <c r="R1599" s="9">
        <v>-9.65</v>
      </c>
      <c r="U1599" s="9">
        <v>3405.5</v>
      </c>
      <c r="V1599" s="45">
        <f t="shared" si="124"/>
        <v>-1</v>
      </c>
      <c r="X1599" s="12">
        <v>0</v>
      </c>
      <c r="Y1599" s="12">
        <v>20210610</v>
      </c>
    </row>
    <row r="1600" spans="1:25" x14ac:dyDescent="0.45">
      <c r="A1600" s="3" t="s">
        <v>4295</v>
      </c>
      <c r="B1600" s="3" t="s">
        <v>4296</v>
      </c>
      <c r="C1600" s="6" t="s">
        <v>518</v>
      </c>
      <c r="D1600" s="6" t="s">
        <v>234</v>
      </c>
      <c r="E1600" s="6" t="s">
        <v>243</v>
      </c>
      <c r="F1600" s="6">
        <v>5887.57</v>
      </c>
      <c r="H1600" s="2">
        <v>-2.4900000000000002</v>
      </c>
      <c r="I1600" s="2">
        <v>-1.61</v>
      </c>
      <c r="J1600" s="47" t="e">
        <f t="shared" si="120"/>
        <v>#DIV/0!</v>
      </c>
      <c r="K1600" s="47">
        <f t="shared" si="121"/>
        <v>0.3534136546184739</v>
      </c>
      <c r="O1600" s="17" t="e">
        <f t="shared" si="122"/>
        <v>#DIV/0!</v>
      </c>
      <c r="P1600" s="17">
        <f t="shared" si="123"/>
        <v>0</v>
      </c>
      <c r="T1600" s="9">
        <v>790.72997999999995</v>
      </c>
      <c r="U1600" s="9">
        <v>462.8</v>
      </c>
      <c r="V1600" s="45">
        <f t="shared" si="124"/>
        <v>0.70857817631806386</v>
      </c>
      <c r="W1600" s="12">
        <v>-55.56</v>
      </c>
      <c r="X1600" s="12">
        <v>0</v>
      </c>
      <c r="Y1600" s="12">
        <v>20210812</v>
      </c>
    </row>
    <row r="1601" spans="1:25" x14ac:dyDescent="0.45">
      <c r="A1601" s="3" t="s">
        <v>2802</v>
      </c>
      <c r="B1601" s="3" t="s">
        <v>2803</v>
      </c>
      <c r="C1601" s="6" t="s">
        <v>518</v>
      </c>
      <c r="D1601" s="6" t="s">
        <v>279</v>
      </c>
      <c r="E1601" s="6" t="s">
        <v>263</v>
      </c>
      <c r="F1601" s="6">
        <v>13943.71</v>
      </c>
      <c r="G1601" s="2">
        <v>-0.67</v>
      </c>
      <c r="H1601" s="2">
        <v>-1.58</v>
      </c>
      <c r="I1601" s="2">
        <v>-1.08</v>
      </c>
      <c r="J1601" s="47">
        <f t="shared" si="120"/>
        <v>-1.3582089552238805</v>
      </c>
      <c r="K1601" s="47">
        <f t="shared" si="121"/>
        <v>0.31645569620253161</v>
      </c>
      <c r="O1601" s="17">
        <f t="shared" si="122"/>
        <v>0</v>
      </c>
      <c r="P1601" s="17">
        <f t="shared" si="123"/>
        <v>0</v>
      </c>
      <c r="R1601" s="9">
        <v>-60.5</v>
      </c>
      <c r="T1601" s="9">
        <v>1331.6839500000001</v>
      </c>
      <c r="U1601" s="9">
        <v>882.77</v>
      </c>
      <c r="V1601" s="45">
        <f t="shared" si="124"/>
        <v>0.50852877873058677</v>
      </c>
      <c r="W1601" s="12">
        <v>-26.09</v>
      </c>
      <c r="X1601" s="12">
        <v>0</v>
      </c>
      <c r="Y1601" s="12">
        <v>20210915</v>
      </c>
    </row>
    <row r="1602" spans="1:25" x14ac:dyDescent="0.45">
      <c r="A1602" s="3" t="s">
        <v>2804</v>
      </c>
      <c r="B1602" s="3" t="s">
        <v>2805</v>
      </c>
      <c r="C1602" s="6" t="s">
        <v>518</v>
      </c>
      <c r="D1602" s="6" t="s">
        <v>46</v>
      </c>
      <c r="E1602" s="6" t="s">
        <v>80</v>
      </c>
      <c r="F1602" s="6">
        <v>8875.6</v>
      </c>
      <c r="G1602" s="2">
        <v>4.66</v>
      </c>
      <c r="H1602" s="2">
        <v>6.73</v>
      </c>
      <c r="I1602" s="2">
        <v>8.4700000000000006</v>
      </c>
      <c r="J1602" s="47">
        <f t="shared" si="120"/>
        <v>0.44420600858369103</v>
      </c>
      <c r="K1602" s="47">
        <f t="shared" si="121"/>
        <v>0.25854383358098071</v>
      </c>
      <c r="L1602" s="8">
        <v>24.88</v>
      </c>
      <c r="M1602" s="8">
        <v>19.22</v>
      </c>
      <c r="N1602" s="8">
        <v>15.28</v>
      </c>
      <c r="O1602" s="17">
        <f t="shared" si="122"/>
        <v>0.43268212560386465</v>
      </c>
      <c r="P1602" s="17">
        <f t="shared" si="123"/>
        <v>0.59100229885057465</v>
      </c>
      <c r="Q1602" s="5">
        <v>1.18</v>
      </c>
      <c r="R1602" s="9">
        <v>12.38</v>
      </c>
      <c r="S1602" s="9">
        <v>3.74</v>
      </c>
      <c r="T1602" s="9">
        <v>7770.2412100000001</v>
      </c>
      <c r="U1602" s="9">
        <v>6856.8</v>
      </c>
      <c r="V1602" s="45">
        <f t="shared" si="124"/>
        <v>0.13321683730019834</v>
      </c>
      <c r="W1602" s="12">
        <v>28.7</v>
      </c>
      <c r="X1602" s="12">
        <v>1.02</v>
      </c>
      <c r="Y1602" s="12">
        <v>20210729</v>
      </c>
    </row>
    <row r="1603" spans="1:25" x14ac:dyDescent="0.45">
      <c r="A1603" s="3" t="s">
        <v>4297</v>
      </c>
      <c r="B1603" s="3" t="s">
        <v>4298</v>
      </c>
      <c r="C1603" s="6" t="s">
        <v>519</v>
      </c>
      <c r="D1603" s="6" t="s">
        <v>303</v>
      </c>
      <c r="E1603" s="6" t="s">
        <v>245</v>
      </c>
      <c r="F1603" s="6">
        <v>3925.21</v>
      </c>
      <c r="G1603" s="2">
        <v>1.1599999999999999</v>
      </c>
      <c r="H1603" s="2">
        <v>2.68</v>
      </c>
      <c r="I1603" s="2">
        <v>3.09</v>
      </c>
      <c r="J1603" s="47">
        <f t="shared" ref="J1603:J1666" si="125">(H1603-G1603)/ABS(G1603)</f>
        <v>1.3103448275862073</v>
      </c>
      <c r="K1603" s="47">
        <f t="shared" ref="K1603:K1666" si="126">(I1603-H1603)/ABS(H1603)</f>
        <v>0.15298507462686556</v>
      </c>
      <c r="L1603" s="8">
        <v>42.26</v>
      </c>
      <c r="M1603" s="8">
        <v>34.06</v>
      </c>
      <c r="N1603" s="8">
        <v>29.57</v>
      </c>
      <c r="O1603" s="17">
        <f t="shared" ref="O1603:O1666" si="127">M1603/(J1603*100)</f>
        <v>0.25993157894736835</v>
      </c>
      <c r="P1603" s="17">
        <f t="shared" ref="P1603:P1666" si="128">N1603/(K1603*100)</f>
        <v>1.9328682926829281</v>
      </c>
      <c r="Q1603" s="5">
        <v>1.1499999999999999</v>
      </c>
      <c r="R1603" s="9">
        <v>26.14</v>
      </c>
      <c r="S1603" s="9">
        <v>4.22</v>
      </c>
      <c r="T1603" s="9">
        <v>2890.5500400000001</v>
      </c>
      <c r="U1603" s="9">
        <v>2549.7800000000002</v>
      </c>
      <c r="V1603" s="45">
        <f t="shared" ref="V1603:V1666" si="129">(T1603-U1603)/U1603</f>
        <v>0.13364684011953967</v>
      </c>
      <c r="W1603" s="12">
        <v>700</v>
      </c>
      <c r="X1603" s="12">
        <v>0</v>
      </c>
      <c r="Y1603" s="12">
        <v>20210729</v>
      </c>
    </row>
    <row r="1604" spans="1:25" x14ac:dyDescent="0.45">
      <c r="A1604" s="3" t="s">
        <v>2806</v>
      </c>
      <c r="B1604" s="3" t="s">
        <v>2807</v>
      </c>
      <c r="C1604" s="6" t="s">
        <v>519</v>
      </c>
      <c r="D1604" s="6" t="s">
        <v>189</v>
      </c>
      <c r="E1604" s="6" t="s">
        <v>202</v>
      </c>
      <c r="F1604" s="6">
        <v>13435.86</v>
      </c>
      <c r="G1604" s="2">
        <v>2.71</v>
      </c>
      <c r="H1604" s="2">
        <v>3.35</v>
      </c>
      <c r="I1604" s="2">
        <v>3.52</v>
      </c>
      <c r="J1604" s="47">
        <f t="shared" si="125"/>
        <v>0.23616236162361628</v>
      </c>
      <c r="K1604" s="47">
        <f t="shared" si="126"/>
        <v>5.0746268656716394E-2</v>
      </c>
      <c r="L1604" s="8">
        <v>14.51</v>
      </c>
      <c r="M1604" s="8">
        <v>14.68</v>
      </c>
      <c r="N1604" s="8">
        <v>13.99</v>
      </c>
      <c r="O1604" s="17">
        <f t="shared" si="127"/>
        <v>0.62160624999999992</v>
      </c>
      <c r="P1604" s="17">
        <f t="shared" si="128"/>
        <v>2.7568529411764717</v>
      </c>
      <c r="R1604" s="9">
        <v>22.03</v>
      </c>
      <c r="S1604" s="9">
        <v>12.49</v>
      </c>
      <c r="T1604" s="9">
        <v>3336.0500400000001</v>
      </c>
      <c r="U1604" s="9">
        <v>3109.74</v>
      </c>
      <c r="V1604" s="45">
        <f t="shared" si="129"/>
        <v>7.2774585656678797E-2</v>
      </c>
      <c r="W1604" s="12">
        <v>5.63</v>
      </c>
      <c r="X1604" s="12">
        <v>0.76</v>
      </c>
      <c r="Y1604" s="12">
        <v>20210805</v>
      </c>
    </row>
    <row r="1605" spans="1:25" x14ac:dyDescent="0.45">
      <c r="A1605" s="3" t="s">
        <v>2808</v>
      </c>
      <c r="B1605" s="3" t="s">
        <v>2809</v>
      </c>
      <c r="C1605" s="6" t="s">
        <v>518</v>
      </c>
      <c r="D1605" s="6" t="s">
        <v>210</v>
      </c>
      <c r="E1605" s="6" t="s">
        <v>191</v>
      </c>
      <c r="F1605" s="6">
        <v>34653.33</v>
      </c>
      <c r="G1605" s="2">
        <v>2.4500000000000002</v>
      </c>
      <c r="H1605" s="2">
        <v>2.86</v>
      </c>
      <c r="I1605" s="2">
        <v>3.13</v>
      </c>
      <c r="J1605" s="47">
        <f t="shared" si="125"/>
        <v>0.16734693877551007</v>
      </c>
      <c r="K1605" s="47">
        <f t="shared" si="126"/>
        <v>9.4405594405594415E-2</v>
      </c>
      <c r="L1605" s="8">
        <v>30.7</v>
      </c>
      <c r="M1605" s="8">
        <v>28.2</v>
      </c>
      <c r="N1605" s="8">
        <v>25.84</v>
      </c>
      <c r="O1605" s="17">
        <f t="shared" si="127"/>
        <v>1.6851219512195137</v>
      </c>
      <c r="P1605" s="17">
        <f t="shared" si="128"/>
        <v>2.7371259259259255</v>
      </c>
      <c r="R1605" s="9">
        <v>-33.25</v>
      </c>
      <c r="T1605" s="9">
        <v>13955.99511</v>
      </c>
      <c r="U1605" s="9">
        <v>12756</v>
      </c>
      <c r="V1605" s="45">
        <f t="shared" si="129"/>
        <v>9.4072993885230466E-2</v>
      </c>
      <c r="W1605" s="12">
        <v>16.13</v>
      </c>
      <c r="X1605" s="12">
        <v>1.19</v>
      </c>
      <c r="Y1605" s="12">
        <v>20210727</v>
      </c>
    </row>
    <row r="1606" spans="1:25" x14ac:dyDescent="0.45">
      <c r="A1606" s="3" t="s">
        <v>4881</v>
      </c>
      <c r="B1606" s="3" t="s">
        <v>4882</v>
      </c>
      <c r="C1606" s="6" t="s">
        <v>519</v>
      </c>
      <c r="D1606" s="6" t="s">
        <v>225</v>
      </c>
      <c r="E1606" s="6" t="s">
        <v>1175</v>
      </c>
      <c r="F1606" s="6">
        <v>15571.18</v>
      </c>
      <c r="J1606" s="47" t="e">
        <f t="shared" si="125"/>
        <v>#DIV/0!</v>
      </c>
      <c r="K1606" s="47" t="e">
        <f t="shared" si="126"/>
        <v>#DIV/0!</v>
      </c>
      <c r="O1606" s="17" t="e">
        <f t="shared" si="127"/>
        <v>#DIV/0!</v>
      </c>
      <c r="P1606" s="17" t="e">
        <f t="shared" si="128"/>
        <v>#DIV/0!</v>
      </c>
      <c r="V1606" s="45" t="e">
        <f t="shared" si="129"/>
        <v>#DIV/0!</v>
      </c>
      <c r="X1606" s="12">
        <v>0</v>
      </c>
    </row>
    <row r="1607" spans="1:25" x14ac:dyDescent="0.45">
      <c r="A1607" s="3" t="s">
        <v>3872</v>
      </c>
      <c r="B1607" s="3" t="s">
        <v>3873</v>
      </c>
      <c r="C1607" s="6" t="s">
        <v>518</v>
      </c>
      <c r="D1607" s="6" t="s">
        <v>234</v>
      </c>
      <c r="E1607" s="6" t="s">
        <v>286</v>
      </c>
      <c r="F1607" s="6">
        <v>3613.76</v>
      </c>
      <c r="G1607" s="2">
        <v>0.59</v>
      </c>
      <c r="H1607" s="2">
        <v>0.87</v>
      </c>
      <c r="I1607" s="2">
        <v>1.77</v>
      </c>
      <c r="J1607" s="47">
        <f t="shared" si="125"/>
        <v>0.47457627118644075</v>
      </c>
      <c r="K1607" s="47">
        <f t="shared" si="126"/>
        <v>1.0344827586206897</v>
      </c>
      <c r="L1607" s="8">
        <v>112.86</v>
      </c>
      <c r="M1607" s="8">
        <v>28.54</v>
      </c>
      <c r="N1607" s="8">
        <v>14.03</v>
      </c>
      <c r="O1607" s="17">
        <f t="shared" si="127"/>
        <v>0.60137857142857132</v>
      </c>
      <c r="P1607" s="17">
        <f t="shared" si="128"/>
        <v>0.13562333333333332</v>
      </c>
      <c r="Q1607" s="5">
        <v>2.85</v>
      </c>
      <c r="R1607" s="9">
        <v>-13.77</v>
      </c>
      <c r="S1607" s="9">
        <v>-1.49</v>
      </c>
      <c r="T1607" s="9">
        <v>1434.2459699999999</v>
      </c>
      <c r="U1607" s="9">
        <v>1236.3</v>
      </c>
      <c r="V1607" s="45">
        <f t="shared" si="129"/>
        <v>0.16011159912642561</v>
      </c>
      <c r="W1607" s="12">
        <v>0</v>
      </c>
      <c r="X1607" s="12">
        <v>0</v>
      </c>
      <c r="Y1607" s="12">
        <v>20210804</v>
      </c>
    </row>
    <row r="1608" spans="1:25" x14ac:dyDescent="0.45">
      <c r="A1608" s="3" t="s">
        <v>2810</v>
      </c>
      <c r="B1608" s="3" t="s">
        <v>2811</v>
      </c>
      <c r="C1608" s="6" t="s">
        <v>520</v>
      </c>
      <c r="D1608" s="6" t="s">
        <v>234</v>
      </c>
      <c r="E1608" s="6" t="s">
        <v>105</v>
      </c>
      <c r="F1608" s="6">
        <v>42177.95</v>
      </c>
      <c r="G1608" s="2">
        <v>1.1299999999999999</v>
      </c>
      <c r="H1608" s="2">
        <v>1.62</v>
      </c>
      <c r="I1608" s="2">
        <v>1.77</v>
      </c>
      <c r="J1608" s="47">
        <f t="shared" si="125"/>
        <v>0.43362831858407103</v>
      </c>
      <c r="K1608" s="47">
        <f t="shared" si="126"/>
        <v>9.2592592592592532E-2</v>
      </c>
      <c r="M1608" s="8">
        <v>11.64</v>
      </c>
      <c r="N1608" s="8">
        <v>10.65</v>
      </c>
      <c r="O1608" s="17">
        <f t="shared" si="127"/>
        <v>0.26843265306122432</v>
      </c>
      <c r="P1608" s="17">
        <f t="shared" si="128"/>
        <v>1.1502000000000008</v>
      </c>
      <c r="T1608" s="9">
        <v>8070.4750899999999</v>
      </c>
      <c r="U1608" s="9">
        <v>12198.17</v>
      </c>
      <c r="V1608" s="45">
        <f t="shared" si="129"/>
        <v>-0.33838640632160399</v>
      </c>
      <c r="X1608" s="12">
        <v>2.25</v>
      </c>
    </row>
    <row r="1609" spans="1:25" x14ac:dyDescent="0.45">
      <c r="A1609" s="3" t="s">
        <v>2812</v>
      </c>
      <c r="B1609" s="3" t="s">
        <v>2813</v>
      </c>
      <c r="C1609" s="6" t="s">
        <v>518</v>
      </c>
      <c r="D1609" s="6" t="s">
        <v>289</v>
      </c>
      <c r="E1609" s="6" t="s">
        <v>1236</v>
      </c>
      <c r="F1609" s="6">
        <v>8080.56</v>
      </c>
      <c r="G1609" s="2">
        <v>0.31</v>
      </c>
      <c r="H1609" s="2">
        <v>3.37</v>
      </c>
      <c r="I1609" s="2">
        <v>3.07</v>
      </c>
      <c r="J1609" s="47">
        <f t="shared" si="125"/>
        <v>9.870967741935484</v>
      </c>
      <c r="K1609" s="47">
        <f t="shared" si="126"/>
        <v>-8.9020771513353192E-2</v>
      </c>
      <c r="L1609" s="8">
        <v>23.1</v>
      </c>
      <c r="M1609" s="8">
        <v>9.19</v>
      </c>
      <c r="N1609" s="8">
        <v>10.07</v>
      </c>
      <c r="O1609" s="17">
        <f t="shared" si="127"/>
        <v>9.3101307189542484E-3</v>
      </c>
      <c r="P1609" s="17">
        <f t="shared" si="128"/>
        <v>-1.1311966666666657</v>
      </c>
      <c r="R1609" s="9">
        <v>7.85</v>
      </c>
      <c r="S1609" s="9">
        <v>19.100000000000001</v>
      </c>
      <c r="T1609" s="9">
        <v>6985.2700100000002</v>
      </c>
      <c r="U1609" s="9">
        <v>6087</v>
      </c>
      <c r="V1609" s="45">
        <f t="shared" si="129"/>
        <v>0.14757187612945624</v>
      </c>
      <c r="W1609" s="12">
        <v>0</v>
      </c>
      <c r="X1609" s="12">
        <v>1.21</v>
      </c>
      <c r="Y1609" s="12">
        <v>20210727</v>
      </c>
    </row>
    <row r="1610" spans="1:25" x14ac:dyDescent="0.45">
      <c r="A1610" s="3" t="s">
        <v>2814</v>
      </c>
      <c r="B1610" s="3" t="s">
        <v>2815</v>
      </c>
      <c r="C1610" s="6" t="s">
        <v>518</v>
      </c>
      <c r="D1610" s="6" t="s">
        <v>289</v>
      </c>
      <c r="E1610" s="6" t="s">
        <v>276</v>
      </c>
      <c r="F1610" s="6">
        <v>26462.42</v>
      </c>
      <c r="G1610" s="2">
        <v>-3.62</v>
      </c>
      <c r="H1610" s="2">
        <v>-0.94</v>
      </c>
      <c r="I1610" s="2">
        <v>-1.08</v>
      </c>
      <c r="J1610" s="47">
        <f t="shared" si="125"/>
        <v>0.74033149171270718</v>
      </c>
      <c r="K1610" s="47">
        <f t="shared" si="126"/>
        <v>-0.14893617021276609</v>
      </c>
      <c r="O1610" s="17">
        <f t="shared" si="127"/>
        <v>0</v>
      </c>
      <c r="P1610" s="17">
        <f t="shared" si="128"/>
        <v>0</v>
      </c>
      <c r="R1610" s="9">
        <v>-29.82</v>
      </c>
      <c r="S1610" s="9">
        <v>15.9</v>
      </c>
      <c r="T1610" s="9">
        <v>22020.490229999999</v>
      </c>
      <c r="U1610" s="9">
        <v>16261</v>
      </c>
      <c r="V1610" s="45">
        <f t="shared" si="129"/>
        <v>0.35419040833897053</v>
      </c>
      <c r="W1610" s="12">
        <v>54.55</v>
      </c>
      <c r="X1610" s="12">
        <v>0.14000000000000001</v>
      </c>
      <c r="Y1610" s="12">
        <v>20210809</v>
      </c>
    </row>
    <row r="1611" spans="1:25" x14ac:dyDescent="0.45">
      <c r="A1611" s="3" t="s">
        <v>2816</v>
      </c>
      <c r="B1611" s="3" t="s">
        <v>2817</v>
      </c>
      <c r="C1611" s="6" t="s">
        <v>519</v>
      </c>
      <c r="D1611" s="6" t="s">
        <v>234</v>
      </c>
      <c r="E1611" s="6" t="s">
        <v>169</v>
      </c>
      <c r="F1611" s="6">
        <v>5667.77</v>
      </c>
      <c r="G1611" s="2">
        <v>2.12</v>
      </c>
      <c r="H1611" s="2">
        <v>3.83</v>
      </c>
      <c r="I1611" s="2">
        <v>3.46</v>
      </c>
      <c r="J1611" s="47">
        <f t="shared" si="125"/>
        <v>0.80660377358490565</v>
      </c>
      <c r="K1611" s="47">
        <f t="shared" si="126"/>
        <v>-9.6605744125326395E-2</v>
      </c>
      <c r="L1611" s="8">
        <v>13.4</v>
      </c>
      <c r="M1611" s="8">
        <v>11.45</v>
      </c>
      <c r="N1611" s="8">
        <v>12.65</v>
      </c>
      <c r="O1611" s="17">
        <f t="shared" si="127"/>
        <v>0.141953216374269</v>
      </c>
      <c r="P1611" s="17">
        <f t="shared" si="128"/>
        <v>-1.3094459459459455</v>
      </c>
      <c r="R1611" s="9">
        <v>10</v>
      </c>
      <c r="S1611" s="9">
        <v>13.45</v>
      </c>
      <c r="T1611" s="9">
        <v>1046.0880099999999</v>
      </c>
      <c r="U1611" s="9">
        <v>1185.3900000000001</v>
      </c>
      <c r="V1611" s="45">
        <f t="shared" si="129"/>
        <v>-0.1175157458726665</v>
      </c>
      <c r="W1611" s="12">
        <v>27.59</v>
      </c>
      <c r="X1611" s="12">
        <v>2.56</v>
      </c>
      <c r="Y1611" s="12">
        <v>20210722</v>
      </c>
    </row>
    <row r="1612" spans="1:25" x14ac:dyDescent="0.45">
      <c r="A1612" s="3" t="s">
        <v>2818</v>
      </c>
      <c r="B1612" s="3" t="s">
        <v>2819</v>
      </c>
      <c r="C1612" s="6" t="s">
        <v>519</v>
      </c>
      <c r="D1612" s="6" t="s">
        <v>216</v>
      </c>
      <c r="E1612" s="6" t="s">
        <v>946</v>
      </c>
      <c r="F1612" s="6">
        <v>11720.58</v>
      </c>
      <c r="G1612" s="2">
        <v>-1.3</v>
      </c>
      <c r="H1612" s="2">
        <v>-1.89</v>
      </c>
      <c r="I1612" s="2">
        <v>-2.14</v>
      </c>
      <c r="J1612" s="47">
        <f t="shared" si="125"/>
        <v>-0.45384615384615373</v>
      </c>
      <c r="K1612" s="47">
        <f t="shared" si="126"/>
        <v>-0.13227513227513241</v>
      </c>
      <c r="O1612" s="17">
        <f t="shared" si="127"/>
        <v>0</v>
      </c>
      <c r="P1612" s="17">
        <f t="shared" si="128"/>
        <v>0</v>
      </c>
      <c r="T1612" s="9">
        <v>2278.2900300000001</v>
      </c>
      <c r="U1612" s="9">
        <v>1443.27</v>
      </c>
      <c r="V1612" s="45">
        <f t="shared" si="129"/>
        <v>0.57856120476418149</v>
      </c>
      <c r="X1612" s="12">
        <v>0</v>
      </c>
      <c r="Y1612" s="12">
        <v>20210817</v>
      </c>
    </row>
    <row r="1613" spans="1:25" x14ac:dyDescent="0.45">
      <c r="A1613" s="3" t="s">
        <v>2820</v>
      </c>
      <c r="B1613" s="3" t="s">
        <v>2821</v>
      </c>
      <c r="C1613" s="6" t="s">
        <v>519</v>
      </c>
      <c r="D1613" s="6" t="s">
        <v>289</v>
      </c>
      <c r="E1613" s="6" t="s">
        <v>1595</v>
      </c>
      <c r="F1613" s="6">
        <v>8722.39</v>
      </c>
      <c r="G1613" s="2">
        <v>-3.36</v>
      </c>
      <c r="H1613" s="2">
        <v>1.21</v>
      </c>
      <c r="I1613" s="2">
        <v>1.45</v>
      </c>
      <c r="J1613" s="47">
        <f t="shared" si="125"/>
        <v>1.3601190476190477</v>
      </c>
      <c r="K1613" s="47">
        <f t="shared" si="126"/>
        <v>0.19834710743801653</v>
      </c>
      <c r="L1613" s="8">
        <v>9.66</v>
      </c>
      <c r="M1613" s="8">
        <v>9.9700000000000006</v>
      </c>
      <c r="N1613" s="8">
        <v>8.32</v>
      </c>
      <c r="O1613" s="17">
        <f t="shared" si="127"/>
        <v>7.3302407002188194E-2</v>
      </c>
      <c r="P1613" s="17">
        <f t="shared" si="128"/>
        <v>0.41946666666666665</v>
      </c>
      <c r="R1613" s="9">
        <v>14.62</v>
      </c>
      <c r="S1613" s="9">
        <v>7.27</v>
      </c>
      <c r="T1613" s="9">
        <v>31283.78515</v>
      </c>
      <c r="U1613" s="9">
        <v>23290</v>
      </c>
      <c r="V1613" s="45">
        <f t="shared" si="129"/>
        <v>0.3432282159725204</v>
      </c>
      <c r="W1613" s="12">
        <v>4.17</v>
      </c>
      <c r="X1613" s="12">
        <v>5.96</v>
      </c>
      <c r="Y1613" s="12">
        <v>20210803</v>
      </c>
    </row>
    <row r="1614" spans="1:25" x14ac:dyDescent="0.45">
      <c r="A1614" s="3" t="s">
        <v>2822</v>
      </c>
      <c r="B1614" s="3" t="s">
        <v>2823</v>
      </c>
      <c r="C1614" s="6" t="s">
        <v>519</v>
      </c>
      <c r="D1614" s="6" t="s">
        <v>90</v>
      </c>
      <c r="E1614" s="6" t="s">
        <v>2824</v>
      </c>
      <c r="F1614" s="6">
        <v>6636.46</v>
      </c>
      <c r="G1614" s="2">
        <v>0.9</v>
      </c>
      <c r="H1614" s="2">
        <v>1.33</v>
      </c>
      <c r="I1614" s="2">
        <v>1.96</v>
      </c>
      <c r="J1614" s="47">
        <f t="shared" si="125"/>
        <v>0.4777777777777778</v>
      </c>
      <c r="K1614" s="47">
        <f t="shared" si="126"/>
        <v>0.47368421052631571</v>
      </c>
      <c r="L1614" s="8">
        <v>23.04</v>
      </c>
      <c r="M1614" s="8">
        <v>23.67</v>
      </c>
      <c r="N1614" s="8">
        <v>16.079999999999998</v>
      </c>
      <c r="O1614" s="17">
        <f t="shared" si="127"/>
        <v>0.49541860465116283</v>
      </c>
      <c r="P1614" s="17">
        <f t="shared" si="128"/>
        <v>0.33946666666666669</v>
      </c>
      <c r="Q1614" s="5">
        <v>12.93</v>
      </c>
      <c r="R1614" s="9">
        <v>11.5</v>
      </c>
      <c r="S1614" s="9">
        <v>16.14</v>
      </c>
      <c r="T1614" s="9">
        <v>1719.88</v>
      </c>
      <c r="U1614" s="9">
        <v>1338.81</v>
      </c>
      <c r="V1614" s="45">
        <f t="shared" si="129"/>
        <v>0.28463336843913639</v>
      </c>
      <c r="W1614" s="12">
        <v>-41.94</v>
      </c>
      <c r="X1614" s="12">
        <v>0.38</v>
      </c>
      <c r="Y1614" s="12">
        <v>20210804</v>
      </c>
    </row>
    <row r="1615" spans="1:25" x14ac:dyDescent="0.45">
      <c r="A1615" s="3" t="s">
        <v>2825</v>
      </c>
      <c r="B1615" s="3" t="s">
        <v>2826</v>
      </c>
      <c r="C1615" s="6" t="s">
        <v>518</v>
      </c>
      <c r="D1615" s="6" t="s">
        <v>309</v>
      </c>
      <c r="E1615" s="6" t="s">
        <v>312</v>
      </c>
      <c r="F1615" s="6">
        <v>6236.08</v>
      </c>
      <c r="G1615" s="2">
        <v>2.67</v>
      </c>
      <c r="H1615" s="2">
        <v>4.16</v>
      </c>
      <c r="I1615" s="2">
        <v>6.26</v>
      </c>
      <c r="J1615" s="47">
        <f t="shared" si="125"/>
        <v>0.55805243445692898</v>
      </c>
      <c r="K1615" s="47">
        <f t="shared" si="126"/>
        <v>0.50480769230769218</v>
      </c>
      <c r="L1615" s="8">
        <v>106.89</v>
      </c>
      <c r="M1615" s="8">
        <v>26.69</v>
      </c>
      <c r="N1615" s="8">
        <v>17.77</v>
      </c>
      <c r="O1615" s="17">
        <f t="shared" si="127"/>
        <v>0.47827046979865767</v>
      </c>
      <c r="P1615" s="17">
        <f t="shared" si="128"/>
        <v>0.35201523809523816</v>
      </c>
      <c r="Q1615" s="5">
        <v>0.67</v>
      </c>
      <c r="R1615" s="9">
        <v>5.37</v>
      </c>
      <c r="S1615" s="9">
        <v>5.6</v>
      </c>
      <c r="T1615" s="9">
        <v>984.86999000000003</v>
      </c>
      <c r="U1615" s="9">
        <v>556.47</v>
      </c>
      <c r="V1615" s="45">
        <f t="shared" si="129"/>
        <v>0.76985280428414826</v>
      </c>
      <c r="W1615" s="12">
        <v>73.209999999999994</v>
      </c>
      <c r="X1615" s="12">
        <v>0</v>
      </c>
      <c r="Y1615" s="12">
        <v>20210723</v>
      </c>
    </row>
    <row r="1616" spans="1:25" x14ac:dyDescent="0.45">
      <c r="A1616" s="3" t="s">
        <v>2827</v>
      </c>
      <c r="B1616" s="3" t="s">
        <v>2828</v>
      </c>
      <c r="C1616" s="6" t="s">
        <v>519</v>
      </c>
      <c r="D1616" s="6" t="s">
        <v>279</v>
      </c>
      <c r="E1616" s="6" t="s">
        <v>262</v>
      </c>
      <c r="F1616" s="6">
        <v>5762.73</v>
      </c>
      <c r="G1616" s="2">
        <v>0.17</v>
      </c>
      <c r="H1616" s="2">
        <v>-1.01</v>
      </c>
      <c r="I1616" s="2">
        <v>-0.76</v>
      </c>
      <c r="J1616" s="47">
        <f t="shared" si="125"/>
        <v>-6.9411764705882346</v>
      </c>
      <c r="K1616" s="47">
        <f t="shared" si="126"/>
        <v>0.24752475247524752</v>
      </c>
      <c r="O1616" s="17">
        <f t="shared" si="127"/>
        <v>0</v>
      </c>
      <c r="P1616" s="17">
        <f t="shared" si="128"/>
        <v>0</v>
      </c>
      <c r="R1616" s="9">
        <v>-43.06</v>
      </c>
      <c r="S1616" s="9">
        <v>-3.19</v>
      </c>
      <c r="T1616" s="9">
        <v>134.24699000000001</v>
      </c>
      <c r="U1616" s="9">
        <v>78.89</v>
      </c>
      <c r="V1616" s="45">
        <f t="shared" si="129"/>
        <v>0.70169844086703015</v>
      </c>
      <c r="W1616" s="12">
        <v>60</v>
      </c>
      <c r="X1616" s="12">
        <v>0</v>
      </c>
      <c r="Y1616" s="12">
        <v>20210802</v>
      </c>
    </row>
    <row r="1617" spans="1:25" x14ac:dyDescent="0.45">
      <c r="A1617" s="3" t="s">
        <v>2829</v>
      </c>
      <c r="B1617" s="3" t="s">
        <v>2830</v>
      </c>
      <c r="C1617" s="6" t="s">
        <v>519</v>
      </c>
      <c r="D1617" s="6" t="s">
        <v>234</v>
      </c>
      <c r="E1617" s="6" t="s">
        <v>181</v>
      </c>
      <c r="F1617" s="6">
        <v>5221.49</v>
      </c>
      <c r="G1617" s="2">
        <v>1.63</v>
      </c>
      <c r="H1617" s="2">
        <v>4.24</v>
      </c>
      <c r="I1617" s="2">
        <v>4.12</v>
      </c>
      <c r="J1617" s="47">
        <f t="shared" si="125"/>
        <v>1.601226993865031</v>
      </c>
      <c r="K1617" s="47">
        <f t="shared" si="126"/>
        <v>-2.8301886792452855E-2</v>
      </c>
      <c r="L1617" s="8">
        <v>15.14</v>
      </c>
      <c r="M1617" s="8">
        <v>10.53</v>
      </c>
      <c r="N1617" s="8">
        <v>10.85</v>
      </c>
      <c r="O1617" s="17">
        <f t="shared" si="127"/>
        <v>6.5762068965517229E-2</v>
      </c>
      <c r="P1617" s="17">
        <f t="shared" si="128"/>
        <v>-3.8336666666666632</v>
      </c>
      <c r="R1617" s="9">
        <v>9.84</v>
      </c>
      <c r="S1617" s="9">
        <v>4.25</v>
      </c>
      <c r="T1617" s="9">
        <v>1240.4250400000001</v>
      </c>
      <c r="U1617" s="9">
        <v>1249.55</v>
      </c>
      <c r="V1617" s="45">
        <f t="shared" si="129"/>
        <v>-7.3025969348964621E-3</v>
      </c>
      <c r="W1617" s="12">
        <v>41.11</v>
      </c>
      <c r="X1617" s="12">
        <v>2.2400000000000002</v>
      </c>
      <c r="Y1617" s="12">
        <v>20210715</v>
      </c>
    </row>
    <row r="1618" spans="1:25" x14ac:dyDescent="0.45">
      <c r="A1618" s="3" t="s">
        <v>2831</v>
      </c>
      <c r="B1618" s="3" t="s">
        <v>2832</v>
      </c>
      <c r="C1618" s="6" t="s">
        <v>518</v>
      </c>
      <c r="D1618" s="6" t="s">
        <v>303</v>
      </c>
      <c r="E1618" s="6" t="s">
        <v>632</v>
      </c>
      <c r="F1618" s="6">
        <v>6386.96</v>
      </c>
      <c r="G1618" s="2">
        <v>6.2</v>
      </c>
      <c r="H1618" s="2">
        <v>8.77</v>
      </c>
      <c r="I1618" s="2">
        <v>8.84</v>
      </c>
      <c r="J1618" s="47">
        <f t="shared" si="125"/>
        <v>0.41451612903225793</v>
      </c>
      <c r="K1618" s="47">
        <f t="shared" si="126"/>
        <v>7.9817559863170229E-3</v>
      </c>
      <c r="L1618" s="8">
        <v>9.66</v>
      </c>
      <c r="M1618" s="8">
        <v>9.01</v>
      </c>
      <c r="N1618" s="8">
        <v>8.94</v>
      </c>
      <c r="O1618" s="17">
        <f t="shared" si="127"/>
        <v>0.21736186770428023</v>
      </c>
      <c r="P1618" s="17">
        <f t="shared" si="128"/>
        <v>11.200542857142811</v>
      </c>
      <c r="Q1618" s="5">
        <v>0.97</v>
      </c>
      <c r="R1618" s="9">
        <v>20.79</v>
      </c>
      <c r="S1618" s="9">
        <v>1.3</v>
      </c>
      <c r="T1618" s="9">
        <v>25026.427729999999</v>
      </c>
      <c r="U1618" s="9">
        <v>20443.900000000001</v>
      </c>
      <c r="V1618" s="45">
        <f t="shared" si="129"/>
        <v>0.22415134734566289</v>
      </c>
      <c r="W1618" s="12">
        <v>24.86</v>
      </c>
      <c r="X1618" s="12">
        <v>2.23</v>
      </c>
      <c r="Y1618" s="12">
        <v>20210804</v>
      </c>
    </row>
    <row r="1619" spans="1:25" x14ac:dyDescent="0.45">
      <c r="A1619" s="3" t="s">
        <v>2833</v>
      </c>
      <c r="B1619" s="3" t="s">
        <v>2834</v>
      </c>
      <c r="C1619" s="6" t="s">
        <v>518</v>
      </c>
      <c r="D1619" s="6" t="s">
        <v>175</v>
      </c>
      <c r="E1619" s="6" t="s">
        <v>224</v>
      </c>
      <c r="F1619" s="6">
        <v>16934.47</v>
      </c>
      <c r="G1619" s="2">
        <v>0.78</v>
      </c>
      <c r="H1619" s="2">
        <v>0.95</v>
      </c>
      <c r="I1619" s="2">
        <v>1.41</v>
      </c>
      <c r="J1619" s="47">
        <f t="shared" si="125"/>
        <v>0.21794871794871784</v>
      </c>
      <c r="K1619" s="47">
        <f t="shared" si="126"/>
        <v>0.48421052631578948</v>
      </c>
      <c r="L1619" s="8">
        <v>65.150000000000006</v>
      </c>
      <c r="M1619" s="8">
        <v>54.06</v>
      </c>
      <c r="N1619" s="8">
        <v>36.61</v>
      </c>
      <c r="O1619" s="17">
        <f t="shared" si="127"/>
        <v>2.4804000000000013</v>
      </c>
      <c r="P1619" s="17">
        <f t="shared" si="128"/>
        <v>0.75607608695652173</v>
      </c>
      <c r="R1619" s="9">
        <v>7.3</v>
      </c>
      <c r="T1619" s="9">
        <v>1883.3129799999999</v>
      </c>
      <c r="U1619" s="9">
        <v>1322.98</v>
      </c>
      <c r="V1619" s="45">
        <f t="shared" si="129"/>
        <v>0.42353851154212452</v>
      </c>
      <c r="W1619" s="12">
        <v>0</v>
      </c>
      <c r="X1619" s="12">
        <v>0</v>
      </c>
      <c r="Y1619" s="12">
        <v>20210826</v>
      </c>
    </row>
    <row r="1620" spans="1:25" x14ac:dyDescent="0.45">
      <c r="A1620" s="3" t="s">
        <v>2835</v>
      </c>
      <c r="B1620" s="3" t="s">
        <v>2836</v>
      </c>
      <c r="C1620" s="6" t="s">
        <v>518</v>
      </c>
      <c r="D1620" s="6" t="s">
        <v>189</v>
      </c>
      <c r="E1620" s="6" t="s">
        <v>433</v>
      </c>
      <c r="F1620" s="6">
        <v>34319.57</v>
      </c>
      <c r="G1620" s="2">
        <v>4.79</v>
      </c>
      <c r="H1620" s="2">
        <v>5.99</v>
      </c>
      <c r="I1620" s="2">
        <v>7.11</v>
      </c>
      <c r="J1620" s="47">
        <f t="shared" si="125"/>
        <v>0.25052192066805851</v>
      </c>
      <c r="K1620" s="47">
        <f t="shared" si="126"/>
        <v>0.18697829716193656</v>
      </c>
      <c r="L1620" s="8">
        <v>58.44</v>
      </c>
      <c r="M1620" s="8">
        <v>58.88</v>
      </c>
      <c r="N1620" s="8">
        <v>49.55</v>
      </c>
      <c r="O1620" s="17">
        <f t="shared" si="127"/>
        <v>2.3502933333333327</v>
      </c>
      <c r="P1620" s="17">
        <f t="shared" si="128"/>
        <v>2.6500401785714285</v>
      </c>
      <c r="Q1620" s="5">
        <v>2.52</v>
      </c>
      <c r="R1620" s="9">
        <v>-10.65</v>
      </c>
      <c r="S1620" s="9">
        <v>25.1</v>
      </c>
      <c r="T1620" s="9">
        <v>4206.8481400000001</v>
      </c>
      <c r="U1620" s="9">
        <v>3408.4</v>
      </c>
      <c r="V1620" s="45">
        <f t="shared" si="129"/>
        <v>0.23425893087665764</v>
      </c>
      <c r="W1620" s="12">
        <v>7.81</v>
      </c>
      <c r="X1620" s="12">
        <v>0</v>
      </c>
      <c r="Y1620" s="12">
        <v>20210823</v>
      </c>
    </row>
    <row r="1621" spans="1:25" x14ac:dyDescent="0.45">
      <c r="A1621" s="3" t="s">
        <v>4299</v>
      </c>
      <c r="B1621" s="3" t="s">
        <v>4300</v>
      </c>
      <c r="C1621" s="6" t="s">
        <v>518</v>
      </c>
      <c r="D1621" s="6" t="s">
        <v>175</v>
      </c>
      <c r="E1621" s="6" t="s">
        <v>305</v>
      </c>
      <c r="F1621" s="6">
        <v>35671.050000000003</v>
      </c>
      <c r="H1621" s="2">
        <v>-0.13</v>
      </c>
      <c r="I1621" s="2">
        <v>-0.09</v>
      </c>
      <c r="J1621" s="47" t="e">
        <f t="shared" si="125"/>
        <v>#DIV/0!</v>
      </c>
      <c r="K1621" s="47">
        <f t="shared" si="126"/>
        <v>0.30769230769230776</v>
      </c>
      <c r="O1621" s="17" t="e">
        <f t="shared" si="127"/>
        <v>#DIV/0!</v>
      </c>
      <c r="P1621" s="17">
        <f t="shared" si="128"/>
        <v>0</v>
      </c>
      <c r="T1621" s="9">
        <v>816.93200000000002</v>
      </c>
      <c r="V1621" s="45" t="e">
        <f t="shared" si="129"/>
        <v>#DIV/0!</v>
      </c>
      <c r="W1621" s="12">
        <v>140</v>
      </c>
      <c r="X1621" s="12">
        <v>0</v>
      </c>
    </row>
    <row r="1622" spans="1:25" x14ac:dyDescent="0.45">
      <c r="A1622" s="3" t="s">
        <v>4883</v>
      </c>
      <c r="B1622" s="3" t="s">
        <v>4884</v>
      </c>
      <c r="C1622" s="6" t="s">
        <v>518</v>
      </c>
      <c r="D1622" s="6" t="s">
        <v>175</v>
      </c>
      <c r="E1622" s="6" t="s">
        <v>305</v>
      </c>
      <c r="F1622" s="6">
        <v>3273.05</v>
      </c>
      <c r="J1622" s="47" t="e">
        <f t="shared" si="125"/>
        <v>#DIV/0!</v>
      </c>
      <c r="K1622" s="47" t="e">
        <f t="shared" si="126"/>
        <v>#DIV/0!</v>
      </c>
      <c r="O1622" s="17" t="e">
        <f t="shared" si="127"/>
        <v>#DIV/0!</v>
      </c>
      <c r="P1622" s="17" t="e">
        <f t="shared" si="128"/>
        <v>#DIV/0!</v>
      </c>
      <c r="V1622" s="45" t="e">
        <f t="shared" si="129"/>
        <v>#DIV/0!</v>
      </c>
      <c r="X1622" s="12">
        <v>0</v>
      </c>
    </row>
    <row r="1623" spans="1:25" x14ac:dyDescent="0.45">
      <c r="A1623" s="3" t="s">
        <v>2837</v>
      </c>
      <c r="B1623" s="3" t="s">
        <v>2838</v>
      </c>
      <c r="C1623" s="6" t="s">
        <v>518</v>
      </c>
      <c r="D1623" s="6" t="s">
        <v>189</v>
      </c>
      <c r="E1623" s="6" t="s">
        <v>248</v>
      </c>
      <c r="F1623" s="6">
        <v>19720.86</v>
      </c>
      <c r="G1623" s="2">
        <v>3.45</v>
      </c>
      <c r="H1623" s="2">
        <v>4.24</v>
      </c>
      <c r="I1623" s="2">
        <v>5.45</v>
      </c>
      <c r="J1623" s="47">
        <f t="shared" si="125"/>
        <v>0.22898550724637681</v>
      </c>
      <c r="K1623" s="47">
        <f t="shared" si="126"/>
        <v>0.285377358490566</v>
      </c>
      <c r="L1623" s="8">
        <v>90.27</v>
      </c>
      <c r="M1623" s="8">
        <v>77.28</v>
      </c>
      <c r="N1623" s="8">
        <v>60.07</v>
      </c>
      <c r="O1623" s="17">
        <f t="shared" si="127"/>
        <v>3.3748860759493673</v>
      </c>
      <c r="P1623" s="17">
        <f t="shared" si="128"/>
        <v>2.104932231404959</v>
      </c>
      <c r="Q1623" s="5">
        <v>3.09</v>
      </c>
      <c r="R1623" s="9">
        <v>20.54</v>
      </c>
      <c r="S1623" s="9">
        <v>27.65</v>
      </c>
      <c r="T1623" s="9">
        <v>1017.21002</v>
      </c>
      <c r="U1623" s="9">
        <v>841.43</v>
      </c>
      <c r="V1623" s="45">
        <f t="shared" si="129"/>
        <v>0.20890629048168005</v>
      </c>
      <c r="W1623" s="12">
        <v>3.52</v>
      </c>
      <c r="X1623" s="12">
        <v>0</v>
      </c>
      <c r="Y1623" s="12">
        <v>20210803</v>
      </c>
    </row>
    <row r="1624" spans="1:25" x14ac:dyDescent="0.45">
      <c r="A1624" s="3" t="s">
        <v>2839</v>
      </c>
      <c r="B1624" s="3" t="s">
        <v>2840</v>
      </c>
      <c r="C1624" s="6" t="s">
        <v>519</v>
      </c>
      <c r="D1624" s="6" t="s">
        <v>175</v>
      </c>
      <c r="E1624" s="6" t="s">
        <v>281</v>
      </c>
      <c r="F1624" s="6">
        <v>37326.1</v>
      </c>
      <c r="G1624" s="2">
        <v>3</v>
      </c>
      <c r="H1624" s="2">
        <v>3.21</v>
      </c>
      <c r="I1624" s="2">
        <v>3.43</v>
      </c>
      <c r="J1624" s="47">
        <f t="shared" si="125"/>
        <v>6.9999999999999993E-2</v>
      </c>
      <c r="K1624" s="47">
        <f t="shared" si="126"/>
        <v>6.8535825545171403E-2</v>
      </c>
      <c r="L1624" s="8">
        <v>35.35</v>
      </c>
      <c r="M1624" s="8">
        <v>32.28</v>
      </c>
      <c r="N1624" s="8">
        <v>30.18</v>
      </c>
      <c r="O1624" s="17">
        <f t="shared" si="127"/>
        <v>4.6114285714285721</v>
      </c>
      <c r="P1624" s="17">
        <f t="shared" si="128"/>
        <v>4.40353636363636</v>
      </c>
      <c r="Q1624" s="5">
        <v>4.03</v>
      </c>
      <c r="R1624" s="9">
        <v>37.19</v>
      </c>
      <c r="S1624" s="9">
        <v>7.74</v>
      </c>
      <c r="T1624" s="9">
        <v>4267.4072200000001</v>
      </c>
      <c r="U1624" s="9">
        <v>4040.5</v>
      </c>
      <c r="V1624" s="45">
        <f t="shared" si="129"/>
        <v>5.6158203192674186E-2</v>
      </c>
      <c r="W1624" s="12">
        <v>3.23</v>
      </c>
      <c r="X1624" s="12">
        <v>2.5499999999999998</v>
      </c>
      <c r="Y1624" s="12">
        <v>20210706</v>
      </c>
    </row>
    <row r="1625" spans="1:25" x14ac:dyDescent="0.45">
      <c r="A1625" s="3" t="s">
        <v>2841</v>
      </c>
      <c r="B1625" s="3" t="s">
        <v>2842</v>
      </c>
      <c r="C1625" s="6" t="s">
        <v>518</v>
      </c>
      <c r="D1625" s="6" t="s">
        <v>234</v>
      </c>
      <c r="E1625" s="6" t="s">
        <v>965</v>
      </c>
      <c r="F1625" s="6">
        <v>7033.63</v>
      </c>
      <c r="G1625" s="2">
        <v>5.54</v>
      </c>
      <c r="H1625" s="2">
        <v>5.59</v>
      </c>
      <c r="I1625" s="2">
        <v>5.34</v>
      </c>
      <c r="J1625" s="47">
        <f t="shared" si="125"/>
        <v>9.0252707581227123E-3</v>
      </c>
      <c r="K1625" s="47">
        <f t="shared" si="126"/>
        <v>-4.4722719141323794E-2</v>
      </c>
      <c r="L1625" s="8">
        <v>13.59</v>
      </c>
      <c r="M1625" s="8">
        <v>13.54</v>
      </c>
      <c r="N1625" s="8">
        <v>14.17</v>
      </c>
      <c r="O1625" s="17">
        <f t="shared" si="127"/>
        <v>15.002320000000051</v>
      </c>
      <c r="P1625" s="17">
        <f t="shared" si="128"/>
        <v>-3.1684119999999996</v>
      </c>
      <c r="Q1625" s="5">
        <v>1.35</v>
      </c>
      <c r="R1625" s="9">
        <v>8.5</v>
      </c>
      <c r="S1625" s="9">
        <v>11.22</v>
      </c>
      <c r="T1625" s="9">
        <v>1141.69201</v>
      </c>
      <c r="U1625" s="9">
        <v>1275.44</v>
      </c>
      <c r="V1625" s="45">
        <f t="shared" si="129"/>
        <v>-0.10486419588534159</v>
      </c>
      <c r="W1625" s="12">
        <v>4.3499999999999996</v>
      </c>
      <c r="X1625" s="12">
        <v>2.59</v>
      </c>
      <c r="Y1625" s="12">
        <v>20210804</v>
      </c>
    </row>
    <row r="1626" spans="1:25" x14ac:dyDescent="0.45">
      <c r="A1626" s="3" t="s">
        <v>2843</v>
      </c>
      <c r="B1626" s="3" t="s">
        <v>2844</v>
      </c>
      <c r="C1626" s="6" t="s">
        <v>518</v>
      </c>
      <c r="D1626" s="6" t="s">
        <v>289</v>
      </c>
      <c r="E1626" s="6" t="s">
        <v>277</v>
      </c>
      <c r="F1626" s="6">
        <v>17780.84</v>
      </c>
      <c r="G1626" s="2">
        <v>1.6</v>
      </c>
      <c r="H1626" s="2">
        <v>2.02</v>
      </c>
      <c r="I1626" s="2">
        <v>2.39</v>
      </c>
      <c r="J1626" s="47">
        <f t="shared" si="125"/>
        <v>0.26249999999999996</v>
      </c>
      <c r="K1626" s="47">
        <f t="shared" si="126"/>
        <v>0.18316831683168322</v>
      </c>
      <c r="L1626" s="8">
        <v>21.99</v>
      </c>
      <c r="M1626" s="8">
        <v>16</v>
      </c>
      <c r="N1626" s="8">
        <v>13.5</v>
      </c>
      <c r="O1626" s="17">
        <f t="shared" si="127"/>
        <v>0.60952380952380958</v>
      </c>
      <c r="P1626" s="17">
        <f t="shared" si="128"/>
        <v>0.73702702702702683</v>
      </c>
      <c r="Q1626" s="5">
        <v>3.2</v>
      </c>
      <c r="R1626" s="9">
        <v>9.2100000000000009</v>
      </c>
      <c r="S1626" s="9">
        <v>10.83</v>
      </c>
      <c r="T1626" s="9">
        <v>6825.0898399999996</v>
      </c>
      <c r="U1626" s="9">
        <v>4629.92</v>
      </c>
      <c r="V1626" s="45">
        <f t="shared" si="129"/>
        <v>0.47412694819780893</v>
      </c>
      <c r="W1626" s="12">
        <v>-13.33</v>
      </c>
      <c r="X1626" s="12">
        <v>3.92</v>
      </c>
      <c r="Y1626" s="12">
        <v>20210805</v>
      </c>
    </row>
    <row r="1627" spans="1:25" x14ac:dyDescent="0.45">
      <c r="A1627" s="3" t="s">
        <v>2845</v>
      </c>
      <c r="B1627" s="3" t="s">
        <v>2846</v>
      </c>
      <c r="C1627" s="6" t="s">
        <v>519</v>
      </c>
      <c r="D1627" s="6" t="s">
        <v>234</v>
      </c>
      <c r="E1627" s="6" t="s">
        <v>1140</v>
      </c>
      <c r="F1627" s="6">
        <v>7945.36</v>
      </c>
      <c r="G1627" s="2">
        <v>1.21</v>
      </c>
      <c r="H1627" s="2">
        <v>1.29</v>
      </c>
      <c r="I1627" s="2">
        <v>1.3</v>
      </c>
      <c r="J1627" s="47">
        <f t="shared" si="125"/>
        <v>6.61157024793389E-2</v>
      </c>
      <c r="K1627" s="47">
        <f t="shared" si="126"/>
        <v>7.7519379844961309E-3</v>
      </c>
      <c r="L1627" s="8">
        <v>14.29</v>
      </c>
      <c r="M1627" s="8">
        <v>14.4</v>
      </c>
      <c r="N1627" s="8">
        <v>14.32</v>
      </c>
      <c r="O1627" s="17">
        <f t="shared" si="127"/>
        <v>2.1779999999999982</v>
      </c>
      <c r="P1627" s="17">
        <f t="shared" si="128"/>
        <v>18.472799999999982</v>
      </c>
      <c r="R1627" s="9">
        <v>7.47</v>
      </c>
      <c r="S1627" s="9">
        <v>13.18</v>
      </c>
      <c r="T1627" s="9">
        <v>1928.90795</v>
      </c>
      <c r="U1627" s="9">
        <v>2307.6999999999998</v>
      </c>
      <c r="V1627" s="45">
        <f t="shared" si="129"/>
        <v>-0.16414267452441816</v>
      </c>
      <c r="W1627" s="12">
        <v>8.82</v>
      </c>
      <c r="X1627" s="12">
        <v>3.93</v>
      </c>
      <c r="Y1627" s="12">
        <v>20210722</v>
      </c>
    </row>
    <row r="1628" spans="1:25" x14ac:dyDescent="0.45">
      <c r="A1628" s="3" t="s">
        <v>2847</v>
      </c>
      <c r="B1628" s="3" t="s">
        <v>2848</v>
      </c>
      <c r="C1628" s="6" t="s">
        <v>518</v>
      </c>
      <c r="D1628" s="6" t="s">
        <v>289</v>
      </c>
      <c r="E1628" s="6" t="s">
        <v>1131</v>
      </c>
      <c r="F1628" s="6">
        <v>76373.8</v>
      </c>
      <c r="G1628" s="2">
        <v>-0.38</v>
      </c>
      <c r="H1628" s="2">
        <v>1.61</v>
      </c>
      <c r="I1628" s="2">
        <v>1.85</v>
      </c>
      <c r="J1628" s="47">
        <f t="shared" si="125"/>
        <v>5.2368421052631584</v>
      </c>
      <c r="K1628" s="47">
        <f t="shared" si="126"/>
        <v>0.14906832298136644</v>
      </c>
      <c r="L1628" s="8">
        <v>20.91</v>
      </c>
      <c r="M1628" s="8">
        <v>7.27</v>
      </c>
      <c r="N1628" s="8">
        <v>6.34</v>
      </c>
      <c r="O1628" s="17">
        <f t="shared" si="127"/>
        <v>1.3882412060301505E-2</v>
      </c>
      <c r="P1628" s="17">
        <f t="shared" si="128"/>
        <v>0.4253083333333334</v>
      </c>
      <c r="R1628" s="9">
        <v>7.23</v>
      </c>
      <c r="S1628" s="9">
        <v>-4.3600000000000003</v>
      </c>
      <c r="T1628" s="9">
        <v>68934.664059999996</v>
      </c>
      <c r="U1628" s="9">
        <v>53683</v>
      </c>
      <c r="V1628" s="45">
        <f t="shared" si="129"/>
        <v>0.28410603095952153</v>
      </c>
      <c r="W1628" s="12">
        <v>-88.46</v>
      </c>
      <c r="X1628" s="12">
        <v>2.4300000000000002</v>
      </c>
      <c r="Y1628" s="12">
        <v>20210730</v>
      </c>
    </row>
    <row r="1629" spans="1:25" x14ac:dyDescent="0.45">
      <c r="A1629" s="3" t="s">
        <v>2847</v>
      </c>
      <c r="B1629" s="3" t="s">
        <v>4885</v>
      </c>
      <c r="C1629" s="6" t="s">
        <v>518</v>
      </c>
      <c r="D1629" s="6" t="s">
        <v>289</v>
      </c>
      <c r="E1629" s="6" t="s">
        <v>1131</v>
      </c>
      <c r="F1629" s="6">
        <v>73569.289999999994</v>
      </c>
      <c r="J1629" s="47" t="e">
        <f t="shared" si="125"/>
        <v>#DIV/0!</v>
      </c>
      <c r="K1629" s="47" t="e">
        <f t="shared" si="126"/>
        <v>#DIV/0!</v>
      </c>
      <c r="L1629" s="8">
        <v>20.14</v>
      </c>
      <c r="O1629" s="17" t="e">
        <f t="shared" si="127"/>
        <v>#DIV/0!</v>
      </c>
      <c r="P1629" s="17" t="e">
        <f t="shared" si="128"/>
        <v>#DIV/0!</v>
      </c>
      <c r="R1629" s="9">
        <v>7.23</v>
      </c>
      <c r="S1629" s="9">
        <v>-4.3600000000000003</v>
      </c>
      <c r="U1629" s="9">
        <v>53683</v>
      </c>
      <c r="V1629" s="45">
        <f t="shared" si="129"/>
        <v>-1</v>
      </c>
      <c r="X1629" s="12">
        <v>2.52</v>
      </c>
      <c r="Y1629" s="12">
        <v>20210730</v>
      </c>
    </row>
    <row r="1630" spans="1:25" x14ac:dyDescent="0.45">
      <c r="A1630" s="3" t="s">
        <v>4886</v>
      </c>
      <c r="B1630" s="3" t="s">
        <v>4887</v>
      </c>
      <c r="C1630" s="6" t="s">
        <v>520</v>
      </c>
      <c r="D1630" s="6" t="s">
        <v>216</v>
      </c>
      <c r="E1630" s="6" t="s">
        <v>1052</v>
      </c>
      <c r="F1630" s="6">
        <v>4850.32</v>
      </c>
      <c r="J1630" s="47" t="e">
        <f t="shared" si="125"/>
        <v>#DIV/0!</v>
      </c>
      <c r="K1630" s="47" t="e">
        <f t="shared" si="126"/>
        <v>#DIV/0!</v>
      </c>
      <c r="L1630" s="8">
        <v>19.14</v>
      </c>
      <c r="O1630" s="17" t="e">
        <f t="shared" si="127"/>
        <v>#DIV/0!</v>
      </c>
      <c r="P1630" s="17" t="e">
        <f t="shared" si="128"/>
        <v>#DIV/0!</v>
      </c>
      <c r="R1630" s="9">
        <v>13.2</v>
      </c>
      <c r="U1630" s="9">
        <v>4622.5</v>
      </c>
      <c r="V1630" s="45">
        <f t="shared" si="129"/>
        <v>-1</v>
      </c>
      <c r="X1630" s="12">
        <v>1.8</v>
      </c>
      <c r="Y1630" s="12">
        <v>20210730</v>
      </c>
    </row>
    <row r="1631" spans="1:25" x14ac:dyDescent="0.45">
      <c r="A1631" s="3" t="s">
        <v>2849</v>
      </c>
      <c r="B1631" s="3" t="s">
        <v>2850</v>
      </c>
      <c r="C1631" s="6" t="s">
        <v>519</v>
      </c>
      <c r="D1631" s="6" t="s">
        <v>46</v>
      </c>
      <c r="E1631" s="6" t="s">
        <v>63</v>
      </c>
      <c r="F1631" s="6">
        <v>32143.21</v>
      </c>
      <c r="G1631" s="2">
        <v>3.81</v>
      </c>
      <c r="H1631" s="2">
        <v>5.79</v>
      </c>
      <c r="I1631" s="2">
        <v>6.93</v>
      </c>
      <c r="J1631" s="47">
        <f t="shared" si="125"/>
        <v>0.51968503937007871</v>
      </c>
      <c r="K1631" s="47">
        <f t="shared" si="126"/>
        <v>0.19689119170984451</v>
      </c>
      <c r="L1631" s="8">
        <v>22.81</v>
      </c>
      <c r="M1631" s="8">
        <v>15.98</v>
      </c>
      <c r="N1631" s="8">
        <v>13.36</v>
      </c>
      <c r="O1631" s="17">
        <f t="shared" si="127"/>
        <v>0.30749393939393943</v>
      </c>
      <c r="P1631" s="17">
        <f t="shared" si="128"/>
        <v>0.67854736842105279</v>
      </c>
      <c r="Q1631" s="5">
        <v>1.6</v>
      </c>
      <c r="R1631" s="9">
        <v>13.72</v>
      </c>
      <c r="S1631" s="9">
        <v>5.69</v>
      </c>
      <c r="T1631" s="9">
        <v>22286.66015</v>
      </c>
      <c r="U1631" s="9">
        <v>18728.5</v>
      </c>
      <c r="V1631" s="45">
        <f t="shared" si="129"/>
        <v>0.18998639239661477</v>
      </c>
      <c r="W1631" s="12">
        <v>6.3</v>
      </c>
      <c r="X1631" s="12">
        <v>1.47</v>
      </c>
      <c r="Y1631" s="12">
        <v>20210720</v>
      </c>
    </row>
    <row r="1632" spans="1:25" x14ac:dyDescent="0.45">
      <c r="A1632" s="3" t="s">
        <v>4888</v>
      </c>
      <c r="B1632" s="3" t="s">
        <v>4889</v>
      </c>
      <c r="C1632" s="6" t="s">
        <v>520</v>
      </c>
      <c r="D1632" s="6" t="s">
        <v>189</v>
      </c>
      <c r="E1632" s="6" t="s">
        <v>247</v>
      </c>
      <c r="F1632" s="6">
        <v>4068.25</v>
      </c>
      <c r="J1632" s="47" t="e">
        <f t="shared" si="125"/>
        <v>#DIV/0!</v>
      </c>
      <c r="K1632" s="47" t="e">
        <f t="shared" si="126"/>
        <v>#DIV/0!</v>
      </c>
      <c r="O1632" s="17" t="e">
        <f t="shared" si="127"/>
        <v>#DIV/0!</v>
      </c>
      <c r="P1632" s="17" t="e">
        <f t="shared" si="128"/>
        <v>#DIV/0!</v>
      </c>
      <c r="U1632" s="9">
        <v>4905.2299999999996</v>
      </c>
      <c r="V1632" s="45">
        <f t="shared" si="129"/>
        <v>-1</v>
      </c>
      <c r="X1632" s="12">
        <v>10.48</v>
      </c>
    </row>
    <row r="1633" spans="1:25" x14ac:dyDescent="0.45">
      <c r="A1633" s="3" t="s">
        <v>2851</v>
      </c>
      <c r="B1633" s="3" t="s">
        <v>2852</v>
      </c>
      <c r="C1633" s="6" t="s">
        <v>518</v>
      </c>
      <c r="D1633" s="6" t="s">
        <v>327</v>
      </c>
      <c r="E1633" s="6" t="s">
        <v>321</v>
      </c>
      <c r="F1633" s="6">
        <v>20406.89</v>
      </c>
      <c r="G1633" s="2">
        <v>1.6</v>
      </c>
      <c r="H1633" s="2">
        <v>1</v>
      </c>
      <c r="I1633" s="2">
        <v>1.1000000000000001</v>
      </c>
      <c r="J1633" s="47">
        <f t="shared" si="125"/>
        <v>-0.37500000000000006</v>
      </c>
      <c r="K1633" s="47">
        <f t="shared" si="126"/>
        <v>0.10000000000000009</v>
      </c>
      <c r="L1633" s="8">
        <v>6.08</v>
      </c>
      <c r="M1633" s="8">
        <v>10.23</v>
      </c>
      <c r="N1633" s="8">
        <v>9.3699999999999992</v>
      </c>
      <c r="O1633" s="17">
        <f t="shared" si="127"/>
        <v>-0.27279999999999999</v>
      </c>
      <c r="P1633" s="17">
        <f t="shared" si="128"/>
        <v>0.93699999999999906</v>
      </c>
      <c r="Q1633" s="5">
        <v>4.08</v>
      </c>
      <c r="R1633" s="9">
        <v>11.48</v>
      </c>
      <c r="S1633" s="9">
        <v>0.9</v>
      </c>
      <c r="T1633" s="9">
        <v>20123.304680000001</v>
      </c>
      <c r="U1633" s="9">
        <v>18469</v>
      </c>
      <c r="V1633" s="45">
        <f t="shared" si="129"/>
        <v>8.9571968162867568E-2</v>
      </c>
      <c r="W1633" s="12">
        <v>-17.86</v>
      </c>
      <c r="X1633" s="12">
        <v>0</v>
      </c>
      <c r="Y1633" s="12">
        <v>20210729</v>
      </c>
    </row>
    <row r="1634" spans="1:25" x14ac:dyDescent="0.45">
      <c r="A1634" s="3" t="s">
        <v>2853</v>
      </c>
      <c r="B1634" s="3" t="s">
        <v>2854</v>
      </c>
      <c r="C1634" s="6" t="s">
        <v>519</v>
      </c>
      <c r="D1634" s="6" t="s">
        <v>210</v>
      </c>
      <c r="E1634" s="6" t="s">
        <v>192</v>
      </c>
      <c r="F1634" s="6">
        <v>3711.46</v>
      </c>
      <c r="G1634" s="2">
        <v>2.92</v>
      </c>
      <c r="H1634" s="2">
        <v>7.53</v>
      </c>
      <c r="I1634" s="2">
        <v>4.03</v>
      </c>
      <c r="J1634" s="47">
        <f t="shared" si="125"/>
        <v>1.5787671232876714</v>
      </c>
      <c r="K1634" s="47">
        <f t="shared" si="126"/>
        <v>-0.46480743691899068</v>
      </c>
      <c r="L1634" s="8">
        <v>11.88</v>
      </c>
      <c r="M1634" s="8">
        <v>7.35</v>
      </c>
      <c r="N1634" s="8">
        <v>13.75</v>
      </c>
      <c r="O1634" s="17">
        <f t="shared" si="127"/>
        <v>4.6555314533622549E-2</v>
      </c>
      <c r="P1634" s="17">
        <f t="shared" si="128"/>
        <v>-0.29582142857142862</v>
      </c>
      <c r="R1634" s="9">
        <v>24.67</v>
      </c>
      <c r="S1634" s="9">
        <v>13.29</v>
      </c>
      <c r="T1634" s="9">
        <v>1451.09997</v>
      </c>
      <c r="U1634" s="9">
        <v>1040.93</v>
      </c>
      <c r="V1634" s="45">
        <f t="shared" si="129"/>
        <v>0.3940418375875418</v>
      </c>
      <c r="W1634" s="12">
        <v>13.45</v>
      </c>
      <c r="X1634" s="12">
        <v>2.96</v>
      </c>
      <c r="Y1634" s="12">
        <v>20210726</v>
      </c>
    </row>
    <row r="1635" spans="1:25" x14ac:dyDescent="0.45">
      <c r="A1635" s="3" t="s">
        <v>4890</v>
      </c>
      <c r="B1635" s="3" t="s">
        <v>4891</v>
      </c>
      <c r="C1635" s="6" t="s">
        <v>518</v>
      </c>
      <c r="D1635" s="6" t="s">
        <v>175</v>
      </c>
      <c r="E1635" s="6" t="s">
        <v>305</v>
      </c>
      <c r="F1635" s="6">
        <v>11114.41</v>
      </c>
      <c r="J1635" s="47" t="e">
        <f t="shared" si="125"/>
        <v>#DIV/0!</v>
      </c>
      <c r="K1635" s="47" t="e">
        <f t="shared" si="126"/>
        <v>#DIV/0!</v>
      </c>
      <c r="O1635" s="17" t="e">
        <f t="shared" si="127"/>
        <v>#DIV/0!</v>
      </c>
      <c r="P1635" s="17" t="e">
        <f t="shared" si="128"/>
        <v>#DIV/0!</v>
      </c>
      <c r="V1635" s="45" t="e">
        <f t="shared" si="129"/>
        <v>#DIV/0!</v>
      </c>
      <c r="X1635" s="12">
        <v>0</v>
      </c>
    </row>
    <row r="1636" spans="1:25" x14ac:dyDescent="0.45">
      <c r="A1636" s="3" t="s">
        <v>2855</v>
      </c>
      <c r="B1636" s="3" t="s">
        <v>2856</v>
      </c>
      <c r="C1636" s="6" t="s">
        <v>520</v>
      </c>
      <c r="D1636" s="6" t="s">
        <v>216</v>
      </c>
      <c r="E1636" s="6" t="s">
        <v>1464</v>
      </c>
      <c r="F1636" s="6">
        <v>28409.53</v>
      </c>
      <c r="G1636" s="2">
        <v>0.7</v>
      </c>
      <c r="H1636" s="2">
        <v>0.9</v>
      </c>
      <c r="I1636" s="2">
        <v>1.01</v>
      </c>
      <c r="J1636" s="47">
        <f t="shared" si="125"/>
        <v>0.28571428571428581</v>
      </c>
      <c r="K1636" s="47">
        <f t="shared" si="126"/>
        <v>0.1222222222222222</v>
      </c>
      <c r="L1636" s="8">
        <v>17.28</v>
      </c>
      <c r="M1636" s="8">
        <v>12.91</v>
      </c>
      <c r="N1636" s="8">
        <v>11.5</v>
      </c>
      <c r="O1636" s="17">
        <f t="shared" si="127"/>
        <v>0.45184999999999986</v>
      </c>
      <c r="P1636" s="17">
        <f t="shared" si="128"/>
        <v>0.94090909090909114</v>
      </c>
      <c r="Q1636" s="5">
        <v>0.53</v>
      </c>
      <c r="R1636" s="9">
        <v>6.88</v>
      </c>
      <c r="S1636" s="9">
        <v>1.92</v>
      </c>
      <c r="T1636" s="9">
        <v>67097.617180000001</v>
      </c>
      <c r="U1636" s="9">
        <v>63195.86</v>
      </c>
      <c r="V1636" s="45">
        <f t="shared" si="129"/>
        <v>6.1740708647686736E-2</v>
      </c>
      <c r="W1636" s="12">
        <v>-12.5</v>
      </c>
      <c r="X1636" s="12">
        <v>1.29</v>
      </c>
      <c r="Y1636" s="12">
        <v>20210729</v>
      </c>
    </row>
    <row r="1637" spans="1:25" x14ac:dyDescent="0.45">
      <c r="A1637" s="3" t="s">
        <v>2857</v>
      </c>
      <c r="B1637" s="3" t="s">
        <v>2858</v>
      </c>
      <c r="C1637" s="6" t="s">
        <v>519</v>
      </c>
      <c r="D1637" s="6" t="s">
        <v>189</v>
      </c>
      <c r="E1637" s="6" t="s">
        <v>248</v>
      </c>
      <c r="F1637" s="6">
        <v>9331.2199999999993</v>
      </c>
      <c r="G1637" s="2">
        <v>1.68</v>
      </c>
      <c r="H1637" s="2">
        <v>1.94</v>
      </c>
      <c r="I1637" s="2">
        <v>2.09</v>
      </c>
      <c r="J1637" s="47">
        <f t="shared" si="125"/>
        <v>0.15476190476190477</v>
      </c>
      <c r="K1637" s="47">
        <f t="shared" si="126"/>
        <v>7.7319587628865941E-2</v>
      </c>
      <c r="L1637" s="8">
        <v>86.94</v>
      </c>
      <c r="M1637" s="8">
        <v>88.35</v>
      </c>
      <c r="N1637" s="8">
        <v>82.01</v>
      </c>
      <c r="O1637" s="17">
        <f t="shared" si="127"/>
        <v>5.7087692307692306</v>
      </c>
      <c r="P1637" s="17">
        <f t="shared" si="128"/>
        <v>10.606626666666672</v>
      </c>
      <c r="Q1637" s="5">
        <v>4.42</v>
      </c>
      <c r="R1637" s="9">
        <v>15.28</v>
      </c>
      <c r="S1637" s="9">
        <v>22.92</v>
      </c>
      <c r="T1637" s="9">
        <v>629.40399000000002</v>
      </c>
      <c r="U1637" s="9">
        <v>561.33000000000004</v>
      </c>
      <c r="V1637" s="45">
        <f t="shared" si="129"/>
        <v>0.12127267382822934</v>
      </c>
      <c r="W1637" s="12">
        <v>33.33</v>
      </c>
      <c r="X1637" s="12">
        <v>0</v>
      </c>
      <c r="Y1637" s="12">
        <v>20210805</v>
      </c>
    </row>
    <row r="1638" spans="1:25" x14ac:dyDescent="0.45">
      <c r="A1638" s="3" t="s">
        <v>4888</v>
      </c>
      <c r="B1638" s="3" t="s">
        <v>4892</v>
      </c>
      <c r="C1638" s="6" t="s">
        <v>520</v>
      </c>
      <c r="D1638" s="6" t="s">
        <v>189</v>
      </c>
      <c r="E1638" s="6" t="s">
        <v>247</v>
      </c>
      <c r="F1638" s="6">
        <v>4137.7299999999996</v>
      </c>
      <c r="J1638" s="47" t="e">
        <f t="shared" si="125"/>
        <v>#DIV/0!</v>
      </c>
      <c r="K1638" s="47" t="e">
        <f t="shared" si="126"/>
        <v>#DIV/0!</v>
      </c>
      <c r="O1638" s="17" t="e">
        <f t="shared" si="127"/>
        <v>#DIV/0!</v>
      </c>
      <c r="P1638" s="17" t="e">
        <f t="shared" si="128"/>
        <v>#DIV/0!</v>
      </c>
      <c r="V1638" s="45" t="e">
        <f t="shared" si="129"/>
        <v>#DIV/0!</v>
      </c>
      <c r="X1638" s="12">
        <v>0</v>
      </c>
    </row>
    <row r="1639" spans="1:25" x14ac:dyDescent="0.45">
      <c r="A1639" s="3" t="s">
        <v>3874</v>
      </c>
      <c r="B1639" s="3" t="s">
        <v>2859</v>
      </c>
      <c r="C1639" s="6" t="s">
        <v>518</v>
      </c>
      <c r="D1639" s="6" t="s">
        <v>189</v>
      </c>
      <c r="E1639" s="6" t="s">
        <v>248</v>
      </c>
      <c r="F1639" s="6">
        <v>3257.01</v>
      </c>
      <c r="G1639" s="2">
        <v>-0.28999999999999998</v>
      </c>
      <c r="H1639" s="2">
        <v>-0.41</v>
      </c>
      <c r="I1639" s="2">
        <v>-0.2</v>
      </c>
      <c r="J1639" s="47">
        <f t="shared" si="125"/>
        <v>-0.41379310344827586</v>
      </c>
      <c r="K1639" s="47">
        <f t="shared" si="126"/>
        <v>0.51219512195121941</v>
      </c>
      <c r="O1639" s="17">
        <f t="shared" si="127"/>
        <v>0</v>
      </c>
      <c r="P1639" s="17">
        <f t="shared" si="128"/>
        <v>0</v>
      </c>
      <c r="R1639" s="9">
        <v>-21.75</v>
      </c>
      <c r="T1639" s="9">
        <v>269.35198000000003</v>
      </c>
      <c r="U1639" s="9">
        <v>213.56</v>
      </c>
      <c r="V1639" s="45">
        <f t="shared" si="129"/>
        <v>0.26124733096085417</v>
      </c>
      <c r="W1639" s="12">
        <v>20</v>
      </c>
      <c r="X1639" s="12">
        <v>0</v>
      </c>
      <c r="Y1639" s="12">
        <v>20210901</v>
      </c>
    </row>
    <row r="1640" spans="1:25" x14ac:dyDescent="0.45">
      <c r="A1640" s="3" t="s">
        <v>3875</v>
      </c>
      <c r="B1640" s="3" t="s">
        <v>3876</v>
      </c>
      <c r="C1640" s="6" t="s">
        <v>519</v>
      </c>
      <c r="D1640" s="6" t="s">
        <v>289</v>
      </c>
      <c r="E1640" s="6" t="s">
        <v>271</v>
      </c>
      <c r="F1640" s="6">
        <v>4508.82</v>
      </c>
      <c r="G1640" s="2">
        <v>1.01</v>
      </c>
      <c r="H1640" s="2">
        <v>4.54</v>
      </c>
      <c r="I1640" s="2">
        <v>5.32</v>
      </c>
      <c r="J1640" s="47">
        <f t="shared" si="125"/>
        <v>3.495049504950495</v>
      </c>
      <c r="K1640" s="47">
        <f t="shared" si="126"/>
        <v>0.17180616740088112</v>
      </c>
      <c r="L1640" s="8">
        <v>12.56</v>
      </c>
      <c r="M1640" s="8">
        <v>10.199999999999999</v>
      </c>
      <c r="N1640" s="8">
        <v>8.7100000000000009</v>
      </c>
      <c r="O1640" s="17">
        <f t="shared" si="127"/>
        <v>2.9184135977337107E-2</v>
      </c>
      <c r="P1640" s="17">
        <f t="shared" si="128"/>
        <v>0.50696666666666657</v>
      </c>
      <c r="R1640" s="9">
        <v>14.11</v>
      </c>
      <c r="S1640" s="9">
        <v>26.76</v>
      </c>
      <c r="T1640" s="9">
        <v>1903.8249499999999</v>
      </c>
      <c r="U1640" s="9">
        <v>1339.23</v>
      </c>
      <c r="V1640" s="45">
        <f t="shared" si="129"/>
        <v>0.42158176713484607</v>
      </c>
      <c r="W1640" s="12">
        <v>69.88</v>
      </c>
      <c r="X1640" s="12">
        <v>1.04</v>
      </c>
      <c r="Y1640" s="12">
        <v>20210804</v>
      </c>
    </row>
    <row r="1641" spans="1:25" x14ac:dyDescent="0.45">
      <c r="A1641" s="3" t="s">
        <v>4301</v>
      </c>
      <c r="B1641" s="3" t="s">
        <v>4302</v>
      </c>
      <c r="C1641" s="6" t="s">
        <v>519</v>
      </c>
      <c r="D1641" s="6" t="s">
        <v>279</v>
      </c>
      <c r="E1641" s="6" t="s">
        <v>257</v>
      </c>
      <c r="F1641" s="6">
        <v>3422.81</v>
      </c>
      <c r="G1641" s="2">
        <v>2.06</v>
      </c>
      <c r="H1641" s="2">
        <v>2.12</v>
      </c>
      <c r="I1641" s="2">
        <v>2.2599999999999998</v>
      </c>
      <c r="J1641" s="47">
        <f t="shared" si="125"/>
        <v>2.9126213592233035E-2</v>
      </c>
      <c r="K1641" s="47">
        <f t="shared" si="126"/>
        <v>6.603773584905645E-2</v>
      </c>
      <c r="L1641" s="8">
        <v>17.98</v>
      </c>
      <c r="M1641" s="8">
        <v>16.739999999999998</v>
      </c>
      <c r="N1641" s="8">
        <v>15.69</v>
      </c>
      <c r="O1641" s="17">
        <f t="shared" si="127"/>
        <v>5.7473999999999945</v>
      </c>
      <c r="P1641" s="17">
        <f t="shared" si="128"/>
        <v>2.3759142857142912</v>
      </c>
      <c r="Q1641" s="5">
        <v>1.42</v>
      </c>
      <c r="R1641" s="9">
        <v>21.53</v>
      </c>
      <c r="S1641" s="9">
        <v>7.0000000000000007E-2</v>
      </c>
      <c r="T1641" s="9">
        <v>6145.3569299999999</v>
      </c>
      <c r="U1641" s="9">
        <v>5490.01</v>
      </c>
      <c r="V1641" s="45">
        <f t="shared" si="129"/>
        <v>0.1193708080677448</v>
      </c>
      <c r="W1641" s="12">
        <v>13.73</v>
      </c>
      <c r="X1641" s="12">
        <v>2.94</v>
      </c>
      <c r="Y1641" s="12">
        <v>20210623</v>
      </c>
    </row>
    <row r="1642" spans="1:25" x14ac:dyDescent="0.45">
      <c r="A1642" s="3" t="s">
        <v>3877</v>
      </c>
      <c r="B1642" s="3" t="s">
        <v>3878</v>
      </c>
      <c r="C1642" s="6" t="s">
        <v>519</v>
      </c>
      <c r="D1642" s="6" t="s">
        <v>303</v>
      </c>
      <c r="E1642" s="6" t="s">
        <v>245</v>
      </c>
      <c r="F1642" s="6">
        <v>155481.94</v>
      </c>
      <c r="G1642" s="2">
        <v>-0.77</v>
      </c>
      <c r="H1642" s="2">
        <v>-0.19</v>
      </c>
      <c r="I1642" s="2">
        <v>0.9</v>
      </c>
      <c r="J1642" s="47">
        <f t="shared" si="125"/>
        <v>0.75324675324675328</v>
      </c>
      <c r="K1642" s="47">
        <f t="shared" si="126"/>
        <v>5.7368421052631584</v>
      </c>
      <c r="N1642" s="8">
        <v>139.47</v>
      </c>
      <c r="O1642" s="17">
        <f t="shared" si="127"/>
        <v>0</v>
      </c>
      <c r="P1642" s="17">
        <f t="shared" si="128"/>
        <v>0.24311284403669722</v>
      </c>
      <c r="R1642" s="9">
        <v>-13.25</v>
      </c>
      <c r="T1642" s="9">
        <v>18397.324209999999</v>
      </c>
      <c r="U1642" s="9">
        <v>9117.5300000000007</v>
      </c>
      <c r="V1642" s="45">
        <f t="shared" si="129"/>
        <v>1.0177969482963036</v>
      </c>
      <c r="W1642" s="12">
        <v>47.06</v>
      </c>
      <c r="X1642" s="12">
        <v>0</v>
      </c>
      <c r="Y1642" s="12">
        <v>20210820</v>
      </c>
    </row>
    <row r="1643" spans="1:25" x14ac:dyDescent="0.45">
      <c r="A1643" s="3" t="s">
        <v>2860</v>
      </c>
      <c r="B1643" s="3" t="s">
        <v>2861</v>
      </c>
      <c r="C1643" s="6" t="s">
        <v>520</v>
      </c>
      <c r="D1643" s="6" t="s">
        <v>225</v>
      </c>
      <c r="E1643" s="6" t="s">
        <v>186</v>
      </c>
      <c r="F1643" s="6">
        <v>58313.120000000003</v>
      </c>
      <c r="G1643" s="2">
        <v>1.1599999999999999</v>
      </c>
      <c r="H1643" s="2">
        <v>1.35</v>
      </c>
      <c r="I1643" s="2">
        <v>1.54</v>
      </c>
      <c r="J1643" s="47">
        <f t="shared" si="125"/>
        <v>0.16379310344827602</v>
      </c>
      <c r="K1643" s="47">
        <f t="shared" si="126"/>
        <v>0.14074074074074069</v>
      </c>
      <c r="M1643" s="8">
        <v>32.67</v>
      </c>
      <c r="N1643" s="8">
        <v>28.44</v>
      </c>
      <c r="O1643" s="17">
        <f t="shared" si="127"/>
        <v>1.9945894736842087</v>
      </c>
      <c r="P1643" s="17">
        <f t="shared" si="128"/>
        <v>2.0207368421052641</v>
      </c>
      <c r="T1643" s="9">
        <v>10353.900390000001</v>
      </c>
      <c r="U1643" s="9">
        <v>9300.42</v>
      </c>
      <c r="V1643" s="45">
        <f t="shared" si="129"/>
        <v>0.11327234576503004</v>
      </c>
      <c r="X1643" s="12">
        <v>1.1599999999999999</v>
      </c>
    </row>
    <row r="1644" spans="1:25" x14ac:dyDescent="0.45">
      <c r="A1644" s="3" t="s">
        <v>3879</v>
      </c>
      <c r="B1644" s="3" t="s">
        <v>2862</v>
      </c>
      <c r="C1644" s="6" t="s">
        <v>520</v>
      </c>
      <c r="D1644" s="6" t="s">
        <v>225</v>
      </c>
      <c r="E1644" s="6" t="s">
        <v>530</v>
      </c>
      <c r="F1644" s="6">
        <v>34415.72</v>
      </c>
      <c r="G1644" s="2">
        <v>2.65</v>
      </c>
      <c r="H1644" s="2">
        <v>2.37</v>
      </c>
      <c r="I1644" s="2">
        <v>2.86</v>
      </c>
      <c r="J1644" s="47">
        <f t="shared" si="125"/>
        <v>-0.1056603773584905</v>
      </c>
      <c r="K1644" s="47">
        <f t="shared" si="126"/>
        <v>0.20675105485232056</v>
      </c>
      <c r="M1644" s="8">
        <v>41.44</v>
      </c>
      <c r="N1644" s="8">
        <v>34.340000000000003</v>
      </c>
      <c r="O1644" s="17">
        <f t="shared" si="127"/>
        <v>-3.9220000000000019</v>
      </c>
      <c r="P1644" s="17">
        <f t="shared" si="128"/>
        <v>1.6609346938775522</v>
      </c>
      <c r="T1644" s="9">
        <v>7894.6000899999999</v>
      </c>
      <c r="U1644" s="9">
        <v>5668.09</v>
      </c>
      <c r="V1644" s="45">
        <f t="shared" si="129"/>
        <v>0.39281487943910554</v>
      </c>
      <c r="X1644" s="12">
        <v>0</v>
      </c>
      <c r="Y1644" s="12">
        <v>20210615</v>
      </c>
    </row>
    <row r="1645" spans="1:25" x14ac:dyDescent="0.45">
      <c r="A1645" s="3" t="s">
        <v>2863</v>
      </c>
      <c r="B1645" s="3" t="s">
        <v>2864</v>
      </c>
      <c r="C1645" s="6" t="s">
        <v>518</v>
      </c>
      <c r="D1645" s="6" t="s">
        <v>234</v>
      </c>
      <c r="E1645" s="6" t="s">
        <v>286</v>
      </c>
      <c r="F1645" s="6">
        <v>18652.5</v>
      </c>
      <c r="G1645" s="2">
        <v>1.63</v>
      </c>
      <c r="H1645" s="2">
        <v>1.58</v>
      </c>
      <c r="I1645" s="2">
        <v>1.72</v>
      </c>
      <c r="J1645" s="47">
        <f t="shared" si="125"/>
        <v>-3.0674846625766763E-2</v>
      </c>
      <c r="K1645" s="47">
        <f t="shared" si="126"/>
        <v>8.8607594936708792E-2</v>
      </c>
      <c r="L1645" s="8">
        <v>21.5</v>
      </c>
      <c r="M1645" s="8">
        <v>21.85</v>
      </c>
      <c r="N1645" s="8">
        <v>20.170000000000002</v>
      </c>
      <c r="O1645" s="17">
        <f t="shared" si="127"/>
        <v>-7.1231000000000249</v>
      </c>
      <c r="P1645" s="17">
        <f t="shared" si="128"/>
        <v>2.2763285714285733</v>
      </c>
      <c r="Q1645" s="5">
        <v>7.14</v>
      </c>
      <c r="R1645" s="9">
        <v>-1.56</v>
      </c>
      <c r="S1645" s="9">
        <v>-2.65</v>
      </c>
      <c r="T1645" s="9">
        <v>1992.62402</v>
      </c>
      <c r="U1645" s="9">
        <v>1644.88</v>
      </c>
      <c r="V1645" s="45">
        <f t="shared" si="129"/>
        <v>0.21140996303681717</v>
      </c>
      <c r="W1645" s="12">
        <v>2.56</v>
      </c>
      <c r="X1645" s="12">
        <v>3.47</v>
      </c>
      <c r="Y1645" s="12">
        <v>20210803</v>
      </c>
    </row>
    <row r="1646" spans="1:25" x14ac:dyDescent="0.45">
      <c r="A1646" s="3" t="s">
        <v>4303</v>
      </c>
      <c r="B1646" s="3" t="s">
        <v>4304</v>
      </c>
      <c r="C1646" s="6" t="s">
        <v>518</v>
      </c>
      <c r="D1646" s="6" t="s">
        <v>234</v>
      </c>
      <c r="E1646" s="6" t="s">
        <v>286</v>
      </c>
      <c r="F1646" s="6">
        <v>3165.07</v>
      </c>
      <c r="G1646" s="2">
        <v>-1.42</v>
      </c>
      <c r="H1646" s="2">
        <v>-0.71</v>
      </c>
      <c r="I1646" s="2">
        <v>1.07</v>
      </c>
      <c r="J1646" s="47">
        <f t="shared" si="125"/>
        <v>0.5</v>
      </c>
      <c r="K1646" s="47">
        <f t="shared" si="126"/>
        <v>2.507042253521127</v>
      </c>
      <c r="N1646" s="8">
        <v>22.48</v>
      </c>
      <c r="O1646" s="17">
        <f t="shared" si="127"/>
        <v>0</v>
      </c>
      <c r="P1646" s="17">
        <f t="shared" si="128"/>
        <v>8.9667415730337069E-2</v>
      </c>
      <c r="R1646" s="9">
        <v>-16.72</v>
      </c>
      <c r="S1646" s="9">
        <v>-2.42</v>
      </c>
      <c r="T1646" s="9">
        <v>604.32000000000005</v>
      </c>
      <c r="U1646" s="9">
        <v>442.89</v>
      </c>
      <c r="V1646" s="45">
        <f t="shared" si="129"/>
        <v>0.36449231186073305</v>
      </c>
      <c r="W1646" s="12">
        <v>0</v>
      </c>
      <c r="X1646" s="12">
        <v>0.17</v>
      </c>
      <c r="Y1646" s="12">
        <v>20210728</v>
      </c>
    </row>
    <row r="1647" spans="1:25" x14ac:dyDescent="0.45">
      <c r="A1647" s="3" t="s">
        <v>2865</v>
      </c>
      <c r="B1647" s="3" t="s">
        <v>2866</v>
      </c>
      <c r="C1647" s="6" t="s">
        <v>518</v>
      </c>
      <c r="D1647" s="6" t="s">
        <v>327</v>
      </c>
      <c r="E1647" s="6" t="s">
        <v>321</v>
      </c>
      <c r="F1647" s="6">
        <v>30899.97</v>
      </c>
      <c r="G1647" s="2">
        <v>3.44</v>
      </c>
      <c r="H1647" s="2">
        <v>3.47</v>
      </c>
      <c r="I1647" s="2">
        <v>3.46</v>
      </c>
      <c r="J1647" s="47">
        <f t="shared" si="125"/>
        <v>8.7209302325582123E-3</v>
      </c>
      <c r="K1647" s="47">
        <f t="shared" si="126"/>
        <v>-2.8818443804035248E-3</v>
      </c>
      <c r="L1647" s="8">
        <v>16.61</v>
      </c>
      <c r="M1647" s="8">
        <v>17.61</v>
      </c>
      <c r="N1647" s="8">
        <v>17.68</v>
      </c>
      <c r="O1647" s="17">
        <f t="shared" si="127"/>
        <v>20.192799999999831</v>
      </c>
      <c r="P1647" s="17">
        <f t="shared" si="128"/>
        <v>-61.349599999998581</v>
      </c>
      <c r="Q1647" s="5">
        <v>6.11</v>
      </c>
      <c r="R1647" s="9">
        <v>11.77</v>
      </c>
      <c r="S1647" s="9">
        <v>1.8</v>
      </c>
      <c r="T1647" s="9">
        <v>9996.6533199999994</v>
      </c>
      <c r="U1647" s="9">
        <v>9603</v>
      </c>
      <c r="V1647" s="45">
        <f t="shared" si="129"/>
        <v>4.0992743934187177E-2</v>
      </c>
      <c r="W1647" s="12">
        <v>13.27</v>
      </c>
      <c r="X1647" s="12">
        <v>3.34</v>
      </c>
      <c r="Y1647" s="12">
        <v>20210730</v>
      </c>
    </row>
    <row r="1648" spans="1:25" x14ac:dyDescent="0.45">
      <c r="A1648" s="3" t="s">
        <v>2867</v>
      </c>
      <c r="B1648" s="3" t="s">
        <v>2868</v>
      </c>
      <c r="C1648" s="6" t="s">
        <v>519</v>
      </c>
      <c r="D1648" s="6" t="s">
        <v>189</v>
      </c>
      <c r="E1648" s="6" t="s">
        <v>202</v>
      </c>
      <c r="F1648" s="6">
        <v>10342.870000000001</v>
      </c>
      <c r="G1648" s="2">
        <v>-0.28999999999999998</v>
      </c>
      <c r="H1648" s="2">
        <v>0.28000000000000003</v>
      </c>
      <c r="I1648" s="2">
        <v>0.83</v>
      </c>
      <c r="J1648" s="47">
        <f t="shared" si="125"/>
        <v>1.9655172413793107</v>
      </c>
      <c r="K1648" s="47">
        <f t="shared" si="126"/>
        <v>1.964285714285714</v>
      </c>
      <c r="M1648" s="8">
        <v>454.54</v>
      </c>
      <c r="N1648" s="8">
        <v>152.41999999999999</v>
      </c>
      <c r="O1648" s="17">
        <f t="shared" si="127"/>
        <v>2.3125719298245611</v>
      </c>
      <c r="P1648" s="17">
        <f t="shared" si="128"/>
        <v>0.77595636363636378</v>
      </c>
      <c r="R1648" s="9">
        <v>-18.54</v>
      </c>
      <c r="S1648" s="9">
        <v>7.16</v>
      </c>
      <c r="T1648" s="9">
        <v>1226.3000400000001</v>
      </c>
      <c r="U1648" s="9">
        <v>1017.52</v>
      </c>
      <c r="V1648" s="45">
        <f t="shared" si="129"/>
        <v>0.20518519537699514</v>
      </c>
      <c r="W1648" s="12">
        <v>1200</v>
      </c>
      <c r="X1648" s="12">
        <v>0.09</v>
      </c>
      <c r="Y1648" s="12">
        <v>20210727</v>
      </c>
    </row>
    <row r="1649" spans="1:25" x14ac:dyDescent="0.45">
      <c r="A1649" s="3" t="s">
        <v>2869</v>
      </c>
      <c r="B1649" s="3" t="s">
        <v>2870</v>
      </c>
      <c r="C1649" s="6" t="s">
        <v>518</v>
      </c>
      <c r="D1649" s="6" t="s">
        <v>279</v>
      </c>
      <c r="E1649" s="6" t="s">
        <v>262</v>
      </c>
      <c r="F1649" s="6">
        <v>10352.959999999999</v>
      </c>
      <c r="G1649" s="2">
        <v>-0.33</v>
      </c>
      <c r="H1649" s="2">
        <v>0.93</v>
      </c>
      <c r="I1649" s="2">
        <v>1.68</v>
      </c>
      <c r="J1649" s="47">
        <f t="shared" si="125"/>
        <v>3.8181818181818179</v>
      </c>
      <c r="K1649" s="47">
        <f t="shared" si="126"/>
        <v>0.80645161290322565</v>
      </c>
      <c r="L1649" s="8">
        <v>630.62</v>
      </c>
      <c r="M1649" s="8">
        <v>306.79000000000002</v>
      </c>
      <c r="N1649" s="8">
        <v>169.25</v>
      </c>
      <c r="O1649" s="17">
        <f t="shared" si="127"/>
        <v>0.80349761904761907</v>
      </c>
      <c r="P1649" s="17">
        <f t="shared" si="128"/>
        <v>2.0987000000000005</v>
      </c>
      <c r="Q1649" s="5">
        <v>13.29</v>
      </c>
      <c r="R1649" s="9">
        <v>2.69</v>
      </c>
      <c r="S1649" s="9">
        <v>22.94</v>
      </c>
      <c r="T1649" s="9">
        <v>701.76500999999996</v>
      </c>
      <c r="U1649" s="9">
        <v>560.41</v>
      </c>
      <c r="V1649" s="45">
        <f t="shared" si="129"/>
        <v>0.25223498866901017</v>
      </c>
      <c r="W1649" s="12">
        <v>145.44999999999999</v>
      </c>
      <c r="X1649" s="12">
        <v>0</v>
      </c>
      <c r="Y1649" s="12">
        <v>20210802</v>
      </c>
    </row>
    <row r="1650" spans="1:25" x14ac:dyDescent="0.45">
      <c r="A1650" s="3" t="s">
        <v>2871</v>
      </c>
      <c r="B1650" s="3" t="s">
        <v>2872</v>
      </c>
      <c r="C1650" s="6" t="s">
        <v>519</v>
      </c>
      <c r="D1650" s="6" t="s">
        <v>216</v>
      </c>
      <c r="E1650" s="6" t="s">
        <v>228</v>
      </c>
      <c r="F1650" s="6">
        <v>12880.77</v>
      </c>
      <c r="G1650" s="2">
        <v>-4.95</v>
      </c>
      <c r="H1650" s="2">
        <v>2.41</v>
      </c>
      <c r="I1650" s="2">
        <v>2.66</v>
      </c>
      <c r="J1650" s="47">
        <f t="shared" si="125"/>
        <v>1.4868686868686869</v>
      </c>
      <c r="K1650" s="47">
        <f t="shared" si="126"/>
        <v>0.10373443983402489</v>
      </c>
      <c r="M1650" s="8">
        <v>34.18</v>
      </c>
      <c r="N1650" s="8">
        <v>31</v>
      </c>
      <c r="O1650" s="17">
        <f t="shared" si="127"/>
        <v>0.22987907608695654</v>
      </c>
      <c r="P1650" s="17">
        <f t="shared" si="128"/>
        <v>2.9884000000000004</v>
      </c>
      <c r="R1650" s="9">
        <v>1.27</v>
      </c>
      <c r="S1650" s="9">
        <v>9.7799999999999994</v>
      </c>
      <c r="T1650" s="9">
        <v>5382.0961900000002</v>
      </c>
      <c r="U1650" s="9">
        <v>3578.7</v>
      </c>
      <c r="V1650" s="45">
        <f t="shared" si="129"/>
        <v>0.50392494201805138</v>
      </c>
      <c r="W1650" s="12">
        <v>83.33</v>
      </c>
      <c r="X1650" s="12">
        <v>0</v>
      </c>
      <c r="Y1650" s="12">
        <v>20210805</v>
      </c>
    </row>
    <row r="1651" spans="1:25" x14ac:dyDescent="0.45">
      <c r="A1651" s="3" t="s">
        <v>2873</v>
      </c>
      <c r="B1651" s="3" t="s">
        <v>2874</v>
      </c>
      <c r="C1651" s="6" t="s">
        <v>519</v>
      </c>
      <c r="D1651" s="6" t="s">
        <v>225</v>
      </c>
      <c r="E1651" s="6" t="s">
        <v>1091</v>
      </c>
      <c r="F1651" s="6">
        <v>201856.33</v>
      </c>
      <c r="G1651" s="2">
        <v>5.51</v>
      </c>
      <c r="H1651" s="2">
        <v>6.05</v>
      </c>
      <c r="I1651" s="2">
        <v>6.54</v>
      </c>
      <c r="J1651" s="47">
        <f t="shared" si="125"/>
        <v>9.8003629764065348E-2</v>
      </c>
      <c r="K1651" s="47">
        <f t="shared" si="126"/>
        <v>8.0991735537190121E-2</v>
      </c>
      <c r="L1651" s="8">
        <v>25.81</v>
      </c>
      <c r="M1651" s="8">
        <v>24.15</v>
      </c>
      <c r="N1651" s="8">
        <v>22.34</v>
      </c>
      <c r="O1651" s="17">
        <f t="shared" si="127"/>
        <v>2.4641944444444444</v>
      </c>
      <c r="P1651" s="17">
        <f t="shared" si="128"/>
        <v>2.7583061224489782</v>
      </c>
      <c r="Q1651" s="5">
        <v>3.02</v>
      </c>
      <c r="R1651" s="9">
        <v>58.55</v>
      </c>
      <c r="S1651" s="9">
        <v>2.67</v>
      </c>
      <c r="T1651" s="9">
        <v>75220.8125</v>
      </c>
      <c r="U1651" s="9">
        <v>70372</v>
      </c>
      <c r="V1651" s="45">
        <f t="shared" si="129"/>
        <v>6.8902581992838066E-2</v>
      </c>
      <c r="W1651" s="12">
        <v>8.0399999999999991</v>
      </c>
      <c r="X1651" s="12">
        <v>2.94</v>
      </c>
      <c r="Y1651" s="12">
        <v>20210713</v>
      </c>
    </row>
    <row r="1652" spans="1:25" x14ac:dyDescent="0.45">
      <c r="A1652" s="3" t="s">
        <v>2875</v>
      </c>
      <c r="B1652" s="3" t="s">
        <v>2876</v>
      </c>
      <c r="C1652" s="6" t="s">
        <v>518</v>
      </c>
      <c r="D1652" s="6" t="s">
        <v>279</v>
      </c>
      <c r="E1652" s="6" t="s">
        <v>250</v>
      </c>
      <c r="F1652" s="6">
        <v>222844.2</v>
      </c>
      <c r="G1652" s="2">
        <v>2.41</v>
      </c>
      <c r="H1652" s="2">
        <v>3.63</v>
      </c>
      <c r="I1652" s="2">
        <v>3.24</v>
      </c>
      <c r="J1652" s="47">
        <f t="shared" si="125"/>
        <v>0.50622406639004136</v>
      </c>
      <c r="K1652" s="47">
        <f t="shared" si="126"/>
        <v>-0.10743801652892554</v>
      </c>
      <c r="L1652" s="8">
        <v>13.97</v>
      </c>
      <c r="M1652" s="8">
        <v>10.98</v>
      </c>
      <c r="N1652" s="8">
        <v>12.28</v>
      </c>
      <c r="O1652" s="17">
        <f t="shared" si="127"/>
        <v>0.21690000000000006</v>
      </c>
      <c r="P1652" s="17">
        <f t="shared" si="128"/>
        <v>-1.1429846153846162</v>
      </c>
      <c r="Q1652" s="5">
        <v>1.45</v>
      </c>
      <c r="R1652" s="9">
        <v>24.55</v>
      </c>
      <c r="S1652" s="9">
        <v>-1.51</v>
      </c>
      <c r="T1652" s="9">
        <v>70878.953120000006</v>
      </c>
      <c r="U1652" s="9">
        <v>41908</v>
      </c>
      <c r="V1652" s="45">
        <f t="shared" si="129"/>
        <v>0.69129887181445082</v>
      </c>
      <c r="W1652" s="12">
        <v>17.72</v>
      </c>
      <c r="X1652" s="12">
        <v>3.92</v>
      </c>
      <c r="Y1652" s="12">
        <v>20210727</v>
      </c>
    </row>
    <row r="1653" spans="1:25" x14ac:dyDescent="0.45">
      <c r="A1653" s="3" t="s">
        <v>4893</v>
      </c>
      <c r="B1653" s="3" t="s">
        <v>4894</v>
      </c>
      <c r="C1653" s="6" t="s">
        <v>519</v>
      </c>
      <c r="D1653" s="6" t="s">
        <v>234</v>
      </c>
      <c r="E1653" s="6" t="s">
        <v>904</v>
      </c>
      <c r="F1653" s="6">
        <v>19242.21</v>
      </c>
      <c r="J1653" s="47" t="e">
        <f t="shared" si="125"/>
        <v>#DIV/0!</v>
      </c>
      <c r="K1653" s="47" t="e">
        <f t="shared" si="126"/>
        <v>#DIV/0!</v>
      </c>
      <c r="O1653" s="17" t="e">
        <f t="shared" si="127"/>
        <v>#DIV/0!</v>
      </c>
      <c r="P1653" s="17" t="e">
        <f t="shared" si="128"/>
        <v>#DIV/0!</v>
      </c>
      <c r="V1653" s="45" t="e">
        <f t="shared" si="129"/>
        <v>#DIV/0!</v>
      </c>
      <c r="X1653" s="12">
        <v>4.57</v>
      </c>
    </row>
    <row r="1654" spans="1:25" x14ac:dyDescent="0.45">
      <c r="A1654" s="3" t="s">
        <v>2877</v>
      </c>
      <c r="B1654" s="3" t="s">
        <v>2878</v>
      </c>
      <c r="C1654" s="6" t="s">
        <v>519</v>
      </c>
      <c r="D1654" s="6" t="s">
        <v>234</v>
      </c>
      <c r="E1654" s="6" t="s">
        <v>220</v>
      </c>
      <c r="F1654" s="6">
        <v>17702.57</v>
      </c>
      <c r="G1654" s="2">
        <v>4.88</v>
      </c>
      <c r="H1654" s="2">
        <v>6.28</v>
      </c>
      <c r="I1654" s="2">
        <v>6.9</v>
      </c>
      <c r="J1654" s="47">
        <f t="shared" si="125"/>
        <v>0.28688524590163944</v>
      </c>
      <c r="K1654" s="47">
        <f t="shared" si="126"/>
        <v>9.8726114649681548E-2</v>
      </c>
      <c r="L1654" s="8">
        <v>12.23</v>
      </c>
      <c r="M1654" s="8">
        <v>10.37</v>
      </c>
      <c r="N1654" s="8">
        <v>9.44</v>
      </c>
      <c r="O1654" s="17">
        <f t="shared" si="127"/>
        <v>0.36146857142857131</v>
      </c>
      <c r="P1654" s="17">
        <f t="shared" si="128"/>
        <v>0.95618064516128998</v>
      </c>
      <c r="Q1654" s="5">
        <v>0.67</v>
      </c>
      <c r="R1654" s="9">
        <v>9.32</v>
      </c>
      <c r="S1654" s="9">
        <v>5.49</v>
      </c>
      <c r="T1654" s="9">
        <v>13828.679679999999</v>
      </c>
      <c r="U1654" s="9">
        <v>14741.7</v>
      </c>
      <c r="V1654" s="45">
        <f t="shared" si="129"/>
        <v>-6.1934534008967854E-2</v>
      </c>
      <c r="W1654" s="12">
        <v>13.33</v>
      </c>
      <c r="X1654" s="12">
        <v>3.75</v>
      </c>
      <c r="Y1654" s="12">
        <v>20210727</v>
      </c>
    </row>
    <row r="1655" spans="1:25" x14ac:dyDescent="0.45">
      <c r="A1655" s="3" t="s">
        <v>2879</v>
      </c>
      <c r="B1655" s="3" t="s">
        <v>2880</v>
      </c>
      <c r="C1655" s="6" t="s">
        <v>518</v>
      </c>
      <c r="D1655" s="6" t="s">
        <v>303</v>
      </c>
      <c r="E1655" s="6" t="s">
        <v>2543</v>
      </c>
      <c r="F1655" s="6">
        <v>6902.77</v>
      </c>
      <c r="G1655" s="2">
        <v>1.72</v>
      </c>
      <c r="H1655" s="2">
        <v>1.29</v>
      </c>
      <c r="I1655" s="2">
        <v>2.23</v>
      </c>
      <c r="J1655" s="47">
        <f t="shared" si="125"/>
        <v>-0.24999999999999997</v>
      </c>
      <c r="K1655" s="47">
        <f t="shared" si="126"/>
        <v>0.72868217054263562</v>
      </c>
      <c r="M1655" s="8">
        <v>40.1</v>
      </c>
      <c r="N1655" s="8">
        <v>23.1</v>
      </c>
      <c r="O1655" s="17">
        <f t="shared" si="127"/>
        <v>-1.6040000000000003</v>
      </c>
      <c r="P1655" s="17">
        <f t="shared" si="128"/>
        <v>0.31701063829787235</v>
      </c>
      <c r="R1655" s="9">
        <v>-0.19</v>
      </c>
      <c r="S1655" s="9">
        <v>12.69</v>
      </c>
      <c r="T1655" s="9">
        <v>29387.699209999999</v>
      </c>
      <c r="U1655" s="9">
        <v>25086.3</v>
      </c>
      <c r="V1655" s="45">
        <f t="shared" si="129"/>
        <v>0.17146407441511899</v>
      </c>
      <c r="W1655" s="12">
        <v>-32.14</v>
      </c>
      <c r="X1655" s="12">
        <v>0</v>
      </c>
      <c r="Y1655" s="12">
        <v>20210811</v>
      </c>
    </row>
    <row r="1656" spans="1:25" x14ac:dyDescent="0.45">
      <c r="A1656" s="3" t="s">
        <v>2881</v>
      </c>
      <c r="B1656" s="3" t="s">
        <v>2882</v>
      </c>
      <c r="C1656" s="6" t="s">
        <v>519</v>
      </c>
      <c r="D1656" s="6" t="s">
        <v>189</v>
      </c>
      <c r="E1656" s="6" t="s">
        <v>433</v>
      </c>
      <c r="F1656" s="6">
        <v>9973.16</v>
      </c>
      <c r="G1656" s="2">
        <v>1.9</v>
      </c>
      <c r="H1656" s="2">
        <v>2.13</v>
      </c>
      <c r="I1656" s="2">
        <v>2.68</v>
      </c>
      <c r="J1656" s="47">
        <f t="shared" si="125"/>
        <v>0.12105263157894737</v>
      </c>
      <c r="K1656" s="47">
        <f t="shared" si="126"/>
        <v>0.25821596244131467</v>
      </c>
      <c r="L1656" s="8">
        <v>85.22</v>
      </c>
      <c r="M1656" s="8">
        <v>81.81</v>
      </c>
      <c r="N1656" s="8">
        <v>64.87</v>
      </c>
      <c r="O1656" s="17">
        <f t="shared" si="127"/>
        <v>6.7582173913043482</v>
      </c>
      <c r="P1656" s="17">
        <f t="shared" si="128"/>
        <v>2.5122381818181809</v>
      </c>
      <c r="Q1656" s="5">
        <v>3.07</v>
      </c>
      <c r="R1656" s="9">
        <v>-8.7899999999999991</v>
      </c>
      <c r="S1656" s="9">
        <v>30.57</v>
      </c>
      <c r="T1656" s="9">
        <v>1207.8459399999999</v>
      </c>
      <c r="U1656" s="9">
        <v>1050.01</v>
      </c>
      <c r="V1656" s="45">
        <f t="shared" si="129"/>
        <v>0.15031851125227372</v>
      </c>
      <c r="W1656" s="12">
        <v>25.64</v>
      </c>
      <c r="X1656" s="12">
        <v>0</v>
      </c>
      <c r="Y1656" s="12">
        <v>20210729</v>
      </c>
    </row>
    <row r="1657" spans="1:25" x14ac:dyDescent="0.45">
      <c r="A1657" s="3" t="s">
        <v>2883</v>
      </c>
      <c r="B1657" s="3" t="s">
        <v>2884</v>
      </c>
      <c r="C1657" s="6" t="s">
        <v>518</v>
      </c>
      <c r="D1657" s="6" t="s">
        <v>234</v>
      </c>
      <c r="E1657" s="6" t="s">
        <v>1623</v>
      </c>
      <c r="F1657" s="6">
        <v>4107.49</v>
      </c>
      <c r="G1657" s="2">
        <v>21.02</v>
      </c>
      <c r="H1657" s="2">
        <v>16.3</v>
      </c>
      <c r="I1657" s="2">
        <v>11.52</v>
      </c>
      <c r="J1657" s="47">
        <f t="shared" si="125"/>
        <v>-0.22454804947668883</v>
      </c>
      <c r="K1657" s="47">
        <f t="shared" si="126"/>
        <v>-0.29325153374233137</v>
      </c>
      <c r="L1657" s="8">
        <v>2.73</v>
      </c>
      <c r="M1657" s="8">
        <v>3.78</v>
      </c>
      <c r="N1657" s="8">
        <v>5.34</v>
      </c>
      <c r="O1657" s="17">
        <f t="shared" si="127"/>
        <v>-0.16833813559322036</v>
      </c>
      <c r="P1657" s="17">
        <f t="shared" si="128"/>
        <v>-0.18209623430962335</v>
      </c>
      <c r="R1657" s="9">
        <v>55.61</v>
      </c>
      <c r="S1657" s="9">
        <v>35.53</v>
      </c>
      <c r="T1657" s="9">
        <v>3325.8830499999999</v>
      </c>
      <c r="U1657" s="9">
        <v>3705.6</v>
      </c>
      <c r="V1657" s="45">
        <f t="shared" si="129"/>
        <v>-0.102471111291019</v>
      </c>
      <c r="W1657" s="12">
        <v>-11.05</v>
      </c>
      <c r="X1657" s="12">
        <v>1.3</v>
      </c>
      <c r="Y1657" s="12">
        <v>20210805</v>
      </c>
    </row>
    <row r="1658" spans="1:25" x14ac:dyDescent="0.45">
      <c r="A1658" s="3" t="s">
        <v>2885</v>
      </c>
      <c r="B1658" s="3" t="s">
        <v>2886</v>
      </c>
      <c r="C1658" s="6" t="s">
        <v>518</v>
      </c>
      <c r="D1658" s="6" t="s">
        <v>225</v>
      </c>
      <c r="E1658" s="6" t="s">
        <v>1152</v>
      </c>
      <c r="F1658" s="6">
        <v>329997.25</v>
      </c>
      <c r="G1658" s="2">
        <v>4.97</v>
      </c>
      <c r="H1658" s="2">
        <v>5.62</v>
      </c>
      <c r="I1658" s="2">
        <v>5.92</v>
      </c>
      <c r="J1658" s="47">
        <f t="shared" si="125"/>
        <v>0.13078470824949706</v>
      </c>
      <c r="K1658" s="47">
        <f t="shared" si="126"/>
        <v>5.3380782918149433E-2</v>
      </c>
      <c r="L1658" s="8">
        <v>23.69</v>
      </c>
      <c r="M1658" s="8">
        <v>23.97</v>
      </c>
      <c r="N1658" s="8">
        <v>22.77</v>
      </c>
      <c r="O1658" s="17">
        <f t="shared" si="127"/>
        <v>1.8327830769230757</v>
      </c>
      <c r="P1658" s="17">
        <f t="shared" si="128"/>
        <v>4.2655800000000026</v>
      </c>
      <c r="Q1658" s="5">
        <v>3.42</v>
      </c>
      <c r="R1658" s="9">
        <v>31.71</v>
      </c>
      <c r="S1658" s="9">
        <v>2.84</v>
      </c>
      <c r="T1658" s="9">
        <v>75379.039059999996</v>
      </c>
      <c r="U1658" s="9">
        <v>70950</v>
      </c>
      <c r="V1658" s="45">
        <f t="shared" si="129"/>
        <v>6.2424792952783588E-2</v>
      </c>
      <c r="W1658" s="12">
        <v>6.78</v>
      </c>
      <c r="X1658" s="12">
        <v>2.58</v>
      </c>
      <c r="Y1658" s="12">
        <v>20210729</v>
      </c>
    </row>
    <row r="1659" spans="1:25" x14ac:dyDescent="0.45">
      <c r="A1659" s="3" t="s">
        <v>4895</v>
      </c>
      <c r="B1659" s="3" t="s">
        <v>4896</v>
      </c>
      <c r="C1659" s="6" t="s">
        <v>520</v>
      </c>
      <c r="D1659" s="6" t="s">
        <v>216</v>
      </c>
      <c r="E1659" s="6" t="s">
        <v>946</v>
      </c>
      <c r="F1659" s="6">
        <v>3742.18</v>
      </c>
      <c r="J1659" s="47" t="e">
        <f t="shared" si="125"/>
        <v>#DIV/0!</v>
      </c>
      <c r="K1659" s="47" t="e">
        <f t="shared" si="126"/>
        <v>#DIV/0!</v>
      </c>
      <c r="O1659" s="17" t="e">
        <f t="shared" si="127"/>
        <v>#DIV/0!</v>
      </c>
      <c r="P1659" s="17" t="e">
        <f t="shared" si="128"/>
        <v>#DIV/0!</v>
      </c>
      <c r="U1659" s="9">
        <v>950.58</v>
      </c>
      <c r="V1659" s="45">
        <f t="shared" si="129"/>
        <v>-1</v>
      </c>
      <c r="X1659" s="12">
        <v>1.51</v>
      </c>
    </row>
    <row r="1660" spans="1:25" x14ac:dyDescent="0.45">
      <c r="A1660" s="3" t="s">
        <v>2887</v>
      </c>
      <c r="B1660" s="3" t="s">
        <v>2888</v>
      </c>
      <c r="C1660" s="6" t="s">
        <v>519</v>
      </c>
      <c r="D1660" s="6" t="s">
        <v>279</v>
      </c>
      <c r="E1660" s="6" t="s">
        <v>266</v>
      </c>
      <c r="F1660" s="6">
        <v>5570.01</v>
      </c>
      <c r="G1660" s="2">
        <v>0.14000000000000001</v>
      </c>
      <c r="H1660" s="2">
        <v>0.42</v>
      </c>
      <c r="I1660" s="2">
        <v>0.55000000000000004</v>
      </c>
      <c r="J1660" s="47">
        <f t="shared" si="125"/>
        <v>1.9999999999999996</v>
      </c>
      <c r="K1660" s="47">
        <f t="shared" si="126"/>
        <v>0.3095238095238097</v>
      </c>
      <c r="L1660" s="8">
        <v>251.68</v>
      </c>
      <c r="M1660" s="8">
        <v>149.81</v>
      </c>
      <c r="N1660" s="8">
        <v>113.71</v>
      </c>
      <c r="O1660" s="17">
        <f t="shared" si="127"/>
        <v>0.74905000000000022</v>
      </c>
      <c r="P1660" s="17">
        <f t="shared" si="128"/>
        <v>3.6737076923076901</v>
      </c>
      <c r="R1660" s="9">
        <v>17.309999999999999</v>
      </c>
      <c r="T1660" s="9">
        <v>537.32501000000002</v>
      </c>
      <c r="U1660" s="9">
        <v>344.86</v>
      </c>
      <c r="V1660" s="45">
        <f t="shared" si="129"/>
        <v>0.55809606796961087</v>
      </c>
      <c r="W1660" s="12">
        <v>87.5</v>
      </c>
      <c r="X1660" s="12">
        <v>0</v>
      </c>
      <c r="Y1660" s="12">
        <v>20210804</v>
      </c>
    </row>
    <row r="1661" spans="1:25" x14ac:dyDescent="0.45">
      <c r="A1661" s="3" t="s">
        <v>2889</v>
      </c>
      <c r="B1661" s="3" t="s">
        <v>2890</v>
      </c>
      <c r="C1661" s="6" t="s">
        <v>518</v>
      </c>
      <c r="D1661" s="6" t="s">
        <v>234</v>
      </c>
      <c r="E1661" s="6" t="s">
        <v>244</v>
      </c>
      <c r="F1661" s="6">
        <v>55484.23</v>
      </c>
      <c r="G1661" s="2">
        <v>7.41</v>
      </c>
      <c r="H1661" s="2">
        <v>5.83</v>
      </c>
      <c r="I1661" s="2">
        <v>5.96</v>
      </c>
      <c r="J1661" s="47">
        <f t="shared" si="125"/>
        <v>-0.21322537112010798</v>
      </c>
      <c r="K1661" s="47">
        <f t="shared" si="126"/>
        <v>2.2298456260720394E-2</v>
      </c>
      <c r="L1661" s="8">
        <v>13.08</v>
      </c>
      <c r="M1661" s="8">
        <v>16.27</v>
      </c>
      <c r="N1661" s="8">
        <v>15.9</v>
      </c>
      <c r="O1661" s="17">
        <f t="shared" si="127"/>
        <v>-0.76304240506329102</v>
      </c>
      <c r="P1661" s="17">
        <f t="shared" si="128"/>
        <v>7.1305384615384666</v>
      </c>
      <c r="Q1661" s="5">
        <v>2.44</v>
      </c>
      <c r="R1661" s="9">
        <v>25.38</v>
      </c>
      <c r="S1661" s="9">
        <v>16.920000000000002</v>
      </c>
      <c r="T1661" s="9">
        <v>46717.90625</v>
      </c>
      <c r="U1661" s="9">
        <v>42658.1</v>
      </c>
      <c r="V1661" s="45">
        <f t="shared" si="129"/>
        <v>9.5170817500076221E-2</v>
      </c>
      <c r="W1661" s="12">
        <v>-3.37</v>
      </c>
      <c r="X1661" s="12">
        <v>0.42</v>
      </c>
      <c r="Y1661" s="12">
        <v>20210721</v>
      </c>
    </row>
    <row r="1662" spans="1:25" x14ac:dyDescent="0.45">
      <c r="A1662" s="3" t="s">
        <v>4897</v>
      </c>
      <c r="B1662" s="3" t="s">
        <v>4898</v>
      </c>
      <c r="C1662" s="6" t="s">
        <v>518</v>
      </c>
      <c r="D1662" s="6" t="s">
        <v>234</v>
      </c>
      <c r="E1662" s="6" t="s">
        <v>904</v>
      </c>
      <c r="F1662" s="6">
        <v>7150.22</v>
      </c>
      <c r="J1662" s="47" t="e">
        <f t="shared" si="125"/>
        <v>#DIV/0!</v>
      </c>
      <c r="K1662" s="47" t="e">
        <f t="shared" si="126"/>
        <v>#DIV/0!</v>
      </c>
      <c r="O1662" s="17" t="e">
        <f t="shared" si="127"/>
        <v>#DIV/0!</v>
      </c>
      <c r="P1662" s="17" t="e">
        <f t="shared" si="128"/>
        <v>#DIV/0!</v>
      </c>
      <c r="V1662" s="45" t="e">
        <f t="shared" si="129"/>
        <v>#DIV/0!</v>
      </c>
      <c r="X1662" s="12">
        <v>4.9000000000000004</v>
      </c>
    </row>
    <row r="1663" spans="1:25" x14ac:dyDescent="0.45">
      <c r="A1663" s="3" t="s">
        <v>2891</v>
      </c>
      <c r="B1663" s="3" t="s">
        <v>273</v>
      </c>
      <c r="C1663" s="6" t="s">
        <v>518</v>
      </c>
      <c r="D1663" s="6" t="s">
        <v>272</v>
      </c>
      <c r="E1663" s="6" t="s">
        <v>254</v>
      </c>
      <c r="F1663" s="6">
        <v>39413.68</v>
      </c>
      <c r="G1663" s="2">
        <v>9.74</v>
      </c>
      <c r="H1663" s="2">
        <v>14.78</v>
      </c>
      <c r="I1663" s="2">
        <v>16.899999999999999</v>
      </c>
      <c r="J1663" s="47">
        <f t="shared" si="125"/>
        <v>0.51745379876796704</v>
      </c>
      <c r="K1663" s="47">
        <f t="shared" si="126"/>
        <v>0.14343707713125842</v>
      </c>
      <c r="L1663" s="8">
        <v>23.19</v>
      </c>
      <c r="M1663" s="8">
        <v>20.66</v>
      </c>
      <c r="N1663" s="8">
        <v>18.079999999999998</v>
      </c>
      <c r="O1663" s="17">
        <f t="shared" si="127"/>
        <v>0.39926269841269851</v>
      </c>
      <c r="P1663" s="17">
        <f t="shared" si="128"/>
        <v>1.2604830188679248</v>
      </c>
      <c r="Q1663" s="5">
        <v>1.75</v>
      </c>
      <c r="R1663" s="9">
        <v>25.33</v>
      </c>
      <c r="S1663" s="9">
        <v>4.6500000000000004</v>
      </c>
      <c r="T1663" s="9">
        <v>14259.670889999999</v>
      </c>
      <c r="U1663" s="9">
        <v>13695.52</v>
      </c>
      <c r="V1663" s="45">
        <f t="shared" si="129"/>
        <v>4.1192367285068324E-2</v>
      </c>
      <c r="W1663" s="12">
        <v>9.6</v>
      </c>
      <c r="X1663" s="12">
        <v>1.35</v>
      </c>
      <c r="Y1663" s="12">
        <v>20210805</v>
      </c>
    </row>
    <row r="1664" spans="1:25" x14ac:dyDescent="0.45">
      <c r="A1664" s="3" t="s">
        <v>2892</v>
      </c>
      <c r="B1664" s="3" t="s">
        <v>2893</v>
      </c>
      <c r="C1664" s="6" t="s">
        <v>518</v>
      </c>
      <c r="D1664" s="6" t="s">
        <v>279</v>
      </c>
      <c r="E1664" s="6" t="s">
        <v>264</v>
      </c>
      <c r="F1664" s="6">
        <v>51248.36</v>
      </c>
      <c r="G1664" s="2">
        <v>2.4900000000000002</v>
      </c>
      <c r="H1664" s="2">
        <v>2.37</v>
      </c>
      <c r="I1664" s="2">
        <v>2.58</v>
      </c>
      <c r="J1664" s="47">
        <f t="shared" si="125"/>
        <v>-4.8192771084337387E-2</v>
      </c>
      <c r="K1664" s="47">
        <f t="shared" si="126"/>
        <v>8.8607594936708847E-2</v>
      </c>
      <c r="L1664" s="8">
        <v>22.2</v>
      </c>
      <c r="M1664" s="8">
        <v>23.89</v>
      </c>
      <c r="N1664" s="8">
        <v>21.95</v>
      </c>
      <c r="O1664" s="17">
        <f t="shared" si="127"/>
        <v>-4.9571749999999959</v>
      </c>
      <c r="P1664" s="17">
        <f t="shared" si="128"/>
        <v>2.477214285714286</v>
      </c>
      <c r="Q1664" s="5">
        <v>2.06</v>
      </c>
      <c r="R1664" s="9">
        <v>18.12</v>
      </c>
      <c r="S1664" s="9">
        <v>-4.45</v>
      </c>
      <c r="T1664" s="9">
        <v>23219.279289999999</v>
      </c>
      <c r="U1664" s="9">
        <v>22312.94</v>
      </c>
      <c r="V1664" s="45">
        <f t="shared" si="129"/>
        <v>4.0619447280367357E-2</v>
      </c>
      <c r="X1664" s="12">
        <v>1.55</v>
      </c>
      <c r="Y1664" s="12">
        <v>20210719</v>
      </c>
    </row>
    <row r="1665" spans="1:25" x14ac:dyDescent="0.45">
      <c r="A1665" s="3" t="s">
        <v>2894</v>
      </c>
      <c r="B1665" s="3" t="s">
        <v>2895</v>
      </c>
      <c r="C1665" s="6" t="s">
        <v>518</v>
      </c>
      <c r="D1665" s="6" t="s">
        <v>210</v>
      </c>
      <c r="E1665" s="6" t="s">
        <v>1439</v>
      </c>
      <c r="F1665" s="6">
        <v>14684.03</v>
      </c>
      <c r="G1665" s="2">
        <v>4.97</v>
      </c>
      <c r="H1665" s="2">
        <v>7.68</v>
      </c>
      <c r="I1665" s="2">
        <v>8.52</v>
      </c>
      <c r="J1665" s="47">
        <f t="shared" si="125"/>
        <v>0.54527162977867205</v>
      </c>
      <c r="K1665" s="47">
        <f t="shared" si="126"/>
        <v>0.10937499999999999</v>
      </c>
      <c r="L1665" s="8">
        <v>10.62</v>
      </c>
      <c r="M1665" s="8">
        <v>7.28</v>
      </c>
      <c r="N1665" s="8">
        <v>6.56</v>
      </c>
      <c r="O1665" s="17">
        <f t="shared" si="127"/>
        <v>0.13351143911439114</v>
      </c>
      <c r="P1665" s="17">
        <f t="shared" si="128"/>
        <v>0.59977142857142862</v>
      </c>
      <c r="R1665" s="9">
        <v>22.42</v>
      </c>
      <c r="S1665" s="9">
        <v>10.47</v>
      </c>
      <c r="T1665" s="9">
        <v>14900.5</v>
      </c>
      <c r="U1665" s="9">
        <v>11036.08</v>
      </c>
      <c r="V1665" s="45">
        <f t="shared" si="129"/>
        <v>0.35016237649600224</v>
      </c>
      <c r="W1665" s="12">
        <v>7.56</v>
      </c>
      <c r="X1665" s="12">
        <v>1</v>
      </c>
      <c r="Y1665" s="12">
        <v>20210722</v>
      </c>
    </row>
    <row r="1666" spans="1:25" x14ac:dyDescent="0.45">
      <c r="A1666" s="3" t="s">
        <v>2896</v>
      </c>
      <c r="B1666" s="3" t="s">
        <v>2897</v>
      </c>
      <c r="C1666" s="6" t="s">
        <v>518</v>
      </c>
      <c r="D1666" s="6" t="s">
        <v>46</v>
      </c>
      <c r="E1666" s="6" t="s">
        <v>63</v>
      </c>
      <c r="F1666" s="6">
        <v>7581.77</v>
      </c>
      <c r="G1666" s="2">
        <v>7.27</v>
      </c>
      <c r="H1666" s="2">
        <v>9.2100000000000009</v>
      </c>
      <c r="I1666" s="2">
        <v>10.050000000000001</v>
      </c>
      <c r="J1666" s="47">
        <f t="shared" si="125"/>
        <v>0.26685006877579109</v>
      </c>
      <c r="K1666" s="47">
        <f t="shared" si="126"/>
        <v>9.1205211726384336E-2</v>
      </c>
      <c r="L1666" s="8">
        <v>12.65</v>
      </c>
      <c r="M1666" s="8">
        <v>13.44</v>
      </c>
      <c r="N1666" s="8">
        <v>12.31</v>
      </c>
      <c r="O1666" s="17">
        <f t="shared" si="127"/>
        <v>0.50365360824742234</v>
      </c>
      <c r="P1666" s="17">
        <f t="shared" si="128"/>
        <v>1.3497035714285719</v>
      </c>
      <c r="R1666" s="9">
        <v>63.13</v>
      </c>
      <c r="S1666" s="9">
        <v>11.18</v>
      </c>
      <c r="T1666" s="9">
        <v>8406.4140599999992</v>
      </c>
      <c r="U1666" s="9">
        <v>7027.9</v>
      </c>
      <c r="V1666" s="45">
        <f t="shared" si="129"/>
        <v>0.19614878697761773</v>
      </c>
      <c r="W1666" s="12">
        <v>47.44</v>
      </c>
      <c r="X1666" s="12">
        <v>2.04</v>
      </c>
      <c r="Y1666" s="12">
        <v>20210727</v>
      </c>
    </row>
    <row r="1667" spans="1:25" x14ac:dyDescent="0.45">
      <c r="A1667" s="3" t="s">
        <v>2898</v>
      </c>
      <c r="B1667" s="3" t="s">
        <v>2899</v>
      </c>
      <c r="C1667" s="6" t="s">
        <v>519</v>
      </c>
      <c r="D1667" s="6" t="s">
        <v>279</v>
      </c>
      <c r="E1667" s="6" t="s">
        <v>266</v>
      </c>
      <c r="F1667" s="6">
        <v>4116.8100000000004</v>
      </c>
      <c r="G1667" s="2">
        <v>2.76</v>
      </c>
      <c r="H1667" s="2">
        <v>2.46</v>
      </c>
      <c r="I1667" s="2">
        <v>2.4300000000000002</v>
      </c>
      <c r="J1667" s="47">
        <f t="shared" ref="J1667:J1730" si="130">(H1667-G1667)/ABS(G1667)</f>
        <v>-0.10869565217391298</v>
      </c>
      <c r="K1667" s="47">
        <f t="shared" ref="K1667:K1730" si="131">(I1667-H1667)/ABS(H1667)</f>
        <v>-1.2195121951219433E-2</v>
      </c>
      <c r="L1667" s="8">
        <v>13.8</v>
      </c>
      <c r="M1667" s="8">
        <v>13.68</v>
      </c>
      <c r="N1667" s="8">
        <v>13.86</v>
      </c>
      <c r="O1667" s="17">
        <f t="shared" ref="O1667:O1730" si="132">M1667/(J1667*100)</f>
        <v>-1.2585600000000006</v>
      </c>
      <c r="P1667" s="17">
        <f t="shared" ref="P1667:P1730" si="133">N1667/(K1667*100)</f>
        <v>-11.365200000000074</v>
      </c>
      <c r="Q1667" s="5">
        <v>1.79</v>
      </c>
      <c r="R1667" s="9">
        <v>14.46</v>
      </c>
      <c r="S1667" s="9">
        <v>1.83</v>
      </c>
      <c r="T1667" s="9">
        <v>1676.9470200000001</v>
      </c>
      <c r="U1667" s="9">
        <v>1299.5899999999999</v>
      </c>
      <c r="V1667" s="45">
        <f t="shared" ref="V1667:V1730" si="134">(T1667-U1667)/U1667</f>
        <v>0.29036620780399985</v>
      </c>
      <c r="W1667" s="12">
        <v>16.36</v>
      </c>
      <c r="X1667" s="12">
        <v>2.2599999999999998</v>
      </c>
      <c r="Y1667" s="12">
        <v>20210824</v>
      </c>
    </row>
    <row r="1668" spans="1:25" x14ac:dyDescent="0.45">
      <c r="A1668" s="3" t="s">
        <v>2900</v>
      </c>
      <c r="B1668" s="3" t="s">
        <v>2901</v>
      </c>
      <c r="C1668" s="6" t="s">
        <v>518</v>
      </c>
      <c r="D1668" s="6" t="s">
        <v>189</v>
      </c>
      <c r="E1668" s="6" t="s">
        <v>248</v>
      </c>
      <c r="F1668" s="6">
        <v>42109.25</v>
      </c>
      <c r="G1668" s="2">
        <v>0.31</v>
      </c>
      <c r="H1668" s="2">
        <v>0.99</v>
      </c>
      <c r="I1668" s="2">
        <v>1.39</v>
      </c>
      <c r="J1668" s="47">
        <f t="shared" si="130"/>
        <v>2.193548387096774</v>
      </c>
      <c r="K1668" s="47">
        <f t="shared" si="131"/>
        <v>0.40404040404040398</v>
      </c>
      <c r="L1668" s="8">
        <v>110.2</v>
      </c>
      <c r="M1668" s="8">
        <v>66.959999999999994</v>
      </c>
      <c r="N1668" s="8">
        <v>47.57</v>
      </c>
      <c r="O1668" s="17">
        <f t="shared" si="132"/>
        <v>0.30525882352941175</v>
      </c>
      <c r="P1668" s="17">
        <f t="shared" si="133"/>
        <v>1.1773575000000001</v>
      </c>
      <c r="R1668" s="9">
        <v>4.8600000000000003</v>
      </c>
      <c r="T1668" s="9">
        <v>2611.2829499999998</v>
      </c>
      <c r="U1668" s="9">
        <v>1692.66</v>
      </c>
      <c r="V1668" s="45">
        <f t="shared" si="134"/>
        <v>0.5427096699868843</v>
      </c>
      <c r="W1668" s="12">
        <v>57.14</v>
      </c>
      <c r="X1668" s="12">
        <v>0</v>
      </c>
      <c r="Y1668" s="12">
        <v>20210730</v>
      </c>
    </row>
    <row r="1669" spans="1:25" x14ac:dyDescent="0.45">
      <c r="A1669" s="3" t="s">
        <v>2902</v>
      </c>
      <c r="B1669" s="3" t="s">
        <v>2903</v>
      </c>
      <c r="C1669" s="6" t="s">
        <v>518</v>
      </c>
      <c r="D1669" s="6" t="s">
        <v>234</v>
      </c>
      <c r="E1669" s="6" t="s">
        <v>286</v>
      </c>
      <c r="F1669" s="6">
        <v>5051.4399999999996</v>
      </c>
      <c r="G1669" s="2">
        <v>-1.71</v>
      </c>
      <c r="H1669" s="2">
        <v>-0.87</v>
      </c>
      <c r="I1669" s="2">
        <v>1.27</v>
      </c>
      <c r="J1669" s="47">
        <f t="shared" si="130"/>
        <v>0.49122807017543857</v>
      </c>
      <c r="K1669" s="47">
        <f t="shared" si="131"/>
        <v>2.4597701149425291</v>
      </c>
      <c r="N1669" s="8">
        <v>16.82</v>
      </c>
      <c r="O1669" s="17">
        <f t="shared" si="132"/>
        <v>0</v>
      </c>
      <c r="P1669" s="17">
        <f t="shared" si="133"/>
        <v>6.8380373831775698E-2</v>
      </c>
      <c r="R1669" s="9">
        <v>-18.96</v>
      </c>
      <c r="S1669" s="9">
        <v>-21.91</v>
      </c>
      <c r="T1669" s="9">
        <v>1250.22802</v>
      </c>
      <c r="U1669" s="9">
        <v>852</v>
      </c>
      <c r="V1669" s="45">
        <f t="shared" si="134"/>
        <v>0.46740377934272304</v>
      </c>
      <c r="W1669" s="12">
        <v>11.11</v>
      </c>
      <c r="X1669" s="12">
        <v>0</v>
      </c>
      <c r="Y1669" s="12">
        <v>20210804</v>
      </c>
    </row>
    <row r="1670" spans="1:25" x14ac:dyDescent="0.45">
      <c r="A1670" s="3" t="s">
        <v>2904</v>
      </c>
      <c r="B1670" s="3" t="s">
        <v>2905</v>
      </c>
      <c r="C1670" s="6" t="s">
        <v>518</v>
      </c>
      <c r="D1670" s="6" t="s">
        <v>272</v>
      </c>
      <c r="E1670" s="6" t="s">
        <v>207</v>
      </c>
      <c r="F1670" s="6">
        <v>13583.2</v>
      </c>
      <c r="G1670" s="2">
        <v>5.85</v>
      </c>
      <c r="H1670" s="2">
        <v>7.42</v>
      </c>
      <c r="I1670" s="2">
        <v>8.3000000000000007</v>
      </c>
      <c r="J1670" s="47">
        <f t="shared" si="130"/>
        <v>0.26837606837606842</v>
      </c>
      <c r="K1670" s="47">
        <f t="shared" si="131"/>
        <v>0.11859838274932626</v>
      </c>
      <c r="L1670" s="8">
        <v>23.64</v>
      </c>
      <c r="M1670" s="8">
        <v>19.27</v>
      </c>
      <c r="N1670" s="8">
        <v>17.23</v>
      </c>
      <c r="O1670" s="17">
        <f t="shared" si="132"/>
        <v>0.71802229299363041</v>
      </c>
      <c r="P1670" s="17">
        <f t="shared" si="133"/>
        <v>1.4528022727272714</v>
      </c>
      <c r="Q1670" s="5">
        <v>3.86</v>
      </c>
      <c r="R1670" s="9">
        <v>17.850000000000001</v>
      </c>
      <c r="S1670" s="9">
        <v>4.0599999999999996</v>
      </c>
      <c r="T1670" s="9">
        <v>7289.3999000000003</v>
      </c>
      <c r="U1670" s="9">
        <v>6658.2</v>
      </c>
      <c r="V1670" s="45">
        <f t="shared" si="134"/>
        <v>9.4800381484485371E-2</v>
      </c>
      <c r="W1670" s="12">
        <v>20.41</v>
      </c>
      <c r="X1670" s="12">
        <v>2.8</v>
      </c>
      <c r="Y1670" s="12">
        <v>20210727</v>
      </c>
    </row>
    <row r="1671" spans="1:25" x14ac:dyDescent="0.45">
      <c r="A1671" s="3" t="s">
        <v>2906</v>
      </c>
      <c r="B1671" s="3" t="s">
        <v>2907</v>
      </c>
      <c r="C1671" s="6" t="s">
        <v>518</v>
      </c>
      <c r="D1671" s="6" t="s">
        <v>189</v>
      </c>
      <c r="E1671" s="6" t="s">
        <v>237</v>
      </c>
      <c r="F1671" s="6">
        <v>15849.69</v>
      </c>
      <c r="G1671" s="2">
        <v>7.94</v>
      </c>
      <c r="H1671" s="2">
        <v>9.44</v>
      </c>
      <c r="I1671" s="2">
        <v>6.11</v>
      </c>
      <c r="J1671" s="47">
        <f t="shared" si="130"/>
        <v>0.1889168765743072</v>
      </c>
      <c r="K1671" s="47">
        <f t="shared" si="131"/>
        <v>-0.35275423728813554</v>
      </c>
      <c r="L1671" s="8">
        <v>12.47</v>
      </c>
      <c r="M1671" s="8">
        <v>14.99</v>
      </c>
      <c r="N1671" s="8">
        <v>23.13</v>
      </c>
      <c r="O1671" s="17">
        <f t="shared" si="132"/>
        <v>0.79347066666666721</v>
      </c>
      <c r="P1671" s="17">
        <f t="shared" si="133"/>
        <v>-0.65569729729729731</v>
      </c>
      <c r="Q1671" s="5">
        <v>0.4</v>
      </c>
      <c r="R1671" s="9">
        <v>36.6</v>
      </c>
      <c r="S1671" s="9">
        <v>12.51</v>
      </c>
      <c r="T1671" s="9">
        <v>4366.6347599999999</v>
      </c>
      <c r="U1671" s="9">
        <v>3782.75</v>
      </c>
      <c r="V1671" s="45">
        <f t="shared" si="134"/>
        <v>0.1543545727314784</v>
      </c>
      <c r="W1671" s="12">
        <v>22.77</v>
      </c>
      <c r="X1671" s="12">
        <v>0.2</v>
      </c>
      <c r="Y1671" s="12">
        <v>20210727</v>
      </c>
    </row>
    <row r="1672" spans="1:25" x14ac:dyDescent="0.45">
      <c r="A1672" s="3" t="s">
        <v>2908</v>
      </c>
      <c r="B1672" s="3" t="s">
        <v>2909</v>
      </c>
      <c r="C1672" s="6" t="s">
        <v>518</v>
      </c>
      <c r="D1672" s="6" t="s">
        <v>90</v>
      </c>
      <c r="E1672" s="6" t="s">
        <v>304</v>
      </c>
      <c r="F1672" s="6">
        <v>26089.54</v>
      </c>
      <c r="G1672" s="2">
        <v>4.1100000000000003</v>
      </c>
      <c r="H1672" s="2">
        <v>8.9600000000000009</v>
      </c>
      <c r="I1672" s="2">
        <v>9.42</v>
      </c>
      <c r="J1672" s="47">
        <f t="shared" si="130"/>
        <v>1.1800486618004866</v>
      </c>
      <c r="K1672" s="47">
        <f t="shared" si="131"/>
        <v>5.1339285714285608E-2</v>
      </c>
      <c r="L1672" s="8">
        <v>11.88</v>
      </c>
      <c r="M1672" s="8">
        <v>8.35</v>
      </c>
      <c r="N1672" s="8">
        <v>7.94</v>
      </c>
      <c r="O1672" s="17">
        <f t="shared" si="132"/>
        <v>7.0759793814432981E-2</v>
      </c>
      <c r="P1672" s="17">
        <f t="shared" si="133"/>
        <v>1.5465739130434817</v>
      </c>
      <c r="Q1672" s="5">
        <v>1.67</v>
      </c>
      <c r="R1672" s="9">
        <v>4.93</v>
      </c>
      <c r="S1672" s="9">
        <v>-2.61</v>
      </c>
      <c r="U1672" s="9">
        <v>49008.29</v>
      </c>
      <c r="V1672" s="45">
        <f t="shared" si="134"/>
        <v>-1</v>
      </c>
      <c r="X1672" s="12">
        <v>2.98</v>
      </c>
      <c r="Y1672" s="12">
        <v>20210909</v>
      </c>
    </row>
    <row r="1673" spans="1:25" x14ac:dyDescent="0.45">
      <c r="A1673" s="3" t="s">
        <v>2910</v>
      </c>
      <c r="B1673" s="3" t="s">
        <v>2911</v>
      </c>
      <c r="C1673" s="6" t="s">
        <v>518</v>
      </c>
      <c r="D1673" s="6" t="s">
        <v>189</v>
      </c>
      <c r="E1673" s="6" t="s">
        <v>248</v>
      </c>
      <c r="F1673" s="6">
        <v>7164.23</v>
      </c>
      <c r="G1673" s="2">
        <v>-0.3</v>
      </c>
      <c r="H1673" s="2">
        <v>-0.37</v>
      </c>
      <c r="I1673" s="2">
        <v>-0.2</v>
      </c>
      <c r="J1673" s="47">
        <f t="shared" si="130"/>
        <v>-0.23333333333333336</v>
      </c>
      <c r="K1673" s="47">
        <f t="shared" si="131"/>
        <v>0.45945945945945943</v>
      </c>
      <c r="O1673" s="17">
        <f t="shared" si="132"/>
        <v>0</v>
      </c>
      <c r="P1673" s="17">
        <f t="shared" si="133"/>
        <v>0</v>
      </c>
      <c r="R1673" s="9">
        <v>-56.24</v>
      </c>
      <c r="T1673" s="9">
        <v>557.87701000000004</v>
      </c>
      <c r="U1673" s="9">
        <v>447.76</v>
      </c>
      <c r="V1673" s="45">
        <f t="shared" si="134"/>
        <v>0.2459286448097196</v>
      </c>
      <c r="W1673" s="12">
        <v>-11.11</v>
      </c>
      <c r="X1673" s="12">
        <v>0</v>
      </c>
      <c r="Y1673" s="12">
        <v>20210825</v>
      </c>
    </row>
    <row r="1674" spans="1:25" x14ac:dyDescent="0.45">
      <c r="A1674" s="3" t="s">
        <v>2912</v>
      </c>
      <c r="B1674" s="3" t="s">
        <v>2913</v>
      </c>
      <c r="C1674" s="6" t="s">
        <v>518</v>
      </c>
      <c r="D1674" s="6" t="s">
        <v>234</v>
      </c>
      <c r="E1674" s="6" t="s">
        <v>286</v>
      </c>
      <c r="F1674" s="6">
        <v>91443.34</v>
      </c>
      <c r="G1674" s="2">
        <v>3.77</v>
      </c>
      <c r="H1674" s="2">
        <v>4</v>
      </c>
      <c r="I1674" s="2">
        <v>4.4000000000000004</v>
      </c>
      <c r="J1674" s="47">
        <f t="shared" si="130"/>
        <v>6.1007957559681691E-2</v>
      </c>
      <c r="K1674" s="47">
        <f t="shared" si="131"/>
        <v>0.10000000000000009</v>
      </c>
      <c r="L1674" s="8">
        <v>31.45</v>
      </c>
      <c r="M1674" s="8">
        <v>30.91</v>
      </c>
      <c r="N1674" s="8">
        <v>28.11</v>
      </c>
      <c r="O1674" s="17">
        <f t="shared" si="132"/>
        <v>5.0665521739130437</v>
      </c>
      <c r="P1674" s="17">
        <f t="shared" si="133"/>
        <v>2.8109999999999973</v>
      </c>
      <c r="Q1674" s="5">
        <v>4.29</v>
      </c>
      <c r="R1674" s="9">
        <v>3.73</v>
      </c>
      <c r="S1674" s="9">
        <v>13.67</v>
      </c>
      <c r="T1674" s="9">
        <v>4161.2338799999998</v>
      </c>
      <c r="U1674" s="9">
        <v>4438.7299999999996</v>
      </c>
      <c r="V1674" s="45">
        <f t="shared" si="134"/>
        <v>-6.251700824334884E-2</v>
      </c>
      <c r="W1674" s="12">
        <v>3.19</v>
      </c>
      <c r="X1674" s="12">
        <v>2.04</v>
      </c>
      <c r="Y1674" s="12">
        <v>20210720</v>
      </c>
    </row>
    <row r="1675" spans="1:25" x14ac:dyDescent="0.45">
      <c r="A1675" s="3" t="s">
        <v>2914</v>
      </c>
      <c r="B1675" s="3" t="s">
        <v>2915</v>
      </c>
      <c r="C1675" s="6" t="s">
        <v>518</v>
      </c>
      <c r="D1675" s="6" t="s">
        <v>216</v>
      </c>
      <c r="E1675" s="6" t="s">
        <v>1102</v>
      </c>
      <c r="F1675" s="6">
        <v>6597.81</v>
      </c>
      <c r="G1675" s="2">
        <v>0.09</v>
      </c>
      <c r="H1675" s="2">
        <v>0.97</v>
      </c>
      <c r="I1675" s="2">
        <v>1.77</v>
      </c>
      <c r="J1675" s="47">
        <f t="shared" si="130"/>
        <v>9.7777777777777786</v>
      </c>
      <c r="K1675" s="47">
        <f t="shared" si="131"/>
        <v>0.82474226804123718</v>
      </c>
      <c r="M1675" s="8">
        <v>78.48</v>
      </c>
      <c r="N1675" s="8">
        <v>43.05</v>
      </c>
      <c r="O1675" s="17">
        <f t="shared" si="132"/>
        <v>8.026363636363637E-2</v>
      </c>
      <c r="P1675" s="17">
        <f t="shared" si="133"/>
        <v>0.52198124999999995</v>
      </c>
      <c r="Q1675" s="5">
        <v>3.92</v>
      </c>
      <c r="R1675" s="9">
        <v>0</v>
      </c>
      <c r="S1675" s="9">
        <v>8.33</v>
      </c>
      <c r="T1675" s="9">
        <v>533.65899000000002</v>
      </c>
      <c r="U1675" s="9">
        <v>406.62</v>
      </c>
      <c r="V1675" s="45">
        <f t="shared" si="134"/>
        <v>0.31242681127342486</v>
      </c>
      <c r="W1675" s="12">
        <v>-41.18</v>
      </c>
      <c r="X1675" s="12">
        <v>0</v>
      </c>
      <c r="Y1675" s="12">
        <v>20210803</v>
      </c>
    </row>
    <row r="1676" spans="1:25" x14ac:dyDescent="0.45">
      <c r="A1676" s="3" t="s">
        <v>3880</v>
      </c>
      <c r="B1676" s="3" t="s">
        <v>3881</v>
      </c>
      <c r="C1676" s="6" t="s">
        <v>519</v>
      </c>
      <c r="D1676" s="6" t="s">
        <v>216</v>
      </c>
      <c r="E1676" s="6" t="s">
        <v>228</v>
      </c>
      <c r="F1676" s="6">
        <v>10362.99</v>
      </c>
      <c r="G1676" s="2">
        <v>0.19</v>
      </c>
      <c r="H1676" s="2">
        <v>0.87</v>
      </c>
      <c r="I1676" s="2">
        <v>1.22</v>
      </c>
      <c r="J1676" s="47">
        <f t="shared" si="130"/>
        <v>3.5789473684210522</v>
      </c>
      <c r="K1676" s="47">
        <f t="shared" si="131"/>
        <v>0.4022988505747126</v>
      </c>
      <c r="M1676" s="8">
        <v>28.97</v>
      </c>
      <c r="N1676" s="8">
        <v>20.67</v>
      </c>
      <c r="O1676" s="17">
        <f t="shared" si="132"/>
        <v>8.094558823529413E-2</v>
      </c>
      <c r="P1676" s="17">
        <f t="shared" si="133"/>
        <v>0.51379714285714295</v>
      </c>
      <c r="T1676" s="9">
        <v>2588.2419399999999</v>
      </c>
      <c r="U1676" s="9">
        <v>2371.5</v>
      </c>
      <c r="V1676" s="45">
        <f t="shared" si="134"/>
        <v>9.1394450769555088E-2</v>
      </c>
      <c r="W1676" s="12">
        <v>0</v>
      </c>
      <c r="X1676" s="12">
        <v>0</v>
      </c>
      <c r="Y1676" s="12">
        <v>20210810</v>
      </c>
    </row>
    <row r="1677" spans="1:25" x14ac:dyDescent="0.45">
      <c r="A1677" s="3" t="s">
        <v>2916</v>
      </c>
      <c r="B1677" s="3" t="s">
        <v>2917</v>
      </c>
      <c r="C1677" s="6" t="s">
        <v>518</v>
      </c>
      <c r="D1677" s="6" t="s">
        <v>175</v>
      </c>
      <c r="E1677" s="6" t="s">
        <v>305</v>
      </c>
      <c r="F1677" s="6">
        <v>45360.959999999999</v>
      </c>
      <c r="G1677" s="2">
        <v>7.0000000000000007E-2</v>
      </c>
      <c r="H1677" s="2">
        <v>0.14000000000000001</v>
      </c>
      <c r="I1677" s="2">
        <v>0.2</v>
      </c>
      <c r="J1677" s="47">
        <f t="shared" si="130"/>
        <v>1</v>
      </c>
      <c r="K1677" s="47">
        <f t="shared" si="131"/>
        <v>0.42857142857142849</v>
      </c>
      <c r="M1677" s="8">
        <v>172.64</v>
      </c>
      <c r="N1677" s="8">
        <v>117.9</v>
      </c>
      <c r="O1677" s="17">
        <f t="shared" si="132"/>
        <v>1.7263999999999999</v>
      </c>
      <c r="P1677" s="17">
        <f t="shared" si="133"/>
        <v>2.7510000000000008</v>
      </c>
      <c r="T1677" s="9">
        <v>1478</v>
      </c>
      <c r="U1677" s="9">
        <v>1092.67</v>
      </c>
      <c r="V1677" s="45">
        <f t="shared" si="134"/>
        <v>0.35264993090320035</v>
      </c>
      <c r="W1677" s="12">
        <v>0</v>
      </c>
      <c r="X1677" s="12">
        <v>0</v>
      </c>
      <c r="Y1677" s="12">
        <v>20210810</v>
      </c>
    </row>
    <row r="1678" spans="1:25" x14ac:dyDescent="0.45">
      <c r="A1678" s="3" t="s">
        <v>2918</v>
      </c>
      <c r="B1678" s="3" t="s">
        <v>2919</v>
      </c>
      <c r="C1678" s="6" t="s">
        <v>519</v>
      </c>
      <c r="D1678" s="6" t="s">
        <v>272</v>
      </c>
      <c r="E1678" s="6" t="s">
        <v>252</v>
      </c>
      <c r="F1678" s="6">
        <v>18430.54</v>
      </c>
      <c r="G1678" s="2">
        <v>-0.34</v>
      </c>
      <c r="H1678" s="2">
        <v>-0.25</v>
      </c>
      <c r="I1678" s="2">
        <v>-0.15</v>
      </c>
      <c r="J1678" s="47">
        <f t="shared" si="130"/>
        <v>0.26470588235294124</v>
      </c>
      <c r="K1678" s="47">
        <f t="shared" si="131"/>
        <v>0.4</v>
      </c>
      <c r="O1678" s="17">
        <f t="shared" si="132"/>
        <v>0</v>
      </c>
      <c r="P1678" s="17">
        <f t="shared" si="133"/>
        <v>0</v>
      </c>
      <c r="R1678" s="9">
        <v>-17.37</v>
      </c>
      <c r="T1678" s="9">
        <v>459.64801</v>
      </c>
      <c r="U1678" s="9">
        <v>230.24</v>
      </c>
      <c r="V1678" s="45">
        <f t="shared" si="134"/>
        <v>0.99638642286309931</v>
      </c>
      <c r="W1678" s="12">
        <v>37.5</v>
      </c>
      <c r="X1678" s="12">
        <v>0</v>
      </c>
      <c r="Y1678" s="12">
        <v>20210610</v>
      </c>
    </row>
    <row r="1679" spans="1:25" x14ac:dyDescent="0.45">
      <c r="A1679" s="3" t="s">
        <v>2920</v>
      </c>
      <c r="B1679" s="3" t="s">
        <v>2921</v>
      </c>
      <c r="C1679" s="6" t="s">
        <v>518</v>
      </c>
      <c r="D1679" s="6" t="s">
        <v>225</v>
      </c>
      <c r="E1679" s="6" t="s">
        <v>1006</v>
      </c>
      <c r="F1679" s="6">
        <v>150788.45000000001</v>
      </c>
      <c r="G1679" s="2">
        <v>5.14</v>
      </c>
      <c r="H1679" s="2">
        <v>6.08</v>
      </c>
      <c r="I1679" s="2">
        <v>6.69</v>
      </c>
      <c r="J1679" s="47">
        <f t="shared" si="130"/>
        <v>0.18287937743190671</v>
      </c>
      <c r="K1679" s="47">
        <f t="shared" si="131"/>
        <v>0.1003289473684211</v>
      </c>
      <c r="L1679" s="8">
        <v>17.46</v>
      </c>
      <c r="M1679" s="8">
        <v>15.9</v>
      </c>
      <c r="N1679" s="8">
        <v>14.45</v>
      </c>
      <c r="O1679" s="17">
        <f t="shared" si="132"/>
        <v>0.86942553191489313</v>
      </c>
      <c r="P1679" s="17">
        <f t="shared" si="133"/>
        <v>1.4402622950819666</v>
      </c>
      <c r="Q1679" s="5">
        <v>1.83</v>
      </c>
      <c r="R1679" s="9">
        <v>-85.06</v>
      </c>
      <c r="S1679" s="9">
        <v>0.72</v>
      </c>
      <c r="T1679" s="9">
        <v>31316.251950000002</v>
      </c>
      <c r="U1679" s="9">
        <v>76047</v>
      </c>
      <c r="V1679" s="45">
        <f t="shared" si="134"/>
        <v>-0.58819871987060623</v>
      </c>
      <c r="W1679" s="12">
        <v>12.14</v>
      </c>
      <c r="X1679" s="12">
        <v>4.96</v>
      </c>
      <c r="Y1679" s="12">
        <v>20210720</v>
      </c>
    </row>
    <row r="1680" spans="1:25" x14ac:dyDescent="0.45">
      <c r="A1680" s="3" t="s">
        <v>2922</v>
      </c>
      <c r="B1680" s="3" t="s">
        <v>2923</v>
      </c>
      <c r="C1680" s="6" t="s">
        <v>518</v>
      </c>
      <c r="D1680" s="6" t="s">
        <v>234</v>
      </c>
      <c r="E1680" s="6" t="s">
        <v>154</v>
      </c>
      <c r="F1680" s="6">
        <v>81058.720000000001</v>
      </c>
      <c r="G1680" s="2">
        <v>16.399999999999999</v>
      </c>
      <c r="H1680" s="2">
        <v>12.77</v>
      </c>
      <c r="I1680" s="2">
        <v>13.62</v>
      </c>
      <c r="J1680" s="47">
        <f t="shared" si="130"/>
        <v>-0.22134146341463409</v>
      </c>
      <c r="K1680" s="47">
        <f t="shared" si="131"/>
        <v>6.6562255285826127E-2</v>
      </c>
      <c r="L1680" s="8">
        <v>21.56</v>
      </c>
      <c r="M1680" s="8">
        <v>14.94</v>
      </c>
      <c r="N1680" s="8">
        <v>14.01</v>
      </c>
      <c r="O1680" s="17">
        <f t="shared" si="132"/>
        <v>-0.6749752066115704</v>
      </c>
      <c r="P1680" s="17">
        <f t="shared" si="133"/>
        <v>2.1047964705882363</v>
      </c>
      <c r="Q1680" s="5">
        <v>2.13</v>
      </c>
      <c r="R1680" s="9">
        <v>7.54</v>
      </c>
      <c r="S1680" s="9">
        <v>4.76</v>
      </c>
      <c r="T1680" s="9">
        <v>18396.904289999999</v>
      </c>
      <c r="U1680" s="9">
        <v>18262</v>
      </c>
      <c r="V1680" s="45">
        <f t="shared" si="134"/>
        <v>7.3871585806592147E-3</v>
      </c>
      <c r="W1680" s="12">
        <v>49.09</v>
      </c>
      <c r="X1680" s="12">
        <v>2.41</v>
      </c>
      <c r="Y1680" s="12">
        <v>20210721</v>
      </c>
    </row>
    <row r="1681" spans="1:25" x14ac:dyDescent="0.45">
      <c r="A1681" s="3" t="s">
        <v>2924</v>
      </c>
      <c r="B1681" s="3" t="s">
        <v>2925</v>
      </c>
      <c r="C1681" s="6" t="s">
        <v>519</v>
      </c>
      <c r="D1681" s="6" t="s">
        <v>234</v>
      </c>
      <c r="E1681" s="6" t="s">
        <v>172</v>
      </c>
      <c r="F1681" s="6">
        <v>6871.37</v>
      </c>
      <c r="G1681" s="2">
        <v>3.99</v>
      </c>
      <c r="H1681" s="2">
        <v>5.86</v>
      </c>
      <c r="I1681" s="2">
        <v>5.71</v>
      </c>
      <c r="J1681" s="47">
        <f t="shared" si="130"/>
        <v>0.46867167919799496</v>
      </c>
      <c r="K1681" s="47">
        <f t="shared" si="131"/>
        <v>-2.5597269624573437E-2</v>
      </c>
      <c r="L1681" s="8">
        <v>16.329999999999998</v>
      </c>
      <c r="M1681" s="8">
        <v>15.42</v>
      </c>
      <c r="N1681" s="8">
        <v>15.81</v>
      </c>
      <c r="O1681" s="17">
        <f t="shared" si="132"/>
        <v>0.32901497326203211</v>
      </c>
      <c r="P1681" s="17">
        <f t="shared" si="133"/>
        <v>-6.1764399999999862</v>
      </c>
      <c r="R1681" s="9">
        <v>9.19</v>
      </c>
      <c r="S1681" s="9">
        <v>31.19</v>
      </c>
      <c r="T1681" s="9">
        <v>1262.93994</v>
      </c>
      <c r="U1681" s="9">
        <v>1338.88</v>
      </c>
      <c r="V1681" s="45">
        <f t="shared" si="134"/>
        <v>-5.6719093570745789E-2</v>
      </c>
      <c r="W1681" s="12">
        <v>16.670000000000002</v>
      </c>
      <c r="X1681" s="12">
        <v>0.8</v>
      </c>
      <c r="Y1681" s="12">
        <v>20210720</v>
      </c>
    </row>
    <row r="1682" spans="1:25" x14ac:dyDescent="0.45">
      <c r="A1682" s="3" t="s">
        <v>2926</v>
      </c>
      <c r="B1682" s="3" t="s">
        <v>2927</v>
      </c>
      <c r="C1682" s="6" t="s">
        <v>520</v>
      </c>
      <c r="D1682" s="6" t="s">
        <v>234</v>
      </c>
      <c r="E1682" s="6" t="s">
        <v>243</v>
      </c>
      <c r="F1682" s="6">
        <v>192399.52</v>
      </c>
      <c r="G1682" s="2">
        <v>2.42</v>
      </c>
      <c r="H1682" s="2">
        <v>2.6</v>
      </c>
      <c r="I1682" s="2">
        <v>2.93</v>
      </c>
      <c r="J1682" s="47">
        <f t="shared" si="130"/>
        <v>7.438016528925627E-2</v>
      </c>
      <c r="K1682" s="47">
        <f t="shared" si="131"/>
        <v>0.12692307692307694</v>
      </c>
      <c r="L1682" s="8">
        <v>10.96</v>
      </c>
      <c r="M1682" s="8">
        <v>8.1</v>
      </c>
      <c r="N1682" s="8">
        <v>7.18</v>
      </c>
      <c r="O1682" s="17">
        <f t="shared" si="132"/>
        <v>1.0889999999999989</v>
      </c>
      <c r="P1682" s="17">
        <f t="shared" si="133"/>
        <v>0.56569696969696959</v>
      </c>
      <c r="R1682" s="9">
        <v>13.53</v>
      </c>
      <c r="T1682" s="9">
        <v>40020.851560000003</v>
      </c>
      <c r="U1682" s="9">
        <v>184216.3</v>
      </c>
      <c r="V1682" s="45">
        <f t="shared" si="134"/>
        <v>-0.7827507578862456</v>
      </c>
      <c r="X1682" s="12">
        <v>3.49</v>
      </c>
      <c r="Y1682" s="12">
        <v>20210610</v>
      </c>
    </row>
    <row r="1683" spans="1:25" x14ac:dyDescent="0.45">
      <c r="A1683" s="3" t="s">
        <v>2928</v>
      </c>
      <c r="B1683" s="3" t="s">
        <v>2929</v>
      </c>
      <c r="C1683" s="6" t="s">
        <v>518</v>
      </c>
      <c r="D1683" s="6" t="s">
        <v>327</v>
      </c>
      <c r="E1683" s="6" t="s">
        <v>321</v>
      </c>
      <c r="F1683" s="6">
        <v>4202.4799999999996</v>
      </c>
      <c r="G1683" s="2">
        <v>2.27</v>
      </c>
      <c r="H1683" s="2">
        <v>2.31</v>
      </c>
      <c r="I1683" s="2">
        <v>2.54</v>
      </c>
      <c r="J1683" s="47">
        <f t="shared" si="130"/>
        <v>1.7621145374449355E-2</v>
      </c>
      <c r="K1683" s="47">
        <f t="shared" si="131"/>
        <v>9.9567099567099554E-2</v>
      </c>
      <c r="L1683" s="8">
        <v>20.23</v>
      </c>
      <c r="M1683" s="8">
        <v>21.19</v>
      </c>
      <c r="N1683" s="8">
        <v>19.28</v>
      </c>
      <c r="O1683" s="17">
        <f t="shared" si="132"/>
        <v>12.02532499999999</v>
      </c>
      <c r="P1683" s="17">
        <f t="shared" si="133"/>
        <v>1.9363826086956524</v>
      </c>
      <c r="Q1683" s="5">
        <v>4.09</v>
      </c>
      <c r="R1683" s="9">
        <v>10.1</v>
      </c>
      <c r="S1683" s="9">
        <v>3.09</v>
      </c>
      <c r="U1683" s="9">
        <v>1523.01</v>
      </c>
      <c r="V1683" s="45">
        <f t="shared" si="134"/>
        <v>-1</v>
      </c>
      <c r="W1683" s="12">
        <v>8.5299999999999994</v>
      </c>
      <c r="X1683" s="12">
        <v>2.68</v>
      </c>
      <c r="Y1683" s="12">
        <v>20210730</v>
      </c>
    </row>
    <row r="1684" spans="1:25" x14ac:dyDescent="0.45">
      <c r="A1684" s="3" t="s">
        <v>2930</v>
      </c>
      <c r="B1684" s="3" t="s">
        <v>274</v>
      </c>
      <c r="C1684" s="6" t="s">
        <v>518</v>
      </c>
      <c r="D1684" s="6" t="s">
        <v>272</v>
      </c>
      <c r="E1684" s="6" t="s">
        <v>255</v>
      </c>
      <c r="F1684" s="6">
        <v>11501.16</v>
      </c>
      <c r="G1684" s="2">
        <v>2.44</v>
      </c>
      <c r="H1684" s="2">
        <v>3.01</v>
      </c>
      <c r="I1684" s="2">
        <v>3.29</v>
      </c>
      <c r="J1684" s="47">
        <f t="shared" si="130"/>
        <v>0.23360655737704911</v>
      </c>
      <c r="K1684" s="47">
        <f t="shared" si="131"/>
        <v>9.3023255813953584E-2</v>
      </c>
      <c r="L1684" s="8">
        <v>25.35</v>
      </c>
      <c r="M1684" s="8">
        <v>22.98</v>
      </c>
      <c r="N1684" s="8">
        <v>21.06</v>
      </c>
      <c r="O1684" s="17">
        <f t="shared" si="132"/>
        <v>0.98370526315789508</v>
      </c>
      <c r="P1684" s="17">
        <f t="shared" si="133"/>
        <v>2.2639499999999977</v>
      </c>
      <c r="Q1684" s="5">
        <v>2.02</v>
      </c>
      <c r="R1684" s="9">
        <v>22.54</v>
      </c>
      <c r="S1684" s="9">
        <v>-16.940000000000001</v>
      </c>
      <c r="T1684" s="9">
        <v>3344.85302</v>
      </c>
      <c r="U1684" s="9">
        <v>3017.8</v>
      </c>
      <c r="V1684" s="45">
        <f t="shared" si="134"/>
        <v>0.10837465040758162</v>
      </c>
      <c r="W1684" s="12">
        <v>32.79</v>
      </c>
      <c r="X1684" s="12">
        <v>1.1599999999999999</v>
      </c>
      <c r="Y1684" s="12">
        <v>20210722</v>
      </c>
    </row>
    <row r="1685" spans="1:25" x14ac:dyDescent="0.45">
      <c r="A1685" s="3" t="s">
        <v>2931</v>
      </c>
      <c r="B1685" s="3" t="s">
        <v>2932</v>
      </c>
      <c r="C1685" s="6" t="s">
        <v>518</v>
      </c>
      <c r="D1685" s="6" t="s">
        <v>327</v>
      </c>
      <c r="E1685" s="6" t="s">
        <v>321</v>
      </c>
      <c r="F1685" s="6">
        <v>9827.3700000000008</v>
      </c>
      <c r="G1685" s="2">
        <v>5.08</v>
      </c>
      <c r="H1685" s="2">
        <v>4.95</v>
      </c>
      <c r="I1685" s="2">
        <v>5.05</v>
      </c>
      <c r="J1685" s="47">
        <f t="shared" si="130"/>
        <v>-2.5590551181102341E-2</v>
      </c>
      <c r="K1685" s="47">
        <f t="shared" si="131"/>
        <v>2.0202020202020131E-2</v>
      </c>
      <c r="L1685" s="8">
        <v>17.68</v>
      </c>
      <c r="M1685" s="8">
        <v>17.600000000000001</v>
      </c>
      <c r="N1685" s="8">
        <v>17.28</v>
      </c>
      <c r="O1685" s="17">
        <f t="shared" si="132"/>
        <v>-6.8775384615384683</v>
      </c>
      <c r="P1685" s="17">
        <f t="shared" si="133"/>
        <v>8.5536000000000296</v>
      </c>
      <c r="Q1685" s="5">
        <v>4.41</v>
      </c>
      <c r="R1685" s="9">
        <v>9.6199999999999992</v>
      </c>
      <c r="S1685" s="9">
        <v>0.12</v>
      </c>
      <c r="T1685" s="9">
        <v>3689.56005</v>
      </c>
      <c r="U1685" s="9">
        <v>3586.98</v>
      </c>
      <c r="V1685" s="45">
        <f t="shared" si="134"/>
        <v>2.8597887359282748E-2</v>
      </c>
      <c r="W1685" s="12">
        <v>28</v>
      </c>
      <c r="X1685" s="12">
        <v>3.81</v>
      </c>
      <c r="Y1685" s="12">
        <v>20210805</v>
      </c>
    </row>
    <row r="1686" spans="1:25" x14ac:dyDescent="0.45">
      <c r="A1686" s="3" t="s">
        <v>4899</v>
      </c>
      <c r="B1686" s="3" t="s">
        <v>4900</v>
      </c>
      <c r="C1686" s="6" t="s">
        <v>520</v>
      </c>
      <c r="D1686" s="6" t="s">
        <v>46</v>
      </c>
      <c r="E1686" s="6" t="s">
        <v>66</v>
      </c>
      <c r="F1686" s="6">
        <v>36024.19</v>
      </c>
      <c r="J1686" s="47" t="e">
        <f t="shared" si="130"/>
        <v>#DIV/0!</v>
      </c>
      <c r="K1686" s="47" t="e">
        <f t="shared" si="131"/>
        <v>#DIV/0!</v>
      </c>
      <c r="O1686" s="17" t="e">
        <f t="shared" si="132"/>
        <v>#DIV/0!</v>
      </c>
      <c r="P1686" s="17" t="e">
        <f t="shared" si="133"/>
        <v>#DIV/0!</v>
      </c>
      <c r="U1686" s="9">
        <v>122.22</v>
      </c>
      <c r="V1686" s="45">
        <f t="shared" si="134"/>
        <v>-1</v>
      </c>
      <c r="X1686" s="12">
        <v>1.43</v>
      </c>
      <c r="Y1686" s="12">
        <v>20210622</v>
      </c>
    </row>
    <row r="1687" spans="1:25" x14ac:dyDescent="0.45">
      <c r="A1687" s="3" t="s">
        <v>2933</v>
      </c>
      <c r="B1687" s="3" t="s">
        <v>2934</v>
      </c>
      <c r="C1687" s="6" t="s">
        <v>519</v>
      </c>
      <c r="D1687" s="6" t="s">
        <v>279</v>
      </c>
      <c r="E1687" s="6" t="s">
        <v>264</v>
      </c>
      <c r="F1687" s="6">
        <v>18087.41</v>
      </c>
      <c r="G1687" s="2">
        <v>0.32</v>
      </c>
      <c r="H1687" s="2">
        <v>0.71</v>
      </c>
      <c r="I1687" s="2">
        <v>1.52</v>
      </c>
      <c r="J1687" s="47">
        <f t="shared" si="130"/>
        <v>1.2187499999999998</v>
      </c>
      <c r="K1687" s="47">
        <f t="shared" si="131"/>
        <v>1.1408450704225352</v>
      </c>
      <c r="L1687" s="8">
        <v>2099.46</v>
      </c>
      <c r="M1687" s="8">
        <v>385.77</v>
      </c>
      <c r="N1687" s="8">
        <v>179.07</v>
      </c>
      <c r="O1687" s="17">
        <f t="shared" si="132"/>
        <v>3.1652923076923081</v>
      </c>
      <c r="P1687" s="17">
        <f t="shared" si="133"/>
        <v>1.569625925925926</v>
      </c>
      <c r="R1687" s="9">
        <v>1.52</v>
      </c>
      <c r="S1687" s="9">
        <v>24.82</v>
      </c>
      <c r="T1687" s="9">
        <v>1081.09899</v>
      </c>
      <c r="U1687" s="9">
        <v>904.4</v>
      </c>
      <c r="V1687" s="45">
        <f t="shared" si="134"/>
        <v>0.19537703449800972</v>
      </c>
      <c r="W1687" s="12">
        <v>-100</v>
      </c>
      <c r="X1687" s="12">
        <v>0</v>
      </c>
      <c r="Y1687" s="12">
        <v>20210805</v>
      </c>
    </row>
    <row r="1688" spans="1:25" x14ac:dyDescent="0.45">
      <c r="A1688" s="3" t="s">
        <v>2935</v>
      </c>
      <c r="B1688" s="3" t="s">
        <v>2936</v>
      </c>
      <c r="C1688" s="6" t="s">
        <v>519</v>
      </c>
      <c r="D1688" s="6" t="s">
        <v>216</v>
      </c>
      <c r="E1688" s="6" t="s">
        <v>251</v>
      </c>
      <c r="F1688" s="6">
        <v>17401.78</v>
      </c>
      <c r="G1688" s="2">
        <v>8.43</v>
      </c>
      <c r="H1688" s="2">
        <v>12.28</v>
      </c>
      <c r="I1688" s="2">
        <v>12.65</v>
      </c>
      <c r="J1688" s="47">
        <f t="shared" si="130"/>
        <v>0.45670225385527874</v>
      </c>
      <c r="K1688" s="47">
        <f t="shared" si="131"/>
        <v>3.0130293159609203E-2</v>
      </c>
      <c r="L1688" s="8">
        <v>41.49</v>
      </c>
      <c r="M1688" s="8">
        <v>35.299999999999997</v>
      </c>
      <c r="N1688" s="8">
        <v>34.270000000000003</v>
      </c>
      <c r="O1688" s="17">
        <f t="shared" si="132"/>
        <v>0.77293246753246758</v>
      </c>
      <c r="P1688" s="17">
        <f t="shared" si="133"/>
        <v>11.373935135135104</v>
      </c>
      <c r="R1688" s="9">
        <v>71.77</v>
      </c>
      <c r="S1688" s="9">
        <v>10.1</v>
      </c>
      <c r="T1688" s="9">
        <v>4914.9057599999996</v>
      </c>
      <c r="U1688" s="9">
        <v>3936.62</v>
      </c>
      <c r="V1688" s="45">
        <f t="shared" si="134"/>
        <v>0.24850906615319734</v>
      </c>
      <c r="W1688" s="12">
        <v>101.67</v>
      </c>
      <c r="X1688" s="12">
        <v>0.74</v>
      </c>
      <c r="Y1688" s="12">
        <v>20210722</v>
      </c>
    </row>
    <row r="1689" spans="1:25" x14ac:dyDescent="0.45">
      <c r="A1689" s="3" t="s">
        <v>2937</v>
      </c>
      <c r="B1689" s="3" t="s">
        <v>2938</v>
      </c>
      <c r="C1689" s="6" t="s">
        <v>518</v>
      </c>
      <c r="D1689" s="6" t="s">
        <v>327</v>
      </c>
      <c r="E1689" s="6" t="s">
        <v>321</v>
      </c>
      <c r="F1689" s="6">
        <v>4445.34</v>
      </c>
      <c r="G1689" s="2">
        <v>1.58</v>
      </c>
      <c r="H1689" s="2">
        <v>2.66</v>
      </c>
      <c r="I1689" s="2">
        <v>2.79</v>
      </c>
      <c r="J1689" s="47">
        <f t="shared" si="130"/>
        <v>0.68354430379746833</v>
      </c>
      <c r="K1689" s="47">
        <f t="shared" si="131"/>
        <v>4.8872180451127775E-2</v>
      </c>
      <c r="L1689" s="8">
        <v>16.7</v>
      </c>
      <c r="M1689" s="8">
        <v>18.63</v>
      </c>
      <c r="N1689" s="8">
        <v>17.760000000000002</v>
      </c>
      <c r="O1689" s="17">
        <f t="shared" si="132"/>
        <v>0.27255000000000001</v>
      </c>
      <c r="P1689" s="17">
        <f t="shared" si="133"/>
        <v>3.6339692307692344</v>
      </c>
      <c r="Q1689" s="5">
        <v>2.17</v>
      </c>
      <c r="R1689" s="9">
        <v>10.14</v>
      </c>
      <c r="S1689" s="9">
        <v>2.85</v>
      </c>
      <c r="T1689" s="9">
        <v>2214.6000899999999</v>
      </c>
      <c r="U1689" s="9">
        <v>2145</v>
      </c>
      <c r="V1689" s="45">
        <f t="shared" si="134"/>
        <v>3.244759440559436E-2</v>
      </c>
      <c r="W1689" s="12">
        <v>17.579999999999998</v>
      </c>
      <c r="X1689" s="12">
        <v>3.29</v>
      </c>
      <c r="Y1689" s="12">
        <v>20210730</v>
      </c>
    </row>
    <row r="1690" spans="1:25" x14ac:dyDescent="0.45">
      <c r="A1690" s="3" t="s">
        <v>2939</v>
      </c>
      <c r="B1690" s="3" t="s">
        <v>2940</v>
      </c>
      <c r="C1690" s="6" t="s">
        <v>520</v>
      </c>
      <c r="D1690" s="6" t="s">
        <v>225</v>
      </c>
      <c r="E1690" s="6" t="s">
        <v>1269</v>
      </c>
      <c r="F1690" s="6">
        <v>4397.8500000000004</v>
      </c>
      <c r="G1690" s="2">
        <v>0.06</v>
      </c>
      <c r="H1690" s="2">
        <v>0.5</v>
      </c>
      <c r="I1690" s="2">
        <v>0.7</v>
      </c>
      <c r="J1690" s="47">
        <f t="shared" si="130"/>
        <v>7.3333333333333339</v>
      </c>
      <c r="K1690" s="47">
        <f t="shared" si="131"/>
        <v>0.39999999999999991</v>
      </c>
      <c r="L1690" s="8">
        <v>52.32</v>
      </c>
      <c r="M1690" s="8">
        <v>39.369999999999997</v>
      </c>
      <c r="N1690" s="8">
        <v>28.4</v>
      </c>
      <c r="O1690" s="17">
        <f t="shared" si="132"/>
        <v>5.3686363636363629E-2</v>
      </c>
      <c r="P1690" s="17">
        <f t="shared" si="133"/>
        <v>0.71000000000000008</v>
      </c>
      <c r="R1690" s="9">
        <v>5.08</v>
      </c>
      <c r="T1690" s="9">
        <v>1765.82104</v>
      </c>
      <c r="U1690" s="9">
        <v>2017.99</v>
      </c>
      <c r="V1690" s="45">
        <f t="shared" si="134"/>
        <v>-0.12496046065639571</v>
      </c>
      <c r="X1690" s="12">
        <v>0</v>
      </c>
      <c r="Y1690" s="12">
        <v>20210615</v>
      </c>
    </row>
    <row r="1691" spans="1:25" x14ac:dyDescent="0.45">
      <c r="A1691" s="3" t="s">
        <v>3882</v>
      </c>
      <c r="B1691" s="3" t="s">
        <v>3883</v>
      </c>
      <c r="C1691" s="6" t="s">
        <v>519</v>
      </c>
      <c r="D1691" s="6" t="s">
        <v>303</v>
      </c>
      <c r="E1691" s="6" t="s">
        <v>245</v>
      </c>
      <c r="F1691" s="6">
        <v>3508.54</v>
      </c>
      <c r="G1691" s="2">
        <v>0.91</v>
      </c>
      <c r="H1691" s="2">
        <v>-1.49</v>
      </c>
      <c r="I1691" s="2">
        <v>-0.14000000000000001</v>
      </c>
      <c r="J1691" s="47">
        <f t="shared" si="130"/>
        <v>-2.6373626373626373</v>
      </c>
      <c r="K1691" s="47">
        <f t="shared" si="131"/>
        <v>0.90604026845637586</v>
      </c>
      <c r="O1691" s="17">
        <f t="shared" si="132"/>
        <v>0</v>
      </c>
      <c r="P1691" s="17">
        <f t="shared" si="133"/>
        <v>0</v>
      </c>
      <c r="T1691" s="9">
        <v>327.47798999999998</v>
      </c>
      <c r="U1691" s="9">
        <v>262.08</v>
      </c>
      <c r="V1691" s="45">
        <f t="shared" si="134"/>
        <v>0.24953445512820513</v>
      </c>
      <c r="W1691" s="12">
        <v>19.510000000000002</v>
      </c>
      <c r="X1691" s="12">
        <v>0</v>
      </c>
      <c r="Y1691" s="12">
        <v>20210811</v>
      </c>
    </row>
    <row r="1692" spans="1:25" x14ac:dyDescent="0.45">
      <c r="A1692" s="3" t="s">
        <v>2941</v>
      </c>
      <c r="B1692" s="3" t="s">
        <v>2942</v>
      </c>
      <c r="C1692" s="6" t="s">
        <v>518</v>
      </c>
      <c r="D1692" s="6" t="s">
        <v>225</v>
      </c>
      <c r="E1692" s="6" t="s">
        <v>226</v>
      </c>
      <c r="F1692" s="6">
        <v>7235.35</v>
      </c>
      <c r="G1692" s="2">
        <v>2.89</v>
      </c>
      <c r="H1692" s="2">
        <v>3.07</v>
      </c>
      <c r="I1692" s="2">
        <v>4.93</v>
      </c>
      <c r="J1692" s="47">
        <f t="shared" si="130"/>
        <v>6.2283737024221353E-2</v>
      </c>
      <c r="K1692" s="47">
        <f t="shared" si="131"/>
        <v>0.60586319218241036</v>
      </c>
      <c r="L1692" s="8">
        <v>48.59</v>
      </c>
      <c r="M1692" s="8">
        <v>37.04</v>
      </c>
      <c r="N1692" s="8">
        <v>23.08</v>
      </c>
      <c r="O1692" s="17">
        <f t="shared" si="132"/>
        <v>5.9469777777777875</v>
      </c>
      <c r="P1692" s="17">
        <f t="shared" si="133"/>
        <v>0.38094408602150537</v>
      </c>
      <c r="R1692" s="9">
        <v>5.52</v>
      </c>
      <c r="S1692" s="9">
        <v>3.3</v>
      </c>
      <c r="T1692" s="9">
        <v>6033.5249000000003</v>
      </c>
      <c r="U1692" s="9">
        <v>5698.7</v>
      </c>
      <c r="V1692" s="45">
        <f t="shared" si="134"/>
        <v>5.8754610700686216E-2</v>
      </c>
      <c r="W1692" s="12">
        <v>-47.27</v>
      </c>
      <c r="X1692" s="12">
        <v>0</v>
      </c>
      <c r="Y1692" s="12">
        <v>20210805</v>
      </c>
    </row>
    <row r="1693" spans="1:25" x14ac:dyDescent="0.45">
      <c r="A1693" s="3" t="s">
        <v>2943</v>
      </c>
      <c r="B1693" s="3" t="s">
        <v>2944</v>
      </c>
      <c r="C1693" s="6" t="s">
        <v>519</v>
      </c>
      <c r="D1693" s="6" t="s">
        <v>189</v>
      </c>
      <c r="E1693" s="6" t="s">
        <v>2945</v>
      </c>
      <c r="F1693" s="6">
        <v>4821.4799999999996</v>
      </c>
      <c r="G1693" s="2">
        <v>1.54</v>
      </c>
      <c r="H1693" s="2">
        <v>2.63</v>
      </c>
      <c r="I1693" s="2">
        <v>2.57</v>
      </c>
      <c r="J1693" s="47">
        <f t="shared" si="130"/>
        <v>0.70779220779220764</v>
      </c>
      <c r="K1693" s="47">
        <f t="shared" si="131"/>
        <v>-2.2813688212927778E-2</v>
      </c>
      <c r="L1693" s="8">
        <v>32.85</v>
      </c>
      <c r="M1693" s="8">
        <v>30.28</v>
      </c>
      <c r="N1693" s="8">
        <v>30.9</v>
      </c>
      <c r="O1693" s="17">
        <f t="shared" si="132"/>
        <v>0.42780917431192672</v>
      </c>
      <c r="P1693" s="17">
        <f t="shared" si="133"/>
        <v>-13.544499999999987</v>
      </c>
      <c r="R1693" s="9">
        <v>12.28</v>
      </c>
      <c r="S1693" s="9">
        <v>4.79</v>
      </c>
      <c r="T1693" s="9">
        <v>669.38298999999995</v>
      </c>
      <c r="U1693" s="9">
        <v>488.32</v>
      </c>
      <c r="V1693" s="45">
        <f t="shared" si="134"/>
        <v>0.37078757781782429</v>
      </c>
      <c r="W1693" s="12">
        <v>38.18</v>
      </c>
      <c r="X1693" s="12">
        <v>0.65</v>
      </c>
      <c r="Y1693" s="12">
        <v>20210729</v>
      </c>
    </row>
    <row r="1694" spans="1:25" x14ac:dyDescent="0.45">
      <c r="A1694" s="3" t="s">
        <v>2946</v>
      </c>
      <c r="B1694" s="3" t="s">
        <v>2947</v>
      </c>
      <c r="C1694" s="6" t="s">
        <v>519</v>
      </c>
      <c r="D1694" s="6" t="s">
        <v>234</v>
      </c>
      <c r="E1694" s="6" t="s">
        <v>1140</v>
      </c>
      <c r="F1694" s="6">
        <v>4399.37</v>
      </c>
      <c r="G1694" s="2">
        <v>0.57999999999999996</v>
      </c>
      <c r="H1694" s="2">
        <v>2.78</v>
      </c>
      <c r="I1694" s="2">
        <v>2.75</v>
      </c>
      <c r="J1694" s="47">
        <f t="shared" si="130"/>
        <v>3.7931034482758617</v>
      </c>
      <c r="K1694" s="47">
        <f t="shared" si="131"/>
        <v>-1.0791366906474751E-2</v>
      </c>
      <c r="L1694" s="8">
        <v>63.67</v>
      </c>
      <c r="M1694" s="8">
        <v>16.72</v>
      </c>
      <c r="N1694" s="8">
        <v>16.920000000000002</v>
      </c>
      <c r="O1694" s="17">
        <f t="shared" si="132"/>
        <v>4.4080000000000001E-2</v>
      </c>
      <c r="P1694" s="17">
        <f t="shared" si="133"/>
        <v>-15.679200000000103</v>
      </c>
      <c r="R1694" s="9">
        <v>7.45</v>
      </c>
      <c r="S1694" s="9">
        <v>39.71</v>
      </c>
      <c r="T1694" s="9">
        <v>730.70001000000002</v>
      </c>
      <c r="U1694" s="9">
        <v>702.05</v>
      </c>
      <c r="V1694" s="45">
        <f t="shared" si="134"/>
        <v>4.0809073427818629E-2</v>
      </c>
      <c r="W1694" s="12">
        <v>14.29</v>
      </c>
      <c r="X1694" s="12">
        <v>2.84</v>
      </c>
      <c r="Y1694" s="12">
        <v>20210726</v>
      </c>
    </row>
    <row r="1695" spans="1:25" x14ac:dyDescent="0.45">
      <c r="A1695" s="3" t="s">
        <v>2948</v>
      </c>
      <c r="B1695" s="3" t="s">
        <v>2949</v>
      </c>
      <c r="C1695" s="6" t="s">
        <v>519</v>
      </c>
      <c r="D1695" s="6" t="s">
        <v>225</v>
      </c>
      <c r="E1695" s="6" t="s">
        <v>1039</v>
      </c>
      <c r="F1695" s="6">
        <v>5606.76</v>
      </c>
      <c r="G1695" s="2">
        <v>1.0900000000000001</v>
      </c>
      <c r="H1695" s="2">
        <v>2.02</v>
      </c>
      <c r="I1695" s="2">
        <v>2.1800000000000002</v>
      </c>
      <c r="J1695" s="47">
        <f t="shared" si="130"/>
        <v>0.85321100917431181</v>
      </c>
      <c r="K1695" s="47">
        <f t="shared" si="131"/>
        <v>7.9207920792079278E-2</v>
      </c>
      <c r="L1695" s="8">
        <v>17.3</v>
      </c>
      <c r="M1695" s="8">
        <v>11.42</v>
      </c>
      <c r="N1695" s="8">
        <v>10.53</v>
      </c>
      <c r="O1695" s="17">
        <f t="shared" si="132"/>
        <v>0.13384731182795701</v>
      </c>
      <c r="P1695" s="17">
        <f t="shared" si="133"/>
        <v>1.3294124999999988</v>
      </c>
      <c r="Q1695" s="5">
        <v>0.42</v>
      </c>
      <c r="R1695" s="9">
        <v>12.83</v>
      </c>
      <c r="S1695" s="9">
        <v>10.55</v>
      </c>
      <c r="U1695" s="9">
        <v>12091.9</v>
      </c>
      <c r="V1695" s="45">
        <f t="shared" si="134"/>
        <v>-1</v>
      </c>
      <c r="W1695" s="12">
        <v>55.56</v>
      </c>
      <c r="X1695" s="12">
        <v>0</v>
      </c>
      <c r="Y1695" s="12">
        <v>20210804</v>
      </c>
    </row>
    <row r="1696" spans="1:25" x14ac:dyDescent="0.45">
      <c r="A1696" s="3" t="s">
        <v>2950</v>
      </c>
      <c r="B1696" s="3" t="s">
        <v>2951</v>
      </c>
      <c r="C1696" s="6" t="s">
        <v>519</v>
      </c>
      <c r="D1696" s="6" t="s">
        <v>279</v>
      </c>
      <c r="E1696" s="6" t="s">
        <v>266</v>
      </c>
      <c r="F1696" s="6">
        <v>16320.41</v>
      </c>
      <c r="G1696" s="2">
        <v>1.1399999999999999</v>
      </c>
      <c r="H1696" s="2">
        <v>1.48</v>
      </c>
      <c r="I1696" s="2">
        <v>1.72</v>
      </c>
      <c r="J1696" s="47">
        <f t="shared" si="130"/>
        <v>0.29824561403508781</v>
      </c>
      <c r="K1696" s="47">
        <f t="shared" si="131"/>
        <v>0.16216216216216217</v>
      </c>
      <c r="L1696" s="8">
        <v>36.049999999999997</v>
      </c>
      <c r="M1696" s="8">
        <v>31.38</v>
      </c>
      <c r="N1696" s="8">
        <v>27.01</v>
      </c>
      <c r="O1696" s="17">
        <f t="shared" si="132"/>
        <v>1.0521529411764703</v>
      </c>
      <c r="P1696" s="17">
        <f t="shared" si="133"/>
        <v>1.6656166666666665</v>
      </c>
      <c r="Q1696" s="5">
        <v>2.06</v>
      </c>
      <c r="R1696" s="9">
        <v>-29.55</v>
      </c>
      <c r="T1696" s="9">
        <v>5435.5678699999999</v>
      </c>
      <c r="U1696" s="9">
        <v>4681.47</v>
      </c>
      <c r="V1696" s="45">
        <f t="shared" si="134"/>
        <v>0.16108142741489309</v>
      </c>
      <c r="W1696" s="12">
        <v>12.9</v>
      </c>
      <c r="X1696" s="12">
        <v>0</v>
      </c>
      <c r="Y1696" s="12">
        <v>20210803</v>
      </c>
    </row>
    <row r="1697" spans="1:25" x14ac:dyDescent="0.45">
      <c r="A1697" s="3" t="s">
        <v>4901</v>
      </c>
      <c r="B1697" s="3" t="s">
        <v>4902</v>
      </c>
      <c r="C1697" s="6" t="s">
        <v>520</v>
      </c>
      <c r="D1697" s="6" t="s">
        <v>234</v>
      </c>
      <c r="E1697" s="6" t="s">
        <v>105</v>
      </c>
      <c r="F1697" s="6">
        <v>19949.97</v>
      </c>
      <c r="J1697" s="47" t="e">
        <f t="shared" si="130"/>
        <v>#DIV/0!</v>
      </c>
      <c r="K1697" s="47" t="e">
        <f t="shared" si="131"/>
        <v>#DIV/0!</v>
      </c>
      <c r="O1697" s="17" t="e">
        <f t="shared" si="132"/>
        <v>#DIV/0!</v>
      </c>
      <c r="P1697" s="17" t="e">
        <f t="shared" si="133"/>
        <v>#DIV/0!</v>
      </c>
      <c r="U1697" s="9">
        <v>6626.61</v>
      </c>
      <c r="V1697" s="45">
        <f t="shared" si="134"/>
        <v>-1</v>
      </c>
      <c r="X1697" s="12">
        <v>2.48</v>
      </c>
    </row>
    <row r="1698" spans="1:25" x14ac:dyDescent="0.45">
      <c r="A1698" s="3" t="s">
        <v>2952</v>
      </c>
      <c r="B1698" s="3" t="s">
        <v>2953</v>
      </c>
      <c r="C1698" s="6" t="s">
        <v>518</v>
      </c>
      <c r="D1698" s="6" t="s">
        <v>90</v>
      </c>
      <c r="E1698" s="6" t="s">
        <v>196</v>
      </c>
      <c r="F1698" s="6">
        <v>41991.22</v>
      </c>
      <c r="G1698" s="2">
        <v>5.67</v>
      </c>
      <c r="H1698" s="2">
        <v>8.19</v>
      </c>
      <c r="I1698" s="2">
        <v>8.9700000000000006</v>
      </c>
      <c r="J1698" s="47">
        <f t="shared" si="130"/>
        <v>0.44444444444444436</v>
      </c>
      <c r="K1698" s="47">
        <f t="shared" si="131"/>
        <v>9.5238095238095385E-2</v>
      </c>
      <c r="L1698" s="8">
        <v>27.72</v>
      </c>
      <c r="M1698" s="8">
        <v>21.62</v>
      </c>
      <c r="N1698" s="8">
        <v>19.75</v>
      </c>
      <c r="O1698" s="17">
        <f t="shared" si="132"/>
        <v>0.4864500000000001</v>
      </c>
      <c r="P1698" s="17">
        <f t="shared" si="133"/>
        <v>2.0737499999999969</v>
      </c>
      <c r="Q1698" s="5">
        <v>1.18</v>
      </c>
      <c r="R1698" s="9">
        <v>27.47</v>
      </c>
      <c r="S1698" s="9">
        <v>-1.35</v>
      </c>
      <c r="T1698" s="9">
        <v>16735.457030000001</v>
      </c>
      <c r="U1698" s="9">
        <v>13834</v>
      </c>
      <c r="V1698" s="45">
        <f t="shared" si="134"/>
        <v>0.20973377403498636</v>
      </c>
      <c r="W1698" s="12">
        <v>18.989999999999998</v>
      </c>
      <c r="X1698" s="12">
        <v>1.22</v>
      </c>
      <c r="Y1698" s="12">
        <v>20210715</v>
      </c>
    </row>
    <row r="1699" spans="1:25" x14ac:dyDescent="0.45">
      <c r="A1699" s="3" t="s">
        <v>3884</v>
      </c>
      <c r="B1699" s="3" t="s">
        <v>3885</v>
      </c>
      <c r="C1699" s="6" t="s">
        <v>518</v>
      </c>
      <c r="D1699" s="6" t="s">
        <v>327</v>
      </c>
      <c r="E1699" s="6" t="s">
        <v>321</v>
      </c>
      <c r="F1699" s="6">
        <v>22305.71</v>
      </c>
      <c r="G1699" s="2">
        <v>2.42</v>
      </c>
      <c r="H1699" s="2">
        <v>1.93</v>
      </c>
      <c r="I1699" s="2">
        <v>2.02</v>
      </c>
      <c r="J1699" s="47">
        <f t="shared" si="130"/>
        <v>-0.2024793388429752</v>
      </c>
      <c r="K1699" s="47">
        <f t="shared" si="131"/>
        <v>4.6632124352331647E-2</v>
      </c>
      <c r="L1699" s="8">
        <v>14.49</v>
      </c>
      <c r="M1699" s="8">
        <v>15.05</v>
      </c>
      <c r="N1699" s="8">
        <v>14.33</v>
      </c>
      <c r="O1699" s="17">
        <f t="shared" si="132"/>
        <v>-0.74328571428571433</v>
      </c>
      <c r="P1699" s="17">
        <f t="shared" si="133"/>
        <v>3.0729888888888861</v>
      </c>
      <c r="R1699" s="9">
        <v>12.02</v>
      </c>
      <c r="S1699" s="9">
        <v>-1.23</v>
      </c>
      <c r="T1699" s="9">
        <v>7385.9247999999998</v>
      </c>
      <c r="U1699" s="9">
        <v>7607</v>
      </c>
      <c r="V1699" s="45">
        <f t="shared" si="134"/>
        <v>-2.9062074405153179E-2</v>
      </c>
      <c r="W1699" s="12">
        <v>-60.56</v>
      </c>
      <c r="X1699" s="12">
        <v>5.73</v>
      </c>
      <c r="Y1699" s="12">
        <v>20210809</v>
      </c>
    </row>
    <row r="1700" spans="1:25" x14ac:dyDescent="0.45">
      <c r="A1700" s="3" t="s">
        <v>2954</v>
      </c>
      <c r="B1700" s="3" t="s">
        <v>2955</v>
      </c>
      <c r="C1700" s="6" t="s">
        <v>520</v>
      </c>
      <c r="D1700" s="6" t="s">
        <v>303</v>
      </c>
      <c r="E1700" s="6" t="s">
        <v>290</v>
      </c>
      <c r="F1700" s="6">
        <v>113503.77</v>
      </c>
      <c r="G1700" s="2">
        <v>1.77</v>
      </c>
      <c r="H1700" s="2">
        <v>2.88</v>
      </c>
      <c r="I1700" s="2">
        <v>3.56</v>
      </c>
      <c r="J1700" s="47">
        <f t="shared" si="130"/>
        <v>0.62711864406779649</v>
      </c>
      <c r="K1700" s="47">
        <f t="shared" si="131"/>
        <v>0.23611111111111119</v>
      </c>
      <c r="M1700" s="8">
        <v>31.58</v>
      </c>
      <c r="N1700" s="8">
        <v>25.54</v>
      </c>
      <c r="O1700" s="17">
        <f t="shared" si="132"/>
        <v>0.5035729729729731</v>
      </c>
      <c r="P1700" s="17">
        <f t="shared" si="133"/>
        <v>1.0816941176470585</v>
      </c>
      <c r="T1700" s="9">
        <v>19868.779289999999</v>
      </c>
      <c r="U1700" s="9">
        <v>14963.09</v>
      </c>
      <c r="V1700" s="45">
        <f t="shared" si="134"/>
        <v>0.32785268884969604</v>
      </c>
      <c r="X1700" s="12">
        <v>1.1100000000000001</v>
      </c>
    </row>
    <row r="1701" spans="1:25" x14ac:dyDescent="0.45">
      <c r="A1701" s="3" t="s">
        <v>2956</v>
      </c>
      <c r="B1701" s="3" t="s">
        <v>2957</v>
      </c>
      <c r="C1701" s="6" t="s">
        <v>519</v>
      </c>
      <c r="D1701" s="6" t="s">
        <v>279</v>
      </c>
      <c r="E1701" s="6" t="s">
        <v>266</v>
      </c>
      <c r="F1701" s="6">
        <v>11013.92</v>
      </c>
      <c r="G1701" s="2">
        <v>4.67</v>
      </c>
      <c r="H1701" s="2">
        <v>6.07</v>
      </c>
      <c r="I1701" s="2">
        <v>7.01</v>
      </c>
      <c r="J1701" s="47">
        <f t="shared" si="130"/>
        <v>0.29978586723768746</v>
      </c>
      <c r="K1701" s="47">
        <f t="shared" si="131"/>
        <v>0.15485996705107075</v>
      </c>
      <c r="L1701" s="8">
        <v>33.590000000000003</v>
      </c>
      <c r="M1701" s="8">
        <v>28.03</v>
      </c>
      <c r="N1701" s="8">
        <v>24.24</v>
      </c>
      <c r="O1701" s="17">
        <f t="shared" si="132"/>
        <v>0.93500071428571407</v>
      </c>
      <c r="P1701" s="17">
        <f t="shared" si="133"/>
        <v>1.5652851063829796</v>
      </c>
      <c r="R1701" s="9">
        <v>20.49</v>
      </c>
      <c r="S1701" s="9">
        <v>16.39</v>
      </c>
      <c r="T1701" s="9">
        <v>3746.1440400000001</v>
      </c>
      <c r="U1701" s="9">
        <v>3183.36</v>
      </c>
      <c r="V1701" s="45">
        <f t="shared" si="134"/>
        <v>0.17678931694813027</v>
      </c>
      <c r="W1701" s="12">
        <v>0.75</v>
      </c>
      <c r="X1701" s="12">
        <v>0</v>
      </c>
      <c r="Y1701" s="12">
        <v>20210805</v>
      </c>
    </row>
    <row r="1702" spans="1:25" x14ac:dyDescent="0.45">
      <c r="A1702" s="3" t="s">
        <v>4305</v>
      </c>
      <c r="B1702" s="3" t="s">
        <v>2958</v>
      </c>
      <c r="C1702" s="6" t="s">
        <v>518</v>
      </c>
      <c r="D1702" s="6" t="s">
        <v>234</v>
      </c>
      <c r="E1702" s="6" t="s">
        <v>218</v>
      </c>
      <c r="F1702" s="6">
        <v>3768.89</v>
      </c>
      <c r="G1702" s="2">
        <v>3.27</v>
      </c>
      <c r="H1702" s="2">
        <v>3.94</v>
      </c>
      <c r="I1702" s="2">
        <v>4.42</v>
      </c>
      <c r="J1702" s="47">
        <f t="shared" si="130"/>
        <v>0.20489296636085624</v>
      </c>
      <c r="K1702" s="47">
        <f t="shared" si="131"/>
        <v>0.12182741116751268</v>
      </c>
      <c r="L1702" s="8">
        <v>10.87</v>
      </c>
      <c r="M1702" s="8">
        <v>14.2</v>
      </c>
      <c r="N1702" s="8">
        <v>12.67</v>
      </c>
      <c r="O1702" s="17">
        <f t="shared" si="132"/>
        <v>0.69304477611940307</v>
      </c>
      <c r="P1702" s="17">
        <f t="shared" si="133"/>
        <v>1.0399958333333335</v>
      </c>
      <c r="Q1702" s="5">
        <v>0.66</v>
      </c>
      <c r="R1702" s="9">
        <v>27.12</v>
      </c>
      <c r="S1702" s="9">
        <v>5.22</v>
      </c>
      <c r="T1702" s="9">
        <v>2752.0480899999998</v>
      </c>
      <c r="U1702" s="9">
        <v>2484.59</v>
      </c>
      <c r="V1702" s="45">
        <f t="shared" si="134"/>
        <v>0.10764677069456112</v>
      </c>
      <c r="W1702" s="12">
        <v>34.07</v>
      </c>
      <c r="X1702" s="12">
        <v>0.22</v>
      </c>
      <c r="Y1702" s="12">
        <v>20210804</v>
      </c>
    </row>
    <row r="1703" spans="1:25" x14ac:dyDescent="0.45">
      <c r="A1703" s="3" t="s">
        <v>2959</v>
      </c>
      <c r="B1703" s="3" t="s">
        <v>2960</v>
      </c>
      <c r="C1703" s="6" t="s">
        <v>518</v>
      </c>
      <c r="D1703" s="6" t="s">
        <v>279</v>
      </c>
      <c r="E1703" s="6" t="s">
        <v>264</v>
      </c>
      <c r="F1703" s="6">
        <v>6286.15</v>
      </c>
      <c r="G1703" s="2">
        <v>4.1100000000000003</v>
      </c>
      <c r="H1703" s="2">
        <v>2.6</v>
      </c>
      <c r="I1703" s="2">
        <v>2.88</v>
      </c>
      <c r="J1703" s="47">
        <f t="shared" si="130"/>
        <v>-0.36739659367396599</v>
      </c>
      <c r="K1703" s="47">
        <f t="shared" si="131"/>
        <v>0.10769230769230762</v>
      </c>
      <c r="L1703" s="8">
        <v>13.89</v>
      </c>
      <c r="M1703" s="8">
        <v>18.079999999999998</v>
      </c>
      <c r="N1703" s="8">
        <v>16.329999999999998</v>
      </c>
      <c r="O1703" s="17">
        <f t="shared" si="132"/>
        <v>-0.49211125827814561</v>
      </c>
      <c r="P1703" s="17">
        <f t="shared" si="133"/>
        <v>1.5163571428571438</v>
      </c>
      <c r="R1703" s="9">
        <v>8.06</v>
      </c>
      <c r="S1703" s="9">
        <v>-2.5299999999999998</v>
      </c>
      <c r="T1703" s="9">
        <v>4221.2680600000003</v>
      </c>
      <c r="U1703" s="9">
        <v>5063.3</v>
      </c>
      <c r="V1703" s="45">
        <f t="shared" si="134"/>
        <v>-0.16630101712321999</v>
      </c>
      <c r="W1703" s="12">
        <v>-10.71</v>
      </c>
      <c r="X1703" s="12">
        <v>2.04</v>
      </c>
      <c r="Y1703" s="12">
        <v>20210804</v>
      </c>
    </row>
    <row r="1704" spans="1:25" x14ac:dyDescent="0.45">
      <c r="A1704" s="3" t="s">
        <v>2961</v>
      </c>
      <c r="B1704" s="3" t="s">
        <v>2962</v>
      </c>
      <c r="C1704" s="6" t="s">
        <v>518</v>
      </c>
      <c r="D1704" s="6" t="s">
        <v>234</v>
      </c>
      <c r="E1704" s="6" t="s">
        <v>241</v>
      </c>
      <c r="F1704" s="6">
        <v>6430.36</v>
      </c>
      <c r="G1704" s="2">
        <v>9.75</v>
      </c>
      <c r="H1704" s="2">
        <v>11.13</v>
      </c>
      <c r="I1704" s="2">
        <v>12.37</v>
      </c>
      <c r="J1704" s="47">
        <f t="shared" si="130"/>
        <v>0.14153846153846161</v>
      </c>
      <c r="K1704" s="47">
        <f t="shared" si="131"/>
        <v>0.11141060197663956</v>
      </c>
      <c r="L1704" s="8">
        <v>16.13</v>
      </c>
      <c r="M1704" s="8">
        <v>14.65</v>
      </c>
      <c r="N1704" s="8">
        <v>13.19</v>
      </c>
      <c r="O1704" s="17">
        <f t="shared" si="132"/>
        <v>1.0350543478260865</v>
      </c>
      <c r="P1704" s="17">
        <f t="shared" si="133"/>
        <v>1.1839088709677434</v>
      </c>
      <c r="R1704" s="9">
        <v>22.82</v>
      </c>
      <c r="S1704" s="9">
        <v>10.09</v>
      </c>
      <c r="T1704" s="9">
        <v>2538.4599600000001</v>
      </c>
      <c r="U1704" s="9">
        <v>2217.54</v>
      </c>
      <c r="V1704" s="45">
        <f t="shared" si="134"/>
        <v>0.14471890473227098</v>
      </c>
      <c r="W1704" s="12">
        <v>2.52</v>
      </c>
      <c r="X1704" s="12">
        <v>1.1499999999999999</v>
      </c>
      <c r="Y1704" s="12">
        <v>20210804</v>
      </c>
    </row>
    <row r="1705" spans="1:25" x14ac:dyDescent="0.45">
      <c r="A1705" s="3" t="s">
        <v>4903</v>
      </c>
      <c r="B1705" s="3" t="s">
        <v>4904</v>
      </c>
      <c r="C1705" s="6" t="s">
        <v>520</v>
      </c>
      <c r="D1705" s="6" t="s">
        <v>303</v>
      </c>
      <c r="E1705" s="6" t="s">
        <v>245</v>
      </c>
      <c r="F1705" s="6">
        <v>167945.09</v>
      </c>
      <c r="J1705" s="47" t="e">
        <f t="shared" si="130"/>
        <v>#DIV/0!</v>
      </c>
      <c r="K1705" s="47" t="e">
        <f t="shared" si="131"/>
        <v>#DIV/0!</v>
      </c>
      <c r="O1705" s="17" t="e">
        <f t="shared" si="132"/>
        <v>#DIV/0!</v>
      </c>
      <c r="P1705" s="17" t="e">
        <f t="shared" si="133"/>
        <v>#DIV/0!</v>
      </c>
      <c r="V1705" s="45" t="e">
        <f t="shared" si="134"/>
        <v>#DIV/0!</v>
      </c>
      <c r="X1705" s="12">
        <v>0.09</v>
      </c>
    </row>
    <row r="1706" spans="1:25" x14ac:dyDescent="0.45">
      <c r="A1706" s="3" t="s">
        <v>2963</v>
      </c>
      <c r="B1706" s="3" t="s">
        <v>2964</v>
      </c>
      <c r="C1706" s="6" t="s">
        <v>518</v>
      </c>
      <c r="D1706" s="6" t="s">
        <v>234</v>
      </c>
      <c r="E1706" s="6" t="s">
        <v>243</v>
      </c>
      <c r="F1706" s="6">
        <v>41799.46</v>
      </c>
      <c r="G1706" s="2">
        <v>9.85</v>
      </c>
      <c r="H1706" s="2">
        <v>13.12</v>
      </c>
      <c r="I1706" s="2">
        <v>13.06</v>
      </c>
      <c r="J1706" s="47">
        <f t="shared" si="130"/>
        <v>0.33197969543147204</v>
      </c>
      <c r="K1706" s="47">
        <f t="shared" si="131"/>
        <v>-4.5731707317072197E-3</v>
      </c>
      <c r="L1706" s="8">
        <v>8.77</v>
      </c>
      <c r="M1706" s="8">
        <v>8.09</v>
      </c>
      <c r="N1706" s="8">
        <v>8.1199999999999992</v>
      </c>
      <c r="O1706" s="17">
        <f t="shared" si="132"/>
        <v>0.24368960244648322</v>
      </c>
      <c r="P1706" s="17">
        <f t="shared" si="133"/>
        <v>-17.755733333333712</v>
      </c>
      <c r="Q1706" s="5">
        <v>0.77</v>
      </c>
      <c r="R1706" s="9">
        <v>7.56</v>
      </c>
      <c r="S1706" s="9">
        <v>0.09</v>
      </c>
      <c r="T1706" s="9">
        <v>56319.941400000003</v>
      </c>
      <c r="U1706" s="9">
        <v>54149</v>
      </c>
      <c r="V1706" s="45">
        <f t="shared" si="134"/>
        <v>4.009199431199105E-2</v>
      </c>
      <c r="W1706" s="12">
        <v>53.36</v>
      </c>
      <c r="X1706" s="12">
        <v>4.34</v>
      </c>
      <c r="Y1706" s="12">
        <v>20210803</v>
      </c>
    </row>
    <row r="1707" spans="1:25" x14ac:dyDescent="0.45">
      <c r="A1707" s="3" t="s">
        <v>4306</v>
      </c>
      <c r="B1707" s="3" t="s">
        <v>4307</v>
      </c>
      <c r="C1707" s="6" t="s">
        <v>519</v>
      </c>
      <c r="D1707" s="6" t="s">
        <v>279</v>
      </c>
      <c r="E1707" s="6" t="s">
        <v>265</v>
      </c>
      <c r="F1707" s="6">
        <v>4184.6899999999996</v>
      </c>
      <c r="H1707" s="2">
        <v>-1.07</v>
      </c>
      <c r="I1707" s="2">
        <v>0.2</v>
      </c>
      <c r="J1707" s="47" t="e">
        <f t="shared" si="130"/>
        <v>#DIV/0!</v>
      </c>
      <c r="K1707" s="47">
        <f t="shared" si="131"/>
        <v>1.1869158878504673</v>
      </c>
      <c r="N1707" s="8">
        <v>201.25</v>
      </c>
      <c r="O1707" s="17" t="e">
        <f t="shared" si="132"/>
        <v>#DIV/0!</v>
      </c>
      <c r="P1707" s="17">
        <f t="shared" si="133"/>
        <v>1.6955708661417321</v>
      </c>
      <c r="T1707" s="9">
        <v>873.07299</v>
      </c>
      <c r="V1707" s="45" t="e">
        <f t="shared" si="134"/>
        <v>#DIV/0!</v>
      </c>
      <c r="W1707" s="12">
        <v>20</v>
      </c>
      <c r="X1707" s="12">
        <v>0</v>
      </c>
      <c r="Y1707" s="12">
        <v>20210826</v>
      </c>
    </row>
    <row r="1708" spans="1:25" x14ac:dyDescent="0.45">
      <c r="A1708" s="3" t="s">
        <v>2965</v>
      </c>
      <c r="B1708" s="3" t="s">
        <v>2966</v>
      </c>
      <c r="C1708" s="6" t="s">
        <v>518</v>
      </c>
      <c r="D1708" s="6" t="s">
        <v>234</v>
      </c>
      <c r="E1708" s="6" t="s">
        <v>286</v>
      </c>
      <c r="F1708" s="6">
        <v>51415.58</v>
      </c>
      <c r="G1708" s="2">
        <v>10.51</v>
      </c>
      <c r="H1708" s="2">
        <v>11.65</v>
      </c>
      <c r="I1708" s="2">
        <v>12.31</v>
      </c>
      <c r="J1708" s="47">
        <f t="shared" si="130"/>
        <v>0.1084681255946718</v>
      </c>
      <c r="K1708" s="47">
        <f t="shared" si="131"/>
        <v>5.6652360515021469E-2</v>
      </c>
      <c r="L1708" s="8">
        <v>27.11</v>
      </c>
      <c r="M1708" s="8">
        <v>25.22</v>
      </c>
      <c r="N1708" s="8">
        <v>23.87</v>
      </c>
      <c r="O1708" s="17">
        <f t="shared" si="132"/>
        <v>2.3251070175438584</v>
      </c>
      <c r="P1708" s="17">
        <f t="shared" si="133"/>
        <v>4.2134166666666664</v>
      </c>
      <c r="Q1708" s="5">
        <v>4.2</v>
      </c>
      <c r="R1708" s="9">
        <v>27.74</v>
      </c>
      <c r="S1708" s="9">
        <v>3.41</v>
      </c>
      <c r="T1708" s="9">
        <v>3133.3769499999999</v>
      </c>
      <c r="U1708" s="9">
        <v>2915.07</v>
      </c>
      <c r="V1708" s="45">
        <f t="shared" si="134"/>
        <v>7.4889093572366935E-2</v>
      </c>
      <c r="W1708" s="12">
        <v>4.4400000000000004</v>
      </c>
      <c r="X1708" s="12">
        <v>2.72</v>
      </c>
      <c r="Y1708" s="12">
        <v>20210804</v>
      </c>
    </row>
    <row r="1709" spans="1:25" x14ac:dyDescent="0.45">
      <c r="A1709" s="3" t="s">
        <v>2967</v>
      </c>
      <c r="B1709" s="3" t="s">
        <v>2968</v>
      </c>
      <c r="C1709" s="6" t="s">
        <v>518</v>
      </c>
      <c r="D1709" s="6" t="s">
        <v>234</v>
      </c>
      <c r="E1709" s="6" t="s">
        <v>286</v>
      </c>
      <c r="F1709" s="6">
        <v>4401.0600000000004</v>
      </c>
      <c r="G1709" s="2">
        <v>6.53</v>
      </c>
      <c r="H1709" s="2">
        <v>6.86</v>
      </c>
      <c r="I1709" s="2">
        <v>7.23</v>
      </c>
      <c r="J1709" s="47">
        <f t="shared" si="130"/>
        <v>5.0535987748851464E-2</v>
      </c>
      <c r="K1709" s="47">
        <f t="shared" si="131"/>
        <v>5.3935860058309054E-2</v>
      </c>
      <c r="L1709" s="8">
        <v>24.48</v>
      </c>
      <c r="M1709" s="8">
        <v>23.29</v>
      </c>
      <c r="N1709" s="8">
        <v>22.11</v>
      </c>
      <c r="O1709" s="17">
        <f t="shared" si="132"/>
        <v>4.6085969696969684</v>
      </c>
      <c r="P1709" s="17">
        <f t="shared" si="133"/>
        <v>4.0993135135135121</v>
      </c>
      <c r="R1709" s="9">
        <v>15.51</v>
      </c>
      <c r="S1709" s="9">
        <v>2.2599999999999998</v>
      </c>
      <c r="T1709" s="9">
        <v>433.98000999999999</v>
      </c>
      <c r="U1709" s="9">
        <v>415.62</v>
      </c>
      <c r="V1709" s="45">
        <f t="shared" si="134"/>
        <v>4.417499157884603E-2</v>
      </c>
      <c r="W1709" s="12">
        <v>0</v>
      </c>
      <c r="X1709" s="12">
        <v>2.63</v>
      </c>
      <c r="Y1709" s="12">
        <v>20210803</v>
      </c>
    </row>
    <row r="1710" spans="1:25" x14ac:dyDescent="0.45">
      <c r="A1710" s="3" t="s">
        <v>4308</v>
      </c>
      <c r="B1710" s="3" t="s">
        <v>4309</v>
      </c>
      <c r="C1710" s="6" t="s">
        <v>519</v>
      </c>
      <c r="D1710" s="6" t="s">
        <v>234</v>
      </c>
      <c r="E1710" s="6" t="s">
        <v>220</v>
      </c>
      <c r="F1710" s="6">
        <v>3563.5</v>
      </c>
      <c r="G1710" s="2">
        <v>0.72</v>
      </c>
      <c r="H1710" s="2">
        <v>0.75</v>
      </c>
      <c r="I1710" s="2">
        <v>0.77</v>
      </c>
      <c r="J1710" s="47">
        <f t="shared" si="130"/>
        <v>4.1666666666666706E-2</v>
      </c>
      <c r="K1710" s="47">
        <f t="shared" si="131"/>
        <v>2.6666666666666689E-2</v>
      </c>
      <c r="L1710" s="8">
        <v>12.94</v>
      </c>
      <c r="M1710" s="8">
        <v>12.25</v>
      </c>
      <c r="N1710" s="8">
        <v>11.94</v>
      </c>
      <c r="O1710" s="17">
        <f t="shared" si="132"/>
        <v>2.9399999999999973</v>
      </c>
      <c r="P1710" s="17">
        <f t="shared" si="133"/>
        <v>4.4774999999999965</v>
      </c>
      <c r="R1710" s="9">
        <v>8.39</v>
      </c>
      <c r="S1710" s="9">
        <v>-4.1100000000000003</v>
      </c>
      <c r="T1710" s="9">
        <v>639.65997000000004</v>
      </c>
      <c r="U1710" s="9">
        <v>623.53</v>
      </c>
      <c r="V1710" s="45">
        <f t="shared" si="134"/>
        <v>2.5868795406796902E-2</v>
      </c>
      <c r="W1710" s="12">
        <v>0</v>
      </c>
      <c r="X1710" s="12">
        <v>7.83</v>
      </c>
      <c r="Y1710" s="12">
        <v>20210825</v>
      </c>
    </row>
    <row r="1711" spans="1:25" x14ac:dyDescent="0.45">
      <c r="A1711" s="3" t="s">
        <v>4905</v>
      </c>
      <c r="B1711" s="3" t="s">
        <v>4906</v>
      </c>
      <c r="C1711" s="6" t="s">
        <v>520</v>
      </c>
      <c r="D1711" s="6" t="s">
        <v>234</v>
      </c>
      <c r="E1711" s="6" t="s">
        <v>904</v>
      </c>
      <c r="F1711" s="6">
        <v>8406.34</v>
      </c>
      <c r="J1711" s="47" t="e">
        <f t="shared" si="130"/>
        <v>#DIV/0!</v>
      </c>
      <c r="K1711" s="47" t="e">
        <f t="shared" si="131"/>
        <v>#DIV/0!</v>
      </c>
      <c r="O1711" s="17" t="e">
        <f t="shared" si="132"/>
        <v>#DIV/0!</v>
      </c>
      <c r="P1711" s="17" t="e">
        <f t="shared" si="133"/>
        <v>#DIV/0!</v>
      </c>
      <c r="U1711" s="9">
        <v>87.18</v>
      </c>
      <c r="V1711" s="45">
        <f t="shared" si="134"/>
        <v>-1</v>
      </c>
      <c r="X1711" s="12">
        <v>1.1200000000000001</v>
      </c>
    </row>
    <row r="1712" spans="1:25" x14ac:dyDescent="0.45">
      <c r="A1712" s="3" t="s">
        <v>2969</v>
      </c>
      <c r="B1712" s="3" t="s">
        <v>2970</v>
      </c>
      <c r="C1712" s="6" t="s">
        <v>520</v>
      </c>
      <c r="D1712" s="6" t="s">
        <v>210</v>
      </c>
      <c r="E1712" s="6" t="s">
        <v>1439</v>
      </c>
      <c r="F1712" s="6">
        <v>14263.33</v>
      </c>
      <c r="G1712" s="2">
        <v>5.64</v>
      </c>
      <c r="H1712" s="2">
        <v>6.8</v>
      </c>
      <c r="I1712" s="2">
        <v>7.12</v>
      </c>
      <c r="J1712" s="47">
        <f t="shared" si="130"/>
        <v>0.20567375886524827</v>
      </c>
      <c r="K1712" s="47">
        <f t="shared" si="131"/>
        <v>4.7058823529411806E-2</v>
      </c>
      <c r="M1712" s="8">
        <v>13.16</v>
      </c>
      <c r="N1712" s="8">
        <v>12.56</v>
      </c>
      <c r="O1712" s="17">
        <f t="shared" si="132"/>
        <v>0.63984827586206883</v>
      </c>
      <c r="P1712" s="17">
        <f t="shared" si="133"/>
        <v>2.6689999999999978</v>
      </c>
      <c r="T1712" s="9">
        <v>5110.7299800000001</v>
      </c>
      <c r="U1712" s="9">
        <v>4274.0200000000004</v>
      </c>
      <c r="V1712" s="45">
        <f t="shared" si="134"/>
        <v>0.19576651021754685</v>
      </c>
      <c r="X1712" s="12">
        <v>6.92</v>
      </c>
    </row>
    <row r="1713" spans="1:25" x14ac:dyDescent="0.45">
      <c r="A1713" s="3" t="s">
        <v>2971</v>
      </c>
      <c r="B1713" s="3" t="s">
        <v>2972</v>
      </c>
      <c r="C1713" s="6" t="s">
        <v>518</v>
      </c>
      <c r="D1713" s="6" t="s">
        <v>175</v>
      </c>
      <c r="E1713" s="6" t="s">
        <v>305</v>
      </c>
      <c r="F1713" s="6">
        <v>4025.68</v>
      </c>
      <c r="G1713" s="2">
        <v>1.95</v>
      </c>
      <c r="H1713" s="2">
        <v>2.04</v>
      </c>
      <c r="I1713" s="2">
        <v>2.29</v>
      </c>
      <c r="J1713" s="47">
        <f t="shared" si="130"/>
        <v>4.6153846153846198E-2</v>
      </c>
      <c r="K1713" s="47">
        <f t="shared" si="131"/>
        <v>0.12254901960784313</v>
      </c>
      <c r="L1713" s="8">
        <v>20.58</v>
      </c>
      <c r="M1713" s="8">
        <v>19.25</v>
      </c>
      <c r="N1713" s="8">
        <v>17.170000000000002</v>
      </c>
      <c r="O1713" s="17">
        <f t="shared" si="132"/>
        <v>4.1708333333333298</v>
      </c>
      <c r="P1713" s="17">
        <f t="shared" si="133"/>
        <v>1.4010720000000003</v>
      </c>
      <c r="Q1713" s="5">
        <v>2.2799999999999998</v>
      </c>
      <c r="R1713" s="9">
        <v>9.7799999999999994</v>
      </c>
      <c r="T1713" s="9">
        <v>3924.2519499999999</v>
      </c>
      <c r="U1713" s="9">
        <v>3918.95</v>
      </c>
      <c r="V1713" s="45">
        <f t="shared" si="134"/>
        <v>1.3529006494086512E-3</v>
      </c>
      <c r="W1713" s="12">
        <v>21.43</v>
      </c>
      <c r="X1713" s="12">
        <v>0</v>
      </c>
      <c r="Y1713" s="12">
        <v>20210804</v>
      </c>
    </row>
    <row r="1714" spans="1:25" x14ac:dyDescent="0.45">
      <c r="A1714" s="3" t="s">
        <v>4310</v>
      </c>
      <c r="B1714" s="3" t="s">
        <v>4311</v>
      </c>
      <c r="C1714" s="6" t="s">
        <v>518</v>
      </c>
      <c r="D1714" s="6" t="s">
        <v>216</v>
      </c>
      <c r="E1714" s="6" t="s">
        <v>1446</v>
      </c>
      <c r="F1714" s="6">
        <v>9173.1200000000008</v>
      </c>
      <c r="G1714" s="2">
        <v>0.37</v>
      </c>
      <c r="H1714" s="2">
        <v>0.48</v>
      </c>
      <c r="I1714" s="2">
        <v>0.56000000000000005</v>
      </c>
      <c r="J1714" s="47">
        <f t="shared" si="130"/>
        <v>0.29729729729729726</v>
      </c>
      <c r="K1714" s="47">
        <f t="shared" si="131"/>
        <v>0.16666666666666682</v>
      </c>
      <c r="M1714" s="8">
        <v>25.27</v>
      </c>
      <c r="N1714" s="8">
        <v>21.66</v>
      </c>
      <c r="O1714" s="17">
        <f t="shared" si="132"/>
        <v>0.84999090909090913</v>
      </c>
      <c r="P1714" s="17">
        <f t="shared" si="133"/>
        <v>1.2995999999999988</v>
      </c>
      <c r="Q1714" s="5">
        <v>2.36</v>
      </c>
      <c r="T1714" s="9">
        <v>4710.9799800000001</v>
      </c>
      <c r="U1714" s="9">
        <v>4362.24</v>
      </c>
      <c r="V1714" s="45">
        <f t="shared" si="134"/>
        <v>7.9945161201584583E-2</v>
      </c>
      <c r="X1714" s="12">
        <v>3.1</v>
      </c>
    </row>
    <row r="1715" spans="1:25" x14ac:dyDescent="0.45">
      <c r="A1715" s="3" t="s">
        <v>2973</v>
      </c>
      <c r="B1715" s="3" t="s">
        <v>2974</v>
      </c>
      <c r="C1715" s="6" t="s">
        <v>518</v>
      </c>
      <c r="D1715" s="6" t="s">
        <v>189</v>
      </c>
      <c r="E1715" s="6" t="s">
        <v>203</v>
      </c>
      <c r="F1715" s="6">
        <v>5306.76</v>
      </c>
      <c r="G1715" s="2">
        <v>0.14000000000000001</v>
      </c>
      <c r="H1715" s="2">
        <v>0.32</v>
      </c>
      <c r="I1715" s="2">
        <v>0.53</v>
      </c>
      <c r="J1715" s="47">
        <f t="shared" si="130"/>
        <v>1.2857142857142856</v>
      </c>
      <c r="K1715" s="47">
        <f t="shared" si="131"/>
        <v>0.65625</v>
      </c>
      <c r="L1715" s="8">
        <v>94.65</v>
      </c>
      <c r="M1715" s="8">
        <v>59.16</v>
      </c>
      <c r="N1715" s="8">
        <v>35.99</v>
      </c>
      <c r="O1715" s="17">
        <f t="shared" si="132"/>
        <v>0.46013333333333334</v>
      </c>
      <c r="P1715" s="17">
        <f t="shared" si="133"/>
        <v>0.54841904761904769</v>
      </c>
      <c r="Q1715" s="5">
        <v>1.27</v>
      </c>
      <c r="R1715" s="9">
        <v>-24.09</v>
      </c>
      <c r="S1715" s="9">
        <v>26.37</v>
      </c>
      <c r="T1715" s="9">
        <v>1959.72802</v>
      </c>
      <c r="U1715" s="9">
        <v>1684.18</v>
      </c>
      <c r="V1715" s="45">
        <f t="shared" si="134"/>
        <v>0.16360960229904165</v>
      </c>
      <c r="W1715" s="12">
        <v>100</v>
      </c>
      <c r="X1715" s="12">
        <v>0</v>
      </c>
      <c r="Y1715" s="12">
        <v>20210824</v>
      </c>
    </row>
    <row r="1716" spans="1:25" x14ac:dyDescent="0.45">
      <c r="A1716" s="3" t="s">
        <v>4907</v>
      </c>
      <c r="B1716" s="3" t="s">
        <v>4908</v>
      </c>
      <c r="C1716" s="6" t="s">
        <v>518</v>
      </c>
      <c r="D1716" s="6" t="s">
        <v>4909</v>
      </c>
      <c r="E1716" s="6" t="s">
        <v>4909</v>
      </c>
      <c r="F1716" s="6">
        <v>4616</v>
      </c>
      <c r="J1716" s="47" t="e">
        <f t="shared" si="130"/>
        <v>#DIV/0!</v>
      </c>
      <c r="K1716" s="47" t="e">
        <f t="shared" si="131"/>
        <v>#DIV/0!</v>
      </c>
      <c r="O1716" s="17" t="e">
        <f t="shared" si="132"/>
        <v>#DIV/0!</v>
      </c>
      <c r="P1716" s="17" t="e">
        <f t="shared" si="133"/>
        <v>#DIV/0!</v>
      </c>
      <c r="V1716" s="45" t="e">
        <f t="shared" si="134"/>
        <v>#DIV/0!</v>
      </c>
      <c r="X1716" s="12">
        <v>0</v>
      </c>
    </row>
    <row r="1717" spans="1:25" x14ac:dyDescent="0.45">
      <c r="A1717" s="3" t="s">
        <v>2975</v>
      </c>
      <c r="B1717" s="3" t="s">
        <v>2976</v>
      </c>
      <c r="C1717" s="6" t="s">
        <v>518</v>
      </c>
      <c r="D1717" s="6" t="s">
        <v>289</v>
      </c>
      <c r="E1717" s="6" t="s">
        <v>278</v>
      </c>
      <c r="F1717" s="6">
        <v>40480.800000000003</v>
      </c>
      <c r="G1717" s="2">
        <v>-0.81</v>
      </c>
      <c r="H1717" s="2">
        <v>2.73</v>
      </c>
      <c r="I1717" s="2">
        <v>6.54</v>
      </c>
      <c r="J1717" s="47">
        <f t="shared" si="130"/>
        <v>4.3703703703703702</v>
      </c>
      <c r="K1717" s="47">
        <f t="shared" si="131"/>
        <v>1.3956043956043955</v>
      </c>
      <c r="M1717" s="8">
        <v>33.880000000000003</v>
      </c>
      <c r="N1717" s="8">
        <v>14.14</v>
      </c>
      <c r="O1717" s="17">
        <f t="shared" si="132"/>
        <v>7.7522033898305101E-2</v>
      </c>
      <c r="P1717" s="17">
        <f t="shared" si="133"/>
        <v>0.10131811023622048</v>
      </c>
      <c r="Q1717" s="5">
        <v>1.63</v>
      </c>
      <c r="R1717" s="9">
        <v>-6.12</v>
      </c>
      <c r="S1717" s="9">
        <v>-2.44</v>
      </c>
      <c r="T1717" s="9">
        <v>87021.53125</v>
      </c>
      <c r="U1717" s="9">
        <v>65494</v>
      </c>
      <c r="V1717" s="45">
        <f t="shared" si="134"/>
        <v>0.32869470867560385</v>
      </c>
      <c r="W1717" s="12">
        <v>17.73</v>
      </c>
      <c r="X1717" s="12">
        <v>3.89</v>
      </c>
      <c r="Y1717" s="12">
        <v>20210730</v>
      </c>
    </row>
    <row r="1718" spans="1:25" x14ac:dyDescent="0.45">
      <c r="A1718" s="3" t="s">
        <v>2977</v>
      </c>
      <c r="B1718" s="3" t="s">
        <v>2978</v>
      </c>
      <c r="C1718" s="6" t="s">
        <v>518</v>
      </c>
      <c r="D1718" s="6" t="s">
        <v>289</v>
      </c>
      <c r="E1718" s="6" t="s">
        <v>280</v>
      </c>
      <c r="F1718" s="6">
        <v>9316.27</v>
      </c>
      <c r="G1718" s="2">
        <v>3.66</v>
      </c>
      <c r="H1718" s="2">
        <v>2.7</v>
      </c>
      <c r="I1718" s="2">
        <v>3.88</v>
      </c>
      <c r="J1718" s="47">
        <f t="shared" si="130"/>
        <v>-0.26229508196721307</v>
      </c>
      <c r="K1718" s="47">
        <f t="shared" si="131"/>
        <v>0.43703703703703689</v>
      </c>
      <c r="L1718" s="8">
        <v>12.18</v>
      </c>
      <c r="M1718" s="8">
        <v>15.08</v>
      </c>
      <c r="N1718" s="8">
        <v>10.52</v>
      </c>
      <c r="O1718" s="17">
        <f t="shared" si="132"/>
        <v>-0.57492500000000002</v>
      </c>
      <c r="P1718" s="17">
        <f t="shared" si="133"/>
        <v>0.24071186440677975</v>
      </c>
      <c r="R1718" s="9">
        <v>35.03</v>
      </c>
      <c r="S1718" s="9">
        <v>29.8</v>
      </c>
      <c r="T1718" s="9">
        <v>1572</v>
      </c>
      <c r="U1718" s="9">
        <v>1618</v>
      </c>
      <c r="V1718" s="45">
        <f t="shared" si="134"/>
        <v>-2.843016069221261E-2</v>
      </c>
      <c r="W1718" s="12">
        <v>-5.13</v>
      </c>
      <c r="X1718" s="12">
        <v>8.58</v>
      </c>
      <c r="Y1718" s="12">
        <v>20210730</v>
      </c>
    </row>
    <row r="1719" spans="1:25" x14ac:dyDescent="0.45">
      <c r="A1719" s="3" t="s">
        <v>2979</v>
      </c>
      <c r="B1719" s="3" t="s">
        <v>2980</v>
      </c>
      <c r="C1719" s="6" t="s">
        <v>519</v>
      </c>
      <c r="D1719" s="6" t="s">
        <v>189</v>
      </c>
      <c r="E1719" s="6" t="s">
        <v>202</v>
      </c>
      <c r="F1719" s="6">
        <v>15745.02</v>
      </c>
      <c r="G1719" s="2">
        <v>2.35</v>
      </c>
      <c r="H1719" s="2">
        <v>3.33</v>
      </c>
      <c r="I1719" s="2">
        <v>3.85</v>
      </c>
      <c r="J1719" s="47">
        <f t="shared" si="130"/>
        <v>0.41702127659574467</v>
      </c>
      <c r="K1719" s="47">
        <f t="shared" si="131"/>
        <v>0.15615615615615616</v>
      </c>
      <c r="L1719" s="8">
        <v>39.06</v>
      </c>
      <c r="M1719" s="8">
        <v>40.46</v>
      </c>
      <c r="N1719" s="8">
        <v>35.020000000000003</v>
      </c>
      <c r="O1719" s="17">
        <f t="shared" si="132"/>
        <v>0.97021428571428581</v>
      </c>
      <c r="P1719" s="17">
        <f t="shared" si="133"/>
        <v>2.2426269230769234</v>
      </c>
      <c r="Q1719" s="5">
        <v>1.56</v>
      </c>
      <c r="R1719" s="9">
        <v>18.64</v>
      </c>
      <c r="S1719" s="9">
        <v>6.88</v>
      </c>
      <c r="T1719" s="9">
        <v>1720.1760200000001</v>
      </c>
      <c r="U1719" s="9">
        <v>1458.42</v>
      </c>
      <c r="V1719" s="45">
        <f t="shared" si="134"/>
        <v>0.17947917609467781</v>
      </c>
      <c r="W1719" s="12">
        <v>50</v>
      </c>
      <c r="X1719" s="12">
        <v>0</v>
      </c>
      <c r="Y1719" s="12">
        <v>20210804</v>
      </c>
    </row>
    <row r="1720" spans="1:25" x14ac:dyDescent="0.45">
      <c r="A1720" s="3" t="s">
        <v>2981</v>
      </c>
      <c r="B1720" s="3" t="s">
        <v>2982</v>
      </c>
      <c r="C1720" s="6" t="s">
        <v>519</v>
      </c>
      <c r="D1720" s="6" t="s">
        <v>216</v>
      </c>
      <c r="E1720" s="6" t="s">
        <v>251</v>
      </c>
      <c r="F1720" s="6">
        <v>31908.43</v>
      </c>
      <c r="G1720" s="2">
        <v>-0.56999999999999995</v>
      </c>
      <c r="H1720" s="2">
        <v>-7.0000000000000007E-2</v>
      </c>
      <c r="I1720" s="2">
        <v>0.6</v>
      </c>
      <c r="J1720" s="47">
        <f t="shared" si="130"/>
        <v>0.8771929824561403</v>
      </c>
      <c r="K1720" s="47">
        <f t="shared" si="131"/>
        <v>9.5714285714285694</v>
      </c>
      <c r="L1720" s="8">
        <v>172.53</v>
      </c>
      <c r="N1720" s="8">
        <v>176.94</v>
      </c>
      <c r="O1720" s="17">
        <f t="shared" si="132"/>
        <v>0</v>
      </c>
      <c r="P1720" s="17">
        <f t="shared" si="133"/>
        <v>0.18486268656716423</v>
      </c>
      <c r="R1720" s="9">
        <v>11.53</v>
      </c>
      <c r="T1720" s="9">
        <v>4010.8339799999999</v>
      </c>
      <c r="U1720" s="9">
        <v>1825.9</v>
      </c>
      <c r="V1720" s="45">
        <f t="shared" si="134"/>
        <v>1.19663397776439</v>
      </c>
      <c r="W1720" s="12">
        <v>72.73</v>
      </c>
      <c r="X1720" s="12">
        <v>0</v>
      </c>
      <c r="Y1720" s="12">
        <v>20210909</v>
      </c>
    </row>
    <row r="1721" spans="1:25" x14ac:dyDescent="0.45">
      <c r="A1721" s="3" t="s">
        <v>2983</v>
      </c>
      <c r="B1721" s="3" t="s">
        <v>2984</v>
      </c>
      <c r="C1721" s="6" t="s">
        <v>518</v>
      </c>
      <c r="D1721" s="6" t="s">
        <v>289</v>
      </c>
      <c r="E1721" s="6" t="s">
        <v>275</v>
      </c>
      <c r="F1721" s="6">
        <v>79723.95</v>
      </c>
      <c r="G1721" s="2">
        <v>1.57</v>
      </c>
      <c r="H1721" s="2">
        <v>5.4</v>
      </c>
      <c r="I1721" s="2">
        <v>4.84</v>
      </c>
      <c r="J1721" s="47">
        <f t="shared" si="130"/>
        <v>2.4394904458598727</v>
      </c>
      <c r="K1721" s="47">
        <f t="shared" si="131"/>
        <v>-0.10370370370370378</v>
      </c>
      <c r="L1721" s="8">
        <v>8.51</v>
      </c>
      <c r="M1721" s="8">
        <v>8.07</v>
      </c>
      <c r="N1721" s="8">
        <v>9</v>
      </c>
      <c r="O1721" s="17">
        <f t="shared" si="132"/>
        <v>3.3080678851174931E-2</v>
      </c>
      <c r="P1721" s="17">
        <f t="shared" si="133"/>
        <v>-0.86785714285714211</v>
      </c>
      <c r="Q1721" s="5">
        <v>0.2</v>
      </c>
      <c r="R1721" s="9">
        <v>4.6900000000000004</v>
      </c>
      <c r="S1721" s="9">
        <v>6.12</v>
      </c>
      <c r="T1721" s="9">
        <v>297513.1875</v>
      </c>
      <c r="U1721" s="9">
        <v>280263.09000000003</v>
      </c>
      <c r="V1721" s="45">
        <f t="shared" si="134"/>
        <v>6.1549658572593251E-2</v>
      </c>
      <c r="X1721" s="12">
        <v>3.76</v>
      </c>
      <c r="Y1721" s="12">
        <v>20210826</v>
      </c>
    </row>
    <row r="1722" spans="1:25" x14ac:dyDescent="0.45">
      <c r="A1722" s="3" t="s">
        <v>4312</v>
      </c>
      <c r="B1722" s="3" t="s">
        <v>4313</v>
      </c>
      <c r="C1722" s="6" t="s">
        <v>520</v>
      </c>
      <c r="D1722" s="6" t="s">
        <v>175</v>
      </c>
      <c r="E1722" s="6" t="s">
        <v>9</v>
      </c>
      <c r="F1722" s="6">
        <v>16699.29</v>
      </c>
      <c r="G1722" s="2">
        <v>1.2</v>
      </c>
      <c r="H1722" s="2">
        <v>1.34</v>
      </c>
      <c r="I1722" s="2">
        <v>1.38</v>
      </c>
      <c r="J1722" s="47">
        <f t="shared" si="130"/>
        <v>0.11666666666666678</v>
      </c>
      <c r="K1722" s="47">
        <f t="shared" si="131"/>
        <v>2.9850746268656577E-2</v>
      </c>
      <c r="M1722" s="8">
        <v>12.69</v>
      </c>
      <c r="N1722" s="8">
        <v>12.32</v>
      </c>
      <c r="O1722" s="17">
        <f t="shared" si="132"/>
        <v>1.0877142857142845</v>
      </c>
      <c r="P1722" s="17">
        <f t="shared" si="133"/>
        <v>4.1272000000000197</v>
      </c>
      <c r="Q1722" s="5">
        <v>6.78</v>
      </c>
      <c r="U1722" s="9">
        <v>11583.2</v>
      </c>
      <c r="V1722" s="45">
        <f t="shared" si="134"/>
        <v>-1</v>
      </c>
      <c r="X1722" s="12">
        <v>1.45</v>
      </c>
    </row>
    <row r="1723" spans="1:25" x14ac:dyDescent="0.45">
      <c r="A1723" s="3" t="s">
        <v>2985</v>
      </c>
      <c r="B1723" s="3" t="s">
        <v>2986</v>
      </c>
      <c r="C1723" s="6" t="s">
        <v>518</v>
      </c>
      <c r="D1723" s="6" t="s">
        <v>234</v>
      </c>
      <c r="E1723" s="6" t="s">
        <v>243</v>
      </c>
      <c r="F1723" s="6">
        <v>53598.92</v>
      </c>
      <c r="G1723" s="2">
        <v>2.98</v>
      </c>
      <c r="H1723" s="2">
        <v>3.51</v>
      </c>
      <c r="I1723" s="2">
        <v>3.55</v>
      </c>
      <c r="J1723" s="47">
        <f t="shared" si="130"/>
        <v>0.17785234899328853</v>
      </c>
      <c r="K1723" s="47">
        <f t="shared" si="131"/>
        <v>1.1396011396011407E-2</v>
      </c>
      <c r="M1723" s="8">
        <v>11.72</v>
      </c>
      <c r="N1723" s="8">
        <v>11.56</v>
      </c>
      <c r="O1723" s="17">
        <f t="shared" si="132"/>
        <v>0.65897358490566071</v>
      </c>
      <c r="P1723" s="17">
        <f t="shared" si="133"/>
        <v>10.14389999999999</v>
      </c>
      <c r="Q1723" s="5">
        <v>1.3</v>
      </c>
      <c r="U1723" s="9">
        <v>55973</v>
      </c>
      <c r="V1723" s="45">
        <f t="shared" si="134"/>
        <v>-1</v>
      </c>
      <c r="X1723" s="12">
        <v>1.04</v>
      </c>
    </row>
    <row r="1724" spans="1:25" x14ac:dyDescent="0.45">
      <c r="A1724" s="3" t="s">
        <v>2987</v>
      </c>
      <c r="B1724" s="3" t="s">
        <v>2988</v>
      </c>
      <c r="C1724" s="6" t="s">
        <v>518</v>
      </c>
      <c r="D1724" s="6" t="s">
        <v>216</v>
      </c>
      <c r="E1724" s="6" t="s">
        <v>1256</v>
      </c>
      <c r="F1724" s="6">
        <v>7899.83</v>
      </c>
      <c r="G1724" s="2">
        <v>-1.98</v>
      </c>
      <c r="H1724" s="2">
        <v>6.63</v>
      </c>
      <c r="I1724" s="2">
        <v>8.6199999999999992</v>
      </c>
      <c r="J1724" s="47">
        <f t="shared" si="130"/>
        <v>4.3484848484848486</v>
      </c>
      <c r="K1724" s="47">
        <f t="shared" si="131"/>
        <v>0.30015082956259415</v>
      </c>
      <c r="L1724" s="8">
        <v>37.07</v>
      </c>
      <c r="M1724" s="8">
        <v>16.73</v>
      </c>
      <c r="N1724" s="8">
        <v>12.86</v>
      </c>
      <c r="O1724" s="17">
        <f t="shared" si="132"/>
        <v>3.8473170731707314E-2</v>
      </c>
      <c r="P1724" s="17">
        <f t="shared" si="133"/>
        <v>0.42845125628140718</v>
      </c>
      <c r="Q1724" s="5">
        <v>0.93</v>
      </c>
      <c r="R1724" s="9">
        <v>4.57</v>
      </c>
      <c r="S1724" s="9">
        <v>-0.41</v>
      </c>
      <c r="T1724" s="9">
        <v>9003.6796799999993</v>
      </c>
      <c r="U1724" s="9">
        <v>7132.6</v>
      </c>
      <c r="V1724" s="45">
        <f t="shared" si="134"/>
        <v>0.26232785800409369</v>
      </c>
      <c r="W1724" s="12">
        <v>134.15</v>
      </c>
      <c r="X1724" s="12">
        <v>0</v>
      </c>
      <c r="Y1724" s="12">
        <v>20210901</v>
      </c>
    </row>
    <row r="1725" spans="1:25" x14ac:dyDescent="0.45">
      <c r="A1725" s="3" t="s">
        <v>2989</v>
      </c>
      <c r="B1725" s="3" t="s">
        <v>2990</v>
      </c>
      <c r="C1725" s="6" t="s">
        <v>518</v>
      </c>
      <c r="D1725" s="6" t="s">
        <v>210</v>
      </c>
      <c r="E1725" s="6" t="s">
        <v>215</v>
      </c>
      <c r="F1725" s="6">
        <v>12936.89</v>
      </c>
      <c r="G1725" s="2">
        <v>3.6</v>
      </c>
      <c r="H1725" s="2">
        <v>4.37</v>
      </c>
      <c r="I1725" s="2">
        <v>4.8</v>
      </c>
      <c r="J1725" s="47">
        <f t="shared" si="130"/>
        <v>0.21388888888888888</v>
      </c>
      <c r="K1725" s="47">
        <f t="shared" si="131"/>
        <v>9.8398169336384372E-2</v>
      </c>
      <c r="L1725" s="8">
        <v>22.16</v>
      </c>
      <c r="M1725" s="8">
        <v>21.26</v>
      </c>
      <c r="N1725" s="8">
        <v>19.329999999999998</v>
      </c>
      <c r="O1725" s="17">
        <f t="shared" si="132"/>
        <v>0.99397402597402607</v>
      </c>
      <c r="P1725" s="17">
        <f t="shared" si="133"/>
        <v>1.9644674418604664</v>
      </c>
      <c r="R1725" s="9">
        <v>12.66</v>
      </c>
      <c r="S1725" s="9">
        <v>11.16</v>
      </c>
      <c r="T1725" s="9">
        <v>12225.62011</v>
      </c>
      <c r="U1725" s="9">
        <v>11202.67</v>
      </c>
      <c r="V1725" s="45">
        <f t="shared" si="134"/>
        <v>9.1313062868048397E-2</v>
      </c>
      <c r="W1725" s="12">
        <v>12.16</v>
      </c>
      <c r="X1725" s="12">
        <v>0.26</v>
      </c>
      <c r="Y1725" s="12">
        <v>20210805</v>
      </c>
    </row>
    <row r="1726" spans="1:25" x14ac:dyDescent="0.45">
      <c r="A1726" s="3" t="s">
        <v>2991</v>
      </c>
      <c r="B1726" s="3" t="s">
        <v>2992</v>
      </c>
      <c r="C1726" s="6" t="s">
        <v>518</v>
      </c>
      <c r="D1726" s="6" t="s">
        <v>289</v>
      </c>
      <c r="E1726" s="6" t="s">
        <v>271</v>
      </c>
      <c r="F1726" s="6">
        <v>40923.019999999997</v>
      </c>
      <c r="G1726" s="2">
        <v>1.65</v>
      </c>
      <c r="H1726" s="2">
        <v>11.4</v>
      </c>
      <c r="I1726" s="2">
        <v>15.23</v>
      </c>
      <c r="J1726" s="47">
        <f t="shared" si="130"/>
        <v>5.9090909090909092</v>
      </c>
      <c r="K1726" s="47">
        <f t="shared" si="131"/>
        <v>0.33596491228070174</v>
      </c>
      <c r="L1726" s="8">
        <v>62.36</v>
      </c>
      <c r="M1726" s="8">
        <v>14.71</v>
      </c>
      <c r="N1726" s="8">
        <v>11.01</v>
      </c>
      <c r="O1726" s="17">
        <f t="shared" si="132"/>
        <v>2.4893846153846155E-2</v>
      </c>
      <c r="P1726" s="17">
        <f t="shared" si="133"/>
        <v>0.32771279373368151</v>
      </c>
      <c r="Q1726" s="5">
        <v>1.72</v>
      </c>
      <c r="R1726" s="9">
        <v>4.0999999999999996</v>
      </c>
      <c r="S1726" s="9">
        <v>16.48</v>
      </c>
      <c r="T1726" s="9">
        <v>14001.20019</v>
      </c>
      <c r="U1726" s="9">
        <v>6685</v>
      </c>
      <c r="V1726" s="45">
        <f t="shared" si="134"/>
        <v>1.0944203724756918</v>
      </c>
      <c r="W1726" s="12">
        <v>18</v>
      </c>
      <c r="X1726" s="12">
        <v>1.34</v>
      </c>
      <c r="Y1726" s="12">
        <v>20210803</v>
      </c>
    </row>
    <row r="1727" spans="1:25" x14ac:dyDescent="0.45">
      <c r="A1727" s="3" t="s">
        <v>2993</v>
      </c>
      <c r="B1727" s="3" t="s">
        <v>2994</v>
      </c>
      <c r="C1727" s="6" t="s">
        <v>519</v>
      </c>
      <c r="D1727" s="6" t="s">
        <v>189</v>
      </c>
      <c r="E1727" s="6" t="s">
        <v>248</v>
      </c>
      <c r="F1727" s="6">
        <v>309658.31</v>
      </c>
      <c r="G1727" s="2">
        <v>3.8</v>
      </c>
      <c r="H1727" s="2">
        <v>4.74</v>
      </c>
      <c r="I1727" s="2">
        <v>5.86</v>
      </c>
      <c r="J1727" s="47">
        <f t="shared" si="130"/>
        <v>0.24736842105263168</v>
      </c>
      <c r="K1727" s="47">
        <f t="shared" si="131"/>
        <v>0.23628691983122363</v>
      </c>
      <c r="L1727" s="8">
        <v>59.37</v>
      </c>
      <c r="M1727" s="8">
        <v>55.67</v>
      </c>
      <c r="N1727" s="8">
        <v>44.98</v>
      </c>
      <c r="O1727" s="17">
        <f t="shared" si="132"/>
        <v>2.2504893617021269</v>
      </c>
      <c r="P1727" s="17">
        <f t="shared" si="133"/>
        <v>1.903617857142857</v>
      </c>
      <c r="Q1727" s="5">
        <v>2.52</v>
      </c>
      <c r="R1727" s="9">
        <v>20.21</v>
      </c>
      <c r="S1727" s="9">
        <v>18.149999999999999</v>
      </c>
      <c r="T1727" s="9">
        <v>25775.1289</v>
      </c>
      <c r="U1727" s="9">
        <v>21454</v>
      </c>
      <c r="V1727" s="45">
        <f t="shared" si="134"/>
        <v>0.20141367111028244</v>
      </c>
      <c r="W1727" s="12">
        <v>20.79</v>
      </c>
      <c r="X1727" s="12">
        <v>0</v>
      </c>
      <c r="Y1727" s="12">
        <v>20210804</v>
      </c>
    </row>
    <row r="1728" spans="1:25" x14ac:dyDescent="0.45">
      <c r="A1728" s="3" t="s">
        <v>4314</v>
      </c>
      <c r="B1728" s="3" t="s">
        <v>4315</v>
      </c>
      <c r="C1728" s="6" t="s">
        <v>519</v>
      </c>
      <c r="D1728" s="6" t="s">
        <v>303</v>
      </c>
      <c r="E1728" s="6" t="s">
        <v>294</v>
      </c>
      <c r="F1728" s="6">
        <v>3359.72</v>
      </c>
      <c r="G1728" s="2">
        <v>1.43</v>
      </c>
      <c r="H1728" s="2">
        <v>2.4700000000000002</v>
      </c>
      <c r="I1728" s="2">
        <v>3.11</v>
      </c>
      <c r="J1728" s="47">
        <f t="shared" si="130"/>
        <v>0.72727272727272751</v>
      </c>
      <c r="K1728" s="47">
        <f t="shared" si="131"/>
        <v>0.25910931174089052</v>
      </c>
      <c r="L1728" s="8">
        <v>47.69</v>
      </c>
      <c r="M1728" s="8">
        <v>41.07</v>
      </c>
      <c r="N1728" s="8">
        <v>32.69</v>
      </c>
      <c r="O1728" s="17">
        <f t="shared" si="132"/>
        <v>0.56471249999999984</v>
      </c>
      <c r="P1728" s="17">
        <f t="shared" si="133"/>
        <v>1.2616296875000006</v>
      </c>
      <c r="Q1728" s="5">
        <v>2.74</v>
      </c>
      <c r="R1728" s="9">
        <v>-31.74</v>
      </c>
      <c r="S1728" s="9">
        <v>0.17</v>
      </c>
      <c r="T1728" s="9">
        <v>1967.4599599999999</v>
      </c>
      <c r="U1728" s="9">
        <v>1813.23</v>
      </c>
      <c r="V1728" s="45">
        <f t="shared" si="134"/>
        <v>8.5058133827479079E-2</v>
      </c>
      <c r="W1728" s="12">
        <v>60.71</v>
      </c>
      <c r="X1728" s="12">
        <v>0.89</v>
      </c>
      <c r="Y1728" s="12">
        <v>20210805</v>
      </c>
    </row>
    <row r="1729" spans="1:25" x14ac:dyDescent="0.45">
      <c r="A1729" s="3" t="s">
        <v>2995</v>
      </c>
      <c r="B1729" s="3" t="s">
        <v>2996</v>
      </c>
      <c r="C1729" s="6" t="s">
        <v>519</v>
      </c>
      <c r="D1729" s="6" t="s">
        <v>189</v>
      </c>
      <c r="E1729" s="6" t="s">
        <v>1610</v>
      </c>
      <c r="F1729" s="6">
        <v>149899.92000000001</v>
      </c>
      <c r="G1729" s="2">
        <v>3.92</v>
      </c>
      <c r="H1729" s="2">
        <v>7.79</v>
      </c>
      <c r="I1729" s="2">
        <v>8.5</v>
      </c>
      <c r="J1729" s="47">
        <f t="shared" si="130"/>
        <v>0.98724489795918369</v>
      </c>
      <c r="K1729" s="47">
        <f t="shared" si="131"/>
        <v>9.1142490372272136E-2</v>
      </c>
      <c r="L1729" s="8">
        <v>20.83</v>
      </c>
      <c r="M1729" s="8">
        <v>17.05</v>
      </c>
      <c r="N1729" s="8">
        <v>15.63</v>
      </c>
      <c r="O1729" s="17">
        <f t="shared" si="132"/>
        <v>0.17270284237726097</v>
      </c>
      <c r="P1729" s="17">
        <f t="shared" si="133"/>
        <v>1.7148971830985917</v>
      </c>
      <c r="Q1729" s="5">
        <v>0.79</v>
      </c>
      <c r="R1729" s="9">
        <v>103.71</v>
      </c>
      <c r="S1729" s="9">
        <v>2.2999999999999998</v>
      </c>
      <c r="T1729" s="9">
        <v>32184.675780000001</v>
      </c>
      <c r="U1729" s="9">
        <v>23531</v>
      </c>
      <c r="V1729" s="45">
        <f t="shared" si="134"/>
        <v>0.36775639709319624</v>
      </c>
      <c r="W1729" s="12">
        <v>13.77</v>
      </c>
      <c r="X1729" s="12">
        <v>2.0499999999999998</v>
      </c>
      <c r="Y1729" s="12">
        <v>20210804</v>
      </c>
    </row>
    <row r="1730" spans="1:25" x14ac:dyDescent="0.45">
      <c r="A1730" s="3" t="s">
        <v>2997</v>
      </c>
      <c r="B1730" s="3" t="s">
        <v>2998</v>
      </c>
      <c r="C1730" s="6" t="s">
        <v>519</v>
      </c>
      <c r="D1730" s="6" t="s">
        <v>279</v>
      </c>
      <c r="E1730" s="6" t="s">
        <v>264</v>
      </c>
      <c r="F1730" s="6">
        <v>4783.5600000000004</v>
      </c>
      <c r="G1730" s="2">
        <v>18.97</v>
      </c>
      <c r="H1730" s="2">
        <v>16.28</v>
      </c>
      <c r="I1730" s="2">
        <v>9.42</v>
      </c>
      <c r="J1730" s="47">
        <f t="shared" si="130"/>
        <v>-0.14180284659989445</v>
      </c>
      <c r="K1730" s="47">
        <f t="shared" si="131"/>
        <v>-0.42137592137592145</v>
      </c>
      <c r="L1730" s="8">
        <v>4.87</v>
      </c>
      <c r="M1730" s="8">
        <v>6.9</v>
      </c>
      <c r="N1730" s="8">
        <v>11.93</v>
      </c>
      <c r="O1730" s="17">
        <f t="shared" si="132"/>
        <v>-0.48659107806691493</v>
      </c>
      <c r="P1730" s="17">
        <f t="shared" si="133"/>
        <v>-0.28312011661807573</v>
      </c>
      <c r="Q1730" s="5">
        <v>0.28000000000000003</v>
      </c>
      <c r="R1730" s="9">
        <v>92.33</v>
      </c>
      <c r="S1730" s="9">
        <v>54.51</v>
      </c>
      <c r="T1730" s="9">
        <v>1480.4260200000001</v>
      </c>
      <c r="U1730" s="9">
        <v>1661.67</v>
      </c>
      <c r="V1730" s="45">
        <f t="shared" si="134"/>
        <v>-0.10907339002328979</v>
      </c>
      <c r="W1730" s="12">
        <v>-10.06</v>
      </c>
      <c r="X1730" s="12">
        <v>0</v>
      </c>
      <c r="Y1730" s="12">
        <v>20210729</v>
      </c>
    </row>
    <row r="1731" spans="1:25" x14ac:dyDescent="0.45">
      <c r="A1731" s="3" t="s">
        <v>3886</v>
      </c>
      <c r="B1731" s="3" t="s">
        <v>3887</v>
      </c>
      <c r="C1731" s="6" t="s">
        <v>519</v>
      </c>
      <c r="D1731" s="6" t="s">
        <v>175</v>
      </c>
      <c r="E1731" s="6" t="s">
        <v>305</v>
      </c>
      <c r="F1731" s="6">
        <v>5968.82</v>
      </c>
      <c r="G1731" s="2">
        <v>3.32</v>
      </c>
      <c r="H1731" s="2">
        <v>4.22</v>
      </c>
      <c r="I1731" s="2">
        <v>4.96</v>
      </c>
      <c r="J1731" s="47">
        <f t="shared" ref="J1731:J1794" si="135">(H1731-G1731)/ABS(G1731)</f>
        <v>0.27108433734939757</v>
      </c>
      <c r="K1731" s="47">
        <f t="shared" ref="K1731:K1794" si="136">(I1731-H1731)/ABS(H1731)</f>
        <v>0.17535545023696689</v>
      </c>
      <c r="L1731" s="8">
        <v>8.27</v>
      </c>
      <c r="M1731" s="8">
        <v>9.2899999999999991</v>
      </c>
      <c r="N1731" s="8">
        <v>7.91</v>
      </c>
      <c r="O1731" s="17">
        <f t="shared" ref="O1731:O1794" si="137">M1731/(J1731*100)</f>
        <v>0.34269777777777777</v>
      </c>
      <c r="P1731" s="17">
        <f t="shared" ref="P1731:P1794" si="138">N1731/(K1731*100)</f>
        <v>0.45108378378378367</v>
      </c>
      <c r="R1731" s="9">
        <v>52.31</v>
      </c>
      <c r="T1731" s="9">
        <v>2362.3701099999998</v>
      </c>
      <c r="U1731" s="9">
        <v>2078.77</v>
      </c>
      <c r="V1731" s="45">
        <f t="shared" ref="V1731:V1794" si="139">(T1731-U1731)/U1731</f>
        <v>0.1364268822428647</v>
      </c>
      <c r="W1731" s="12">
        <v>71.790000000000006</v>
      </c>
      <c r="X1731" s="12">
        <v>0</v>
      </c>
      <c r="Y1731" s="12">
        <v>20210823</v>
      </c>
    </row>
    <row r="1732" spans="1:25" x14ac:dyDescent="0.45">
      <c r="A1732" s="3" t="s">
        <v>4316</v>
      </c>
      <c r="B1732" s="3" t="s">
        <v>4317</v>
      </c>
      <c r="C1732" s="6" t="s">
        <v>518</v>
      </c>
      <c r="D1732" s="6" t="s">
        <v>279</v>
      </c>
      <c r="E1732" s="6" t="s">
        <v>256</v>
      </c>
      <c r="F1732" s="6">
        <v>10694.79</v>
      </c>
      <c r="G1732" s="2">
        <v>2.13</v>
      </c>
      <c r="H1732" s="2">
        <v>2.48</v>
      </c>
      <c r="I1732" s="2">
        <v>2.39</v>
      </c>
      <c r="J1732" s="47">
        <f t="shared" si="135"/>
        <v>0.16431924882629112</v>
      </c>
      <c r="K1732" s="47">
        <f t="shared" si="136"/>
        <v>-3.6290322580645101E-2</v>
      </c>
      <c r="L1732" s="8">
        <v>18.989999999999998</v>
      </c>
      <c r="M1732" s="8">
        <v>18.920000000000002</v>
      </c>
      <c r="N1732" s="8">
        <v>19.59</v>
      </c>
      <c r="O1732" s="17">
        <f t="shared" si="137"/>
        <v>1.1514171428571427</v>
      </c>
      <c r="P1732" s="17">
        <f t="shared" si="138"/>
        <v>-5.3981333333333419</v>
      </c>
      <c r="Q1732" s="5">
        <v>1.1000000000000001</v>
      </c>
      <c r="R1732" s="9">
        <v>21.06</v>
      </c>
      <c r="S1732" s="9">
        <v>7.43</v>
      </c>
      <c r="T1732" s="9">
        <v>2261.0769</v>
      </c>
      <c r="U1732" s="9">
        <v>1870.35</v>
      </c>
      <c r="V1732" s="45">
        <f t="shared" si="139"/>
        <v>0.20890576630042512</v>
      </c>
      <c r="W1732" s="12">
        <v>4.76</v>
      </c>
      <c r="X1732" s="12">
        <v>0</v>
      </c>
      <c r="Y1732" s="12">
        <v>20210803</v>
      </c>
    </row>
    <row r="1733" spans="1:25" x14ac:dyDescent="0.45">
      <c r="A1733" s="3" t="s">
        <v>2999</v>
      </c>
      <c r="B1733" s="3" t="s">
        <v>3000</v>
      </c>
      <c r="C1733" s="6" t="s">
        <v>519</v>
      </c>
      <c r="D1733" s="6" t="s">
        <v>189</v>
      </c>
      <c r="E1733" s="6" t="s">
        <v>433</v>
      </c>
      <c r="F1733" s="6">
        <v>3981.12</v>
      </c>
      <c r="G1733" s="2">
        <v>2.87</v>
      </c>
      <c r="H1733" s="2">
        <v>2.73</v>
      </c>
      <c r="I1733" s="2">
        <v>2.98</v>
      </c>
      <c r="J1733" s="47">
        <f t="shared" si="135"/>
        <v>-4.8780487804878092E-2</v>
      </c>
      <c r="K1733" s="47">
        <f t="shared" si="136"/>
        <v>9.1575091575091569E-2</v>
      </c>
      <c r="L1733" s="8">
        <v>34.36</v>
      </c>
      <c r="M1733" s="8">
        <v>37.229999999999997</v>
      </c>
      <c r="N1733" s="8">
        <v>34.07</v>
      </c>
      <c r="O1733" s="17">
        <f t="shared" si="137"/>
        <v>-7.6321499999999922</v>
      </c>
      <c r="P1733" s="17">
        <f t="shared" si="138"/>
        <v>3.7204440000000001</v>
      </c>
      <c r="R1733" s="9">
        <v>17.399999999999999</v>
      </c>
      <c r="S1733" s="9">
        <v>16.93</v>
      </c>
      <c r="T1733" s="9">
        <v>402.97298999999998</v>
      </c>
      <c r="U1733" s="9">
        <v>362.96</v>
      </c>
      <c r="V1733" s="45">
        <f t="shared" si="139"/>
        <v>0.11024077033281905</v>
      </c>
      <c r="W1733" s="12">
        <v>7.25</v>
      </c>
      <c r="X1733" s="12">
        <v>0</v>
      </c>
      <c r="Y1733" s="12">
        <v>20210809</v>
      </c>
    </row>
    <row r="1734" spans="1:25" x14ac:dyDescent="0.45">
      <c r="A1734" s="3" t="s">
        <v>4910</v>
      </c>
      <c r="B1734" s="3" t="s">
        <v>4911</v>
      </c>
      <c r="C1734" s="6" t="s">
        <v>519</v>
      </c>
      <c r="D1734" s="6" t="s">
        <v>234</v>
      </c>
      <c r="E1734" s="6" t="s">
        <v>904</v>
      </c>
      <c r="F1734" s="6">
        <v>161009.51999999999</v>
      </c>
      <c r="J1734" s="47" t="e">
        <f t="shared" si="135"/>
        <v>#DIV/0!</v>
      </c>
      <c r="K1734" s="47" t="e">
        <f t="shared" si="136"/>
        <v>#DIV/0!</v>
      </c>
      <c r="O1734" s="17" t="e">
        <f t="shared" si="137"/>
        <v>#DIV/0!</v>
      </c>
      <c r="P1734" s="17" t="e">
        <f t="shared" si="138"/>
        <v>#DIV/0!</v>
      </c>
      <c r="V1734" s="45" t="e">
        <f t="shared" si="139"/>
        <v>#DIV/0!</v>
      </c>
      <c r="X1734" s="12">
        <v>0.53</v>
      </c>
    </row>
    <row r="1735" spans="1:25" x14ac:dyDescent="0.45">
      <c r="A1735" s="3" t="s">
        <v>3001</v>
      </c>
      <c r="B1735" s="3" t="s">
        <v>3002</v>
      </c>
      <c r="C1735" s="6" t="s">
        <v>519</v>
      </c>
      <c r="D1735" s="6" t="s">
        <v>303</v>
      </c>
      <c r="E1735" s="6" t="s">
        <v>245</v>
      </c>
      <c r="F1735" s="6">
        <v>5544.91</v>
      </c>
      <c r="G1735" s="2">
        <v>2.1800000000000002</v>
      </c>
      <c r="H1735" s="2">
        <v>2.2000000000000002</v>
      </c>
      <c r="I1735" s="2">
        <v>2.48</v>
      </c>
      <c r="J1735" s="47">
        <f t="shared" si="135"/>
        <v>9.174311926605512E-3</v>
      </c>
      <c r="K1735" s="47">
        <f t="shared" si="136"/>
        <v>0.12727272727272718</v>
      </c>
      <c r="L1735" s="8">
        <v>4.26</v>
      </c>
      <c r="M1735" s="8">
        <v>6.16</v>
      </c>
      <c r="N1735" s="8">
        <v>5.46</v>
      </c>
      <c r="O1735" s="17">
        <f t="shared" si="137"/>
        <v>6.714399999999995</v>
      </c>
      <c r="P1735" s="17">
        <f t="shared" si="138"/>
        <v>0.42900000000000033</v>
      </c>
      <c r="R1735" s="9">
        <v>32.630000000000003</v>
      </c>
      <c r="S1735" s="9">
        <v>9.4</v>
      </c>
      <c r="T1735" s="9">
        <v>14500</v>
      </c>
      <c r="U1735" s="9">
        <v>14177</v>
      </c>
      <c r="V1735" s="45">
        <f t="shared" si="139"/>
        <v>2.2783381533469704E-2</v>
      </c>
      <c r="W1735" s="12">
        <v>54.84</v>
      </c>
      <c r="X1735" s="12">
        <v>0</v>
      </c>
      <c r="Y1735" s="12">
        <v>20210809</v>
      </c>
    </row>
    <row r="1736" spans="1:25" x14ac:dyDescent="0.45">
      <c r="A1736" s="3" t="s">
        <v>3001</v>
      </c>
      <c r="B1736" s="3" t="s">
        <v>4912</v>
      </c>
      <c r="C1736" s="6" t="s">
        <v>519</v>
      </c>
      <c r="D1736" s="6" t="s">
        <v>303</v>
      </c>
      <c r="E1736" s="6" t="s">
        <v>245</v>
      </c>
      <c r="F1736" s="6">
        <v>5602.16</v>
      </c>
      <c r="J1736" s="47" t="e">
        <f t="shared" si="135"/>
        <v>#DIV/0!</v>
      </c>
      <c r="K1736" s="47" t="e">
        <f t="shared" si="136"/>
        <v>#DIV/0!</v>
      </c>
      <c r="L1736" s="8">
        <v>4.3099999999999996</v>
      </c>
      <c r="O1736" s="17" t="e">
        <f t="shared" si="137"/>
        <v>#DIV/0!</v>
      </c>
      <c r="P1736" s="17" t="e">
        <f t="shared" si="138"/>
        <v>#DIV/0!</v>
      </c>
      <c r="R1736" s="9">
        <v>32.630000000000003</v>
      </c>
      <c r="S1736" s="9">
        <v>9.4</v>
      </c>
      <c r="U1736" s="9">
        <v>14177</v>
      </c>
      <c r="V1736" s="45">
        <f t="shared" si="139"/>
        <v>-1</v>
      </c>
      <c r="X1736" s="12">
        <v>0</v>
      </c>
      <c r="Y1736" s="12">
        <v>20210809</v>
      </c>
    </row>
    <row r="1737" spans="1:25" x14ac:dyDescent="0.45">
      <c r="A1737" s="3" t="s">
        <v>3003</v>
      </c>
      <c r="B1737" s="3" t="s">
        <v>3004</v>
      </c>
      <c r="C1737" s="6" t="s">
        <v>519</v>
      </c>
      <c r="D1737" s="6" t="s">
        <v>189</v>
      </c>
      <c r="E1737" s="6" t="s">
        <v>3005</v>
      </c>
      <c r="F1737" s="6">
        <v>20440.14</v>
      </c>
      <c r="G1737" s="2">
        <v>9.4499999999999993</v>
      </c>
      <c r="H1737" s="2">
        <v>11.47</v>
      </c>
      <c r="I1737" s="2">
        <v>12.68</v>
      </c>
      <c r="J1737" s="47">
        <f t="shared" si="135"/>
        <v>0.21375661375661392</v>
      </c>
      <c r="K1737" s="47">
        <f t="shared" si="136"/>
        <v>0.10549258936355702</v>
      </c>
      <c r="L1737" s="8">
        <v>18.62</v>
      </c>
      <c r="M1737" s="8">
        <v>15.83</v>
      </c>
      <c r="N1737" s="8">
        <v>14.32</v>
      </c>
      <c r="O1737" s="17">
        <f t="shared" si="137"/>
        <v>0.74056188118811828</v>
      </c>
      <c r="P1737" s="17">
        <f t="shared" si="138"/>
        <v>1.3574413223140507</v>
      </c>
      <c r="Q1737" s="5">
        <v>1.51</v>
      </c>
      <c r="R1737" s="9">
        <v>23.45</v>
      </c>
      <c r="S1737" s="9">
        <v>5.7</v>
      </c>
      <c r="T1737" s="9">
        <v>4615.0620099999996</v>
      </c>
      <c r="U1737" s="9">
        <v>4015.31</v>
      </c>
      <c r="V1737" s="45">
        <f t="shared" si="139"/>
        <v>0.14936630297536174</v>
      </c>
      <c r="W1737" s="12">
        <v>12.3</v>
      </c>
      <c r="X1737" s="12">
        <v>0</v>
      </c>
      <c r="Y1737" s="12">
        <v>20210804</v>
      </c>
    </row>
    <row r="1738" spans="1:25" x14ac:dyDescent="0.45">
      <c r="A1738" s="3" t="s">
        <v>4318</v>
      </c>
      <c r="B1738" s="3" t="s">
        <v>4319</v>
      </c>
      <c r="C1738" s="6" t="s">
        <v>518</v>
      </c>
      <c r="D1738" s="6" t="s">
        <v>46</v>
      </c>
      <c r="E1738" s="6" t="s">
        <v>80</v>
      </c>
      <c r="F1738" s="6">
        <v>12601.43</v>
      </c>
      <c r="H1738" s="2">
        <v>-0.24</v>
      </c>
      <c r="I1738" s="2">
        <v>-0.27</v>
      </c>
      <c r="J1738" s="47" t="e">
        <f t="shared" si="135"/>
        <v>#DIV/0!</v>
      </c>
      <c r="K1738" s="47">
        <f t="shared" si="136"/>
        <v>-0.12500000000000011</v>
      </c>
      <c r="O1738" s="17" t="e">
        <f t="shared" si="137"/>
        <v>#DIV/0!</v>
      </c>
      <c r="P1738" s="17">
        <f t="shared" si="138"/>
        <v>0</v>
      </c>
      <c r="V1738" s="45" t="e">
        <f t="shared" si="139"/>
        <v>#DIV/0!</v>
      </c>
      <c r="W1738" s="12">
        <v>-100</v>
      </c>
      <c r="X1738" s="12">
        <v>0</v>
      </c>
      <c r="Y1738" s="12">
        <v>20210810</v>
      </c>
    </row>
    <row r="1739" spans="1:25" x14ac:dyDescent="0.45">
      <c r="A1739" s="3" t="s">
        <v>3006</v>
      </c>
      <c r="B1739" s="3" t="s">
        <v>3007</v>
      </c>
      <c r="C1739" s="6" t="s">
        <v>518</v>
      </c>
      <c r="D1739" s="6" t="s">
        <v>303</v>
      </c>
      <c r="E1739" s="6" t="s">
        <v>294</v>
      </c>
      <c r="F1739" s="6">
        <v>20811.759999999998</v>
      </c>
      <c r="G1739" s="2">
        <v>2.14</v>
      </c>
      <c r="H1739" s="2">
        <v>2.63</v>
      </c>
      <c r="I1739" s="2">
        <v>3.07</v>
      </c>
      <c r="J1739" s="47">
        <f t="shared" si="135"/>
        <v>0.22897196261682232</v>
      </c>
      <c r="K1739" s="47">
        <f t="shared" si="136"/>
        <v>0.16730038022813687</v>
      </c>
      <c r="L1739" s="8">
        <v>32.4</v>
      </c>
      <c r="M1739" s="8">
        <v>25.71</v>
      </c>
      <c r="N1739" s="8">
        <v>22.05</v>
      </c>
      <c r="O1739" s="17">
        <f t="shared" si="137"/>
        <v>1.1228448979591843</v>
      </c>
      <c r="P1739" s="17">
        <f t="shared" si="138"/>
        <v>1.3179886363636364</v>
      </c>
      <c r="Q1739" s="5">
        <v>2.06</v>
      </c>
      <c r="R1739" s="9">
        <v>25.25</v>
      </c>
      <c r="S1739" s="9">
        <v>6.24</v>
      </c>
      <c r="T1739" s="9">
        <v>5702.4941399999998</v>
      </c>
      <c r="U1739" s="9">
        <v>4968</v>
      </c>
      <c r="V1739" s="45">
        <f t="shared" si="139"/>
        <v>0.14784503623188402</v>
      </c>
      <c r="W1739" s="12">
        <v>10</v>
      </c>
      <c r="X1739" s="12">
        <v>3.13</v>
      </c>
      <c r="Y1739" s="12">
        <v>20210805</v>
      </c>
    </row>
    <row r="1740" spans="1:25" x14ac:dyDescent="0.45">
      <c r="A1740" s="3" t="s">
        <v>3008</v>
      </c>
      <c r="B1740" s="3" t="s">
        <v>3009</v>
      </c>
      <c r="C1740" s="6" t="s">
        <v>518</v>
      </c>
      <c r="D1740" s="6" t="s">
        <v>234</v>
      </c>
      <c r="E1740" s="6" t="s">
        <v>286</v>
      </c>
      <c r="F1740" s="6">
        <v>5380.46</v>
      </c>
      <c r="G1740" s="2">
        <v>2.42</v>
      </c>
      <c r="H1740" s="2">
        <v>2.64</v>
      </c>
      <c r="I1740" s="2">
        <v>2.88</v>
      </c>
      <c r="J1740" s="47">
        <f t="shared" si="135"/>
        <v>9.0909090909090995E-2</v>
      </c>
      <c r="K1740" s="47">
        <f t="shared" si="136"/>
        <v>9.0909090909090814E-2</v>
      </c>
      <c r="L1740" s="8">
        <v>26.61</v>
      </c>
      <c r="M1740" s="8">
        <v>29.63</v>
      </c>
      <c r="N1740" s="8">
        <v>27.14</v>
      </c>
      <c r="O1740" s="17">
        <f t="shared" si="137"/>
        <v>3.259299999999997</v>
      </c>
      <c r="P1740" s="17">
        <f t="shared" si="138"/>
        <v>2.9854000000000034</v>
      </c>
      <c r="R1740" s="9">
        <v>1.3</v>
      </c>
      <c r="S1740" s="9">
        <v>7.05</v>
      </c>
      <c r="T1740" s="9">
        <v>612.60699</v>
      </c>
      <c r="U1740" s="9">
        <v>539.37</v>
      </c>
      <c r="V1740" s="45">
        <f t="shared" si="139"/>
        <v>0.13578246843539685</v>
      </c>
      <c r="W1740" s="12">
        <v>16.920000000000002</v>
      </c>
      <c r="X1740" s="12">
        <v>2.56</v>
      </c>
      <c r="Y1740" s="12">
        <v>20210726</v>
      </c>
    </row>
    <row r="1741" spans="1:25" x14ac:dyDescent="0.45">
      <c r="A1741" s="3" t="s">
        <v>3010</v>
      </c>
      <c r="B1741" s="3" t="s">
        <v>3011</v>
      </c>
      <c r="C1741" s="6" t="s">
        <v>518</v>
      </c>
      <c r="D1741" s="6" t="s">
        <v>189</v>
      </c>
      <c r="E1741" s="6" t="s">
        <v>195</v>
      </c>
      <c r="F1741" s="6">
        <v>5346.19</v>
      </c>
      <c r="G1741" s="2">
        <v>0.1</v>
      </c>
      <c r="H1741" s="2">
        <v>0.24</v>
      </c>
      <c r="I1741" s="2">
        <v>0.51</v>
      </c>
      <c r="J1741" s="47">
        <f t="shared" si="135"/>
        <v>1.3999999999999997</v>
      </c>
      <c r="K1741" s="47">
        <f t="shared" si="136"/>
        <v>1.1250000000000002</v>
      </c>
      <c r="L1741" s="8">
        <v>351.67</v>
      </c>
      <c r="M1741" s="8">
        <v>402.82</v>
      </c>
      <c r="N1741" s="8">
        <v>185.66</v>
      </c>
      <c r="O1741" s="17">
        <f t="shared" si="137"/>
        <v>2.8772857142857147</v>
      </c>
      <c r="P1741" s="17">
        <f t="shared" si="138"/>
        <v>1.6503111111111106</v>
      </c>
      <c r="R1741" s="9">
        <v>-5.25</v>
      </c>
      <c r="S1741" s="9">
        <v>28.18</v>
      </c>
      <c r="T1741" s="9">
        <v>496.12898999999999</v>
      </c>
      <c r="U1741" s="9">
        <v>402.75</v>
      </c>
      <c r="V1741" s="45">
        <f t="shared" si="139"/>
        <v>0.23185348230912473</v>
      </c>
      <c r="W1741" s="12">
        <v>42.86</v>
      </c>
      <c r="X1741" s="12">
        <v>0</v>
      </c>
      <c r="Y1741" s="12">
        <v>20210804</v>
      </c>
    </row>
    <row r="1742" spans="1:25" x14ac:dyDescent="0.45">
      <c r="A1742" s="3" t="s">
        <v>3012</v>
      </c>
      <c r="B1742" s="3" t="s">
        <v>3013</v>
      </c>
      <c r="C1742" s="6" t="s">
        <v>518</v>
      </c>
      <c r="D1742" s="6" t="s">
        <v>309</v>
      </c>
      <c r="E1742" s="6" t="s">
        <v>310</v>
      </c>
      <c r="F1742" s="6">
        <v>4287</v>
      </c>
      <c r="G1742" s="2">
        <v>-0.12</v>
      </c>
      <c r="H1742" s="2">
        <v>5.62</v>
      </c>
      <c r="I1742" s="2">
        <v>6.19</v>
      </c>
      <c r="J1742" s="47">
        <f t="shared" si="135"/>
        <v>47.833333333333336</v>
      </c>
      <c r="K1742" s="47">
        <f t="shared" si="136"/>
        <v>0.10142348754448403</v>
      </c>
      <c r="L1742" s="8">
        <v>36.51</v>
      </c>
      <c r="M1742" s="8">
        <v>14.15</v>
      </c>
      <c r="N1742" s="8">
        <v>12.86</v>
      </c>
      <c r="O1742" s="17">
        <f t="shared" si="137"/>
        <v>2.9581881533101042E-3</v>
      </c>
      <c r="P1742" s="17">
        <f t="shared" si="138"/>
        <v>1.2679508771929819</v>
      </c>
      <c r="R1742" s="9">
        <v>5.26</v>
      </c>
      <c r="S1742" s="9">
        <v>6.76</v>
      </c>
      <c r="T1742" s="9">
        <v>8970.4745999999996</v>
      </c>
      <c r="U1742" s="9">
        <v>8420.1</v>
      </c>
      <c r="V1742" s="45">
        <f t="shared" si="139"/>
        <v>6.536437809527193E-2</v>
      </c>
      <c r="W1742" s="12">
        <v>87.93</v>
      </c>
      <c r="X1742" s="12">
        <v>2.81</v>
      </c>
      <c r="Y1742" s="12">
        <v>20210804</v>
      </c>
    </row>
    <row r="1743" spans="1:25" x14ac:dyDescent="0.45">
      <c r="A1743" s="3" t="s">
        <v>3014</v>
      </c>
      <c r="B1743" s="3" t="s">
        <v>3015</v>
      </c>
      <c r="C1743" s="6" t="s">
        <v>518</v>
      </c>
      <c r="D1743" s="6" t="s">
        <v>46</v>
      </c>
      <c r="E1743" s="6" t="s">
        <v>80</v>
      </c>
      <c r="F1743" s="6">
        <v>39199.81</v>
      </c>
      <c r="G1743" s="2">
        <v>3.4</v>
      </c>
      <c r="H1743" s="2">
        <v>5.1100000000000003</v>
      </c>
      <c r="I1743" s="2">
        <v>5.63</v>
      </c>
      <c r="J1743" s="47">
        <f t="shared" si="135"/>
        <v>0.50294117647058834</v>
      </c>
      <c r="K1743" s="47">
        <f t="shared" si="136"/>
        <v>0.10176125244618386</v>
      </c>
      <c r="L1743" s="8">
        <v>57.97</v>
      </c>
      <c r="M1743" s="8">
        <v>41.5</v>
      </c>
      <c r="N1743" s="8">
        <v>37.69</v>
      </c>
      <c r="O1743" s="17">
        <f t="shared" si="137"/>
        <v>0.82514619883040918</v>
      </c>
      <c r="P1743" s="17">
        <f t="shared" si="138"/>
        <v>3.7037673076923108</v>
      </c>
      <c r="Q1743" s="5">
        <v>2.33</v>
      </c>
      <c r="R1743" s="9">
        <v>35.6</v>
      </c>
      <c r="S1743" s="9">
        <v>3.83</v>
      </c>
      <c r="T1743" s="9">
        <v>5226.3627900000001</v>
      </c>
      <c r="U1743" s="9">
        <v>3952.02</v>
      </c>
      <c r="V1743" s="45">
        <f t="shared" si="139"/>
        <v>0.32245352756311968</v>
      </c>
      <c r="W1743" s="12">
        <v>0.75</v>
      </c>
      <c r="X1743" s="12">
        <v>0</v>
      </c>
      <c r="Y1743" s="12">
        <v>20210802</v>
      </c>
    </row>
    <row r="1744" spans="1:25" x14ac:dyDescent="0.45">
      <c r="A1744" s="3" t="s">
        <v>4913</v>
      </c>
      <c r="B1744" s="3" t="s">
        <v>4914</v>
      </c>
      <c r="C1744" s="6" t="s">
        <v>520</v>
      </c>
      <c r="D1744" s="6" t="s">
        <v>234</v>
      </c>
      <c r="E1744" s="6" t="s">
        <v>105</v>
      </c>
      <c r="F1744" s="6">
        <v>8420.86</v>
      </c>
      <c r="J1744" s="47" t="e">
        <f t="shared" si="135"/>
        <v>#DIV/0!</v>
      </c>
      <c r="K1744" s="47" t="e">
        <f t="shared" si="136"/>
        <v>#DIV/0!</v>
      </c>
      <c r="O1744" s="17" t="e">
        <f t="shared" si="137"/>
        <v>#DIV/0!</v>
      </c>
      <c r="P1744" s="17" t="e">
        <f t="shared" si="138"/>
        <v>#DIV/0!</v>
      </c>
      <c r="R1744" s="9">
        <v>7.16</v>
      </c>
      <c r="U1744" s="9">
        <v>5852.96</v>
      </c>
      <c r="V1744" s="45">
        <f t="shared" si="139"/>
        <v>-1</v>
      </c>
      <c r="X1744" s="12">
        <v>1.43</v>
      </c>
      <c r="Y1744" s="12">
        <v>20210810</v>
      </c>
    </row>
    <row r="1745" spans="1:25" x14ac:dyDescent="0.45">
      <c r="A1745" s="3" t="s">
        <v>3016</v>
      </c>
      <c r="B1745" s="3" t="s">
        <v>3017</v>
      </c>
      <c r="C1745" s="6" t="s">
        <v>518</v>
      </c>
      <c r="D1745" s="6" t="s">
        <v>175</v>
      </c>
      <c r="E1745" s="6" t="s">
        <v>305</v>
      </c>
      <c r="F1745" s="6">
        <v>3299.58</v>
      </c>
      <c r="G1745" s="2">
        <v>0.22</v>
      </c>
      <c r="H1745" s="2">
        <v>0.06</v>
      </c>
      <c r="I1745" s="2">
        <v>0.37</v>
      </c>
      <c r="J1745" s="47">
        <f t="shared" si="135"/>
        <v>-0.72727272727272729</v>
      </c>
      <c r="K1745" s="47">
        <f t="shared" si="136"/>
        <v>5.166666666666667</v>
      </c>
      <c r="L1745" s="8">
        <v>219.23</v>
      </c>
      <c r="M1745" s="8">
        <v>803.83</v>
      </c>
      <c r="N1745" s="8">
        <v>130.35</v>
      </c>
      <c r="O1745" s="17">
        <f t="shared" si="137"/>
        <v>-11.0526625</v>
      </c>
      <c r="P1745" s="17">
        <f t="shared" si="138"/>
        <v>0.2522903225806451</v>
      </c>
      <c r="R1745" s="9">
        <v>-7.92</v>
      </c>
      <c r="S1745" s="9">
        <v>-21.15</v>
      </c>
      <c r="T1745" s="9">
        <v>509.27600000000001</v>
      </c>
      <c r="U1745" s="9">
        <v>443.03</v>
      </c>
      <c r="V1745" s="45">
        <f t="shared" si="139"/>
        <v>0.14952937724307619</v>
      </c>
      <c r="W1745" s="12">
        <v>133.33000000000001</v>
      </c>
      <c r="X1745" s="12">
        <v>0</v>
      </c>
      <c r="Y1745" s="12">
        <v>20210809</v>
      </c>
    </row>
    <row r="1746" spans="1:25" x14ac:dyDescent="0.45">
      <c r="A1746" s="3" t="s">
        <v>3018</v>
      </c>
      <c r="B1746" s="3" t="s">
        <v>3019</v>
      </c>
      <c r="C1746" s="6" t="s">
        <v>520</v>
      </c>
      <c r="D1746" s="6" t="s">
        <v>175</v>
      </c>
      <c r="E1746" s="6" t="s">
        <v>1922</v>
      </c>
      <c r="F1746" s="6">
        <v>14356.18</v>
      </c>
      <c r="G1746" s="2">
        <v>1.56</v>
      </c>
      <c r="H1746" s="2">
        <v>2.35</v>
      </c>
      <c r="I1746" s="2">
        <v>2.58</v>
      </c>
      <c r="J1746" s="47">
        <f t="shared" si="135"/>
        <v>0.50641025641025639</v>
      </c>
      <c r="K1746" s="47">
        <f t="shared" si="136"/>
        <v>9.7872340425531903E-2</v>
      </c>
      <c r="L1746" s="8">
        <v>24.09</v>
      </c>
      <c r="M1746" s="8">
        <v>16.600000000000001</v>
      </c>
      <c r="N1746" s="8">
        <v>15.12</v>
      </c>
      <c r="O1746" s="17">
        <f t="shared" si="137"/>
        <v>0.32779746835443047</v>
      </c>
      <c r="P1746" s="17">
        <f t="shared" si="138"/>
        <v>1.5448695652173914</v>
      </c>
      <c r="R1746" s="9">
        <v>11.7</v>
      </c>
      <c r="S1746" s="9">
        <v>1.48</v>
      </c>
      <c r="T1746" s="9">
        <v>28435</v>
      </c>
      <c r="U1746" s="9">
        <v>23664.16</v>
      </c>
      <c r="V1746" s="45">
        <f t="shared" si="139"/>
        <v>0.20160614194630191</v>
      </c>
      <c r="X1746" s="12">
        <v>1.96</v>
      </c>
      <c r="Y1746" s="12">
        <v>20210720</v>
      </c>
    </row>
    <row r="1747" spans="1:25" x14ac:dyDescent="0.45">
      <c r="A1747" s="3" t="s">
        <v>3020</v>
      </c>
      <c r="B1747" s="3" t="s">
        <v>3021</v>
      </c>
      <c r="C1747" s="6" t="s">
        <v>519</v>
      </c>
      <c r="D1747" s="6" t="s">
        <v>279</v>
      </c>
      <c r="E1747" s="6" t="s">
        <v>256</v>
      </c>
      <c r="F1747" s="6">
        <v>6369.02</v>
      </c>
      <c r="G1747" s="2">
        <v>-3.82</v>
      </c>
      <c r="H1747" s="2">
        <v>-6.22</v>
      </c>
      <c r="I1747" s="2">
        <v>-5.22</v>
      </c>
      <c r="J1747" s="47">
        <f t="shared" si="135"/>
        <v>-0.62827225130890052</v>
      </c>
      <c r="K1747" s="47">
        <f t="shared" si="136"/>
        <v>0.16077170418006431</v>
      </c>
      <c r="O1747" s="17">
        <f t="shared" si="137"/>
        <v>0</v>
      </c>
      <c r="P1747" s="17">
        <f t="shared" si="138"/>
        <v>0</v>
      </c>
      <c r="R1747" s="9">
        <v>-38.24</v>
      </c>
      <c r="S1747" s="9">
        <v>140.18</v>
      </c>
      <c r="T1747" s="9">
        <v>348.72899999999998</v>
      </c>
      <c r="U1747" s="9">
        <v>271.02999999999997</v>
      </c>
      <c r="V1747" s="45">
        <f t="shared" si="139"/>
        <v>0.28668044127956321</v>
      </c>
      <c r="W1747" s="12">
        <v>-62.4</v>
      </c>
      <c r="X1747" s="12">
        <v>0</v>
      </c>
      <c r="Y1747" s="12">
        <v>20210729</v>
      </c>
    </row>
    <row r="1748" spans="1:25" x14ac:dyDescent="0.45">
      <c r="A1748" s="3" t="s">
        <v>3022</v>
      </c>
      <c r="B1748" s="3" t="s">
        <v>3023</v>
      </c>
      <c r="C1748" s="6" t="s">
        <v>518</v>
      </c>
      <c r="D1748" s="6" t="s">
        <v>175</v>
      </c>
      <c r="E1748" s="6" t="s">
        <v>1036</v>
      </c>
      <c r="F1748" s="6">
        <v>6360.86</v>
      </c>
      <c r="G1748" s="2">
        <v>1.72</v>
      </c>
      <c r="H1748" s="2">
        <v>1.81</v>
      </c>
      <c r="I1748" s="2">
        <v>2.09</v>
      </c>
      <c r="J1748" s="47">
        <f t="shared" si="135"/>
        <v>5.2325581395348882E-2</v>
      </c>
      <c r="K1748" s="47">
        <f t="shared" si="136"/>
        <v>0.15469613259668497</v>
      </c>
      <c r="L1748" s="8">
        <v>33.520000000000003</v>
      </c>
      <c r="M1748" s="8">
        <v>31.83</v>
      </c>
      <c r="N1748" s="8">
        <v>27.59</v>
      </c>
      <c r="O1748" s="17">
        <f t="shared" si="137"/>
        <v>6.0830666666666611</v>
      </c>
      <c r="P1748" s="17">
        <f t="shared" si="138"/>
        <v>1.7834964285714299</v>
      </c>
      <c r="Q1748" s="5">
        <v>4.55</v>
      </c>
      <c r="R1748" s="9">
        <v>19.559999999999999</v>
      </c>
      <c r="S1748" s="9">
        <v>28.58</v>
      </c>
      <c r="T1748" s="9">
        <v>1482.9499499999999</v>
      </c>
      <c r="U1748" s="9">
        <v>1377.26</v>
      </c>
      <c r="V1748" s="45">
        <f t="shared" si="139"/>
        <v>7.6739286699679041E-2</v>
      </c>
      <c r="W1748" s="12">
        <v>4.17</v>
      </c>
      <c r="X1748" s="12">
        <v>0.76</v>
      </c>
      <c r="Y1748" s="12">
        <v>20210805</v>
      </c>
    </row>
    <row r="1749" spans="1:25" x14ac:dyDescent="0.45">
      <c r="A1749" s="3" t="s">
        <v>3024</v>
      </c>
      <c r="B1749" s="3" t="s">
        <v>3025</v>
      </c>
      <c r="C1749" s="6" t="s">
        <v>518</v>
      </c>
      <c r="D1749" s="6" t="s">
        <v>272</v>
      </c>
      <c r="E1749" s="6" t="s">
        <v>252</v>
      </c>
      <c r="F1749" s="6">
        <v>5616.27</v>
      </c>
      <c r="G1749" s="2">
        <v>5.57</v>
      </c>
      <c r="H1749" s="2">
        <v>7.61</v>
      </c>
      <c r="I1749" s="2">
        <v>8.49</v>
      </c>
      <c r="J1749" s="47">
        <f t="shared" si="135"/>
        <v>0.36624775583482944</v>
      </c>
      <c r="K1749" s="47">
        <f t="shared" si="136"/>
        <v>0.11563731931668855</v>
      </c>
      <c r="L1749" s="8">
        <v>21.46</v>
      </c>
      <c r="M1749" s="8">
        <v>18.16</v>
      </c>
      <c r="N1749" s="8">
        <v>16.27</v>
      </c>
      <c r="O1749" s="17">
        <f t="shared" si="137"/>
        <v>0.49583921568627454</v>
      </c>
      <c r="P1749" s="17">
        <f t="shared" si="138"/>
        <v>1.4069852272727275</v>
      </c>
      <c r="Q1749" s="5">
        <v>1.82</v>
      </c>
      <c r="R1749" s="9">
        <v>10.53</v>
      </c>
      <c r="S1749" s="9">
        <v>-2.19</v>
      </c>
      <c r="T1749" s="9">
        <v>3183.4599600000001</v>
      </c>
      <c r="U1749" s="9">
        <v>2907</v>
      </c>
      <c r="V1749" s="45">
        <f t="shared" si="139"/>
        <v>9.5101465428276619E-2</v>
      </c>
      <c r="W1749" s="12">
        <v>17.86</v>
      </c>
      <c r="X1749" s="12">
        <v>0.87</v>
      </c>
      <c r="Y1749" s="12">
        <v>20210802</v>
      </c>
    </row>
    <row r="1750" spans="1:25" x14ac:dyDescent="0.45">
      <c r="A1750" s="3" t="s">
        <v>3026</v>
      </c>
      <c r="B1750" s="3" t="s">
        <v>3027</v>
      </c>
      <c r="C1750" s="6" t="s">
        <v>520</v>
      </c>
      <c r="D1750" s="6" t="s">
        <v>225</v>
      </c>
      <c r="E1750" s="6" t="s">
        <v>1152</v>
      </c>
      <c r="F1750" s="6">
        <v>65988.509999999995</v>
      </c>
      <c r="G1750" s="2">
        <v>0.85</v>
      </c>
      <c r="H1750" s="2">
        <v>0.83</v>
      </c>
      <c r="I1750" s="2">
        <v>0.93</v>
      </c>
      <c r="J1750" s="47">
        <f t="shared" si="135"/>
        <v>-2.3529411764705903E-2</v>
      </c>
      <c r="K1750" s="47">
        <f t="shared" si="136"/>
        <v>0.12048192771084348</v>
      </c>
      <c r="M1750" s="8">
        <v>22.17</v>
      </c>
      <c r="N1750" s="8">
        <v>19.899999999999999</v>
      </c>
      <c r="O1750" s="17">
        <f t="shared" si="137"/>
        <v>-9.4222499999999929</v>
      </c>
      <c r="P1750" s="17">
        <f t="shared" si="138"/>
        <v>1.6516999999999984</v>
      </c>
      <c r="T1750" s="9">
        <v>18662.41992</v>
      </c>
      <c r="U1750" s="9">
        <v>17969.04</v>
      </c>
      <c r="V1750" s="45">
        <f t="shared" si="139"/>
        <v>3.8587477127325631E-2</v>
      </c>
      <c r="X1750" s="12">
        <v>2.76</v>
      </c>
    </row>
    <row r="1751" spans="1:25" x14ac:dyDescent="0.45">
      <c r="A1751" s="3" t="s">
        <v>4320</v>
      </c>
      <c r="B1751" s="3" t="s">
        <v>4321</v>
      </c>
      <c r="C1751" s="6" t="s">
        <v>518</v>
      </c>
      <c r="D1751" s="6" t="s">
        <v>216</v>
      </c>
      <c r="E1751" s="6" t="s">
        <v>228</v>
      </c>
      <c r="F1751" s="6">
        <v>46998.87</v>
      </c>
      <c r="H1751" s="2">
        <v>0.89</v>
      </c>
      <c r="I1751" s="2">
        <v>0.84</v>
      </c>
      <c r="J1751" s="47" t="e">
        <f t="shared" si="135"/>
        <v>#DIV/0!</v>
      </c>
      <c r="K1751" s="47">
        <f t="shared" si="136"/>
        <v>-5.6179775280898923E-2</v>
      </c>
      <c r="M1751" s="8">
        <v>102.68</v>
      </c>
      <c r="N1751" s="8">
        <v>107.95</v>
      </c>
      <c r="O1751" s="17" t="e">
        <f t="shared" si="137"/>
        <v>#DIV/0!</v>
      </c>
      <c r="P1751" s="17">
        <f t="shared" si="138"/>
        <v>-19.215099999999985</v>
      </c>
      <c r="Q1751" s="5">
        <v>90.07</v>
      </c>
      <c r="T1751" s="9">
        <v>2618.7829499999998</v>
      </c>
      <c r="U1751" s="9">
        <v>923.89</v>
      </c>
      <c r="V1751" s="45">
        <f t="shared" si="139"/>
        <v>1.8345181244520452</v>
      </c>
      <c r="W1751" s="12">
        <v>-319.05</v>
      </c>
      <c r="X1751" s="12">
        <v>0</v>
      </c>
      <c r="Y1751" s="12">
        <v>20210809</v>
      </c>
    </row>
    <row r="1752" spans="1:25" x14ac:dyDescent="0.45">
      <c r="A1752" s="3" t="s">
        <v>4915</v>
      </c>
      <c r="B1752" s="3" t="s">
        <v>4916</v>
      </c>
      <c r="C1752" s="6" t="s">
        <v>520</v>
      </c>
      <c r="D1752" s="6" t="s">
        <v>279</v>
      </c>
      <c r="E1752" s="6" t="s">
        <v>258</v>
      </c>
      <c r="F1752" s="6">
        <v>11759.1</v>
      </c>
      <c r="G1752" s="2">
        <v>2.2999999999999998</v>
      </c>
      <c r="J1752" s="47">
        <f t="shared" si="135"/>
        <v>-1</v>
      </c>
      <c r="K1752" s="47" t="e">
        <f t="shared" si="136"/>
        <v>#DIV/0!</v>
      </c>
      <c r="L1752" s="8">
        <v>24.67</v>
      </c>
      <c r="O1752" s="17">
        <f t="shared" si="137"/>
        <v>0</v>
      </c>
      <c r="P1752" s="17" t="e">
        <f t="shared" si="138"/>
        <v>#DIV/0!</v>
      </c>
      <c r="R1752" s="9">
        <v>34.630000000000003</v>
      </c>
      <c r="U1752" s="9">
        <v>1641.27</v>
      </c>
      <c r="V1752" s="45">
        <f t="shared" si="139"/>
        <v>-1</v>
      </c>
      <c r="X1752" s="12">
        <v>0</v>
      </c>
      <c r="Y1752" s="12">
        <v>20210610</v>
      </c>
    </row>
    <row r="1753" spans="1:25" x14ac:dyDescent="0.45">
      <c r="A1753" s="3" t="s">
        <v>3028</v>
      </c>
      <c r="B1753" s="3" t="s">
        <v>3029</v>
      </c>
      <c r="C1753" s="6" t="s">
        <v>518</v>
      </c>
      <c r="D1753" s="6" t="s">
        <v>216</v>
      </c>
      <c r="E1753" s="6" t="s">
        <v>1052</v>
      </c>
      <c r="F1753" s="6">
        <v>26044.05</v>
      </c>
      <c r="G1753" s="2">
        <v>2.59</v>
      </c>
      <c r="H1753" s="2">
        <v>3.05</v>
      </c>
      <c r="I1753" s="2">
        <v>3.51</v>
      </c>
      <c r="J1753" s="47">
        <f t="shared" si="135"/>
        <v>0.17760617760617761</v>
      </c>
      <c r="K1753" s="47">
        <f t="shared" si="136"/>
        <v>0.15081967213114753</v>
      </c>
      <c r="L1753" s="8">
        <v>19.760000000000002</v>
      </c>
      <c r="M1753" s="8">
        <v>16.899999999999999</v>
      </c>
      <c r="N1753" s="8">
        <v>14.69</v>
      </c>
      <c r="O1753" s="17">
        <f t="shared" si="137"/>
        <v>0.95154347826086938</v>
      </c>
      <c r="P1753" s="17">
        <f t="shared" si="138"/>
        <v>0.97401086956521743</v>
      </c>
      <c r="Q1753" s="5">
        <v>2.25</v>
      </c>
      <c r="R1753" s="9">
        <v>17.829999999999998</v>
      </c>
      <c r="S1753" s="9">
        <v>0.93</v>
      </c>
      <c r="T1753" s="9">
        <v>11721.72753</v>
      </c>
      <c r="U1753" s="9">
        <v>10388.57</v>
      </c>
      <c r="V1753" s="45">
        <f t="shared" si="139"/>
        <v>0.1283292628340571</v>
      </c>
      <c r="W1753" s="12">
        <v>17.309999999999999</v>
      </c>
      <c r="X1753" s="12">
        <v>1.49</v>
      </c>
      <c r="Y1753" s="12">
        <v>20210728</v>
      </c>
    </row>
    <row r="1754" spans="1:25" x14ac:dyDescent="0.45">
      <c r="A1754" s="3" t="s">
        <v>4322</v>
      </c>
      <c r="B1754" s="3" t="s">
        <v>4323</v>
      </c>
      <c r="C1754" s="6" t="s">
        <v>519</v>
      </c>
      <c r="D1754" s="6" t="s">
        <v>216</v>
      </c>
      <c r="E1754" s="6" t="s">
        <v>429</v>
      </c>
      <c r="F1754" s="6">
        <v>4200.7</v>
      </c>
      <c r="G1754" s="2">
        <v>3.55</v>
      </c>
      <c r="H1754" s="2">
        <v>5.6</v>
      </c>
      <c r="I1754" s="2">
        <v>6.43</v>
      </c>
      <c r="J1754" s="47">
        <f t="shared" si="135"/>
        <v>0.57746478873239437</v>
      </c>
      <c r="K1754" s="47">
        <f t="shared" si="136"/>
        <v>0.14821428571428574</v>
      </c>
      <c r="L1754" s="8">
        <v>15.12</v>
      </c>
      <c r="M1754" s="8">
        <v>11.31</v>
      </c>
      <c r="N1754" s="8">
        <v>9.84</v>
      </c>
      <c r="O1754" s="17">
        <f t="shared" si="137"/>
        <v>0.19585609756097561</v>
      </c>
      <c r="P1754" s="17">
        <f t="shared" si="138"/>
        <v>0.66390361445783119</v>
      </c>
      <c r="R1754" s="9">
        <v>41.79</v>
      </c>
      <c r="S1754" s="9">
        <v>-1.28</v>
      </c>
      <c r="T1754" s="9">
        <v>4512.2680600000003</v>
      </c>
      <c r="U1754" s="9">
        <v>2814.19</v>
      </c>
      <c r="V1754" s="45">
        <f t="shared" si="139"/>
        <v>0.60339851253824373</v>
      </c>
      <c r="W1754" s="12">
        <v>18.920000000000002</v>
      </c>
      <c r="X1754" s="12">
        <v>1.96</v>
      </c>
      <c r="Y1754" s="12">
        <v>20210804</v>
      </c>
    </row>
    <row r="1755" spans="1:25" x14ac:dyDescent="0.45">
      <c r="A1755" s="3" t="s">
        <v>3030</v>
      </c>
      <c r="B1755" s="3" t="s">
        <v>3031</v>
      </c>
      <c r="C1755" s="6" t="s">
        <v>518</v>
      </c>
      <c r="D1755" s="6" t="s">
        <v>216</v>
      </c>
      <c r="E1755" s="6" t="s">
        <v>1102</v>
      </c>
      <c r="F1755" s="6">
        <v>23621.61</v>
      </c>
      <c r="G1755" s="2">
        <v>-18.3</v>
      </c>
      <c r="H1755" s="2">
        <v>-13.58</v>
      </c>
      <c r="I1755" s="2">
        <v>1.37</v>
      </c>
      <c r="J1755" s="47">
        <f t="shared" si="135"/>
        <v>0.25792349726775959</v>
      </c>
      <c r="K1755" s="47">
        <f t="shared" si="136"/>
        <v>1.100883652430044</v>
      </c>
      <c r="N1755" s="8">
        <v>67.92</v>
      </c>
      <c r="O1755" s="17">
        <f t="shared" si="137"/>
        <v>0</v>
      </c>
      <c r="P1755" s="17">
        <f t="shared" si="138"/>
        <v>0.6169589297658864</v>
      </c>
      <c r="R1755" s="9">
        <v>-53.29</v>
      </c>
      <c r="T1755" s="9">
        <v>2366.1000899999999</v>
      </c>
      <c r="U1755" s="9">
        <v>2208.8000000000002</v>
      </c>
      <c r="V1755" s="45">
        <f t="shared" si="139"/>
        <v>7.1215180188337432E-2</v>
      </c>
      <c r="W1755" s="12">
        <v>2.2000000000000002</v>
      </c>
      <c r="X1755" s="12">
        <v>0</v>
      </c>
      <c r="Y1755" s="12">
        <v>20210809</v>
      </c>
    </row>
    <row r="1756" spans="1:25" x14ac:dyDescent="0.45">
      <c r="A1756" s="3" t="s">
        <v>3888</v>
      </c>
      <c r="B1756" s="3" t="s">
        <v>3889</v>
      </c>
      <c r="C1756" s="6" t="s">
        <v>519</v>
      </c>
      <c r="D1756" s="6" t="s">
        <v>234</v>
      </c>
      <c r="E1756" s="6" t="s">
        <v>221</v>
      </c>
      <c r="F1756" s="6">
        <v>5830.66</v>
      </c>
      <c r="G1756" s="2">
        <v>0.13</v>
      </c>
      <c r="H1756" s="2">
        <v>-2.0299999999999998</v>
      </c>
      <c r="I1756" s="2">
        <v>0.5</v>
      </c>
      <c r="J1756" s="47">
        <f t="shared" si="135"/>
        <v>-16.615384615384613</v>
      </c>
      <c r="K1756" s="47">
        <f t="shared" si="136"/>
        <v>1.2463054187192117</v>
      </c>
      <c r="N1756" s="8">
        <v>44.08</v>
      </c>
      <c r="O1756" s="17">
        <f t="shared" si="137"/>
        <v>0</v>
      </c>
      <c r="P1756" s="17">
        <f t="shared" si="138"/>
        <v>0.3536853754940712</v>
      </c>
      <c r="R1756" s="9">
        <v>74.819999999999993</v>
      </c>
      <c r="S1756" s="9">
        <v>33.549999999999997</v>
      </c>
      <c r="T1756" s="9">
        <v>1453.1999499999999</v>
      </c>
      <c r="U1756" s="9">
        <v>1270.8</v>
      </c>
      <c r="V1756" s="45">
        <f t="shared" si="139"/>
        <v>0.14353159427132514</v>
      </c>
      <c r="W1756" s="12">
        <v>-2533.33</v>
      </c>
      <c r="X1756" s="12">
        <v>0</v>
      </c>
      <c r="Y1756" s="12">
        <v>20210803</v>
      </c>
    </row>
    <row r="1757" spans="1:25" x14ac:dyDescent="0.45">
      <c r="A1757" s="3" t="s">
        <v>3032</v>
      </c>
      <c r="B1757" s="3" t="s">
        <v>3033</v>
      </c>
      <c r="C1757" s="6" t="s">
        <v>520</v>
      </c>
      <c r="D1757" s="6" t="s">
        <v>175</v>
      </c>
      <c r="E1757" s="6" t="s">
        <v>193</v>
      </c>
      <c r="F1757" s="6">
        <v>86782.48</v>
      </c>
      <c r="G1757" s="2">
        <v>0.74</v>
      </c>
      <c r="H1757" s="2">
        <v>1.2</v>
      </c>
      <c r="I1757" s="2">
        <v>1.6</v>
      </c>
      <c r="J1757" s="47">
        <f t="shared" si="135"/>
        <v>0.6216216216216216</v>
      </c>
      <c r="K1757" s="47">
        <f t="shared" si="136"/>
        <v>0.33333333333333348</v>
      </c>
      <c r="L1757" s="8">
        <v>66.599999999999994</v>
      </c>
      <c r="M1757" s="8">
        <v>43.29</v>
      </c>
      <c r="N1757" s="8">
        <v>32.47</v>
      </c>
      <c r="O1757" s="17">
        <f t="shared" si="137"/>
        <v>0.69640434782608696</v>
      </c>
      <c r="P1757" s="17">
        <f t="shared" si="138"/>
        <v>0.97409999999999952</v>
      </c>
      <c r="R1757" s="9">
        <v>12.66</v>
      </c>
      <c r="S1757" s="9">
        <v>4.92</v>
      </c>
      <c r="T1757" s="9">
        <v>23275.359369999998</v>
      </c>
      <c r="U1757" s="9">
        <v>21408.82</v>
      </c>
      <c r="V1757" s="45">
        <f t="shared" si="139"/>
        <v>8.7185532411407946E-2</v>
      </c>
      <c r="X1757" s="12">
        <v>0</v>
      </c>
      <c r="Y1757" s="12">
        <v>20210825</v>
      </c>
    </row>
    <row r="1758" spans="1:25" x14ac:dyDescent="0.45">
      <c r="A1758" s="3" t="s">
        <v>4917</v>
      </c>
      <c r="B1758" s="3" t="s">
        <v>4918</v>
      </c>
      <c r="C1758" s="6" t="s">
        <v>520</v>
      </c>
      <c r="D1758" s="6" t="s">
        <v>327</v>
      </c>
      <c r="E1758" s="6" t="s">
        <v>321</v>
      </c>
      <c r="F1758" s="6">
        <v>11059.68</v>
      </c>
      <c r="J1758" s="47" t="e">
        <f t="shared" si="135"/>
        <v>#DIV/0!</v>
      </c>
      <c r="K1758" s="47" t="e">
        <f t="shared" si="136"/>
        <v>#DIV/0!</v>
      </c>
      <c r="O1758" s="17" t="e">
        <f t="shared" si="137"/>
        <v>#DIV/0!</v>
      </c>
      <c r="P1758" s="17" t="e">
        <f t="shared" si="138"/>
        <v>#DIV/0!</v>
      </c>
      <c r="V1758" s="45" t="e">
        <f t="shared" si="139"/>
        <v>#DIV/0!</v>
      </c>
      <c r="X1758" s="12">
        <v>2.3199999999999998</v>
      </c>
    </row>
    <row r="1759" spans="1:25" x14ac:dyDescent="0.45">
      <c r="A1759" s="3" t="s">
        <v>3034</v>
      </c>
      <c r="B1759" s="3" t="s">
        <v>3035</v>
      </c>
      <c r="C1759" s="6" t="s">
        <v>519</v>
      </c>
      <c r="D1759" s="6" t="s">
        <v>234</v>
      </c>
      <c r="E1759" s="6" t="s">
        <v>284</v>
      </c>
      <c r="F1759" s="6">
        <v>6505.72</v>
      </c>
      <c r="G1759" s="2">
        <v>-0.34</v>
      </c>
      <c r="H1759" s="2">
        <v>-0.6</v>
      </c>
      <c r="I1759" s="2">
        <v>-7.0000000000000007E-2</v>
      </c>
      <c r="J1759" s="47">
        <f t="shared" si="135"/>
        <v>-0.76470588235294101</v>
      </c>
      <c r="K1759" s="47">
        <f t="shared" si="136"/>
        <v>0.88333333333333341</v>
      </c>
      <c r="O1759" s="17">
        <f t="shared" si="137"/>
        <v>0</v>
      </c>
      <c r="P1759" s="17">
        <f t="shared" si="138"/>
        <v>0</v>
      </c>
      <c r="R1759" s="9">
        <v>1.37</v>
      </c>
      <c r="S1759" s="9">
        <v>38.049999999999997</v>
      </c>
      <c r="T1759" s="9">
        <v>1698.3659600000001</v>
      </c>
      <c r="U1759" s="9">
        <v>886.09</v>
      </c>
      <c r="V1759" s="45">
        <f t="shared" si="139"/>
        <v>0.91669690437765916</v>
      </c>
      <c r="W1759" s="12">
        <v>-12.12</v>
      </c>
      <c r="X1759" s="12">
        <v>0</v>
      </c>
      <c r="Y1759" s="12">
        <v>20210729</v>
      </c>
    </row>
    <row r="1760" spans="1:25" x14ac:dyDescent="0.45">
      <c r="A1760" s="3" t="s">
        <v>3036</v>
      </c>
      <c r="B1760" s="3" t="s">
        <v>3037</v>
      </c>
      <c r="C1760" s="6" t="s">
        <v>518</v>
      </c>
      <c r="D1760" s="6" t="s">
        <v>234</v>
      </c>
      <c r="E1760" s="6" t="s">
        <v>243</v>
      </c>
      <c r="F1760" s="6">
        <v>4415.59</v>
      </c>
      <c r="G1760" s="2">
        <v>1.68</v>
      </c>
      <c r="H1760" s="2">
        <v>2.71</v>
      </c>
      <c r="I1760" s="2">
        <v>3.02</v>
      </c>
      <c r="J1760" s="47">
        <f t="shared" si="135"/>
        <v>0.61309523809523814</v>
      </c>
      <c r="K1760" s="47">
        <f t="shared" si="136"/>
        <v>0.11439114391143913</v>
      </c>
      <c r="L1760" s="8">
        <v>14.43</v>
      </c>
      <c r="M1760" s="8">
        <v>8.5299999999999994</v>
      </c>
      <c r="N1760" s="8">
        <v>7.65</v>
      </c>
      <c r="O1760" s="17">
        <f t="shared" si="137"/>
        <v>0.13913009708737864</v>
      </c>
      <c r="P1760" s="17">
        <f t="shared" si="138"/>
        <v>0.66875806451612896</v>
      </c>
      <c r="Q1760" s="5">
        <v>1.71</v>
      </c>
      <c r="R1760" s="9">
        <v>7.5</v>
      </c>
      <c r="S1760" s="9">
        <v>5.48</v>
      </c>
      <c r="U1760" s="9">
        <v>1438.62</v>
      </c>
      <c r="V1760" s="45">
        <f t="shared" si="139"/>
        <v>-1</v>
      </c>
      <c r="W1760" s="12">
        <v>1.49</v>
      </c>
      <c r="X1760" s="12">
        <v>2.4300000000000002</v>
      </c>
      <c r="Y1760" s="12">
        <v>20210806</v>
      </c>
    </row>
    <row r="1761" spans="1:25" x14ac:dyDescent="0.45">
      <c r="A1761" s="3" t="s">
        <v>3038</v>
      </c>
      <c r="B1761" s="3" t="s">
        <v>3039</v>
      </c>
      <c r="C1761" s="6" t="s">
        <v>518</v>
      </c>
      <c r="D1761" s="6" t="s">
        <v>289</v>
      </c>
      <c r="E1761" s="6" t="s">
        <v>275</v>
      </c>
      <c r="F1761" s="6">
        <v>155445.79999999999</v>
      </c>
      <c r="G1761" s="2">
        <v>1.31</v>
      </c>
      <c r="H1761" s="2">
        <v>4.28</v>
      </c>
      <c r="I1761" s="2">
        <v>4.95</v>
      </c>
      <c r="J1761" s="47">
        <f t="shared" si="135"/>
        <v>2.2671755725190841</v>
      </c>
      <c r="K1761" s="47">
        <f t="shared" si="136"/>
        <v>0.15654205607476632</v>
      </c>
      <c r="L1761" s="8">
        <v>30.17</v>
      </c>
      <c r="M1761" s="8">
        <v>9.3000000000000007</v>
      </c>
      <c r="N1761" s="8">
        <v>8.0500000000000007</v>
      </c>
      <c r="O1761" s="17">
        <f t="shared" si="137"/>
        <v>4.1020202020202019E-2</v>
      </c>
      <c r="P1761" s="17">
        <f t="shared" si="138"/>
        <v>0.51423880597014937</v>
      </c>
      <c r="Q1761" s="5">
        <v>2.33</v>
      </c>
      <c r="R1761" s="9">
        <v>3.23</v>
      </c>
      <c r="S1761" s="9">
        <v>-0.82</v>
      </c>
      <c r="T1761" s="9">
        <v>309946.59375</v>
      </c>
      <c r="U1761" s="9">
        <v>183196</v>
      </c>
      <c r="V1761" s="45">
        <f t="shared" si="139"/>
        <v>0.6918851598834036</v>
      </c>
      <c r="W1761" s="12">
        <v>3.8</v>
      </c>
      <c r="X1761" s="12">
        <v>3.49</v>
      </c>
      <c r="Y1761" s="12">
        <v>20210729</v>
      </c>
    </row>
    <row r="1762" spans="1:25" x14ac:dyDescent="0.45">
      <c r="A1762" s="3" t="s">
        <v>3038</v>
      </c>
      <c r="B1762" s="3" t="s">
        <v>4919</v>
      </c>
      <c r="C1762" s="6" t="s">
        <v>518</v>
      </c>
      <c r="D1762" s="6" t="s">
        <v>289</v>
      </c>
      <c r="E1762" s="6" t="s">
        <v>275</v>
      </c>
      <c r="F1762" s="6">
        <v>146272.07999999999</v>
      </c>
      <c r="J1762" s="47" t="e">
        <f t="shared" si="135"/>
        <v>#DIV/0!</v>
      </c>
      <c r="K1762" s="47" t="e">
        <f t="shared" si="136"/>
        <v>#DIV/0!</v>
      </c>
      <c r="L1762" s="8">
        <v>28.39</v>
      </c>
      <c r="O1762" s="17" t="e">
        <f t="shared" si="137"/>
        <v>#DIV/0!</v>
      </c>
      <c r="P1762" s="17" t="e">
        <f t="shared" si="138"/>
        <v>#DIV/0!</v>
      </c>
      <c r="R1762" s="9">
        <v>3.23</v>
      </c>
      <c r="S1762" s="9">
        <v>-0.69</v>
      </c>
      <c r="U1762" s="9">
        <v>183196</v>
      </c>
      <c r="V1762" s="45">
        <f t="shared" si="139"/>
        <v>-1</v>
      </c>
      <c r="X1762" s="12">
        <v>3.7</v>
      </c>
      <c r="Y1762" s="12">
        <v>20210729</v>
      </c>
    </row>
    <row r="1763" spans="1:25" x14ac:dyDescent="0.45">
      <c r="A1763" s="3" t="s">
        <v>3040</v>
      </c>
      <c r="B1763" s="3" t="s">
        <v>3041</v>
      </c>
      <c r="C1763" s="6" t="s">
        <v>520</v>
      </c>
      <c r="D1763" s="6" t="s">
        <v>90</v>
      </c>
      <c r="E1763" s="6" t="s">
        <v>196</v>
      </c>
      <c r="F1763" s="6">
        <v>33804.04</v>
      </c>
      <c r="G1763" s="2">
        <v>1.27</v>
      </c>
      <c r="H1763" s="2">
        <v>1.5</v>
      </c>
      <c r="I1763" s="2">
        <v>1.66</v>
      </c>
      <c r="J1763" s="47">
        <f t="shared" si="135"/>
        <v>0.18110236220472439</v>
      </c>
      <c r="K1763" s="47">
        <f t="shared" si="136"/>
        <v>0.10666666666666662</v>
      </c>
      <c r="L1763" s="8">
        <v>38.18</v>
      </c>
      <c r="M1763" s="8">
        <v>31.12</v>
      </c>
      <c r="N1763" s="8">
        <v>28.12</v>
      </c>
      <c r="O1763" s="17">
        <f t="shared" si="137"/>
        <v>1.7183652173913044</v>
      </c>
      <c r="P1763" s="17">
        <f t="shared" si="138"/>
        <v>2.6362500000000013</v>
      </c>
      <c r="Q1763" s="5">
        <v>2.34</v>
      </c>
      <c r="R1763" s="9">
        <v>10.06</v>
      </c>
      <c r="S1763" s="9">
        <v>2.98</v>
      </c>
      <c r="T1763" s="9">
        <v>10361.905269999999</v>
      </c>
      <c r="U1763" s="9">
        <v>9258.7000000000007</v>
      </c>
      <c r="V1763" s="45">
        <f t="shared" si="139"/>
        <v>0.11915336602330764</v>
      </c>
      <c r="W1763" s="12">
        <v>38.1</v>
      </c>
      <c r="X1763" s="12">
        <v>1.68</v>
      </c>
      <c r="Y1763" s="12">
        <v>20210610</v>
      </c>
    </row>
    <row r="1764" spans="1:25" x14ac:dyDescent="0.45">
      <c r="A1764" s="3" t="s">
        <v>3042</v>
      </c>
      <c r="B1764" s="3" t="s">
        <v>3043</v>
      </c>
      <c r="C1764" s="6" t="s">
        <v>518</v>
      </c>
      <c r="D1764" s="6" t="s">
        <v>279</v>
      </c>
      <c r="E1764" s="6" t="s">
        <v>259</v>
      </c>
      <c r="F1764" s="6">
        <v>11937.62</v>
      </c>
      <c r="G1764" s="2">
        <v>2.06</v>
      </c>
      <c r="H1764" s="2">
        <v>3.19</v>
      </c>
      <c r="I1764" s="2">
        <v>3.24</v>
      </c>
      <c r="J1764" s="47">
        <f t="shared" si="135"/>
        <v>0.54854368932038833</v>
      </c>
      <c r="K1764" s="47">
        <f t="shared" si="136"/>
        <v>1.5673981191222656E-2</v>
      </c>
      <c r="L1764" s="8">
        <v>36.81</v>
      </c>
      <c r="M1764" s="8">
        <v>22.47</v>
      </c>
      <c r="N1764" s="8">
        <v>22.12</v>
      </c>
      <c r="O1764" s="17">
        <f t="shared" si="137"/>
        <v>0.40963008849557525</v>
      </c>
      <c r="P1764" s="17">
        <f t="shared" si="138"/>
        <v>14.112559999999924</v>
      </c>
      <c r="R1764" s="9">
        <v>14.32</v>
      </c>
      <c r="S1764" s="9">
        <v>3.61</v>
      </c>
      <c r="T1764" s="9">
        <v>5018.8398399999996</v>
      </c>
      <c r="U1764" s="9">
        <v>2594</v>
      </c>
      <c r="V1764" s="45">
        <f t="shared" si="139"/>
        <v>0.93478791056283717</v>
      </c>
      <c r="X1764" s="12">
        <v>0.38</v>
      </c>
      <c r="Y1764" s="12">
        <v>20210804</v>
      </c>
    </row>
    <row r="1765" spans="1:25" x14ac:dyDescent="0.45">
      <c r="A1765" s="3" t="s">
        <v>3044</v>
      </c>
      <c r="B1765" s="3" t="s">
        <v>3045</v>
      </c>
      <c r="C1765" s="6" t="s">
        <v>518</v>
      </c>
      <c r="D1765" s="6" t="s">
        <v>234</v>
      </c>
      <c r="E1765" s="6" t="s">
        <v>244</v>
      </c>
      <c r="F1765" s="6">
        <v>12851.4</v>
      </c>
      <c r="G1765" s="2">
        <v>7.53</v>
      </c>
      <c r="H1765" s="2">
        <v>25.62</v>
      </c>
      <c r="I1765" s="2">
        <v>30.43</v>
      </c>
      <c r="J1765" s="47">
        <f t="shared" si="135"/>
        <v>2.402390438247012</v>
      </c>
      <c r="K1765" s="47">
        <f t="shared" si="136"/>
        <v>0.18774395003903194</v>
      </c>
      <c r="L1765" s="8">
        <v>26.13</v>
      </c>
      <c r="M1765" s="8">
        <v>10.06</v>
      </c>
      <c r="N1765" s="8">
        <v>8.4700000000000006</v>
      </c>
      <c r="O1765" s="17">
        <f t="shared" si="137"/>
        <v>4.1874958540630183E-2</v>
      </c>
      <c r="P1765" s="17">
        <f t="shared" si="138"/>
        <v>0.45114636174636191</v>
      </c>
      <c r="R1765" s="9">
        <v>4.1399999999999997</v>
      </c>
      <c r="S1765" s="9">
        <v>12.44</v>
      </c>
      <c r="T1765" s="9">
        <v>10679.110350000001</v>
      </c>
      <c r="U1765" s="9">
        <v>9598.11</v>
      </c>
      <c r="V1765" s="45">
        <f t="shared" si="139"/>
        <v>0.11262637644286221</v>
      </c>
      <c r="W1765" s="12">
        <v>41.39</v>
      </c>
      <c r="X1765" s="12">
        <v>2.41</v>
      </c>
      <c r="Y1765" s="12">
        <v>20210804</v>
      </c>
    </row>
    <row r="1766" spans="1:25" x14ac:dyDescent="0.45">
      <c r="A1766" s="3" t="s">
        <v>3046</v>
      </c>
      <c r="B1766" s="3" t="s">
        <v>3047</v>
      </c>
      <c r="C1766" s="6" t="s">
        <v>519</v>
      </c>
      <c r="D1766" s="6" t="s">
        <v>234</v>
      </c>
      <c r="E1766" s="6" t="s">
        <v>288</v>
      </c>
      <c r="F1766" s="6">
        <v>11472.49</v>
      </c>
      <c r="G1766" s="2">
        <v>2.91</v>
      </c>
      <c r="H1766" s="2">
        <v>3.31</v>
      </c>
      <c r="I1766" s="2">
        <v>3.49</v>
      </c>
      <c r="J1766" s="47">
        <f t="shared" si="135"/>
        <v>0.13745704467353947</v>
      </c>
      <c r="K1766" s="47">
        <f t="shared" si="136"/>
        <v>5.4380664652568023E-2</v>
      </c>
      <c r="L1766" s="8">
        <v>22.82</v>
      </c>
      <c r="M1766" s="8">
        <v>20.43</v>
      </c>
      <c r="N1766" s="8">
        <v>19.37</v>
      </c>
      <c r="O1766" s="17">
        <f t="shared" si="137"/>
        <v>1.4862825000000004</v>
      </c>
      <c r="P1766" s="17">
        <f t="shared" si="138"/>
        <v>3.5619277777777749</v>
      </c>
      <c r="Q1766" s="5">
        <v>2.58</v>
      </c>
      <c r="R1766" s="9">
        <v>2.74</v>
      </c>
      <c r="S1766" s="9">
        <v>13.09</v>
      </c>
      <c r="T1766" s="9">
        <v>1073.02197</v>
      </c>
      <c r="U1766" s="9">
        <v>1016.17</v>
      </c>
      <c r="V1766" s="45">
        <f t="shared" si="139"/>
        <v>5.5947302124644549E-2</v>
      </c>
      <c r="W1766" s="12">
        <v>20</v>
      </c>
      <c r="X1766" s="12">
        <v>3.52</v>
      </c>
      <c r="Y1766" s="12">
        <v>20210802</v>
      </c>
    </row>
    <row r="1767" spans="1:25" x14ac:dyDescent="0.45">
      <c r="A1767" s="3" t="s">
        <v>4324</v>
      </c>
      <c r="B1767" s="3" t="s">
        <v>4325</v>
      </c>
      <c r="C1767" s="6" t="s">
        <v>519</v>
      </c>
      <c r="D1767" s="6" t="s">
        <v>289</v>
      </c>
      <c r="E1767" s="6" t="s">
        <v>4326</v>
      </c>
      <c r="F1767" s="6">
        <v>3390.23</v>
      </c>
      <c r="G1767" s="2">
        <v>3.05</v>
      </c>
      <c r="H1767" s="2">
        <v>3.81</v>
      </c>
      <c r="I1767" s="2">
        <v>4.1100000000000003</v>
      </c>
      <c r="J1767" s="47">
        <f t="shared" si="135"/>
        <v>0.24918032786885255</v>
      </c>
      <c r="K1767" s="47">
        <f t="shared" si="136"/>
        <v>7.8740157480315029E-2</v>
      </c>
      <c r="L1767" s="8">
        <v>33.869999999999997</v>
      </c>
      <c r="M1767" s="8">
        <v>18.66</v>
      </c>
      <c r="N1767" s="8">
        <v>17.3</v>
      </c>
      <c r="O1767" s="17">
        <f t="shared" si="137"/>
        <v>0.74885526315789441</v>
      </c>
      <c r="P1767" s="17">
        <f t="shared" si="138"/>
        <v>2.1970999999999985</v>
      </c>
      <c r="R1767" s="9">
        <v>7.26</v>
      </c>
      <c r="S1767" s="9">
        <v>5.3</v>
      </c>
      <c r="T1767" s="9">
        <v>2717.0979000000002</v>
      </c>
      <c r="U1767" s="9">
        <v>2137.15</v>
      </c>
      <c r="V1767" s="45">
        <f t="shared" si="139"/>
        <v>0.27136508902042444</v>
      </c>
      <c r="W1767" s="12">
        <v>450</v>
      </c>
      <c r="X1767" s="12">
        <v>0</v>
      </c>
      <c r="Y1767" s="12">
        <v>20210803</v>
      </c>
    </row>
    <row r="1768" spans="1:25" x14ac:dyDescent="0.45">
      <c r="A1768" s="3" t="s">
        <v>3048</v>
      </c>
      <c r="B1768" s="3" t="s">
        <v>3049</v>
      </c>
      <c r="C1768" s="6" t="s">
        <v>519</v>
      </c>
      <c r="D1768" s="6" t="s">
        <v>279</v>
      </c>
      <c r="E1768" s="6" t="s">
        <v>256</v>
      </c>
      <c r="F1768" s="6">
        <v>55599.88</v>
      </c>
      <c r="G1768" s="2">
        <v>30.38</v>
      </c>
      <c r="H1768" s="2">
        <v>49.51</v>
      </c>
      <c r="I1768" s="2">
        <v>41.3</v>
      </c>
      <c r="J1768" s="47">
        <f t="shared" si="135"/>
        <v>0.62969058591178406</v>
      </c>
      <c r="K1768" s="47">
        <f t="shared" si="136"/>
        <v>-0.16582508584124422</v>
      </c>
      <c r="L1768" s="8">
        <v>14.94</v>
      </c>
      <c r="M1768" s="8">
        <v>10.54</v>
      </c>
      <c r="N1768" s="8">
        <v>12.64</v>
      </c>
      <c r="O1768" s="17">
        <f t="shared" si="137"/>
        <v>0.16738379508625195</v>
      </c>
      <c r="P1768" s="17">
        <f t="shared" si="138"/>
        <v>-0.76224896467722281</v>
      </c>
      <c r="Q1768" s="5">
        <v>0.56999999999999995</v>
      </c>
      <c r="R1768" s="9">
        <v>35.43</v>
      </c>
      <c r="S1768" s="9">
        <v>15.5</v>
      </c>
      <c r="T1768" s="9">
        <v>12336.893550000001</v>
      </c>
      <c r="U1768" s="9">
        <v>8497.1</v>
      </c>
      <c r="V1768" s="45">
        <f t="shared" si="139"/>
        <v>0.45189459344952987</v>
      </c>
      <c r="W1768" s="12">
        <v>12.51</v>
      </c>
      <c r="X1768" s="12">
        <v>0</v>
      </c>
      <c r="Y1768" s="12">
        <v>20210804</v>
      </c>
    </row>
    <row r="1769" spans="1:25" x14ac:dyDescent="0.45">
      <c r="A1769" s="3" t="s">
        <v>4920</v>
      </c>
      <c r="B1769" s="3" t="s">
        <v>4921</v>
      </c>
      <c r="C1769" s="6" t="s">
        <v>518</v>
      </c>
      <c r="D1769" s="6" t="s">
        <v>189</v>
      </c>
      <c r="E1769" s="6" t="s">
        <v>246</v>
      </c>
      <c r="F1769" s="6">
        <v>51530.47</v>
      </c>
      <c r="G1769" s="2">
        <v>1.08</v>
      </c>
      <c r="H1769" s="2">
        <v>1.17</v>
      </c>
      <c r="J1769" s="47">
        <f t="shared" si="135"/>
        <v>8.333333333333319E-2</v>
      </c>
      <c r="K1769" s="47">
        <f t="shared" si="136"/>
        <v>-1</v>
      </c>
      <c r="M1769" s="8">
        <v>22.8</v>
      </c>
      <c r="O1769" s="17">
        <f t="shared" si="137"/>
        <v>2.7360000000000047</v>
      </c>
      <c r="P1769" s="17">
        <f t="shared" si="138"/>
        <v>0</v>
      </c>
      <c r="Q1769" s="5">
        <v>5.0599999999999996</v>
      </c>
      <c r="U1769" s="9">
        <v>9130.27</v>
      </c>
      <c r="V1769" s="45">
        <f t="shared" si="139"/>
        <v>-1</v>
      </c>
      <c r="X1769" s="12">
        <v>3.53</v>
      </c>
    </row>
    <row r="1770" spans="1:25" x14ac:dyDescent="0.45">
      <c r="A1770" s="3" t="s">
        <v>3050</v>
      </c>
      <c r="B1770" s="3" t="s">
        <v>3051</v>
      </c>
      <c r="C1770" s="6" t="s">
        <v>520</v>
      </c>
      <c r="D1770" s="6" t="s">
        <v>225</v>
      </c>
      <c r="E1770" s="6" t="s">
        <v>186</v>
      </c>
      <c r="F1770" s="6">
        <v>10436.469999999999</v>
      </c>
      <c r="G1770" s="2">
        <v>0.34</v>
      </c>
      <c r="H1770" s="2">
        <v>0.4</v>
      </c>
      <c r="I1770" s="2">
        <v>0.47</v>
      </c>
      <c r="J1770" s="47">
        <f t="shared" si="135"/>
        <v>0.1764705882352941</v>
      </c>
      <c r="K1770" s="47">
        <f t="shared" si="136"/>
        <v>0.17499999999999988</v>
      </c>
      <c r="M1770" s="8">
        <v>51.66</v>
      </c>
      <c r="N1770" s="8">
        <v>44.44</v>
      </c>
      <c r="O1770" s="17">
        <f t="shared" si="137"/>
        <v>2.9274</v>
      </c>
      <c r="P1770" s="17">
        <f t="shared" si="138"/>
        <v>2.5394285714285729</v>
      </c>
      <c r="T1770" s="9">
        <v>1418.27001</v>
      </c>
      <c r="U1770" s="9">
        <v>1179.24</v>
      </c>
      <c r="V1770" s="45">
        <f t="shared" si="139"/>
        <v>0.20269835656863738</v>
      </c>
      <c r="X1770" s="12">
        <v>0.39</v>
      </c>
    </row>
    <row r="1771" spans="1:25" x14ac:dyDescent="0.45">
      <c r="A1771" s="3" t="s">
        <v>3052</v>
      </c>
      <c r="B1771" s="3" t="s">
        <v>3053</v>
      </c>
      <c r="C1771" s="6" t="s">
        <v>520</v>
      </c>
      <c r="D1771" s="6" t="s">
        <v>289</v>
      </c>
      <c r="E1771" s="6" t="s">
        <v>275</v>
      </c>
      <c r="F1771" s="6">
        <v>20904.63</v>
      </c>
      <c r="G1771" s="2">
        <v>0.25</v>
      </c>
      <c r="H1771" s="2">
        <v>1.46</v>
      </c>
      <c r="I1771" s="2">
        <v>1.54</v>
      </c>
      <c r="J1771" s="47">
        <f t="shared" si="135"/>
        <v>4.84</v>
      </c>
      <c r="K1771" s="47">
        <f t="shared" si="136"/>
        <v>5.4794520547945258E-2</v>
      </c>
      <c r="L1771" s="8">
        <v>26.84</v>
      </c>
      <c r="M1771" s="8">
        <v>9.4</v>
      </c>
      <c r="N1771" s="8">
        <v>8.8699999999999992</v>
      </c>
      <c r="O1771" s="17">
        <f t="shared" si="137"/>
        <v>1.9421487603305785E-2</v>
      </c>
      <c r="P1771" s="17">
        <f t="shared" si="138"/>
        <v>1.6187749999999983</v>
      </c>
      <c r="Q1771" s="5">
        <v>0.24</v>
      </c>
      <c r="R1771" s="9">
        <v>3.12</v>
      </c>
      <c r="S1771" s="9">
        <v>1.8</v>
      </c>
      <c r="T1771" s="9">
        <v>50050.621090000001</v>
      </c>
      <c r="U1771" s="9">
        <v>39934.839999999997</v>
      </c>
      <c r="V1771" s="45">
        <f t="shared" si="139"/>
        <v>0.25330716462116798</v>
      </c>
      <c r="W1771" s="12">
        <v>28.57</v>
      </c>
      <c r="X1771" s="12">
        <v>4</v>
      </c>
      <c r="Y1771" s="12">
        <v>20210722</v>
      </c>
    </row>
    <row r="1772" spans="1:25" x14ac:dyDescent="0.45">
      <c r="A1772" s="3" t="s">
        <v>3054</v>
      </c>
      <c r="B1772" s="3" t="s">
        <v>3055</v>
      </c>
      <c r="C1772" s="6" t="s">
        <v>519</v>
      </c>
      <c r="D1772" s="6" t="s">
        <v>279</v>
      </c>
      <c r="E1772" s="6" t="s">
        <v>256</v>
      </c>
      <c r="F1772" s="6">
        <v>5129.68</v>
      </c>
      <c r="G1772" s="2">
        <v>-7.87</v>
      </c>
      <c r="H1772" s="2">
        <v>-8.26</v>
      </c>
      <c r="I1772" s="2">
        <v>-7.29</v>
      </c>
      <c r="J1772" s="47">
        <f t="shared" si="135"/>
        <v>-4.9555273189326517E-2</v>
      </c>
      <c r="K1772" s="47">
        <f t="shared" si="136"/>
        <v>0.11743341404358351</v>
      </c>
      <c r="O1772" s="17">
        <f t="shared" si="137"/>
        <v>0</v>
      </c>
      <c r="P1772" s="17">
        <f t="shared" si="138"/>
        <v>0</v>
      </c>
      <c r="R1772" s="9">
        <v>-88.44</v>
      </c>
      <c r="S1772" s="9">
        <v>-32.29</v>
      </c>
      <c r="T1772" s="9">
        <v>6.95749</v>
      </c>
      <c r="U1772" s="9">
        <v>9.02</v>
      </c>
      <c r="V1772" s="45">
        <f t="shared" si="139"/>
        <v>-0.22865964523281593</v>
      </c>
      <c r="W1772" s="12">
        <v>14.68</v>
      </c>
      <c r="X1772" s="12">
        <v>0</v>
      </c>
      <c r="Y1772" s="12">
        <v>20210809</v>
      </c>
    </row>
    <row r="1773" spans="1:25" x14ac:dyDescent="0.45">
      <c r="A1773" s="3" t="s">
        <v>3056</v>
      </c>
      <c r="B1773" s="3" t="s">
        <v>3057</v>
      </c>
      <c r="C1773" s="6" t="s">
        <v>518</v>
      </c>
      <c r="D1773" s="6" t="s">
        <v>234</v>
      </c>
      <c r="E1773" s="6" t="s">
        <v>286</v>
      </c>
      <c r="F1773" s="6">
        <v>7827.34</v>
      </c>
      <c r="G1773" s="2">
        <v>1.31</v>
      </c>
      <c r="H1773" s="2">
        <v>1.45</v>
      </c>
      <c r="I1773" s="2">
        <v>1.58</v>
      </c>
      <c r="J1773" s="47">
        <f t="shared" si="135"/>
        <v>0.1068702290076335</v>
      </c>
      <c r="K1773" s="47">
        <f t="shared" si="136"/>
        <v>8.9655172413793185E-2</v>
      </c>
      <c r="L1773" s="8">
        <v>42.93</v>
      </c>
      <c r="M1773" s="8">
        <v>40.270000000000003</v>
      </c>
      <c r="N1773" s="8">
        <v>36.96</v>
      </c>
      <c r="O1773" s="17">
        <f t="shared" si="137"/>
        <v>3.7681214285714315</v>
      </c>
      <c r="P1773" s="17">
        <f t="shared" si="138"/>
        <v>4.1224615384615344</v>
      </c>
      <c r="R1773" s="9">
        <v>2.96</v>
      </c>
      <c r="S1773" s="9">
        <v>28.15</v>
      </c>
      <c r="T1773" s="9">
        <v>413.34899000000001</v>
      </c>
      <c r="U1773" s="9">
        <v>330.14</v>
      </c>
      <c r="V1773" s="45">
        <f t="shared" si="139"/>
        <v>0.25204152783667544</v>
      </c>
      <c r="W1773" s="12">
        <v>8.82</v>
      </c>
      <c r="X1773" s="12">
        <v>1.64</v>
      </c>
      <c r="Y1773" s="12">
        <v>20210720</v>
      </c>
    </row>
    <row r="1774" spans="1:25" x14ac:dyDescent="0.45">
      <c r="A1774" s="3" t="s">
        <v>3058</v>
      </c>
      <c r="B1774" s="3" t="s">
        <v>3059</v>
      </c>
      <c r="C1774" s="6" t="s">
        <v>519</v>
      </c>
      <c r="D1774" s="6" t="s">
        <v>216</v>
      </c>
      <c r="E1774" s="6" t="s">
        <v>946</v>
      </c>
      <c r="F1774" s="6">
        <v>6376.66</v>
      </c>
      <c r="G1774" s="2">
        <v>1.97</v>
      </c>
      <c r="H1774" s="2">
        <v>1.89</v>
      </c>
      <c r="I1774" s="2">
        <v>2.04</v>
      </c>
      <c r="J1774" s="47">
        <f t="shared" si="135"/>
        <v>-4.0609137055837602E-2</v>
      </c>
      <c r="K1774" s="47">
        <f t="shared" si="136"/>
        <v>7.9365079365079444E-2</v>
      </c>
      <c r="L1774" s="8">
        <v>14.9</v>
      </c>
      <c r="M1774" s="8">
        <v>16.079999999999998</v>
      </c>
      <c r="N1774" s="8">
        <v>14.9</v>
      </c>
      <c r="O1774" s="17">
        <f t="shared" si="137"/>
        <v>-3.9596999999999953</v>
      </c>
      <c r="P1774" s="17">
        <f t="shared" si="138"/>
        <v>1.8773999999999982</v>
      </c>
      <c r="R1774" s="9">
        <v>27.14</v>
      </c>
      <c r="T1774" s="9">
        <v>3493.59301</v>
      </c>
      <c r="U1774" s="9">
        <v>3263</v>
      </c>
      <c r="V1774" s="45">
        <f t="shared" si="139"/>
        <v>7.0669019307385852E-2</v>
      </c>
      <c r="W1774" s="12">
        <v>0</v>
      </c>
      <c r="X1774" s="12">
        <v>3.03</v>
      </c>
      <c r="Y1774" s="12">
        <v>20210804</v>
      </c>
    </row>
    <row r="1775" spans="1:25" x14ac:dyDescent="0.45">
      <c r="A1775" s="3" t="s">
        <v>3060</v>
      </c>
      <c r="B1775" s="3" t="s">
        <v>3061</v>
      </c>
      <c r="C1775" s="6" t="s">
        <v>518</v>
      </c>
      <c r="D1775" s="6" t="s">
        <v>272</v>
      </c>
      <c r="E1775" s="6" t="s">
        <v>297</v>
      </c>
      <c r="F1775" s="6">
        <v>4475.1899999999996</v>
      </c>
      <c r="G1775" s="2">
        <v>1.4</v>
      </c>
      <c r="H1775" s="2">
        <v>1.73</v>
      </c>
      <c r="I1775" s="2">
        <v>1.74</v>
      </c>
      <c r="J1775" s="47">
        <f t="shared" si="135"/>
        <v>0.23571428571428579</v>
      </c>
      <c r="K1775" s="47">
        <f t="shared" si="136"/>
        <v>5.7803468208092535E-3</v>
      </c>
      <c r="L1775" s="8">
        <v>16.37</v>
      </c>
      <c r="M1775" s="8">
        <v>17.940000000000001</v>
      </c>
      <c r="N1775" s="8">
        <v>17.850000000000001</v>
      </c>
      <c r="O1775" s="17">
        <f t="shared" si="137"/>
        <v>0.76109090909090882</v>
      </c>
      <c r="P1775" s="17">
        <f t="shared" si="138"/>
        <v>30.880499999999977</v>
      </c>
      <c r="R1775" s="9">
        <v>13.76</v>
      </c>
      <c r="T1775" s="9">
        <v>5606.4301699999996</v>
      </c>
      <c r="U1775" s="9">
        <v>5071</v>
      </c>
      <c r="V1775" s="45">
        <f t="shared" si="139"/>
        <v>0.10558670281995654</v>
      </c>
      <c r="W1775" s="12">
        <v>-48.44</v>
      </c>
      <c r="X1775" s="12">
        <v>0</v>
      </c>
      <c r="Y1775" s="12">
        <v>20210803</v>
      </c>
    </row>
    <row r="1776" spans="1:25" x14ac:dyDescent="0.45">
      <c r="A1776" s="3" t="s">
        <v>3062</v>
      </c>
      <c r="B1776" s="3" t="s">
        <v>3063</v>
      </c>
      <c r="C1776" s="6" t="s">
        <v>518</v>
      </c>
      <c r="D1776" s="6" t="s">
        <v>234</v>
      </c>
      <c r="E1776" s="6" t="s">
        <v>172</v>
      </c>
      <c r="F1776" s="6">
        <v>21052.15</v>
      </c>
      <c r="G1776" s="2">
        <v>0.83</v>
      </c>
      <c r="H1776" s="2">
        <v>2.12</v>
      </c>
      <c r="I1776" s="2">
        <v>1.95</v>
      </c>
      <c r="J1776" s="47">
        <f t="shared" si="135"/>
        <v>1.5542168674698795</v>
      </c>
      <c r="K1776" s="47">
        <f t="shared" si="136"/>
        <v>-8.0188679245283084E-2</v>
      </c>
      <c r="L1776" s="8">
        <v>14.5</v>
      </c>
      <c r="M1776" s="8">
        <v>10.31</v>
      </c>
      <c r="N1776" s="8">
        <v>11.23</v>
      </c>
      <c r="O1776" s="17">
        <f t="shared" si="137"/>
        <v>6.6335658914728687E-2</v>
      </c>
      <c r="P1776" s="17">
        <f t="shared" si="138"/>
        <v>-1.4004470588235283</v>
      </c>
      <c r="Q1776" s="5">
        <v>0.43</v>
      </c>
      <c r="R1776" s="9">
        <v>9.6999999999999993</v>
      </c>
      <c r="S1776" s="9">
        <v>3.35</v>
      </c>
      <c r="T1776" s="9">
        <v>6203.4438399999999</v>
      </c>
      <c r="U1776" s="9">
        <v>6655</v>
      </c>
      <c r="V1776" s="45">
        <f t="shared" si="139"/>
        <v>-6.7852165289256208E-2</v>
      </c>
      <c r="W1776" s="12">
        <v>31.25</v>
      </c>
      <c r="X1776" s="12">
        <v>2.83</v>
      </c>
      <c r="Y1776" s="12">
        <v>20210716</v>
      </c>
    </row>
    <row r="1777" spans="1:25" x14ac:dyDescent="0.45">
      <c r="A1777" s="3" t="s">
        <v>3064</v>
      </c>
      <c r="B1777" s="3" t="s">
        <v>3065</v>
      </c>
      <c r="C1777" s="6" t="s">
        <v>518</v>
      </c>
      <c r="D1777" s="6" t="s">
        <v>234</v>
      </c>
      <c r="E1777" s="6" t="s">
        <v>241</v>
      </c>
      <c r="F1777" s="6">
        <v>8487.9599999999991</v>
      </c>
      <c r="G1777" s="2">
        <v>7.46</v>
      </c>
      <c r="H1777" s="2">
        <v>8.34</v>
      </c>
      <c r="I1777" s="2">
        <v>14</v>
      </c>
      <c r="J1777" s="47">
        <f t="shared" si="135"/>
        <v>0.11796246648793564</v>
      </c>
      <c r="K1777" s="47">
        <f t="shared" si="136"/>
        <v>0.67865707434052758</v>
      </c>
      <c r="L1777" s="8">
        <v>25.9</v>
      </c>
      <c r="M1777" s="8">
        <v>14.96</v>
      </c>
      <c r="N1777" s="8">
        <v>8.92</v>
      </c>
      <c r="O1777" s="17">
        <f t="shared" si="137"/>
        <v>1.2682000000000002</v>
      </c>
      <c r="P1777" s="17">
        <f t="shared" si="138"/>
        <v>0.13143604240282686</v>
      </c>
      <c r="R1777" s="9">
        <v>2.4700000000000002</v>
      </c>
      <c r="S1777" s="9">
        <v>6.4</v>
      </c>
      <c r="T1777" s="9">
        <v>15322.009760000001</v>
      </c>
      <c r="U1777" s="9">
        <v>14596</v>
      </c>
      <c r="V1777" s="45">
        <f t="shared" si="139"/>
        <v>4.9740323376267527E-2</v>
      </c>
      <c r="W1777" s="12">
        <v>-1871.43</v>
      </c>
      <c r="X1777" s="12">
        <v>2.2400000000000002</v>
      </c>
      <c r="Y1777" s="12">
        <v>20210803</v>
      </c>
    </row>
    <row r="1778" spans="1:25" x14ac:dyDescent="0.45">
      <c r="A1778" s="3" t="s">
        <v>3066</v>
      </c>
      <c r="B1778" s="3" t="s">
        <v>3067</v>
      </c>
      <c r="C1778" s="6" t="s">
        <v>519</v>
      </c>
      <c r="D1778" s="6" t="s">
        <v>279</v>
      </c>
      <c r="E1778" s="6" t="s">
        <v>256</v>
      </c>
      <c r="F1778" s="6">
        <v>10224.86</v>
      </c>
      <c r="G1778" s="2">
        <v>1.44</v>
      </c>
      <c r="H1778" s="2">
        <v>2.2599999999999998</v>
      </c>
      <c r="I1778" s="2">
        <v>2.56</v>
      </c>
      <c r="J1778" s="47">
        <f t="shared" si="135"/>
        <v>0.56944444444444431</v>
      </c>
      <c r="K1778" s="47">
        <f t="shared" si="136"/>
        <v>0.13274336283185853</v>
      </c>
      <c r="L1778" s="8">
        <v>92.19</v>
      </c>
      <c r="M1778" s="8">
        <v>82.51</v>
      </c>
      <c r="N1778" s="8">
        <v>72.63</v>
      </c>
      <c r="O1778" s="17">
        <f t="shared" si="137"/>
        <v>1.4489560975609761</v>
      </c>
      <c r="P1778" s="17">
        <f t="shared" si="138"/>
        <v>5.4714599999999942</v>
      </c>
      <c r="R1778" s="9">
        <v>8.39</v>
      </c>
      <c r="S1778" s="9">
        <v>37.06</v>
      </c>
      <c r="T1778" s="9">
        <v>585.14598999999998</v>
      </c>
      <c r="U1778" s="9">
        <v>366.26</v>
      </c>
      <c r="V1778" s="45">
        <f t="shared" si="139"/>
        <v>0.59762461093212471</v>
      </c>
      <c r="W1778" s="12">
        <v>58.14</v>
      </c>
      <c r="X1778" s="12">
        <v>0</v>
      </c>
      <c r="Y1778" s="12">
        <v>20210729</v>
      </c>
    </row>
    <row r="1779" spans="1:25" x14ac:dyDescent="0.45">
      <c r="A1779" s="3" t="s">
        <v>3068</v>
      </c>
      <c r="B1779" s="3" t="s">
        <v>3069</v>
      </c>
      <c r="C1779" s="6" t="s">
        <v>519</v>
      </c>
      <c r="D1779" s="6" t="s">
        <v>90</v>
      </c>
      <c r="E1779" s="6" t="s">
        <v>267</v>
      </c>
      <c r="F1779" s="6">
        <v>7979.72</v>
      </c>
      <c r="G1779" s="2">
        <v>2.4300000000000002</v>
      </c>
      <c r="H1779" s="2">
        <v>3.45</v>
      </c>
      <c r="I1779" s="2">
        <v>3.84</v>
      </c>
      <c r="J1779" s="47">
        <f t="shared" si="135"/>
        <v>0.41975308641975306</v>
      </c>
      <c r="K1779" s="47">
        <f t="shared" si="136"/>
        <v>0.11304347826086947</v>
      </c>
      <c r="L1779" s="8">
        <v>39.11</v>
      </c>
      <c r="M1779" s="8">
        <v>35.229999999999997</v>
      </c>
      <c r="N1779" s="8">
        <v>31.72</v>
      </c>
      <c r="O1779" s="17">
        <f t="shared" si="137"/>
        <v>0.83930294117647064</v>
      </c>
      <c r="P1779" s="17">
        <f t="shared" si="138"/>
        <v>2.8060000000000023</v>
      </c>
      <c r="Q1779" s="5">
        <v>3.52</v>
      </c>
      <c r="R1779" s="9">
        <v>8.5500000000000007</v>
      </c>
      <c r="S1779" s="9">
        <v>6.61</v>
      </c>
      <c r="T1779" s="9">
        <v>604.60699</v>
      </c>
      <c r="U1779" s="9">
        <v>498.82</v>
      </c>
      <c r="V1779" s="45">
        <f t="shared" si="139"/>
        <v>0.21207447576280022</v>
      </c>
      <c r="W1779" s="12">
        <v>3.7</v>
      </c>
      <c r="X1779" s="12">
        <v>0.99</v>
      </c>
      <c r="Y1779" s="12">
        <v>20210804</v>
      </c>
    </row>
    <row r="1780" spans="1:25" x14ac:dyDescent="0.45">
      <c r="A1780" s="3" t="s">
        <v>3070</v>
      </c>
      <c r="B1780" s="3" t="s">
        <v>3070</v>
      </c>
      <c r="C1780" s="6" t="s">
        <v>518</v>
      </c>
      <c r="D1780" s="6" t="s">
        <v>303</v>
      </c>
      <c r="E1780" s="6" t="s">
        <v>621</v>
      </c>
      <c r="F1780" s="6">
        <v>12835.99</v>
      </c>
      <c r="G1780" s="2">
        <v>17.75</v>
      </c>
      <c r="H1780" s="2">
        <v>21.23</v>
      </c>
      <c r="I1780" s="2">
        <v>23.58</v>
      </c>
      <c r="J1780" s="47">
        <f t="shared" si="135"/>
        <v>0.19605633802816905</v>
      </c>
      <c r="K1780" s="47">
        <f t="shared" si="136"/>
        <v>0.11069241639189815</v>
      </c>
      <c r="L1780" s="8">
        <v>29.03</v>
      </c>
      <c r="M1780" s="8">
        <v>28.8</v>
      </c>
      <c r="N1780" s="8">
        <v>25.93</v>
      </c>
      <c r="O1780" s="17">
        <f t="shared" si="137"/>
        <v>1.4689655172413791</v>
      </c>
      <c r="P1780" s="17">
        <f t="shared" si="138"/>
        <v>2.3425272340425551</v>
      </c>
      <c r="Q1780" s="5">
        <v>1.94</v>
      </c>
      <c r="R1780" s="9">
        <v>197.8</v>
      </c>
      <c r="S1780" s="9">
        <v>5.42</v>
      </c>
      <c r="T1780" s="9">
        <v>3403.9741199999999</v>
      </c>
      <c r="U1780" s="9">
        <v>2848.63</v>
      </c>
      <c r="V1780" s="45">
        <f t="shared" si="139"/>
        <v>0.19495129939655192</v>
      </c>
      <c r="W1780" s="12">
        <v>16.43</v>
      </c>
      <c r="X1780" s="12">
        <v>0</v>
      </c>
      <c r="Y1780" s="12">
        <v>20210908</v>
      </c>
    </row>
    <row r="1781" spans="1:25" x14ac:dyDescent="0.45">
      <c r="A1781" s="3" t="s">
        <v>3071</v>
      </c>
      <c r="B1781" s="3" t="s">
        <v>3072</v>
      </c>
      <c r="C1781" s="6" t="s">
        <v>520</v>
      </c>
      <c r="D1781" s="6" t="s">
        <v>279</v>
      </c>
      <c r="E1781" s="6" t="s">
        <v>250</v>
      </c>
      <c r="F1781" s="6">
        <v>324960.84000000003</v>
      </c>
      <c r="G1781" s="2">
        <v>2.68</v>
      </c>
      <c r="H1781" s="2">
        <v>2.66</v>
      </c>
      <c r="I1781" s="2">
        <v>2.73</v>
      </c>
      <c r="J1781" s="47">
        <f t="shared" si="135"/>
        <v>-7.462686567164185E-3</v>
      </c>
      <c r="K1781" s="47">
        <f t="shared" si="136"/>
        <v>2.631578947368415E-2</v>
      </c>
      <c r="M1781" s="8">
        <v>17.82</v>
      </c>
      <c r="N1781" s="8">
        <v>17.36</v>
      </c>
      <c r="O1781" s="17">
        <f t="shared" si="137"/>
        <v>-23.87879999999998</v>
      </c>
      <c r="P1781" s="17">
        <f t="shared" si="138"/>
        <v>6.5968000000000151</v>
      </c>
      <c r="Q1781" s="5">
        <v>2.9</v>
      </c>
      <c r="T1781" s="9">
        <v>67497.117180000001</v>
      </c>
      <c r="U1781" s="9">
        <v>64541.86</v>
      </c>
      <c r="V1781" s="45">
        <f t="shared" si="139"/>
        <v>4.5788224572393801E-2</v>
      </c>
      <c r="X1781" s="12">
        <v>1.63</v>
      </c>
    </row>
    <row r="1782" spans="1:25" x14ac:dyDescent="0.45">
      <c r="A1782" s="3" t="s">
        <v>3073</v>
      </c>
      <c r="B1782" s="3" t="s">
        <v>3074</v>
      </c>
      <c r="C1782" s="6" t="s">
        <v>518</v>
      </c>
      <c r="D1782" s="6" t="s">
        <v>175</v>
      </c>
      <c r="E1782" s="6" t="s">
        <v>1922</v>
      </c>
      <c r="F1782" s="6">
        <v>10298</v>
      </c>
      <c r="G1782" s="2">
        <v>2.56</v>
      </c>
      <c r="H1782" s="2">
        <v>4.16</v>
      </c>
      <c r="I1782" s="2">
        <v>4.57</v>
      </c>
      <c r="J1782" s="47">
        <f t="shared" si="135"/>
        <v>0.625</v>
      </c>
      <c r="K1782" s="47">
        <f t="shared" si="136"/>
        <v>9.8557692307692332E-2</v>
      </c>
      <c r="L1782" s="8">
        <v>31.49</v>
      </c>
      <c r="M1782" s="8">
        <v>21.93</v>
      </c>
      <c r="N1782" s="8">
        <v>20</v>
      </c>
      <c r="O1782" s="17">
        <f t="shared" si="137"/>
        <v>0.35087999999999997</v>
      </c>
      <c r="P1782" s="17">
        <f t="shared" si="138"/>
        <v>2.0292682926829264</v>
      </c>
      <c r="Q1782" s="5">
        <v>1.41</v>
      </c>
      <c r="R1782" s="9">
        <v>27.51</v>
      </c>
      <c r="S1782" s="9">
        <v>1.41</v>
      </c>
      <c r="T1782" s="9">
        <v>5908.7138599999998</v>
      </c>
      <c r="U1782" s="9">
        <v>5109</v>
      </c>
      <c r="V1782" s="45">
        <f t="shared" si="139"/>
        <v>0.1565304090820121</v>
      </c>
      <c r="W1782" s="12">
        <v>22.5</v>
      </c>
      <c r="X1782" s="12">
        <v>1.66</v>
      </c>
      <c r="Y1782" s="12">
        <v>20210722</v>
      </c>
    </row>
    <row r="1783" spans="1:25" x14ac:dyDescent="0.45">
      <c r="A1783" s="3" t="s">
        <v>3075</v>
      </c>
      <c r="B1783" s="3" t="s">
        <v>3076</v>
      </c>
      <c r="C1783" s="6" t="s">
        <v>518</v>
      </c>
      <c r="D1783" s="6" t="s">
        <v>234</v>
      </c>
      <c r="E1783" s="6" t="s">
        <v>286</v>
      </c>
      <c r="F1783" s="6">
        <v>4344.0200000000004</v>
      </c>
      <c r="G1783" s="2">
        <v>-2.99</v>
      </c>
      <c r="H1783" s="2">
        <v>-0.99</v>
      </c>
      <c r="I1783" s="2">
        <v>4.66</v>
      </c>
      <c r="J1783" s="47">
        <f t="shared" si="135"/>
        <v>0.66889632107023411</v>
      </c>
      <c r="K1783" s="47">
        <f t="shared" si="136"/>
        <v>5.7070707070707076</v>
      </c>
      <c r="N1783" s="8">
        <v>16.93</v>
      </c>
      <c r="O1783" s="17">
        <f t="shared" si="137"/>
        <v>0</v>
      </c>
      <c r="P1783" s="17">
        <f t="shared" si="138"/>
        <v>2.9664955752212386E-2</v>
      </c>
      <c r="R1783" s="9">
        <v>-186.81</v>
      </c>
      <c r="S1783" s="9">
        <v>-9.81</v>
      </c>
      <c r="T1783" s="9">
        <v>733.73297000000002</v>
      </c>
      <c r="U1783" s="9">
        <v>524.47</v>
      </c>
      <c r="V1783" s="45">
        <f t="shared" si="139"/>
        <v>0.39899893225541971</v>
      </c>
      <c r="W1783" s="12">
        <v>-22.97</v>
      </c>
      <c r="X1783" s="12">
        <v>0</v>
      </c>
      <c r="Y1783" s="12">
        <v>20210803</v>
      </c>
    </row>
    <row r="1784" spans="1:25" x14ac:dyDescent="0.45">
      <c r="A1784" s="3" t="s">
        <v>3077</v>
      </c>
      <c r="B1784" s="3" t="s">
        <v>3078</v>
      </c>
      <c r="C1784" s="6" t="s">
        <v>518</v>
      </c>
      <c r="D1784" s="6" t="s">
        <v>90</v>
      </c>
      <c r="E1784" s="6" t="s">
        <v>268</v>
      </c>
      <c r="F1784" s="6">
        <v>108417.24</v>
      </c>
      <c r="G1784" s="2">
        <v>7.57</v>
      </c>
      <c r="H1784" s="2">
        <v>15.01</v>
      </c>
      <c r="I1784" s="2">
        <v>12.26</v>
      </c>
      <c r="J1784" s="47">
        <f t="shared" si="135"/>
        <v>0.98282694848084529</v>
      </c>
      <c r="K1784" s="47">
        <f t="shared" si="136"/>
        <v>-0.18321119253830781</v>
      </c>
      <c r="M1784" s="8">
        <v>5.79</v>
      </c>
      <c r="N1784" s="8">
        <v>7.08</v>
      </c>
      <c r="O1784" s="17">
        <f t="shared" si="137"/>
        <v>5.8911693548387108E-2</v>
      </c>
      <c r="P1784" s="17">
        <f t="shared" si="138"/>
        <v>-0.38643927272727274</v>
      </c>
      <c r="T1784" s="9">
        <v>60980.328119999998</v>
      </c>
      <c r="U1784" s="9">
        <v>44611</v>
      </c>
      <c r="V1784" s="45">
        <f t="shared" si="139"/>
        <v>0.36693479455739614</v>
      </c>
      <c r="X1784" s="12">
        <v>7.11</v>
      </c>
    </row>
    <row r="1785" spans="1:25" x14ac:dyDescent="0.45">
      <c r="A1785" s="3" t="s">
        <v>3079</v>
      </c>
      <c r="B1785" s="3" t="s">
        <v>3080</v>
      </c>
      <c r="C1785" s="6" t="s">
        <v>518</v>
      </c>
      <c r="D1785" s="6" t="s">
        <v>234</v>
      </c>
      <c r="E1785" s="6" t="s">
        <v>1642</v>
      </c>
      <c r="F1785" s="6">
        <v>17757.169999999998</v>
      </c>
      <c r="G1785" s="2">
        <v>5.68</v>
      </c>
      <c r="H1785" s="2">
        <v>9.33</v>
      </c>
      <c r="I1785" s="2">
        <v>9.27</v>
      </c>
      <c r="J1785" s="47">
        <f t="shared" si="135"/>
        <v>0.64260563380281699</v>
      </c>
      <c r="K1785" s="47">
        <f t="shared" si="136"/>
        <v>-6.4308681672026252E-3</v>
      </c>
      <c r="L1785" s="8">
        <v>16.649999999999999</v>
      </c>
      <c r="M1785" s="8">
        <v>13.85</v>
      </c>
      <c r="N1785" s="8">
        <v>13.94</v>
      </c>
      <c r="O1785" s="17">
        <f t="shared" si="137"/>
        <v>0.21552876712328764</v>
      </c>
      <c r="P1785" s="17">
        <f t="shared" si="138"/>
        <v>-21.676699999999823</v>
      </c>
      <c r="R1785" s="9">
        <v>14.9</v>
      </c>
      <c r="S1785" s="9">
        <v>10.18</v>
      </c>
      <c r="T1785" s="9">
        <v>9413.9052699999993</v>
      </c>
      <c r="U1785" s="9">
        <v>8168</v>
      </c>
      <c r="V1785" s="45">
        <f t="shared" si="139"/>
        <v>0.15253492531831528</v>
      </c>
      <c r="W1785" s="12">
        <v>20.100000000000001</v>
      </c>
      <c r="X1785" s="12">
        <v>1.21</v>
      </c>
      <c r="Y1785" s="12">
        <v>20210804</v>
      </c>
    </row>
    <row r="1786" spans="1:25" x14ac:dyDescent="0.45">
      <c r="A1786" s="3" t="s">
        <v>3081</v>
      </c>
      <c r="B1786" s="3" t="s">
        <v>3082</v>
      </c>
      <c r="C1786" s="6" t="s">
        <v>518</v>
      </c>
      <c r="D1786" s="6" t="s">
        <v>175</v>
      </c>
      <c r="E1786" s="6" t="s">
        <v>305</v>
      </c>
      <c r="F1786" s="6">
        <v>43141.73</v>
      </c>
      <c r="G1786" s="2">
        <v>3.8</v>
      </c>
      <c r="H1786" s="2">
        <v>2.25</v>
      </c>
      <c r="I1786" s="2">
        <v>1.67</v>
      </c>
      <c r="J1786" s="47">
        <f t="shared" si="135"/>
        <v>-0.40789473684210525</v>
      </c>
      <c r="K1786" s="47">
        <f t="shared" si="136"/>
        <v>-0.25777777777777783</v>
      </c>
      <c r="M1786" s="8">
        <v>9.64</v>
      </c>
      <c r="N1786" s="8">
        <v>13.01</v>
      </c>
      <c r="O1786" s="17">
        <f t="shared" si="137"/>
        <v>-0.23633548387096776</v>
      </c>
      <c r="P1786" s="17">
        <f t="shared" si="138"/>
        <v>-0.50469827586206883</v>
      </c>
      <c r="Q1786" s="5">
        <v>0.96</v>
      </c>
      <c r="R1786" s="9">
        <v>139.59</v>
      </c>
      <c r="T1786" s="9">
        <v>12846.933590000001</v>
      </c>
      <c r="U1786" s="9">
        <v>15735.18</v>
      </c>
      <c r="V1786" s="45">
        <f t="shared" si="139"/>
        <v>-0.18355343949036487</v>
      </c>
      <c r="W1786" s="12">
        <v>-2.2000000000000002</v>
      </c>
      <c r="X1786" s="12">
        <v>0</v>
      </c>
      <c r="Y1786" s="12">
        <v>20210804</v>
      </c>
    </row>
    <row r="1787" spans="1:25" x14ac:dyDescent="0.45">
      <c r="A1787" s="3" t="s">
        <v>4922</v>
      </c>
      <c r="B1787" s="3" t="s">
        <v>4923</v>
      </c>
      <c r="C1787" s="6" t="s">
        <v>520</v>
      </c>
      <c r="D1787" s="6" t="s">
        <v>189</v>
      </c>
      <c r="E1787" s="6" t="s">
        <v>247</v>
      </c>
      <c r="F1787" s="6">
        <v>18317.29</v>
      </c>
      <c r="G1787" s="2">
        <v>-0.75</v>
      </c>
      <c r="J1787" s="47">
        <f t="shared" si="135"/>
        <v>1</v>
      </c>
      <c r="K1787" s="47" t="e">
        <f t="shared" si="136"/>
        <v>#DIV/0!</v>
      </c>
      <c r="O1787" s="17">
        <f t="shared" si="137"/>
        <v>0</v>
      </c>
      <c r="P1787" s="17" t="e">
        <f t="shared" si="138"/>
        <v>#DIV/0!</v>
      </c>
      <c r="R1787" s="9">
        <v>-14.46</v>
      </c>
      <c r="S1787" s="9">
        <v>17.809999999999999</v>
      </c>
      <c r="T1787" s="9">
        <v>14445.929679999999</v>
      </c>
      <c r="U1787" s="9">
        <v>13642.76</v>
      </c>
      <c r="V1787" s="45">
        <f t="shared" si="139"/>
        <v>5.8871495210646455E-2</v>
      </c>
      <c r="X1787" s="12">
        <v>0.28999999999999998</v>
      </c>
      <c r="Y1787" s="12">
        <v>20210810</v>
      </c>
    </row>
    <row r="1788" spans="1:25" x14ac:dyDescent="0.45">
      <c r="A1788" s="3" t="s">
        <v>3083</v>
      </c>
      <c r="B1788" s="3" t="s">
        <v>3084</v>
      </c>
      <c r="C1788" s="6" t="s">
        <v>518</v>
      </c>
      <c r="D1788" s="6" t="s">
        <v>216</v>
      </c>
      <c r="E1788" s="6" t="s">
        <v>1256</v>
      </c>
      <c r="F1788" s="6">
        <v>8881.07</v>
      </c>
      <c r="G1788" s="2">
        <v>0.59</v>
      </c>
      <c r="H1788" s="2">
        <v>5.91</v>
      </c>
      <c r="I1788" s="2">
        <v>7.05</v>
      </c>
      <c r="J1788" s="47">
        <f t="shared" si="135"/>
        <v>9.0169491525423737</v>
      </c>
      <c r="K1788" s="47">
        <f t="shared" si="136"/>
        <v>0.19289340101522837</v>
      </c>
      <c r="L1788" s="8">
        <v>72.72</v>
      </c>
      <c r="M1788" s="8">
        <v>20.56</v>
      </c>
      <c r="N1788" s="8">
        <v>17.23</v>
      </c>
      <c r="O1788" s="17">
        <f t="shared" si="137"/>
        <v>2.2801503759398493E-2</v>
      </c>
      <c r="P1788" s="17">
        <f t="shared" si="138"/>
        <v>0.89323947368421086</v>
      </c>
      <c r="Q1788" s="5">
        <v>1.37</v>
      </c>
      <c r="R1788" s="9">
        <v>4.8899999999999997</v>
      </c>
      <c r="S1788" s="9">
        <v>-7.84</v>
      </c>
      <c r="T1788" s="9">
        <v>5519.0097599999999</v>
      </c>
      <c r="U1788" s="9">
        <v>4400.8</v>
      </c>
      <c r="V1788" s="45">
        <f t="shared" si="139"/>
        <v>0.25409238320305394</v>
      </c>
      <c r="W1788" s="12">
        <v>152.05000000000001</v>
      </c>
      <c r="X1788" s="12">
        <v>0</v>
      </c>
      <c r="Y1788" s="12">
        <v>20210803</v>
      </c>
    </row>
    <row r="1789" spans="1:25" x14ac:dyDescent="0.45">
      <c r="A1789" s="3" t="s">
        <v>3085</v>
      </c>
      <c r="B1789" s="3" t="s">
        <v>3086</v>
      </c>
      <c r="C1789" s="6" t="s">
        <v>519</v>
      </c>
      <c r="D1789" s="6" t="s">
        <v>279</v>
      </c>
      <c r="E1789" s="6" t="s">
        <v>258</v>
      </c>
      <c r="F1789" s="6">
        <v>3205.67</v>
      </c>
      <c r="G1789" s="2">
        <v>-5.22</v>
      </c>
      <c r="H1789" s="2">
        <v>-1.87</v>
      </c>
      <c r="I1789" s="2">
        <v>-1.74</v>
      </c>
      <c r="J1789" s="47">
        <f t="shared" si="135"/>
        <v>0.64176245210727967</v>
      </c>
      <c r="K1789" s="47">
        <f t="shared" si="136"/>
        <v>6.9518716577540163E-2</v>
      </c>
      <c r="O1789" s="17">
        <f t="shared" si="137"/>
        <v>0</v>
      </c>
      <c r="P1789" s="17">
        <f t="shared" si="138"/>
        <v>0</v>
      </c>
      <c r="R1789" s="9">
        <v>-14.05</v>
      </c>
      <c r="T1789" s="9">
        <v>0.92500000000000004</v>
      </c>
      <c r="U1789" s="9">
        <v>82.65</v>
      </c>
      <c r="V1789" s="45">
        <f t="shared" si="139"/>
        <v>-0.9888082274652148</v>
      </c>
      <c r="W1789" s="12">
        <v>-46.88</v>
      </c>
      <c r="X1789" s="12">
        <v>0</v>
      </c>
      <c r="Y1789" s="12">
        <v>20210826</v>
      </c>
    </row>
    <row r="1790" spans="1:25" x14ac:dyDescent="0.45">
      <c r="A1790" s="3" t="s">
        <v>3087</v>
      </c>
      <c r="B1790" s="3" t="s">
        <v>3088</v>
      </c>
      <c r="C1790" s="6" t="s">
        <v>518</v>
      </c>
      <c r="D1790" s="6" t="s">
        <v>234</v>
      </c>
      <c r="E1790" s="6" t="s">
        <v>244</v>
      </c>
      <c r="F1790" s="6">
        <v>4652.34</v>
      </c>
      <c r="G1790" s="2">
        <v>2.4500000000000002</v>
      </c>
      <c r="H1790" s="2">
        <v>2.97</v>
      </c>
      <c r="I1790" s="2">
        <v>3.15</v>
      </c>
      <c r="J1790" s="47">
        <f t="shared" si="135"/>
        <v>0.21224489795918366</v>
      </c>
      <c r="K1790" s="47">
        <f t="shared" si="136"/>
        <v>6.0606060606060504E-2</v>
      </c>
      <c r="L1790" s="8">
        <v>36.630000000000003</v>
      </c>
      <c r="M1790" s="8">
        <v>34.6</v>
      </c>
      <c r="N1790" s="8">
        <v>32.67</v>
      </c>
      <c r="O1790" s="17">
        <f t="shared" si="137"/>
        <v>1.6301923076923079</v>
      </c>
      <c r="P1790" s="17">
        <f t="shared" si="138"/>
        <v>5.3905500000000091</v>
      </c>
      <c r="R1790" s="9">
        <v>11.48</v>
      </c>
      <c r="S1790" s="9">
        <v>5.7</v>
      </c>
      <c r="T1790" s="9">
        <v>1025.7979700000001</v>
      </c>
      <c r="U1790" s="9">
        <v>983.63</v>
      </c>
      <c r="V1790" s="45">
        <f t="shared" si="139"/>
        <v>4.2869747771011539E-2</v>
      </c>
      <c r="W1790" s="12">
        <v>17.57</v>
      </c>
      <c r="X1790" s="12">
        <v>0.97</v>
      </c>
      <c r="Y1790" s="12">
        <v>20210728</v>
      </c>
    </row>
    <row r="1791" spans="1:25" x14ac:dyDescent="0.45">
      <c r="A1791" s="3" t="s">
        <v>4924</v>
      </c>
      <c r="B1791" s="3" t="s">
        <v>4925</v>
      </c>
      <c r="C1791" s="6" t="s">
        <v>518</v>
      </c>
      <c r="D1791" s="6" t="s">
        <v>216</v>
      </c>
      <c r="E1791" s="6" t="s">
        <v>946</v>
      </c>
      <c r="F1791" s="6">
        <v>14399.24</v>
      </c>
      <c r="J1791" s="47" t="e">
        <f t="shared" si="135"/>
        <v>#DIV/0!</v>
      </c>
      <c r="K1791" s="47" t="e">
        <f t="shared" si="136"/>
        <v>#DIV/0!</v>
      </c>
      <c r="O1791" s="17" t="e">
        <f t="shared" si="137"/>
        <v>#DIV/0!</v>
      </c>
      <c r="P1791" s="17" t="e">
        <f t="shared" si="138"/>
        <v>#DIV/0!</v>
      </c>
      <c r="U1791" s="9">
        <v>585.4</v>
      </c>
      <c r="V1791" s="45">
        <f t="shared" si="139"/>
        <v>-1</v>
      </c>
      <c r="X1791" s="12">
        <v>0</v>
      </c>
      <c r="Y1791" s="12">
        <v>20210901</v>
      </c>
    </row>
    <row r="1792" spans="1:25" x14ac:dyDescent="0.45">
      <c r="A1792" s="3" t="s">
        <v>3089</v>
      </c>
      <c r="B1792" s="3" t="s">
        <v>3090</v>
      </c>
      <c r="C1792" s="6" t="s">
        <v>518</v>
      </c>
      <c r="D1792" s="6" t="s">
        <v>279</v>
      </c>
      <c r="E1792" s="6" t="s">
        <v>264</v>
      </c>
      <c r="F1792" s="6">
        <v>30843.96</v>
      </c>
      <c r="G1792" s="2">
        <v>4.47</v>
      </c>
      <c r="H1792" s="2">
        <v>5.26</v>
      </c>
      <c r="I1792" s="2">
        <v>5.51</v>
      </c>
      <c r="J1792" s="47">
        <f t="shared" si="135"/>
        <v>0.1767337807606264</v>
      </c>
      <c r="K1792" s="47">
        <f t="shared" si="136"/>
        <v>4.7528517110266164E-2</v>
      </c>
      <c r="L1792" s="8">
        <v>39.92</v>
      </c>
      <c r="M1792" s="8">
        <v>40.32</v>
      </c>
      <c r="N1792" s="8">
        <v>38.47</v>
      </c>
      <c r="O1792" s="17">
        <f t="shared" si="137"/>
        <v>2.2813974683544305</v>
      </c>
      <c r="P1792" s="17">
        <f t="shared" si="138"/>
        <v>8.0940879999999993</v>
      </c>
      <c r="Q1792" s="5">
        <v>2.94</v>
      </c>
      <c r="R1792" s="9">
        <v>28.85</v>
      </c>
      <c r="S1792" s="9">
        <v>12.13</v>
      </c>
      <c r="T1792" s="9">
        <v>3105.0878899999998</v>
      </c>
      <c r="U1792" s="9">
        <v>2957.01</v>
      </c>
      <c r="V1792" s="45">
        <f t="shared" si="139"/>
        <v>5.0076898623947687E-2</v>
      </c>
      <c r="W1792" s="12">
        <v>6.56</v>
      </c>
      <c r="X1792" s="12">
        <v>0.74</v>
      </c>
      <c r="Y1792" s="12">
        <v>20210804</v>
      </c>
    </row>
    <row r="1793" spans="1:25" x14ac:dyDescent="0.45">
      <c r="A1793" s="3" t="s">
        <v>3091</v>
      </c>
      <c r="B1793" s="3" t="s">
        <v>3092</v>
      </c>
      <c r="C1793" s="6" t="s">
        <v>518</v>
      </c>
      <c r="D1793" s="6" t="s">
        <v>189</v>
      </c>
      <c r="E1793" s="6" t="s">
        <v>249</v>
      </c>
      <c r="F1793" s="6">
        <v>23742.39</v>
      </c>
      <c r="G1793" s="2">
        <v>0.96</v>
      </c>
      <c r="H1793" s="2">
        <v>1.26</v>
      </c>
      <c r="I1793" s="2">
        <v>1.57</v>
      </c>
      <c r="J1793" s="47">
        <f t="shared" si="135"/>
        <v>0.31250000000000006</v>
      </c>
      <c r="K1793" s="47">
        <f t="shared" si="136"/>
        <v>0.24603174603174607</v>
      </c>
      <c r="L1793" s="8">
        <v>246.48</v>
      </c>
      <c r="M1793" s="8">
        <v>207.83</v>
      </c>
      <c r="N1793" s="8">
        <v>166.66</v>
      </c>
      <c r="O1793" s="17">
        <f t="shared" si="137"/>
        <v>6.6505599999999987</v>
      </c>
      <c r="P1793" s="17">
        <f t="shared" si="138"/>
        <v>6.7739225806451602</v>
      </c>
      <c r="Q1793" s="5">
        <v>8.49</v>
      </c>
      <c r="R1793" s="9">
        <v>-27.38</v>
      </c>
      <c r="S1793" s="9">
        <v>32.880000000000003</v>
      </c>
      <c r="T1793" s="9">
        <v>1506.05297</v>
      </c>
      <c r="U1793" s="9">
        <v>1183.6600000000001</v>
      </c>
      <c r="V1793" s="45">
        <f t="shared" si="139"/>
        <v>0.27236957403308371</v>
      </c>
      <c r="W1793" s="12">
        <v>8</v>
      </c>
      <c r="X1793" s="12">
        <v>0</v>
      </c>
      <c r="Y1793" s="12">
        <v>20210802</v>
      </c>
    </row>
    <row r="1794" spans="1:25" x14ac:dyDescent="0.45">
      <c r="A1794" s="3" t="s">
        <v>3093</v>
      </c>
      <c r="B1794" s="3" t="s">
        <v>3094</v>
      </c>
      <c r="C1794" s="6" t="s">
        <v>518</v>
      </c>
      <c r="D1794" s="6" t="s">
        <v>234</v>
      </c>
      <c r="E1794" s="6" t="s">
        <v>244</v>
      </c>
      <c r="F1794" s="6">
        <v>7436.23</v>
      </c>
      <c r="G1794" s="2">
        <v>-1.1599999999999999</v>
      </c>
      <c r="H1794" s="2">
        <v>10.31</v>
      </c>
      <c r="I1794" s="2">
        <v>16.579999999999998</v>
      </c>
      <c r="J1794" s="47">
        <f t="shared" si="135"/>
        <v>9.8879310344827598</v>
      </c>
      <c r="K1794" s="47">
        <f t="shared" si="136"/>
        <v>0.60814742967992219</v>
      </c>
      <c r="M1794" s="8">
        <v>14.52</v>
      </c>
      <c r="N1794" s="8">
        <v>9.0299999999999994</v>
      </c>
      <c r="O1794" s="17">
        <f t="shared" si="137"/>
        <v>1.4684568439407148E-2</v>
      </c>
      <c r="P1794" s="17">
        <f t="shared" si="138"/>
        <v>0.14848373205741633</v>
      </c>
      <c r="R1794" s="9">
        <v>0.22</v>
      </c>
      <c r="S1794" s="9">
        <v>31.56</v>
      </c>
      <c r="T1794" s="9">
        <v>4953.1000899999999</v>
      </c>
      <c r="U1794" s="9">
        <v>5172.32</v>
      </c>
      <c r="V1794" s="45">
        <f t="shared" si="139"/>
        <v>-4.2383284483558596E-2</v>
      </c>
      <c r="W1794" s="12">
        <v>-87.84</v>
      </c>
      <c r="X1794" s="12">
        <v>0.96</v>
      </c>
      <c r="Y1794" s="12">
        <v>20210727</v>
      </c>
    </row>
    <row r="1795" spans="1:25" x14ac:dyDescent="0.45">
      <c r="A1795" s="3" t="s">
        <v>3890</v>
      </c>
      <c r="B1795" s="3" t="s">
        <v>3891</v>
      </c>
      <c r="C1795" s="6" t="s">
        <v>520</v>
      </c>
      <c r="D1795" s="6" t="s">
        <v>175</v>
      </c>
      <c r="E1795" s="6" t="s">
        <v>305</v>
      </c>
      <c r="F1795" s="6">
        <v>6360.8</v>
      </c>
      <c r="G1795" s="2">
        <v>0.71</v>
      </c>
      <c r="H1795" s="2">
        <v>1.81</v>
      </c>
      <c r="I1795" s="2">
        <v>2.2400000000000002</v>
      </c>
      <c r="J1795" s="47">
        <f t="shared" ref="J1795:J1858" si="140">(H1795-G1795)/ABS(G1795)</f>
        <v>1.5492957746478875</v>
      </c>
      <c r="K1795" s="47">
        <f t="shared" ref="K1795:K1858" si="141">(I1795-H1795)/ABS(H1795)</f>
        <v>0.23756906077348075</v>
      </c>
      <c r="M1795" s="8">
        <v>48.29</v>
      </c>
      <c r="N1795" s="8">
        <v>39.020000000000003</v>
      </c>
      <c r="O1795" s="17">
        <f t="shared" ref="O1795:O1858" si="142">M1795/(J1795*100)</f>
        <v>0.31168999999999997</v>
      </c>
      <c r="P1795" s="17">
        <f t="shared" ref="P1795:P1858" si="143">N1795/(K1795*100)</f>
        <v>1.64246976744186</v>
      </c>
      <c r="T1795" s="9">
        <v>774.46001999999999</v>
      </c>
      <c r="U1795" s="9">
        <v>643.28</v>
      </c>
      <c r="V1795" s="45">
        <f t="shared" ref="V1795:V1858" si="144">(T1795-U1795)/U1795</f>
        <v>0.20392367242880241</v>
      </c>
      <c r="X1795" s="12">
        <v>0</v>
      </c>
    </row>
    <row r="1796" spans="1:25" x14ac:dyDescent="0.45">
      <c r="A1796" s="3" t="s">
        <v>3095</v>
      </c>
      <c r="B1796" s="3" t="s">
        <v>3096</v>
      </c>
      <c r="C1796" s="6" t="s">
        <v>518</v>
      </c>
      <c r="D1796" s="6" t="s">
        <v>189</v>
      </c>
      <c r="E1796" s="6" t="s">
        <v>211</v>
      </c>
      <c r="F1796" s="6">
        <v>3600.03</v>
      </c>
      <c r="G1796" s="2">
        <v>4.8899999999999997</v>
      </c>
      <c r="H1796" s="2">
        <v>7.71</v>
      </c>
      <c r="I1796" s="2">
        <v>8.73</v>
      </c>
      <c r="J1796" s="47">
        <f t="shared" si="140"/>
        <v>0.57668711656441729</v>
      </c>
      <c r="K1796" s="47">
        <f t="shared" si="141"/>
        <v>0.13229571984435803</v>
      </c>
      <c r="L1796" s="8">
        <v>31.64</v>
      </c>
      <c r="M1796" s="8">
        <v>24.95</v>
      </c>
      <c r="N1796" s="8">
        <v>22.04</v>
      </c>
      <c r="O1796" s="17">
        <f t="shared" si="142"/>
        <v>0.43264361702127652</v>
      </c>
      <c r="P1796" s="17">
        <f t="shared" si="143"/>
        <v>1.6659647058823521</v>
      </c>
      <c r="R1796" s="9">
        <v>11.34</v>
      </c>
      <c r="S1796" s="9">
        <v>5.62</v>
      </c>
      <c r="T1796" s="9">
        <v>946.95001000000002</v>
      </c>
      <c r="U1796" s="9">
        <v>802.58</v>
      </c>
      <c r="V1796" s="45">
        <f t="shared" si="144"/>
        <v>0.17988239178648854</v>
      </c>
      <c r="W1796" s="12">
        <v>7.26</v>
      </c>
      <c r="X1796" s="12">
        <v>0</v>
      </c>
      <c r="Y1796" s="12">
        <v>20210729</v>
      </c>
    </row>
    <row r="1797" spans="1:25" x14ac:dyDescent="0.45">
      <c r="A1797" s="3" t="s">
        <v>4926</v>
      </c>
      <c r="B1797" s="3" t="s">
        <v>4927</v>
      </c>
      <c r="C1797" s="6" t="s">
        <v>520</v>
      </c>
      <c r="D1797" s="6" t="s">
        <v>189</v>
      </c>
      <c r="E1797" s="6" t="s">
        <v>213</v>
      </c>
      <c r="F1797" s="6">
        <v>9828.26</v>
      </c>
      <c r="J1797" s="47" t="e">
        <f t="shared" si="140"/>
        <v>#DIV/0!</v>
      </c>
      <c r="K1797" s="47" t="e">
        <f t="shared" si="141"/>
        <v>#DIV/0!</v>
      </c>
      <c r="L1797" s="8">
        <v>27.9</v>
      </c>
      <c r="O1797" s="17" t="e">
        <f t="shared" si="142"/>
        <v>#DIV/0!</v>
      </c>
      <c r="P1797" s="17" t="e">
        <f t="shared" si="143"/>
        <v>#DIV/0!</v>
      </c>
      <c r="R1797" s="9">
        <v>5.18</v>
      </c>
      <c r="U1797" s="9">
        <v>3395.15</v>
      </c>
      <c r="V1797" s="45">
        <f t="shared" si="144"/>
        <v>-1</v>
      </c>
      <c r="X1797" s="12">
        <v>0.54</v>
      </c>
      <c r="Y1797" s="12">
        <v>20210730</v>
      </c>
    </row>
    <row r="1798" spans="1:25" x14ac:dyDescent="0.45">
      <c r="A1798" s="3" t="s">
        <v>3097</v>
      </c>
      <c r="B1798" s="3" t="s">
        <v>3098</v>
      </c>
      <c r="C1798" s="6" t="s">
        <v>518</v>
      </c>
      <c r="D1798" s="6" t="s">
        <v>272</v>
      </c>
      <c r="E1798" s="6" t="s">
        <v>1679</v>
      </c>
      <c r="F1798" s="6">
        <v>32402.81</v>
      </c>
      <c r="G1798" s="2">
        <v>7.57</v>
      </c>
      <c r="H1798" s="2">
        <v>9.2100000000000009</v>
      </c>
      <c r="I1798" s="2">
        <v>9.86</v>
      </c>
      <c r="J1798" s="47">
        <f t="shared" si="140"/>
        <v>0.21664464993394986</v>
      </c>
      <c r="K1798" s="47">
        <f t="shared" si="141"/>
        <v>7.0575461454940119E-2</v>
      </c>
      <c r="L1798" s="8">
        <v>35.200000000000003</v>
      </c>
      <c r="M1798" s="8">
        <v>30.32</v>
      </c>
      <c r="N1798" s="8">
        <v>28.31</v>
      </c>
      <c r="O1798" s="17">
        <f t="shared" si="142"/>
        <v>1.3995268292682923</v>
      </c>
      <c r="P1798" s="17">
        <f t="shared" si="143"/>
        <v>4.01130923076924</v>
      </c>
      <c r="Q1798" s="5">
        <v>3.19</v>
      </c>
      <c r="R1798" s="9">
        <v>57.72</v>
      </c>
      <c r="S1798" s="9">
        <v>1.81</v>
      </c>
      <c r="T1798" s="9">
        <v>6992.4218700000001</v>
      </c>
      <c r="U1798" s="9">
        <v>6329.8</v>
      </c>
      <c r="V1798" s="45">
        <f t="shared" si="144"/>
        <v>0.10468290783279091</v>
      </c>
      <c r="W1798" s="12">
        <v>12.09</v>
      </c>
      <c r="X1798" s="12">
        <v>1.53</v>
      </c>
      <c r="Y1798" s="12">
        <v>20210727</v>
      </c>
    </row>
    <row r="1799" spans="1:25" x14ac:dyDescent="0.45">
      <c r="A1799" s="3" t="s">
        <v>3099</v>
      </c>
      <c r="B1799" s="3" t="s">
        <v>3100</v>
      </c>
      <c r="C1799" s="6" t="s">
        <v>519</v>
      </c>
      <c r="D1799" s="6" t="s">
        <v>216</v>
      </c>
      <c r="E1799" s="6" t="s">
        <v>1449</v>
      </c>
      <c r="F1799" s="6">
        <v>44967.86</v>
      </c>
      <c r="G1799" s="2">
        <v>-0.75</v>
      </c>
      <c r="H1799" s="2">
        <v>0.37</v>
      </c>
      <c r="I1799" s="2">
        <v>0.97</v>
      </c>
      <c r="J1799" s="47">
        <f t="shared" si="140"/>
        <v>1.4933333333333334</v>
      </c>
      <c r="K1799" s="47">
        <f t="shared" si="141"/>
        <v>1.6216216216216215</v>
      </c>
      <c r="L1799" s="8">
        <v>441.09</v>
      </c>
      <c r="M1799" s="8">
        <v>908.13</v>
      </c>
      <c r="N1799" s="8">
        <v>350.14</v>
      </c>
      <c r="O1799" s="17">
        <f t="shared" si="142"/>
        <v>6.0812276785714285</v>
      </c>
      <c r="P1799" s="17">
        <f t="shared" si="143"/>
        <v>2.1591966666666664</v>
      </c>
      <c r="R1799" s="9">
        <v>7.56</v>
      </c>
      <c r="S1799" s="9">
        <v>52.39</v>
      </c>
      <c r="T1799" s="9">
        <v>2740.0910600000002</v>
      </c>
      <c r="U1799" s="9">
        <v>1778.39</v>
      </c>
      <c r="V1799" s="45">
        <f t="shared" si="144"/>
        <v>0.54077061836829943</v>
      </c>
      <c r="W1799" s="12">
        <v>550</v>
      </c>
      <c r="X1799" s="12">
        <v>0</v>
      </c>
      <c r="Y1799" s="12">
        <v>20210804</v>
      </c>
    </row>
    <row r="1800" spans="1:25" x14ac:dyDescent="0.45">
      <c r="A1800" s="3" t="s">
        <v>3101</v>
      </c>
      <c r="B1800" s="3" t="s">
        <v>3102</v>
      </c>
      <c r="C1800" s="6" t="s">
        <v>518</v>
      </c>
      <c r="D1800" s="6" t="s">
        <v>175</v>
      </c>
      <c r="E1800" s="6" t="s">
        <v>3103</v>
      </c>
      <c r="F1800" s="6">
        <v>16264.68</v>
      </c>
      <c r="G1800" s="2">
        <v>0.52</v>
      </c>
      <c r="H1800" s="2">
        <v>0.65</v>
      </c>
      <c r="I1800" s="2">
        <v>0.7</v>
      </c>
      <c r="J1800" s="47">
        <f t="shared" si="140"/>
        <v>0.25</v>
      </c>
      <c r="K1800" s="47">
        <f t="shared" si="141"/>
        <v>7.6923076923076816E-2</v>
      </c>
      <c r="L1800" s="8">
        <v>43.49</v>
      </c>
      <c r="M1800" s="8">
        <v>50.85</v>
      </c>
      <c r="N1800" s="8">
        <v>47.44</v>
      </c>
      <c r="O1800" s="17">
        <f t="shared" si="142"/>
        <v>2.0340000000000003</v>
      </c>
      <c r="P1800" s="17">
        <f t="shared" si="143"/>
        <v>6.1672000000000082</v>
      </c>
      <c r="R1800" s="9">
        <v>31.56</v>
      </c>
      <c r="S1800" s="9">
        <v>8.5</v>
      </c>
      <c r="T1800" s="9">
        <v>2353.96704</v>
      </c>
      <c r="U1800" s="9">
        <v>2161.2199999999998</v>
      </c>
      <c r="V1800" s="45">
        <f t="shared" si="144"/>
        <v>8.9184368088394611E-2</v>
      </c>
      <c r="W1800" s="12">
        <v>27.27</v>
      </c>
      <c r="X1800" s="12">
        <v>0.97</v>
      </c>
      <c r="Y1800" s="12">
        <v>20210804</v>
      </c>
    </row>
    <row r="1801" spans="1:25" x14ac:dyDescent="0.45">
      <c r="A1801" s="3" t="s">
        <v>3104</v>
      </c>
      <c r="B1801" s="3" t="s">
        <v>529</v>
      </c>
      <c r="C1801" s="6" t="s">
        <v>519</v>
      </c>
      <c r="D1801" s="6" t="s">
        <v>272</v>
      </c>
      <c r="E1801" s="6" t="s">
        <v>254</v>
      </c>
      <c r="F1801" s="6">
        <v>5052.78</v>
      </c>
      <c r="G1801" s="2">
        <v>3.85</v>
      </c>
      <c r="H1801" s="2">
        <v>4.4800000000000004</v>
      </c>
      <c r="I1801" s="2">
        <v>5.0999999999999996</v>
      </c>
      <c r="J1801" s="47">
        <f t="shared" si="140"/>
        <v>0.16363636363636372</v>
      </c>
      <c r="K1801" s="47">
        <f t="shared" si="141"/>
        <v>0.13839285714285696</v>
      </c>
      <c r="L1801" s="8">
        <v>52.44</v>
      </c>
      <c r="M1801" s="8">
        <v>44.74</v>
      </c>
      <c r="N1801" s="8">
        <v>39.28</v>
      </c>
      <c r="O1801" s="17">
        <f t="shared" si="142"/>
        <v>2.73411111111111</v>
      </c>
      <c r="P1801" s="17">
        <f t="shared" si="143"/>
        <v>2.8382967741935521</v>
      </c>
      <c r="R1801" s="9">
        <v>8.08</v>
      </c>
      <c r="S1801" s="9">
        <v>2.17</v>
      </c>
      <c r="T1801" s="9">
        <v>675.08696999999995</v>
      </c>
      <c r="U1801" s="9">
        <v>608.98</v>
      </c>
      <c r="V1801" s="45">
        <f t="shared" si="144"/>
        <v>0.10855359781930429</v>
      </c>
      <c r="W1801" s="12">
        <v>0.93</v>
      </c>
      <c r="X1801" s="12">
        <v>0</v>
      </c>
      <c r="Y1801" s="12">
        <v>20210805</v>
      </c>
    </row>
    <row r="1802" spans="1:25" x14ac:dyDescent="0.45">
      <c r="A1802" s="3" t="s">
        <v>3105</v>
      </c>
      <c r="B1802" s="3" t="s">
        <v>3106</v>
      </c>
      <c r="C1802" s="6" t="s">
        <v>519</v>
      </c>
      <c r="D1802" s="6" t="s">
        <v>234</v>
      </c>
      <c r="E1802" s="6" t="s">
        <v>244</v>
      </c>
      <c r="F1802" s="6">
        <v>3406.94</v>
      </c>
      <c r="G1802" s="2">
        <v>-4.47</v>
      </c>
      <c r="H1802" s="2">
        <v>-2.02</v>
      </c>
      <c r="I1802" s="2">
        <v>-1.84</v>
      </c>
      <c r="J1802" s="47">
        <f t="shared" si="140"/>
        <v>0.54809843400447422</v>
      </c>
      <c r="K1802" s="47">
        <f t="shared" si="141"/>
        <v>8.9108910891089077E-2</v>
      </c>
      <c r="O1802" s="17">
        <f t="shared" si="142"/>
        <v>0</v>
      </c>
      <c r="P1802" s="17">
        <f t="shared" si="143"/>
        <v>0</v>
      </c>
      <c r="T1802" s="9">
        <v>296.23000999999999</v>
      </c>
      <c r="U1802" s="9">
        <v>346.8</v>
      </c>
      <c r="V1802" s="45">
        <f t="shared" si="144"/>
        <v>-0.14581888696655138</v>
      </c>
      <c r="W1802" s="12">
        <v>11.11</v>
      </c>
      <c r="X1802" s="12">
        <v>0</v>
      </c>
      <c r="Y1802" s="12">
        <v>20210804</v>
      </c>
    </row>
    <row r="1803" spans="1:25" x14ac:dyDescent="0.45">
      <c r="A1803" s="3" t="s">
        <v>3107</v>
      </c>
      <c r="B1803" s="3" t="s">
        <v>283</v>
      </c>
      <c r="C1803" s="6" t="s">
        <v>518</v>
      </c>
      <c r="D1803" s="6" t="s">
        <v>272</v>
      </c>
      <c r="E1803" s="6" t="s">
        <v>254</v>
      </c>
      <c r="F1803" s="6">
        <v>47457.54</v>
      </c>
      <c r="G1803" s="2">
        <v>12.65</v>
      </c>
      <c r="H1803" s="2">
        <v>14.99</v>
      </c>
      <c r="I1803" s="2">
        <v>16.010000000000002</v>
      </c>
      <c r="J1803" s="47">
        <f t="shared" si="140"/>
        <v>0.18498023715415018</v>
      </c>
      <c r="K1803" s="47">
        <f t="shared" si="141"/>
        <v>6.8045363575717235E-2</v>
      </c>
      <c r="L1803" s="8">
        <v>33.979999999999997</v>
      </c>
      <c r="M1803" s="8">
        <v>30.08</v>
      </c>
      <c r="N1803" s="8">
        <v>28.17</v>
      </c>
      <c r="O1803" s="17">
        <f t="shared" si="142"/>
        <v>1.626119658119658</v>
      </c>
      <c r="P1803" s="17">
        <f t="shared" si="143"/>
        <v>4.1398852941176418</v>
      </c>
      <c r="Q1803" s="5">
        <v>2.86</v>
      </c>
      <c r="R1803" s="9">
        <v>13.61</v>
      </c>
      <c r="S1803" s="9">
        <v>9.8000000000000007</v>
      </c>
      <c r="T1803" s="9">
        <v>6334.8569299999999</v>
      </c>
      <c r="U1803" s="9">
        <v>5527.1</v>
      </c>
      <c r="V1803" s="45">
        <f t="shared" si="144"/>
        <v>0.14614480107108602</v>
      </c>
      <c r="W1803" s="12">
        <v>8.43</v>
      </c>
      <c r="X1803" s="12">
        <v>0.5</v>
      </c>
      <c r="Y1803" s="12">
        <v>20210727</v>
      </c>
    </row>
    <row r="1804" spans="1:25" x14ac:dyDescent="0.45">
      <c r="A1804" s="3" t="s">
        <v>3108</v>
      </c>
      <c r="B1804" s="3" t="s">
        <v>3109</v>
      </c>
      <c r="C1804" s="6" t="s">
        <v>519</v>
      </c>
      <c r="D1804" s="6" t="s">
        <v>303</v>
      </c>
      <c r="E1804" s="6" t="s">
        <v>1015</v>
      </c>
      <c r="F1804" s="6">
        <v>42825.47</v>
      </c>
      <c r="G1804" s="2">
        <v>1</v>
      </c>
      <c r="H1804" s="2">
        <v>4.32</v>
      </c>
      <c r="I1804" s="2">
        <v>5.27</v>
      </c>
      <c r="J1804" s="47">
        <f t="shared" si="140"/>
        <v>3.3200000000000003</v>
      </c>
      <c r="K1804" s="47">
        <f t="shared" si="141"/>
        <v>0.21990740740740722</v>
      </c>
      <c r="L1804" s="8">
        <v>41.41</v>
      </c>
      <c r="M1804" s="8">
        <v>27.79</v>
      </c>
      <c r="N1804" s="8">
        <v>22.81</v>
      </c>
      <c r="O1804" s="17">
        <f t="shared" si="142"/>
        <v>8.3704819277108433E-2</v>
      </c>
      <c r="P1804" s="17">
        <f t="shared" si="143"/>
        <v>1.0372547368421061</v>
      </c>
      <c r="Q1804" s="5">
        <v>2.78</v>
      </c>
      <c r="R1804" s="9">
        <v>32.44</v>
      </c>
      <c r="S1804" s="9">
        <v>2.04</v>
      </c>
      <c r="T1804" s="9">
        <v>17977.5039</v>
      </c>
      <c r="U1804" s="9">
        <v>12531.57</v>
      </c>
      <c r="V1804" s="45">
        <f t="shared" si="144"/>
        <v>0.43457714396520147</v>
      </c>
      <c r="W1804" s="12">
        <v>48.89</v>
      </c>
      <c r="X1804" s="12">
        <v>0.95</v>
      </c>
      <c r="Y1804" s="12">
        <v>20210819</v>
      </c>
    </row>
    <row r="1805" spans="1:25" x14ac:dyDescent="0.45">
      <c r="A1805" s="3" t="s">
        <v>3110</v>
      </c>
      <c r="B1805" s="3" t="s">
        <v>3111</v>
      </c>
      <c r="C1805" s="6" t="s">
        <v>519</v>
      </c>
      <c r="D1805" s="6" t="s">
        <v>189</v>
      </c>
      <c r="E1805" s="6" t="s">
        <v>248</v>
      </c>
      <c r="F1805" s="6">
        <v>4763.2299999999996</v>
      </c>
      <c r="G1805" s="2">
        <v>-0.11</v>
      </c>
      <c r="H1805" s="2">
        <v>0.02</v>
      </c>
      <c r="I1805" s="2">
        <v>0.24</v>
      </c>
      <c r="J1805" s="47">
        <f t="shared" si="140"/>
        <v>1.1818181818181819</v>
      </c>
      <c r="K1805" s="47">
        <f t="shared" si="141"/>
        <v>11</v>
      </c>
      <c r="M1805" s="8">
        <v>4712.7299999999996</v>
      </c>
      <c r="N1805" s="8">
        <v>360</v>
      </c>
      <c r="O1805" s="17">
        <f t="shared" si="142"/>
        <v>39.876946153846148</v>
      </c>
      <c r="P1805" s="17">
        <f t="shared" si="143"/>
        <v>0.32727272727272727</v>
      </c>
      <c r="R1805" s="9">
        <v>-177.3</v>
      </c>
      <c r="S1805" s="9">
        <v>27.69</v>
      </c>
      <c r="T1805" s="9">
        <v>502.82299</v>
      </c>
      <c r="U1805" s="9">
        <v>411.49</v>
      </c>
      <c r="V1805" s="45">
        <f t="shared" si="144"/>
        <v>0.22195676687161289</v>
      </c>
      <c r="W1805" s="12">
        <v>57.14</v>
      </c>
      <c r="X1805" s="12">
        <v>0</v>
      </c>
      <c r="Y1805" s="12">
        <v>20210805</v>
      </c>
    </row>
    <row r="1806" spans="1:25" x14ac:dyDescent="0.45">
      <c r="A1806" s="3" t="s">
        <v>3112</v>
      </c>
      <c r="B1806" s="3" t="s">
        <v>3113</v>
      </c>
      <c r="C1806" s="6" t="s">
        <v>518</v>
      </c>
      <c r="D1806" s="6" t="s">
        <v>210</v>
      </c>
      <c r="E1806" s="6" t="s">
        <v>2678</v>
      </c>
      <c r="F1806" s="6">
        <v>11864.53</v>
      </c>
      <c r="G1806" s="2">
        <v>4.1500000000000004</v>
      </c>
      <c r="H1806" s="2">
        <v>4.37</v>
      </c>
      <c r="I1806" s="2">
        <v>4.8</v>
      </c>
      <c r="J1806" s="47">
        <f t="shared" si="140"/>
        <v>5.301204819277102E-2</v>
      </c>
      <c r="K1806" s="47">
        <f t="shared" si="141"/>
        <v>9.8398169336384372E-2</v>
      </c>
      <c r="L1806" s="8">
        <v>22.84</v>
      </c>
      <c r="M1806" s="8">
        <v>20.95</v>
      </c>
      <c r="N1806" s="8">
        <v>19.079999999999998</v>
      </c>
      <c r="O1806" s="17">
        <f t="shared" si="142"/>
        <v>3.9519318181818224</v>
      </c>
      <c r="P1806" s="17">
        <f t="shared" si="143"/>
        <v>1.9390604651162804</v>
      </c>
      <c r="Q1806" s="5">
        <v>1.31</v>
      </c>
      <c r="R1806" s="9">
        <v>35.89</v>
      </c>
      <c r="S1806" s="9">
        <v>4.18</v>
      </c>
      <c r="T1806" s="9">
        <v>6341.9101499999997</v>
      </c>
      <c r="U1806" s="9">
        <v>5506.99</v>
      </c>
      <c r="V1806" s="45">
        <f t="shared" si="144"/>
        <v>0.15161097986377312</v>
      </c>
      <c r="W1806" s="12">
        <v>11.76</v>
      </c>
      <c r="X1806" s="12">
        <v>1.66</v>
      </c>
      <c r="Y1806" s="12">
        <v>20210726</v>
      </c>
    </row>
    <row r="1807" spans="1:25" x14ac:dyDescent="0.45">
      <c r="A1807" s="3" t="s">
        <v>3114</v>
      </c>
      <c r="B1807" s="3" t="s">
        <v>3115</v>
      </c>
      <c r="C1807" s="6" t="s">
        <v>519</v>
      </c>
      <c r="D1807" s="6" t="s">
        <v>234</v>
      </c>
      <c r="E1807" s="6" t="s">
        <v>221</v>
      </c>
      <c r="F1807" s="6">
        <v>27921.03</v>
      </c>
      <c r="G1807" s="2">
        <v>2.46</v>
      </c>
      <c r="H1807" s="2">
        <v>2.73</v>
      </c>
      <c r="I1807" s="2">
        <v>3.11</v>
      </c>
      <c r="J1807" s="47">
        <f t="shared" si="140"/>
        <v>0.10975609756097562</v>
      </c>
      <c r="K1807" s="47">
        <f t="shared" si="141"/>
        <v>0.13919413919413914</v>
      </c>
      <c r="L1807" s="8">
        <v>21.29</v>
      </c>
      <c r="M1807" s="8">
        <v>16.850000000000001</v>
      </c>
      <c r="N1807" s="8">
        <v>14.78</v>
      </c>
      <c r="O1807" s="17">
        <f t="shared" si="142"/>
        <v>1.5352222222222223</v>
      </c>
      <c r="P1807" s="17">
        <f t="shared" si="143"/>
        <v>1.0618263157894741</v>
      </c>
      <c r="Q1807" s="5">
        <v>1.43</v>
      </c>
      <c r="R1807" s="9">
        <v>13.49</v>
      </c>
      <c r="T1807" s="9">
        <v>1988.6169400000001</v>
      </c>
      <c r="U1807" s="9">
        <v>2122</v>
      </c>
      <c r="V1807" s="45">
        <f t="shared" si="144"/>
        <v>-6.2857238454288353E-2</v>
      </c>
      <c r="W1807" s="12">
        <v>3.08</v>
      </c>
      <c r="X1807" s="12">
        <v>1.48</v>
      </c>
      <c r="Y1807" s="12">
        <v>20210811</v>
      </c>
    </row>
    <row r="1808" spans="1:25" x14ac:dyDescent="0.45">
      <c r="A1808" s="3" t="s">
        <v>4327</v>
      </c>
      <c r="B1808" s="3" t="s">
        <v>4328</v>
      </c>
      <c r="C1808" s="6" t="s">
        <v>518</v>
      </c>
      <c r="D1808" s="6" t="s">
        <v>289</v>
      </c>
      <c r="E1808" s="6" t="s">
        <v>271</v>
      </c>
      <c r="F1808" s="6">
        <v>3961.43</v>
      </c>
      <c r="G1808" s="2">
        <v>-0.09</v>
      </c>
      <c r="H1808" s="2">
        <v>1.05</v>
      </c>
      <c r="I1808" s="2">
        <v>1.08</v>
      </c>
      <c r="J1808" s="47">
        <f t="shared" si="140"/>
        <v>12.666666666666668</v>
      </c>
      <c r="K1808" s="47">
        <f t="shared" si="141"/>
        <v>2.8571428571428595E-2</v>
      </c>
      <c r="L1808" s="8">
        <v>89.76</v>
      </c>
      <c r="M1808" s="8">
        <v>14.57</v>
      </c>
      <c r="N1808" s="8">
        <v>14.1</v>
      </c>
      <c r="O1808" s="17">
        <f t="shared" si="142"/>
        <v>1.1502631578947368E-2</v>
      </c>
      <c r="P1808" s="17">
        <f t="shared" si="143"/>
        <v>4.9349999999999961</v>
      </c>
      <c r="Q1808" s="5">
        <v>0.79</v>
      </c>
      <c r="R1808" s="9">
        <v>2.27</v>
      </c>
      <c r="S1808" s="9">
        <v>12.03</v>
      </c>
      <c r="T1808" s="9">
        <v>2463.97802</v>
      </c>
      <c r="U1808" s="9">
        <v>1968.7</v>
      </c>
      <c r="V1808" s="45">
        <f t="shared" si="144"/>
        <v>0.25157617717275355</v>
      </c>
      <c r="W1808" s="12">
        <v>36.36</v>
      </c>
      <c r="X1808" s="12">
        <v>0</v>
      </c>
      <c r="Y1808" s="12">
        <v>20210802</v>
      </c>
    </row>
    <row r="1809" spans="1:25" x14ac:dyDescent="0.45">
      <c r="A1809" s="3" t="s">
        <v>3892</v>
      </c>
      <c r="B1809" s="3" t="s">
        <v>3893</v>
      </c>
      <c r="C1809" s="6" t="s">
        <v>519</v>
      </c>
      <c r="D1809" s="6" t="s">
        <v>216</v>
      </c>
      <c r="E1809" s="6" t="s">
        <v>228</v>
      </c>
      <c r="F1809" s="6">
        <v>5169.37</v>
      </c>
      <c r="G1809" s="2">
        <v>-1.33</v>
      </c>
      <c r="H1809" s="2">
        <v>0.05</v>
      </c>
      <c r="I1809" s="2">
        <v>1.38</v>
      </c>
      <c r="J1809" s="47">
        <f t="shared" si="140"/>
        <v>1.0375939849624061</v>
      </c>
      <c r="K1809" s="47">
        <f t="shared" si="141"/>
        <v>26.599999999999994</v>
      </c>
      <c r="L1809" s="8">
        <v>48.04</v>
      </c>
      <c r="M1809" s="8">
        <v>803.64</v>
      </c>
      <c r="N1809" s="8">
        <v>32.11</v>
      </c>
      <c r="O1809" s="17">
        <f t="shared" si="142"/>
        <v>7.7452260869565208</v>
      </c>
      <c r="P1809" s="17">
        <f t="shared" si="143"/>
        <v>1.2071428571428573E-2</v>
      </c>
      <c r="R1809" s="9">
        <v>13.46</v>
      </c>
      <c r="S1809" s="9">
        <v>-1.39</v>
      </c>
      <c r="T1809" s="9">
        <v>1416.6860300000001</v>
      </c>
      <c r="U1809" s="9">
        <v>1182.44</v>
      </c>
      <c r="V1809" s="45">
        <f t="shared" si="144"/>
        <v>0.19810394607760226</v>
      </c>
      <c r="W1809" s="12">
        <v>326.08999999999997</v>
      </c>
      <c r="X1809" s="12">
        <v>0</v>
      </c>
      <c r="Y1809" s="12">
        <v>20210803</v>
      </c>
    </row>
    <row r="1810" spans="1:25" x14ac:dyDescent="0.45">
      <c r="A1810" s="3" t="s">
        <v>3116</v>
      </c>
      <c r="B1810" s="3" t="s">
        <v>3117</v>
      </c>
      <c r="C1810" s="6" t="s">
        <v>518</v>
      </c>
      <c r="D1810" s="6" t="s">
        <v>272</v>
      </c>
      <c r="E1810" s="6" t="s">
        <v>439</v>
      </c>
      <c r="F1810" s="6">
        <v>11038.02</v>
      </c>
      <c r="G1810" s="2">
        <v>7.8</v>
      </c>
      <c r="H1810" s="2">
        <v>13.75</v>
      </c>
      <c r="I1810" s="2">
        <v>10.47</v>
      </c>
      <c r="J1810" s="47">
        <f t="shared" si="140"/>
        <v>0.76282051282051289</v>
      </c>
      <c r="K1810" s="47">
        <f t="shared" si="141"/>
        <v>-0.23854545454545451</v>
      </c>
      <c r="L1810" s="8">
        <v>18.55</v>
      </c>
      <c r="M1810" s="8">
        <v>12.6</v>
      </c>
      <c r="N1810" s="8">
        <v>16.54</v>
      </c>
      <c r="O1810" s="17">
        <f t="shared" si="142"/>
        <v>0.16517647058823529</v>
      </c>
      <c r="P1810" s="17">
        <f t="shared" si="143"/>
        <v>-0.69336890243902438</v>
      </c>
      <c r="Q1810" s="5">
        <v>1.4</v>
      </c>
      <c r="R1810" s="9">
        <v>11.8</v>
      </c>
      <c r="S1810" s="9">
        <v>2.6</v>
      </c>
      <c r="T1810" s="9">
        <v>11197.214840000001</v>
      </c>
      <c r="U1810" s="9">
        <v>8811.9</v>
      </c>
      <c r="V1810" s="45">
        <f t="shared" si="144"/>
        <v>0.27069245452172641</v>
      </c>
      <c r="W1810" s="12">
        <v>11.11</v>
      </c>
      <c r="X1810" s="12">
        <v>1.59</v>
      </c>
      <c r="Y1810" s="12">
        <v>20210722</v>
      </c>
    </row>
    <row r="1811" spans="1:25" x14ac:dyDescent="0.45">
      <c r="A1811" s="3" t="s">
        <v>3118</v>
      </c>
      <c r="B1811" s="3" t="s">
        <v>3119</v>
      </c>
      <c r="C1811" s="6" t="s">
        <v>518</v>
      </c>
      <c r="D1811" s="6" t="s">
        <v>175</v>
      </c>
      <c r="E1811" s="6" t="s">
        <v>366</v>
      </c>
      <c r="F1811" s="6">
        <v>34848.019999999997</v>
      </c>
      <c r="G1811" s="2">
        <v>3.38</v>
      </c>
      <c r="H1811" s="2">
        <v>3.8</v>
      </c>
      <c r="I1811" s="2">
        <v>4.18</v>
      </c>
      <c r="J1811" s="47">
        <f t="shared" si="140"/>
        <v>0.12426035502958578</v>
      </c>
      <c r="K1811" s="47">
        <f t="shared" si="141"/>
        <v>9.9999999999999978E-2</v>
      </c>
      <c r="L1811" s="8">
        <v>29.21</v>
      </c>
      <c r="M1811" s="8">
        <v>28.72</v>
      </c>
      <c r="N1811" s="8">
        <v>26.12</v>
      </c>
      <c r="O1811" s="17">
        <f t="shared" si="142"/>
        <v>2.3112761904761907</v>
      </c>
      <c r="P1811" s="17">
        <f t="shared" si="143"/>
        <v>2.6120000000000005</v>
      </c>
      <c r="Q1811" s="5">
        <v>2.92</v>
      </c>
      <c r="R1811" s="9">
        <v>14.17</v>
      </c>
      <c r="S1811" s="9">
        <v>2.0699999999999998</v>
      </c>
      <c r="T1811" s="9">
        <v>10872.485350000001</v>
      </c>
      <c r="U1811" s="9">
        <v>10153.6</v>
      </c>
      <c r="V1811" s="45">
        <f t="shared" si="144"/>
        <v>7.0801031161361536E-2</v>
      </c>
      <c r="W1811" s="12">
        <v>8.14</v>
      </c>
      <c r="X1811" s="12">
        <v>1.56</v>
      </c>
      <c r="Y1811" s="12">
        <v>20210805</v>
      </c>
    </row>
    <row r="1812" spans="1:25" x14ac:dyDescent="0.45">
      <c r="A1812" s="3" t="s">
        <v>4329</v>
      </c>
      <c r="B1812" s="3" t="s">
        <v>4330</v>
      </c>
      <c r="C1812" s="6" t="s">
        <v>518</v>
      </c>
      <c r="D1812" s="6" t="s">
        <v>216</v>
      </c>
      <c r="E1812" s="6" t="s">
        <v>228</v>
      </c>
      <c r="F1812" s="6">
        <v>3103.3</v>
      </c>
      <c r="G1812" s="2">
        <v>-3.04</v>
      </c>
      <c r="H1812" s="2">
        <v>-0.33</v>
      </c>
      <c r="I1812" s="2">
        <v>-0.44</v>
      </c>
      <c r="J1812" s="47">
        <f t="shared" si="140"/>
        <v>0.89144736842105265</v>
      </c>
      <c r="K1812" s="47">
        <f t="shared" si="141"/>
        <v>-0.33333333333333326</v>
      </c>
      <c r="O1812" s="17">
        <f t="shared" si="142"/>
        <v>0</v>
      </c>
      <c r="P1812" s="17">
        <f t="shared" si="143"/>
        <v>0</v>
      </c>
      <c r="T1812" s="9">
        <v>473.95001000000002</v>
      </c>
      <c r="U1812" s="9">
        <v>278.5</v>
      </c>
      <c r="V1812" s="45">
        <f t="shared" si="144"/>
        <v>0.70179536804308806</v>
      </c>
      <c r="W1812" s="12">
        <v>11.11</v>
      </c>
      <c r="X1812" s="12">
        <v>0</v>
      </c>
      <c r="Y1812" s="12">
        <v>20210812</v>
      </c>
    </row>
    <row r="1813" spans="1:25" x14ac:dyDescent="0.45">
      <c r="A1813" s="3" t="s">
        <v>4928</v>
      </c>
      <c r="B1813" s="3" t="s">
        <v>4929</v>
      </c>
      <c r="C1813" s="6" t="s">
        <v>518</v>
      </c>
      <c r="D1813" s="6" t="s">
        <v>234</v>
      </c>
      <c r="E1813" s="6" t="s">
        <v>904</v>
      </c>
      <c r="F1813" s="6">
        <v>28893.69</v>
      </c>
      <c r="J1813" s="47" t="e">
        <f t="shared" si="140"/>
        <v>#DIV/0!</v>
      </c>
      <c r="K1813" s="47" t="e">
        <f t="shared" si="141"/>
        <v>#DIV/0!</v>
      </c>
      <c r="O1813" s="17" t="e">
        <f t="shared" si="142"/>
        <v>#DIV/0!</v>
      </c>
      <c r="P1813" s="17" t="e">
        <f t="shared" si="143"/>
        <v>#DIV/0!</v>
      </c>
      <c r="V1813" s="45" t="e">
        <f t="shared" si="144"/>
        <v>#DIV/0!</v>
      </c>
      <c r="X1813" s="12">
        <v>1.33</v>
      </c>
    </row>
    <row r="1814" spans="1:25" x14ac:dyDescent="0.45">
      <c r="A1814" s="3" t="s">
        <v>3120</v>
      </c>
      <c r="B1814" s="3" t="s">
        <v>3121</v>
      </c>
      <c r="C1814" s="6" t="s">
        <v>520</v>
      </c>
      <c r="D1814" s="6" t="s">
        <v>175</v>
      </c>
      <c r="E1814" s="6" t="s">
        <v>194</v>
      </c>
      <c r="F1814" s="6">
        <v>12695.52</v>
      </c>
      <c r="G1814" s="2">
        <v>0.97</v>
      </c>
      <c r="H1814" s="2">
        <v>1.1599999999999999</v>
      </c>
      <c r="I1814" s="2">
        <v>1.28</v>
      </c>
      <c r="J1814" s="47">
        <f t="shared" si="140"/>
        <v>0.19587628865979376</v>
      </c>
      <c r="K1814" s="47">
        <f t="shared" si="141"/>
        <v>0.10344827586206906</v>
      </c>
      <c r="M1814" s="8">
        <v>29.35</v>
      </c>
      <c r="N1814" s="8">
        <v>26.74</v>
      </c>
      <c r="O1814" s="17">
        <f t="shared" si="142"/>
        <v>1.4983947368421058</v>
      </c>
      <c r="P1814" s="17">
        <f t="shared" si="143"/>
        <v>2.5848666666666644</v>
      </c>
      <c r="T1814" s="9">
        <v>4125.6137600000002</v>
      </c>
      <c r="U1814" s="9">
        <v>3625.78</v>
      </c>
      <c r="V1814" s="45">
        <f t="shared" si="144"/>
        <v>0.13785551246904112</v>
      </c>
      <c r="X1814" s="12">
        <v>1.06</v>
      </c>
    </row>
    <row r="1815" spans="1:25" x14ac:dyDescent="0.45">
      <c r="A1815" s="3" t="s">
        <v>3122</v>
      </c>
      <c r="B1815" s="3" t="s">
        <v>3123</v>
      </c>
      <c r="C1815" s="6" t="s">
        <v>518</v>
      </c>
      <c r="D1815" s="6" t="s">
        <v>10</v>
      </c>
      <c r="E1815" s="6" t="s">
        <v>29</v>
      </c>
      <c r="F1815" s="6">
        <v>134615.73000000001</v>
      </c>
      <c r="G1815" s="2">
        <v>2.99</v>
      </c>
      <c r="H1815" s="2">
        <v>3.74</v>
      </c>
      <c r="I1815" s="2">
        <v>4.68</v>
      </c>
      <c r="J1815" s="47">
        <f t="shared" si="140"/>
        <v>0.25083612040133779</v>
      </c>
      <c r="K1815" s="47">
        <f t="shared" si="141"/>
        <v>0.25133689839572176</v>
      </c>
      <c r="L1815" s="8">
        <v>33.909999999999997</v>
      </c>
      <c r="M1815" s="8">
        <v>23.78</v>
      </c>
      <c r="N1815" s="8">
        <v>18.97</v>
      </c>
      <c r="O1815" s="17">
        <f t="shared" si="142"/>
        <v>0.94802933333333339</v>
      </c>
      <c r="P1815" s="17">
        <f t="shared" si="143"/>
        <v>0.75476382978723444</v>
      </c>
      <c r="Q1815" s="5">
        <v>1.68</v>
      </c>
      <c r="R1815" s="9">
        <v>5.54</v>
      </c>
      <c r="S1815" s="9">
        <v>5.1100000000000003</v>
      </c>
      <c r="T1815" s="9">
        <v>65194.960930000001</v>
      </c>
      <c r="U1815" s="9">
        <v>56587</v>
      </c>
      <c r="V1815" s="45">
        <f t="shared" si="144"/>
        <v>0.1521190543764469</v>
      </c>
      <c r="W1815" s="12">
        <v>2.27</v>
      </c>
      <c r="X1815" s="12">
        <v>2.2999999999999998</v>
      </c>
      <c r="Y1815" s="12">
        <v>20210727</v>
      </c>
    </row>
    <row r="1816" spans="1:25" x14ac:dyDescent="0.45">
      <c r="A1816" s="3" t="s">
        <v>3124</v>
      </c>
      <c r="B1816" s="3" t="s">
        <v>3125</v>
      </c>
      <c r="C1816" s="6" t="s">
        <v>519</v>
      </c>
      <c r="D1816" s="6" t="s">
        <v>289</v>
      </c>
      <c r="E1816" s="6" t="s">
        <v>400</v>
      </c>
      <c r="F1816" s="6">
        <v>8828.1200000000008</v>
      </c>
      <c r="G1816" s="2">
        <v>0</v>
      </c>
      <c r="H1816" s="2">
        <v>-0.16</v>
      </c>
      <c r="I1816" s="2">
        <v>-0.34</v>
      </c>
      <c r="J1816" s="47" t="e">
        <f t="shared" si="140"/>
        <v>#DIV/0!</v>
      </c>
      <c r="K1816" s="47">
        <f t="shared" si="141"/>
        <v>-1.125</v>
      </c>
      <c r="O1816" s="17" t="e">
        <f t="shared" si="142"/>
        <v>#DIV/0!</v>
      </c>
      <c r="P1816" s="17">
        <f t="shared" si="143"/>
        <v>0</v>
      </c>
      <c r="R1816" s="9">
        <v>-0.21</v>
      </c>
      <c r="S1816" s="9">
        <v>22.02</v>
      </c>
      <c r="T1816" s="9">
        <v>1480.4940099999999</v>
      </c>
      <c r="U1816" s="9">
        <v>922.19</v>
      </c>
      <c r="V1816" s="45">
        <f t="shared" si="144"/>
        <v>0.60541104327741546</v>
      </c>
      <c r="W1816" s="12">
        <v>-266.67</v>
      </c>
      <c r="X1816" s="12">
        <v>0</v>
      </c>
      <c r="Y1816" s="12">
        <v>20210809</v>
      </c>
    </row>
    <row r="1817" spans="1:25" x14ac:dyDescent="0.45">
      <c r="A1817" s="3" t="s">
        <v>4331</v>
      </c>
      <c r="B1817" s="3" t="s">
        <v>4332</v>
      </c>
      <c r="C1817" s="6" t="s">
        <v>518</v>
      </c>
      <c r="D1817" s="6" t="s">
        <v>303</v>
      </c>
      <c r="E1817" s="6" t="s">
        <v>245</v>
      </c>
      <c r="F1817" s="6">
        <v>3969.19</v>
      </c>
      <c r="G1817" s="2">
        <v>0.64</v>
      </c>
      <c r="H1817" s="2">
        <v>0.83</v>
      </c>
      <c r="I1817" s="2">
        <v>1.03</v>
      </c>
      <c r="J1817" s="47">
        <f t="shared" si="140"/>
        <v>0.29687499999999989</v>
      </c>
      <c r="K1817" s="47">
        <f t="shared" si="141"/>
        <v>0.24096385542168683</v>
      </c>
      <c r="L1817" s="8">
        <v>58.48</v>
      </c>
      <c r="M1817" s="8">
        <v>65.94</v>
      </c>
      <c r="N1817" s="8">
        <v>53.18</v>
      </c>
      <c r="O1817" s="17">
        <f t="shared" si="142"/>
        <v>2.2211368421052637</v>
      </c>
      <c r="P1817" s="17">
        <f t="shared" si="143"/>
        <v>2.2069699999999992</v>
      </c>
      <c r="Q1817" s="5">
        <v>4.42</v>
      </c>
      <c r="R1817" s="9">
        <v>36.19</v>
      </c>
      <c r="T1817" s="9">
        <v>761.01598999999999</v>
      </c>
      <c r="U1817" s="9">
        <v>580.65</v>
      </c>
      <c r="V1817" s="45">
        <f t="shared" si="144"/>
        <v>0.31062772754671492</v>
      </c>
      <c r="W1817" s="12">
        <v>130.77000000000001</v>
      </c>
      <c r="X1817" s="12">
        <v>0</v>
      </c>
      <c r="Y1817" s="12">
        <v>20210811</v>
      </c>
    </row>
    <row r="1818" spans="1:25" x14ac:dyDescent="0.45">
      <c r="A1818" s="3" t="s">
        <v>3126</v>
      </c>
      <c r="B1818" s="3" t="s">
        <v>3127</v>
      </c>
      <c r="C1818" s="6" t="s">
        <v>520</v>
      </c>
      <c r="D1818" s="6" t="s">
        <v>327</v>
      </c>
      <c r="E1818" s="6" t="s">
        <v>321</v>
      </c>
      <c r="F1818" s="6">
        <v>23200.48</v>
      </c>
      <c r="G1818" s="2">
        <v>2.02</v>
      </c>
      <c r="H1818" s="2">
        <v>1.96</v>
      </c>
      <c r="I1818" s="2">
        <v>2.1800000000000002</v>
      </c>
      <c r="J1818" s="47">
        <f t="shared" si="140"/>
        <v>-2.9702970297029729E-2</v>
      </c>
      <c r="K1818" s="47">
        <f t="shared" si="141"/>
        <v>0.11224489795918377</v>
      </c>
      <c r="M1818" s="8">
        <v>19.3</v>
      </c>
      <c r="N1818" s="8">
        <v>17.309999999999999</v>
      </c>
      <c r="O1818" s="17">
        <f t="shared" si="142"/>
        <v>-6.4976666666666612</v>
      </c>
      <c r="P1818" s="17">
        <f t="shared" si="143"/>
        <v>1.5421636363636351</v>
      </c>
      <c r="R1818" s="9">
        <v>0.13</v>
      </c>
      <c r="S1818" s="9">
        <v>-27.93</v>
      </c>
      <c r="U1818" s="9">
        <v>15635.8</v>
      </c>
      <c r="V1818" s="45">
        <f t="shared" si="144"/>
        <v>-1</v>
      </c>
      <c r="X1818" s="12">
        <v>1.94</v>
      </c>
      <c r="Y1818" s="12">
        <v>20210812</v>
      </c>
    </row>
    <row r="1819" spans="1:25" x14ac:dyDescent="0.45">
      <c r="A1819" s="3" t="s">
        <v>3128</v>
      </c>
      <c r="B1819" s="3" t="s">
        <v>3129</v>
      </c>
      <c r="C1819" s="6" t="s">
        <v>518</v>
      </c>
      <c r="D1819" s="6" t="s">
        <v>272</v>
      </c>
      <c r="E1819" s="6" t="s">
        <v>252</v>
      </c>
      <c r="F1819" s="6">
        <v>6128.52</v>
      </c>
      <c r="G1819" s="2">
        <v>1.78</v>
      </c>
      <c r="H1819" s="2">
        <v>1.98</v>
      </c>
      <c r="I1819" s="2">
        <v>2.2999999999999998</v>
      </c>
      <c r="J1819" s="47">
        <f t="shared" si="140"/>
        <v>0.11235955056179772</v>
      </c>
      <c r="K1819" s="47">
        <f t="shared" si="141"/>
        <v>0.16161616161616155</v>
      </c>
      <c r="L1819" s="8">
        <v>30.29</v>
      </c>
      <c r="M1819" s="8">
        <v>25.85</v>
      </c>
      <c r="N1819" s="8">
        <v>22.26</v>
      </c>
      <c r="O1819" s="17">
        <f t="shared" si="142"/>
        <v>2.3006500000000005</v>
      </c>
      <c r="P1819" s="17">
        <f t="shared" si="143"/>
        <v>1.3773375000000005</v>
      </c>
      <c r="Q1819" s="5">
        <v>2.09</v>
      </c>
      <c r="R1819" s="9">
        <v>14.69</v>
      </c>
      <c r="S1819" s="9">
        <v>1.07</v>
      </c>
      <c r="T1819" s="9">
        <v>2162.4169900000002</v>
      </c>
      <c r="U1819" s="9">
        <v>2068.3000000000002</v>
      </c>
      <c r="V1819" s="45">
        <f t="shared" si="144"/>
        <v>4.5504515785911123E-2</v>
      </c>
      <c r="W1819" s="12">
        <v>33.33</v>
      </c>
      <c r="X1819" s="12">
        <v>0.7</v>
      </c>
      <c r="Y1819" s="12">
        <v>20210727</v>
      </c>
    </row>
    <row r="1820" spans="1:25" x14ac:dyDescent="0.45">
      <c r="A1820" s="3" t="s">
        <v>4333</v>
      </c>
      <c r="B1820" s="3" t="s">
        <v>4334</v>
      </c>
      <c r="C1820" s="6" t="s">
        <v>519</v>
      </c>
      <c r="D1820" s="6" t="s">
        <v>279</v>
      </c>
      <c r="E1820" s="6" t="s">
        <v>258</v>
      </c>
      <c r="F1820" s="6">
        <v>5083.29</v>
      </c>
      <c r="H1820" s="2">
        <v>-1.1000000000000001</v>
      </c>
      <c r="I1820" s="2">
        <v>-1.2</v>
      </c>
      <c r="J1820" s="47" t="e">
        <f t="shared" si="140"/>
        <v>#DIV/0!</v>
      </c>
      <c r="K1820" s="47">
        <f t="shared" si="141"/>
        <v>-9.0909090909090787E-2</v>
      </c>
      <c r="O1820" s="17" t="e">
        <f t="shared" si="142"/>
        <v>#DIV/0!</v>
      </c>
      <c r="P1820" s="17">
        <f t="shared" si="143"/>
        <v>0</v>
      </c>
      <c r="T1820" s="9">
        <v>10.649990000000001</v>
      </c>
      <c r="U1820" s="9">
        <v>3.96</v>
      </c>
      <c r="V1820" s="45">
        <f t="shared" si="144"/>
        <v>1.6893914141414144</v>
      </c>
      <c r="X1820" s="12">
        <v>0</v>
      </c>
      <c r="Y1820" s="12">
        <v>20210811</v>
      </c>
    </row>
    <row r="1821" spans="1:25" x14ac:dyDescent="0.45">
      <c r="A1821" s="3" t="s">
        <v>3130</v>
      </c>
      <c r="B1821" s="3" t="s">
        <v>3131</v>
      </c>
      <c r="C1821" s="6" t="s">
        <v>519</v>
      </c>
      <c r="D1821" s="6" t="s">
        <v>175</v>
      </c>
      <c r="E1821" s="6" t="s">
        <v>305</v>
      </c>
      <c r="F1821" s="6">
        <v>4397.1899999999996</v>
      </c>
      <c r="G1821" s="2">
        <v>0.79</v>
      </c>
      <c r="H1821" s="2">
        <v>1</v>
      </c>
      <c r="I1821" s="2">
        <v>1.18</v>
      </c>
      <c r="J1821" s="47">
        <f t="shared" si="140"/>
        <v>0.2658227848101265</v>
      </c>
      <c r="K1821" s="47">
        <f t="shared" si="141"/>
        <v>0.17999999999999994</v>
      </c>
      <c r="L1821" s="8">
        <v>23.79</v>
      </c>
      <c r="M1821" s="8">
        <v>21.09</v>
      </c>
      <c r="N1821" s="8">
        <v>18</v>
      </c>
      <c r="O1821" s="17">
        <f t="shared" si="142"/>
        <v>0.79338571428571447</v>
      </c>
      <c r="P1821" s="17">
        <f t="shared" si="143"/>
        <v>1.0000000000000004</v>
      </c>
      <c r="R1821" s="9">
        <v>14.18</v>
      </c>
      <c r="T1821" s="9">
        <v>3026.6240200000002</v>
      </c>
      <c r="U1821" s="9">
        <v>2707.1</v>
      </c>
      <c r="V1821" s="45">
        <f t="shared" si="144"/>
        <v>0.11803184958073226</v>
      </c>
      <c r="W1821" s="12">
        <v>4.55</v>
      </c>
      <c r="X1821" s="12">
        <v>0</v>
      </c>
      <c r="Y1821" s="12">
        <v>20210830</v>
      </c>
    </row>
    <row r="1822" spans="1:25" x14ac:dyDescent="0.45">
      <c r="A1822" s="3" t="s">
        <v>3132</v>
      </c>
      <c r="B1822" s="3" t="s">
        <v>3133</v>
      </c>
      <c r="C1822" s="6" t="s">
        <v>518</v>
      </c>
      <c r="D1822" s="6" t="s">
        <v>234</v>
      </c>
      <c r="E1822" s="6" t="s">
        <v>105</v>
      </c>
      <c r="F1822" s="6">
        <v>146913.13</v>
      </c>
      <c r="G1822" s="2">
        <v>5.87</v>
      </c>
      <c r="H1822" s="2">
        <v>8.91</v>
      </c>
      <c r="I1822" s="2">
        <v>8.83</v>
      </c>
      <c r="J1822" s="47">
        <f t="shared" si="140"/>
        <v>0.51788756388415669</v>
      </c>
      <c r="K1822" s="47">
        <f t="shared" si="141"/>
        <v>-8.9786756453423197E-3</v>
      </c>
      <c r="L1822" s="8">
        <v>13.48</v>
      </c>
      <c r="M1822" s="8">
        <v>11.58</v>
      </c>
      <c r="N1822" s="8">
        <v>11.68</v>
      </c>
      <c r="O1822" s="17">
        <f t="shared" si="142"/>
        <v>0.22360065789473685</v>
      </c>
      <c r="P1822" s="17">
        <f t="shared" si="143"/>
        <v>-13.008599999999989</v>
      </c>
      <c r="Q1822" s="5">
        <v>1.1499999999999999</v>
      </c>
      <c r="R1822" s="9">
        <v>17.77</v>
      </c>
      <c r="S1822" s="9">
        <v>8.27</v>
      </c>
      <c r="T1822" s="9">
        <v>38086.210930000001</v>
      </c>
      <c r="U1822" s="9">
        <v>45535.89</v>
      </c>
      <c r="V1822" s="45">
        <f t="shared" si="144"/>
        <v>-0.16360016395858296</v>
      </c>
      <c r="W1822" s="12">
        <v>11.06</v>
      </c>
      <c r="X1822" s="12">
        <v>3.29</v>
      </c>
      <c r="Y1822" s="12">
        <v>20210825</v>
      </c>
    </row>
    <row r="1823" spans="1:25" x14ac:dyDescent="0.45">
      <c r="A1823" s="3" t="s">
        <v>3134</v>
      </c>
      <c r="B1823" s="3" t="s">
        <v>3135</v>
      </c>
      <c r="C1823" s="6" t="s">
        <v>519</v>
      </c>
      <c r="D1823" s="6" t="s">
        <v>309</v>
      </c>
      <c r="E1823" s="6" t="s">
        <v>307</v>
      </c>
      <c r="F1823" s="6">
        <v>25857.18</v>
      </c>
      <c r="G1823" s="2">
        <v>-5.0199999999999996</v>
      </c>
      <c r="H1823" s="2">
        <v>0.03</v>
      </c>
      <c r="I1823" s="2">
        <v>7.34</v>
      </c>
      <c r="J1823" s="47">
        <f t="shared" si="140"/>
        <v>1.0059760956175299</v>
      </c>
      <c r="K1823" s="47">
        <f t="shared" si="141"/>
        <v>243.66666666666666</v>
      </c>
      <c r="M1823" s="8">
        <v>3821.67</v>
      </c>
      <c r="N1823" s="8">
        <v>15.63</v>
      </c>
      <c r="O1823" s="17">
        <f t="shared" si="142"/>
        <v>37.989670099009899</v>
      </c>
      <c r="P1823" s="17">
        <f t="shared" si="143"/>
        <v>6.4145006839945288E-4</v>
      </c>
      <c r="Q1823" s="5">
        <v>69.47</v>
      </c>
      <c r="R1823" s="9">
        <v>-17.71</v>
      </c>
      <c r="S1823" s="9">
        <v>-10.99</v>
      </c>
      <c r="T1823" s="9">
        <v>5708.7299800000001</v>
      </c>
      <c r="U1823" s="9">
        <v>1909.52</v>
      </c>
      <c r="V1823" s="45">
        <f t="shared" si="144"/>
        <v>1.9896151807784155</v>
      </c>
      <c r="W1823" s="12">
        <v>-1.82</v>
      </c>
      <c r="X1823" s="12">
        <v>0</v>
      </c>
      <c r="Y1823" s="12">
        <v>20210726</v>
      </c>
    </row>
    <row r="1824" spans="1:25" x14ac:dyDescent="0.45">
      <c r="A1824" s="3" t="s">
        <v>3894</v>
      </c>
      <c r="B1824" s="3" t="s">
        <v>3895</v>
      </c>
      <c r="C1824" s="6" t="s">
        <v>520</v>
      </c>
      <c r="D1824" s="6" t="s">
        <v>10</v>
      </c>
      <c r="E1824" s="6" t="s">
        <v>29</v>
      </c>
      <c r="F1824" s="6">
        <v>3128.21</v>
      </c>
      <c r="G1824" s="2">
        <v>-0.76</v>
      </c>
      <c r="H1824" s="2">
        <v>-0.08</v>
      </c>
      <c r="I1824" s="2">
        <v>0.02</v>
      </c>
      <c r="J1824" s="47">
        <f t="shared" si="140"/>
        <v>0.89473684210526316</v>
      </c>
      <c r="K1824" s="47">
        <f t="shared" si="141"/>
        <v>1.25</v>
      </c>
      <c r="N1824" s="8">
        <v>69.430000000000007</v>
      </c>
      <c r="O1824" s="17">
        <f t="shared" si="142"/>
        <v>0</v>
      </c>
      <c r="P1824" s="17">
        <f t="shared" si="143"/>
        <v>0.55544000000000004</v>
      </c>
      <c r="T1824" s="9">
        <v>16265.195309999999</v>
      </c>
      <c r="U1824" s="9">
        <v>15183.73</v>
      </c>
      <c r="V1824" s="45">
        <f t="shared" si="144"/>
        <v>7.1225272709670134E-2</v>
      </c>
      <c r="X1824" s="12">
        <v>0</v>
      </c>
    </row>
    <row r="1825" spans="1:25" x14ac:dyDescent="0.45">
      <c r="A1825" s="3" t="s">
        <v>3136</v>
      </c>
      <c r="B1825" s="3" t="s">
        <v>3137</v>
      </c>
      <c r="C1825" s="6" t="s">
        <v>518</v>
      </c>
      <c r="D1825" s="6" t="s">
        <v>210</v>
      </c>
      <c r="E1825" s="6" t="s">
        <v>192</v>
      </c>
      <c r="F1825" s="6">
        <v>5042.62</v>
      </c>
      <c r="G1825" s="2">
        <v>0.23</v>
      </c>
      <c r="H1825" s="2">
        <v>0.41</v>
      </c>
      <c r="I1825" s="2">
        <v>0.51</v>
      </c>
      <c r="J1825" s="47">
        <f t="shared" si="140"/>
        <v>0.78260869565217372</v>
      </c>
      <c r="K1825" s="47">
        <f t="shared" si="141"/>
        <v>0.24390243902439035</v>
      </c>
      <c r="L1825" s="8">
        <v>109.91</v>
      </c>
      <c r="M1825" s="8">
        <v>89.19</v>
      </c>
      <c r="N1825" s="8">
        <v>71.12</v>
      </c>
      <c r="O1825" s="17">
        <f t="shared" si="142"/>
        <v>1.1396500000000003</v>
      </c>
      <c r="P1825" s="17">
        <f t="shared" si="143"/>
        <v>2.915919999999999</v>
      </c>
      <c r="R1825" s="9">
        <v>2.36</v>
      </c>
      <c r="S1825" s="9">
        <v>1.1100000000000001</v>
      </c>
      <c r="T1825" s="9">
        <v>873.84996999999998</v>
      </c>
      <c r="U1825" s="9">
        <v>859.2</v>
      </c>
      <c r="V1825" s="45">
        <f t="shared" si="144"/>
        <v>1.705070996275598E-2</v>
      </c>
      <c r="W1825" s="12">
        <v>0</v>
      </c>
      <c r="X1825" s="12">
        <v>2.98</v>
      </c>
      <c r="Y1825" s="12">
        <v>20210804</v>
      </c>
    </row>
    <row r="1826" spans="1:25" x14ac:dyDescent="0.45">
      <c r="A1826" s="3" t="s">
        <v>3138</v>
      </c>
      <c r="B1826" s="3" t="s">
        <v>3139</v>
      </c>
      <c r="C1826" s="6" t="s">
        <v>519</v>
      </c>
      <c r="D1826" s="6" t="s">
        <v>189</v>
      </c>
      <c r="E1826" s="6" t="s">
        <v>249</v>
      </c>
      <c r="F1826" s="6">
        <v>4430.96</v>
      </c>
      <c r="G1826" s="2">
        <v>-2.92</v>
      </c>
      <c r="H1826" s="2">
        <v>-1.53</v>
      </c>
      <c r="I1826" s="2">
        <v>7.0000000000000007E-2</v>
      </c>
      <c r="J1826" s="47">
        <f t="shared" si="140"/>
        <v>0.47602739726027393</v>
      </c>
      <c r="K1826" s="47">
        <f t="shared" si="141"/>
        <v>1.0457516339869282</v>
      </c>
      <c r="N1826" s="8">
        <v>189.14</v>
      </c>
      <c r="O1826" s="17">
        <f t="shared" si="142"/>
        <v>0</v>
      </c>
      <c r="P1826" s="17">
        <f t="shared" si="143"/>
        <v>1.8086512499999996</v>
      </c>
      <c r="R1826" s="9">
        <v>-334.48</v>
      </c>
      <c r="S1826" s="9">
        <v>-13.09</v>
      </c>
      <c r="T1826" s="9">
        <v>1959.79504</v>
      </c>
      <c r="U1826" s="9">
        <v>1334.1</v>
      </c>
      <c r="V1826" s="45">
        <f t="shared" si="144"/>
        <v>0.46900160407765545</v>
      </c>
      <c r="W1826" s="12">
        <v>-41.18</v>
      </c>
      <c r="X1826" s="12">
        <v>0</v>
      </c>
      <c r="Y1826" s="12">
        <v>20210806</v>
      </c>
    </row>
    <row r="1827" spans="1:25" x14ac:dyDescent="0.45">
      <c r="A1827" s="3" t="s">
        <v>3140</v>
      </c>
      <c r="B1827" s="3" t="s">
        <v>3141</v>
      </c>
      <c r="C1827" s="6" t="s">
        <v>518</v>
      </c>
      <c r="D1827" s="6" t="s">
        <v>234</v>
      </c>
      <c r="E1827" s="6" t="s">
        <v>285</v>
      </c>
      <c r="F1827" s="6">
        <v>3943.58</v>
      </c>
      <c r="G1827" s="2">
        <v>1.17</v>
      </c>
      <c r="H1827" s="2">
        <v>1.39</v>
      </c>
      <c r="I1827" s="2">
        <v>1.73</v>
      </c>
      <c r="J1827" s="47">
        <f t="shared" si="140"/>
        <v>0.18803418803418803</v>
      </c>
      <c r="K1827" s="47">
        <f t="shared" si="141"/>
        <v>0.24460431654676265</v>
      </c>
      <c r="L1827" s="8">
        <v>65.52</v>
      </c>
      <c r="M1827" s="8">
        <v>53.17</v>
      </c>
      <c r="N1827" s="8">
        <v>42.92</v>
      </c>
      <c r="O1827" s="17">
        <f t="shared" si="142"/>
        <v>2.8276772727272728</v>
      </c>
      <c r="P1827" s="17">
        <f t="shared" si="143"/>
        <v>1.7546705882352935</v>
      </c>
      <c r="R1827" s="9">
        <v>4.47</v>
      </c>
      <c r="S1827" s="9">
        <v>83.73</v>
      </c>
      <c r="T1827" s="9">
        <v>187.69299000000001</v>
      </c>
      <c r="U1827" s="9">
        <v>155.43</v>
      </c>
      <c r="V1827" s="45">
        <f t="shared" si="144"/>
        <v>0.20757247635591586</v>
      </c>
      <c r="W1827" s="12">
        <v>0</v>
      </c>
      <c r="X1827" s="12">
        <v>0.88</v>
      </c>
      <c r="Y1827" s="12">
        <v>20210722</v>
      </c>
    </row>
    <row r="1828" spans="1:25" x14ac:dyDescent="0.45">
      <c r="A1828" s="3" t="s">
        <v>3896</v>
      </c>
      <c r="B1828" s="3" t="s">
        <v>3897</v>
      </c>
      <c r="C1828" s="6" t="s">
        <v>519</v>
      </c>
      <c r="D1828" s="6" t="s">
        <v>225</v>
      </c>
      <c r="E1828" s="6" t="s">
        <v>1039</v>
      </c>
      <c r="F1828" s="6">
        <v>3649.11</v>
      </c>
      <c r="G1828" s="2">
        <v>-0.82</v>
      </c>
      <c r="H1828" s="2">
        <v>15.38</v>
      </c>
      <c r="I1828" s="2">
        <v>12.13</v>
      </c>
      <c r="J1828" s="47">
        <f t="shared" si="140"/>
        <v>19.756097560975611</v>
      </c>
      <c r="K1828" s="47">
        <f t="shared" si="141"/>
        <v>-0.21131339401820545</v>
      </c>
      <c r="L1828" s="8">
        <v>22.17</v>
      </c>
      <c r="M1828" s="8">
        <v>10.63</v>
      </c>
      <c r="N1828" s="8">
        <v>13.48</v>
      </c>
      <c r="O1828" s="17">
        <f t="shared" si="142"/>
        <v>5.3806172839506172E-3</v>
      </c>
      <c r="P1828" s="17">
        <f t="shared" si="143"/>
        <v>-0.63791507692307703</v>
      </c>
      <c r="Q1828" s="5">
        <v>0.3</v>
      </c>
      <c r="R1828" s="9">
        <v>11.43</v>
      </c>
      <c r="S1828" s="9">
        <v>5.55</v>
      </c>
      <c r="T1828" s="9">
        <v>4496.2451099999998</v>
      </c>
      <c r="U1828" s="9">
        <v>3564.27</v>
      </c>
      <c r="V1828" s="45">
        <f t="shared" si="144"/>
        <v>0.26147713557053753</v>
      </c>
      <c r="W1828" s="12">
        <v>83.84</v>
      </c>
      <c r="X1828" s="12">
        <v>1.08</v>
      </c>
      <c r="Y1828" s="12">
        <v>20210826</v>
      </c>
    </row>
    <row r="1829" spans="1:25" x14ac:dyDescent="0.45">
      <c r="A1829" s="3" t="s">
        <v>3142</v>
      </c>
      <c r="B1829" s="3" t="s">
        <v>3143</v>
      </c>
      <c r="C1829" s="6" t="s">
        <v>520</v>
      </c>
      <c r="D1829" s="6" t="s">
        <v>10</v>
      </c>
      <c r="E1829" s="6" t="s">
        <v>17</v>
      </c>
      <c r="F1829" s="6">
        <v>65054.36</v>
      </c>
      <c r="G1829" s="2">
        <v>0.62</v>
      </c>
      <c r="H1829" s="2">
        <v>0.93</v>
      </c>
      <c r="I1829" s="2">
        <v>1.35</v>
      </c>
      <c r="J1829" s="47">
        <f t="shared" si="140"/>
        <v>0.50000000000000011</v>
      </c>
      <c r="K1829" s="47">
        <f t="shared" si="141"/>
        <v>0.45161290322580649</v>
      </c>
      <c r="M1829" s="8">
        <v>40.93</v>
      </c>
      <c r="N1829" s="8">
        <v>28.3</v>
      </c>
      <c r="O1829" s="17">
        <f t="shared" si="142"/>
        <v>0.81859999999999977</v>
      </c>
      <c r="P1829" s="17">
        <f t="shared" si="143"/>
        <v>0.62664285714285717</v>
      </c>
      <c r="T1829" s="9">
        <v>18988.759760000001</v>
      </c>
      <c r="U1829" s="9">
        <v>18995.98</v>
      </c>
      <c r="V1829" s="45">
        <f t="shared" si="144"/>
        <v>-3.8009305126657006E-4</v>
      </c>
      <c r="X1829" s="12">
        <v>0.24</v>
      </c>
    </row>
    <row r="1830" spans="1:25" x14ac:dyDescent="0.45">
      <c r="A1830" s="3" t="s">
        <v>3144</v>
      </c>
      <c r="B1830" s="3" t="s">
        <v>3145</v>
      </c>
      <c r="C1830" s="6" t="s">
        <v>519</v>
      </c>
      <c r="D1830" s="6" t="s">
        <v>279</v>
      </c>
      <c r="E1830" s="6" t="s">
        <v>258</v>
      </c>
      <c r="F1830" s="6">
        <v>4395.9399999999996</v>
      </c>
      <c r="G1830" s="2">
        <v>-9.34</v>
      </c>
      <c r="H1830" s="2">
        <v>-6.97</v>
      </c>
      <c r="I1830" s="2">
        <v>-5.96</v>
      </c>
      <c r="J1830" s="47">
        <f t="shared" si="140"/>
        <v>0.25374732334047112</v>
      </c>
      <c r="K1830" s="47">
        <f t="shared" si="141"/>
        <v>0.14490674318507887</v>
      </c>
      <c r="O1830" s="17">
        <f t="shared" si="142"/>
        <v>0</v>
      </c>
      <c r="P1830" s="17">
        <f t="shared" si="143"/>
        <v>0</v>
      </c>
      <c r="R1830" s="9">
        <v>-32.31</v>
      </c>
      <c r="T1830" s="9">
        <v>9.0272900000000007</v>
      </c>
      <c r="U1830" s="9">
        <v>1114.2</v>
      </c>
      <c r="V1830" s="45">
        <f t="shared" si="144"/>
        <v>-0.99189796266379471</v>
      </c>
      <c r="W1830" s="12">
        <v>17.170000000000002</v>
      </c>
      <c r="X1830" s="12">
        <v>0</v>
      </c>
      <c r="Y1830" s="12">
        <v>20210809</v>
      </c>
    </row>
    <row r="1831" spans="1:25" x14ac:dyDescent="0.45">
      <c r="A1831" s="3" t="s">
        <v>3146</v>
      </c>
      <c r="B1831" s="3" t="s">
        <v>3147</v>
      </c>
      <c r="C1831" s="6" t="s">
        <v>519</v>
      </c>
      <c r="D1831" s="6" t="s">
        <v>309</v>
      </c>
      <c r="E1831" s="6" t="s">
        <v>2160</v>
      </c>
      <c r="F1831" s="6">
        <v>5354.43</v>
      </c>
      <c r="G1831" s="2">
        <v>4.9800000000000004</v>
      </c>
      <c r="H1831" s="2">
        <v>6.99</v>
      </c>
      <c r="I1831" s="2">
        <v>8.27</v>
      </c>
      <c r="J1831" s="47">
        <f t="shared" si="140"/>
        <v>0.40361445783132521</v>
      </c>
      <c r="K1831" s="47">
        <f t="shared" si="141"/>
        <v>0.18311874105865514</v>
      </c>
      <c r="L1831" s="8">
        <v>36.700000000000003</v>
      </c>
      <c r="M1831" s="8">
        <v>29.07</v>
      </c>
      <c r="N1831" s="8">
        <v>24.58</v>
      </c>
      <c r="O1831" s="17">
        <f t="shared" si="142"/>
        <v>0.72024179104477626</v>
      </c>
      <c r="P1831" s="17">
        <f t="shared" si="143"/>
        <v>1.3422984375000007</v>
      </c>
      <c r="Q1831" s="5">
        <v>1.23</v>
      </c>
      <c r="R1831" s="9">
        <v>15.73</v>
      </c>
      <c r="S1831" s="9">
        <v>11.06</v>
      </c>
      <c r="T1831" s="9">
        <v>2115.7080000000001</v>
      </c>
      <c r="U1831" s="9">
        <v>1822.37</v>
      </c>
      <c r="V1831" s="45">
        <f t="shared" si="144"/>
        <v>0.16096511685332848</v>
      </c>
      <c r="W1831" s="12">
        <v>2.19</v>
      </c>
      <c r="X1831" s="12">
        <v>0</v>
      </c>
      <c r="Y1831" s="12">
        <v>20210804</v>
      </c>
    </row>
    <row r="1832" spans="1:25" x14ac:dyDescent="0.45">
      <c r="A1832" s="3" t="s">
        <v>3148</v>
      </c>
      <c r="B1832" s="3" t="s">
        <v>3149</v>
      </c>
      <c r="C1832" s="6" t="s">
        <v>518</v>
      </c>
      <c r="D1832" s="6" t="s">
        <v>189</v>
      </c>
      <c r="E1832" s="6" t="s">
        <v>204</v>
      </c>
      <c r="F1832" s="6">
        <v>5342.1</v>
      </c>
      <c r="G1832" s="2">
        <v>6.06</v>
      </c>
      <c r="H1832" s="2">
        <v>6.29</v>
      </c>
      <c r="I1832" s="2">
        <v>6.95</v>
      </c>
      <c r="J1832" s="47">
        <f t="shared" si="140"/>
        <v>3.7953795379538025E-2</v>
      </c>
      <c r="K1832" s="47">
        <f t="shared" si="141"/>
        <v>0.10492845786963437</v>
      </c>
      <c r="L1832" s="8">
        <v>13.44</v>
      </c>
      <c r="M1832" s="8">
        <v>14.65</v>
      </c>
      <c r="N1832" s="8">
        <v>13.27</v>
      </c>
      <c r="O1832" s="17">
        <f t="shared" si="142"/>
        <v>3.8599565217391234</v>
      </c>
      <c r="P1832" s="17">
        <f t="shared" si="143"/>
        <v>1.2646712121212116</v>
      </c>
      <c r="R1832" s="9">
        <v>26.44</v>
      </c>
      <c r="S1832" s="9">
        <v>12.82</v>
      </c>
      <c r="T1832" s="9">
        <v>7237.9467699999996</v>
      </c>
      <c r="U1832" s="9">
        <v>7056</v>
      </c>
      <c r="V1832" s="45">
        <f t="shared" si="144"/>
        <v>2.5786106859410369E-2</v>
      </c>
      <c r="W1832" s="12">
        <v>30.2</v>
      </c>
      <c r="X1832" s="12">
        <v>1.61</v>
      </c>
      <c r="Y1832" s="12">
        <v>20210901</v>
      </c>
    </row>
    <row r="1833" spans="1:25" x14ac:dyDescent="0.45">
      <c r="A1833" s="3" t="s">
        <v>4335</v>
      </c>
      <c r="B1833" s="3" t="s">
        <v>4336</v>
      </c>
      <c r="C1833" s="6" t="s">
        <v>518</v>
      </c>
      <c r="D1833" s="6" t="s">
        <v>175</v>
      </c>
      <c r="E1833" s="6" t="s">
        <v>305</v>
      </c>
      <c r="F1833" s="6">
        <v>4208.1899999999996</v>
      </c>
      <c r="G1833" s="2">
        <v>0.3</v>
      </c>
      <c r="H1833" s="2">
        <v>-0.09</v>
      </c>
      <c r="I1833" s="2">
        <v>-0.02</v>
      </c>
      <c r="J1833" s="47">
        <f t="shared" si="140"/>
        <v>-1.3</v>
      </c>
      <c r="K1833" s="47">
        <f t="shared" si="141"/>
        <v>0.77777777777777768</v>
      </c>
      <c r="L1833" s="8">
        <v>126.61</v>
      </c>
      <c r="O1833" s="17">
        <f t="shared" si="142"/>
        <v>0</v>
      </c>
      <c r="P1833" s="17">
        <f t="shared" si="143"/>
        <v>0</v>
      </c>
      <c r="R1833" s="9">
        <v>0.98</v>
      </c>
      <c r="S1833" s="9">
        <v>23.37</v>
      </c>
      <c r="T1833" s="9">
        <v>408.29998000000001</v>
      </c>
      <c r="U1833" s="9">
        <v>365.25</v>
      </c>
      <c r="V1833" s="45">
        <f t="shared" si="144"/>
        <v>0.11786442162902123</v>
      </c>
      <c r="W1833" s="12">
        <v>-71.430000000000007</v>
      </c>
      <c r="X1833" s="12">
        <v>0</v>
      </c>
      <c r="Y1833" s="12">
        <v>20210805</v>
      </c>
    </row>
    <row r="1834" spans="1:25" x14ac:dyDescent="0.45">
      <c r="A1834" s="3" t="s">
        <v>3150</v>
      </c>
      <c r="B1834" s="3" t="s">
        <v>3151</v>
      </c>
      <c r="C1834" s="6" t="s">
        <v>518</v>
      </c>
      <c r="D1834" s="6" t="s">
        <v>225</v>
      </c>
      <c r="E1834" s="6" t="s">
        <v>186</v>
      </c>
      <c r="F1834" s="6">
        <v>12759.94</v>
      </c>
      <c r="G1834" s="2">
        <v>14.95</v>
      </c>
      <c r="H1834" s="2">
        <v>22.33</v>
      </c>
      <c r="I1834" s="2">
        <v>30.14</v>
      </c>
      <c r="J1834" s="47">
        <f t="shared" si="140"/>
        <v>0.49364548494983274</v>
      </c>
      <c r="K1834" s="47">
        <f t="shared" si="141"/>
        <v>0.34975369458128092</v>
      </c>
      <c r="L1834" s="8">
        <v>57.92</v>
      </c>
      <c r="M1834" s="8">
        <v>46.51</v>
      </c>
      <c r="N1834" s="8">
        <v>34.46</v>
      </c>
      <c r="O1834" s="17">
        <f t="shared" si="142"/>
        <v>0.94217411924119243</v>
      </c>
      <c r="P1834" s="17">
        <f t="shared" si="143"/>
        <v>0.98526478873239398</v>
      </c>
      <c r="R1834" s="9">
        <v>23.84</v>
      </c>
      <c r="S1834" s="9">
        <v>15.94</v>
      </c>
      <c r="T1834" s="9">
        <v>2480.2900300000001</v>
      </c>
      <c r="U1834" s="9">
        <v>1736.43</v>
      </c>
      <c r="V1834" s="45">
        <f t="shared" si="144"/>
        <v>0.42838469157985065</v>
      </c>
      <c r="W1834" s="12">
        <v>91.63</v>
      </c>
      <c r="X1834" s="12">
        <v>0</v>
      </c>
      <c r="Y1834" s="12">
        <v>20210722</v>
      </c>
    </row>
    <row r="1835" spans="1:25" x14ac:dyDescent="0.45">
      <c r="A1835" s="3" t="s">
        <v>3152</v>
      </c>
      <c r="B1835" s="3" t="s">
        <v>3153</v>
      </c>
      <c r="C1835" s="6" t="s">
        <v>518</v>
      </c>
      <c r="D1835" s="6" t="s">
        <v>234</v>
      </c>
      <c r="E1835" s="6" t="s">
        <v>105</v>
      </c>
      <c r="F1835" s="6">
        <v>72830.69</v>
      </c>
      <c r="G1835" s="2">
        <v>0.24</v>
      </c>
      <c r="H1835" s="2">
        <v>0.39</v>
      </c>
      <c r="I1835" s="2">
        <v>0.41</v>
      </c>
      <c r="J1835" s="47">
        <f t="shared" si="140"/>
        <v>0.62500000000000011</v>
      </c>
      <c r="K1835" s="47">
        <f t="shared" si="141"/>
        <v>5.1282051282051183E-2</v>
      </c>
      <c r="L1835" s="8">
        <v>10</v>
      </c>
      <c r="M1835" s="8">
        <v>10.77</v>
      </c>
      <c r="N1835" s="8">
        <v>10.33</v>
      </c>
      <c r="O1835" s="17">
        <f t="shared" si="142"/>
        <v>0.17231999999999995</v>
      </c>
      <c r="P1835" s="17">
        <f t="shared" si="143"/>
        <v>2.0143500000000039</v>
      </c>
      <c r="R1835" s="9">
        <v>7.4</v>
      </c>
      <c r="S1835" s="9">
        <v>1.33</v>
      </c>
      <c r="T1835" s="9">
        <v>53602.480459999999</v>
      </c>
      <c r="U1835" s="9">
        <v>50575.61</v>
      </c>
      <c r="V1835" s="45">
        <f t="shared" si="144"/>
        <v>5.9848422194017988E-2</v>
      </c>
      <c r="X1835" s="12">
        <v>0</v>
      </c>
      <c r="Y1835" s="12">
        <v>20210804</v>
      </c>
    </row>
    <row r="1836" spans="1:25" x14ac:dyDescent="0.45">
      <c r="A1836" s="3" t="s">
        <v>3898</v>
      </c>
      <c r="B1836" s="3" t="s">
        <v>3899</v>
      </c>
      <c r="C1836" s="6" t="s">
        <v>519</v>
      </c>
      <c r="D1836" s="6" t="s">
        <v>279</v>
      </c>
      <c r="E1836" s="6" t="s">
        <v>256</v>
      </c>
      <c r="F1836" s="6">
        <v>4714.41</v>
      </c>
      <c r="G1836" s="2">
        <v>-7.93</v>
      </c>
      <c r="H1836" s="2">
        <v>-1.58</v>
      </c>
      <c r="I1836" s="2">
        <v>-1.97</v>
      </c>
      <c r="J1836" s="47">
        <f t="shared" si="140"/>
        <v>0.80075662042875151</v>
      </c>
      <c r="K1836" s="47">
        <f t="shared" si="141"/>
        <v>-0.24683544303797461</v>
      </c>
      <c r="O1836" s="17">
        <f t="shared" si="142"/>
        <v>0</v>
      </c>
      <c r="P1836" s="17">
        <f t="shared" si="143"/>
        <v>0</v>
      </c>
      <c r="V1836" s="45" t="e">
        <f t="shared" si="144"/>
        <v>#DIV/0!</v>
      </c>
      <c r="W1836" s="12">
        <v>-28.57</v>
      </c>
      <c r="X1836" s="12">
        <v>0</v>
      </c>
      <c r="Y1836" s="12">
        <v>20210804</v>
      </c>
    </row>
    <row r="1837" spans="1:25" x14ac:dyDescent="0.45">
      <c r="A1837" s="3" t="s">
        <v>4337</v>
      </c>
      <c r="B1837" s="3" t="s">
        <v>4338</v>
      </c>
      <c r="C1837" s="6" t="s">
        <v>518</v>
      </c>
      <c r="D1837" s="6" t="s">
        <v>189</v>
      </c>
      <c r="E1837" s="6" t="s">
        <v>202</v>
      </c>
      <c r="F1837" s="6">
        <v>171953.73</v>
      </c>
      <c r="G1837" s="2">
        <v>6.31</v>
      </c>
      <c r="H1837" s="2">
        <v>6.43</v>
      </c>
      <c r="I1837" s="2">
        <v>6.34</v>
      </c>
      <c r="J1837" s="47">
        <f t="shared" si="140"/>
        <v>1.9017432646592728E-2</v>
      </c>
      <c r="K1837" s="47">
        <f t="shared" si="141"/>
        <v>-1.3996889580093291E-2</v>
      </c>
      <c r="L1837" s="8">
        <v>20.05</v>
      </c>
      <c r="M1837" s="8">
        <v>21.77</v>
      </c>
      <c r="N1837" s="8">
        <v>22.09</v>
      </c>
      <c r="O1837" s="17">
        <f t="shared" si="142"/>
        <v>11.447391666666656</v>
      </c>
      <c r="P1837" s="17">
        <f t="shared" si="143"/>
        <v>-15.782077777777802</v>
      </c>
      <c r="Q1837" s="5">
        <v>3.95</v>
      </c>
      <c r="R1837" s="9">
        <v>19.27</v>
      </c>
      <c r="S1837" s="9">
        <v>6.88</v>
      </c>
      <c r="T1837" s="9">
        <v>32938.671869999998</v>
      </c>
      <c r="U1837" s="9">
        <v>31225.54</v>
      </c>
      <c r="V1837" s="45">
        <f t="shared" si="144"/>
        <v>5.4863162334422316E-2</v>
      </c>
      <c r="W1837" s="12">
        <v>49.56</v>
      </c>
      <c r="X1837" s="12">
        <v>1.17</v>
      </c>
      <c r="Y1837" s="12">
        <v>20210726</v>
      </c>
    </row>
    <row r="1838" spans="1:25" x14ac:dyDescent="0.45">
      <c r="A1838" s="3" t="s">
        <v>3154</v>
      </c>
      <c r="B1838" s="3" t="s">
        <v>3155</v>
      </c>
      <c r="C1838" s="6" t="s">
        <v>520</v>
      </c>
      <c r="D1838" s="6" t="s">
        <v>279</v>
      </c>
      <c r="E1838" s="6" t="s">
        <v>262</v>
      </c>
      <c r="F1838" s="6">
        <v>16841.16</v>
      </c>
      <c r="G1838" s="2">
        <v>5.03</v>
      </c>
      <c r="H1838" s="2">
        <v>8.49</v>
      </c>
      <c r="I1838" s="2">
        <v>9.68</v>
      </c>
      <c r="J1838" s="47">
        <f t="shared" si="140"/>
        <v>0.68787276341948311</v>
      </c>
      <c r="K1838" s="47">
        <f t="shared" si="141"/>
        <v>0.14016489988221431</v>
      </c>
      <c r="L1838" s="8">
        <v>78.849999999999994</v>
      </c>
      <c r="M1838" s="8">
        <v>57.95</v>
      </c>
      <c r="N1838" s="8">
        <v>50.83</v>
      </c>
      <c r="O1838" s="17">
        <f t="shared" si="142"/>
        <v>0.84245231213872829</v>
      </c>
      <c r="P1838" s="17">
        <f t="shared" si="143"/>
        <v>3.6264428571428584</v>
      </c>
      <c r="R1838" s="9">
        <v>28</v>
      </c>
      <c r="S1838" s="9">
        <v>15.07</v>
      </c>
      <c r="T1838" s="9">
        <v>3845.5</v>
      </c>
      <c r="U1838" s="9">
        <v>2667.79</v>
      </c>
      <c r="V1838" s="45">
        <f t="shared" si="144"/>
        <v>0.44145528696036795</v>
      </c>
      <c r="W1838" s="12">
        <v>26.04</v>
      </c>
      <c r="X1838" s="12">
        <v>0</v>
      </c>
      <c r="Y1838" s="12">
        <v>20210720</v>
      </c>
    </row>
    <row r="1839" spans="1:25" x14ac:dyDescent="0.45">
      <c r="A1839" s="3" t="s">
        <v>4339</v>
      </c>
      <c r="B1839" s="3" t="s">
        <v>4340</v>
      </c>
      <c r="C1839" s="6" t="s">
        <v>520</v>
      </c>
      <c r="D1839" s="6" t="s">
        <v>279</v>
      </c>
      <c r="E1839" s="6" t="s">
        <v>257</v>
      </c>
      <c r="F1839" s="6">
        <v>25892.57</v>
      </c>
      <c r="G1839" s="2">
        <v>18.829999999999998</v>
      </c>
      <c r="H1839" s="2">
        <v>26.6</v>
      </c>
      <c r="I1839" s="2">
        <v>32.28</v>
      </c>
      <c r="J1839" s="47">
        <f t="shared" si="140"/>
        <v>0.41263940520446118</v>
      </c>
      <c r="K1839" s="47">
        <f t="shared" si="141"/>
        <v>0.21353383458646613</v>
      </c>
      <c r="M1839" s="8">
        <v>61.17</v>
      </c>
      <c r="N1839" s="8">
        <v>50.42</v>
      </c>
      <c r="O1839" s="17">
        <f t="shared" si="142"/>
        <v>1.4824081081081073</v>
      </c>
      <c r="P1839" s="17">
        <f t="shared" si="143"/>
        <v>2.3612183098591557</v>
      </c>
      <c r="Q1839" s="5">
        <v>5.56</v>
      </c>
      <c r="T1839" s="9">
        <v>1959.39501</v>
      </c>
      <c r="U1839" s="9">
        <v>1520.62</v>
      </c>
      <c r="V1839" s="45">
        <f t="shared" si="144"/>
        <v>0.28855007168128793</v>
      </c>
      <c r="X1839" s="12">
        <v>0</v>
      </c>
      <c r="Y1839" s="12">
        <v>20210615</v>
      </c>
    </row>
    <row r="1840" spans="1:25" x14ac:dyDescent="0.45">
      <c r="A1840" s="3" t="s">
        <v>3900</v>
      </c>
      <c r="B1840" s="3" t="s">
        <v>3901</v>
      </c>
      <c r="C1840" s="6" t="s">
        <v>518</v>
      </c>
      <c r="D1840" s="6" t="s">
        <v>309</v>
      </c>
      <c r="E1840" s="6" t="s">
        <v>307</v>
      </c>
      <c r="F1840" s="6">
        <v>3772.34</v>
      </c>
      <c r="G1840" s="2">
        <v>-8.31</v>
      </c>
      <c r="H1840" s="2">
        <v>-3.15</v>
      </c>
      <c r="I1840" s="2">
        <v>2.1800000000000002</v>
      </c>
      <c r="J1840" s="47">
        <f t="shared" si="140"/>
        <v>0.62093862815884471</v>
      </c>
      <c r="K1840" s="47">
        <f t="shared" si="141"/>
        <v>1.692063492063492</v>
      </c>
      <c r="N1840" s="8">
        <v>15.97</v>
      </c>
      <c r="O1840" s="17">
        <f t="shared" si="142"/>
        <v>0</v>
      </c>
      <c r="P1840" s="17">
        <f t="shared" si="143"/>
        <v>9.438180112570356E-2</v>
      </c>
      <c r="R1840" s="9">
        <v>-39.67</v>
      </c>
      <c r="S1840" s="9">
        <v>1.04</v>
      </c>
      <c r="T1840" s="9">
        <v>3242.0778799999998</v>
      </c>
      <c r="U1840" s="9">
        <v>1810.02</v>
      </c>
      <c r="V1840" s="45">
        <f t="shared" si="144"/>
        <v>0.79118345653639177</v>
      </c>
      <c r="W1840" s="12">
        <v>5.7</v>
      </c>
      <c r="X1840" s="12">
        <v>0</v>
      </c>
      <c r="Y1840" s="12">
        <v>20210728</v>
      </c>
    </row>
    <row r="1841" spans="1:25" x14ac:dyDescent="0.45">
      <c r="A1841" s="3" t="s">
        <v>3156</v>
      </c>
      <c r="B1841" s="3" t="s">
        <v>3157</v>
      </c>
      <c r="C1841" s="6" t="s">
        <v>519</v>
      </c>
      <c r="D1841" s="6" t="s">
        <v>234</v>
      </c>
      <c r="E1841" s="6" t="s">
        <v>286</v>
      </c>
      <c r="F1841" s="6">
        <v>34630.54</v>
      </c>
      <c r="G1841" s="2">
        <v>9.3800000000000008</v>
      </c>
      <c r="H1841" s="2">
        <v>10.51</v>
      </c>
      <c r="I1841" s="2">
        <v>11.35</v>
      </c>
      <c r="J1841" s="47">
        <f t="shared" si="140"/>
        <v>0.12046908315565021</v>
      </c>
      <c r="K1841" s="47">
        <f t="shared" si="141"/>
        <v>7.9923882017126538E-2</v>
      </c>
      <c r="L1841" s="8">
        <v>32.520000000000003</v>
      </c>
      <c r="M1841" s="8">
        <v>30.12</v>
      </c>
      <c r="N1841" s="8">
        <v>27.91</v>
      </c>
      <c r="O1841" s="17">
        <f t="shared" si="142"/>
        <v>2.5002265486725688</v>
      </c>
      <c r="P1841" s="17">
        <f t="shared" si="143"/>
        <v>3.4920726190476192</v>
      </c>
      <c r="R1841" s="9">
        <v>-2.99</v>
      </c>
      <c r="S1841" s="9">
        <v>6.76</v>
      </c>
      <c r="T1841" s="9">
        <v>2250.8898899999999</v>
      </c>
      <c r="U1841" s="9">
        <v>2083.14</v>
      </c>
      <c r="V1841" s="45">
        <f t="shared" si="144"/>
        <v>8.0527420144589454E-2</v>
      </c>
      <c r="W1841" s="12">
        <v>5.31</v>
      </c>
      <c r="X1841" s="12">
        <v>0.73</v>
      </c>
      <c r="Y1841" s="12">
        <v>20210802</v>
      </c>
    </row>
    <row r="1842" spans="1:25" x14ac:dyDescent="0.45">
      <c r="A1842" s="3" t="s">
        <v>3158</v>
      </c>
      <c r="B1842" s="3" t="s">
        <v>3159</v>
      </c>
      <c r="C1842" s="6" t="s">
        <v>520</v>
      </c>
      <c r="D1842" s="6" t="s">
        <v>272</v>
      </c>
      <c r="E1842" s="6" t="s">
        <v>252</v>
      </c>
      <c r="F1842" s="6">
        <v>90816.02</v>
      </c>
      <c r="G1842" s="2">
        <v>0.99</v>
      </c>
      <c r="H1842" s="2">
        <v>1.3</v>
      </c>
      <c r="I1842" s="2">
        <v>1.45</v>
      </c>
      <c r="J1842" s="47">
        <f t="shared" si="140"/>
        <v>0.3131313131313132</v>
      </c>
      <c r="K1842" s="47">
        <f t="shared" si="141"/>
        <v>0.11538461538461531</v>
      </c>
      <c r="M1842" s="8">
        <v>24.54</v>
      </c>
      <c r="N1842" s="8">
        <v>22.09</v>
      </c>
      <c r="O1842" s="17">
        <f t="shared" si="142"/>
        <v>0.78369677419354811</v>
      </c>
      <c r="P1842" s="17">
        <f t="shared" si="143"/>
        <v>1.9144666666666679</v>
      </c>
      <c r="T1842" s="9">
        <v>33870.53125</v>
      </c>
      <c r="U1842" s="9">
        <v>28736.69</v>
      </c>
      <c r="V1842" s="45">
        <f t="shared" si="144"/>
        <v>0.17865109899574383</v>
      </c>
      <c r="X1842" s="12">
        <v>1.49</v>
      </c>
    </row>
    <row r="1843" spans="1:25" x14ac:dyDescent="0.45">
      <c r="A1843" s="3" t="s">
        <v>3160</v>
      </c>
      <c r="B1843" s="3" t="s">
        <v>3161</v>
      </c>
      <c r="C1843" s="6" t="s">
        <v>520</v>
      </c>
      <c r="D1843" s="6" t="s">
        <v>234</v>
      </c>
      <c r="E1843" s="6" t="s">
        <v>1642</v>
      </c>
      <c r="F1843" s="6">
        <v>5663.22</v>
      </c>
      <c r="G1843" s="2">
        <v>2.93</v>
      </c>
      <c r="H1843" s="2">
        <v>3.15</v>
      </c>
      <c r="I1843" s="2">
        <v>3.24</v>
      </c>
      <c r="J1843" s="47">
        <f t="shared" si="140"/>
        <v>7.5085324232081821E-2</v>
      </c>
      <c r="K1843" s="47">
        <f t="shared" si="141"/>
        <v>2.8571428571428668E-2</v>
      </c>
      <c r="L1843" s="8">
        <v>8.77</v>
      </c>
      <c r="M1843" s="8">
        <v>7.79</v>
      </c>
      <c r="N1843" s="8">
        <v>7.58</v>
      </c>
      <c r="O1843" s="17">
        <f t="shared" si="142"/>
        <v>1.0374863636363649</v>
      </c>
      <c r="P1843" s="17">
        <f t="shared" si="143"/>
        <v>2.6529999999999907</v>
      </c>
      <c r="R1843" s="9">
        <v>12.26</v>
      </c>
      <c r="S1843" s="9">
        <v>15.95</v>
      </c>
      <c r="T1843" s="9">
        <v>4454.8999000000003</v>
      </c>
      <c r="U1843" s="9">
        <v>5105.12</v>
      </c>
      <c r="V1843" s="45">
        <f t="shared" si="144"/>
        <v>-0.12736627150781951</v>
      </c>
      <c r="W1843" s="12">
        <v>-13.92</v>
      </c>
      <c r="X1843" s="12">
        <v>0</v>
      </c>
      <c r="Y1843" s="12">
        <v>20210729</v>
      </c>
    </row>
    <row r="1844" spans="1:25" x14ac:dyDescent="0.45">
      <c r="A1844" s="3" t="s">
        <v>4341</v>
      </c>
      <c r="B1844" s="3" t="s">
        <v>4342</v>
      </c>
      <c r="C1844" s="6" t="s">
        <v>520</v>
      </c>
      <c r="D1844" s="6" t="s">
        <v>279</v>
      </c>
      <c r="E1844" s="6" t="s">
        <v>256</v>
      </c>
      <c r="F1844" s="6">
        <v>20204.22</v>
      </c>
      <c r="G1844" s="2">
        <v>0.02</v>
      </c>
      <c r="H1844" s="2">
        <v>0.05</v>
      </c>
      <c r="I1844" s="2">
        <v>0.05</v>
      </c>
      <c r="J1844" s="47">
        <f t="shared" si="140"/>
        <v>1.5</v>
      </c>
      <c r="K1844" s="47">
        <f t="shared" si="141"/>
        <v>0</v>
      </c>
      <c r="M1844" s="8">
        <v>23.78</v>
      </c>
      <c r="N1844" s="8">
        <v>21.4</v>
      </c>
      <c r="O1844" s="17">
        <f t="shared" si="142"/>
        <v>0.15853333333333333</v>
      </c>
      <c r="P1844" s="17" t="e">
        <f t="shared" si="143"/>
        <v>#DIV/0!</v>
      </c>
      <c r="T1844" s="9">
        <v>4300.3349600000001</v>
      </c>
      <c r="U1844" s="9">
        <v>3506.66</v>
      </c>
      <c r="V1844" s="45">
        <f t="shared" si="144"/>
        <v>0.22633359379010234</v>
      </c>
      <c r="X1844" s="12">
        <v>0</v>
      </c>
    </row>
    <row r="1845" spans="1:25" x14ac:dyDescent="0.45">
      <c r="A1845" s="3" t="s">
        <v>3162</v>
      </c>
      <c r="B1845" s="3" t="s">
        <v>3163</v>
      </c>
      <c r="C1845" s="6" t="s">
        <v>519</v>
      </c>
      <c r="D1845" s="6" t="s">
        <v>234</v>
      </c>
      <c r="E1845" s="6" t="s">
        <v>169</v>
      </c>
      <c r="F1845" s="6">
        <v>13300.3</v>
      </c>
      <c r="G1845" s="2">
        <v>9.6300000000000008</v>
      </c>
      <c r="H1845" s="2">
        <v>13.06</v>
      </c>
      <c r="I1845" s="2">
        <v>15.28</v>
      </c>
      <c r="J1845" s="47">
        <f t="shared" si="140"/>
        <v>0.35617860851505706</v>
      </c>
      <c r="K1845" s="47">
        <f t="shared" si="141"/>
        <v>0.16998468606431844</v>
      </c>
      <c r="L1845" s="8">
        <v>21.92</v>
      </c>
      <c r="M1845" s="8">
        <v>19.02</v>
      </c>
      <c r="N1845" s="8">
        <v>16.25</v>
      </c>
      <c r="O1845" s="17">
        <f t="shared" si="142"/>
        <v>0.53400174927113708</v>
      </c>
      <c r="P1845" s="17">
        <f t="shared" si="143"/>
        <v>0.95596846846846906</v>
      </c>
      <c r="Q1845" s="5">
        <v>2</v>
      </c>
      <c r="R1845" s="9">
        <v>11.1</v>
      </c>
      <c r="S1845" s="9">
        <v>11.21</v>
      </c>
      <c r="T1845" s="9">
        <v>1886.81799</v>
      </c>
      <c r="U1845" s="9">
        <v>2006.89</v>
      </c>
      <c r="V1845" s="45">
        <f t="shared" si="144"/>
        <v>-5.9829891025417477E-2</v>
      </c>
      <c r="W1845" s="12">
        <v>14.49</v>
      </c>
      <c r="X1845" s="12">
        <v>0.9</v>
      </c>
      <c r="Y1845" s="12">
        <v>20210720</v>
      </c>
    </row>
    <row r="1846" spans="1:25" x14ac:dyDescent="0.45">
      <c r="A1846" s="3" t="s">
        <v>3164</v>
      </c>
      <c r="B1846" s="3" t="s">
        <v>3165</v>
      </c>
      <c r="C1846" s="6" t="s">
        <v>519</v>
      </c>
      <c r="D1846" s="6" t="s">
        <v>234</v>
      </c>
      <c r="E1846" s="6" t="s">
        <v>286</v>
      </c>
      <c r="F1846" s="6">
        <v>3845.72</v>
      </c>
      <c r="G1846" s="2">
        <v>1.79</v>
      </c>
      <c r="H1846" s="2">
        <v>1.57</v>
      </c>
      <c r="I1846" s="2">
        <v>1.63</v>
      </c>
      <c r="J1846" s="47">
        <f t="shared" si="140"/>
        <v>-0.12290502793296088</v>
      </c>
      <c r="K1846" s="47">
        <f t="shared" si="141"/>
        <v>3.8216560509554034E-2</v>
      </c>
      <c r="L1846" s="8">
        <v>10.35</v>
      </c>
      <c r="M1846" s="8">
        <v>11.37</v>
      </c>
      <c r="N1846" s="8">
        <v>10.95</v>
      </c>
      <c r="O1846" s="17">
        <f t="shared" si="142"/>
        <v>-0.92510454545454546</v>
      </c>
      <c r="P1846" s="17">
        <f t="shared" si="143"/>
        <v>2.8652500000000076</v>
      </c>
      <c r="R1846" s="9">
        <v>4.01</v>
      </c>
      <c r="S1846" s="9">
        <v>25.45</v>
      </c>
      <c r="T1846" s="9">
        <v>615.68700999999999</v>
      </c>
      <c r="U1846" s="9">
        <v>598.57000000000005</v>
      </c>
      <c r="V1846" s="45">
        <f t="shared" si="144"/>
        <v>2.8596505003591784E-2</v>
      </c>
      <c r="W1846" s="12">
        <v>-2.5</v>
      </c>
      <c r="X1846" s="12">
        <v>6.74</v>
      </c>
      <c r="Y1846" s="12">
        <v>20210804</v>
      </c>
    </row>
    <row r="1847" spans="1:25" x14ac:dyDescent="0.45">
      <c r="A1847" s="3" t="s">
        <v>4930</v>
      </c>
      <c r="B1847" s="3" t="s">
        <v>4931</v>
      </c>
      <c r="C1847" s="6" t="s">
        <v>518</v>
      </c>
      <c r="D1847" s="6" t="s">
        <v>327</v>
      </c>
      <c r="E1847" s="6" t="s">
        <v>363</v>
      </c>
      <c r="F1847" s="6">
        <v>5133.16</v>
      </c>
      <c r="J1847" s="47" t="e">
        <f t="shared" si="140"/>
        <v>#DIV/0!</v>
      </c>
      <c r="K1847" s="47" t="e">
        <f t="shared" si="141"/>
        <v>#DIV/0!</v>
      </c>
      <c r="L1847" s="8">
        <v>10.15</v>
      </c>
      <c r="O1847" s="17" t="e">
        <f t="shared" si="142"/>
        <v>#DIV/0!</v>
      </c>
      <c r="P1847" s="17" t="e">
        <f t="shared" si="143"/>
        <v>#DIV/0!</v>
      </c>
      <c r="R1847" s="9">
        <v>12.07</v>
      </c>
      <c r="S1847" s="9">
        <v>-1.37</v>
      </c>
      <c r="U1847" s="9">
        <v>3455.16</v>
      </c>
      <c r="V1847" s="45">
        <f t="shared" si="144"/>
        <v>-1</v>
      </c>
      <c r="X1847" s="12">
        <v>0.71</v>
      </c>
      <c r="Y1847" s="12">
        <v>20210816</v>
      </c>
    </row>
    <row r="1848" spans="1:25" x14ac:dyDescent="0.45">
      <c r="A1848" s="3" t="s">
        <v>3166</v>
      </c>
      <c r="B1848" s="3" t="s">
        <v>3167</v>
      </c>
      <c r="C1848" s="6" t="s">
        <v>518</v>
      </c>
      <c r="D1848" s="6" t="s">
        <v>90</v>
      </c>
      <c r="E1848" s="6" t="s">
        <v>268</v>
      </c>
      <c r="F1848" s="6">
        <v>13962.26</v>
      </c>
      <c r="G1848" s="2">
        <v>2.41</v>
      </c>
      <c r="H1848" s="2">
        <v>5.76</v>
      </c>
      <c r="I1848" s="2">
        <v>3.63</v>
      </c>
      <c r="J1848" s="47">
        <f t="shared" si="140"/>
        <v>1.3900414937759333</v>
      </c>
      <c r="K1848" s="47">
        <f t="shared" si="141"/>
        <v>-0.36979166666666669</v>
      </c>
      <c r="M1848" s="8">
        <v>3.28</v>
      </c>
      <c r="N1848" s="8">
        <v>5.21</v>
      </c>
      <c r="O1848" s="17">
        <f t="shared" si="142"/>
        <v>2.3596417910447764E-2</v>
      </c>
      <c r="P1848" s="17">
        <f t="shared" si="143"/>
        <v>-0.1408901408450704</v>
      </c>
      <c r="T1848" s="9">
        <v>10806.54003</v>
      </c>
      <c r="U1848" s="9">
        <v>7739.5</v>
      </c>
      <c r="V1848" s="45">
        <f t="shared" si="144"/>
        <v>0.39628400155048776</v>
      </c>
      <c r="X1848" s="12">
        <v>7.29</v>
      </c>
      <c r="Y1848" s="12">
        <v>20210610</v>
      </c>
    </row>
    <row r="1849" spans="1:25" x14ac:dyDescent="0.45">
      <c r="A1849" s="3" t="s">
        <v>3168</v>
      </c>
      <c r="B1849" s="3" t="s">
        <v>3169</v>
      </c>
      <c r="C1849" s="6" t="s">
        <v>519</v>
      </c>
      <c r="D1849" s="6" t="s">
        <v>303</v>
      </c>
      <c r="E1849" s="6" t="s">
        <v>294</v>
      </c>
      <c r="F1849" s="6">
        <v>131139.44</v>
      </c>
      <c r="G1849" s="2">
        <v>0.99</v>
      </c>
      <c r="H1849" s="2">
        <v>2.98</v>
      </c>
      <c r="I1849" s="2">
        <v>3.58</v>
      </c>
      <c r="J1849" s="47">
        <f t="shared" si="140"/>
        <v>2.0101010101010099</v>
      </c>
      <c r="K1849" s="47">
        <f t="shared" si="141"/>
        <v>0.20134228187919467</v>
      </c>
      <c r="L1849" s="8">
        <v>87.02</v>
      </c>
      <c r="M1849" s="8">
        <v>37.409999999999997</v>
      </c>
      <c r="N1849" s="8">
        <v>31.16</v>
      </c>
      <c r="O1849" s="17">
        <f t="shared" si="142"/>
        <v>0.18611005025125629</v>
      </c>
      <c r="P1849" s="17">
        <f t="shared" si="143"/>
        <v>1.5476133333333328</v>
      </c>
      <c r="Q1849" s="5">
        <v>3.12</v>
      </c>
      <c r="R1849" s="9">
        <v>-18.940000000000001</v>
      </c>
      <c r="S1849" s="9">
        <v>3.7</v>
      </c>
      <c r="T1849" s="9">
        <v>28718.382809999999</v>
      </c>
      <c r="U1849" s="9">
        <v>23518</v>
      </c>
      <c r="V1849" s="45">
        <f t="shared" si="144"/>
        <v>0.22112351432944974</v>
      </c>
      <c r="W1849" s="12">
        <v>19.23</v>
      </c>
      <c r="X1849" s="12">
        <v>1.62</v>
      </c>
      <c r="Y1849" s="12">
        <v>20210727</v>
      </c>
    </row>
    <row r="1850" spans="1:25" x14ac:dyDescent="0.45">
      <c r="A1850" s="3" t="s">
        <v>3170</v>
      </c>
      <c r="B1850" s="3" t="s">
        <v>3171</v>
      </c>
      <c r="C1850" s="6" t="s">
        <v>518</v>
      </c>
      <c r="D1850" s="6" t="s">
        <v>234</v>
      </c>
      <c r="E1850" s="6" t="s">
        <v>218</v>
      </c>
      <c r="F1850" s="6">
        <v>11770.13</v>
      </c>
      <c r="G1850" s="2">
        <v>2.31</v>
      </c>
      <c r="H1850" s="2">
        <v>6.36</v>
      </c>
      <c r="I1850" s="2">
        <v>3.79</v>
      </c>
      <c r="J1850" s="47">
        <f t="shared" si="140"/>
        <v>1.7532467532467535</v>
      </c>
      <c r="K1850" s="47">
        <f t="shared" si="141"/>
        <v>-0.40408805031446543</v>
      </c>
      <c r="L1850" s="8">
        <v>7.12</v>
      </c>
      <c r="M1850" s="8">
        <v>6.05</v>
      </c>
      <c r="N1850" s="8">
        <v>10.15</v>
      </c>
      <c r="O1850" s="17">
        <f t="shared" si="142"/>
        <v>3.4507407407407403E-2</v>
      </c>
      <c r="P1850" s="17">
        <f t="shared" si="143"/>
        <v>-0.25118287937743194</v>
      </c>
      <c r="Q1850" s="5">
        <v>0.31</v>
      </c>
      <c r="R1850" s="9">
        <v>30.33</v>
      </c>
      <c r="S1850" s="9">
        <v>5.59</v>
      </c>
      <c r="T1850" s="9">
        <v>8062.2001899999996</v>
      </c>
      <c r="U1850" s="9">
        <v>8090.91</v>
      </c>
      <c r="V1850" s="45">
        <f t="shared" si="144"/>
        <v>-3.5484030844491273E-3</v>
      </c>
      <c r="W1850" s="12">
        <v>66.900000000000006</v>
      </c>
      <c r="X1850" s="12">
        <v>2.29</v>
      </c>
      <c r="Y1850" s="12">
        <v>20210804</v>
      </c>
    </row>
    <row r="1851" spans="1:25" x14ac:dyDescent="0.45">
      <c r="A1851" s="3" t="s">
        <v>3172</v>
      </c>
      <c r="B1851" s="3" t="s">
        <v>3173</v>
      </c>
      <c r="C1851" s="6" t="s">
        <v>520</v>
      </c>
      <c r="D1851" s="6" t="s">
        <v>234</v>
      </c>
      <c r="E1851" s="6" t="s">
        <v>105</v>
      </c>
      <c r="F1851" s="6">
        <v>22408.880000000001</v>
      </c>
      <c r="G1851" s="2">
        <v>0.44</v>
      </c>
      <c r="H1851" s="2">
        <v>0.69</v>
      </c>
      <c r="I1851" s="2">
        <v>0.89</v>
      </c>
      <c r="J1851" s="47">
        <f t="shared" si="140"/>
        <v>0.56818181818181801</v>
      </c>
      <c r="K1851" s="47">
        <f t="shared" si="141"/>
        <v>0.28985507246376824</v>
      </c>
      <c r="M1851" s="8">
        <v>10.29</v>
      </c>
      <c r="N1851" s="8">
        <v>7.98</v>
      </c>
      <c r="O1851" s="17">
        <f t="shared" si="142"/>
        <v>0.18110400000000004</v>
      </c>
      <c r="P1851" s="17">
        <f t="shared" si="143"/>
        <v>0.27530999999999989</v>
      </c>
      <c r="T1851" s="9">
        <v>15246.5</v>
      </c>
      <c r="U1851" s="9">
        <v>24299</v>
      </c>
      <c r="V1851" s="45">
        <f t="shared" si="144"/>
        <v>-0.37254619531667971</v>
      </c>
      <c r="X1851" s="12">
        <v>1.27</v>
      </c>
    </row>
    <row r="1852" spans="1:25" x14ac:dyDescent="0.45">
      <c r="A1852" s="3" t="s">
        <v>3174</v>
      </c>
      <c r="B1852" s="3" t="s">
        <v>3175</v>
      </c>
      <c r="C1852" s="6" t="s">
        <v>518</v>
      </c>
      <c r="D1852" s="6" t="s">
        <v>90</v>
      </c>
      <c r="E1852" s="6" t="s">
        <v>269</v>
      </c>
      <c r="F1852" s="6">
        <v>51478.95</v>
      </c>
      <c r="G1852" s="2">
        <v>1.96</v>
      </c>
      <c r="H1852" s="2">
        <v>4.41</v>
      </c>
      <c r="I1852" s="2">
        <v>4.49</v>
      </c>
      <c r="J1852" s="47">
        <f t="shared" si="140"/>
        <v>1.2500000000000002</v>
      </c>
      <c r="K1852" s="47">
        <f t="shared" si="141"/>
        <v>1.8140589569161012E-2</v>
      </c>
      <c r="L1852" s="8">
        <v>24.3</v>
      </c>
      <c r="M1852" s="8">
        <v>15.1</v>
      </c>
      <c r="N1852" s="8">
        <v>14.82</v>
      </c>
      <c r="O1852" s="17">
        <f t="shared" si="142"/>
        <v>0.12079999999999996</v>
      </c>
      <c r="P1852" s="17">
        <f t="shared" si="143"/>
        <v>8.169524999999993</v>
      </c>
      <c r="Q1852" s="5">
        <v>0.81</v>
      </c>
      <c r="R1852" s="9">
        <v>29.44</v>
      </c>
      <c r="S1852" s="9">
        <v>9.49</v>
      </c>
      <c r="T1852" s="9">
        <v>10272.375</v>
      </c>
      <c r="U1852" s="9">
        <v>7984.9</v>
      </c>
      <c r="V1852" s="45">
        <f t="shared" si="144"/>
        <v>0.28647509674510646</v>
      </c>
      <c r="W1852" s="12">
        <v>11.24</v>
      </c>
      <c r="X1852" s="12">
        <v>4.2</v>
      </c>
      <c r="Y1852" s="12">
        <v>20210727</v>
      </c>
    </row>
    <row r="1853" spans="1:25" x14ac:dyDescent="0.45">
      <c r="A1853" s="3" t="s">
        <v>3176</v>
      </c>
      <c r="B1853" s="3" t="s">
        <v>3177</v>
      </c>
      <c r="C1853" s="6" t="s">
        <v>520</v>
      </c>
      <c r="D1853" s="6" t="s">
        <v>234</v>
      </c>
      <c r="E1853" s="6" t="s">
        <v>105</v>
      </c>
      <c r="F1853" s="6">
        <v>27350.57</v>
      </c>
      <c r="G1853" s="2">
        <v>-0.03</v>
      </c>
      <c r="H1853" s="2">
        <v>0.65</v>
      </c>
      <c r="I1853" s="2">
        <v>0.74</v>
      </c>
      <c r="J1853" s="47">
        <f t="shared" si="140"/>
        <v>22.666666666666668</v>
      </c>
      <c r="K1853" s="47">
        <f t="shared" si="141"/>
        <v>0.13846153846153841</v>
      </c>
      <c r="L1853" s="8">
        <v>14.57</v>
      </c>
      <c r="M1853" s="8">
        <v>9.86</v>
      </c>
      <c r="N1853" s="8">
        <v>8.6999999999999993</v>
      </c>
      <c r="O1853" s="17">
        <f t="shared" si="142"/>
        <v>4.3499999999999988E-3</v>
      </c>
      <c r="P1853" s="17">
        <f t="shared" si="143"/>
        <v>0.62833333333333352</v>
      </c>
      <c r="R1853" s="9">
        <v>2.93</v>
      </c>
      <c r="S1853" s="9">
        <v>-1.49</v>
      </c>
      <c r="T1853" s="9">
        <v>28803.214840000001</v>
      </c>
      <c r="U1853" s="9">
        <v>25257.54</v>
      </c>
      <c r="V1853" s="45">
        <f t="shared" si="144"/>
        <v>0.1403808462740235</v>
      </c>
      <c r="W1853" s="12">
        <v>533.33000000000004</v>
      </c>
      <c r="X1853" s="12">
        <v>1.49</v>
      </c>
      <c r="Y1853" s="12">
        <v>20210802</v>
      </c>
    </row>
    <row r="1854" spans="1:25" x14ac:dyDescent="0.45">
      <c r="A1854" s="3" t="s">
        <v>3178</v>
      </c>
      <c r="B1854" s="3" t="s">
        <v>3179</v>
      </c>
      <c r="C1854" s="6" t="s">
        <v>518</v>
      </c>
      <c r="D1854" s="6" t="s">
        <v>234</v>
      </c>
      <c r="E1854" s="6" t="s">
        <v>1642</v>
      </c>
      <c r="F1854" s="6">
        <v>131643.78</v>
      </c>
      <c r="G1854" s="2">
        <v>2.39</v>
      </c>
      <c r="H1854" s="2">
        <v>3.18</v>
      </c>
      <c r="I1854" s="2">
        <v>3.42</v>
      </c>
      <c r="J1854" s="47">
        <f t="shared" si="140"/>
        <v>0.33054393305439328</v>
      </c>
      <c r="K1854" s="47">
        <f t="shared" si="141"/>
        <v>7.5471698113207475E-2</v>
      </c>
      <c r="L1854" s="8">
        <v>27.7</v>
      </c>
      <c r="M1854" s="8">
        <v>22.94</v>
      </c>
      <c r="N1854" s="8">
        <v>21.27</v>
      </c>
      <c r="O1854" s="17">
        <f t="shared" si="142"/>
        <v>0.69400759493670894</v>
      </c>
      <c r="P1854" s="17">
        <f t="shared" si="143"/>
        <v>2.8182750000000025</v>
      </c>
      <c r="Q1854" s="5">
        <v>1.63</v>
      </c>
      <c r="R1854" s="9">
        <v>12.8</v>
      </c>
      <c r="S1854" s="9">
        <v>12.04</v>
      </c>
      <c r="T1854" s="9">
        <v>18134.228510000001</v>
      </c>
      <c r="U1854" s="9">
        <v>11691</v>
      </c>
      <c r="V1854" s="45">
        <f t="shared" si="144"/>
        <v>0.55112723548028408</v>
      </c>
      <c r="W1854" s="12">
        <v>2.44</v>
      </c>
      <c r="X1854" s="12">
        <v>0.99</v>
      </c>
      <c r="Y1854" s="12">
        <v>20210715</v>
      </c>
    </row>
    <row r="1855" spans="1:25" x14ac:dyDescent="0.45">
      <c r="A1855" s="3" t="s">
        <v>3180</v>
      </c>
      <c r="B1855" s="3" t="s">
        <v>3181</v>
      </c>
      <c r="C1855" s="6" t="s">
        <v>520</v>
      </c>
      <c r="D1855" s="6" t="s">
        <v>216</v>
      </c>
      <c r="E1855" s="6" t="s">
        <v>231</v>
      </c>
      <c r="F1855" s="6">
        <v>35390.94</v>
      </c>
      <c r="G1855" s="2">
        <v>-1.92</v>
      </c>
      <c r="H1855" s="2">
        <v>-0.08</v>
      </c>
      <c r="I1855" s="2">
        <v>1.75</v>
      </c>
      <c r="J1855" s="47">
        <f t="shared" si="140"/>
        <v>0.95833333333333326</v>
      </c>
      <c r="K1855" s="47">
        <f t="shared" si="141"/>
        <v>22.875</v>
      </c>
      <c r="N1855" s="8">
        <v>25.06</v>
      </c>
      <c r="O1855" s="17">
        <f t="shared" si="142"/>
        <v>0</v>
      </c>
      <c r="P1855" s="17">
        <f t="shared" si="143"/>
        <v>1.09551912568306E-2</v>
      </c>
      <c r="T1855" s="9">
        <v>4275</v>
      </c>
      <c r="U1855" s="9">
        <v>1687</v>
      </c>
      <c r="V1855" s="45">
        <f t="shared" si="144"/>
        <v>1.5340841730883226</v>
      </c>
      <c r="X1855" s="12">
        <v>0</v>
      </c>
    </row>
    <row r="1856" spans="1:25" x14ac:dyDescent="0.45">
      <c r="A1856" s="3" t="s">
        <v>3182</v>
      </c>
      <c r="B1856" s="3" t="s">
        <v>3183</v>
      </c>
      <c r="C1856" s="6" t="s">
        <v>518</v>
      </c>
      <c r="D1856" s="6" t="s">
        <v>225</v>
      </c>
      <c r="E1856" s="6" t="s">
        <v>1949</v>
      </c>
      <c r="F1856" s="6">
        <v>9005.65</v>
      </c>
      <c r="G1856" s="2">
        <v>2.7</v>
      </c>
      <c r="H1856" s="2">
        <v>2.89</v>
      </c>
      <c r="I1856" s="2">
        <v>2.64</v>
      </c>
      <c r="J1856" s="47">
        <f t="shared" si="140"/>
        <v>7.0370370370370347E-2</v>
      </c>
      <c r="K1856" s="47">
        <f t="shared" si="141"/>
        <v>-8.6505190311418678E-2</v>
      </c>
      <c r="L1856" s="8">
        <v>14.02</v>
      </c>
      <c r="M1856" s="8">
        <v>18.55</v>
      </c>
      <c r="N1856" s="8">
        <v>20.309999999999999</v>
      </c>
      <c r="O1856" s="17">
        <f t="shared" si="142"/>
        <v>2.6360526315789485</v>
      </c>
      <c r="P1856" s="17">
        <f t="shared" si="143"/>
        <v>-2.3478359999999996</v>
      </c>
      <c r="Q1856" s="5">
        <v>1.63</v>
      </c>
      <c r="R1856" s="9">
        <v>37.81</v>
      </c>
      <c r="S1856" s="9">
        <v>3.38</v>
      </c>
      <c r="T1856" s="9">
        <v>3468.1999500000002</v>
      </c>
      <c r="U1856" s="9">
        <v>3511.51</v>
      </c>
      <c r="V1856" s="45">
        <f t="shared" si="144"/>
        <v>-1.233373961629044E-2</v>
      </c>
      <c r="W1856" s="12">
        <v>34.69</v>
      </c>
      <c r="X1856" s="12">
        <v>1.57</v>
      </c>
      <c r="Y1856" s="12">
        <v>20210804</v>
      </c>
    </row>
    <row r="1857" spans="1:25" x14ac:dyDescent="0.45">
      <c r="A1857" s="3" t="s">
        <v>3184</v>
      </c>
      <c r="B1857" s="3" t="s">
        <v>3185</v>
      </c>
      <c r="C1857" s="6" t="s">
        <v>520</v>
      </c>
      <c r="D1857" s="6" t="s">
        <v>327</v>
      </c>
      <c r="E1857" s="6" t="s">
        <v>209</v>
      </c>
      <c r="F1857" s="6">
        <v>30205.75</v>
      </c>
      <c r="G1857" s="2">
        <v>3.04</v>
      </c>
      <c r="H1857" s="2">
        <v>2.99</v>
      </c>
      <c r="I1857" s="2">
        <v>2.96</v>
      </c>
      <c r="J1857" s="47">
        <f t="shared" si="140"/>
        <v>-1.6447368421052572E-2</v>
      </c>
      <c r="K1857" s="47">
        <f t="shared" si="141"/>
        <v>-1.0033444816053593E-2</v>
      </c>
      <c r="L1857" s="8">
        <v>15.68</v>
      </c>
      <c r="M1857" s="8">
        <v>19.5</v>
      </c>
      <c r="N1857" s="8">
        <v>19.7</v>
      </c>
      <c r="O1857" s="17">
        <f t="shared" si="142"/>
        <v>-11.856000000000044</v>
      </c>
      <c r="P1857" s="17">
        <f t="shared" si="143"/>
        <v>-19.634333333333171</v>
      </c>
      <c r="Q1857" s="5">
        <v>8.23</v>
      </c>
      <c r="R1857" s="9">
        <v>19.489999999999998</v>
      </c>
      <c r="S1857" s="9">
        <v>-1.41</v>
      </c>
      <c r="T1857" s="9">
        <v>12076.820309999999</v>
      </c>
      <c r="U1857" s="9">
        <v>11837.73</v>
      </c>
      <c r="V1857" s="45">
        <f t="shared" si="144"/>
        <v>2.0197310633035186E-2</v>
      </c>
      <c r="X1857" s="12">
        <v>3.56</v>
      </c>
      <c r="Y1857" s="12">
        <v>20210812</v>
      </c>
    </row>
    <row r="1858" spans="1:25" x14ac:dyDescent="0.45">
      <c r="A1858" s="3" t="s">
        <v>3186</v>
      </c>
      <c r="B1858" s="3" t="s">
        <v>3187</v>
      </c>
      <c r="C1858" s="6" t="s">
        <v>519</v>
      </c>
      <c r="D1858" s="6" t="s">
        <v>279</v>
      </c>
      <c r="E1858" s="6" t="s">
        <v>257</v>
      </c>
      <c r="F1858" s="6">
        <v>3852</v>
      </c>
      <c r="G1858" s="2">
        <v>-0.75</v>
      </c>
      <c r="H1858" s="2">
        <v>-0.4</v>
      </c>
      <c r="I1858" s="2">
        <v>-0.1</v>
      </c>
      <c r="J1858" s="47">
        <f t="shared" si="140"/>
        <v>0.46666666666666662</v>
      </c>
      <c r="K1858" s="47">
        <f t="shared" si="141"/>
        <v>0.75000000000000011</v>
      </c>
      <c r="O1858" s="17">
        <f t="shared" si="142"/>
        <v>0</v>
      </c>
      <c r="P1858" s="17">
        <f t="shared" si="143"/>
        <v>0</v>
      </c>
      <c r="R1858" s="9">
        <v>-7.39</v>
      </c>
      <c r="T1858" s="9">
        <v>828.54399999999998</v>
      </c>
      <c r="U1858" s="9">
        <v>656.78</v>
      </c>
      <c r="V1858" s="45">
        <f t="shared" si="144"/>
        <v>0.26152440695514484</v>
      </c>
      <c r="W1858" s="12">
        <v>-33.33</v>
      </c>
      <c r="X1858" s="12">
        <v>0</v>
      </c>
      <c r="Y1858" s="12">
        <v>20210811</v>
      </c>
    </row>
    <row r="1859" spans="1:25" x14ac:dyDescent="0.45">
      <c r="A1859" s="3" t="s">
        <v>3188</v>
      </c>
      <c r="B1859" s="3" t="s">
        <v>3189</v>
      </c>
      <c r="C1859" s="6" t="s">
        <v>519</v>
      </c>
      <c r="D1859" s="6" t="s">
        <v>279</v>
      </c>
      <c r="E1859" s="6" t="s">
        <v>265</v>
      </c>
      <c r="F1859" s="6">
        <v>5298.46</v>
      </c>
      <c r="G1859" s="2">
        <v>-0.24</v>
      </c>
      <c r="H1859" s="2">
        <v>-0.83</v>
      </c>
      <c r="I1859" s="2">
        <v>-0.8</v>
      </c>
      <c r="J1859" s="47">
        <f t="shared" ref="J1859:J1922" si="145">(H1859-G1859)/ABS(G1859)</f>
        <v>-2.4583333333333335</v>
      </c>
      <c r="K1859" s="47">
        <f t="shared" ref="K1859:K1922" si="146">(I1859-H1859)/ABS(H1859)</f>
        <v>3.6144578313252913E-2</v>
      </c>
      <c r="O1859" s="17">
        <f t="shared" ref="O1859:O1922" si="147">M1859/(J1859*100)</f>
        <v>0</v>
      </c>
      <c r="P1859" s="17">
        <f t="shared" ref="P1859:P1922" si="148">N1859/(K1859*100)</f>
        <v>0</v>
      </c>
      <c r="R1859" s="9">
        <v>-1.95</v>
      </c>
      <c r="T1859" s="9">
        <v>134.58999</v>
      </c>
      <c r="U1859" s="9">
        <v>108.1</v>
      </c>
      <c r="V1859" s="45">
        <f t="shared" ref="V1859:V1922" si="149">(T1859-U1859)/U1859</f>
        <v>0.24505078630897323</v>
      </c>
      <c r="W1859" s="12">
        <v>100</v>
      </c>
      <c r="X1859" s="12">
        <v>0</v>
      </c>
      <c r="Y1859" s="12">
        <v>20210809</v>
      </c>
    </row>
    <row r="1860" spans="1:25" x14ac:dyDescent="0.45">
      <c r="A1860" s="3" t="s">
        <v>3190</v>
      </c>
      <c r="B1860" s="3" t="s">
        <v>3191</v>
      </c>
      <c r="C1860" s="6" t="s">
        <v>520</v>
      </c>
      <c r="D1860" s="6" t="s">
        <v>272</v>
      </c>
      <c r="E1860" s="6" t="s">
        <v>907</v>
      </c>
      <c r="F1860" s="6">
        <v>34577.15</v>
      </c>
      <c r="G1860" s="2">
        <v>0.88</v>
      </c>
      <c r="H1860" s="2">
        <v>1.34</v>
      </c>
      <c r="I1860" s="2">
        <v>1.55</v>
      </c>
      <c r="J1860" s="47">
        <f t="shared" si="145"/>
        <v>0.52272727272727282</v>
      </c>
      <c r="K1860" s="47">
        <f t="shared" si="146"/>
        <v>0.15671641791044771</v>
      </c>
      <c r="L1860" s="8">
        <v>29.02</v>
      </c>
      <c r="M1860" s="8">
        <v>20.52</v>
      </c>
      <c r="N1860" s="8">
        <v>17.73</v>
      </c>
      <c r="O1860" s="17">
        <f t="shared" si="147"/>
        <v>0.39255652173913036</v>
      </c>
      <c r="P1860" s="17">
        <f t="shared" si="148"/>
        <v>1.1313428571428574</v>
      </c>
      <c r="Q1860" s="5">
        <v>1.31</v>
      </c>
      <c r="R1860" s="9">
        <v>19.059999999999999</v>
      </c>
      <c r="S1860" s="9">
        <v>-13.95</v>
      </c>
      <c r="T1860" s="9">
        <v>11401.905269999999</v>
      </c>
      <c r="U1860" s="9">
        <v>9418.3799999999992</v>
      </c>
      <c r="V1860" s="45">
        <f t="shared" si="149"/>
        <v>0.21060153338472223</v>
      </c>
      <c r="W1860" s="12">
        <v>93.75</v>
      </c>
      <c r="X1860" s="12">
        <v>2.23</v>
      </c>
      <c r="Y1860" s="12">
        <v>20210614</v>
      </c>
    </row>
    <row r="1861" spans="1:25" x14ac:dyDescent="0.45">
      <c r="A1861" s="3" t="s">
        <v>4932</v>
      </c>
      <c r="B1861" s="3" t="s">
        <v>4933</v>
      </c>
      <c r="C1861" s="6" t="s">
        <v>520</v>
      </c>
      <c r="D1861" s="6" t="s">
        <v>175</v>
      </c>
      <c r="E1861" s="6" t="s">
        <v>194</v>
      </c>
      <c r="F1861" s="6">
        <v>14745.4</v>
      </c>
      <c r="J1861" s="47" t="e">
        <f t="shared" si="145"/>
        <v>#DIV/0!</v>
      </c>
      <c r="K1861" s="47" t="e">
        <f t="shared" si="146"/>
        <v>#DIV/0!</v>
      </c>
      <c r="O1861" s="17" t="e">
        <f t="shared" si="147"/>
        <v>#DIV/0!</v>
      </c>
      <c r="P1861" s="17" t="e">
        <f t="shared" si="148"/>
        <v>#DIV/0!</v>
      </c>
      <c r="U1861" s="9">
        <v>22582.83</v>
      </c>
      <c r="V1861" s="45">
        <f t="shared" si="149"/>
        <v>-1</v>
      </c>
      <c r="X1861" s="12">
        <v>0</v>
      </c>
    </row>
    <row r="1862" spans="1:25" x14ac:dyDescent="0.45">
      <c r="A1862" s="3" t="s">
        <v>4934</v>
      </c>
      <c r="B1862" s="3" t="s">
        <v>4935</v>
      </c>
      <c r="C1862" s="6" t="s">
        <v>518</v>
      </c>
      <c r="D1862" s="6" t="s">
        <v>234</v>
      </c>
      <c r="E1862" s="6" t="s">
        <v>904</v>
      </c>
      <c r="F1862" s="6">
        <v>20111.830000000002</v>
      </c>
      <c r="J1862" s="47" t="e">
        <f t="shared" si="145"/>
        <v>#DIV/0!</v>
      </c>
      <c r="K1862" s="47" t="e">
        <f t="shared" si="146"/>
        <v>#DIV/0!</v>
      </c>
      <c r="O1862" s="17" t="e">
        <f t="shared" si="147"/>
        <v>#DIV/0!</v>
      </c>
      <c r="P1862" s="17" t="e">
        <f t="shared" si="148"/>
        <v>#DIV/0!</v>
      </c>
      <c r="V1862" s="45" t="e">
        <f t="shared" si="149"/>
        <v>#DIV/0!</v>
      </c>
      <c r="X1862" s="12">
        <v>2.5</v>
      </c>
    </row>
    <row r="1863" spans="1:25" x14ac:dyDescent="0.45">
      <c r="A1863" s="3" t="s">
        <v>3192</v>
      </c>
      <c r="B1863" s="3" t="s">
        <v>3193</v>
      </c>
      <c r="C1863" s="6" t="s">
        <v>518</v>
      </c>
      <c r="D1863" s="6" t="s">
        <v>234</v>
      </c>
      <c r="E1863" s="6" t="s">
        <v>904</v>
      </c>
      <c r="F1863" s="6">
        <v>134678.92000000001</v>
      </c>
      <c r="G1863" s="2">
        <v>-2.75</v>
      </c>
      <c r="H1863" s="2">
        <v>-1.44</v>
      </c>
      <c r="I1863" s="2">
        <v>1.32</v>
      </c>
      <c r="J1863" s="47">
        <f t="shared" si="145"/>
        <v>0.47636363636363638</v>
      </c>
      <c r="K1863" s="47">
        <f t="shared" si="146"/>
        <v>1.9166666666666665</v>
      </c>
      <c r="N1863" s="8">
        <v>200.06</v>
      </c>
      <c r="O1863" s="17">
        <f t="shared" si="147"/>
        <v>0</v>
      </c>
      <c r="P1863" s="17">
        <f t="shared" si="148"/>
        <v>1.0437913043478262</v>
      </c>
      <c r="R1863" s="9">
        <v>-82.81</v>
      </c>
      <c r="S1863" s="9">
        <v>126.96</v>
      </c>
      <c r="T1863" s="9">
        <v>9716.4697199999991</v>
      </c>
      <c r="U1863" s="9">
        <v>4375.66</v>
      </c>
      <c r="V1863" s="45">
        <f t="shared" si="149"/>
        <v>1.220572375367373</v>
      </c>
      <c r="W1863" s="12">
        <v>-58.97</v>
      </c>
      <c r="X1863" s="12">
        <v>0</v>
      </c>
      <c r="Y1863" s="12">
        <v>20210817</v>
      </c>
    </row>
    <row r="1864" spans="1:25" x14ac:dyDescent="0.45">
      <c r="A1864" s="3" t="s">
        <v>3902</v>
      </c>
      <c r="B1864" s="3" t="s">
        <v>3903</v>
      </c>
      <c r="C1864" s="6" t="s">
        <v>518</v>
      </c>
      <c r="D1864" s="6" t="s">
        <v>216</v>
      </c>
      <c r="E1864" s="6" t="s">
        <v>1102</v>
      </c>
      <c r="F1864" s="6">
        <v>4424.32</v>
      </c>
      <c r="G1864" s="2">
        <v>-4.09</v>
      </c>
      <c r="H1864" s="2">
        <v>0.73</v>
      </c>
      <c r="I1864" s="2">
        <v>2.34</v>
      </c>
      <c r="J1864" s="47">
        <f t="shared" si="145"/>
        <v>1.1784841075794623</v>
      </c>
      <c r="K1864" s="47">
        <f t="shared" si="146"/>
        <v>2.2054794520547945</v>
      </c>
      <c r="M1864" s="8">
        <v>76.36</v>
      </c>
      <c r="N1864" s="8">
        <v>23.9</v>
      </c>
      <c r="O1864" s="17">
        <f t="shared" si="147"/>
        <v>0.6479510373443983</v>
      </c>
      <c r="P1864" s="17">
        <f t="shared" si="148"/>
        <v>0.10836645962732919</v>
      </c>
      <c r="R1864" s="9">
        <v>-352.53</v>
      </c>
      <c r="S1864" s="9">
        <v>-15.27</v>
      </c>
      <c r="T1864" s="9">
        <v>1204.0400299999999</v>
      </c>
      <c r="U1864" s="9">
        <v>431.78</v>
      </c>
      <c r="V1864" s="45">
        <f t="shared" si="149"/>
        <v>1.7885497938765111</v>
      </c>
      <c r="W1864" s="12">
        <v>31.33</v>
      </c>
      <c r="X1864" s="12">
        <v>0</v>
      </c>
      <c r="Y1864" s="12">
        <v>20210809</v>
      </c>
    </row>
    <row r="1865" spans="1:25" x14ac:dyDescent="0.45">
      <c r="A1865" s="3" t="s">
        <v>4936</v>
      </c>
      <c r="B1865" s="3" t="s">
        <v>4937</v>
      </c>
      <c r="C1865" s="6" t="s">
        <v>1003</v>
      </c>
      <c r="D1865" s="6" t="s">
        <v>225</v>
      </c>
      <c r="E1865" s="6" t="s">
        <v>226</v>
      </c>
      <c r="F1865" s="6">
        <v>4335.5200000000004</v>
      </c>
      <c r="J1865" s="47" t="e">
        <f t="shared" si="145"/>
        <v>#DIV/0!</v>
      </c>
      <c r="K1865" s="47" t="e">
        <f t="shared" si="146"/>
        <v>#DIV/0!</v>
      </c>
      <c r="L1865" s="8">
        <v>7.78</v>
      </c>
      <c r="O1865" s="17" t="e">
        <f t="shared" si="147"/>
        <v>#DIV/0!</v>
      </c>
      <c r="P1865" s="17" t="e">
        <f t="shared" si="148"/>
        <v>#DIV/0!</v>
      </c>
      <c r="R1865" s="9">
        <v>15.13</v>
      </c>
      <c r="S1865" s="9">
        <v>7.6</v>
      </c>
      <c r="U1865" s="9">
        <v>7126</v>
      </c>
      <c r="V1865" s="45">
        <f t="shared" si="149"/>
        <v>-1</v>
      </c>
      <c r="X1865" s="12">
        <v>0.24</v>
      </c>
      <c r="Y1865" s="12">
        <v>20210727</v>
      </c>
    </row>
    <row r="1866" spans="1:25" x14ac:dyDescent="0.45">
      <c r="A1866" s="3" t="s">
        <v>3194</v>
      </c>
      <c r="B1866" s="3" t="s">
        <v>3195</v>
      </c>
      <c r="C1866" s="6" t="s">
        <v>519</v>
      </c>
      <c r="D1866" s="6" t="s">
        <v>289</v>
      </c>
      <c r="E1866" s="6" t="s">
        <v>400</v>
      </c>
      <c r="F1866" s="6">
        <v>12226.88</v>
      </c>
      <c r="G1866" s="2">
        <v>3.99</v>
      </c>
      <c r="H1866" s="2">
        <v>4.74</v>
      </c>
      <c r="I1866" s="2">
        <v>6.44</v>
      </c>
      <c r="J1866" s="47">
        <f t="shared" si="145"/>
        <v>0.18796992481203006</v>
      </c>
      <c r="K1866" s="47">
        <f t="shared" si="146"/>
        <v>0.35864978902953587</v>
      </c>
      <c r="L1866" s="8">
        <v>56.82</v>
      </c>
      <c r="M1866" s="8">
        <v>49.66</v>
      </c>
      <c r="N1866" s="8">
        <v>36.549999999999997</v>
      </c>
      <c r="O1866" s="17">
        <f t="shared" si="147"/>
        <v>2.641912</v>
      </c>
      <c r="P1866" s="17">
        <f t="shared" si="148"/>
        <v>1.0190999999999999</v>
      </c>
      <c r="Q1866" s="5">
        <v>2.0699999999999998</v>
      </c>
      <c r="R1866" s="9">
        <v>12.59</v>
      </c>
      <c r="S1866" s="9">
        <v>35.520000000000003</v>
      </c>
      <c r="T1866" s="9">
        <v>1896.4589800000001</v>
      </c>
      <c r="U1866" s="9">
        <v>1459.27</v>
      </c>
      <c r="V1866" s="45">
        <f t="shared" si="149"/>
        <v>0.29959430400131581</v>
      </c>
      <c r="W1866" s="12">
        <v>-2.97</v>
      </c>
      <c r="X1866" s="12">
        <v>0</v>
      </c>
      <c r="Y1866" s="12">
        <v>20210802</v>
      </c>
    </row>
    <row r="1867" spans="1:25" x14ac:dyDescent="0.45">
      <c r="A1867" s="3" t="s">
        <v>3196</v>
      </c>
      <c r="B1867" s="3" t="s">
        <v>3197</v>
      </c>
      <c r="C1867" s="6" t="s">
        <v>518</v>
      </c>
      <c r="D1867" s="6" t="s">
        <v>272</v>
      </c>
      <c r="E1867" s="6" t="s">
        <v>207</v>
      </c>
      <c r="F1867" s="6">
        <v>8797.18</v>
      </c>
      <c r="G1867" s="2">
        <v>3.09</v>
      </c>
      <c r="H1867" s="2">
        <v>3.49</v>
      </c>
      <c r="I1867" s="2">
        <v>3.86</v>
      </c>
      <c r="J1867" s="47">
        <f t="shared" si="145"/>
        <v>0.12944983818770239</v>
      </c>
      <c r="K1867" s="47">
        <f t="shared" si="146"/>
        <v>0.10601719197707726</v>
      </c>
      <c r="L1867" s="8">
        <v>17.809999999999999</v>
      </c>
      <c r="M1867" s="8">
        <v>16.579999999999998</v>
      </c>
      <c r="N1867" s="8">
        <v>14.98</v>
      </c>
      <c r="O1867" s="17">
        <f t="shared" si="147"/>
        <v>1.2808049999999986</v>
      </c>
      <c r="P1867" s="17">
        <f t="shared" si="148"/>
        <v>1.4129783783783798</v>
      </c>
      <c r="Q1867" s="5">
        <v>2</v>
      </c>
      <c r="R1867" s="9">
        <v>887.96</v>
      </c>
      <c r="S1867" s="9">
        <v>-6.08</v>
      </c>
      <c r="T1867" s="9">
        <v>5284.6127900000001</v>
      </c>
      <c r="U1867" s="9">
        <v>4903.2</v>
      </c>
      <c r="V1867" s="45">
        <f t="shared" si="149"/>
        <v>7.7788544216022257E-2</v>
      </c>
      <c r="W1867" s="12">
        <v>9.86</v>
      </c>
      <c r="X1867" s="12">
        <v>1.38</v>
      </c>
      <c r="Y1867" s="12">
        <v>20210805</v>
      </c>
    </row>
    <row r="1868" spans="1:25" x14ac:dyDescent="0.45">
      <c r="A1868" s="3" t="s">
        <v>3198</v>
      </c>
      <c r="B1868" s="3" t="s">
        <v>3199</v>
      </c>
      <c r="C1868" s="6" t="s">
        <v>520</v>
      </c>
      <c r="D1868" s="6" t="s">
        <v>234</v>
      </c>
      <c r="E1868" s="6" t="s">
        <v>286</v>
      </c>
      <c r="F1868" s="6">
        <v>15215.21</v>
      </c>
      <c r="G1868" s="2">
        <v>0.33</v>
      </c>
      <c r="H1868" s="2">
        <v>0.39</v>
      </c>
      <c r="I1868" s="2">
        <v>0.41</v>
      </c>
      <c r="J1868" s="47">
        <f t="shared" si="145"/>
        <v>0.1818181818181818</v>
      </c>
      <c r="K1868" s="47">
        <f t="shared" si="146"/>
        <v>5.1282051282051183E-2</v>
      </c>
      <c r="M1868" s="8">
        <v>39.229999999999997</v>
      </c>
      <c r="N1868" s="8">
        <v>36.700000000000003</v>
      </c>
      <c r="O1868" s="17">
        <f t="shared" si="147"/>
        <v>2.1576499999999998</v>
      </c>
      <c r="P1868" s="17">
        <f t="shared" si="148"/>
        <v>7.1565000000000145</v>
      </c>
      <c r="T1868" s="9">
        <v>513.44701999999995</v>
      </c>
      <c r="U1868" s="9">
        <v>554.36</v>
      </c>
      <c r="V1868" s="45">
        <f t="shared" si="149"/>
        <v>-7.3802186304928311E-2</v>
      </c>
      <c r="X1868" s="12">
        <v>0</v>
      </c>
      <c r="Y1868" s="12">
        <v>20210611</v>
      </c>
    </row>
    <row r="1869" spans="1:25" x14ac:dyDescent="0.45">
      <c r="A1869" s="3" t="s">
        <v>3200</v>
      </c>
      <c r="B1869" s="3" t="s">
        <v>3201</v>
      </c>
      <c r="C1869" s="6" t="s">
        <v>519</v>
      </c>
      <c r="D1869" s="6" t="s">
        <v>234</v>
      </c>
      <c r="E1869" s="6" t="s">
        <v>220</v>
      </c>
      <c r="F1869" s="6">
        <v>9022.7199999999993</v>
      </c>
      <c r="G1869" s="2">
        <v>2.94</v>
      </c>
      <c r="H1869" s="2">
        <v>3.68</v>
      </c>
      <c r="I1869" s="2">
        <v>3.93</v>
      </c>
      <c r="J1869" s="47">
        <f t="shared" si="145"/>
        <v>0.2517006802721089</v>
      </c>
      <c r="K1869" s="47">
        <f t="shared" si="146"/>
        <v>6.7934782608695649E-2</v>
      </c>
      <c r="L1869" s="8">
        <v>19.87</v>
      </c>
      <c r="M1869" s="8">
        <v>17.170000000000002</v>
      </c>
      <c r="N1869" s="8">
        <v>16.059999999999999</v>
      </c>
      <c r="O1869" s="17">
        <f t="shared" si="147"/>
        <v>0.68215945945945944</v>
      </c>
      <c r="P1869" s="17">
        <f t="shared" si="148"/>
        <v>2.3640319999999999</v>
      </c>
      <c r="Q1869" s="5">
        <v>1.43</v>
      </c>
      <c r="R1869" s="9">
        <v>26.69</v>
      </c>
      <c r="S1869" s="9">
        <v>4.8499999999999996</v>
      </c>
      <c r="T1869" s="9">
        <v>1850.45397</v>
      </c>
      <c r="U1869" s="9">
        <v>1684.06</v>
      </c>
      <c r="V1869" s="45">
        <f t="shared" si="149"/>
        <v>9.8805250406755155E-2</v>
      </c>
      <c r="W1869" s="12">
        <v>-1.1100000000000001</v>
      </c>
      <c r="X1869" s="12">
        <v>1.17</v>
      </c>
      <c r="Y1869" s="12">
        <v>20210728</v>
      </c>
    </row>
    <row r="1870" spans="1:25" x14ac:dyDescent="0.45">
      <c r="A1870" s="3" t="s">
        <v>3202</v>
      </c>
      <c r="B1870" s="3" t="s">
        <v>3203</v>
      </c>
      <c r="C1870" s="6" t="s">
        <v>520</v>
      </c>
      <c r="D1870" s="6" t="s">
        <v>189</v>
      </c>
      <c r="E1870" s="6" t="s">
        <v>1065</v>
      </c>
      <c r="F1870" s="6">
        <v>7281.35</v>
      </c>
      <c r="G1870" s="2">
        <v>0.17</v>
      </c>
      <c r="H1870" s="2">
        <v>0.51</v>
      </c>
      <c r="I1870" s="2">
        <v>0.56000000000000005</v>
      </c>
      <c r="J1870" s="47">
        <f t="shared" si="145"/>
        <v>1.9999999999999998</v>
      </c>
      <c r="K1870" s="47">
        <f t="shared" si="146"/>
        <v>9.8039215686274592E-2</v>
      </c>
      <c r="L1870" s="8">
        <v>22.77</v>
      </c>
      <c r="M1870" s="8">
        <v>17.86</v>
      </c>
      <c r="N1870" s="8">
        <v>16.27</v>
      </c>
      <c r="O1870" s="17">
        <f t="shared" si="147"/>
        <v>8.9300000000000004E-2</v>
      </c>
      <c r="P1870" s="17">
        <f t="shared" si="148"/>
        <v>1.6595399999999987</v>
      </c>
      <c r="R1870" s="9">
        <v>5.77</v>
      </c>
      <c r="S1870" s="9">
        <v>-0.13</v>
      </c>
      <c r="T1870" s="9">
        <v>9571.4902299999994</v>
      </c>
      <c r="U1870" s="9">
        <v>8997.9699999999993</v>
      </c>
      <c r="V1870" s="45">
        <f t="shared" si="149"/>
        <v>6.3738846650966838E-2</v>
      </c>
      <c r="W1870" s="12">
        <v>209.09</v>
      </c>
      <c r="X1870" s="12">
        <v>1.18</v>
      </c>
      <c r="Y1870" s="12">
        <v>20210730</v>
      </c>
    </row>
    <row r="1871" spans="1:25" x14ac:dyDescent="0.45">
      <c r="A1871" s="3" t="s">
        <v>3204</v>
      </c>
      <c r="B1871" s="3" t="s">
        <v>3205</v>
      </c>
      <c r="C1871" s="6" t="s">
        <v>518</v>
      </c>
      <c r="D1871" s="6" t="s">
        <v>279</v>
      </c>
      <c r="E1871" s="6" t="s">
        <v>260</v>
      </c>
      <c r="F1871" s="6">
        <v>5448.83</v>
      </c>
      <c r="G1871" s="2">
        <v>1.56</v>
      </c>
      <c r="H1871" s="2">
        <v>2.56</v>
      </c>
      <c r="I1871" s="2">
        <v>2.91</v>
      </c>
      <c r="J1871" s="47">
        <f t="shared" si="145"/>
        <v>0.64102564102564097</v>
      </c>
      <c r="K1871" s="47">
        <f t="shared" si="146"/>
        <v>0.13671875000000003</v>
      </c>
      <c r="L1871" s="8">
        <v>17.34</v>
      </c>
      <c r="M1871" s="8">
        <v>15.78</v>
      </c>
      <c r="N1871" s="8">
        <v>13.89</v>
      </c>
      <c r="O1871" s="17">
        <f t="shared" si="147"/>
        <v>0.246168</v>
      </c>
      <c r="P1871" s="17">
        <f t="shared" si="148"/>
        <v>1.0159542857142856</v>
      </c>
      <c r="Q1871" s="5">
        <v>1.05</v>
      </c>
      <c r="R1871" s="9">
        <v>25.24</v>
      </c>
      <c r="S1871" s="9">
        <v>7.26</v>
      </c>
      <c r="T1871" s="9">
        <v>6105.58007</v>
      </c>
      <c r="U1871" s="9">
        <v>5531.71</v>
      </c>
      <c r="V1871" s="45">
        <f t="shared" si="149"/>
        <v>0.10374189355551899</v>
      </c>
      <c r="W1871" s="12">
        <v>26.15</v>
      </c>
      <c r="X1871" s="12">
        <v>1.24</v>
      </c>
      <c r="Y1871" s="12">
        <v>20210729</v>
      </c>
    </row>
    <row r="1872" spans="1:25" x14ac:dyDescent="0.45">
      <c r="A1872" s="3" t="s">
        <v>3904</v>
      </c>
      <c r="B1872" s="3" t="s">
        <v>3905</v>
      </c>
      <c r="C1872" s="6" t="s">
        <v>520</v>
      </c>
      <c r="D1872" s="6" t="s">
        <v>90</v>
      </c>
      <c r="E1872" s="6" t="s">
        <v>282</v>
      </c>
      <c r="F1872" s="6">
        <v>14068.98</v>
      </c>
      <c r="G1872" s="2">
        <v>0.63</v>
      </c>
      <c r="H1872" s="2">
        <v>1.1299999999999999</v>
      </c>
      <c r="I1872" s="2">
        <v>1.5</v>
      </c>
      <c r="J1872" s="47">
        <f t="shared" si="145"/>
        <v>0.7936507936507935</v>
      </c>
      <c r="K1872" s="47">
        <f t="shared" si="146"/>
        <v>0.32743362831858419</v>
      </c>
      <c r="L1872" s="8">
        <v>25.85</v>
      </c>
      <c r="M1872" s="8">
        <v>15.79</v>
      </c>
      <c r="N1872" s="8">
        <v>11.89</v>
      </c>
      <c r="O1872" s="17">
        <f t="shared" si="147"/>
        <v>0.19895400000000002</v>
      </c>
      <c r="P1872" s="17">
        <f t="shared" si="148"/>
        <v>0.36312702702702693</v>
      </c>
      <c r="R1872" s="9">
        <v>5.92</v>
      </c>
      <c r="S1872" s="9">
        <v>-1.64</v>
      </c>
      <c r="T1872" s="9">
        <v>11061.820309999999</v>
      </c>
      <c r="U1872" s="9">
        <v>9769.26</v>
      </c>
      <c r="V1872" s="45">
        <f t="shared" si="149"/>
        <v>0.13230892718588705</v>
      </c>
      <c r="W1872" s="12">
        <v>-18.18</v>
      </c>
      <c r="X1872" s="12">
        <v>1.08</v>
      </c>
      <c r="Y1872" s="12">
        <v>20210720</v>
      </c>
    </row>
    <row r="1873" spans="1:25" x14ac:dyDescent="0.45">
      <c r="A1873" s="3" t="s">
        <v>3206</v>
      </c>
      <c r="B1873" s="3" t="s">
        <v>3207</v>
      </c>
      <c r="C1873" s="6" t="s">
        <v>520</v>
      </c>
      <c r="D1873" s="6" t="s">
        <v>189</v>
      </c>
      <c r="E1873" s="6" t="s">
        <v>908</v>
      </c>
      <c r="F1873" s="6">
        <v>3396.87</v>
      </c>
      <c r="G1873" s="2">
        <v>0.75</v>
      </c>
      <c r="H1873" s="2">
        <v>0.96</v>
      </c>
      <c r="I1873" s="2">
        <v>1.0900000000000001</v>
      </c>
      <c r="J1873" s="47">
        <f t="shared" si="145"/>
        <v>0.27999999999999997</v>
      </c>
      <c r="K1873" s="47">
        <f t="shared" si="146"/>
        <v>0.1354166666666668</v>
      </c>
      <c r="M1873" s="8">
        <v>15.44</v>
      </c>
      <c r="N1873" s="8">
        <v>13.51</v>
      </c>
      <c r="O1873" s="17">
        <f t="shared" si="147"/>
        <v>0.55142857142857149</v>
      </c>
      <c r="P1873" s="17">
        <f t="shared" si="148"/>
        <v>0.99766153846153749</v>
      </c>
      <c r="T1873" s="9">
        <v>1774.91003</v>
      </c>
      <c r="U1873" s="9">
        <v>1715.88</v>
      </c>
      <c r="V1873" s="45">
        <f t="shared" si="149"/>
        <v>3.4402190129845849E-2</v>
      </c>
      <c r="X1873" s="12">
        <v>3.86</v>
      </c>
    </row>
    <row r="1874" spans="1:25" x14ac:dyDescent="0.45">
      <c r="A1874" s="3" t="s">
        <v>4938</v>
      </c>
      <c r="B1874" s="3" t="s">
        <v>4939</v>
      </c>
      <c r="C1874" s="6" t="s">
        <v>518</v>
      </c>
      <c r="D1874" s="6" t="s">
        <v>234</v>
      </c>
      <c r="E1874" s="6" t="s">
        <v>1642</v>
      </c>
      <c r="F1874" s="6">
        <v>6788.83</v>
      </c>
      <c r="J1874" s="47" t="e">
        <f t="shared" si="145"/>
        <v>#DIV/0!</v>
      </c>
      <c r="K1874" s="47" t="e">
        <f t="shared" si="146"/>
        <v>#DIV/0!</v>
      </c>
      <c r="L1874" s="8">
        <v>10.24</v>
      </c>
      <c r="O1874" s="17" t="e">
        <f t="shared" si="147"/>
        <v>#DIV/0!</v>
      </c>
      <c r="P1874" s="17" t="e">
        <f t="shared" si="148"/>
        <v>#DIV/0!</v>
      </c>
      <c r="R1874" s="9">
        <v>17.670000000000002</v>
      </c>
      <c r="S1874" s="9">
        <v>9.61</v>
      </c>
      <c r="U1874" s="9">
        <v>3752.06</v>
      </c>
      <c r="V1874" s="45">
        <f t="shared" si="149"/>
        <v>-1</v>
      </c>
      <c r="X1874" s="12">
        <v>0.93</v>
      </c>
      <c r="Y1874" s="12">
        <v>20210804</v>
      </c>
    </row>
    <row r="1875" spans="1:25" x14ac:dyDescent="0.45">
      <c r="A1875" s="3" t="s">
        <v>4343</v>
      </c>
      <c r="B1875" s="3" t="s">
        <v>4344</v>
      </c>
      <c r="C1875" s="6" t="s">
        <v>519</v>
      </c>
      <c r="D1875" s="6" t="s">
        <v>234</v>
      </c>
      <c r="E1875" s="6" t="s">
        <v>1140</v>
      </c>
      <c r="F1875" s="6">
        <v>3780.95</v>
      </c>
      <c r="G1875" s="2">
        <v>3.01</v>
      </c>
      <c r="H1875" s="2">
        <v>3.58</v>
      </c>
      <c r="I1875" s="2">
        <v>3.55</v>
      </c>
      <c r="J1875" s="47">
        <f t="shared" si="145"/>
        <v>0.1893687707641197</v>
      </c>
      <c r="K1875" s="47">
        <f t="shared" si="146"/>
        <v>-8.3798882681564938E-3</v>
      </c>
      <c r="L1875" s="8">
        <v>20.3</v>
      </c>
      <c r="M1875" s="8">
        <v>19.489999999999998</v>
      </c>
      <c r="N1875" s="8">
        <v>19.690000000000001</v>
      </c>
      <c r="O1875" s="17">
        <f t="shared" si="147"/>
        <v>1.029208771929824</v>
      </c>
      <c r="P1875" s="17">
        <f t="shared" si="148"/>
        <v>-23.496733333333143</v>
      </c>
      <c r="R1875" s="9">
        <v>19.16</v>
      </c>
      <c r="S1875" s="9">
        <v>17.59</v>
      </c>
      <c r="T1875" s="9">
        <v>396.14199000000002</v>
      </c>
      <c r="U1875" s="9">
        <v>419.14</v>
      </c>
      <c r="V1875" s="45">
        <f t="shared" si="149"/>
        <v>-5.4869518537958593E-2</v>
      </c>
      <c r="W1875" s="12">
        <v>1.06</v>
      </c>
      <c r="X1875" s="12">
        <v>1.1499999999999999</v>
      </c>
      <c r="Y1875" s="12">
        <v>20210719</v>
      </c>
    </row>
    <row r="1876" spans="1:25" x14ac:dyDescent="0.45">
      <c r="A1876" s="3" t="s">
        <v>3208</v>
      </c>
      <c r="B1876" s="3" t="s">
        <v>3209</v>
      </c>
      <c r="C1876" s="6" t="s">
        <v>519</v>
      </c>
      <c r="D1876" s="6" t="s">
        <v>303</v>
      </c>
      <c r="E1876" s="6" t="s">
        <v>290</v>
      </c>
      <c r="F1876" s="6">
        <v>6875.25</v>
      </c>
      <c r="G1876" s="2">
        <v>-0.41</v>
      </c>
      <c r="H1876" s="2">
        <v>-0.44</v>
      </c>
      <c r="I1876" s="2">
        <v>-0.46</v>
      </c>
      <c r="J1876" s="47">
        <f t="shared" si="145"/>
        <v>-7.3170731707317138E-2</v>
      </c>
      <c r="K1876" s="47">
        <f t="shared" si="146"/>
        <v>-4.5454545454545497E-2</v>
      </c>
      <c r="O1876" s="17">
        <f t="shared" si="147"/>
        <v>0</v>
      </c>
      <c r="P1876" s="17">
        <f t="shared" si="148"/>
        <v>0</v>
      </c>
      <c r="R1876" s="9">
        <v>-17.68</v>
      </c>
      <c r="S1876" s="9">
        <v>20.23</v>
      </c>
      <c r="T1876" s="9">
        <v>2071.4750899999999</v>
      </c>
      <c r="U1876" s="9">
        <v>1711.73</v>
      </c>
      <c r="V1876" s="45">
        <f t="shared" si="149"/>
        <v>0.21016462292534446</v>
      </c>
      <c r="W1876" s="12">
        <v>33.33</v>
      </c>
      <c r="X1876" s="12">
        <v>0</v>
      </c>
      <c r="Y1876" s="12">
        <v>20210928</v>
      </c>
    </row>
    <row r="1877" spans="1:25" x14ac:dyDescent="0.45">
      <c r="A1877" s="3" t="s">
        <v>4345</v>
      </c>
      <c r="B1877" s="3" t="s">
        <v>4346</v>
      </c>
      <c r="C1877" s="6" t="s">
        <v>519</v>
      </c>
      <c r="D1877" s="6" t="s">
        <v>303</v>
      </c>
      <c r="E1877" s="6" t="s">
        <v>2543</v>
      </c>
      <c r="F1877" s="6">
        <v>3268.71</v>
      </c>
      <c r="G1877" s="2">
        <v>2.27</v>
      </c>
      <c r="H1877" s="2">
        <v>1.96</v>
      </c>
      <c r="I1877" s="2">
        <v>2.11</v>
      </c>
      <c r="J1877" s="47">
        <f t="shared" si="145"/>
        <v>-0.13656387665198241</v>
      </c>
      <c r="K1877" s="47">
        <f t="shared" si="146"/>
        <v>7.6530612244897919E-2</v>
      </c>
      <c r="L1877" s="8">
        <v>11.53</v>
      </c>
      <c r="M1877" s="8">
        <v>14.11</v>
      </c>
      <c r="N1877" s="8">
        <v>13.1</v>
      </c>
      <c r="O1877" s="17">
        <f t="shared" si="147"/>
        <v>-1.0332161290322577</v>
      </c>
      <c r="P1877" s="17">
        <f t="shared" si="148"/>
        <v>1.7117333333333342</v>
      </c>
      <c r="R1877" s="9">
        <v>33.46</v>
      </c>
      <c r="S1877" s="9">
        <v>11.62</v>
      </c>
      <c r="T1877" s="9">
        <v>6329.0751899999996</v>
      </c>
      <c r="U1877" s="9">
        <v>6468.76</v>
      </c>
      <c r="V1877" s="45">
        <f t="shared" si="149"/>
        <v>-2.1593753671492008E-2</v>
      </c>
      <c r="W1877" s="12">
        <v>12.9</v>
      </c>
      <c r="X1877" s="12">
        <v>0</v>
      </c>
      <c r="Y1877" s="12">
        <v>20210804</v>
      </c>
    </row>
    <row r="1878" spans="1:25" x14ac:dyDescent="0.45">
      <c r="A1878" s="3" t="s">
        <v>4347</v>
      </c>
      <c r="B1878" s="3" t="s">
        <v>4348</v>
      </c>
      <c r="C1878" s="6" t="s">
        <v>519</v>
      </c>
      <c r="D1878" s="6" t="s">
        <v>234</v>
      </c>
      <c r="E1878" s="6" t="s">
        <v>172</v>
      </c>
      <c r="F1878" s="6">
        <v>3369.64</v>
      </c>
      <c r="G1878" s="2">
        <v>2.23</v>
      </c>
      <c r="H1878" s="2">
        <v>2.0099999999999998</v>
      </c>
      <c r="I1878" s="2">
        <v>2.0699999999999998</v>
      </c>
      <c r="J1878" s="47">
        <f t="shared" si="145"/>
        <v>-9.8654708520179463E-2</v>
      </c>
      <c r="K1878" s="47">
        <f t="shared" si="146"/>
        <v>2.9850746268656747E-2</v>
      </c>
      <c r="L1878" s="8">
        <v>13.58</v>
      </c>
      <c r="M1878" s="8">
        <v>15.47</v>
      </c>
      <c r="N1878" s="8">
        <v>15.04</v>
      </c>
      <c r="O1878" s="17">
        <f t="shared" si="147"/>
        <v>-1.5680954545454533</v>
      </c>
      <c r="P1878" s="17">
        <f t="shared" si="148"/>
        <v>5.038399999999994</v>
      </c>
      <c r="R1878" s="9">
        <v>8.66</v>
      </c>
      <c r="S1878" s="9">
        <v>25.67</v>
      </c>
      <c r="T1878" s="9">
        <v>769.20001000000002</v>
      </c>
      <c r="U1878" s="9">
        <v>1008.25</v>
      </c>
      <c r="V1878" s="45">
        <f t="shared" si="149"/>
        <v>-0.23709396479047853</v>
      </c>
      <c r="W1878" s="12">
        <v>19.23</v>
      </c>
      <c r="X1878" s="12">
        <v>2.3199999999999998</v>
      </c>
      <c r="Y1878" s="12">
        <v>20210720</v>
      </c>
    </row>
    <row r="1879" spans="1:25" x14ac:dyDescent="0.45">
      <c r="A1879" s="3" t="s">
        <v>3906</v>
      </c>
      <c r="B1879" s="3" t="s">
        <v>3907</v>
      </c>
      <c r="C1879" s="6" t="s">
        <v>520</v>
      </c>
      <c r="D1879" s="6" t="s">
        <v>189</v>
      </c>
      <c r="E1879" s="6" t="s">
        <v>378</v>
      </c>
      <c r="F1879" s="6">
        <v>126671.55</v>
      </c>
      <c r="G1879" s="2">
        <v>2.36</v>
      </c>
      <c r="H1879" s="2">
        <v>2.61</v>
      </c>
      <c r="I1879" s="2">
        <v>2.68</v>
      </c>
      <c r="J1879" s="47">
        <f t="shared" si="145"/>
        <v>0.10593220338983052</v>
      </c>
      <c r="K1879" s="47">
        <f t="shared" si="146"/>
        <v>2.6819923371647621E-2</v>
      </c>
      <c r="M1879" s="8">
        <v>14.08</v>
      </c>
      <c r="N1879" s="8">
        <v>13.72</v>
      </c>
      <c r="O1879" s="17">
        <f t="shared" si="147"/>
        <v>1.3291519999999999</v>
      </c>
      <c r="P1879" s="17">
        <f t="shared" si="148"/>
        <v>5.1155999999999793</v>
      </c>
      <c r="R1879" s="9">
        <v>120.43</v>
      </c>
      <c r="T1879" s="9">
        <v>53927.269529999998</v>
      </c>
      <c r="U1879" s="9">
        <v>53095.66</v>
      </c>
      <c r="V1879" s="45">
        <f t="shared" si="149"/>
        <v>1.5662476556464206E-2</v>
      </c>
      <c r="X1879" s="12">
        <v>0.2</v>
      </c>
      <c r="Y1879" s="12">
        <v>20210810</v>
      </c>
    </row>
    <row r="1880" spans="1:25" x14ac:dyDescent="0.45">
      <c r="A1880" s="3" t="s">
        <v>4349</v>
      </c>
      <c r="B1880" s="3" t="s">
        <v>4350</v>
      </c>
      <c r="C1880" s="6" t="s">
        <v>520</v>
      </c>
      <c r="D1880" s="6" t="s">
        <v>189</v>
      </c>
      <c r="E1880" s="6" t="s">
        <v>2130</v>
      </c>
      <c r="F1880" s="6">
        <v>4687.4799999999996</v>
      </c>
      <c r="G1880" s="2">
        <v>0.18</v>
      </c>
      <c r="H1880" s="2">
        <v>1.98</v>
      </c>
      <c r="I1880" s="2">
        <v>0.25</v>
      </c>
      <c r="J1880" s="47">
        <f t="shared" si="145"/>
        <v>10</v>
      </c>
      <c r="K1880" s="47">
        <f t="shared" si="146"/>
        <v>-0.8737373737373737</v>
      </c>
      <c r="M1880" s="8">
        <v>4.1900000000000004</v>
      </c>
      <c r="N1880" s="8">
        <v>33.17</v>
      </c>
      <c r="O1880" s="17">
        <f t="shared" si="147"/>
        <v>4.1900000000000001E-3</v>
      </c>
      <c r="P1880" s="17">
        <f t="shared" si="148"/>
        <v>-0.37963352601156075</v>
      </c>
      <c r="R1880" s="9">
        <v>-1.81</v>
      </c>
      <c r="T1880" s="9">
        <v>2655.45507</v>
      </c>
      <c r="U1880" s="9">
        <v>2142.77</v>
      </c>
      <c r="V1880" s="45">
        <f t="shared" si="149"/>
        <v>0.23926276268568256</v>
      </c>
      <c r="X1880" s="12">
        <v>0</v>
      </c>
      <c r="Y1880" s="12">
        <v>20210806</v>
      </c>
    </row>
    <row r="1881" spans="1:25" x14ac:dyDescent="0.45">
      <c r="A1881" s="3" t="s">
        <v>3210</v>
      </c>
      <c r="B1881" s="3" t="s">
        <v>3211</v>
      </c>
      <c r="C1881" s="6" t="s">
        <v>519</v>
      </c>
      <c r="D1881" s="6" t="s">
        <v>279</v>
      </c>
      <c r="E1881" s="6" t="s">
        <v>256</v>
      </c>
      <c r="F1881" s="6">
        <v>28236.02</v>
      </c>
      <c r="G1881" s="2">
        <v>3.3</v>
      </c>
      <c r="H1881" s="2">
        <v>-2.42</v>
      </c>
      <c r="I1881" s="2">
        <v>0.3</v>
      </c>
      <c r="J1881" s="47">
        <f t="shared" si="145"/>
        <v>-1.7333333333333334</v>
      </c>
      <c r="K1881" s="47">
        <f t="shared" si="146"/>
        <v>1.1239669421487604</v>
      </c>
      <c r="L1881" s="8">
        <v>48.77</v>
      </c>
      <c r="N1881" s="8">
        <v>520.37</v>
      </c>
      <c r="O1881" s="17">
        <f t="shared" si="147"/>
        <v>0</v>
      </c>
      <c r="P1881" s="17">
        <f t="shared" si="148"/>
        <v>4.6297625</v>
      </c>
      <c r="R1881" s="9">
        <v>21.41</v>
      </c>
      <c r="S1881" s="9">
        <v>42.42</v>
      </c>
      <c r="T1881" s="9">
        <v>1473.29602</v>
      </c>
      <c r="U1881" s="9">
        <v>2175.54</v>
      </c>
      <c r="V1881" s="45">
        <f t="shared" si="149"/>
        <v>-0.32279065427434106</v>
      </c>
      <c r="W1881" s="12">
        <v>-13.56</v>
      </c>
      <c r="X1881" s="12">
        <v>0</v>
      </c>
      <c r="Y1881" s="12">
        <v>20210729</v>
      </c>
    </row>
    <row r="1882" spans="1:25" x14ac:dyDescent="0.45">
      <c r="A1882" s="3" t="s">
        <v>4351</v>
      </c>
      <c r="B1882" s="3" t="s">
        <v>4352</v>
      </c>
      <c r="C1882" s="6" t="s">
        <v>518</v>
      </c>
      <c r="D1882" s="6" t="s">
        <v>279</v>
      </c>
      <c r="E1882" s="6" t="s">
        <v>265</v>
      </c>
      <c r="F1882" s="6">
        <v>4771.29</v>
      </c>
      <c r="G1882" s="2">
        <v>-0.08</v>
      </c>
      <c r="H1882" s="2">
        <v>-0.09</v>
      </c>
      <c r="I1882" s="2">
        <v>0.2</v>
      </c>
      <c r="J1882" s="47">
        <f t="shared" si="145"/>
        <v>-0.12499999999999993</v>
      </c>
      <c r="K1882" s="47">
        <f t="shared" si="146"/>
        <v>3.2222222222222228</v>
      </c>
      <c r="M1882" s="8">
        <v>144.41</v>
      </c>
      <c r="N1882" s="8">
        <v>138.54</v>
      </c>
      <c r="O1882" s="17">
        <f t="shared" si="147"/>
        <v>-11.552800000000007</v>
      </c>
      <c r="P1882" s="17">
        <f t="shared" si="148"/>
        <v>0.42995172413793092</v>
      </c>
      <c r="T1882" s="9">
        <v>750.81700999999998</v>
      </c>
      <c r="U1882" s="9">
        <v>610.6</v>
      </c>
      <c r="V1882" s="45">
        <f t="shared" si="149"/>
        <v>0.22963807730101532</v>
      </c>
      <c r="W1882" s="12">
        <v>600</v>
      </c>
      <c r="X1882" s="12">
        <v>0</v>
      </c>
      <c r="Y1882" s="12">
        <v>20210810</v>
      </c>
    </row>
    <row r="1883" spans="1:25" x14ac:dyDescent="0.45">
      <c r="A1883" s="3" t="s">
        <v>3212</v>
      </c>
      <c r="B1883" s="3" t="s">
        <v>3213</v>
      </c>
      <c r="C1883" s="6" t="s">
        <v>519</v>
      </c>
      <c r="D1883" s="6" t="s">
        <v>189</v>
      </c>
      <c r="E1883" s="6" t="s">
        <v>1057</v>
      </c>
      <c r="F1883" s="6">
        <v>7231.81</v>
      </c>
      <c r="G1883" s="2">
        <v>-5.46</v>
      </c>
      <c r="H1883" s="2">
        <v>0.44</v>
      </c>
      <c r="I1883" s="2">
        <v>2.5299999999999998</v>
      </c>
      <c r="J1883" s="47">
        <f t="shared" si="145"/>
        <v>1.0805860805860807</v>
      </c>
      <c r="K1883" s="47">
        <f t="shared" si="146"/>
        <v>4.75</v>
      </c>
      <c r="M1883" s="8">
        <v>173.03</v>
      </c>
      <c r="N1883" s="8">
        <v>29.77</v>
      </c>
      <c r="O1883" s="17">
        <f t="shared" si="147"/>
        <v>1.6012606779661016</v>
      </c>
      <c r="P1883" s="17">
        <f t="shared" si="148"/>
        <v>6.2673684210526312E-2</v>
      </c>
      <c r="S1883" s="9">
        <v>0.56000000000000005</v>
      </c>
      <c r="T1883" s="9">
        <v>3160.72192</v>
      </c>
      <c r="U1883" s="9">
        <v>2724</v>
      </c>
      <c r="V1883" s="45">
        <f t="shared" si="149"/>
        <v>0.16032375917767985</v>
      </c>
      <c r="W1883" s="12">
        <v>64.44</v>
      </c>
      <c r="X1883" s="12">
        <v>0</v>
      </c>
      <c r="Y1883" s="12">
        <v>20210722</v>
      </c>
    </row>
    <row r="1884" spans="1:25" x14ac:dyDescent="0.45">
      <c r="A1884" s="3" t="s">
        <v>3214</v>
      </c>
      <c r="B1884" s="3" t="s">
        <v>3215</v>
      </c>
      <c r="C1884" s="6" t="s">
        <v>520</v>
      </c>
      <c r="D1884" s="6" t="s">
        <v>189</v>
      </c>
      <c r="E1884" s="6" t="s">
        <v>195</v>
      </c>
      <c r="F1884" s="6">
        <v>10143.530000000001</v>
      </c>
      <c r="G1884" s="2">
        <v>1.33</v>
      </c>
      <c r="H1884" s="2">
        <v>1.27</v>
      </c>
      <c r="I1884" s="2">
        <v>1.35</v>
      </c>
      <c r="J1884" s="47">
        <f t="shared" si="145"/>
        <v>-4.5112781954887257E-2</v>
      </c>
      <c r="K1884" s="47">
        <f t="shared" si="146"/>
        <v>6.2992125984252023E-2</v>
      </c>
      <c r="M1884" s="8">
        <v>29.8</v>
      </c>
      <c r="N1884" s="8">
        <v>28.03</v>
      </c>
      <c r="O1884" s="17">
        <f t="shared" si="147"/>
        <v>-6.6056666666666617</v>
      </c>
      <c r="P1884" s="17">
        <f t="shared" si="148"/>
        <v>4.4497624999999958</v>
      </c>
      <c r="T1884" s="9">
        <v>2591.7700100000002</v>
      </c>
      <c r="U1884" s="9">
        <v>2457.86</v>
      </c>
      <c r="V1884" s="45">
        <f t="shared" si="149"/>
        <v>5.448235863718847E-2</v>
      </c>
      <c r="X1884" s="12">
        <v>1.54</v>
      </c>
    </row>
    <row r="1885" spans="1:25" x14ac:dyDescent="0.45">
      <c r="A1885" s="3" t="s">
        <v>4353</v>
      </c>
      <c r="B1885" s="3" t="s">
        <v>4354</v>
      </c>
      <c r="C1885" s="6" t="s">
        <v>519</v>
      </c>
      <c r="D1885" s="6" t="s">
        <v>279</v>
      </c>
      <c r="E1885" s="6" t="s">
        <v>266</v>
      </c>
      <c r="F1885" s="6">
        <v>3786.91</v>
      </c>
      <c r="G1885" s="2">
        <v>-1.23</v>
      </c>
      <c r="H1885" s="2">
        <v>-7.0000000000000007E-2</v>
      </c>
      <c r="I1885" s="2">
        <v>0.48</v>
      </c>
      <c r="J1885" s="47">
        <f t="shared" si="145"/>
        <v>0.94308943089430886</v>
      </c>
      <c r="K1885" s="47">
        <f t="shared" si="146"/>
        <v>7.8571428571428568</v>
      </c>
      <c r="N1885" s="8">
        <v>131.72999999999999</v>
      </c>
      <c r="O1885" s="17">
        <f t="shared" si="147"/>
        <v>0</v>
      </c>
      <c r="P1885" s="17">
        <f t="shared" si="148"/>
        <v>0.16765636363636363</v>
      </c>
      <c r="R1885" s="9">
        <v>-3.68</v>
      </c>
      <c r="S1885" s="9">
        <v>14.59</v>
      </c>
      <c r="T1885" s="9">
        <v>2241.9960900000001</v>
      </c>
      <c r="U1885" s="9">
        <v>1860.1</v>
      </c>
      <c r="V1885" s="45">
        <f t="shared" si="149"/>
        <v>0.20530944035266932</v>
      </c>
      <c r="W1885" s="12">
        <v>-20</v>
      </c>
      <c r="X1885" s="12">
        <v>0</v>
      </c>
      <c r="Y1885" s="12">
        <v>20210804</v>
      </c>
    </row>
    <row r="1886" spans="1:25" x14ac:dyDescent="0.45">
      <c r="A1886" s="3" t="s">
        <v>3216</v>
      </c>
      <c r="B1886" s="3" t="s">
        <v>3217</v>
      </c>
      <c r="C1886" s="6" t="s">
        <v>520</v>
      </c>
      <c r="D1886" s="6" t="s">
        <v>175</v>
      </c>
      <c r="E1886" s="6" t="s">
        <v>194</v>
      </c>
      <c r="F1886" s="6">
        <v>23597.52</v>
      </c>
      <c r="G1886" s="2">
        <v>0.81</v>
      </c>
      <c r="H1886" s="2">
        <v>1</v>
      </c>
      <c r="I1886" s="2">
        <v>1.08</v>
      </c>
      <c r="J1886" s="47">
        <f t="shared" si="145"/>
        <v>0.23456790123456783</v>
      </c>
      <c r="K1886" s="47">
        <f t="shared" si="146"/>
        <v>8.0000000000000071E-2</v>
      </c>
      <c r="M1886" s="8">
        <v>31.35</v>
      </c>
      <c r="N1886" s="8">
        <v>28.88</v>
      </c>
      <c r="O1886" s="17">
        <f t="shared" si="147"/>
        <v>1.3365000000000005</v>
      </c>
      <c r="P1886" s="17">
        <f t="shared" si="148"/>
        <v>3.6099999999999968</v>
      </c>
      <c r="T1886" s="9">
        <v>6954.0849600000001</v>
      </c>
      <c r="U1886" s="9">
        <v>6201.54</v>
      </c>
      <c r="V1886" s="45">
        <f t="shared" si="149"/>
        <v>0.12134807805803077</v>
      </c>
      <c r="X1886" s="12">
        <v>1.61</v>
      </c>
    </row>
    <row r="1887" spans="1:25" x14ac:dyDescent="0.45">
      <c r="A1887" s="3" t="s">
        <v>4940</v>
      </c>
      <c r="B1887" s="3" t="s">
        <v>4941</v>
      </c>
      <c r="C1887" s="6" t="s">
        <v>520</v>
      </c>
      <c r="D1887" s="6" t="s">
        <v>289</v>
      </c>
      <c r="E1887" s="6" t="s">
        <v>275</v>
      </c>
      <c r="F1887" s="6">
        <v>17863</v>
      </c>
      <c r="J1887" s="47" t="e">
        <f t="shared" si="145"/>
        <v>#DIV/0!</v>
      </c>
      <c r="K1887" s="47" t="e">
        <f t="shared" si="146"/>
        <v>#DIV/0!</v>
      </c>
      <c r="O1887" s="17" t="e">
        <f t="shared" si="147"/>
        <v>#DIV/0!</v>
      </c>
      <c r="P1887" s="17" t="e">
        <f t="shared" si="148"/>
        <v>#DIV/0!</v>
      </c>
      <c r="U1887" s="9">
        <v>28129.72</v>
      </c>
      <c r="V1887" s="45">
        <f t="shared" si="149"/>
        <v>-1</v>
      </c>
      <c r="X1887" s="12">
        <v>0.89</v>
      </c>
    </row>
    <row r="1888" spans="1:25" x14ac:dyDescent="0.45">
      <c r="A1888" s="3" t="s">
        <v>3218</v>
      </c>
      <c r="B1888" s="3" t="s">
        <v>3219</v>
      </c>
      <c r="C1888" s="6" t="s">
        <v>518</v>
      </c>
      <c r="D1888" s="6" t="s">
        <v>303</v>
      </c>
      <c r="E1888" s="6" t="s">
        <v>294</v>
      </c>
      <c r="F1888" s="6">
        <v>4159.75</v>
      </c>
      <c r="G1888" s="2">
        <v>-0.66</v>
      </c>
      <c r="H1888" s="2">
        <v>-0.04</v>
      </c>
      <c r="I1888" s="2">
        <v>0.46</v>
      </c>
      <c r="J1888" s="47">
        <f t="shared" si="145"/>
        <v>0.93939393939393934</v>
      </c>
      <c r="K1888" s="47">
        <f t="shared" si="146"/>
        <v>12.5</v>
      </c>
      <c r="N1888" s="8">
        <v>214.38</v>
      </c>
      <c r="O1888" s="17">
        <f t="shared" si="147"/>
        <v>0</v>
      </c>
      <c r="P1888" s="17">
        <f t="shared" si="148"/>
        <v>0.17150399999999999</v>
      </c>
      <c r="R1888" s="9">
        <v>-5.01</v>
      </c>
      <c r="S1888" s="9">
        <v>21.59</v>
      </c>
      <c r="T1888" s="9">
        <v>738.19</v>
      </c>
      <c r="U1888" s="9">
        <v>522.87</v>
      </c>
      <c r="V1888" s="45">
        <f t="shared" si="149"/>
        <v>0.4118040813204048</v>
      </c>
      <c r="W1888" s="12">
        <v>150</v>
      </c>
      <c r="X1888" s="12">
        <v>0</v>
      </c>
      <c r="Y1888" s="12">
        <v>20210729</v>
      </c>
    </row>
    <row r="1889" spans="1:25" x14ac:dyDescent="0.45">
      <c r="A1889" s="3" t="s">
        <v>4942</v>
      </c>
      <c r="B1889" s="3" t="s">
        <v>4943</v>
      </c>
      <c r="C1889" s="6" t="s">
        <v>520</v>
      </c>
      <c r="D1889" s="6" t="s">
        <v>216</v>
      </c>
      <c r="E1889" s="6" t="s">
        <v>231</v>
      </c>
      <c r="F1889" s="6">
        <v>3311.23</v>
      </c>
      <c r="J1889" s="47" t="e">
        <f t="shared" si="145"/>
        <v>#DIV/0!</v>
      </c>
      <c r="K1889" s="47" t="e">
        <f t="shared" si="146"/>
        <v>#DIV/0!</v>
      </c>
      <c r="O1889" s="17" t="e">
        <f t="shared" si="147"/>
        <v>#DIV/0!</v>
      </c>
      <c r="P1889" s="17" t="e">
        <f t="shared" si="148"/>
        <v>#DIV/0!</v>
      </c>
      <c r="U1889" s="9">
        <v>2431.2199999999998</v>
      </c>
      <c r="V1889" s="45">
        <f t="shared" si="149"/>
        <v>-1</v>
      </c>
      <c r="X1889" s="12">
        <v>0</v>
      </c>
    </row>
    <row r="1890" spans="1:25" x14ac:dyDescent="0.45">
      <c r="A1890" s="3" t="s">
        <v>3220</v>
      </c>
      <c r="B1890" s="3" t="s">
        <v>3221</v>
      </c>
      <c r="C1890" s="6" t="s">
        <v>519</v>
      </c>
      <c r="D1890" s="6" t="s">
        <v>279</v>
      </c>
      <c r="E1890" s="6" t="s">
        <v>266</v>
      </c>
      <c r="F1890" s="6">
        <v>7023.66</v>
      </c>
      <c r="G1890" s="2">
        <v>0.39</v>
      </c>
      <c r="H1890" s="2">
        <v>0.84</v>
      </c>
      <c r="I1890" s="2">
        <v>1.02</v>
      </c>
      <c r="J1890" s="47">
        <f t="shared" si="145"/>
        <v>1.1538461538461537</v>
      </c>
      <c r="K1890" s="47">
        <f t="shared" si="146"/>
        <v>0.21428571428571436</v>
      </c>
      <c r="M1890" s="8">
        <v>29.56</v>
      </c>
      <c r="N1890" s="8">
        <v>24.34</v>
      </c>
      <c r="O1890" s="17">
        <f t="shared" si="147"/>
        <v>0.25618666666666667</v>
      </c>
      <c r="P1890" s="17">
        <f t="shared" si="148"/>
        <v>1.1358666666666664</v>
      </c>
      <c r="T1890" s="9">
        <v>906.92296999999996</v>
      </c>
      <c r="U1890" s="9">
        <v>818.16</v>
      </c>
      <c r="V1890" s="45">
        <f t="shared" si="149"/>
        <v>0.10849096753691209</v>
      </c>
      <c r="W1890" s="12">
        <v>12.5</v>
      </c>
      <c r="X1890" s="12">
        <v>0</v>
      </c>
      <c r="Y1890" s="12">
        <v>20210812</v>
      </c>
    </row>
    <row r="1891" spans="1:25" x14ac:dyDescent="0.45">
      <c r="A1891" s="3" t="s">
        <v>3222</v>
      </c>
      <c r="B1891" s="3" t="s">
        <v>3223</v>
      </c>
      <c r="C1891" s="6" t="s">
        <v>520</v>
      </c>
      <c r="D1891" s="6" t="s">
        <v>216</v>
      </c>
      <c r="E1891" s="6" t="s">
        <v>1464</v>
      </c>
      <c r="F1891" s="6">
        <v>10929.48</v>
      </c>
      <c r="G1891" s="2">
        <v>0.23</v>
      </c>
      <c r="H1891" s="2">
        <v>0.21</v>
      </c>
      <c r="I1891" s="2">
        <v>0.23</v>
      </c>
      <c r="J1891" s="47">
        <f t="shared" si="145"/>
        <v>-8.6956521739130502E-2</v>
      </c>
      <c r="K1891" s="47">
        <f t="shared" si="146"/>
        <v>9.523809523809533E-2</v>
      </c>
      <c r="L1891" s="8">
        <v>23.5</v>
      </c>
      <c r="M1891" s="8">
        <v>21.26</v>
      </c>
      <c r="N1891" s="8">
        <v>19.41</v>
      </c>
      <c r="O1891" s="17">
        <f t="shared" si="147"/>
        <v>-2.4448999999999983</v>
      </c>
      <c r="P1891" s="17">
        <f t="shared" si="148"/>
        <v>2.0380499999999979</v>
      </c>
      <c r="R1891" s="9">
        <v>14.25</v>
      </c>
      <c r="S1891" s="9">
        <v>2.0299999999999998</v>
      </c>
      <c r="T1891" s="9">
        <v>23500.04492</v>
      </c>
      <c r="U1891" s="9">
        <v>22885.83</v>
      </c>
      <c r="V1891" s="45">
        <f t="shared" si="149"/>
        <v>2.6838219107631161E-2</v>
      </c>
      <c r="X1891" s="12">
        <v>0</v>
      </c>
      <c r="Y1891" s="12">
        <v>20210804</v>
      </c>
    </row>
    <row r="1892" spans="1:25" x14ac:dyDescent="0.45">
      <c r="A1892" s="3" t="s">
        <v>3224</v>
      </c>
      <c r="B1892" s="3" t="s">
        <v>3225</v>
      </c>
      <c r="C1892" s="6" t="s">
        <v>520</v>
      </c>
      <c r="D1892" s="6" t="s">
        <v>90</v>
      </c>
      <c r="E1892" s="6" t="s">
        <v>196</v>
      </c>
      <c r="F1892" s="6">
        <v>70466.009999999995</v>
      </c>
      <c r="G1892" s="2">
        <v>1.69</v>
      </c>
      <c r="H1892" s="2">
        <v>2.2000000000000002</v>
      </c>
      <c r="I1892" s="2">
        <v>2.31</v>
      </c>
      <c r="J1892" s="47">
        <f t="shared" si="145"/>
        <v>0.30177514792899424</v>
      </c>
      <c r="K1892" s="47">
        <f t="shared" si="146"/>
        <v>4.999999999999994E-2</v>
      </c>
      <c r="L1892" s="8">
        <v>25.02</v>
      </c>
      <c r="M1892" s="8">
        <v>19.22</v>
      </c>
      <c r="N1892" s="8">
        <v>18.34</v>
      </c>
      <c r="O1892" s="17">
        <f t="shared" si="147"/>
        <v>0.63689803921568588</v>
      </c>
      <c r="P1892" s="17">
        <f t="shared" si="148"/>
        <v>3.6680000000000046</v>
      </c>
      <c r="R1892" s="9">
        <v>10.58</v>
      </c>
      <c r="S1892" s="9">
        <v>6.07</v>
      </c>
      <c r="T1892" s="9">
        <v>16415.449209999999</v>
      </c>
      <c r="U1892" s="9">
        <v>14121.81</v>
      </c>
      <c r="V1892" s="45">
        <f t="shared" si="149"/>
        <v>0.16241821763640776</v>
      </c>
      <c r="X1892" s="12">
        <v>0.45</v>
      </c>
      <c r="Y1892" s="12">
        <v>20210727</v>
      </c>
    </row>
    <row r="1893" spans="1:25" x14ac:dyDescent="0.45">
      <c r="A1893" s="3" t="s">
        <v>4944</v>
      </c>
      <c r="B1893" s="3" t="s">
        <v>4945</v>
      </c>
      <c r="C1893" s="6" t="s">
        <v>518</v>
      </c>
      <c r="D1893" s="6" t="s">
        <v>234</v>
      </c>
      <c r="E1893" s="6" t="s">
        <v>105</v>
      </c>
      <c r="F1893" s="6">
        <v>19568.79</v>
      </c>
      <c r="G1893" s="2">
        <v>5.91</v>
      </c>
      <c r="H1893" s="2">
        <v>6.26</v>
      </c>
      <c r="J1893" s="47">
        <f t="shared" si="145"/>
        <v>5.9221658206429717E-2</v>
      </c>
      <c r="K1893" s="47">
        <f t="shared" si="146"/>
        <v>-1</v>
      </c>
      <c r="L1893" s="8">
        <v>6.32</v>
      </c>
      <c r="M1893" s="8">
        <v>6.05</v>
      </c>
      <c r="O1893" s="17">
        <f t="shared" si="147"/>
        <v>1.0215857142857152</v>
      </c>
      <c r="P1893" s="17">
        <f t="shared" si="148"/>
        <v>0</v>
      </c>
      <c r="R1893" s="9">
        <v>8.43</v>
      </c>
      <c r="S1893" s="9">
        <v>12.52</v>
      </c>
      <c r="U1893" s="9">
        <v>15763.02</v>
      </c>
      <c r="V1893" s="45">
        <f t="shared" si="149"/>
        <v>-1</v>
      </c>
      <c r="X1893" s="12">
        <v>2.69</v>
      </c>
      <c r="Y1893" s="12">
        <v>20210723</v>
      </c>
    </row>
    <row r="1894" spans="1:25" x14ac:dyDescent="0.45">
      <c r="A1894" s="3" t="s">
        <v>3908</v>
      </c>
      <c r="B1894" s="3" t="s">
        <v>3909</v>
      </c>
      <c r="C1894" s="6" t="s">
        <v>519</v>
      </c>
      <c r="D1894" s="6" t="s">
        <v>289</v>
      </c>
      <c r="E1894" s="6" t="s">
        <v>400</v>
      </c>
      <c r="F1894" s="6">
        <v>4870.07</v>
      </c>
      <c r="G1894" s="2">
        <v>0.35</v>
      </c>
      <c r="H1894" s="2">
        <v>0.3</v>
      </c>
      <c r="I1894" s="2">
        <v>0.55000000000000004</v>
      </c>
      <c r="J1894" s="47">
        <f t="shared" si="145"/>
        <v>-0.14285714285714282</v>
      </c>
      <c r="K1894" s="47">
        <f t="shared" si="146"/>
        <v>0.83333333333333359</v>
      </c>
      <c r="M1894" s="8">
        <v>97.43</v>
      </c>
      <c r="N1894" s="8">
        <v>53.15</v>
      </c>
      <c r="O1894" s="17">
        <f t="shared" si="147"/>
        <v>-6.8201000000000018</v>
      </c>
      <c r="P1894" s="17">
        <f t="shared" si="148"/>
        <v>0.63779999999999981</v>
      </c>
      <c r="T1894" s="9">
        <v>237.315</v>
      </c>
      <c r="U1894" s="9">
        <v>175.52</v>
      </c>
      <c r="V1894" s="45">
        <f t="shared" si="149"/>
        <v>0.35206814038286227</v>
      </c>
      <c r="W1894" s="12">
        <v>0</v>
      </c>
      <c r="X1894" s="12">
        <v>0</v>
      </c>
      <c r="Y1894" s="12">
        <v>20210503</v>
      </c>
    </row>
    <row r="1895" spans="1:25" x14ac:dyDescent="0.45">
      <c r="A1895" s="3" t="s">
        <v>3226</v>
      </c>
      <c r="B1895" s="3" t="s">
        <v>3227</v>
      </c>
      <c r="C1895" s="6" t="s">
        <v>518</v>
      </c>
      <c r="D1895" s="6" t="s">
        <v>289</v>
      </c>
      <c r="E1895" s="6" t="s">
        <v>1595</v>
      </c>
      <c r="F1895" s="6">
        <v>6131.38</v>
      </c>
      <c r="G1895" s="2">
        <v>1.32</v>
      </c>
      <c r="H1895" s="2">
        <v>1.44</v>
      </c>
      <c r="I1895" s="2">
        <v>1.54</v>
      </c>
      <c r="J1895" s="47">
        <f t="shared" si="145"/>
        <v>9.0909090909090814E-2</v>
      </c>
      <c r="K1895" s="47">
        <f t="shared" si="146"/>
        <v>6.9444444444444503E-2</v>
      </c>
      <c r="L1895" s="8">
        <v>12.18</v>
      </c>
      <c r="M1895" s="8">
        <v>10.83</v>
      </c>
      <c r="N1895" s="8">
        <v>10.15</v>
      </c>
      <c r="O1895" s="17">
        <f t="shared" si="147"/>
        <v>1.1913000000000014</v>
      </c>
      <c r="P1895" s="17">
        <f t="shared" si="148"/>
        <v>1.4615999999999989</v>
      </c>
      <c r="R1895" s="9">
        <v>90.23</v>
      </c>
      <c r="S1895" s="9">
        <v>14.69</v>
      </c>
      <c r="T1895" s="9">
        <v>559</v>
      </c>
      <c r="U1895" s="9">
        <v>481</v>
      </c>
      <c r="V1895" s="45">
        <f t="shared" si="149"/>
        <v>0.16216216216216217</v>
      </c>
      <c r="W1895" s="12">
        <v>8.82</v>
      </c>
      <c r="X1895" s="12">
        <v>11.8</v>
      </c>
      <c r="Y1895" s="12">
        <v>20210730</v>
      </c>
    </row>
    <row r="1896" spans="1:25" x14ac:dyDescent="0.45">
      <c r="A1896" s="3" t="s">
        <v>4946</v>
      </c>
      <c r="B1896" s="3" t="s">
        <v>4947</v>
      </c>
      <c r="C1896" s="6" t="s">
        <v>518</v>
      </c>
      <c r="D1896" s="6" t="s">
        <v>234</v>
      </c>
      <c r="E1896" s="6" t="s">
        <v>904</v>
      </c>
      <c r="F1896" s="6">
        <v>4788.26</v>
      </c>
      <c r="J1896" s="47" t="e">
        <f t="shared" si="145"/>
        <v>#DIV/0!</v>
      </c>
      <c r="K1896" s="47" t="e">
        <f t="shared" si="146"/>
        <v>#DIV/0!</v>
      </c>
      <c r="O1896" s="17" t="e">
        <f t="shared" si="147"/>
        <v>#DIV/0!</v>
      </c>
      <c r="P1896" s="17" t="e">
        <f t="shared" si="148"/>
        <v>#DIV/0!</v>
      </c>
      <c r="V1896" s="45" t="e">
        <f t="shared" si="149"/>
        <v>#DIV/0!</v>
      </c>
      <c r="X1896" s="12">
        <v>1.07</v>
      </c>
    </row>
    <row r="1897" spans="1:25" x14ac:dyDescent="0.45">
      <c r="A1897" s="3" t="s">
        <v>4948</v>
      </c>
      <c r="B1897" s="3" t="s">
        <v>4949</v>
      </c>
      <c r="C1897" s="6" t="s">
        <v>520</v>
      </c>
      <c r="D1897" s="6" t="s">
        <v>210</v>
      </c>
      <c r="E1897" s="6" t="s">
        <v>191</v>
      </c>
      <c r="F1897" s="6">
        <v>6648.42</v>
      </c>
      <c r="J1897" s="47" t="e">
        <f t="shared" si="145"/>
        <v>#DIV/0!</v>
      </c>
      <c r="K1897" s="47" t="e">
        <f t="shared" si="146"/>
        <v>#DIV/0!</v>
      </c>
      <c r="L1897" s="8">
        <v>9.6300000000000008</v>
      </c>
      <c r="O1897" s="17" t="e">
        <f t="shared" si="147"/>
        <v>#DIV/0!</v>
      </c>
      <c r="P1897" s="17" t="e">
        <f t="shared" si="148"/>
        <v>#DIV/0!</v>
      </c>
      <c r="R1897" s="9">
        <v>9.6999999999999993</v>
      </c>
      <c r="S1897" s="9">
        <v>0.4</v>
      </c>
      <c r="U1897" s="9">
        <v>13740.25</v>
      </c>
      <c r="V1897" s="45">
        <f t="shared" si="149"/>
        <v>-1</v>
      </c>
      <c r="X1897" s="12">
        <v>0.98</v>
      </c>
      <c r="Y1897" s="12">
        <v>20210730</v>
      </c>
    </row>
    <row r="1898" spans="1:25" x14ac:dyDescent="0.45">
      <c r="A1898" s="3" t="s">
        <v>4355</v>
      </c>
      <c r="B1898" s="3" t="s">
        <v>4356</v>
      </c>
      <c r="C1898" s="6" t="s">
        <v>519</v>
      </c>
      <c r="D1898" s="6" t="s">
        <v>216</v>
      </c>
      <c r="E1898" s="6" t="s">
        <v>302</v>
      </c>
      <c r="F1898" s="6">
        <v>3658.69</v>
      </c>
      <c r="G1898" s="2">
        <v>0.57999999999999996</v>
      </c>
      <c r="H1898" s="2">
        <v>1.68</v>
      </c>
      <c r="I1898" s="2">
        <v>2.11</v>
      </c>
      <c r="J1898" s="47">
        <f t="shared" si="145"/>
        <v>1.8965517241379313</v>
      </c>
      <c r="K1898" s="47">
        <f t="shared" si="146"/>
        <v>0.25595238095238093</v>
      </c>
      <c r="L1898" s="8">
        <v>55.26</v>
      </c>
      <c r="M1898" s="8">
        <v>26.38</v>
      </c>
      <c r="N1898" s="8">
        <v>20.93</v>
      </c>
      <c r="O1898" s="17">
        <f t="shared" si="147"/>
        <v>0.13909454545454542</v>
      </c>
      <c r="P1898" s="17">
        <f t="shared" si="148"/>
        <v>0.81773023255813948</v>
      </c>
      <c r="Q1898" s="5">
        <v>1.76</v>
      </c>
      <c r="R1898" s="9">
        <v>8.42</v>
      </c>
      <c r="S1898" s="9">
        <v>-0.87</v>
      </c>
      <c r="T1898" s="9">
        <v>1637.3199400000001</v>
      </c>
      <c r="U1898" s="9">
        <v>1201.81</v>
      </c>
      <c r="V1898" s="45">
        <f t="shared" si="149"/>
        <v>0.36237836263635698</v>
      </c>
      <c r="W1898" s="12">
        <v>73.680000000000007</v>
      </c>
      <c r="X1898" s="12">
        <v>1.36</v>
      </c>
      <c r="Y1898" s="12">
        <v>20210804</v>
      </c>
    </row>
    <row r="1899" spans="1:25" x14ac:dyDescent="0.45">
      <c r="A1899" s="3" t="s">
        <v>3228</v>
      </c>
      <c r="B1899" s="3" t="s">
        <v>3229</v>
      </c>
      <c r="C1899" s="6" t="s">
        <v>518</v>
      </c>
      <c r="D1899" s="6" t="s">
        <v>189</v>
      </c>
      <c r="E1899" s="6" t="s">
        <v>247</v>
      </c>
      <c r="F1899" s="6">
        <v>151127.31</v>
      </c>
      <c r="G1899" s="2">
        <v>3.69</v>
      </c>
      <c r="H1899" s="2">
        <v>4.3899999999999997</v>
      </c>
      <c r="I1899" s="2">
        <v>4.96</v>
      </c>
      <c r="J1899" s="47">
        <f t="shared" si="145"/>
        <v>0.18970189701897011</v>
      </c>
      <c r="K1899" s="47">
        <f t="shared" si="146"/>
        <v>0.12984054669703879</v>
      </c>
      <c r="L1899" s="8">
        <v>210.67</v>
      </c>
      <c r="M1899" s="8">
        <v>276.91000000000003</v>
      </c>
      <c r="N1899" s="8">
        <v>244.85</v>
      </c>
      <c r="O1899" s="17">
        <f t="shared" si="147"/>
        <v>14.597112857142863</v>
      </c>
      <c r="P1899" s="17">
        <f t="shared" si="148"/>
        <v>18.857745614035078</v>
      </c>
      <c r="Q1899" s="5">
        <v>11.08</v>
      </c>
      <c r="R1899" s="9">
        <v>6.52</v>
      </c>
      <c r="S1899" s="9">
        <v>63.67</v>
      </c>
      <c r="T1899" s="9">
        <v>4354.1298800000004</v>
      </c>
      <c r="U1899" s="9">
        <v>2929.49</v>
      </c>
      <c r="V1899" s="45">
        <f t="shared" si="149"/>
        <v>0.48630986280888505</v>
      </c>
      <c r="W1899" s="12">
        <v>157.69</v>
      </c>
      <c r="X1899" s="12">
        <v>0</v>
      </c>
      <c r="Y1899" s="12">
        <v>20210804</v>
      </c>
    </row>
    <row r="1900" spans="1:25" x14ac:dyDescent="0.45">
      <c r="A1900" s="3" t="s">
        <v>4950</v>
      </c>
      <c r="B1900" s="3" t="s">
        <v>4951</v>
      </c>
      <c r="C1900" s="6" t="s">
        <v>519</v>
      </c>
      <c r="D1900" s="6" t="s">
        <v>234</v>
      </c>
      <c r="E1900" s="6" t="s">
        <v>904</v>
      </c>
      <c r="F1900" s="6">
        <v>14853.17</v>
      </c>
      <c r="J1900" s="47" t="e">
        <f t="shared" si="145"/>
        <v>#DIV/0!</v>
      </c>
      <c r="K1900" s="47" t="e">
        <f t="shared" si="146"/>
        <v>#DIV/0!</v>
      </c>
      <c r="O1900" s="17" t="e">
        <f t="shared" si="147"/>
        <v>#DIV/0!</v>
      </c>
      <c r="P1900" s="17" t="e">
        <f t="shared" si="148"/>
        <v>#DIV/0!</v>
      </c>
      <c r="V1900" s="45" t="e">
        <f t="shared" si="149"/>
        <v>#DIV/0!</v>
      </c>
      <c r="X1900" s="12">
        <v>0.19</v>
      </c>
    </row>
    <row r="1901" spans="1:25" x14ac:dyDescent="0.45">
      <c r="A1901" s="3" t="s">
        <v>3230</v>
      </c>
      <c r="B1901" s="3" t="s">
        <v>3231</v>
      </c>
      <c r="C1901" s="6" t="s">
        <v>518</v>
      </c>
      <c r="D1901" s="6" t="s">
        <v>210</v>
      </c>
      <c r="E1901" s="6" t="s">
        <v>2678</v>
      </c>
      <c r="F1901" s="6">
        <v>73657.399999999994</v>
      </c>
      <c r="G1901" s="2">
        <v>8.1</v>
      </c>
      <c r="H1901" s="2">
        <v>9.44</v>
      </c>
      <c r="I1901" s="2">
        <v>10.61</v>
      </c>
      <c r="J1901" s="47">
        <f t="shared" si="145"/>
        <v>0.16543209876543208</v>
      </c>
      <c r="K1901" s="47">
        <f t="shared" si="146"/>
        <v>0.1239406779661017</v>
      </c>
      <c r="L1901" s="8">
        <v>12.29</v>
      </c>
      <c r="M1901" s="8">
        <v>29.33</v>
      </c>
      <c r="N1901" s="8">
        <v>26.1</v>
      </c>
      <c r="O1901" s="17">
        <f t="shared" si="147"/>
        <v>1.7729328358208956</v>
      </c>
      <c r="P1901" s="17">
        <f t="shared" si="148"/>
        <v>2.1058461538461541</v>
      </c>
      <c r="Q1901" s="5">
        <v>2.59</v>
      </c>
      <c r="R1901" s="9">
        <v>66.09</v>
      </c>
      <c r="S1901" s="9">
        <v>11.56</v>
      </c>
      <c r="T1901" s="9">
        <v>19862.132809999999</v>
      </c>
      <c r="U1901" s="9">
        <v>18361.7</v>
      </c>
      <c r="V1901" s="45">
        <f t="shared" si="149"/>
        <v>8.1715353698186902E-2</v>
      </c>
      <c r="W1901" s="12">
        <v>24.85</v>
      </c>
      <c r="X1901" s="12">
        <v>0.79</v>
      </c>
      <c r="Y1901" s="12">
        <v>20210727</v>
      </c>
    </row>
    <row r="1902" spans="1:25" x14ac:dyDescent="0.45">
      <c r="A1902" s="3" t="s">
        <v>3910</v>
      </c>
      <c r="B1902" s="3" t="s">
        <v>3911</v>
      </c>
      <c r="C1902" s="6" t="s">
        <v>520</v>
      </c>
      <c r="D1902" s="6" t="s">
        <v>90</v>
      </c>
      <c r="E1902" s="6" t="s">
        <v>196</v>
      </c>
      <c r="F1902" s="6">
        <v>4513.53</v>
      </c>
      <c r="H1902" s="2">
        <v>0.77</v>
      </c>
      <c r="I1902" s="2">
        <v>3.81</v>
      </c>
      <c r="J1902" s="47" t="e">
        <f t="shared" si="145"/>
        <v>#DIV/0!</v>
      </c>
      <c r="K1902" s="47">
        <f t="shared" si="146"/>
        <v>3.948051948051948</v>
      </c>
      <c r="M1902" s="8">
        <v>40.18</v>
      </c>
      <c r="N1902" s="8">
        <v>8.1199999999999992</v>
      </c>
      <c r="O1902" s="17" t="e">
        <f t="shared" si="147"/>
        <v>#DIV/0!</v>
      </c>
      <c r="P1902" s="17">
        <f t="shared" si="148"/>
        <v>2.0567105263157894E-2</v>
      </c>
      <c r="R1902" s="9">
        <v>-6.17</v>
      </c>
      <c r="T1902" s="9">
        <v>13187.62011</v>
      </c>
      <c r="U1902" s="9">
        <v>9407.73</v>
      </c>
      <c r="V1902" s="45">
        <f t="shared" si="149"/>
        <v>0.40178556463674026</v>
      </c>
      <c r="X1902" s="12">
        <v>2.87</v>
      </c>
      <c r="Y1902" s="12">
        <v>20210812</v>
      </c>
    </row>
    <row r="1903" spans="1:25" x14ac:dyDescent="0.45">
      <c r="A1903" s="3" t="s">
        <v>4952</v>
      </c>
      <c r="B1903" s="3" t="s">
        <v>4953</v>
      </c>
      <c r="C1903" s="6" t="s">
        <v>520</v>
      </c>
      <c r="D1903" s="6" t="s">
        <v>279</v>
      </c>
      <c r="E1903" s="6" t="s">
        <v>264</v>
      </c>
      <c r="F1903" s="6">
        <v>9858.68</v>
      </c>
      <c r="J1903" s="47" t="e">
        <f t="shared" si="145"/>
        <v>#DIV/0!</v>
      </c>
      <c r="K1903" s="47" t="e">
        <f t="shared" si="146"/>
        <v>#DIV/0!</v>
      </c>
      <c r="O1903" s="17" t="e">
        <f t="shared" si="147"/>
        <v>#DIV/0!</v>
      </c>
      <c r="P1903" s="17" t="e">
        <f t="shared" si="148"/>
        <v>#DIV/0!</v>
      </c>
      <c r="U1903" s="9">
        <v>1644.22</v>
      </c>
      <c r="V1903" s="45">
        <f t="shared" si="149"/>
        <v>-1</v>
      </c>
      <c r="X1903" s="12">
        <v>0</v>
      </c>
      <c r="Y1903" s="12">
        <v>20210629</v>
      </c>
    </row>
    <row r="1904" spans="1:25" x14ac:dyDescent="0.45">
      <c r="A1904" s="3" t="s">
        <v>4954</v>
      </c>
      <c r="B1904" s="3" t="s">
        <v>4955</v>
      </c>
      <c r="C1904" s="6" t="s">
        <v>519</v>
      </c>
      <c r="D1904" s="6" t="s">
        <v>234</v>
      </c>
      <c r="E1904" s="6" t="s">
        <v>904</v>
      </c>
      <c r="F1904" s="6">
        <v>20450.73</v>
      </c>
      <c r="J1904" s="47" t="e">
        <f t="shared" si="145"/>
        <v>#DIV/0!</v>
      </c>
      <c r="K1904" s="47" t="e">
        <f t="shared" si="146"/>
        <v>#DIV/0!</v>
      </c>
      <c r="O1904" s="17" t="e">
        <f t="shared" si="147"/>
        <v>#DIV/0!</v>
      </c>
      <c r="P1904" s="17" t="e">
        <f t="shared" si="148"/>
        <v>#DIV/0!</v>
      </c>
      <c r="V1904" s="45" t="e">
        <f t="shared" si="149"/>
        <v>#DIV/0!</v>
      </c>
      <c r="X1904" s="12">
        <v>0.46</v>
      </c>
    </row>
    <row r="1905" spans="1:25" x14ac:dyDescent="0.45">
      <c r="A1905" s="3" t="s">
        <v>4956</v>
      </c>
      <c r="B1905" s="3" t="s">
        <v>4957</v>
      </c>
      <c r="C1905" s="6" t="s">
        <v>520</v>
      </c>
      <c r="D1905" s="6" t="s">
        <v>234</v>
      </c>
      <c r="E1905" s="6" t="s">
        <v>1140</v>
      </c>
      <c r="F1905" s="6">
        <v>4783.6499999999996</v>
      </c>
      <c r="J1905" s="47" t="e">
        <f t="shared" si="145"/>
        <v>#DIV/0!</v>
      </c>
      <c r="K1905" s="47" t="e">
        <f t="shared" si="146"/>
        <v>#DIV/0!</v>
      </c>
      <c r="O1905" s="17" t="e">
        <f t="shared" si="147"/>
        <v>#DIV/0!</v>
      </c>
      <c r="P1905" s="17" t="e">
        <f t="shared" si="148"/>
        <v>#DIV/0!</v>
      </c>
      <c r="U1905" s="9">
        <v>2109.5</v>
      </c>
      <c r="V1905" s="45">
        <f t="shared" si="149"/>
        <v>-1</v>
      </c>
      <c r="X1905" s="12">
        <v>1.05</v>
      </c>
      <c r="Y1905" s="12">
        <v>20210614</v>
      </c>
    </row>
    <row r="1906" spans="1:25" x14ac:dyDescent="0.45">
      <c r="A1906" s="3" t="s">
        <v>4357</v>
      </c>
      <c r="B1906" s="3" t="s">
        <v>4358</v>
      </c>
      <c r="C1906" s="6" t="s">
        <v>518</v>
      </c>
      <c r="D1906" s="6" t="s">
        <v>90</v>
      </c>
      <c r="E1906" s="6" t="s">
        <v>304</v>
      </c>
      <c r="F1906" s="6">
        <v>12224.05</v>
      </c>
      <c r="G1906" s="2">
        <v>0.56000000000000005</v>
      </c>
      <c r="H1906" s="2">
        <v>2.88</v>
      </c>
      <c r="I1906" s="2">
        <v>1.7</v>
      </c>
      <c r="J1906" s="47">
        <f t="shared" si="145"/>
        <v>4.1428571428571423</v>
      </c>
      <c r="K1906" s="47">
        <f t="shared" si="146"/>
        <v>-0.40972222222222221</v>
      </c>
      <c r="L1906" s="8">
        <v>6.12</v>
      </c>
      <c r="M1906" s="8">
        <v>3.06</v>
      </c>
      <c r="N1906" s="8">
        <v>5.2</v>
      </c>
      <c r="O1906" s="17">
        <f t="shared" si="147"/>
        <v>7.3862068965517254E-3</v>
      </c>
      <c r="P1906" s="17">
        <f t="shared" si="148"/>
        <v>-0.12691525423728814</v>
      </c>
      <c r="Q1906" s="5">
        <v>0.14000000000000001</v>
      </c>
      <c r="R1906" s="9">
        <v>105</v>
      </c>
      <c r="S1906" s="9">
        <v>8.69</v>
      </c>
      <c r="T1906" s="9">
        <v>9866.25</v>
      </c>
      <c r="U1906" s="9">
        <v>5836.54</v>
      </c>
      <c r="V1906" s="45">
        <f t="shared" si="149"/>
        <v>0.69042789049676689</v>
      </c>
      <c r="W1906" s="12">
        <v>37.25</v>
      </c>
      <c r="X1906" s="12">
        <v>1.37</v>
      </c>
      <c r="Y1906" s="12">
        <v>20210727</v>
      </c>
    </row>
    <row r="1907" spans="1:25" x14ac:dyDescent="0.45">
      <c r="A1907" s="3" t="s">
        <v>3232</v>
      </c>
      <c r="B1907" s="3" t="s">
        <v>3233</v>
      </c>
      <c r="C1907" s="6" t="s">
        <v>520</v>
      </c>
      <c r="D1907" s="6" t="s">
        <v>272</v>
      </c>
      <c r="E1907" s="6" t="s">
        <v>233</v>
      </c>
      <c r="F1907" s="6">
        <v>141032</v>
      </c>
      <c r="G1907" s="2">
        <v>3.43</v>
      </c>
      <c r="H1907" s="2">
        <v>4.18</v>
      </c>
      <c r="I1907" s="2">
        <v>4.7</v>
      </c>
      <c r="J1907" s="47">
        <f t="shared" si="145"/>
        <v>0.21865889212827974</v>
      </c>
      <c r="K1907" s="47">
        <f t="shared" si="146"/>
        <v>0.12440191387559821</v>
      </c>
      <c r="L1907" s="8">
        <v>24.76</v>
      </c>
      <c r="M1907" s="8">
        <v>19.829999999999998</v>
      </c>
      <c r="N1907" s="8">
        <v>17.649999999999999</v>
      </c>
      <c r="O1907" s="17">
        <f t="shared" si="147"/>
        <v>0.90689200000000059</v>
      </c>
      <c r="P1907" s="17">
        <f t="shared" si="148"/>
        <v>1.4187884615384601</v>
      </c>
      <c r="Q1907" s="5">
        <v>1.22</v>
      </c>
      <c r="R1907" s="9">
        <v>11.12</v>
      </c>
      <c r="S1907" s="9">
        <v>-4.22</v>
      </c>
      <c r="T1907" s="9">
        <v>71738.757809999996</v>
      </c>
      <c r="U1907" s="9">
        <v>64009.91</v>
      </c>
      <c r="V1907" s="45">
        <f t="shared" si="149"/>
        <v>0.12074455049225959</v>
      </c>
      <c r="W1907" s="12">
        <v>-19.53</v>
      </c>
      <c r="X1907" s="12">
        <v>1.87</v>
      </c>
      <c r="Y1907" s="12">
        <v>20210805</v>
      </c>
    </row>
    <row r="1908" spans="1:25" x14ac:dyDescent="0.45">
      <c r="A1908" s="3" t="s">
        <v>4958</v>
      </c>
      <c r="B1908" s="3" t="s">
        <v>4959</v>
      </c>
      <c r="C1908" s="6" t="s">
        <v>520</v>
      </c>
      <c r="D1908" s="6" t="s">
        <v>272</v>
      </c>
      <c r="E1908" s="6" t="s">
        <v>2021</v>
      </c>
      <c r="F1908" s="6">
        <v>4265.42</v>
      </c>
      <c r="J1908" s="47" t="e">
        <f t="shared" si="145"/>
        <v>#DIV/0!</v>
      </c>
      <c r="K1908" s="47" t="e">
        <f t="shared" si="146"/>
        <v>#DIV/0!</v>
      </c>
      <c r="O1908" s="17" t="e">
        <f t="shared" si="147"/>
        <v>#DIV/0!</v>
      </c>
      <c r="P1908" s="17" t="e">
        <f t="shared" si="148"/>
        <v>#DIV/0!</v>
      </c>
      <c r="U1908" s="9">
        <v>18467.45</v>
      </c>
      <c r="V1908" s="45">
        <f t="shared" si="149"/>
        <v>-1</v>
      </c>
      <c r="X1908" s="12">
        <v>0</v>
      </c>
    </row>
    <row r="1909" spans="1:25" x14ac:dyDescent="0.45">
      <c r="A1909" s="3" t="s">
        <v>4359</v>
      </c>
      <c r="B1909" s="3" t="s">
        <v>4360</v>
      </c>
      <c r="C1909" s="6" t="s">
        <v>518</v>
      </c>
      <c r="D1909" s="6" t="s">
        <v>303</v>
      </c>
      <c r="E1909" s="6" t="s">
        <v>1185</v>
      </c>
      <c r="F1909" s="6">
        <v>3195.14</v>
      </c>
      <c r="G1909" s="2">
        <v>1.39</v>
      </c>
      <c r="H1909" s="2">
        <v>4.8</v>
      </c>
      <c r="I1909" s="2">
        <v>5.16</v>
      </c>
      <c r="J1909" s="47">
        <f t="shared" si="145"/>
        <v>2.4532374100719427</v>
      </c>
      <c r="K1909" s="47">
        <f t="shared" si="146"/>
        <v>7.5000000000000067E-2</v>
      </c>
      <c r="L1909" s="8">
        <v>39.64</v>
      </c>
      <c r="M1909" s="8">
        <v>12.71</v>
      </c>
      <c r="N1909" s="8">
        <v>11.83</v>
      </c>
      <c r="O1909" s="17">
        <f t="shared" si="147"/>
        <v>5.1809090909090902E-2</v>
      </c>
      <c r="P1909" s="17">
        <f t="shared" si="148"/>
        <v>1.5773333333333319</v>
      </c>
      <c r="R1909" s="9">
        <v>13.68</v>
      </c>
      <c r="S1909" s="9">
        <v>-4.28</v>
      </c>
      <c r="T1909" s="9">
        <v>6138</v>
      </c>
      <c r="U1909" s="9">
        <v>5226.8999999999996</v>
      </c>
      <c r="V1909" s="45">
        <f t="shared" si="149"/>
        <v>0.17430982035240783</v>
      </c>
      <c r="W1909" s="12">
        <v>15.6</v>
      </c>
      <c r="X1909" s="12">
        <v>0</v>
      </c>
      <c r="Y1909" s="12">
        <v>20210610</v>
      </c>
    </row>
    <row r="1910" spans="1:25" x14ac:dyDescent="0.45">
      <c r="A1910" s="3" t="s">
        <v>3234</v>
      </c>
      <c r="B1910" s="3" t="s">
        <v>3235</v>
      </c>
      <c r="C1910" s="6" t="s">
        <v>519</v>
      </c>
      <c r="D1910" s="6" t="s">
        <v>234</v>
      </c>
      <c r="E1910" s="6" t="s">
        <v>244</v>
      </c>
      <c r="F1910" s="6">
        <v>4498.82</v>
      </c>
      <c r="G1910" s="2">
        <v>3.4</v>
      </c>
      <c r="H1910" s="2">
        <v>5.35</v>
      </c>
      <c r="I1910" s="2">
        <v>5.18</v>
      </c>
      <c r="J1910" s="47">
        <f t="shared" si="145"/>
        <v>0.57352941176470584</v>
      </c>
      <c r="K1910" s="47">
        <f t="shared" si="146"/>
        <v>-3.1775700934579425E-2</v>
      </c>
      <c r="L1910" s="8">
        <v>14.99</v>
      </c>
      <c r="M1910" s="8">
        <v>14.01</v>
      </c>
      <c r="N1910" s="8">
        <v>14.46</v>
      </c>
      <c r="O1910" s="17">
        <f t="shared" si="147"/>
        <v>0.24427692307692309</v>
      </c>
      <c r="P1910" s="17">
        <f t="shared" si="148"/>
        <v>-4.5506470588235315</v>
      </c>
      <c r="Q1910" s="5">
        <v>1.47</v>
      </c>
      <c r="R1910" s="9">
        <v>12.46</v>
      </c>
      <c r="S1910" s="9">
        <v>6.51</v>
      </c>
      <c r="T1910" s="9">
        <v>3260.8181100000002</v>
      </c>
      <c r="U1910" s="9">
        <v>2922.3</v>
      </c>
      <c r="V1910" s="45">
        <f t="shared" si="149"/>
        <v>0.1158396160558464</v>
      </c>
      <c r="W1910" s="12">
        <v>75.260000000000005</v>
      </c>
      <c r="X1910" s="12">
        <v>1.33</v>
      </c>
      <c r="Y1910" s="12">
        <v>20210804</v>
      </c>
    </row>
    <row r="1911" spans="1:25" x14ac:dyDescent="0.45">
      <c r="A1911" s="3" t="s">
        <v>4960</v>
      </c>
      <c r="B1911" s="3" t="s">
        <v>4961</v>
      </c>
      <c r="C1911" s="6" t="s">
        <v>1003</v>
      </c>
      <c r="D1911" s="6" t="s">
        <v>90</v>
      </c>
      <c r="E1911" s="6" t="s">
        <v>304</v>
      </c>
      <c r="F1911" s="6">
        <v>4158.8</v>
      </c>
      <c r="J1911" s="47" t="e">
        <f t="shared" si="145"/>
        <v>#DIV/0!</v>
      </c>
      <c r="K1911" s="47" t="e">
        <f t="shared" si="146"/>
        <v>#DIV/0!</v>
      </c>
      <c r="L1911" s="8">
        <v>19.21</v>
      </c>
      <c r="O1911" s="17" t="e">
        <f t="shared" si="147"/>
        <v>#DIV/0!</v>
      </c>
      <c r="P1911" s="17" t="e">
        <f t="shared" si="148"/>
        <v>#DIV/0!</v>
      </c>
      <c r="R1911" s="9">
        <v>14.84</v>
      </c>
      <c r="U1911" s="9">
        <v>1686.21</v>
      </c>
      <c r="V1911" s="45">
        <f t="shared" si="149"/>
        <v>-1</v>
      </c>
      <c r="X1911" s="12">
        <v>0</v>
      </c>
      <c r="Y1911" s="12">
        <v>20210727</v>
      </c>
    </row>
    <row r="1912" spans="1:25" x14ac:dyDescent="0.45">
      <c r="A1912" s="3" t="s">
        <v>3236</v>
      </c>
      <c r="B1912" s="3" t="s">
        <v>3237</v>
      </c>
      <c r="C1912" s="6" t="s">
        <v>519</v>
      </c>
      <c r="D1912" s="6" t="s">
        <v>216</v>
      </c>
      <c r="E1912" s="6" t="s">
        <v>1449</v>
      </c>
      <c r="F1912" s="6">
        <v>28021.75</v>
      </c>
      <c r="G1912" s="2">
        <v>0.24</v>
      </c>
      <c r="H1912" s="2">
        <v>0.25</v>
      </c>
      <c r="I1912" s="2">
        <v>0.31</v>
      </c>
      <c r="J1912" s="47">
        <f t="shared" si="145"/>
        <v>4.1666666666666706E-2</v>
      </c>
      <c r="K1912" s="47">
        <f t="shared" si="146"/>
        <v>0.24</v>
      </c>
      <c r="L1912" s="8">
        <v>27.4</v>
      </c>
      <c r="M1912" s="8">
        <v>27.68</v>
      </c>
      <c r="N1912" s="8">
        <v>21.75</v>
      </c>
      <c r="O1912" s="17">
        <f t="shared" si="147"/>
        <v>6.643199999999994</v>
      </c>
      <c r="P1912" s="17">
        <f t="shared" si="148"/>
        <v>0.90625</v>
      </c>
      <c r="Q1912" s="5">
        <v>2.1800000000000002</v>
      </c>
      <c r="R1912" s="9">
        <v>-69.09</v>
      </c>
      <c r="S1912" s="9">
        <v>13.57</v>
      </c>
      <c r="T1912" s="9">
        <v>8409.3671799999993</v>
      </c>
      <c r="U1912" s="9">
        <v>8040</v>
      </c>
      <c r="V1912" s="45">
        <f t="shared" si="149"/>
        <v>4.594119154228847E-2</v>
      </c>
      <c r="W1912" s="12">
        <v>16.670000000000002</v>
      </c>
      <c r="X1912" s="12">
        <v>0.85</v>
      </c>
      <c r="Y1912" s="12">
        <v>20210727</v>
      </c>
    </row>
    <row r="1913" spans="1:25" x14ac:dyDescent="0.45">
      <c r="A1913" s="3" t="s">
        <v>4361</v>
      </c>
      <c r="B1913" s="3" t="s">
        <v>4362</v>
      </c>
      <c r="C1913" s="6" t="s">
        <v>518</v>
      </c>
      <c r="D1913" s="6" t="s">
        <v>234</v>
      </c>
      <c r="E1913" s="6" t="s">
        <v>288</v>
      </c>
      <c r="F1913" s="6">
        <v>3325.85</v>
      </c>
      <c r="G1913" s="2">
        <v>0.99</v>
      </c>
      <c r="H1913" s="2">
        <v>1.02</v>
      </c>
      <c r="I1913" s="2">
        <v>1.07</v>
      </c>
      <c r="J1913" s="47">
        <f t="shared" si="145"/>
        <v>3.0303030303030332E-2</v>
      </c>
      <c r="K1913" s="47">
        <f t="shared" si="146"/>
        <v>4.9019607843137296E-2</v>
      </c>
      <c r="L1913" s="8">
        <v>16.25</v>
      </c>
      <c r="M1913" s="8">
        <v>15.43</v>
      </c>
      <c r="N1913" s="8">
        <v>14.8</v>
      </c>
      <c r="O1913" s="17">
        <f t="shared" si="147"/>
        <v>5.0918999999999954</v>
      </c>
      <c r="P1913" s="17">
        <f t="shared" si="148"/>
        <v>3.0191999999999979</v>
      </c>
      <c r="R1913" s="9">
        <v>1.07</v>
      </c>
      <c r="S1913" s="9">
        <v>-20.64</v>
      </c>
      <c r="T1913" s="9">
        <v>470.73901000000001</v>
      </c>
      <c r="U1913" s="9">
        <v>416.76</v>
      </c>
      <c r="V1913" s="45">
        <f t="shared" si="149"/>
        <v>0.12952061138305024</v>
      </c>
      <c r="W1913" s="12">
        <v>21.74</v>
      </c>
      <c r="X1913" s="12">
        <v>3.05</v>
      </c>
      <c r="Y1913" s="12">
        <v>20210727</v>
      </c>
    </row>
    <row r="1914" spans="1:25" x14ac:dyDescent="0.45">
      <c r="A1914" s="3" t="s">
        <v>3238</v>
      </c>
      <c r="B1914" s="3" t="s">
        <v>3239</v>
      </c>
      <c r="C1914" s="6" t="s">
        <v>518</v>
      </c>
      <c r="D1914" s="6" t="s">
        <v>272</v>
      </c>
      <c r="E1914" s="6" t="s">
        <v>233</v>
      </c>
      <c r="F1914" s="6">
        <v>7252.9</v>
      </c>
      <c r="G1914" s="2">
        <v>2.39</v>
      </c>
      <c r="H1914" s="2">
        <v>3.73</v>
      </c>
      <c r="I1914" s="2">
        <v>4.21</v>
      </c>
      <c r="J1914" s="47">
        <f t="shared" si="145"/>
        <v>0.56066945606694552</v>
      </c>
      <c r="K1914" s="47">
        <f t="shared" si="146"/>
        <v>0.12868632707774799</v>
      </c>
      <c r="L1914" s="8">
        <v>49.17</v>
      </c>
      <c r="M1914" s="8">
        <v>43.77</v>
      </c>
      <c r="N1914" s="8">
        <v>38.81</v>
      </c>
      <c r="O1914" s="17">
        <f t="shared" si="147"/>
        <v>0.78067388059701504</v>
      </c>
      <c r="P1914" s="17">
        <f t="shared" si="148"/>
        <v>3.0158604166666669</v>
      </c>
      <c r="R1914" s="9">
        <v>20.59</v>
      </c>
      <c r="S1914" s="9">
        <v>12.89</v>
      </c>
      <c r="T1914" s="9">
        <v>3185.1430599999999</v>
      </c>
      <c r="U1914" s="9">
        <v>2704.5</v>
      </c>
      <c r="V1914" s="45">
        <f t="shared" si="149"/>
        <v>0.17771974856720277</v>
      </c>
      <c r="W1914" s="12">
        <v>136.36000000000001</v>
      </c>
      <c r="X1914" s="12">
        <v>0</v>
      </c>
      <c r="Y1914" s="12">
        <v>20210804</v>
      </c>
    </row>
    <row r="1915" spans="1:25" x14ac:dyDescent="0.45">
      <c r="A1915" s="3" t="s">
        <v>3240</v>
      </c>
      <c r="B1915" s="3" t="s">
        <v>3241</v>
      </c>
      <c r="C1915" s="6" t="s">
        <v>519</v>
      </c>
      <c r="D1915" s="6" t="s">
        <v>234</v>
      </c>
      <c r="E1915" s="6" t="s">
        <v>181</v>
      </c>
      <c r="F1915" s="6">
        <v>32275.68</v>
      </c>
      <c r="G1915" s="2">
        <v>19.21</v>
      </c>
      <c r="H1915" s="2">
        <v>28.81</v>
      </c>
      <c r="I1915" s="2">
        <v>27.01</v>
      </c>
      <c r="J1915" s="47">
        <f t="shared" si="145"/>
        <v>0.499739718896408</v>
      </c>
      <c r="K1915" s="47">
        <f t="shared" si="146"/>
        <v>-6.2478306143700008E-2</v>
      </c>
      <c r="L1915" s="8">
        <v>19.600000000000001</v>
      </c>
      <c r="M1915" s="8">
        <v>20.63</v>
      </c>
      <c r="N1915" s="8">
        <v>22</v>
      </c>
      <c r="O1915" s="17">
        <f t="shared" si="147"/>
        <v>0.41281489583333342</v>
      </c>
      <c r="P1915" s="17">
        <f t="shared" si="148"/>
        <v>-3.5212222222222276</v>
      </c>
      <c r="Q1915" s="5">
        <v>2.58</v>
      </c>
      <c r="R1915" s="9">
        <v>20.13</v>
      </c>
      <c r="S1915" s="9">
        <v>26.35</v>
      </c>
      <c r="T1915" s="9">
        <v>4838.5058499999996</v>
      </c>
      <c r="U1915" s="9">
        <v>4081.76</v>
      </c>
      <c r="V1915" s="45">
        <f t="shared" si="149"/>
        <v>0.18539694886519523</v>
      </c>
      <c r="W1915" s="12">
        <v>44.52</v>
      </c>
      <c r="X1915" s="12">
        <v>0</v>
      </c>
      <c r="Y1915" s="12">
        <v>20210722</v>
      </c>
    </row>
    <row r="1916" spans="1:25" x14ac:dyDescent="0.45">
      <c r="A1916" s="3" t="s">
        <v>3242</v>
      </c>
      <c r="B1916" s="3" t="s">
        <v>3243</v>
      </c>
      <c r="C1916" s="6" t="s">
        <v>518</v>
      </c>
      <c r="D1916" s="6" t="s">
        <v>216</v>
      </c>
      <c r="E1916" s="6" t="s">
        <v>1102</v>
      </c>
      <c r="F1916" s="6">
        <v>3763.22</v>
      </c>
      <c r="G1916" s="2">
        <v>-4.99</v>
      </c>
      <c r="H1916" s="2">
        <v>-0.45</v>
      </c>
      <c r="I1916" s="2">
        <v>1.91</v>
      </c>
      <c r="J1916" s="47">
        <f t="shared" si="145"/>
        <v>0.90981963927855714</v>
      </c>
      <c r="K1916" s="47">
        <f t="shared" si="146"/>
        <v>5.2444444444444445</v>
      </c>
      <c r="N1916" s="8">
        <v>23.07</v>
      </c>
      <c r="O1916" s="17">
        <f t="shared" si="147"/>
        <v>0</v>
      </c>
      <c r="P1916" s="17">
        <f t="shared" si="148"/>
        <v>4.3989406779661018E-2</v>
      </c>
      <c r="S1916" s="9">
        <v>-17.100000000000001</v>
      </c>
      <c r="T1916" s="9">
        <v>1126.45703</v>
      </c>
      <c r="U1916" s="9">
        <v>356.58</v>
      </c>
      <c r="V1916" s="45">
        <f t="shared" si="149"/>
        <v>2.1590583599753215</v>
      </c>
      <c r="W1916" s="12">
        <v>13.18</v>
      </c>
      <c r="X1916" s="12">
        <v>0</v>
      </c>
      <c r="Y1916" s="12">
        <v>20210804</v>
      </c>
    </row>
    <row r="1917" spans="1:25" x14ac:dyDescent="0.45">
      <c r="A1917" s="3" t="s">
        <v>4363</v>
      </c>
      <c r="B1917" s="3" t="s">
        <v>4364</v>
      </c>
      <c r="C1917" s="6" t="s">
        <v>518</v>
      </c>
      <c r="D1917" s="6" t="s">
        <v>327</v>
      </c>
      <c r="E1917" s="6" t="s">
        <v>354</v>
      </c>
      <c r="F1917" s="6">
        <v>3117.45</v>
      </c>
      <c r="G1917" s="2">
        <v>1.6</v>
      </c>
      <c r="H1917" s="2">
        <v>1.62</v>
      </c>
      <c r="I1917" s="2">
        <v>1.71</v>
      </c>
      <c r="J1917" s="47">
        <f t="shared" si="145"/>
        <v>1.2500000000000011E-2</v>
      </c>
      <c r="K1917" s="47">
        <f t="shared" si="146"/>
        <v>5.5555555555555462E-2</v>
      </c>
      <c r="L1917" s="8">
        <v>15.32</v>
      </c>
      <c r="M1917" s="8">
        <v>17.100000000000001</v>
      </c>
      <c r="N1917" s="8">
        <v>16.22</v>
      </c>
      <c r="O1917" s="17">
        <f t="shared" si="147"/>
        <v>13.679999999999989</v>
      </c>
      <c r="P1917" s="17">
        <f t="shared" si="148"/>
        <v>2.9196000000000044</v>
      </c>
      <c r="Q1917" s="5">
        <v>3.15</v>
      </c>
      <c r="R1917" s="9">
        <v>11.03</v>
      </c>
      <c r="S1917" s="9">
        <v>12.44</v>
      </c>
      <c r="T1917" s="9">
        <v>1640.2550000000001</v>
      </c>
      <c r="U1917" s="9">
        <v>1541.38</v>
      </c>
      <c r="V1917" s="45">
        <f t="shared" si="149"/>
        <v>6.4147063021448306E-2</v>
      </c>
      <c r="W1917" s="12">
        <v>5.88</v>
      </c>
      <c r="X1917" s="12">
        <v>4.3600000000000003</v>
      </c>
      <c r="Y1917" s="12">
        <v>20210804</v>
      </c>
    </row>
    <row r="1918" spans="1:25" x14ac:dyDescent="0.45">
      <c r="A1918" s="3" t="s">
        <v>3244</v>
      </c>
      <c r="B1918" s="3" t="s">
        <v>3245</v>
      </c>
      <c r="C1918" s="6" t="s">
        <v>518</v>
      </c>
      <c r="D1918" s="6" t="s">
        <v>225</v>
      </c>
      <c r="E1918" s="6" t="s">
        <v>226</v>
      </c>
      <c r="F1918" s="6">
        <v>14900.36</v>
      </c>
      <c r="G1918" s="2">
        <v>8.91</v>
      </c>
      <c r="H1918" s="2">
        <v>8.91</v>
      </c>
      <c r="I1918" s="2">
        <v>9.24</v>
      </c>
      <c r="J1918" s="47">
        <f t="shared" si="145"/>
        <v>0</v>
      </c>
      <c r="K1918" s="47">
        <f t="shared" si="146"/>
        <v>3.7037037037037042E-2</v>
      </c>
      <c r="L1918" s="8">
        <v>14.94</v>
      </c>
      <c r="M1918" s="8">
        <v>15.26</v>
      </c>
      <c r="N1918" s="8">
        <v>14.72</v>
      </c>
      <c r="O1918" s="17" t="e">
        <f t="shared" si="147"/>
        <v>#DIV/0!</v>
      </c>
      <c r="P1918" s="17">
        <f t="shared" si="148"/>
        <v>3.9743999999999997</v>
      </c>
      <c r="Q1918" s="5">
        <v>12.82</v>
      </c>
      <c r="R1918" s="9">
        <v>12.35</v>
      </c>
      <c r="S1918" s="9">
        <v>1.88</v>
      </c>
      <c r="T1918" s="9">
        <v>7776.3349600000001</v>
      </c>
      <c r="U1918" s="9">
        <v>8002.7</v>
      </c>
      <c r="V1918" s="45">
        <f t="shared" si="149"/>
        <v>-2.8286083446836655E-2</v>
      </c>
      <c r="W1918" s="12">
        <v>12.5</v>
      </c>
      <c r="X1918" s="12">
        <v>2.65</v>
      </c>
      <c r="Y1918" s="12">
        <v>20210824</v>
      </c>
    </row>
    <row r="1919" spans="1:25" x14ac:dyDescent="0.45">
      <c r="A1919" s="3" t="s">
        <v>4962</v>
      </c>
      <c r="B1919" s="3" t="s">
        <v>4963</v>
      </c>
      <c r="C1919" s="6" t="s">
        <v>520</v>
      </c>
      <c r="D1919" s="6" t="s">
        <v>216</v>
      </c>
      <c r="E1919" s="6" t="s">
        <v>228</v>
      </c>
      <c r="F1919" s="6">
        <v>6513.73</v>
      </c>
      <c r="J1919" s="47" t="e">
        <f t="shared" si="145"/>
        <v>#DIV/0!</v>
      </c>
      <c r="K1919" s="47" t="e">
        <f t="shared" si="146"/>
        <v>#DIV/0!</v>
      </c>
      <c r="O1919" s="17" t="e">
        <f t="shared" si="147"/>
        <v>#DIV/0!</v>
      </c>
      <c r="P1919" s="17" t="e">
        <f t="shared" si="148"/>
        <v>#DIV/0!</v>
      </c>
      <c r="U1919" s="9">
        <v>967.83</v>
      </c>
      <c r="V1919" s="45">
        <f t="shared" si="149"/>
        <v>-1</v>
      </c>
      <c r="X1919" s="12">
        <v>0</v>
      </c>
      <c r="Y1919" s="12">
        <v>20210615</v>
      </c>
    </row>
    <row r="1920" spans="1:25" x14ac:dyDescent="0.45">
      <c r="A1920" s="3" t="s">
        <v>3246</v>
      </c>
      <c r="B1920" s="3" t="s">
        <v>3247</v>
      </c>
      <c r="C1920" s="6" t="s">
        <v>518</v>
      </c>
      <c r="D1920" s="6" t="s">
        <v>216</v>
      </c>
      <c r="E1920" s="6" t="s">
        <v>1052</v>
      </c>
      <c r="F1920" s="6">
        <v>14276.71</v>
      </c>
      <c r="G1920" s="2">
        <v>1</v>
      </c>
      <c r="H1920" s="2">
        <v>1.1299999999999999</v>
      </c>
      <c r="I1920" s="2">
        <v>1.22</v>
      </c>
      <c r="J1920" s="47">
        <f t="shared" si="145"/>
        <v>0.12999999999999989</v>
      </c>
      <c r="K1920" s="47">
        <f t="shared" si="146"/>
        <v>7.9646017699115126E-2</v>
      </c>
      <c r="L1920" s="8">
        <v>27.5</v>
      </c>
      <c r="M1920" s="8">
        <v>26.43</v>
      </c>
      <c r="N1920" s="8">
        <v>24.52</v>
      </c>
      <c r="O1920" s="17">
        <f t="shared" si="147"/>
        <v>2.0330769230769246</v>
      </c>
      <c r="P1920" s="17">
        <f t="shared" si="148"/>
        <v>3.078622222222219</v>
      </c>
      <c r="R1920" s="9">
        <v>11.98</v>
      </c>
      <c r="S1920" s="9">
        <v>0.98</v>
      </c>
      <c r="T1920" s="9">
        <v>4386.3818300000003</v>
      </c>
      <c r="U1920" s="9">
        <v>3788.03</v>
      </c>
      <c r="V1920" s="45">
        <f t="shared" si="149"/>
        <v>0.15795857741358965</v>
      </c>
      <c r="W1920" s="12">
        <v>30.77</v>
      </c>
      <c r="X1920" s="12">
        <v>1.99</v>
      </c>
      <c r="Y1920" s="12">
        <v>20210709</v>
      </c>
    </row>
    <row r="1921" spans="1:25" x14ac:dyDescent="0.45">
      <c r="A1921" s="3" t="s">
        <v>3248</v>
      </c>
      <c r="B1921" s="3" t="s">
        <v>3249</v>
      </c>
      <c r="C1921" s="6" t="s">
        <v>520</v>
      </c>
      <c r="D1921" s="6" t="s">
        <v>272</v>
      </c>
      <c r="E1921" s="6" t="s">
        <v>2638</v>
      </c>
      <c r="F1921" s="6">
        <v>12349.12</v>
      </c>
      <c r="G1921" s="2">
        <v>1.5</v>
      </c>
      <c r="H1921" s="2">
        <v>1.73</v>
      </c>
      <c r="I1921" s="2">
        <v>1.82</v>
      </c>
      <c r="J1921" s="47">
        <f t="shared" si="145"/>
        <v>0.15333333333333332</v>
      </c>
      <c r="K1921" s="47">
        <f t="shared" si="146"/>
        <v>5.202312138728328E-2</v>
      </c>
      <c r="L1921" s="8">
        <v>16.14</v>
      </c>
      <c r="M1921" s="8">
        <v>15.68</v>
      </c>
      <c r="N1921" s="8">
        <v>14.87</v>
      </c>
      <c r="O1921" s="17">
        <f t="shared" si="147"/>
        <v>1.022608695652174</v>
      </c>
      <c r="P1921" s="17">
        <f t="shared" si="148"/>
        <v>2.8583444444444419</v>
      </c>
      <c r="Q1921" s="5">
        <v>1.31</v>
      </c>
      <c r="R1921" s="9">
        <v>18.37</v>
      </c>
      <c r="S1921" s="9">
        <v>-0.63</v>
      </c>
      <c r="T1921" s="9">
        <v>9475.1601499999997</v>
      </c>
      <c r="U1921" s="9">
        <v>8159.17</v>
      </c>
      <c r="V1921" s="45">
        <f t="shared" si="149"/>
        <v>0.16128970838945622</v>
      </c>
      <c r="W1921" s="12">
        <v>138.88999999999999</v>
      </c>
      <c r="X1921" s="12">
        <v>2.3199999999999998</v>
      </c>
      <c r="Y1921" s="12">
        <v>20210720</v>
      </c>
    </row>
    <row r="1922" spans="1:25" x14ac:dyDescent="0.45">
      <c r="A1922" s="3" t="s">
        <v>4964</v>
      </c>
      <c r="B1922" s="3" t="s">
        <v>4965</v>
      </c>
      <c r="C1922" s="6" t="s">
        <v>520</v>
      </c>
      <c r="D1922" s="6" t="s">
        <v>210</v>
      </c>
      <c r="E1922" s="6" t="s">
        <v>1439</v>
      </c>
      <c r="F1922" s="6">
        <v>14207.17</v>
      </c>
      <c r="J1922" s="47" t="e">
        <f t="shared" si="145"/>
        <v>#DIV/0!</v>
      </c>
      <c r="K1922" s="47" t="e">
        <f t="shared" si="146"/>
        <v>#DIV/0!</v>
      </c>
      <c r="L1922" s="8">
        <v>12.28</v>
      </c>
      <c r="O1922" s="17" t="e">
        <f t="shared" si="147"/>
        <v>#DIV/0!</v>
      </c>
      <c r="P1922" s="17" t="e">
        <f t="shared" si="148"/>
        <v>#DIV/0!</v>
      </c>
      <c r="R1922" s="9">
        <v>9.35</v>
      </c>
      <c r="S1922" s="9">
        <v>7.14</v>
      </c>
      <c r="U1922" s="9">
        <v>23026.39</v>
      </c>
      <c r="V1922" s="45">
        <f t="shared" si="149"/>
        <v>-1</v>
      </c>
      <c r="X1922" s="12">
        <v>2.86</v>
      </c>
      <c r="Y1922" s="12">
        <v>20210610</v>
      </c>
    </row>
    <row r="1923" spans="1:25" x14ac:dyDescent="0.45">
      <c r="A1923" s="3" t="s">
        <v>4365</v>
      </c>
      <c r="B1923" s="3" t="s">
        <v>4366</v>
      </c>
      <c r="C1923" s="6" t="s">
        <v>518</v>
      </c>
      <c r="D1923" s="6" t="s">
        <v>216</v>
      </c>
      <c r="E1923" s="6" t="s">
        <v>228</v>
      </c>
      <c r="F1923" s="6">
        <v>8861.5300000000007</v>
      </c>
      <c r="G1923" s="2">
        <v>-0.33</v>
      </c>
      <c r="H1923" s="2">
        <v>-0.51</v>
      </c>
      <c r="I1923" s="2">
        <v>-0.38</v>
      </c>
      <c r="J1923" s="47">
        <f t="shared" ref="J1923:J1986" si="150">(H1923-G1923)/ABS(G1923)</f>
        <v>-0.54545454545454541</v>
      </c>
      <c r="K1923" s="47">
        <f t="shared" ref="K1923:K1986" si="151">(I1923-H1923)/ABS(H1923)</f>
        <v>0.25490196078431371</v>
      </c>
      <c r="O1923" s="17">
        <f t="shared" ref="O1923:O1986" si="152">M1923/(J1923*100)</f>
        <v>0</v>
      </c>
      <c r="P1923" s="17">
        <f t="shared" ref="P1923:P1986" si="153">N1923/(K1923*100)</f>
        <v>0</v>
      </c>
      <c r="R1923" s="9">
        <v>-52.3</v>
      </c>
      <c r="T1923" s="9">
        <v>376.78201000000001</v>
      </c>
      <c r="U1923" s="9">
        <v>230.12</v>
      </c>
      <c r="V1923" s="45">
        <f t="shared" ref="V1923:V1986" si="154">(T1923-U1923)/U1923</f>
        <v>0.63732839388145324</v>
      </c>
      <c r="W1923" s="12">
        <v>7.14</v>
      </c>
      <c r="X1923" s="12">
        <v>0</v>
      </c>
      <c r="Y1923" s="12">
        <v>20210803</v>
      </c>
    </row>
    <row r="1924" spans="1:25" x14ac:dyDescent="0.45">
      <c r="A1924" s="3" t="s">
        <v>3250</v>
      </c>
      <c r="B1924" s="3" t="s">
        <v>3251</v>
      </c>
      <c r="C1924" s="6" t="s">
        <v>518</v>
      </c>
      <c r="D1924" s="6" t="s">
        <v>189</v>
      </c>
      <c r="E1924" s="6" t="s">
        <v>378</v>
      </c>
      <c r="F1924" s="6">
        <v>23802.18</v>
      </c>
      <c r="G1924" s="2">
        <v>2.09</v>
      </c>
      <c r="H1924" s="2">
        <v>2.48</v>
      </c>
      <c r="I1924" s="2">
        <v>2.62</v>
      </c>
      <c r="J1924" s="47">
        <f t="shared" si="150"/>
        <v>0.18660287081339721</v>
      </c>
      <c r="K1924" s="47">
        <f t="shared" si="151"/>
        <v>5.645161290322586E-2</v>
      </c>
      <c r="L1924" s="8">
        <v>17.239999999999998</v>
      </c>
      <c r="M1924" s="8">
        <v>13.21</v>
      </c>
      <c r="N1924" s="8">
        <v>12.5</v>
      </c>
      <c r="O1924" s="17">
        <f t="shared" si="152"/>
        <v>0.7079205128205126</v>
      </c>
      <c r="P1924" s="17">
        <f t="shared" si="153"/>
        <v>2.2142857142857122</v>
      </c>
      <c r="R1924" s="9">
        <v>6.57</v>
      </c>
      <c r="S1924" s="9">
        <v>-0.49</v>
      </c>
      <c r="U1924" s="9">
        <v>15793.75</v>
      </c>
      <c r="V1924" s="45">
        <f t="shared" si="154"/>
        <v>-1</v>
      </c>
      <c r="X1924" s="12">
        <v>4.4800000000000004</v>
      </c>
      <c r="Y1924" s="12">
        <v>20210610</v>
      </c>
    </row>
    <row r="1925" spans="1:25" x14ac:dyDescent="0.45">
      <c r="A1925" s="3" t="s">
        <v>3252</v>
      </c>
      <c r="B1925" s="3" t="s">
        <v>3253</v>
      </c>
      <c r="C1925" s="6" t="s">
        <v>518</v>
      </c>
      <c r="D1925" s="6" t="s">
        <v>216</v>
      </c>
      <c r="E1925" s="6" t="s">
        <v>302</v>
      </c>
      <c r="F1925" s="6">
        <v>7469.11</v>
      </c>
      <c r="G1925" s="2">
        <v>0.69</v>
      </c>
      <c r="H1925" s="2">
        <v>2.0699999999999998</v>
      </c>
      <c r="I1925" s="2">
        <v>2.56</v>
      </c>
      <c r="J1925" s="47">
        <f t="shared" si="150"/>
        <v>2</v>
      </c>
      <c r="K1925" s="47">
        <f t="shared" si="151"/>
        <v>0.23671497584541074</v>
      </c>
      <c r="L1925" s="8">
        <v>50.16</v>
      </c>
      <c r="M1925" s="8">
        <v>23.31</v>
      </c>
      <c r="N1925" s="8">
        <v>18.78</v>
      </c>
      <c r="O1925" s="17">
        <f t="shared" si="152"/>
        <v>0.11654999999999999</v>
      </c>
      <c r="P1925" s="17">
        <f t="shared" si="153"/>
        <v>0.79335918367346914</v>
      </c>
      <c r="R1925" s="9">
        <v>5.66</v>
      </c>
      <c r="S1925" s="9">
        <v>8</v>
      </c>
      <c r="T1925" s="9">
        <v>5905.9448199999997</v>
      </c>
      <c r="U1925" s="9">
        <v>4597.41</v>
      </c>
      <c r="V1925" s="45">
        <f t="shared" si="154"/>
        <v>0.28462434718678559</v>
      </c>
      <c r="W1925" s="12">
        <v>28.57</v>
      </c>
      <c r="X1925" s="12">
        <v>0</v>
      </c>
    </row>
    <row r="1926" spans="1:25" x14ac:dyDescent="0.45">
      <c r="A1926" s="3" t="s">
        <v>3254</v>
      </c>
      <c r="B1926" s="3" t="s">
        <v>3255</v>
      </c>
      <c r="C1926" s="6" t="s">
        <v>519</v>
      </c>
      <c r="D1926" s="6" t="s">
        <v>189</v>
      </c>
      <c r="E1926" s="6" t="s">
        <v>298</v>
      </c>
      <c r="F1926" s="6">
        <v>6005.76</v>
      </c>
      <c r="G1926" s="2">
        <v>2.9</v>
      </c>
      <c r="H1926" s="2">
        <v>3.88</v>
      </c>
      <c r="I1926" s="2">
        <v>4.34</v>
      </c>
      <c r="J1926" s="47">
        <f t="shared" si="150"/>
        <v>0.33793103448275863</v>
      </c>
      <c r="K1926" s="47">
        <f t="shared" si="151"/>
        <v>0.11855670103092783</v>
      </c>
      <c r="L1926" s="8">
        <v>41.68</v>
      </c>
      <c r="M1926" s="8">
        <v>34.56</v>
      </c>
      <c r="N1926" s="8">
        <v>30.9</v>
      </c>
      <c r="O1926" s="17">
        <f t="shared" si="152"/>
        <v>1.0226938775510204</v>
      </c>
      <c r="P1926" s="17">
        <f t="shared" si="153"/>
        <v>2.6063478260869566</v>
      </c>
      <c r="Q1926" s="5">
        <v>5.49</v>
      </c>
      <c r="R1926" s="9">
        <v>8.14</v>
      </c>
      <c r="S1926" s="9">
        <v>6.45</v>
      </c>
      <c r="T1926" s="9">
        <v>1069.43994</v>
      </c>
      <c r="U1926" s="9">
        <v>886.68</v>
      </c>
      <c r="V1926" s="45">
        <f t="shared" si="154"/>
        <v>0.20611713357693873</v>
      </c>
      <c r="W1926" s="12">
        <v>8.33</v>
      </c>
      <c r="X1926" s="12">
        <v>0</v>
      </c>
      <c r="Y1926" s="12">
        <v>20210804</v>
      </c>
    </row>
    <row r="1927" spans="1:25" x14ac:dyDescent="0.45">
      <c r="A1927" s="3" t="s">
        <v>3256</v>
      </c>
      <c r="B1927" s="3" t="s">
        <v>3257</v>
      </c>
      <c r="C1927" s="6" t="s">
        <v>518</v>
      </c>
      <c r="D1927" s="6" t="s">
        <v>289</v>
      </c>
      <c r="E1927" s="6" t="s">
        <v>917</v>
      </c>
      <c r="F1927" s="6">
        <v>50004.36</v>
      </c>
      <c r="G1927" s="2">
        <v>0.64</v>
      </c>
      <c r="H1927" s="2">
        <v>1.1100000000000001</v>
      </c>
      <c r="I1927" s="2">
        <v>1.61</v>
      </c>
      <c r="J1927" s="47">
        <f t="shared" si="150"/>
        <v>0.73437500000000011</v>
      </c>
      <c r="K1927" s="47">
        <f t="shared" si="151"/>
        <v>0.4504504504504504</v>
      </c>
      <c r="L1927" s="8">
        <v>55.88</v>
      </c>
      <c r="M1927" s="8">
        <v>32.299999999999997</v>
      </c>
      <c r="N1927" s="8">
        <v>22.18</v>
      </c>
      <c r="O1927" s="17">
        <f t="shared" si="152"/>
        <v>0.43982978723404242</v>
      </c>
      <c r="P1927" s="17">
        <f t="shared" si="153"/>
        <v>0.492396</v>
      </c>
      <c r="R1927" s="9">
        <v>7.2</v>
      </c>
      <c r="S1927" s="9">
        <v>-1.93</v>
      </c>
      <c r="T1927" s="9">
        <v>22450.869139999999</v>
      </c>
      <c r="U1927" s="9">
        <v>23601</v>
      </c>
      <c r="V1927" s="45">
        <f t="shared" si="154"/>
        <v>-4.8732293546883652E-2</v>
      </c>
      <c r="W1927" s="12">
        <v>10.53</v>
      </c>
      <c r="X1927" s="12">
        <v>1.4</v>
      </c>
      <c r="Y1927" s="12">
        <v>20210723</v>
      </c>
    </row>
    <row r="1928" spans="1:25" x14ac:dyDescent="0.45">
      <c r="A1928" s="3" t="s">
        <v>3258</v>
      </c>
      <c r="B1928" s="3" t="s">
        <v>3259</v>
      </c>
      <c r="C1928" s="6" t="s">
        <v>518</v>
      </c>
      <c r="D1928" s="6" t="s">
        <v>234</v>
      </c>
      <c r="E1928" s="6" t="s">
        <v>241</v>
      </c>
      <c r="F1928" s="6">
        <v>31195.51</v>
      </c>
      <c r="G1928" s="2">
        <v>4.16</v>
      </c>
      <c r="H1928" s="2">
        <v>4.43</v>
      </c>
      <c r="I1928" s="2">
        <v>5.01</v>
      </c>
      <c r="J1928" s="47">
        <f t="shared" si="150"/>
        <v>6.4903846153846048E-2</v>
      </c>
      <c r="K1928" s="47">
        <f t="shared" si="151"/>
        <v>0.13092550790067722</v>
      </c>
      <c r="L1928" s="8">
        <v>12.51</v>
      </c>
      <c r="M1928" s="8">
        <v>12.02</v>
      </c>
      <c r="N1928" s="8">
        <v>10.63</v>
      </c>
      <c r="O1928" s="17">
        <f t="shared" si="152"/>
        <v>1.8519703703703732</v>
      </c>
      <c r="P1928" s="17">
        <f t="shared" si="153"/>
        <v>0.81191206896551715</v>
      </c>
      <c r="Q1928" s="5">
        <v>1.34</v>
      </c>
      <c r="R1928" s="9">
        <v>14.09</v>
      </c>
      <c r="S1928" s="9">
        <v>12.87</v>
      </c>
      <c r="T1928" s="9">
        <v>22986.810539999999</v>
      </c>
      <c r="U1928" s="9">
        <v>32351.94</v>
      </c>
      <c r="V1928" s="45">
        <f t="shared" si="154"/>
        <v>-0.28947659583938401</v>
      </c>
      <c r="W1928" s="12">
        <v>5.56</v>
      </c>
      <c r="X1928" s="12">
        <v>1.54</v>
      </c>
      <c r="Y1928" s="12">
        <v>20210804</v>
      </c>
    </row>
    <row r="1929" spans="1:25" x14ac:dyDescent="0.45">
      <c r="A1929" s="3" t="s">
        <v>3260</v>
      </c>
      <c r="B1929" s="3" t="s">
        <v>3261</v>
      </c>
      <c r="C1929" s="6" t="s">
        <v>520</v>
      </c>
      <c r="D1929" s="6" t="s">
        <v>234</v>
      </c>
      <c r="E1929" s="6" t="s">
        <v>221</v>
      </c>
      <c r="F1929" s="6">
        <v>8403.42</v>
      </c>
      <c r="G1929" s="2">
        <v>0.72</v>
      </c>
      <c r="H1929" s="2">
        <v>0.64</v>
      </c>
      <c r="I1929" s="2">
        <v>0.74</v>
      </c>
      <c r="J1929" s="47">
        <f t="shared" si="150"/>
        <v>-0.11111111111111106</v>
      </c>
      <c r="K1929" s="47">
        <f t="shared" si="151"/>
        <v>0.15624999999999997</v>
      </c>
      <c r="M1929" s="8">
        <v>24.08</v>
      </c>
      <c r="N1929" s="8">
        <v>20.83</v>
      </c>
      <c r="O1929" s="17">
        <f t="shared" si="152"/>
        <v>-2.1672000000000007</v>
      </c>
      <c r="P1929" s="17">
        <f t="shared" si="153"/>
        <v>1.3331200000000003</v>
      </c>
      <c r="T1929" s="9">
        <v>2041.65002</v>
      </c>
      <c r="U1929" s="9">
        <v>5098.79</v>
      </c>
      <c r="V1929" s="45">
        <f t="shared" si="154"/>
        <v>-0.59958146540649837</v>
      </c>
      <c r="X1929" s="12">
        <v>4.62</v>
      </c>
    </row>
    <row r="1930" spans="1:25" x14ac:dyDescent="0.45">
      <c r="A1930" s="3" t="s">
        <v>3262</v>
      </c>
      <c r="B1930" s="3" t="s">
        <v>3263</v>
      </c>
      <c r="C1930" s="6" t="s">
        <v>518</v>
      </c>
      <c r="D1930" s="6" t="s">
        <v>234</v>
      </c>
      <c r="E1930" s="6" t="s">
        <v>286</v>
      </c>
      <c r="F1930" s="6">
        <v>5761.93</v>
      </c>
      <c r="G1930" s="2">
        <v>7.21</v>
      </c>
      <c r="H1930" s="2">
        <v>6.55</v>
      </c>
      <c r="I1930" s="2">
        <v>7.04</v>
      </c>
      <c r="J1930" s="47">
        <f t="shared" si="150"/>
        <v>-9.1539528432732331E-2</v>
      </c>
      <c r="K1930" s="47">
        <f t="shared" si="151"/>
        <v>7.4809160305343542E-2</v>
      </c>
      <c r="L1930" s="8">
        <v>12.33</v>
      </c>
      <c r="M1930" s="8">
        <v>12.69</v>
      </c>
      <c r="N1930" s="8">
        <v>11.8</v>
      </c>
      <c r="O1930" s="17">
        <f t="shared" si="152"/>
        <v>-1.3862863636363634</v>
      </c>
      <c r="P1930" s="17">
        <f t="shared" si="153"/>
        <v>1.5773469387755097</v>
      </c>
      <c r="Q1930" s="5">
        <v>3.85</v>
      </c>
      <c r="R1930" s="9">
        <v>4.79</v>
      </c>
      <c r="S1930" s="9">
        <v>-12.11</v>
      </c>
      <c r="T1930" s="9">
        <v>623.19500000000005</v>
      </c>
      <c r="U1930" s="9">
        <v>1052.74</v>
      </c>
      <c r="V1930" s="45">
        <f t="shared" si="154"/>
        <v>-0.40802572335049486</v>
      </c>
      <c r="W1930" s="12">
        <v>9.49</v>
      </c>
      <c r="X1930" s="12">
        <v>4.38</v>
      </c>
      <c r="Y1930" s="12">
        <v>20210728</v>
      </c>
    </row>
    <row r="1931" spans="1:25" x14ac:dyDescent="0.45">
      <c r="A1931" s="3" t="s">
        <v>3264</v>
      </c>
      <c r="B1931" s="3" t="s">
        <v>3265</v>
      </c>
      <c r="C1931" s="6" t="s">
        <v>519</v>
      </c>
      <c r="D1931" s="6" t="s">
        <v>272</v>
      </c>
      <c r="E1931" s="6" t="s">
        <v>937</v>
      </c>
      <c r="F1931" s="6">
        <v>4591.51</v>
      </c>
      <c r="G1931" s="2">
        <v>2.98</v>
      </c>
      <c r="H1931" s="2">
        <v>3.38</v>
      </c>
      <c r="I1931" s="2">
        <v>3.54</v>
      </c>
      <c r="J1931" s="47">
        <f t="shared" si="150"/>
        <v>0.13422818791946306</v>
      </c>
      <c r="K1931" s="47">
        <f t="shared" si="151"/>
        <v>4.7337278106508916E-2</v>
      </c>
      <c r="L1931" s="8">
        <v>12.84</v>
      </c>
      <c r="M1931" s="8">
        <v>12.32</v>
      </c>
      <c r="N1931" s="8">
        <v>11.76</v>
      </c>
      <c r="O1931" s="17">
        <f t="shared" si="152"/>
        <v>0.91784000000000021</v>
      </c>
      <c r="P1931" s="17">
        <f t="shared" si="153"/>
        <v>2.484299999999998</v>
      </c>
      <c r="Q1931" s="5">
        <v>2.46</v>
      </c>
      <c r="R1931" s="9">
        <v>29.86</v>
      </c>
      <c r="S1931" s="9">
        <v>7.06</v>
      </c>
      <c r="T1931" s="9">
        <v>5392.89599</v>
      </c>
      <c r="U1931" s="9">
        <v>4921.8999999999996</v>
      </c>
      <c r="V1931" s="45">
        <f t="shared" si="154"/>
        <v>9.5693937300636009E-2</v>
      </c>
      <c r="W1931" s="12">
        <v>5.63</v>
      </c>
      <c r="X1931" s="12">
        <v>1.35</v>
      </c>
      <c r="Y1931" s="12">
        <v>20210728</v>
      </c>
    </row>
    <row r="1932" spans="1:25" x14ac:dyDescent="0.45">
      <c r="A1932" s="3" t="s">
        <v>3266</v>
      </c>
      <c r="B1932" s="3" t="s">
        <v>3267</v>
      </c>
      <c r="C1932" s="6" t="s">
        <v>519</v>
      </c>
      <c r="D1932" s="6" t="s">
        <v>234</v>
      </c>
      <c r="E1932" s="6" t="s">
        <v>218</v>
      </c>
      <c r="F1932" s="6">
        <v>6576.85</v>
      </c>
      <c r="G1932" s="2">
        <v>1.43</v>
      </c>
      <c r="H1932" s="2">
        <v>3.09</v>
      </c>
      <c r="I1932" s="2">
        <v>2.65</v>
      </c>
      <c r="J1932" s="47">
        <f t="shared" si="150"/>
        <v>1.1608391608391608</v>
      </c>
      <c r="K1932" s="47">
        <f t="shared" si="151"/>
        <v>-0.14239482200647249</v>
      </c>
      <c r="L1932" s="8">
        <v>6.43</v>
      </c>
      <c r="M1932" s="8">
        <v>6.6</v>
      </c>
      <c r="N1932" s="8">
        <v>7.68</v>
      </c>
      <c r="O1932" s="17">
        <f t="shared" si="152"/>
        <v>5.6855421686746989E-2</v>
      </c>
      <c r="P1932" s="17">
        <f t="shared" si="153"/>
        <v>-0.53934545454545457</v>
      </c>
      <c r="R1932" s="9">
        <v>58.89</v>
      </c>
      <c r="S1932" s="9">
        <v>22.63</v>
      </c>
      <c r="T1932" s="9">
        <v>1389.27197</v>
      </c>
      <c r="U1932" s="9">
        <v>2353.11</v>
      </c>
      <c r="V1932" s="45">
        <f t="shared" si="154"/>
        <v>-0.40960177382272822</v>
      </c>
      <c r="W1932" s="12">
        <v>77</v>
      </c>
      <c r="X1932" s="12">
        <v>0.59</v>
      </c>
      <c r="Y1932" s="12">
        <v>20210728</v>
      </c>
    </row>
    <row r="1933" spans="1:25" x14ac:dyDescent="0.45">
      <c r="A1933" s="3" t="s">
        <v>4966</v>
      </c>
      <c r="B1933" s="3" t="s">
        <v>4967</v>
      </c>
      <c r="C1933" s="6" t="s">
        <v>520</v>
      </c>
      <c r="D1933" s="6" t="s">
        <v>189</v>
      </c>
      <c r="E1933" s="6" t="s">
        <v>213</v>
      </c>
      <c r="F1933" s="6">
        <v>6604.34</v>
      </c>
      <c r="G1933" s="2">
        <v>3.36</v>
      </c>
      <c r="H1933" s="2">
        <v>5.28</v>
      </c>
      <c r="J1933" s="47">
        <f t="shared" si="150"/>
        <v>0.57142857142857151</v>
      </c>
      <c r="K1933" s="47">
        <f t="shared" si="151"/>
        <v>-1</v>
      </c>
      <c r="M1933" s="8">
        <v>39.54</v>
      </c>
      <c r="O1933" s="17">
        <f t="shared" si="152"/>
        <v>0.69194999999999984</v>
      </c>
      <c r="P1933" s="17">
        <f t="shared" si="153"/>
        <v>0</v>
      </c>
      <c r="T1933" s="9">
        <v>948</v>
      </c>
      <c r="U1933" s="9">
        <v>682.81</v>
      </c>
      <c r="V1933" s="45">
        <f t="shared" si="154"/>
        <v>0.38838036935604353</v>
      </c>
      <c r="X1933" s="12">
        <v>0</v>
      </c>
      <c r="Y1933" s="12">
        <v>20210908</v>
      </c>
    </row>
    <row r="1934" spans="1:25" x14ac:dyDescent="0.45">
      <c r="A1934" s="3" t="s">
        <v>3268</v>
      </c>
      <c r="B1934" s="3" t="s">
        <v>3269</v>
      </c>
      <c r="C1934" s="6" t="s">
        <v>518</v>
      </c>
      <c r="D1934" s="6" t="s">
        <v>234</v>
      </c>
      <c r="E1934" s="6" t="s">
        <v>243</v>
      </c>
      <c r="F1934" s="6">
        <v>3485.11</v>
      </c>
      <c r="G1934" s="2">
        <v>0.47</v>
      </c>
      <c r="H1934" s="2">
        <v>0.82</v>
      </c>
      <c r="I1934" s="2">
        <v>1.21</v>
      </c>
      <c r="J1934" s="47">
        <f t="shared" si="150"/>
        <v>0.74468085106382975</v>
      </c>
      <c r="K1934" s="47">
        <f t="shared" si="151"/>
        <v>0.47560975609756101</v>
      </c>
      <c r="L1934" s="8">
        <v>23.44</v>
      </c>
      <c r="M1934" s="8">
        <v>25.85</v>
      </c>
      <c r="N1934" s="8">
        <v>17.670000000000002</v>
      </c>
      <c r="O1934" s="17">
        <f t="shared" si="152"/>
        <v>0.34712857142857145</v>
      </c>
      <c r="P1934" s="17">
        <f t="shared" si="153"/>
        <v>0.37152307692307696</v>
      </c>
      <c r="R1934" s="9">
        <v>24.68</v>
      </c>
      <c r="T1934" s="9">
        <v>937.46801000000005</v>
      </c>
      <c r="U1934" s="9">
        <v>531.52</v>
      </c>
      <c r="V1934" s="45">
        <f t="shared" si="154"/>
        <v>0.76374926625526807</v>
      </c>
      <c r="W1934" s="12">
        <v>-8.33</v>
      </c>
      <c r="X1934" s="12">
        <v>0</v>
      </c>
      <c r="Y1934" s="12">
        <v>20210908</v>
      </c>
    </row>
    <row r="1935" spans="1:25" x14ac:dyDescent="0.45">
      <c r="A1935" s="3" t="s">
        <v>3270</v>
      </c>
      <c r="B1935" s="3" t="s">
        <v>3271</v>
      </c>
      <c r="C1935" s="6" t="s">
        <v>518</v>
      </c>
      <c r="D1935" s="6" t="s">
        <v>189</v>
      </c>
      <c r="E1935" s="6" t="s">
        <v>248</v>
      </c>
      <c r="F1935" s="6">
        <v>7680.81</v>
      </c>
      <c r="G1935" s="2">
        <v>-0.43</v>
      </c>
      <c r="H1935" s="2">
        <v>-0.39</v>
      </c>
      <c r="I1935" s="2">
        <v>-0.28000000000000003</v>
      </c>
      <c r="J1935" s="47">
        <f t="shared" si="150"/>
        <v>9.3023255813953445E-2</v>
      </c>
      <c r="K1935" s="47">
        <f t="shared" si="151"/>
        <v>0.28205128205128199</v>
      </c>
      <c r="O1935" s="17">
        <f t="shared" si="152"/>
        <v>0</v>
      </c>
      <c r="P1935" s="17">
        <f t="shared" si="153"/>
        <v>0</v>
      </c>
      <c r="R1935" s="9">
        <v>-22.9</v>
      </c>
      <c r="S1935" s="9">
        <v>50.58</v>
      </c>
      <c r="T1935" s="9">
        <v>513.06700999999998</v>
      </c>
      <c r="U1935" s="9">
        <v>385.51</v>
      </c>
      <c r="V1935" s="45">
        <f t="shared" si="154"/>
        <v>0.33087860237088529</v>
      </c>
      <c r="W1935" s="12">
        <v>35.71</v>
      </c>
      <c r="X1935" s="12">
        <v>0</v>
      </c>
      <c r="Y1935" s="12">
        <v>20210901</v>
      </c>
    </row>
    <row r="1936" spans="1:25" x14ac:dyDescent="0.45">
      <c r="A1936" s="3" t="s">
        <v>3272</v>
      </c>
      <c r="B1936" s="3" t="s">
        <v>3273</v>
      </c>
      <c r="C1936" s="6" t="s">
        <v>520</v>
      </c>
      <c r="D1936" s="6" t="s">
        <v>189</v>
      </c>
      <c r="E1936" s="6" t="s">
        <v>908</v>
      </c>
      <c r="F1936" s="6">
        <v>38899.279999999999</v>
      </c>
      <c r="G1936" s="2">
        <v>0.81</v>
      </c>
      <c r="H1936" s="2">
        <v>0.97</v>
      </c>
      <c r="I1936" s="2">
        <v>1.1000000000000001</v>
      </c>
      <c r="J1936" s="47">
        <f t="shared" si="150"/>
        <v>0.19753086419753074</v>
      </c>
      <c r="K1936" s="47">
        <f t="shared" si="151"/>
        <v>0.13402061855670117</v>
      </c>
      <c r="L1936" s="8">
        <v>40.659999999999997</v>
      </c>
      <c r="M1936" s="8">
        <v>29.76</v>
      </c>
      <c r="N1936" s="8">
        <v>26.36</v>
      </c>
      <c r="O1936" s="17">
        <f t="shared" si="152"/>
        <v>1.506600000000001</v>
      </c>
      <c r="P1936" s="17">
        <f t="shared" si="153"/>
        <v>1.9668615384615364</v>
      </c>
      <c r="R1936" s="9">
        <v>8.17</v>
      </c>
      <c r="T1936" s="9">
        <v>5756.06005</v>
      </c>
      <c r="U1936" s="9">
        <v>4839.0200000000004</v>
      </c>
      <c r="V1936" s="45">
        <f t="shared" si="154"/>
        <v>0.18950945646019227</v>
      </c>
      <c r="W1936" s="12">
        <v>-23.81</v>
      </c>
      <c r="X1936" s="12">
        <v>0.24</v>
      </c>
      <c r="Y1936" s="12">
        <v>20210611</v>
      </c>
    </row>
    <row r="1937" spans="1:25" x14ac:dyDescent="0.45">
      <c r="A1937" s="3" t="s">
        <v>3274</v>
      </c>
      <c r="B1937" s="3" t="s">
        <v>3275</v>
      </c>
      <c r="C1937" s="6" t="s">
        <v>518</v>
      </c>
      <c r="D1937" s="6" t="s">
        <v>234</v>
      </c>
      <c r="E1937" s="6" t="s">
        <v>105</v>
      </c>
      <c r="F1937" s="6">
        <v>49502.85</v>
      </c>
      <c r="G1937" s="2">
        <v>0.72</v>
      </c>
      <c r="H1937" s="2">
        <v>0.86</v>
      </c>
      <c r="I1937" s="2">
        <v>1.04</v>
      </c>
      <c r="J1937" s="47">
        <f t="shared" si="150"/>
        <v>0.19444444444444448</v>
      </c>
      <c r="K1937" s="47">
        <f t="shared" si="151"/>
        <v>0.20930232558139542</v>
      </c>
      <c r="L1937" s="8">
        <v>9.49</v>
      </c>
      <c r="M1937" s="8">
        <v>8.3800000000000008</v>
      </c>
      <c r="N1937" s="8">
        <v>6.93</v>
      </c>
      <c r="O1937" s="17">
        <f t="shared" si="152"/>
        <v>0.43097142857142856</v>
      </c>
      <c r="P1937" s="17">
        <f t="shared" si="153"/>
        <v>0.33109999999999989</v>
      </c>
      <c r="R1937" s="9">
        <v>4.88</v>
      </c>
      <c r="S1937" s="9">
        <v>-1.77</v>
      </c>
      <c r="U1937" s="9">
        <v>36814.04</v>
      </c>
      <c r="V1937" s="45">
        <f t="shared" si="154"/>
        <v>-1</v>
      </c>
      <c r="X1937" s="12">
        <v>4.7699999999999996</v>
      </c>
      <c r="Y1937" s="12">
        <v>20210804</v>
      </c>
    </row>
    <row r="1938" spans="1:25" x14ac:dyDescent="0.45">
      <c r="A1938" s="3" t="s">
        <v>3276</v>
      </c>
      <c r="B1938" s="3" t="s">
        <v>3277</v>
      </c>
      <c r="C1938" s="6" t="s">
        <v>520</v>
      </c>
      <c r="D1938" s="6" t="s">
        <v>90</v>
      </c>
      <c r="E1938" s="6" t="s">
        <v>282</v>
      </c>
      <c r="F1938" s="6">
        <v>13751.64</v>
      </c>
      <c r="G1938" s="2">
        <v>2.78</v>
      </c>
      <c r="H1938" s="2">
        <v>3.05</v>
      </c>
      <c r="I1938" s="2">
        <v>3.82</v>
      </c>
      <c r="J1938" s="47">
        <f t="shared" si="150"/>
        <v>9.7122302158273388E-2</v>
      </c>
      <c r="K1938" s="47">
        <f t="shared" si="151"/>
        <v>0.25245901639344265</v>
      </c>
      <c r="M1938" s="8">
        <v>17.41</v>
      </c>
      <c r="N1938" s="8">
        <v>13.9</v>
      </c>
      <c r="O1938" s="17">
        <f t="shared" si="152"/>
        <v>1.7925851851851853</v>
      </c>
      <c r="P1938" s="17">
        <f t="shared" si="153"/>
        <v>0.55058441558441551</v>
      </c>
      <c r="T1938" s="9">
        <v>11111.429679999999</v>
      </c>
      <c r="U1938" s="9">
        <v>9742.99</v>
      </c>
      <c r="V1938" s="45">
        <f t="shared" si="154"/>
        <v>0.14045377035181186</v>
      </c>
      <c r="X1938" s="12">
        <v>2.8</v>
      </c>
      <c r="Y1938" s="12">
        <v>20210616</v>
      </c>
    </row>
    <row r="1939" spans="1:25" x14ac:dyDescent="0.45">
      <c r="A1939" s="3" t="s">
        <v>3278</v>
      </c>
      <c r="B1939" s="3" t="s">
        <v>3279</v>
      </c>
      <c r="C1939" s="6" t="s">
        <v>518</v>
      </c>
      <c r="D1939" s="6" t="s">
        <v>90</v>
      </c>
      <c r="E1939" s="6" t="s">
        <v>443</v>
      </c>
      <c r="F1939" s="6">
        <v>11141.17</v>
      </c>
      <c r="G1939" s="2">
        <v>7.26</v>
      </c>
      <c r="H1939" s="2">
        <v>9.2799999999999994</v>
      </c>
      <c r="I1939" s="2">
        <v>9.33</v>
      </c>
      <c r="J1939" s="47">
        <f t="shared" si="150"/>
        <v>0.27823691460055089</v>
      </c>
      <c r="K1939" s="47">
        <f t="shared" si="151"/>
        <v>5.3879310344828353E-3</v>
      </c>
      <c r="L1939" s="8">
        <v>20.22</v>
      </c>
      <c r="M1939" s="8">
        <v>21.56</v>
      </c>
      <c r="N1939" s="8">
        <v>21.43</v>
      </c>
      <c r="O1939" s="17">
        <f t="shared" si="152"/>
        <v>0.77487920792079223</v>
      </c>
      <c r="P1939" s="17">
        <f t="shared" si="153"/>
        <v>39.774079999999429</v>
      </c>
      <c r="R1939" s="9">
        <v>67.91</v>
      </c>
      <c r="S1939" s="9">
        <v>9.64</v>
      </c>
      <c r="T1939" s="9">
        <v>4870.95507</v>
      </c>
      <c r="U1939" s="9">
        <v>4131.6000000000004</v>
      </c>
      <c r="V1939" s="45">
        <f t="shared" si="154"/>
        <v>0.17895127069416195</v>
      </c>
      <c r="W1939" s="12">
        <v>2.36</v>
      </c>
      <c r="X1939" s="12">
        <v>1.24</v>
      </c>
      <c r="Y1939" s="12">
        <v>20210804</v>
      </c>
    </row>
    <row r="1940" spans="1:25" x14ac:dyDescent="0.45">
      <c r="A1940" s="3" t="s">
        <v>4968</v>
      </c>
      <c r="B1940" s="3" t="s">
        <v>4969</v>
      </c>
      <c r="C1940" s="6" t="s">
        <v>520</v>
      </c>
      <c r="D1940" s="6" t="s">
        <v>225</v>
      </c>
      <c r="E1940" s="6" t="s">
        <v>226</v>
      </c>
      <c r="F1940" s="6">
        <v>5465.85</v>
      </c>
      <c r="G1940" s="2">
        <v>0.4</v>
      </c>
      <c r="J1940" s="47">
        <f t="shared" si="150"/>
        <v>-1</v>
      </c>
      <c r="K1940" s="47" t="e">
        <f t="shared" si="151"/>
        <v>#DIV/0!</v>
      </c>
      <c r="L1940" s="8">
        <v>41.04</v>
      </c>
      <c r="O1940" s="17">
        <f t="shared" si="152"/>
        <v>0</v>
      </c>
      <c r="P1940" s="17" t="e">
        <f t="shared" si="153"/>
        <v>#DIV/0!</v>
      </c>
      <c r="U1940" s="9">
        <v>14626.08</v>
      </c>
      <c r="V1940" s="45">
        <f t="shared" si="154"/>
        <v>-1</v>
      </c>
      <c r="X1940" s="12">
        <v>0.95</v>
      </c>
      <c r="Y1940" s="12">
        <v>20210813</v>
      </c>
    </row>
    <row r="1941" spans="1:25" x14ac:dyDescent="0.45">
      <c r="A1941" s="3" t="s">
        <v>3280</v>
      </c>
      <c r="B1941" s="3" t="s">
        <v>3281</v>
      </c>
      <c r="C1941" s="6" t="s">
        <v>520</v>
      </c>
      <c r="D1941" s="6" t="s">
        <v>175</v>
      </c>
      <c r="E1941" s="6" t="s">
        <v>305</v>
      </c>
      <c r="F1941" s="6">
        <v>8882.6299999999992</v>
      </c>
      <c r="G1941" s="2">
        <v>0.72</v>
      </c>
      <c r="H1941" s="2">
        <v>0.85</v>
      </c>
      <c r="I1941" s="2">
        <v>1.0900000000000001</v>
      </c>
      <c r="J1941" s="47">
        <f t="shared" si="150"/>
        <v>0.18055555555555558</v>
      </c>
      <c r="K1941" s="47">
        <f t="shared" si="151"/>
        <v>0.2823529411764707</v>
      </c>
      <c r="M1941" s="8">
        <v>26.47</v>
      </c>
      <c r="N1941" s="8">
        <v>20.56</v>
      </c>
      <c r="O1941" s="17">
        <f t="shared" si="152"/>
        <v>1.466030769230769</v>
      </c>
      <c r="P1941" s="17">
        <f t="shared" si="153"/>
        <v>0.72816666666666641</v>
      </c>
      <c r="Q1941" s="5">
        <v>8.8800000000000008</v>
      </c>
      <c r="T1941" s="9">
        <v>3877.6350000000002</v>
      </c>
      <c r="U1941" s="9">
        <v>3181.86</v>
      </c>
      <c r="V1941" s="45">
        <f t="shared" si="154"/>
        <v>0.21866926891817995</v>
      </c>
      <c r="X1941" s="12">
        <v>1.34</v>
      </c>
    </row>
    <row r="1942" spans="1:25" x14ac:dyDescent="0.45">
      <c r="A1942" s="3" t="s">
        <v>4367</v>
      </c>
      <c r="B1942" s="3" t="s">
        <v>4368</v>
      </c>
      <c r="C1942" s="6" t="s">
        <v>519</v>
      </c>
      <c r="D1942" s="6" t="s">
        <v>225</v>
      </c>
      <c r="E1942" s="6" t="s">
        <v>2014</v>
      </c>
      <c r="F1942" s="6">
        <v>3386.17</v>
      </c>
      <c r="G1942" s="2">
        <v>0.87</v>
      </c>
      <c r="H1942" s="2">
        <v>1.0900000000000001</v>
      </c>
      <c r="I1942" s="2">
        <v>1.21</v>
      </c>
      <c r="J1942" s="47">
        <f t="shared" si="150"/>
        <v>0.25287356321839088</v>
      </c>
      <c r="K1942" s="47">
        <f t="shared" si="151"/>
        <v>0.11009174311926594</v>
      </c>
      <c r="L1942" s="8">
        <v>35.36</v>
      </c>
      <c r="M1942" s="8">
        <v>32.44</v>
      </c>
      <c r="N1942" s="8">
        <v>29.13</v>
      </c>
      <c r="O1942" s="17">
        <f t="shared" si="152"/>
        <v>1.282854545454545</v>
      </c>
      <c r="P1942" s="17">
        <f t="shared" si="153"/>
        <v>2.6459750000000031</v>
      </c>
      <c r="R1942" s="9">
        <v>7.6</v>
      </c>
      <c r="S1942" s="9">
        <v>29.38</v>
      </c>
      <c r="T1942" s="9">
        <v>937.09698000000003</v>
      </c>
      <c r="U1942" s="9">
        <v>816.64</v>
      </c>
      <c r="V1942" s="45">
        <f t="shared" si="154"/>
        <v>0.14750315928683391</v>
      </c>
      <c r="W1942" s="12">
        <v>13.64</v>
      </c>
      <c r="X1942" s="12">
        <v>0</v>
      </c>
      <c r="Y1942" s="12">
        <v>20210714</v>
      </c>
    </row>
    <row r="1943" spans="1:25" x14ac:dyDescent="0.45">
      <c r="A1943" s="3" t="s">
        <v>3912</v>
      </c>
      <c r="B1943" s="3" t="s">
        <v>3913</v>
      </c>
      <c r="C1943" s="6" t="s">
        <v>520</v>
      </c>
      <c r="D1943" s="6" t="s">
        <v>234</v>
      </c>
      <c r="E1943" s="6" t="s">
        <v>244</v>
      </c>
      <c r="F1943" s="6">
        <v>14783.89</v>
      </c>
      <c r="G1943" s="2">
        <v>2.4</v>
      </c>
      <c r="H1943" s="2">
        <v>2.75</v>
      </c>
      <c r="I1943" s="2">
        <v>3</v>
      </c>
      <c r="J1943" s="47">
        <f t="shared" si="150"/>
        <v>0.14583333333333337</v>
      </c>
      <c r="K1943" s="47">
        <f t="shared" si="151"/>
        <v>9.0909090909090912E-2</v>
      </c>
      <c r="L1943" s="8">
        <v>11.93</v>
      </c>
      <c r="M1943" s="8">
        <v>7.2</v>
      </c>
      <c r="N1943" s="8">
        <v>6.6</v>
      </c>
      <c r="O1943" s="17">
        <f t="shared" si="152"/>
        <v>0.49371428571428561</v>
      </c>
      <c r="P1943" s="17">
        <f t="shared" si="153"/>
        <v>0.72599999999999987</v>
      </c>
      <c r="R1943" s="9">
        <v>7.69</v>
      </c>
      <c r="U1943" s="9">
        <v>34595.370000000003</v>
      </c>
      <c r="V1943" s="45">
        <f t="shared" si="154"/>
        <v>-1</v>
      </c>
      <c r="X1943" s="12">
        <v>1.44</v>
      </c>
      <c r="Y1943" s="12">
        <v>20210616</v>
      </c>
    </row>
    <row r="1944" spans="1:25" x14ac:dyDescent="0.45">
      <c r="A1944" s="3" t="s">
        <v>3282</v>
      </c>
      <c r="B1944" s="3" t="s">
        <v>3283</v>
      </c>
      <c r="C1944" s="6" t="s">
        <v>519</v>
      </c>
      <c r="D1944" s="6" t="s">
        <v>189</v>
      </c>
      <c r="E1944" s="6" t="s">
        <v>298</v>
      </c>
      <c r="F1944" s="6">
        <v>4333.83</v>
      </c>
      <c r="G1944" s="2">
        <v>1.73</v>
      </c>
      <c r="H1944" s="2">
        <v>2.4</v>
      </c>
      <c r="I1944" s="2">
        <v>2.83</v>
      </c>
      <c r="J1944" s="47">
        <f t="shared" si="150"/>
        <v>0.38728323699421963</v>
      </c>
      <c r="K1944" s="47">
        <f t="shared" si="151"/>
        <v>0.17916666666666675</v>
      </c>
      <c r="L1944" s="8">
        <v>34.409999999999997</v>
      </c>
      <c r="M1944" s="8">
        <v>27.81</v>
      </c>
      <c r="N1944" s="8">
        <v>23.6</v>
      </c>
      <c r="O1944" s="17">
        <f t="shared" si="152"/>
        <v>0.71807910447761192</v>
      </c>
      <c r="P1944" s="17">
        <f t="shared" si="153"/>
        <v>1.3172093023255809</v>
      </c>
      <c r="Q1944" s="5">
        <v>2.2200000000000002</v>
      </c>
      <c r="R1944" s="9">
        <v>11.72</v>
      </c>
      <c r="S1944" s="9">
        <v>1.93</v>
      </c>
      <c r="T1944" s="9">
        <v>721.96301000000005</v>
      </c>
      <c r="U1944" s="9">
        <v>595.12</v>
      </c>
      <c r="V1944" s="45">
        <f t="shared" si="154"/>
        <v>0.2131385434870279</v>
      </c>
      <c r="W1944" s="12">
        <v>1.92</v>
      </c>
      <c r="X1944" s="12">
        <v>0</v>
      </c>
      <c r="Y1944" s="12">
        <v>20210825</v>
      </c>
    </row>
    <row r="1945" spans="1:25" x14ac:dyDescent="0.45">
      <c r="A1945" s="3" t="s">
        <v>3284</v>
      </c>
      <c r="B1945" s="3" t="s">
        <v>3285</v>
      </c>
      <c r="C1945" s="6" t="s">
        <v>518</v>
      </c>
      <c r="D1945" s="6" t="s">
        <v>216</v>
      </c>
      <c r="E1945" s="6" t="s">
        <v>2491</v>
      </c>
      <c r="F1945" s="6">
        <v>13218.23</v>
      </c>
      <c r="G1945" s="2">
        <v>10.79</v>
      </c>
      <c r="H1945" s="2">
        <v>13.5</v>
      </c>
      <c r="I1945" s="2">
        <v>14.41</v>
      </c>
      <c r="J1945" s="47">
        <f t="shared" si="150"/>
        <v>0.25115848007414282</v>
      </c>
      <c r="K1945" s="47">
        <f t="shared" si="151"/>
        <v>6.7407407407407416E-2</v>
      </c>
      <c r="L1945" s="8">
        <v>19.510000000000002</v>
      </c>
      <c r="M1945" s="8">
        <v>18.11</v>
      </c>
      <c r="N1945" s="8">
        <v>16.97</v>
      </c>
      <c r="O1945" s="17">
        <f t="shared" si="152"/>
        <v>0.72105867158671555</v>
      </c>
      <c r="P1945" s="17">
        <f t="shared" si="153"/>
        <v>2.5175274725274721</v>
      </c>
      <c r="Q1945" s="5">
        <v>1.92</v>
      </c>
      <c r="R1945" s="9">
        <v>18.440000000000001</v>
      </c>
      <c r="S1945" s="9">
        <v>1.1299999999999999</v>
      </c>
      <c r="T1945" s="9">
        <v>4013.2229000000002</v>
      </c>
      <c r="U1945" s="9">
        <v>3592.5</v>
      </c>
      <c r="V1945" s="45">
        <f t="shared" si="154"/>
        <v>0.11711145441892838</v>
      </c>
      <c r="W1945" s="12">
        <v>16.28</v>
      </c>
      <c r="X1945" s="12">
        <v>2.0099999999999998</v>
      </c>
      <c r="Y1945" s="12">
        <v>20210730</v>
      </c>
    </row>
    <row r="1946" spans="1:25" x14ac:dyDescent="0.45">
      <c r="A1946" s="3" t="s">
        <v>3286</v>
      </c>
      <c r="B1946" s="3" t="s">
        <v>3287</v>
      </c>
      <c r="C1946" s="6" t="s">
        <v>518</v>
      </c>
      <c r="D1946" s="6" t="s">
        <v>189</v>
      </c>
      <c r="E1946" s="6" t="s">
        <v>248</v>
      </c>
      <c r="F1946" s="6">
        <v>94106.03</v>
      </c>
      <c r="G1946" s="2">
        <v>-0.09</v>
      </c>
      <c r="H1946" s="2">
        <v>0.22</v>
      </c>
      <c r="I1946" s="2">
        <v>0.65</v>
      </c>
      <c r="J1946" s="47">
        <f t="shared" si="150"/>
        <v>3.4444444444444446</v>
      </c>
      <c r="K1946" s="47">
        <f t="shared" si="151"/>
        <v>1.9545454545454548</v>
      </c>
      <c r="L1946" s="8">
        <v>6177</v>
      </c>
      <c r="M1946" s="8">
        <v>280.77</v>
      </c>
      <c r="N1946" s="8">
        <v>95.52</v>
      </c>
      <c r="O1946" s="17">
        <f t="shared" si="152"/>
        <v>0.8151387096774193</v>
      </c>
      <c r="P1946" s="17">
        <f t="shared" si="153"/>
        <v>0.48870697674418601</v>
      </c>
      <c r="R1946" s="9">
        <v>-43.12</v>
      </c>
      <c r="S1946" s="9">
        <v>50.3</v>
      </c>
      <c r="T1946" s="9">
        <v>3898.2141099999999</v>
      </c>
      <c r="U1946" s="9">
        <v>2506.63</v>
      </c>
      <c r="V1946" s="45">
        <f t="shared" si="154"/>
        <v>0.55516135608366601</v>
      </c>
      <c r="W1946" s="12">
        <v>100</v>
      </c>
      <c r="X1946" s="12">
        <v>0</v>
      </c>
      <c r="Y1946" s="12">
        <v>20210720</v>
      </c>
    </row>
    <row r="1947" spans="1:25" x14ac:dyDescent="0.45">
      <c r="A1947" s="3" t="s">
        <v>3288</v>
      </c>
      <c r="B1947" s="3" t="s">
        <v>3289</v>
      </c>
      <c r="C1947" s="6" t="s">
        <v>518</v>
      </c>
      <c r="D1947" s="6" t="s">
        <v>309</v>
      </c>
      <c r="E1947" s="6" t="s">
        <v>312</v>
      </c>
      <c r="F1947" s="6">
        <v>4147.8999999999996</v>
      </c>
      <c r="G1947" s="2">
        <v>1.2</v>
      </c>
      <c r="H1947" s="2">
        <v>1.64</v>
      </c>
      <c r="I1947" s="2">
        <v>1.78</v>
      </c>
      <c r="J1947" s="47">
        <f t="shared" si="150"/>
        <v>0.36666666666666664</v>
      </c>
      <c r="K1947" s="47">
        <f t="shared" si="151"/>
        <v>8.5365853658536661E-2</v>
      </c>
      <c r="L1947" s="8">
        <v>17.7</v>
      </c>
      <c r="M1947" s="8">
        <v>14.27</v>
      </c>
      <c r="N1947" s="8">
        <v>13.11</v>
      </c>
      <c r="O1947" s="17">
        <f t="shared" si="152"/>
        <v>0.38918181818181818</v>
      </c>
      <c r="P1947" s="17">
        <f t="shared" si="153"/>
        <v>1.5357428571428557</v>
      </c>
      <c r="Q1947" s="5">
        <v>1.02</v>
      </c>
      <c r="R1947" s="9">
        <v>10.63</v>
      </c>
      <c r="S1947" s="9">
        <v>2.71</v>
      </c>
      <c r="T1947" s="9">
        <v>4993.0532199999998</v>
      </c>
      <c r="U1947" s="9">
        <v>4552.8</v>
      </c>
      <c r="V1947" s="45">
        <f t="shared" si="154"/>
        <v>9.6699442101563782E-2</v>
      </c>
      <c r="W1947" s="12">
        <v>6.9</v>
      </c>
      <c r="X1947" s="12">
        <v>1.2</v>
      </c>
      <c r="Y1947" s="12">
        <v>20210729</v>
      </c>
    </row>
    <row r="1948" spans="1:25" x14ac:dyDescent="0.45">
      <c r="A1948" s="3" t="s">
        <v>4970</v>
      </c>
      <c r="B1948" s="3" t="s">
        <v>4971</v>
      </c>
      <c r="C1948" s="6" t="s">
        <v>520</v>
      </c>
      <c r="D1948" s="6" t="s">
        <v>234</v>
      </c>
      <c r="E1948" s="6" t="s">
        <v>284</v>
      </c>
      <c r="F1948" s="6">
        <v>11818.92</v>
      </c>
      <c r="J1948" s="47" t="e">
        <f t="shared" si="150"/>
        <v>#DIV/0!</v>
      </c>
      <c r="K1948" s="47" t="e">
        <f t="shared" si="151"/>
        <v>#DIV/0!</v>
      </c>
      <c r="O1948" s="17" t="e">
        <f t="shared" si="152"/>
        <v>#DIV/0!</v>
      </c>
      <c r="P1948" s="17" t="e">
        <f t="shared" si="153"/>
        <v>#DIV/0!</v>
      </c>
      <c r="U1948" s="9">
        <v>759.46</v>
      </c>
      <c r="V1948" s="45">
        <f t="shared" si="154"/>
        <v>-1</v>
      </c>
      <c r="X1948" s="12">
        <v>1.99</v>
      </c>
    </row>
    <row r="1949" spans="1:25" x14ac:dyDescent="0.45">
      <c r="A1949" s="3" t="s">
        <v>3291</v>
      </c>
      <c r="B1949" s="3" t="s">
        <v>3292</v>
      </c>
      <c r="C1949" s="6" t="s">
        <v>518</v>
      </c>
      <c r="D1949" s="6" t="s">
        <v>279</v>
      </c>
      <c r="E1949" s="6" t="s">
        <v>264</v>
      </c>
      <c r="F1949" s="6">
        <v>18679.599999999999</v>
      </c>
      <c r="G1949" s="2">
        <v>1.29</v>
      </c>
      <c r="H1949" s="2">
        <v>1.75</v>
      </c>
      <c r="I1949" s="2">
        <v>2.06</v>
      </c>
      <c r="J1949" s="47">
        <f t="shared" si="150"/>
        <v>0.35658914728682167</v>
      </c>
      <c r="K1949" s="47">
        <f t="shared" si="151"/>
        <v>0.17714285714285719</v>
      </c>
      <c r="M1949" s="8">
        <v>24.33</v>
      </c>
      <c r="N1949" s="8">
        <v>20.6</v>
      </c>
      <c r="O1949" s="17">
        <f t="shared" si="152"/>
        <v>0.68229782608695644</v>
      </c>
      <c r="P1949" s="17">
        <f t="shared" si="153"/>
        <v>1.1629032258064513</v>
      </c>
      <c r="Q1949" s="5">
        <v>1.66</v>
      </c>
      <c r="T1949" s="9">
        <v>5317.3598599999996</v>
      </c>
      <c r="U1949" s="9">
        <v>4560</v>
      </c>
      <c r="V1949" s="45">
        <f t="shared" si="154"/>
        <v>0.16608768859649115</v>
      </c>
      <c r="X1949" s="12">
        <v>2.13</v>
      </c>
    </row>
    <row r="1950" spans="1:25" x14ac:dyDescent="0.45">
      <c r="A1950" s="3" t="s">
        <v>3293</v>
      </c>
      <c r="B1950" s="3" t="s">
        <v>3294</v>
      </c>
      <c r="C1950" s="6" t="s">
        <v>518</v>
      </c>
      <c r="D1950" s="6" t="s">
        <v>189</v>
      </c>
      <c r="E1950" s="6" t="s">
        <v>248</v>
      </c>
      <c r="F1950" s="6">
        <v>71311.789999999994</v>
      </c>
      <c r="G1950" s="2">
        <v>-1</v>
      </c>
      <c r="H1950" s="2">
        <v>-0.56999999999999995</v>
      </c>
      <c r="I1950" s="2">
        <v>-0.51</v>
      </c>
      <c r="J1950" s="47">
        <f t="shared" si="150"/>
        <v>0.43000000000000005</v>
      </c>
      <c r="K1950" s="47">
        <f t="shared" si="151"/>
        <v>0.10526315789473675</v>
      </c>
      <c r="O1950" s="17">
        <f t="shared" si="152"/>
        <v>0</v>
      </c>
      <c r="P1950" s="17">
        <f t="shared" si="153"/>
        <v>0</v>
      </c>
      <c r="T1950" s="9">
        <v>1111.09899</v>
      </c>
      <c r="U1950" s="9">
        <v>592.04999999999995</v>
      </c>
      <c r="V1950" s="45">
        <f t="shared" si="154"/>
        <v>0.87669789713706625</v>
      </c>
      <c r="W1950" s="12">
        <v>-50</v>
      </c>
      <c r="X1950" s="12">
        <v>0</v>
      </c>
      <c r="Y1950" s="12">
        <v>20210825</v>
      </c>
    </row>
    <row r="1951" spans="1:25" x14ac:dyDescent="0.45">
      <c r="A1951" s="3" t="s">
        <v>3295</v>
      </c>
      <c r="B1951" s="3" t="s">
        <v>3296</v>
      </c>
      <c r="C1951" s="6" t="s">
        <v>518</v>
      </c>
      <c r="D1951" s="6" t="s">
        <v>289</v>
      </c>
      <c r="E1951" s="6" t="s">
        <v>1131</v>
      </c>
      <c r="F1951" s="6">
        <v>64349.35</v>
      </c>
      <c r="G1951" s="2">
        <v>4.96</v>
      </c>
      <c r="H1951" s="2">
        <v>7.72</v>
      </c>
      <c r="I1951" s="2">
        <v>7.92</v>
      </c>
      <c r="J1951" s="47">
        <f t="shared" si="150"/>
        <v>0.55645161290322576</v>
      </c>
      <c r="K1951" s="47">
        <f t="shared" si="151"/>
        <v>2.5906735751295359E-2</v>
      </c>
      <c r="L1951" s="8">
        <v>7.14</v>
      </c>
      <c r="M1951" s="8">
        <v>6.88</v>
      </c>
      <c r="N1951" s="8">
        <v>6.71</v>
      </c>
      <c r="O1951" s="17">
        <f t="shared" si="152"/>
        <v>0.12364057971014493</v>
      </c>
      <c r="P1951" s="17">
        <f t="shared" si="153"/>
        <v>2.590059999999998</v>
      </c>
      <c r="R1951" s="9">
        <v>7</v>
      </c>
      <c r="S1951" s="9">
        <v>-10.83</v>
      </c>
      <c r="T1951" s="9">
        <v>393137.1875</v>
      </c>
      <c r="U1951" s="9">
        <v>305211.81</v>
      </c>
      <c r="V1951" s="45">
        <f t="shared" si="154"/>
        <v>0.28807986656872814</v>
      </c>
      <c r="X1951" s="12">
        <v>6.65</v>
      </c>
      <c r="Y1951" s="12">
        <v>20210830</v>
      </c>
    </row>
    <row r="1952" spans="1:25" x14ac:dyDescent="0.45">
      <c r="A1952" s="3" t="s">
        <v>3297</v>
      </c>
      <c r="B1952" s="3" t="s">
        <v>3298</v>
      </c>
      <c r="C1952" s="6" t="s">
        <v>519</v>
      </c>
      <c r="D1952" s="6" t="s">
        <v>189</v>
      </c>
      <c r="E1952" s="6" t="s">
        <v>202</v>
      </c>
      <c r="F1952" s="6">
        <v>39068.33</v>
      </c>
      <c r="G1952" s="2">
        <v>5.55</v>
      </c>
      <c r="H1952" s="2">
        <v>6.45</v>
      </c>
      <c r="I1952" s="2">
        <v>7.29</v>
      </c>
      <c r="J1952" s="47">
        <f t="shared" si="150"/>
        <v>0.16216216216216223</v>
      </c>
      <c r="K1952" s="47">
        <f t="shared" si="151"/>
        <v>0.13023255813953485</v>
      </c>
      <c r="L1952" s="8">
        <v>39.15</v>
      </c>
      <c r="M1952" s="8">
        <v>39.67</v>
      </c>
      <c r="N1952" s="8">
        <v>35.130000000000003</v>
      </c>
      <c r="O1952" s="17">
        <f t="shared" si="152"/>
        <v>2.4463166666666663</v>
      </c>
      <c r="P1952" s="17">
        <f t="shared" si="153"/>
        <v>2.6974821428571438</v>
      </c>
      <c r="Q1952" s="5">
        <v>2.71</v>
      </c>
      <c r="R1952" s="9">
        <v>16.579999999999998</v>
      </c>
      <c r="S1952" s="9">
        <v>10.75</v>
      </c>
      <c r="T1952" s="9">
        <v>4058.4980399999999</v>
      </c>
      <c r="U1952" s="9">
        <v>3685.28</v>
      </c>
      <c r="V1952" s="45">
        <f t="shared" si="154"/>
        <v>0.10127264142751696</v>
      </c>
      <c r="W1952" s="12">
        <v>11.84</v>
      </c>
      <c r="X1952" s="12">
        <v>0</v>
      </c>
      <c r="Y1952" s="12">
        <v>20210818</v>
      </c>
    </row>
    <row r="1953" spans="1:25" x14ac:dyDescent="0.45">
      <c r="A1953" s="3" t="s">
        <v>4369</v>
      </c>
      <c r="B1953" s="3" t="s">
        <v>4370</v>
      </c>
      <c r="C1953" s="6" t="s">
        <v>520</v>
      </c>
      <c r="D1953" s="6" t="s">
        <v>279</v>
      </c>
      <c r="E1953" s="6" t="s">
        <v>264</v>
      </c>
      <c r="F1953" s="6">
        <v>28831</v>
      </c>
      <c r="H1953" s="2">
        <v>0.9</v>
      </c>
      <c r="I1953" s="2">
        <v>1.05</v>
      </c>
      <c r="J1953" s="47" t="e">
        <f t="shared" si="150"/>
        <v>#DIV/0!</v>
      </c>
      <c r="K1953" s="47">
        <f t="shared" si="151"/>
        <v>0.16666666666666669</v>
      </c>
      <c r="M1953" s="8">
        <v>29.12</v>
      </c>
      <c r="N1953" s="8">
        <v>24.96</v>
      </c>
      <c r="O1953" s="17" t="e">
        <f t="shared" si="152"/>
        <v>#DIV/0!</v>
      </c>
      <c r="P1953" s="17">
        <f t="shared" si="153"/>
        <v>1.4976</v>
      </c>
      <c r="T1953" s="9">
        <v>6971.08007</v>
      </c>
      <c r="U1953" s="9">
        <v>5476.71</v>
      </c>
      <c r="V1953" s="45">
        <f t="shared" si="154"/>
        <v>0.27285908328175124</v>
      </c>
      <c r="X1953" s="12">
        <v>0</v>
      </c>
    </row>
    <row r="1954" spans="1:25" x14ac:dyDescent="0.45">
      <c r="A1954" s="3" t="s">
        <v>3299</v>
      </c>
      <c r="B1954" s="3" t="s">
        <v>3300</v>
      </c>
      <c r="C1954" s="6" t="s">
        <v>518</v>
      </c>
      <c r="D1954" s="6" t="s">
        <v>234</v>
      </c>
      <c r="E1954" s="6" t="s">
        <v>172</v>
      </c>
      <c r="F1954" s="6">
        <v>7226.41</v>
      </c>
      <c r="G1954" s="2">
        <v>2.14</v>
      </c>
      <c r="H1954" s="2">
        <v>4.21</v>
      </c>
      <c r="I1954" s="2">
        <v>4.05</v>
      </c>
      <c r="J1954" s="47">
        <f t="shared" si="150"/>
        <v>0.96728971962616805</v>
      </c>
      <c r="K1954" s="47">
        <f t="shared" si="151"/>
        <v>-3.8004750593824264E-2</v>
      </c>
      <c r="L1954" s="8">
        <v>14.26</v>
      </c>
      <c r="M1954" s="8">
        <v>11.54</v>
      </c>
      <c r="N1954" s="8">
        <v>12</v>
      </c>
      <c r="O1954" s="17">
        <f t="shared" si="152"/>
        <v>0.1193024154589372</v>
      </c>
      <c r="P1954" s="17">
        <f t="shared" si="153"/>
        <v>-3.1574999999999966</v>
      </c>
      <c r="Q1954" s="5">
        <v>1.44</v>
      </c>
      <c r="R1954" s="9">
        <v>11.6</v>
      </c>
      <c r="S1954" s="9">
        <v>17.47</v>
      </c>
      <c r="T1954" s="9">
        <v>1933.89599</v>
      </c>
      <c r="U1954" s="9">
        <v>2311.0100000000002</v>
      </c>
      <c r="V1954" s="45">
        <f t="shared" si="154"/>
        <v>-0.16318147043933182</v>
      </c>
      <c r="W1954" s="12">
        <v>30.11</v>
      </c>
      <c r="X1954" s="12">
        <v>2.71</v>
      </c>
      <c r="Y1954" s="12">
        <v>20210720</v>
      </c>
    </row>
    <row r="1955" spans="1:25" x14ac:dyDescent="0.45">
      <c r="A1955" s="3" t="s">
        <v>3301</v>
      </c>
      <c r="B1955" s="3" t="s">
        <v>3302</v>
      </c>
      <c r="C1955" s="6" t="s">
        <v>518</v>
      </c>
      <c r="D1955" s="6" t="s">
        <v>189</v>
      </c>
      <c r="E1955" s="6" t="s">
        <v>195</v>
      </c>
      <c r="F1955" s="6">
        <v>6557.23</v>
      </c>
      <c r="G1955" s="2">
        <v>12.25</v>
      </c>
      <c r="H1955" s="2">
        <v>8.0299999999999994</v>
      </c>
      <c r="I1955" s="2">
        <v>8.5</v>
      </c>
      <c r="J1955" s="47">
        <f t="shared" si="150"/>
        <v>-0.34448979591836743</v>
      </c>
      <c r="K1955" s="47">
        <f t="shared" si="151"/>
        <v>5.8530510585305187E-2</v>
      </c>
      <c r="L1955" s="8">
        <v>10.31</v>
      </c>
      <c r="M1955" s="8">
        <v>15.74</v>
      </c>
      <c r="N1955" s="8">
        <v>14.88</v>
      </c>
      <c r="O1955" s="17">
        <f t="shared" si="152"/>
        <v>-0.45690758293838857</v>
      </c>
      <c r="P1955" s="17">
        <f t="shared" si="153"/>
        <v>2.5422638297872306</v>
      </c>
      <c r="Q1955" s="5">
        <v>1.68</v>
      </c>
      <c r="R1955" s="9">
        <v>17.5</v>
      </c>
      <c r="S1955" s="9">
        <v>15.4</v>
      </c>
      <c r="T1955" s="9">
        <v>20209.792959999999</v>
      </c>
      <c r="U1955" s="9">
        <v>24675.56</v>
      </c>
      <c r="V1955" s="45">
        <f t="shared" si="154"/>
        <v>-0.18097935933368897</v>
      </c>
      <c r="W1955" s="12">
        <v>11.18</v>
      </c>
      <c r="X1955" s="12">
        <v>0.63</v>
      </c>
      <c r="Y1955" s="12">
        <v>20210624</v>
      </c>
    </row>
    <row r="1956" spans="1:25" x14ac:dyDescent="0.45">
      <c r="A1956" s="3" t="s">
        <v>3303</v>
      </c>
      <c r="B1956" s="3" t="s">
        <v>3304</v>
      </c>
      <c r="C1956" s="6" t="s">
        <v>519</v>
      </c>
      <c r="D1956" s="6" t="s">
        <v>279</v>
      </c>
      <c r="E1956" s="6" t="s">
        <v>250</v>
      </c>
      <c r="F1956" s="6">
        <v>132897.06</v>
      </c>
      <c r="G1956" s="2">
        <v>3.57</v>
      </c>
      <c r="H1956" s="2">
        <v>3.79</v>
      </c>
      <c r="I1956" s="2">
        <v>4.28</v>
      </c>
      <c r="J1956" s="47">
        <f t="shared" si="150"/>
        <v>6.1624649859944036E-2</v>
      </c>
      <c r="K1956" s="47">
        <f t="shared" si="151"/>
        <v>0.12928759894459108</v>
      </c>
      <c r="L1956" s="8">
        <v>15.43</v>
      </c>
      <c r="M1956" s="8">
        <v>13.93</v>
      </c>
      <c r="N1956" s="8">
        <v>12.34</v>
      </c>
      <c r="O1956" s="17">
        <f t="shared" si="152"/>
        <v>2.2604590909090887</v>
      </c>
      <c r="P1956" s="17">
        <f t="shared" si="153"/>
        <v>0.95446122448979565</v>
      </c>
      <c r="Q1956" s="5">
        <v>1.42</v>
      </c>
      <c r="R1956" s="9">
        <v>24.12</v>
      </c>
      <c r="S1956" s="9">
        <v>1.47</v>
      </c>
      <c r="T1956" s="9">
        <v>46053.644529999998</v>
      </c>
      <c r="U1956" s="9">
        <v>41166.14</v>
      </c>
      <c r="V1956" s="45">
        <f t="shared" si="154"/>
        <v>0.11872632532464784</v>
      </c>
      <c r="W1956" s="12">
        <v>16.87</v>
      </c>
      <c r="X1956" s="12">
        <v>2.59</v>
      </c>
      <c r="Y1956" s="12">
        <v>20210804</v>
      </c>
    </row>
    <row r="1957" spans="1:25" x14ac:dyDescent="0.45">
      <c r="A1957" s="3" t="s">
        <v>3305</v>
      </c>
      <c r="B1957" s="3" t="s">
        <v>3306</v>
      </c>
      <c r="C1957" s="6" t="s">
        <v>518</v>
      </c>
      <c r="D1957" s="6" t="s">
        <v>327</v>
      </c>
      <c r="E1957" s="6" t="s">
        <v>321</v>
      </c>
      <c r="F1957" s="6">
        <v>67426.25</v>
      </c>
      <c r="G1957" s="2">
        <v>3.2</v>
      </c>
      <c r="H1957" s="2">
        <v>3.33</v>
      </c>
      <c r="I1957" s="2">
        <v>3.57</v>
      </c>
      <c r="J1957" s="47">
        <f t="shared" si="150"/>
        <v>4.0624999999999967E-2</v>
      </c>
      <c r="K1957" s="47">
        <f t="shared" si="151"/>
        <v>7.2072072072072002E-2</v>
      </c>
      <c r="L1957" s="8">
        <v>18.440000000000001</v>
      </c>
      <c r="M1957" s="8">
        <v>19.13</v>
      </c>
      <c r="N1957" s="8">
        <v>17.82</v>
      </c>
      <c r="O1957" s="17">
        <f t="shared" si="152"/>
        <v>4.7089230769230808</v>
      </c>
      <c r="P1957" s="17">
        <f t="shared" si="153"/>
        <v>2.4725250000000023</v>
      </c>
      <c r="Q1957" s="5">
        <v>3.88</v>
      </c>
      <c r="R1957" s="9">
        <v>11.28</v>
      </c>
      <c r="S1957" s="9">
        <v>0.9</v>
      </c>
      <c r="T1957" s="9">
        <v>21798.376950000002</v>
      </c>
      <c r="U1957" s="9">
        <v>20375</v>
      </c>
      <c r="V1957" s="45">
        <f t="shared" si="154"/>
        <v>6.9858991411043028E-2</v>
      </c>
      <c r="W1957" s="12">
        <v>15.29</v>
      </c>
      <c r="X1957" s="12">
        <v>4.1500000000000004</v>
      </c>
      <c r="Y1957" s="12">
        <v>20210729</v>
      </c>
    </row>
    <row r="1958" spans="1:25" x14ac:dyDescent="0.45">
      <c r="A1958" s="3" t="s">
        <v>4371</v>
      </c>
      <c r="B1958" s="3" t="s">
        <v>4372</v>
      </c>
      <c r="C1958" s="6" t="s">
        <v>519</v>
      </c>
      <c r="D1958" s="6" t="s">
        <v>175</v>
      </c>
      <c r="E1958" s="6" t="s">
        <v>305</v>
      </c>
      <c r="F1958" s="6">
        <v>18159.48</v>
      </c>
      <c r="H1958" s="2">
        <v>-0.19</v>
      </c>
      <c r="I1958" s="2">
        <v>0.02</v>
      </c>
      <c r="J1958" s="47" t="e">
        <f t="shared" si="150"/>
        <v>#DIV/0!</v>
      </c>
      <c r="K1958" s="47">
        <f t="shared" si="151"/>
        <v>1.1052631578947367</v>
      </c>
      <c r="N1958" s="8">
        <v>1135.5</v>
      </c>
      <c r="O1958" s="17" t="e">
        <f t="shared" si="152"/>
        <v>#DIV/0!</v>
      </c>
      <c r="P1958" s="17">
        <f t="shared" si="153"/>
        <v>10.273571428571429</v>
      </c>
      <c r="T1958" s="9">
        <v>1005</v>
      </c>
      <c r="V1958" s="45" t="e">
        <f t="shared" si="154"/>
        <v>#DIV/0!</v>
      </c>
      <c r="X1958" s="12">
        <v>0</v>
      </c>
    </row>
    <row r="1959" spans="1:25" x14ac:dyDescent="0.45">
      <c r="A1959" s="3" t="s">
        <v>4972</v>
      </c>
      <c r="B1959" s="3" t="s">
        <v>4973</v>
      </c>
      <c r="C1959" s="6" t="s">
        <v>518</v>
      </c>
      <c r="D1959" s="6" t="s">
        <v>189</v>
      </c>
      <c r="E1959" s="6" t="s">
        <v>248</v>
      </c>
      <c r="F1959" s="6">
        <v>3251.89</v>
      </c>
      <c r="J1959" s="47" t="e">
        <f t="shared" si="150"/>
        <v>#DIV/0!</v>
      </c>
      <c r="K1959" s="47" t="e">
        <f t="shared" si="151"/>
        <v>#DIV/0!</v>
      </c>
      <c r="O1959" s="17" t="e">
        <f t="shared" si="152"/>
        <v>#DIV/0!</v>
      </c>
      <c r="P1959" s="17" t="e">
        <f t="shared" si="153"/>
        <v>#DIV/0!</v>
      </c>
      <c r="R1959" s="9">
        <v>-4.1500000000000004</v>
      </c>
      <c r="S1959" s="9">
        <v>-9.0399999999999991</v>
      </c>
      <c r="U1959" s="9">
        <v>924.66</v>
      </c>
      <c r="V1959" s="45">
        <f t="shared" si="154"/>
        <v>-1</v>
      </c>
      <c r="W1959" s="12">
        <v>-350</v>
      </c>
      <c r="X1959" s="12">
        <v>0</v>
      </c>
      <c r="Y1959" s="12">
        <v>20210809</v>
      </c>
    </row>
    <row r="1960" spans="1:25" x14ac:dyDescent="0.45">
      <c r="A1960" s="3" t="s">
        <v>3307</v>
      </c>
      <c r="B1960" s="3" t="s">
        <v>3308</v>
      </c>
      <c r="C1960" s="6" t="s">
        <v>520</v>
      </c>
      <c r="D1960" s="6" t="s">
        <v>272</v>
      </c>
      <c r="E1960" s="6" t="s">
        <v>254</v>
      </c>
      <c r="F1960" s="6">
        <v>3550.28</v>
      </c>
      <c r="G1960" s="2">
        <v>0.57999999999999996</v>
      </c>
      <c r="H1960" s="2">
        <v>0.72</v>
      </c>
      <c r="I1960" s="2">
        <v>0.88</v>
      </c>
      <c r="J1960" s="47">
        <f t="shared" si="150"/>
        <v>0.24137931034482762</v>
      </c>
      <c r="K1960" s="47">
        <f t="shared" si="151"/>
        <v>0.22222222222222227</v>
      </c>
      <c r="L1960" s="8">
        <v>11.5</v>
      </c>
      <c r="M1960" s="8">
        <v>10.06</v>
      </c>
      <c r="N1960" s="8">
        <v>8.23</v>
      </c>
      <c r="O1960" s="17">
        <f t="shared" si="152"/>
        <v>0.41677142857142851</v>
      </c>
      <c r="P1960" s="17">
        <f t="shared" si="153"/>
        <v>0.37034999999999996</v>
      </c>
      <c r="R1960" s="9">
        <v>6.71</v>
      </c>
      <c r="T1960" s="9">
        <v>8870</v>
      </c>
      <c r="U1960" s="9">
        <v>8010.01</v>
      </c>
      <c r="V1960" s="45">
        <f t="shared" si="154"/>
        <v>0.10736441028163507</v>
      </c>
      <c r="W1960" s="12">
        <v>27.78</v>
      </c>
      <c r="X1960" s="12">
        <v>0.2</v>
      </c>
      <c r="Y1960" s="12">
        <v>20210806</v>
      </c>
    </row>
    <row r="1961" spans="1:25" x14ac:dyDescent="0.45">
      <c r="A1961" s="3" t="s">
        <v>3309</v>
      </c>
      <c r="B1961" s="3" t="s">
        <v>3310</v>
      </c>
      <c r="C1961" s="6" t="s">
        <v>520</v>
      </c>
      <c r="D1961" s="6" t="s">
        <v>175</v>
      </c>
      <c r="E1961" s="6" t="s">
        <v>194</v>
      </c>
      <c r="F1961" s="6">
        <v>18803.5</v>
      </c>
      <c r="G1961" s="2">
        <v>0.87</v>
      </c>
      <c r="H1961" s="2">
        <v>0.97</v>
      </c>
      <c r="I1961" s="2">
        <v>1.01</v>
      </c>
      <c r="J1961" s="47">
        <f t="shared" si="150"/>
        <v>0.11494252873563215</v>
      </c>
      <c r="K1961" s="47">
        <f t="shared" si="151"/>
        <v>4.1237113402061897E-2</v>
      </c>
      <c r="L1961" s="8">
        <v>23.43</v>
      </c>
      <c r="M1961" s="8">
        <v>20.77</v>
      </c>
      <c r="N1961" s="8">
        <v>19.95</v>
      </c>
      <c r="O1961" s="17">
        <f t="shared" si="152"/>
        <v>1.8069900000000003</v>
      </c>
      <c r="P1961" s="17">
        <f t="shared" si="153"/>
        <v>4.837874999999995</v>
      </c>
      <c r="R1961" s="9">
        <v>6.92</v>
      </c>
      <c r="T1961" s="9">
        <v>9714.0898400000005</v>
      </c>
      <c r="U1961" s="9">
        <v>9752.64</v>
      </c>
      <c r="V1961" s="45">
        <f t="shared" si="154"/>
        <v>-3.9527922695802237E-3</v>
      </c>
      <c r="X1961" s="12">
        <v>0.69</v>
      </c>
      <c r="Y1961" s="12">
        <v>20210615</v>
      </c>
    </row>
    <row r="1962" spans="1:25" x14ac:dyDescent="0.45">
      <c r="A1962" s="3" t="s">
        <v>3914</v>
      </c>
      <c r="B1962" s="3" t="s">
        <v>3915</v>
      </c>
      <c r="C1962" s="6" t="s">
        <v>520</v>
      </c>
      <c r="D1962" s="6" t="s">
        <v>90</v>
      </c>
      <c r="E1962" s="6" t="s">
        <v>196</v>
      </c>
      <c r="F1962" s="6">
        <v>9270.5</v>
      </c>
      <c r="G1962" s="2">
        <v>0.96</v>
      </c>
      <c r="H1962" s="2">
        <v>3.36</v>
      </c>
      <c r="I1962" s="2">
        <v>3.11</v>
      </c>
      <c r="J1962" s="47">
        <f t="shared" si="150"/>
        <v>2.5</v>
      </c>
      <c r="K1962" s="47">
        <f t="shared" si="151"/>
        <v>-7.4404761904761904E-2</v>
      </c>
      <c r="M1962" s="8">
        <v>8.33</v>
      </c>
      <c r="N1962" s="8">
        <v>9</v>
      </c>
      <c r="O1962" s="17">
        <f t="shared" si="152"/>
        <v>3.3320000000000002E-2</v>
      </c>
      <c r="P1962" s="17">
        <f t="shared" si="153"/>
        <v>-1.2096</v>
      </c>
      <c r="T1962" s="9">
        <v>22181.820309999999</v>
      </c>
      <c r="U1962" s="9">
        <v>20452.12</v>
      </c>
      <c r="V1962" s="45">
        <f t="shared" si="154"/>
        <v>8.4573154763418187E-2</v>
      </c>
      <c r="X1962" s="12">
        <v>2.11</v>
      </c>
      <c r="Y1962" s="12">
        <v>20210611</v>
      </c>
    </row>
    <row r="1963" spans="1:25" x14ac:dyDescent="0.45">
      <c r="A1963" s="3" t="s">
        <v>3311</v>
      </c>
      <c r="B1963" s="3" t="s">
        <v>3312</v>
      </c>
      <c r="C1963" s="6" t="s">
        <v>518</v>
      </c>
      <c r="D1963" s="6" t="s">
        <v>272</v>
      </c>
      <c r="E1963" s="6" t="s">
        <v>207</v>
      </c>
      <c r="F1963" s="6">
        <v>6712.94</v>
      </c>
      <c r="G1963" s="2">
        <v>3.36</v>
      </c>
      <c r="H1963" s="2">
        <v>3.57</v>
      </c>
      <c r="I1963" s="2">
        <v>3.83</v>
      </c>
      <c r="J1963" s="47">
        <f t="shared" si="150"/>
        <v>6.2499999999999993E-2</v>
      </c>
      <c r="K1963" s="47">
        <f t="shared" si="151"/>
        <v>7.2829131652661139E-2</v>
      </c>
      <c r="L1963" s="8">
        <v>19.8</v>
      </c>
      <c r="M1963" s="8">
        <v>18.670000000000002</v>
      </c>
      <c r="N1963" s="8">
        <v>17.43</v>
      </c>
      <c r="O1963" s="17">
        <f t="shared" si="152"/>
        <v>2.9872000000000005</v>
      </c>
      <c r="P1963" s="17">
        <f t="shared" si="153"/>
        <v>2.3932730769230743</v>
      </c>
      <c r="Q1963" s="5">
        <v>3.73</v>
      </c>
      <c r="R1963" s="9">
        <v>18.2</v>
      </c>
      <c r="S1963" s="9">
        <v>2.36</v>
      </c>
      <c r="T1963" s="9">
        <v>5361.1499000000003</v>
      </c>
      <c r="U1963" s="9">
        <v>5237.4399999999996</v>
      </c>
      <c r="V1963" s="45">
        <f t="shared" si="154"/>
        <v>2.362029923015839E-2</v>
      </c>
      <c r="W1963" s="12">
        <v>5.88</v>
      </c>
      <c r="X1963" s="12">
        <v>2.7</v>
      </c>
      <c r="Y1963" s="12">
        <v>20210715</v>
      </c>
    </row>
    <row r="1964" spans="1:25" x14ac:dyDescent="0.45">
      <c r="A1964" s="3" t="s">
        <v>3916</v>
      </c>
      <c r="B1964" s="3" t="s">
        <v>3917</v>
      </c>
      <c r="C1964" s="6" t="s">
        <v>519</v>
      </c>
      <c r="D1964" s="6" t="s">
        <v>216</v>
      </c>
      <c r="E1964" s="6" t="s">
        <v>1464</v>
      </c>
      <c r="F1964" s="6">
        <v>4349.71</v>
      </c>
      <c r="G1964" s="2">
        <v>-0.33</v>
      </c>
      <c r="H1964" s="2">
        <v>0.85</v>
      </c>
      <c r="I1964" s="2">
        <v>0.92</v>
      </c>
      <c r="J1964" s="47">
        <f t="shared" si="150"/>
        <v>3.5757575757575752</v>
      </c>
      <c r="K1964" s="47">
        <f t="shared" si="151"/>
        <v>8.235294117647067E-2</v>
      </c>
      <c r="L1964" s="8">
        <v>25.11</v>
      </c>
      <c r="M1964" s="8">
        <v>41.07</v>
      </c>
      <c r="N1964" s="8">
        <v>38.049999999999997</v>
      </c>
      <c r="O1964" s="17">
        <f t="shared" si="152"/>
        <v>0.11485677966101697</v>
      </c>
      <c r="P1964" s="17">
        <f t="shared" si="153"/>
        <v>4.6203571428571379</v>
      </c>
      <c r="Q1964" s="5">
        <v>1.18</v>
      </c>
      <c r="R1964" s="9">
        <v>43.14</v>
      </c>
      <c r="S1964" s="9">
        <v>10.68</v>
      </c>
      <c r="T1964" s="9">
        <v>1662.84899</v>
      </c>
      <c r="U1964" s="9">
        <v>1326.33</v>
      </c>
      <c r="V1964" s="45">
        <f t="shared" si="154"/>
        <v>0.25372191686835105</v>
      </c>
      <c r="W1964" s="12">
        <v>240.91</v>
      </c>
      <c r="X1964" s="12">
        <v>0</v>
      </c>
      <c r="Y1964" s="12">
        <v>20210804</v>
      </c>
    </row>
    <row r="1965" spans="1:25" x14ac:dyDescent="0.45">
      <c r="A1965" s="3" t="s">
        <v>3313</v>
      </c>
      <c r="B1965" s="3" t="s">
        <v>3314</v>
      </c>
      <c r="C1965" s="6" t="s">
        <v>520</v>
      </c>
      <c r="D1965" s="6" t="s">
        <v>279</v>
      </c>
      <c r="E1965" s="6" t="s">
        <v>262</v>
      </c>
      <c r="F1965" s="6">
        <v>23360.43</v>
      </c>
      <c r="G1965" s="2">
        <v>1.62</v>
      </c>
      <c r="H1965" s="2">
        <v>2.4900000000000002</v>
      </c>
      <c r="I1965" s="2">
        <v>2.92</v>
      </c>
      <c r="J1965" s="47">
        <f t="shared" si="150"/>
        <v>0.53703703703703709</v>
      </c>
      <c r="K1965" s="47">
        <f t="shared" si="151"/>
        <v>0.17269076305220871</v>
      </c>
      <c r="M1965" s="8">
        <v>29.14</v>
      </c>
      <c r="N1965" s="8">
        <v>24.85</v>
      </c>
      <c r="O1965" s="17">
        <f t="shared" si="152"/>
        <v>0.54260689655172412</v>
      </c>
      <c r="P1965" s="17">
        <f t="shared" si="153"/>
        <v>1.4389883720930243</v>
      </c>
      <c r="T1965" s="9">
        <v>3689.3998999999999</v>
      </c>
      <c r="U1965" s="9">
        <v>2820.88</v>
      </c>
      <c r="V1965" s="45">
        <f t="shared" si="154"/>
        <v>0.3078897010861858</v>
      </c>
      <c r="X1965" s="12">
        <v>0</v>
      </c>
    </row>
    <row r="1966" spans="1:25" x14ac:dyDescent="0.45">
      <c r="A1966" s="3" t="s">
        <v>3290</v>
      </c>
      <c r="B1966" s="3" t="s">
        <v>4373</v>
      </c>
      <c r="C1966" s="6" t="s">
        <v>518</v>
      </c>
      <c r="D1966" s="6" t="s">
        <v>216</v>
      </c>
      <c r="E1966" s="6" t="s">
        <v>1464</v>
      </c>
      <c r="F1966" s="6">
        <v>119234.04</v>
      </c>
      <c r="G1966" s="2">
        <v>8.57</v>
      </c>
      <c r="H1966" s="2">
        <v>5.78</v>
      </c>
      <c r="I1966" s="2">
        <v>6.78</v>
      </c>
      <c r="J1966" s="47">
        <f t="shared" si="150"/>
        <v>-0.32555425904317387</v>
      </c>
      <c r="K1966" s="47">
        <f t="shared" si="151"/>
        <v>0.17301038062283736</v>
      </c>
      <c r="L1966" s="8">
        <v>11.28</v>
      </c>
      <c r="M1966" s="8">
        <v>16.89</v>
      </c>
      <c r="N1966" s="8">
        <v>14.41</v>
      </c>
      <c r="O1966" s="17">
        <f t="shared" si="152"/>
        <v>-0.51880752688172038</v>
      </c>
      <c r="P1966" s="17">
        <f t="shared" si="153"/>
        <v>0.83289800000000003</v>
      </c>
      <c r="Q1966" s="5">
        <v>1.45</v>
      </c>
      <c r="R1966" s="9">
        <v>21.7</v>
      </c>
      <c r="S1966" s="9">
        <v>3.32</v>
      </c>
      <c r="T1966" s="9">
        <v>91187.125</v>
      </c>
      <c r="U1966" s="9">
        <v>84899.21</v>
      </c>
      <c r="V1966" s="45">
        <f t="shared" si="154"/>
        <v>7.4063292226158442E-2</v>
      </c>
      <c r="W1966" s="12">
        <v>118.92</v>
      </c>
      <c r="X1966" s="12">
        <v>0.43</v>
      </c>
      <c r="Y1966" s="12">
        <v>20210803</v>
      </c>
    </row>
    <row r="1967" spans="1:25" x14ac:dyDescent="0.45">
      <c r="A1967" s="3" t="s">
        <v>3315</v>
      </c>
      <c r="B1967" s="3" t="s">
        <v>3316</v>
      </c>
      <c r="C1967" s="6" t="s">
        <v>520</v>
      </c>
      <c r="D1967" s="6" t="s">
        <v>90</v>
      </c>
      <c r="E1967" s="6" t="s">
        <v>268</v>
      </c>
      <c r="F1967" s="6">
        <v>11013.79</v>
      </c>
      <c r="G1967" s="2">
        <v>0.22</v>
      </c>
      <c r="H1967" s="2">
        <v>0.56999999999999995</v>
      </c>
      <c r="I1967" s="2">
        <v>1.1399999999999999</v>
      </c>
      <c r="J1967" s="47">
        <f t="shared" si="150"/>
        <v>1.5909090909090908</v>
      </c>
      <c r="K1967" s="47">
        <f t="shared" si="151"/>
        <v>1</v>
      </c>
      <c r="M1967" s="8">
        <v>20.3</v>
      </c>
      <c r="N1967" s="8">
        <v>10.24</v>
      </c>
      <c r="O1967" s="17">
        <f t="shared" si="152"/>
        <v>0.12759999999999999</v>
      </c>
      <c r="P1967" s="17">
        <f t="shared" si="153"/>
        <v>0.1024</v>
      </c>
      <c r="T1967" s="9">
        <v>6193.8198199999997</v>
      </c>
      <c r="U1967" s="9">
        <v>6075</v>
      </c>
      <c r="V1967" s="45">
        <f t="shared" si="154"/>
        <v>1.9558818106995838E-2</v>
      </c>
      <c r="X1967" s="12">
        <v>1.1000000000000001</v>
      </c>
    </row>
    <row r="1968" spans="1:25" x14ac:dyDescent="0.45">
      <c r="A1968" s="3" t="s">
        <v>3317</v>
      </c>
      <c r="B1968" s="3" t="s">
        <v>3318</v>
      </c>
      <c r="C1968" s="6" t="s">
        <v>518</v>
      </c>
      <c r="D1968" s="6" t="s">
        <v>216</v>
      </c>
      <c r="E1968" s="6" t="s">
        <v>946</v>
      </c>
      <c r="F1968" s="6">
        <v>3691.23</v>
      </c>
      <c r="G1968" s="2">
        <v>3.61</v>
      </c>
      <c r="H1968" s="2">
        <v>6.07</v>
      </c>
      <c r="I1968" s="2">
        <v>5.78</v>
      </c>
      <c r="J1968" s="47">
        <f t="shared" si="150"/>
        <v>0.68144044321329655</v>
      </c>
      <c r="K1968" s="47">
        <f t="shared" si="151"/>
        <v>-4.7775947281713346E-2</v>
      </c>
      <c r="L1968" s="8">
        <v>12.42</v>
      </c>
      <c r="M1968" s="8">
        <v>14.25</v>
      </c>
      <c r="N1968" s="8">
        <v>14.99</v>
      </c>
      <c r="O1968" s="17">
        <f t="shared" si="152"/>
        <v>0.20911585365853652</v>
      </c>
      <c r="P1968" s="17">
        <f t="shared" si="153"/>
        <v>-3.1375620689655173</v>
      </c>
      <c r="R1968" s="9">
        <v>20.92</v>
      </c>
      <c r="S1968" s="9">
        <v>-6.63</v>
      </c>
      <c r="T1968" s="9">
        <v>4571.5751899999996</v>
      </c>
      <c r="U1968" s="9">
        <v>3964.2</v>
      </c>
      <c r="V1968" s="45">
        <f t="shared" si="154"/>
        <v>0.1532150723979617</v>
      </c>
      <c r="W1968" s="12">
        <v>83.33</v>
      </c>
      <c r="X1968" s="12">
        <v>1.94</v>
      </c>
      <c r="Y1968" s="12">
        <v>20210730</v>
      </c>
    </row>
    <row r="1969" spans="1:25" x14ac:dyDescent="0.45">
      <c r="A1969" s="3" t="s">
        <v>3319</v>
      </c>
      <c r="B1969" s="3" t="s">
        <v>3320</v>
      </c>
      <c r="C1969" s="6" t="s">
        <v>518</v>
      </c>
      <c r="D1969" s="6" t="s">
        <v>10</v>
      </c>
      <c r="E1969" s="6" t="s">
        <v>17</v>
      </c>
      <c r="F1969" s="6">
        <v>8463.4500000000007</v>
      </c>
      <c r="G1969" s="2">
        <v>-1.29</v>
      </c>
      <c r="H1969" s="2">
        <v>-1.2</v>
      </c>
      <c r="I1969" s="2">
        <v>-0.59</v>
      </c>
      <c r="J1969" s="47">
        <f t="shared" si="150"/>
        <v>6.9767441860465171E-2</v>
      </c>
      <c r="K1969" s="47">
        <f t="shared" si="151"/>
        <v>0.5083333333333333</v>
      </c>
      <c r="O1969" s="17">
        <f t="shared" si="152"/>
        <v>0</v>
      </c>
      <c r="P1969" s="17">
        <f t="shared" si="153"/>
        <v>0</v>
      </c>
      <c r="R1969" s="9">
        <v>-67.709999999999994</v>
      </c>
      <c r="T1969" s="9">
        <v>1.8354999999999999</v>
      </c>
      <c r="U1969" s="9">
        <v>0.24</v>
      </c>
      <c r="V1969" s="45">
        <f t="shared" si="154"/>
        <v>6.6479166666666663</v>
      </c>
      <c r="W1969" s="12">
        <v>-77.42</v>
      </c>
      <c r="X1969" s="12">
        <v>0</v>
      </c>
      <c r="Y1969" s="12">
        <v>20210802</v>
      </c>
    </row>
    <row r="1970" spans="1:25" x14ac:dyDescent="0.45">
      <c r="A1970" s="3" t="s">
        <v>3321</v>
      </c>
      <c r="B1970" s="3" t="s">
        <v>3322</v>
      </c>
      <c r="C1970" s="6" t="s">
        <v>518</v>
      </c>
      <c r="D1970" s="6" t="s">
        <v>234</v>
      </c>
      <c r="E1970" s="6" t="s">
        <v>288</v>
      </c>
      <c r="F1970" s="6">
        <v>44546.66</v>
      </c>
      <c r="G1970" s="2">
        <v>9.16</v>
      </c>
      <c r="H1970" s="2">
        <v>9.7899999999999991</v>
      </c>
      <c r="I1970" s="2">
        <v>10.220000000000001</v>
      </c>
      <c r="J1970" s="47">
        <f t="shared" si="150"/>
        <v>6.8777292576419111E-2</v>
      </c>
      <c r="K1970" s="47">
        <f t="shared" si="151"/>
        <v>4.3922369765066548E-2</v>
      </c>
      <c r="L1970" s="8">
        <v>15.37</v>
      </c>
      <c r="M1970" s="8">
        <v>13.85</v>
      </c>
      <c r="N1970" s="8">
        <v>13.26</v>
      </c>
      <c r="O1970" s="17">
        <f t="shared" si="152"/>
        <v>2.0137460317460349</v>
      </c>
      <c r="P1970" s="17">
        <f t="shared" si="153"/>
        <v>3.0189627906976639</v>
      </c>
      <c r="Q1970" s="5">
        <v>3.39</v>
      </c>
      <c r="R1970" s="9">
        <v>40.130000000000003</v>
      </c>
      <c r="S1970" s="9">
        <v>-1.96</v>
      </c>
      <c r="T1970" s="9">
        <v>4926.6518500000002</v>
      </c>
      <c r="U1970" s="9">
        <v>4607.5</v>
      </c>
      <c r="V1970" s="45">
        <f t="shared" si="154"/>
        <v>6.9267900162778118E-2</v>
      </c>
      <c r="W1970" s="12">
        <v>10.220000000000001</v>
      </c>
      <c r="X1970" s="12">
        <v>3.84</v>
      </c>
      <c r="Y1970" s="12">
        <v>20210809</v>
      </c>
    </row>
    <row r="1971" spans="1:25" x14ac:dyDescent="0.45">
      <c r="A1971" s="3" t="s">
        <v>3323</v>
      </c>
      <c r="B1971" s="3" t="s">
        <v>3324</v>
      </c>
      <c r="C1971" s="6" t="s">
        <v>518</v>
      </c>
      <c r="D1971" s="6" t="s">
        <v>175</v>
      </c>
      <c r="E1971" s="6" t="s">
        <v>193</v>
      </c>
      <c r="F1971" s="6">
        <v>92647.33</v>
      </c>
      <c r="G1971" s="2">
        <v>11.51</v>
      </c>
      <c r="H1971" s="2">
        <v>12.72</v>
      </c>
      <c r="I1971" s="2">
        <v>13.91</v>
      </c>
      <c r="J1971" s="47">
        <f t="shared" si="150"/>
        <v>0.10512597741094708</v>
      </c>
      <c r="K1971" s="47">
        <f t="shared" si="151"/>
        <v>9.3553459119496807E-2</v>
      </c>
      <c r="L1971" s="8">
        <v>31.14</v>
      </c>
      <c r="M1971" s="8">
        <v>30.23</v>
      </c>
      <c r="N1971" s="8">
        <v>27.65</v>
      </c>
      <c r="O1971" s="17">
        <f t="shared" si="152"/>
        <v>2.875597520661155</v>
      </c>
      <c r="P1971" s="17">
        <f t="shared" si="153"/>
        <v>2.9555294117647075</v>
      </c>
      <c r="Q1971" s="5">
        <v>3.02</v>
      </c>
      <c r="R1971" s="9">
        <v>490.35</v>
      </c>
      <c r="S1971" s="9">
        <v>6.62</v>
      </c>
      <c r="T1971" s="9">
        <v>7923.4467699999996</v>
      </c>
      <c r="U1971" s="9">
        <v>7442</v>
      </c>
      <c r="V1971" s="45">
        <f t="shared" si="154"/>
        <v>6.4693196721311422E-2</v>
      </c>
      <c r="W1971" s="12">
        <v>8.31</v>
      </c>
      <c r="X1971" s="12">
        <v>0.8</v>
      </c>
      <c r="Y1971" s="12">
        <v>20210727</v>
      </c>
    </row>
    <row r="1972" spans="1:25" x14ac:dyDescent="0.45">
      <c r="A1972" s="3" t="s">
        <v>3325</v>
      </c>
      <c r="B1972" s="3" t="s">
        <v>3326</v>
      </c>
      <c r="C1972" s="6" t="s">
        <v>520</v>
      </c>
      <c r="D1972" s="6" t="s">
        <v>327</v>
      </c>
      <c r="E1972" s="6" t="s">
        <v>1149</v>
      </c>
      <c r="F1972" s="6">
        <v>6315.84</v>
      </c>
      <c r="G1972" s="2">
        <v>0.71</v>
      </c>
      <c r="H1972" s="2">
        <v>0.81</v>
      </c>
      <c r="I1972" s="2">
        <v>0.83</v>
      </c>
      <c r="J1972" s="47">
        <f t="shared" si="150"/>
        <v>0.14084507042253536</v>
      </c>
      <c r="K1972" s="47">
        <f t="shared" si="151"/>
        <v>2.4691358024691242E-2</v>
      </c>
      <c r="M1972" s="8">
        <v>21.24</v>
      </c>
      <c r="N1972" s="8">
        <v>20.72</v>
      </c>
      <c r="O1972" s="17">
        <f t="shared" si="152"/>
        <v>1.5080399999999983</v>
      </c>
      <c r="P1972" s="17">
        <f t="shared" si="153"/>
        <v>8.3916000000000395</v>
      </c>
      <c r="Q1972" s="5">
        <v>14.45</v>
      </c>
      <c r="U1972" s="9">
        <v>2412.92</v>
      </c>
      <c r="V1972" s="45">
        <f t="shared" si="154"/>
        <v>-1</v>
      </c>
      <c r="X1972" s="12">
        <v>4.0999999999999996</v>
      </c>
    </row>
    <row r="1973" spans="1:25" x14ac:dyDescent="0.45">
      <c r="A1973" s="3" t="s">
        <v>3327</v>
      </c>
      <c r="B1973" s="3" t="s">
        <v>3328</v>
      </c>
      <c r="C1973" s="6" t="s">
        <v>519</v>
      </c>
      <c r="D1973" s="6" t="s">
        <v>189</v>
      </c>
      <c r="E1973" s="6" t="s">
        <v>248</v>
      </c>
      <c r="F1973" s="6">
        <v>19016.810000000001</v>
      </c>
      <c r="G1973" s="2">
        <v>-0.94</v>
      </c>
      <c r="H1973" s="2">
        <v>-1.46</v>
      </c>
      <c r="I1973" s="2">
        <v>-0.64</v>
      </c>
      <c r="J1973" s="47">
        <f t="shared" si="150"/>
        <v>-0.55319148936170215</v>
      </c>
      <c r="K1973" s="47">
        <f t="shared" si="151"/>
        <v>0.56164383561643838</v>
      </c>
      <c r="O1973" s="17">
        <f t="shared" si="152"/>
        <v>0</v>
      </c>
      <c r="P1973" s="17">
        <f t="shared" si="153"/>
        <v>0</v>
      </c>
      <c r="R1973" s="9">
        <v>-46.99</v>
      </c>
      <c r="S1973" s="9">
        <v>19.440000000000001</v>
      </c>
      <c r="T1973" s="9">
        <v>2520.0729900000001</v>
      </c>
      <c r="U1973" s="9">
        <v>2229.39</v>
      </c>
      <c r="V1973" s="45">
        <f t="shared" si="154"/>
        <v>0.13038678293165407</v>
      </c>
      <c r="W1973" s="12">
        <v>-26.39</v>
      </c>
      <c r="X1973" s="12">
        <v>0</v>
      </c>
      <c r="Y1973" s="12">
        <v>20210825</v>
      </c>
    </row>
    <row r="1974" spans="1:25" x14ac:dyDescent="0.45">
      <c r="A1974" s="3" t="s">
        <v>3329</v>
      </c>
      <c r="B1974" s="3" t="s">
        <v>3330</v>
      </c>
      <c r="C1974" s="6" t="s">
        <v>518</v>
      </c>
      <c r="D1974" s="6" t="s">
        <v>175</v>
      </c>
      <c r="E1974" s="6" t="s">
        <v>305</v>
      </c>
      <c r="F1974" s="6">
        <v>42607.01</v>
      </c>
      <c r="G1974" s="2">
        <v>-3.65</v>
      </c>
      <c r="H1974" s="2">
        <v>-1.45</v>
      </c>
      <c r="I1974" s="2">
        <v>-0.05</v>
      </c>
      <c r="J1974" s="47">
        <f t="shared" si="150"/>
        <v>0.60273972602739734</v>
      </c>
      <c r="K1974" s="47">
        <f t="shared" si="151"/>
        <v>0.96551724137931028</v>
      </c>
      <c r="O1974" s="17">
        <f t="shared" si="152"/>
        <v>0</v>
      </c>
      <c r="P1974" s="17">
        <f t="shared" si="153"/>
        <v>0</v>
      </c>
      <c r="R1974" s="9">
        <v>-20.47</v>
      </c>
      <c r="T1974" s="9">
        <v>11358.150390000001</v>
      </c>
      <c r="U1974" s="9">
        <v>9000.56</v>
      </c>
      <c r="V1974" s="45">
        <f t="shared" si="154"/>
        <v>0.2619381894015485</v>
      </c>
      <c r="W1974" s="12">
        <v>50.82</v>
      </c>
      <c r="X1974" s="12">
        <v>0</v>
      </c>
      <c r="Y1974" s="12">
        <v>20210804</v>
      </c>
    </row>
    <row r="1975" spans="1:25" x14ac:dyDescent="0.45">
      <c r="A1975" s="3" t="s">
        <v>3331</v>
      </c>
      <c r="B1975" s="3" t="s">
        <v>3332</v>
      </c>
      <c r="C1975" s="6" t="s">
        <v>518</v>
      </c>
      <c r="D1975" s="6" t="s">
        <v>10</v>
      </c>
      <c r="E1975" s="6" t="s">
        <v>29</v>
      </c>
      <c r="F1975" s="6">
        <v>5410.13</v>
      </c>
      <c r="G1975" s="2">
        <v>-5.03</v>
      </c>
      <c r="H1975" s="2">
        <v>-2.57</v>
      </c>
      <c r="I1975" s="2">
        <v>0.31</v>
      </c>
      <c r="J1975" s="47">
        <f t="shared" si="150"/>
        <v>0.48906560636182911</v>
      </c>
      <c r="K1975" s="47">
        <f t="shared" si="151"/>
        <v>1.1206225680933852</v>
      </c>
      <c r="N1975" s="8">
        <v>162.91999999999999</v>
      </c>
      <c r="O1975" s="17">
        <f t="shared" si="152"/>
        <v>0</v>
      </c>
      <c r="P1975" s="17">
        <f t="shared" si="153"/>
        <v>1.4538347222222221</v>
      </c>
      <c r="R1975" s="9">
        <v>-64</v>
      </c>
      <c r="S1975" s="9">
        <v>-9.08</v>
      </c>
      <c r="T1975" s="9">
        <v>3999.5300200000001</v>
      </c>
      <c r="U1975" s="9">
        <v>3404.8</v>
      </c>
      <c r="V1975" s="45">
        <f t="shared" si="154"/>
        <v>0.17467399553571428</v>
      </c>
      <c r="W1975" s="12">
        <v>-31.18</v>
      </c>
      <c r="X1975" s="12">
        <v>0.08</v>
      </c>
      <c r="Y1975" s="12">
        <v>20210803</v>
      </c>
    </row>
    <row r="1976" spans="1:25" x14ac:dyDescent="0.45">
      <c r="A1976" s="3" t="s">
        <v>3333</v>
      </c>
      <c r="B1976" s="3" t="s">
        <v>3334</v>
      </c>
      <c r="C1976" s="6" t="s">
        <v>519</v>
      </c>
      <c r="D1976" s="6" t="s">
        <v>175</v>
      </c>
      <c r="E1976" s="6" t="s">
        <v>194</v>
      </c>
      <c r="F1976" s="6">
        <v>3435.7</v>
      </c>
      <c r="G1976" s="2">
        <v>1.48</v>
      </c>
      <c r="H1976" s="2">
        <v>1.67</v>
      </c>
      <c r="I1976" s="2">
        <v>1.93</v>
      </c>
      <c r="J1976" s="47">
        <f t="shared" si="150"/>
        <v>0.12837837837837834</v>
      </c>
      <c r="K1976" s="47">
        <f t="shared" si="151"/>
        <v>0.15568862275449102</v>
      </c>
      <c r="L1976" s="8">
        <v>60.25</v>
      </c>
      <c r="M1976" s="8">
        <v>57.37</v>
      </c>
      <c r="N1976" s="8">
        <v>49.64</v>
      </c>
      <c r="O1976" s="17">
        <f t="shared" si="152"/>
        <v>4.4688210526315801</v>
      </c>
      <c r="P1976" s="17">
        <f t="shared" si="153"/>
        <v>3.1884153846153844</v>
      </c>
      <c r="R1976" s="9">
        <v>10.84</v>
      </c>
      <c r="S1976" s="9">
        <v>13.14</v>
      </c>
      <c r="T1976" s="9">
        <v>371.89801</v>
      </c>
      <c r="U1976" s="9">
        <v>312.63</v>
      </c>
      <c r="V1976" s="45">
        <f t="shared" si="154"/>
        <v>0.18957876723283115</v>
      </c>
      <c r="W1976" s="12">
        <v>13.16</v>
      </c>
      <c r="X1976" s="12">
        <v>0</v>
      </c>
      <c r="Y1976" s="12">
        <v>20210729</v>
      </c>
    </row>
    <row r="1977" spans="1:25" x14ac:dyDescent="0.45">
      <c r="A1977" s="3" t="s">
        <v>4374</v>
      </c>
      <c r="B1977" s="3" t="s">
        <v>4375</v>
      </c>
      <c r="C1977" s="6" t="s">
        <v>519</v>
      </c>
      <c r="D1977" s="6" t="s">
        <v>189</v>
      </c>
      <c r="E1977" s="6" t="s">
        <v>247</v>
      </c>
      <c r="F1977" s="6">
        <v>4101.9399999999996</v>
      </c>
      <c r="G1977" s="2">
        <v>-0.45</v>
      </c>
      <c r="H1977" s="2">
        <v>-0.35</v>
      </c>
      <c r="I1977" s="2">
        <v>-0.23</v>
      </c>
      <c r="J1977" s="47">
        <f t="shared" si="150"/>
        <v>0.22222222222222229</v>
      </c>
      <c r="K1977" s="47">
        <f t="shared" si="151"/>
        <v>0.3428571428571428</v>
      </c>
      <c r="O1977" s="17">
        <f t="shared" si="152"/>
        <v>0</v>
      </c>
      <c r="P1977" s="17">
        <f t="shared" si="153"/>
        <v>0</v>
      </c>
      <c r="T1977" s="9">
        <v>175.31398999999999</v>
      </c>
      <c r="U1977" s="9">
        <v>132.94999999999999</v>
      </c>
      <c r="V1977" s="45">
        <f t="shared" si="154"/>
        <v>0.31864603234298611</v>
      </c>
      <c r="W1977" s="12">
        <v>50</v>
      </c>
      <c r="X1977" s="12">
        <v>0</v>
      </c>
      <c r="Y1977" s="12">
        <v>20210804</v>
      </c>
    </row>
    <row r="1978" spans="1:25" x14ac:dyDescent="0.45">
      <c r="A1978" s="3" t="s">
        <v>3335</v>
      </c>
      <c r="B1978" s="3" t="s">
        <v>3336</v>
      </c>
      <c r="C1978" s="6" t="s">
        <v>519</v>
      </c>
      <c r="D1978" s="6" t="s">
        <v>289</v>
      </c>
      <c r="E1978" s="6" t="s">
        <v>400</v>
      </c>
      <c r="F1978" s="6">
        <v>4214.6899999999996</v>
      </c>
      <c r="G1978" s="2">
        <v>-0.22</v>
      </c>
      <c r="H1978" s="2">
        <v>0.4</v>
      </c>
      <c r="I1978" s="2">
        <v>0.69</v>
      </c>
      <c r="J1978" s="47">
        <f t="shared" si="150"/>
        <v>2.8181818181818183</v>
      </c>
      <c r="K1978" s="47">
        <f t="shared" si="151"/>
        <v>0.72499999999999976</v>
      </c>
      <c r="M1978" s="8">
        <v>60.47</v>
      </c>
      <c r="N1978" s="8">
        <v>35.61</v>
      </c>
      <c r="O1978" s="17">
        <f t="shared" si="152"/>
        <v>0.21457096774193549</v>
      </c>
      <c r="P1978" s="17">
        <f t="shared" si="153"/>
        <v>0.49117241379310361</v>
      </c>
      <c r="R1978" s="9">
        <v>-14.1</v>
      </c>
      <c r="S1978" s="9">
        <v>-7.31</v>
      </c>
      <c r="T1978" s="9">
        <v>1507.65905</v>
      </c>
      <c r="U1978" s="9">
        <v>1124.83</v>
      </c>
      <c r="V1978" s="45">
        <f t="shared" si="154"/>
        <v>0.34034391863659402</v>
      </c>
      <c r="W1978" s="12">
        <v>175</v>
      </c>
      <c r="X1978" s="12">
        <v>0</v>
      </c>
      <c r="Y1978" s="12">
        <v>20210804</v>
      </c>
    </row>
    <row r="1979" spans="1:25" x14ac:dyDescent="0.45">
      <c r="A1979" s="3" t="s">
        <v>3337</v>
      </c>
      <c r="B1979" s="3" t="s">
        <v>3338</v>
      </c>
      <c r="C1979" s="6" t="s">
        <v>520</v>
      </c>
      <c r="D1979" s="6" t="s">
        <v>210</v>
      </c>
      <c r="E1979" s="6" t="s">
        <v>215</v>
      </c>
      <c r="F1979" s="6">
        <v>13301.12</v>
      </c>
      <c r="G1979" s="2">
        <v>3.23</v>
      </c>
      <c r="H1979" s="2">
        <v>4.3600000000000003</v>
      </c>
      <c r="I1979" s="2">
        <v>4.6100000000000003</v>
      </c>
      <c r="J1979" s="47">
        <f t="shared" si="150"/>
        <v>0.34984520123839019</v>
      </c>
      <c r="K1979" s="47">
        <f t="shared" si="151"/>
        <v>5.73394495412844E-2</v>
      </c>
      <c r="M1979" s="8">
        <v>41.44</v>
      </c>
      <c r="N1979" s="8">
        <v>39.14</v>
      </c>
      <c r="O1979" s="17">
        <f t="shared" si="152"/>
        <v>1.1845238938053093</v>
      </c>
      <c r="P1979" s="17">
        <f t="shared" si="153"/>
        <v>6.8260160000000001</v>
      </c>
      <c r="T1979" s="9">
        <v>1873.21704</v>
      </c>
      <c r="U1979" s="9">
        <v>1645.33</v>
      </c>
      <c r="V1979" s="45">
        <f t="shared" si="154"/>
        <v>0.13850536974345576</v>
      </c>
      <c r="X1979" s="12">
        <v>0</v>
      </c>
      <c r="Y1979" s="12">
        <v>20210708</v>
      </c>
    </row>
    <row r="1980" spans="1:25" x14ac:dyDescent="0.45">
      <c r="A1980" s="3" t="s">
        <v>4974</v>
      </c>
      <c r="B1980" s="3" t="s">
        <v>4975</v>
      </c>
      <c r="C1980" s="6" t="s">
        <v>518</v>
      </c>
      <c r="D1980" s="6" t="s">
        <v>234</v>
      </c>
      <c r="E1980" s="6" t="s">
        <v>904</v>
      </c>
      <c r="F1980" s="6">
        <v>361935.94</v>
      </c>
      <c r="J1980" s="47" t="e">
        <f t="shared" si="150"/>
        <v>#DIV/0!</v>
      </c>
      <c r="K1980" s="47" t="e">
        <f t="shared" si="151"/>
        <v>#DIV/0!</v>
      </c>
      <c r="O1980" s="17" t="e">
        <f t="shared" si="152"/>
        <v>#DIV/0!</v>
      </c>
      <c r="P1980" s="17" t="e">
        <f t="shared" si="153"/>
        <v>#DIV/0!</v>
      </c>
      <c r="V1980" s="45" t="e">
        <f t="shared" si="154"/>
        <v>#DIV/0!</v>
      </c>
      <c r="X1980" s="12">
        <v>1.32</v>
      </c>
    </row>
    <row r="1981" spans="1:25" x14ac:dyDescent="0.45">
      <c r="A1981" s="3" t="s">
        <v>3339</v>
      </c>
      <c r="B1981" s="3" t="s">
        <v>3340</v>
      </c>
      <c r="C1981" s="6" t="s">
        <v>518</v>
      </c>
      <c r="D1981" s="6" t="s">
        <v>189</v>
      </c>
      <c r="E1981" s="6" t="s">
        <v>248</v>
      </c>
      <c r="F1981" s="6">
        <v>95723.05</v>
      </c>
      <c r="G1981" s="2">
        <v>0.75</v>
      </c>
      <c r="H1981" s="2">
        <v>1.5</v>
      </c>
      <c r="I1981" s="2">
        <v>2.0299999999999998</v>
      </c>
      <c r="J1981" s="47">
        <f t="shared" si="150"/>
        <v>1</v>
      </c>
      <c r="K1981" s="47">
        <f t="shared" si="151"/>
        <v>0.35333333333333322</v>
      </c>
      <c r="L1981" s="8">
        <v>168.17</v>
      </c>
      <c r="M1981" s="8">
        <v>140.37</v>
      </c>
      <c r="N1981" s="8">
        <v>103.47</v>
      </c>
      <c r="O1981" s="17">
        <f t="shared" si="152"/>
        <v>1.4036999999999999</v>
      </c>
      <c r="P1981" s="17">
        <f t="shared" si="153"/>
        <v>2.9283962264150953</v>
      </c>
      <c r="Q1981" s="5">
        <v>2.98</v>
      </c>
      <c r="R1981" s="9">
        <v>9.32</v>
      </c>
      <c r="S1981" s="9">
        <v>50.26</v>
      </c>
      <c r="T1981" s="9">
        <v>19649.279289999999</v>
      </c>
      <c r="U1981" s="9">
        <v>9497.58</v>
      </c>
      <c r="V1981" s="45">
        <f t="shared" si="154"/>
        <v>1.0688722063936285</v>
      </c>
      <c r="W1981" s="12">
        <v>156.25</v>
      </c>
      <c r="X1981" s="12">
        <v>0</v>
      </c>
      <c r="Y1981" s="12">
        <v>20210803</v>
      </c>
    </row>
    <row r="1982" spans="1:25" x14ac:dyDescent="0.45">
      <c r="A1982" s="3" t="s">
        <v>3341</v>
      </c>
      <c r="B1982" s="3" t="s">
        <v>3342</v>
      </c>
      <c r="C1982" s="6" t="s">
        <v>520</v>
      </c>
      <c r="D1982" s="6" t="s">
        <v>225</v>
      </c>
      <c r="E1982" s="6" t="s">
        <v>530</v>
      </c>
      <c r="F1982" s="6">
        <v>6235.88</v>
      </c>
      <c r="G1982" s="2">
        <v>2.38</v>
      </c>
      <c r="H1982" s="2">
        <v>2.71</v>
      </c>
      <c r="I1982" s="2">
        <v>2.76</v>
      </c>
      <c r="J1982" s="47">
        <f t="shared" si="150"/>
        <v>0.13865546218487398</v>
      </c>
      <c r="K1982" s="47">
        <f t="shared" si="151"/>
        <v>1.8450184501844952E-2</v>
      </c>
      <c r="L1982" s="8">
        <v>21.26</v>
      </c>
      <c r="M1982" s="8">
        <v>19.3</v>
      </c>
      <c r="N1982" s="8">
        <v>18.95</v>
      </c>
      <c r="O1982" s="17">
        <f t="shared" si="152"/>
        <v>1.3919393939393936</v>
      </c>
      <c r="P1982" s="17">
        <f t="shared" si="153"/>
        <v>10.270900000000037</v>
      </c>
      <c r="R1982" s="9">
        <v>13.19</v>
      </c>
      <c r="S1982" s="9">
        <v>11.5</v>
      </c>
      <c r="T1982" s="9">
        <v>3209.1999500000002</v>
      </c>
      <c r="U1982" s="9">
        <v>3137.08</v>
      </c>
      <c r="V1982" s="45">
        <f t="shared" si="154"/>
        <v>2.2989515728001914E-2</v>
      </c>
      <c r="X1982" s="12">
        <v>0</v>
      </c>
      <c r="Y1982" s="12">
        <v>20210805</v>
      </c>
    </row>
    <row r="1983" spans="1:25" x14ac:dyDescent="0.45">
      <c r="A1983" s="3" t="s">
        <v>3343</v>
      </c>
      <c r="B1983" s="3" t="s">
        <v>3344</v>
      </c>
      <c r="C1983" s="6" t="s">
        <v>518</v>
      </c>
      <c r="D1983" s="6" t="s">
        <v>327</v>
      </c>
      <c r="E1983" s="6" t="s">
        <v>354</v>
      </c>
      <c r="F1983" s="6">
        <v>3819.64</v>
      </c>
      <c r="G1983" s="2">
        <v>3.73</v>
      </c>
      <c r="H1983" s="2">
        <v>4.41</v>
      </c>
      <c r="I1983" s="2">
        <v>4.43</v>
      </c>
      <c r="J1983" s="47">
        <f t="shared" si="150"/>
        <v>0.18230563002680969</v>
      </c>
      <c r="K1983" s="47">
        <f t="shared" si="151"/>
        <v>4.5351473922901524E-3</v>
      </c>
      <c r="L1983" s="8">
        <v>15.3</v>
      </c>
      <c r="M1983" s="8">
        <v>16.77</v>
      </c>
      <c r="N1983" s="8">
        <v>16.690000000000001</v>
      </c>
      <c r="O1983" s="17">
        <f t="shared" si="152"/>
        <v>0.91988382352941145</v>
      </c>
      <c r="P1983" s="17">
        <f t="shared" si="153"/>
        <v>36.801450000000791</v>
      </c>
      <c r="Q1983" s="5">
        <v>3.05</v>
      </c>
      <c r="R1983" s="9">
        <v>11.05</v>
      </c>
      <c r="S1983" s="9">
        <v>4.68</v>
      </c>
      <c r="T1983" s="9">
        <v>2179.22705</v>
      </c>
      <c r="U1983" s="9">
        <v>1855.4</v>
      </c>
      <c r="V1983" s="45">
        <f t="shared" si="154"/>
        <v>0.17453220329848004</v>
      </c>
      <c r="W1983" s="12">
        <v>21.64</v>
      </c>
      <c r="X1983" s="12">
        <v>3.52</v>
      </c>
      <c r="Y1983" s="12">
        <v>20210804</v>
      </c>
    </row>
    <row r="1984" spans="1:25" x14ac:dyDescent="0.45">
      <c r="A1984" s="3" t="s">
        <v>3345</v>
      </c>
      <c r="B1984" s="3" t="s">
        <v>3346</v>
      </c>
      <c r="C1984" s="6" t="s">
        <v>518</v>
      </c>
      <c r="D1984" s="6" t="s">
        <v>234</v>
      </c>
      <c r="E1984" s="6" t="s">
        <v>287</v>
      </c>
      <c r="F1984" s="6">
        <v>5777.98</v>
      </c>
      <c r="G1984" s="2">
        <v>2.94</v>
      </c>
      <c r="H1984" s="2">
        <v>3.09</v>
      </c>
      <c r="I1984" s="2">
        <v>3.23</v>
      </c>
      <c r="J1984" s="47">
        <f t="shared" si="150"/>
        <v>5.1020408163265279E-2</v>
      </c>
      <c r="K1984" s="47">
        <f t="shared" si="151"/>
        <v>4.5307443365695838E-2</v>
      </c>
      <c r="L1984" s="8">
        <v>17.149999999999999</v>
      </c>
      <c r="M1984" s="8">
        <v>16.28</v>
      </c>
      <c r="N1984" s="8">
        <v>15.54</v>
      </c>
      <c r="O1984" s="17">
        <f t="shared" si="152"/>
        <v>3.1908800000000022</v>
      </c>
      <c r="P1984" s="17">
        <f t="shared" si="153"/>
        <v>3.4298999999999964</v>
      </c>
      <c r="Q1984" s="5">
        <v>3.79</v>
      </c>
      <c r="R1984" s="9">
        <v>1.26</v>
      </c>
      <c r="S1984" s="9">
        <v>-8.68</v>
      </c>
      <c r="T1984" s="9">
        <v>552.20696999999996</v>
      </c>
      <c r="U1984" s="9">
        <v>483.61</v>
      </c>
      <c r="V1984" s="45">
        <f t="shared" si="154"/>
        <v>0.14184357229999367</v>
      </c>
      <c r="W1984" s="12">
        <v>4.1100000000000003</v>
      </c>
      <c r="X1984" s="12">
        <v>4.97</v>
      </c>
      <c r="Y1984" s="12">
        <v>20210730</v>
      </c>
    </row>
    <row r="1985" spans="1:25" x14ac:dyDescent="0.45">
      <c r="A1985" s="3" t="s">
        <v>3347</v>
      </c>
      <c r="B1985" s="3" t="s">
        <v>3348</v>
      </c>
      <c r="C1985" s="6" t="s">
        <v>519</v>
      </c>
      <c r="D1985" s="6" t="s">
        <v>175</v>
      </c>
      <c r="E1985" s="6" t="s">
        <v>366</v>
      </c>
      <c r="F1985" s="6">
        <v>6823.32</v>
      </c>
      <c r="G1985" s="2">
        <v>2.2999999999999998</v>
      </c>
      <c r="H1985" s="2">
        <v>2.5499999999999998</v>
      </c>
      <c r="I1985" s="2">
        <v>2.72</v>
      </c>
      <c r="J1985" s="47">
        <f t="shared" si="150"/>
        <v>0.10869565217391305</v>
      </c>
      <c r="K1985" s="47">
        <f t="shared" si="151"/>
        <v>6.6666666666666818E-2</v>
      </c>
      <c r="L1985" s="8">
        <v>30.48</v>
      </c>
      <c r="M1985" s="8">
        <v>29.16</v>
      </c>
      <c r="N1985" s="8">
        <v>27.32</v>
      </c>
      <c r="O1985" s="17">
        <f t="shared" si="152"/>
        <v>2.6827199999999998</v>
      </c>
      <c r="P1985" s="17">
        <f t="shared" si="153"/>
        <v>4.097999999999991</v>
      </c>
      <c r="Q1985" s="5">
        <v>3.01</v>
      </c>
      <c r="R1985" s="9">
        <v>9.42</v>
      </c>
      <c r="S1985" s="9">
        <v>-5.4</v>
      </c>
      <c r="T1985" s="9">
        <v>2679.3730399999999</v>
      </c>
      <c r="U1985" s="9">
        <v>2675.5</v>
      </c>
      <c r="V1985" s="45">
        <f t="shared" si="154"/>
        <v>1.4475948420855714E-3</v>
      </c>
      <c r="W1985" s="12">
        <v>20.34</v>
      </c>
      <c r="X1985" s="12">
        <v>0</v>
      </c>
      <c r="Y1985" s="12">
        <v>20210805</v>
      </c>
    </row>
    <row r="1986" spans="1:25" x14ac:dyDescent="0.45">
      <c r="A1986" s="3" t="s">
        <v>3349</v>
      </c>
      <c r="B1986" s="3" t="s">
        <v>3350</v>
      </c>
      <c r="C1986" s="6" t="s">
        <v>518</v>
      </c>
      <c r="D1986" s="6" t="s">
        <v>327</v>
      </c>
      <c r="E1986" s="6" t="s">
        <v>354</v>
      </c>
      <c r="F1986" s="6">
        <v>42216.95</v>
      </c>
      <c r="G1986" s="2">
        <v>7.69</v>
      </c>
      <c r="H1986" s="2">
        <v>8.06</v>
      </c>
      <c r="I1986" s="2">
        <v>8.5399999999999991</v>
      </c>
      <c r="J1986" s="47">
        <f t="shared" si="150"/>
        <v>4.8114434330299098E-2</v>
      </c>
      <c r="K1986" s="47">
        <f t="shared" si="151"/>
        <v>5.9553349875930348E-2</v>
      </c>
      <c r="L1986" s="8">
        <v>17.850000000000001</v>
      </c>
      <c r="M1986" s="8">
        <v>17.3</v>
      </c>
      <c r="N1986" s="8">
        <v>16.34</v>
      </c>
      <c r="O1986" s="17">
        <f t="shared" si="152"/>
        <v>3.5955945945945946</v>
      </c>
      <c r="P1986" s="17">
        <f t="shared" si="153"/>
        <v>2.7437583333333415</v>
      </c>
      <c r="Q1986" s="5">
        <v>3.2</v>
      </c>
      <c r="R1986" s="9">
        <v>10.55</v>
      </c>
      <c r="S1986" s="9">
        <v>2.16</v>
      </c>
      <c r="T1986" s="9">
        <v>11668.62011</v>
      </c>
      <c r="U1986" s="9">
        <v>11370</v>
      </c>
      <c r="V1986" s="45">
        <f t="shared" si="154"/>
        <v>2.6263861917326284E-2</v>
      </c>
      <c r="W1986" s="12">
        <v>6.5</v>
      </c>
      <c r="X1986" s="12">
        <v>3.16</v>
      </c>
      <c r="Y1986" s="12">
        <v>20210804</v>
      </c>
    </row>
    <row r="1987" spans="1:25" x14ac:dyDescent="0.45">
      <c r="A1987" s="3" t="s">
        <v>3351</v>
      </c>
      <c r="B1987" s="3" t="s">
        <v>3352</v>
      </c>
      <c r="C1987" s="6" t="s">
        <v>519</v>
      </c>
      <c r="D1987" s="6" t="s">
        <v>279</v>
      </c>
      <c r="E1987" s="6" t="s">
        <v>256</v>
      </c>
      <c r="F1987" s="6">
        <v>6598.15</v>
      </c>
      <c r="G1987" s="2">
        <v>-6.68</v>
      </c>
      <c r="H1987" s="2">
        <v>-6.97</v>
      </c>
      <c r="I1987" s="2">
        <v>-4.05</v>
      </c>
      <c r="J1987" s="47">
        <f t="shared" ref="J1987:J2050" si="155">(H1987-G1987)/ABS(G1987)</f>
        <v>-4.341317365269462E-2</v>
      </c>
      <c r="K1987" s="47">
        <f t="shared" ref="K1987:K2050" si="156">(I1987-H1987)/ABS(H1987)</f>
        <v>0.41893830703012913</v>
      </c>
      <c r="O1987" s="17">
        <f t="shared" ref="O1987:O2050" si="157">M1987/(J1987*100)</f>
        <v>0</v>
      </c>
      <c r="P1987" s="17">
        <f t="shared" ref="P1987:P2050" si="158">N1987/(K1987*100)</f>
        <v>0</v>
      </c>
      <c r="R1987" s="9">
        <v>-87.11</v>
      </c>
      <c r="S1987" s="9">
        <v>49.78</v>
      </c>
      <c r="T1987" s="9">
        <v>615.17296999999996</v>
      </c>
      <c r="U1987" s="9">
        <v>540.1</v>
      </c>
      <c r="V1987" s="45">
        <f t="shared" ref="V1987:V2050" si="159">(T1987-U1987)/U1987</f>
        <v>0.13899827809664866</v>
      </c>
      <c r="W1987" s="12">
        <v>-4.4800000000000004</v>
      </c>
      <c r="X1987" s="12">
        <v>0</v>
      </c>
      <c r="Y1987" s="12">
        <v>20210804</v>
      </c>
    </row>
    <row r="1988" spans="1:25" x14ac:dyDescent="0.45">
      <c r="A1988" s="3" t="s">
        <v>3353</v>
      </c>
      <c r="B1988" s="3" t="s">
        <v>3354</v>
      </c>
      <c r="C1988" s="6" t="s">
        <v>520</v>
      </c>
      <c r="D1988" s="6" t="s">
        <v>90</v>
      </c>
      <c r="E1988" s="6" t="s">
        <v>304</v>
      </c>
      <c r="F1988" s="6">
        <v>5459</v>
      </c>
      <c r="G1988" s="2">
        <v>-0.05</v>
      </c>
      <c r="H1988" s="2">
        <v>0.4</v>
      </c>
      <c r="I1988" s="2">
        <v>0.28000000000000003</v>
      </c>
      <c r="J1988" s="47">
        <f t="shared" si="155"/>
        <v>9</v>
      </c>
      <c r="K1988" s="47">
        <f t="shared" si="156"/>
        <v>-0.3</v>
      </c>
      <c r="L1988" s="8">
        <v>44.17</v>
      </c>
      <c r="M1988" s="8">
        <v>6.71</v>
      </c>
      <c r="N1988" s="8">
        <v>9.3000000000000007</v>
      </c>
      <c r="O1988" s="17">
        <f t="shared" si="157"/>
        <v>7.4555555555555555E-3</v>
      </c>
      <c r="P1988" s="17">
        <f t="shared" si="158"/>
        <v>-0.31</v>
      </c>
      <c r="R1988" s="9">
        <v>1.66</v>
      </c>
      <c r="S1988" s="9">
        <v>-2.97</v>
      </c>
      <c r="T1988" s="9">
        <v>10632.01953</v>
      </c>
      <c r="U1988" s="9">
        <v>7128.43</v>
      </c>
      <c r="V1988" s="45">
        <f t="shared" si="159"/>
        <v>0.49149525631871244</v>
      </c>
      <c r="X1988" s="12">
        <v>0</v>
      </c>
      <c r="Y1988" s="12">
        <v>20210720</v>
      </c>
    </row>
    <row r="1989" spans="1:25" x14ac:dyDescent="0.45">
      <c r="A1989" s="3" t="s">
        <v>4376</v>
      </c>
      <c r="B1989" s="3" t="s">
        <v>4377</v>
      </c>
      <c r="C1989" s="6" t="s">
        <v>519</v>
      </c>
      <c r="D1989" s="6" t="s">
        <v>234</v>
      </c>
      <c r="E1989" s="6" t="s">
        <v>172</v>
      </c>
      <c r="F1989" s="6">
        <v>6172.84</v>
      </c>
      <c r="G1989" s="2">
        <v>4.7300000000000004</v>
      </c>
      <c r="H1989" s="2">
        <v>6.68</v>
      </c>
      <c r="I1989" s="2">
        <v>6.04</v>
      </c>
      <c r="J1989" s="47">
        <f t="shared" si="155"/>
        <v>0.4122621564482028</v>
      </c>
      <c r="K1989" s="47">
        <f t="shared" si="156"/>
        <v>-9.5808383233532884E-2</v>
      </c>
      <c r="L1989" s="8">
        <v>14.28</v>
      </c>
      <c r="M1989" s="8">
        <v>13</v>
      </c>
      <c r="N1989" s="8">
        <v>14.38</v>
      </c>
      <c r="O1989" s="17">
        <f t="shared" si="157"/>
        <v>0.31533333333333347</v>
      </c>
      <c r="P1989" s="17">
        <f t="shared" si="158"/>
        <v>-1.5009125000000008</v>
      </c>
      <c r="R1989" s="9">
        <v>8.8800000000000008</v>
      </c>
      <c r="S1989" s="9">
        <v>21.91</v>
      </c>
      <c r="T1989" s="9">
        <v>1436.15002</v>
      </c>
      <c r="U1989" s="9">
        <v>1221.17</v>
      </c>
      <c r="V1989" s="45">
        <f t="shared" si="159"/>
        <v>0.17604430177616545</v>
      </c>
      <c r="W1989" s="12">
        <v>52.82</v>
      </c>
      <c r="X1989" s="12">
        <v>2.16</v>
      </c>
      <c r="Y1989" s="12">
        <v>20210729</v>
      </c>
    </row>
    <row r="1990" spans="1:25" x14ac:dyDescent="0.45">
      <c r="A1990" s="3" t="s">
        <v>3355</v>
      </c>
      <c r="B1990" s="3" t="s">
        <v>3356</v>
      </c>
      <c r="C1990" s="6" t="s">
        <v>518</v>
      </c>
      <c r="D1990" s="6" t="s">
        <v>210</v>
      </c>
      <c r="E1990" s="6" t="s">
        <v>191</v>
      </c>
      <c r="F1990" s="6">
        <v>4809.5200000000004</v>
      </c>
      <c r="G1990" s="2">
        <v>4.24</v>
      </c>
      <c r="H1990" s="2">
        <v>5.33</v>
      </c>
      <c r="I1990" s="2">
        <v>4.8</v>
      </c>
      <c r="J1990" s="47">
        <f t="shared" si="155"/>
        <v>0.25707547169811318</v>
      </c>
      <c r="K1990" s="47">
        <f t="shared" si="156"/>
        <v>-9.9437148217636065E-2</v>
      </c>
      <c r="L1990" s="8">
        <v>24.07</v>
      </c>
      <c r="M1990" s="8">
        <v>20.78</v>
      </c>
      <c r="N1990" s="8">
        <v>23.05</v>
      </c>
      <c r="O1990" s="17">
        <f t="shared" si="157"/>
        <v>0.80832293577981673</v>
      </c>
      <c r="P1990" s="17">
        <f t="shared" si="158"/>
        <v>-2.3180471698113196</v>
      </c>
      <c r="R1990" s="9">
        <v>20.83</v>
      </c>
      <c r="S1990" s="9">
        <v>9.74</v>
      </c>
      <c r="T1990" s="9">
        <v>1400.6999499999999</v>
      </c>
      <c r="U1990" s="9">
        <v>1267.94</v>
      </c>
      <c r="V1990" s="45">
        <f t="shared" si="159"/>
        <v>0.10470523053141306</v>
      </c>
      <c r="W1990" s="12">
        <v>26.09</v>
      </c>
      <c r="X1990" s="12">
        <v>0.83</v>
      </c>
      <c r="Y1990" s="12">
        <v>20210726</v>
      </c>
    </row>
    <row r="1991" spans="1:25" x14ac:dyDescent="0.45">
      <c r="A1991" s="3" t="s">
        <v>3357</v>
      </c>
      <c r="B1991" s="3" t="s">
        <v>3358</v>
      </c>
      <c r="C1991" s="6" t="s">
        <v>520</v>
      </c>
      <c r="D1991" s="6" t="s">
        <v>189</v>
      </c>
      <c r="E1991" s="6" t="s">
        <v>1861</v>
      </c>
      <c r="F1991" s="6">
        <v>22937.43</v>
      </c>
      <c r="G1991" s="2">
        <v>1.2</v>
      </c>
      <c r="H1991" s="2">
        <v>1.27</v>
      </c>
      <c r="I1991" s="2">
        <v>1.31</v>
      </c>
      <c r="J1991" s="47">
        <f t="shared" si="155"/>
        <v>5.833333333333339E-2</v>
      </c>
      <c r="K1991" s="47">
        <f t="shared" si="156"/>
        <v>3.1496062992126012E-2</v>
      </c>
      <c r="M1991" s="8">
        <v>17.32</v>
      </c>
      <c r="N1991" s="8">
        <v>16.79</v>
      </c>
      <c r="O1991" s="17">
        <f t="shared" si="157"/>
        <v>2.9691428571428542</v>
      </c>
      <c r="P1991" s="17">
        <f t="shared" si="158"/>
        <v>5.3308249999999946</v>
      </c>
      <c r="Q1991" s="5">
        <v>5.15</v>
      </c>
      <c r="T1991" s="9">
        <v>19448.644530000001</v>
      </c>
      <c r="U1991" s="9">
        <v>8930.77</v>
      </c>
      <c r="V1991" s="45">
        <f t="shared" si="159"/>
        <v>1.1777119475700304</v>
      </c>
      <c r="X1991" s="12">
        <v>2.92</v>
      </c>
    </row>
    <row r="1992" spans="1:25" x14ac:dyDescent="0.45">
      <c r="A1992" s="3" t="s">
        <v>3359</v>
      </c>
      <c r="B1992" s="3" t="s">
        <v>3360</v>
      </c>
      <c r="C1992" s="6" t="s">
        <v>518</v>
      </c>
      <c r="D1992" s="6" t="s">
        <v>289</v>
      </c>
      <c r="E1992" s="6" t="s">
        <v>275</v>
      </c>
      <c r="F1992" s="6">
        <v>10649.04</v>
      </c>
      <c r="G1992" s="2">
        <v>-0.12</v>
      </c>
      <c r="H1992" s="2">
        <v>1.95</v>
      </c>
      <c r="I1992" s="2">
        <v>3.54</v>
      </c>
      <c r="J1992" s="47">
        <f t="shared" si="155"/>
        <v>17.25</v>
      </c>
      <c r="K1992" s="47">
        <f t="shared" si="156"/>
        <v>0.81538461538461549</v>
      </c>
      <c r="M1992" s="8">
        <v>8.64</v>
      </c>
      <c r="N1992" s="8">
        <v>4.76</v>
      </c>
      <c r="O1992" s="17">
        <f t="shared" si="157"/>
        <v>5.0086956521739135E-3</v>
      </c>
      <c r="P1992" s="17">
        <f t="shared" si="158"/>
        <v>5.8377358490566029E-2</v>
      </c>
      <c r="Q1992" s="5">
        <v>0.3</v>
      </c>
      <c r="U1992" s="9">
        <v>10611.06</v>
      </c>
      <c r="V1992" s="45">
        <f t="shared" si="159"/>
        <v>-1</v>
      </c>
      <c r="X1992" s="12">
        <v>0</v>
      </c>
    </row>
    <row r="1993" spans="1:25" x14ac:dyDescent="0.45">
      <c r="A1993" s="3" t="s">
        <v>4976</v>
      </c>
      <c r="B1993" s="3" t="s">
        <v>4977</v>
      </c>
      <c r="C1993" s="6" t="s">
        <v>520</v>
      </c>
      <c r="D1993" s="6" t="s">
        <v>279</v>
      </c>
      <c r="E1993" s="6" t="s">
        <v>262</v>
      </c>
      <c r="F1993" s="6">
        <v>21333.89</v>
      </c>
      <c r="G1993" s="2">
        <v>1.4</v>
      </c>
      <c r="H1993" s="2">
        <v>1.81</v>
      </c>
      <c r="J1993" s="47">
        <f t="shared" si="155"/>
        <v>0.29285714285714298</v>
      </c>
      <c r="K1993" s="47">
        <f t="shared" si="156"/>
        <v>-1</v>
      </c>
      <c r="L1993" s="8">
        <v>77.17</v>
      </c>
      <c r="M1993" s="8">
        <v>28.14</v>
      </c>
      <c r="O1993" s="17">
        <f t="shared" si="157"/>
        <v>0.96087804878048744</v>
      </c>
      <c r="P1993" s="17">
        <f t="shared" si="158"/>
        <v>0</v>
      </c>
      <c r="R1993" s="9">
        <v>10.74</v>
      </c>
      <c r="U1993" s="9">
        <v>2878.03</v>
      </c>
      <c r="V1993" s="45">
        <f t="shared" si="159"/>
        <v>-1</v>
      </c>
      <c r="X1993" s="12">
        <v>0.25</v>
      </c>
      <c r="Y1993" s="12">
        <v>20210804</v>
      </c>
    </row>
    <row r="1994" spans="1:25" x14ac:dyDescent="0.45">
      <c r="A1994" s="3" t="s">
        <v>3361</v>
      </c>
      <c r="B1994" s="3" t="s">
        <v>3362</v>
      </c>
      <c r="C1994" s="6" t="s">
        <v>519</v>
      </c>
      <c r="D1994" s="6" t="s">
        <v>189</v>
      </c>
      <c r="E1994" s="6" t="s">
        <v>202</v>
      </c>
      <c r="F1994" s="6">
        <v>18676.509999999998</v>
      </c>
      <c r="G1994" s="2">
        <v>4.22</v>
      </c>
      <c r="H1994" s="2">
        <v>4.66</v>
      </c>
      <c r="I1994" s="2">
        <v>4.9000000000000004</v>
      </c>
      <c r="J1994" s="47">
        <f t="shared" si="155"/>
        <v>0.104265402843602</v>
      </c>
      <c r="K1994" s="47">
        <f t="shared" si="156"/>
        <v>5.1502145922746823E-2</v>
      </c>
      <c r="L1994" s="8">
        <v>16.41</v>
      </c>
      <c r="M1994" s="8">
        <v>15.66</v>
      </c>
      <c r="N1994" s="8">
        <v>14.9</v>
      </c>
      <c r="O1994" s="17">
        <f t="shared" si="157"/>
        <v>1.5019363636363621</v>
      </c>
      <c r="P1994" s="17">
        <f t="shared" si="158"/>
        <v>2.893083333333331</v>
      </c>
      <c r="R1994" s="9">
        <v>20.2</v>
      </c>
      <c r="S1994" s="9">
        <v>40.04</v>
      </c>
      <c r="T1994" s="9">
        <v>4912.3032199999998</v>
      </c>
      <c r="U1994" s="9">
        <v>4667.8999999999996</v>
      </c>
      <c r="V1994" s="45">
        <f t="shared" si="159"/>
        <v>5.2358281025728953E-2</v>
      </c>
      <c r="W1994" s="12">
        <v>7.27</v>
      </c>
      <c r="X1994" s="12">
        <v>0.88</v>
      </c>
      <c r="Y1994" s="12">
        <v>20210727</v>
      </c>
    </row>
    <row r="1995" spans="1:25" x14ac:dyDescent="0.45">
      <c r="A1995" s="3" t="s">
        <v>3363</v>
      </c>
      <c r="B1995" s="3" t="s">
        <v>3364</v>
      </c>
      <c r="C1995" s="6" t="s">
        <v>520</v>
      </c>
      <c r="D1995" s="6" t="s">
        <v>234</v>
      </c>
      <c r="E1995" s="6" t="s">
        <v>243</v>
      </c>
      <c r="F1995" s="6">
        <v>29717.75</v>
      </c>
      <c r="G1995" s="2">
        <v>-0.48</v>
      </c>
      <c r="H1995" s="2">
        <v>1.65</v>
      </c>
      <c r="I1995" s="2">
        <v>2.42</v>
      </c>
      <c r="J1995" s="47">
        <f t="shared" si="155"/>
        <v>4.4375</v>
      </c>
      <c r="K1995" s="47">
        <f t="shared" si="156"/>
        <v>0.46666666666666673</v>
      </c>
      <c r="M1995" s="8">
        <v>14.14</v>
      </c>
      <c r="N1995" s="8">
        <v>9.65</v>
      </c>
      <c r="O1995" s="17">
        <f t="shared" si="157"/>
        <v>3.1864788732394365E-2</v>
      </c>
      <c r="P1995" s="17">
        <f t="shared" si="158"/>
        <v>0.20678571428571427</v>
      </c>
      <c r="T1995" s="9">
        <v>38707.160150000003</v>
      </c>
      <c r="U1995" s="9">
        <v>43338</v>
      </c>
      <c r="V1995" s="45">
        <f t="shared" si="159"/>
        <v>-0.10685402764317681</v>
      </c>
      <c r="X1995" s="12">
        <v>4.3099999999999996</v>
      </c>
    </row>
    <row r="1996" spans="1:25" x14ac:dyDescent="0.45">
      <c r="A1996" s="3" t="s">
        <v>3365</v>
      </c>
      <c r="B1996" s="3" t="s">
        <v>3366</v>
      </c>
      <c r="C1996" s="6" t="s">
        <v>519</v>
      </c>
      <c r="D1996" s="6" t="s">
        <v>90</v>
      </c>
      <c r="E1996" s="6" t="s">
        <v>268</v>
      </c>
      <c r="F1996" s="6">
        <v>3851.19</v>
      </c>
      <c r="G1996" s="2">
        <v>1.42</v>
      </c>
      <c r="H1996" s="2">
        <v>1.71</v>
      </c>
      <c r="I1996" s="2">
        <v>1.52</v>
      </c>
      <c r="J1996" s="47">
        <f t="shared" si="155"/>
        <v>0.20422535211267609</v>
      </c>
      <c r="K1996" s="47">
        <f t="shared" si="156"/>
        <v>-0.11111111111111108</v>
      </c>
      <c r="L1996" s="8">
        <v>12.15</v>
      </c>
      <c r="M1996" s="8">
        <v>10.26</v>
      </c>
      <c r="N1996" s="8">
        <v>11.47</v>
      </c>
      <c r="O1996" s="17">
        <f t="shared" si="157"/>
        <v>0.50238620689655167</v>
      </c>
      <c r="P1996" s="17">
        <f t="shared" si="158"/>
        <v>-1.0323000000000004</v>
      </c>
      <c r="Q1996" s="5">
        <v>3.42</v>
      </c>
      <c r="R1996" s="9">
        <v>8.61</v>
      </c>
      <c r="S1996" s="9">
        <v>13.86</v>
      </c>
      <c r="T1996" s="9">
        <v>1482.3549800000001</v>
      </c>
      <c r="U1996" s="9">
        <v>853.09</v>
      </c>
      <c r="V1996" s="45">
        <f t="shared" si="159"/>
        <v>0.73763023831014318</v>
      </c>
      <c r="W1996" s="12">
        <v>17.5</v>
      </c>
      <c r="X1996" s="12">
        <v>0</v>
      </c>
      <c r="Y1996" s="12">
        <v>20210805</v>
      </c>
    </row>
    <row r="1997" spans="1:25" x14ac:dyDescent="0.45">
      <c r="A1997" s="3" t="s">
        <v>3918</v>
      </c>
      <c r="B1997" s="3" t="s">
        <v>3919</v>
      </c>
      <c r="C1997" s="6" t="s">
        <v>518</v>
      </c>
      <c r="D1997" s="6" t="s">
        <v>189</v>
      </c>
      <c r="E1997" s="6" t="s">
        <v>246</v>
      </c>
      <c r="F1997" s="6">
        <v>3330.9</v>
      </c>
      <c r="G1997" s="2">
        <v>2.4</v>
      </c>
      <c r="H1997" s="2">
        <v>2.9</v>
      </c>
      <c r="I1997" s="2">
        <v>3.19</v>
      </c>
      <c r="J1997" s="47">
        <f t="shared" si="155"/>
        <v>0.20833333333333334</v>
      </c>
      <c r="K1997" s="47">
        <f t="shared" si="156"/>
        <v>0.10000000000000002</v>
      </c>
      <c r="L1997" s="8">
        <v>27.36</v>
      </c>
      <c r="M1997" s="8">
        <v>31.46</v>
      </c>
      <c r="N1997" s="8">
        <v>28.52</v>
      </c>
      <c r="O1997" s="17">
        <f t="shared" si="157"/>
        <v>1.5100799999999999</v>
      </c>
      <c r="P1997" s="17">
        <f t="shared" si="158"/>
        <v>2.8519999999999994</v>
      </c>
      <c r="Q1997" s="5">
        <v>2.42</v>
      </c>
      <c r="R1997" s="9">
        <v>24.83</v>
      </c>
      <c r="S1997" s="9">
        <v>8.2200000000000006</v>
      </c>
      <c r="T1997" s="9">
        <v>729.11602000000005</v>
      </c>
      <c r="U1997" s="9">
        <v>666.69</v>
      </c>
      <c r="V1997" s="45">
        <f t="shared" si="159"/>
        <v>9.3635752748653781E-2</v>
      </c>
      <c r="W1997" s="12">
        <v>40</v>
      </c>
      <c r="X1997" s="12">
        <v>0.92</v>
      </c>
      <c r="Y1997" s="12">
        <v>20210727</v>
      </c>
    </row>
    <row r="1998" spans="1:25" x14ac:dyDescent="0.45">
      <c r="A1998" s="3" t="s">
        <v>3367</v>
      </c>
      <c r="B1998" s="3" t="s">
        <v>3368</v>
      </c>
      <c r="C1998" s="6" t="s">
        <v>520</v>
      </c>
      <c r="D1998" s="6" t="s">
        <v>1042</v>
      </c>
      <c r="E1998" s="6" t="s">
        <v>1043</v>
      </c>
      <c r="F1998" s="6">
        <v>17273.12</v>
      </c>
      <c r="G1998" s="2">
        <v>-0.86</v>
      </c>
      <c r="H1998" s="2">
        <v>1.88</v>
      </c>
      <c r="I1998" s="2">
        <v>1.97</v>
      </c>
      <c r="J1998" s="47">
        <f t="shared" si="155"/>
        <v>3.1860465116279069</v>
      </c>
      <c r="K1998" s="47">
        <f t="shared" si="156"/>
        <v>4.7872340425531963E-2</v>
      </c>
      <c r="M1998" s="8">
        <v>7.36</v>
      </c>
      <c r="N1998" s="8">
        <v>7.02</v>
      </c>
      <c r="O1998" s="17">
        <f t="shared" si="157"/>
        <v>2.3100729927007301E-2</v>
      </c>
      <c r="P1998" s="17">
        <f t="shared" si="158"/>
        <v>1.4663999999999984</v>
      </c>
      <c r="R1998" s="9">
        <v>-1.55</v>
      </c>
      <c r="T1998" s="9">
        <v>52513.328119999998</v>
      </c>
      <c r="U1998" s="9">
        <v>49072</v>
      </c>
      <c r="V1998" s="45">
        <f t="shared" si="159"/>
        <v>7.0128140691229177E-2</v>
      </c>
      <c r="W1998" s="12">
        <v>-61.11</v>
      </c>
      <c r="X1998" s="12">
        <v>1.88</v>
      </c>
      <c r="Y1998" s="12">
        <v>20210611</v>
      </c>
    </row>
    <row r="1999" spans="1:25" x14ac:dyDescent="0.45">
      <c r="A1999" s="3" t="s">
        <v>3369</v>
      </c>
      <c r="B1999" s="3" t="s">
        <v>3370</v>
      </c>
      <c r="C1999" s="6" t="s">
        <v>518</v>
      </c>
      <c r="D1999" s="6" t="s">
        <v>189</v>
      </c>
      <c r="E1999" s="6" t="s">
        <v>236</v>
      </c>
      <c r="F1999" s="6">
        <v>9421.77</v>
      </c>
      <c r="G1999" s="2">
        <v>2.15</v>
      </c>
      <c r="H1999" s="2">
        <v>3.42</v>
      </c>
      <c r="I1999" s="2">
        <v>3.97</v>
      </c>
      <c r="J1999" s="47">
        <f t="shared" si="155"/>
        <v>0.59069767441860466</v>
      </c>
      <c r="K1999" s="47">
        <f t="shared" si="156"/>
        <v>0.16081871345029247</v>
      </c>
      <c r="L1999" s="8">
        <v>23.37</v>
      </c>
      <c r="M1999" s="8">
        <v>17.41</v>
      </c>
      <c r="N1999" s="8">
        <v>15.02</v>
      </c>
      <c r="O1999" s="17">
        <f t="shared" si="157"/>
        <v>0.29473622047244097</v>
      </c>
      <c r="P1999" s="17">
        <f t="shared" si="158"/>
        <v>0.93397090909090874</v>
      </c>
      <c r="Q1999" s="5">
        <v>1.58</v>
      </c>
      <c r="R1999" s="9">
        <v>15.28</v>
      </c>
      <c r="S1999" s="9">
        <v>0</v>
      </c>
      <c r="T1999" s="9">
        <v>3746.4750899999999</v>
      </c>
      <c r="U1999" s="9">
        <v>3045.58</v>
      </c>
      <c r="V1999" s="45">
        <f t="shared" si="159"/>
        <v>0.23013517622259141</v>
      </c>
      <c r="W1999" s="12">
        <v>16.22</v>
      </c>
      <c r="X1999" s="12">
        <v>0</v>
      </c>
      <c r="Y1999" s="12">
        <v>20210727</v>
      </c>
    </row>
    <row r="2000" spans="1:25" x14ac:dyDescent="0.45">
      <c r="A2000" s="3" t="s">
        <v>3371</v>
      </c>
      <c r="B2000" s="3" t="s">
        <v>3372</v>
      </c>
      <c r="C2000" s="6" t="s">
        <v>519</v>
      </c>
      <c r="D2000" s="6" t="s">
        <v>279</v>
      </c>
      <c r="E2000" s="6" t="s">
        <v>257</v>
      </c>
      <c r="F2000" s="6">
        <v>6565.31</v>
      </c>
      <c r="G2000" s="2">
        <v>0.3</v>
      </c>
      <c r="H2000" s="2">
        <v>0.49</v>
      </c>
      <c r="I2000" s="2">
        <v>0.8</v>
      </c>
      <c r="J2000" s="47">
        <f t="shared" si="155"/>
        <v>0.63333333333333341</v>
      </c>
      <c r="K2000" s="47">
        <f t="shared" si="156"/>
        <v>0.63265306122448994</v>
      </c>
      <c r="L2000" s="8">
        <v>274.51</v>
      </c>
      <c r="M2000" s="8">
        <v>285.70999999999998</v>
      </c>
      <c r="N2000" s="8">
        <v>174.27</v>
      </c>
      <c r="O2000" s="17">
        <f t="shared" si="157"/>
        <v>4.5112105263157884</v>
      </c>
      <c r="P2000" s="17">
        <f t="shared" si="158"/>
        <v>2.7545903225806447</v>
      </c>
      <c r="R2000" s="9">
        <v>10.93</v>
      </c>
      <c r="S2000" s="9">
        <v>20.149999999999999</v>
      </c>
      <c r="T2000" s="9">
        <v>216</v>
      </c>
      <c r="U2000" s="9">
        <v>163.46</v>
      </c>
      <c r="V2000" s="45">
        <f t="shared" si="159"/>
        <v>0.32142420163954477</v>
      </c>
      <c r="W2000" s="12">
        <v>900</v>
      </c>
      <c r="X2000" s="12">
        <v>0</v>
      </c>
      <c r="Y2000" s="12">
        <v>20210804</v>
      </c>
    </row>
    <row r="2001" spans="1:25" x14ac:dyDescent="0.45">
      <c r="A2001" s="3" t="s">
        <v>3373</v>
      </c>
      <c r="B2001" s="3" t="s">
        <v>3374</v>
      </c>
      <c r="C2001" s="6" t="s">
        <v>518</v>
      </c>
      <c r="D2001" s="6" t="s">
        <v>234</v>
      </c>
      <c r="E2001" s="6" t="s">
        <v>286</v>
      </c>
      <c r="F2001" s="6">
        <v>6095.3</v>
      </c>
      <c r="G2001" s="2">
        <v>1.87</v>
      </c>
      <c r="H2001" s="2">
        <v>1.99</v>
      </c>
      <c r="I2001" s="2">
        <v>2.08</v>
      </c>
      <c r="J2001" s="47">
        <f t="shared" si="155"/>
        <v>6.4171122994652344E-2</v>
      </c>
      <c r="K2001" s="47">
        <f t="shared" si="156"/>
        <v>4.5226130653266375E-2</v>
      </c>
      <c r="L2001" s="8">
        <v>19.98</v>
      </c>
      <c r="M2001" s="8">
        <v>19.190000000000001</v>
      </c>
      <c r="N2001" s="8">
        <v>18.329999999999998</v>
      </c>
      <c r="O2001" s="17">
        <f t="shared" si="157"/>
        <v>2.99044166666667</v>
      </c>
      <c r="P2001" s="17">
        <f t="shared" si="158"/>
        <v>4.0529666666666628</v>
      </c>
      <c r="Q2001" s="5">
        <v>5.42</v>
      </c>
      <c r="R2001" s="9">
        <v>6.48</v>
      </c>
      <c r="S2001" s="9">
        <v>17.489999999999998</v>
      </c>
      <c r="T2001" s="9">
        <v>548.03697999999997</v>
      </c>
      <c r="U2001" s="9">
        <v>483.41</v>
      </c>
      <c r="V2001" s="45">
        <f t="shared" si="159"/>
        <v>0.13368978713721261</v>
      </c>
      <c r="W2001" s="12">
        <v>2.08</v>
      </c>
      <c r="X2001" s="12">
        <v>3.8</v>
      </c>
      <c r="Y2001" s="12">
        <v>20210727</v>
      </c>
    </row>
    <row r="2002" spans="1:25" x14ac:dyDescent="0.45">
      <c r="A2002" s="3" t="s">
        <v>3920</v>
      </c>
      <c r="B2002" s="3" t="s">
        <v>3921</v>
      </c>
      <c r="C2002" s="6" t="s">
        <v>519</v>
      </c>
      <c r="D2002" s="6" t="s">
        <v>216</v>
      </c>
      <c r="E2002" s="6" t="s">
        <v>231</v>
      </c>
      <c r="F2002" s="6">
        <v>3705.73</v>
      </c>
      <c r="G2002" s="2">
        <v>0.23</v>
      </c>
      <c r="H2002" s="2">
        <v>0.49</v>
      </c>
      <c r="I2002" s="2">
        <v>0.7</v>
      </c>
      <c r="J2002" s="47">
        <f t="shared" si="155"/>
        <v>1.1304347826086956</v>
      </c>
      <c r="K2002" s="47">
        <f t="shared" si="156"/>
        <v>0.42857142857142849</v>
      </c>
      <c r="L2002" s="8">
        <v>57.91</v>
      </c>
      <c r="M2002" s="8">
        <v>41.79</v>
      </c>
      <c r="N2002" s="8">
        <v>28.96</v>
      </c>
      <c r="O2002" s="17">
        <f t="shared" si="157"/>
        <v>0.36968076923076926</v>
      </c>
      <c r="P2002" s="17">
        <f t="shared" si="158"/>
        <v>0.67573333333333352</v>
      </c>
      <c r="Q2002" s="5">
        <v>2.12</v>
      </c>
      <c r="R2002" s="9">
        <v>5.45</v>
      </c>
      <c r="S2002" s="9">
        <v>-4.09</v>
      </c>
      <c r="T2002" s="9">
        <v>1123.2120299999999</v>
      </c>
      <c r="U2002" s="9">
        <v>1042.32</v>
      </c>
      <c r="V2002" s="45">
        <f t="shared" si="159"/>
        <v>7.7607673267326718E-2</v>
      </c>
      <c r="W2002" s="12">
        <v>500</v>
      </c>
      <c r="X2002" s="12">
        <v>1.78</v>
      </c>
      <c r="Y2002" s="12">
        <v>20210809</v>
      </c>
    </row>
    <row r="2003" spans="1:25" x14ac:dyDescent="0.45">
      <c r="A2003" s="3" t="s">
        <v>4978</v>
      </c>
      <c r="B2003" s="3" t="s">
        <v>4979</v>
      </c>
      <c r="C2003" s="6" t="s">
        <v>520</v>
      </c>
      <c r="D2003" s="6" t="s">
        <v>279</v>
      </c>
      <c r="E2003" s="6" t="s">
        <v>258</v>
      </c>
      <c r="F2003" s="6">
        <v>6870.33</v>
      </c>
      <c r="J2003" s="47" t="e">
        <f t="shared" si="155"/>
        <v>#DIV/0!</v>
      </c>
      <c r="K2003" s="47" t="e">
        <f t="shared" si="156"/>
        <v>#DIV/0!</v>
      </c>
      <c r="O2003" s="17" t="e">
        <f t="shared" si="157"/>
        <v>#DIV/0!</v>
      </c>
      <c r="P2003" s="17" t="e">
        <f t="shared" si="158"/>
        <v>#DIV/0!</v>
      </c>
      <c r="U2003" s="9">
        <v>2921.59</v>
      </c>
      <c r="V2003" s="45">
        <f t="shared" si="159"/>
        <v>-1</v>
      </c>
      <c r="X2003" s="12">
        <v>0</v>
      </c>
    </row>
    <row r="2004" spans="1:25" x14ac:dyDescent="0.45">
      <c r="A2004" s="3" t="s">
        <v>3375</v>
      </c>
      <c r="B2004" s="3" t="s">
        <v>3376</v>
      </c>
      <c r="C2004" s="6" t="s">
        <v>518</v>
      </c>
      <c r="D2004" s="6" t="s">
        <v>279</v>
      </c>
      <c r="E2004" s="6" t="s">
        <v>262</v>
      </c>
      <c r="F2004" s="6">
        <v>16694.580000000002</v>
      </c>
      <c r="G2004" s="2">
        <v>6.31</v>
      </c>
      <c r="H2004" s="2">
        <v>7.5</v>
      </c>
      <c r="I2004" s="2">
        <v>8.51</v>
      </c>
      <c r="J2004" s="47">
        <f t="shared" si="155"/>
        <v>0.18858954041204445</v>
      </c>
      <c r="K2004" s="47">
        <f t="shared" si="156"/>
        <v>0.13466666666666663</v>
      </c>
      <c r="L2004" s="8">
        <v>31.8</v>
      </c>
      <c r="M2004" s="8">
        <v>26.07</v>
      </c>
      <c r="N2004" s="8">
        <v>22.99</v>
      </c>
      <c r="O2004" s="17">
        <f t="shared" si="157"/>
        <v>1.3823672268907559</v>
      </c>
      <c r="P2004" s="17">
        <f t="shared" si="158"/>
        <v>1.7071782178217825</v>
      </c>
      <c r="R2004" s="9">
        <v>14.17</v>
      </c>
      <c r="S2004" s="9">
        <v>4.8600000000000003</v>
      </c>
      <c r="T2004" s="9">
        <v>4398.3500899999999</v>
      </c>
      <c r="U2004" s="9">
        <v>3107.52</v>
      </c>
      <c r="V2004" s="45">
        <f t="shared" si="159"/>
        <v>0.41538914954690553</v>
      </c>
      <c r="W2004" s="12">
        <v>-9.44</v>
      </c>
      <c r="X2004" s="12">
        <v>0.82</v>
      </c>
      <c r="Y2004" s="12">
        <v>20210802</v>
      </c>
    </row>
    <row r="2005" spans="1:25" x14ac:dyDescent="0.45">
      <c r="A2005" s="3" t="s">
        <v>4980</v>
      </c>
      <c r="B2005" s="3" t="s">
        <v>4981</v>
      </c>
      <c r="C2005" s="6" t="s">
        <v>518</v>
      </c>
      <c r="D2005" s="6" t="s">
        <v>189</v>
      </c>
      <c r="E2005" s="6" t="s">
        <v>204</v>
      </c>
      <c r="F2005" s="6">
        <v>3878.27</v>
      </c>
      <c r="J2005" s="47" t="e">
        <f t="shared" si="155"/>
        <v>#DIV/0!</v>
      </c>
      <c r="K2005" s="47" t="e">
        <f t="shared" si="156"/>
        <v>#DIV/0!</v>
      </c>
      <c r="O2005" s="17" t="e">
        <f t="shared" si="157"/>
        <v>#DIV/0!</v>
      </c>
      <c r="P2005" s="17" t="e">
        <f t="shared" si="158"/>
        <v>#DIV/0!</v>
      </c>
      <c r="V2005" s="45" t="e">
        <f t="shared" si="159"/>
        <v>#DIV/0!</v>
      </c>
      <c r="X2005" s="12">
        <v>0</v>
      </c>
      <c r="Y2005" s="12">
        <v>20210816</v>
      </c>
    </row>
    <row r="2006" spans="1:25" x14ac:dyDescent="0.45">
      <c r="A2006" s="3" t="s">
        <v>3377</v>
      </c>
      <c r="B2006" s="3" t="s">
        <v>3378</v>
      </c>
      <c r="C2006" s="6" t="s">
        <v>518</v>
      </c>
      <c r="D2006" s="6" t="s">
        <v>234</v>
      </c>
      <c r="E2006" s="6" t="s">
        <v>169</v>
      </c>
      <c r="F2006" s="6">
        <v>5036.47</v>
      </c>
      <c r="G2006" s="2">
        <v>1.2</v>
      </c>
      <c r="H2006" s="2">
        <v>2.02</v>
      </c>
      <c r="I2006" s="2">
        <v>2.13</v>
      </c>
      <c r="J2006" s="47">
        <f t="shared" si="155"/>
        <v>0.68333333333333346</v>
      </c>
      <c r="K2006" s="47">
        <f t="shared" si="156"/>
        <v>5.4455445544554393E-2</v>
      </c>
      <c r="L2006" s="8">
        <v>15.03</v>
      </c>
      <c r="M2006" s="8">
        <v>12.97</v>
      </c>
      <c r="N2006" s="8">
        <v>12.3</v>
      </c>
      <c r="O2006" s="17">
        <f t="shared" si="157"/>
        <v>0.18980487804878046</v>
      </c>
      <c r="P2006" s="17">
        <f t="shared" si="158"/>
        <v>2.2587272727272754</v>
      </c>
      <c r="R2006" s="9">
        <v>7.69</v>
      </c>
      <c r="S2006" s="9">
        <v>25.41</v>
      </c>
      <c r="T2006" s="9">
        <v>1014.67999</v>
      </c>
      <c r="U2006" s="9">
        <v>1149.58</v>
      </c>
      <c r="V2006" s="45">
        <f t="shared" si="159"/>
        <v>-0.11734721376502719</v>
      </c>
      <c r="W2006" s="12">
        <v>10.87</v>
      </c>
      <c r="X2006" s="12">
        <v>1.07</v>
      </c>
      <c r="Y2006" s="12">
        <v>20210728</v>
      </c>
    </row>
    <row r="2007" spans="1:25" x14ac:dyDescent="0.45">
      <c r="A2007" s="3" t="s">
        <v>4378</v>
      </c>
      <c r="B2007" s="3" t="s">
        <v>4379</v>
      </c>
      <c r="C2007" s="6" t="s">
        <v>518</v>
      </c>
      <c r="D2007" s="6" t="s">
        <v>46</v>
      </c>
      <c r="E2007" s="6" t="s">
        <v>66</v>
      </c>
      <c r="F2007" s="6">
        <v>42308.56</v>
      </c>
      <c r="G2007" s="2">
        <v>1.61</v>
      </c>
      <c r="H2007" s="2">
        <v>3.39</v>
      </c>
      <c r="I2007" s="2">
        <v>3.95</v>
      </c>
      <c r="J2007" s="47">
        <f t="shared" si="155"/>
        <v>1.1055900621118011</v>
      </c>
      <c r="K2007" s="47">
        <f t="shared" si="156"/>
        <v>0.16519174041297935</v>
      </c>
      <c r="L2007" s="8">
        <v>14.22</v>
      </c>
      <c r="M2007" s="8">
        <v>6.16</v>
      </c>
      <c r="N2007" s="8">
        <v>5.28</v>
      </c>
      <c r="O2007" s="17">
        <f t="shared" si="157"/>
        <v>5.5716853932584277E-2</v>
      </c>
      <c r="P2007" s="17">
        <f t="shared" si="158"/>
        <v>0.31962857142857148</v>
      </c>
      <c r="R2007" s="9">
        <v>8.0299999999999994</v>
      </c>
      <c r="S2007" s="9">
        <v>-3.52</v>
      </c>
      <c r="T2007" s="9">
        <v>180198</v>
      </c>
      <c r="U2007" s="9">
        <v>99001.59</v>
      </c>
      <c r="V2007" s="45">
        <f t="shared" si="159"/>
        <v>0.82015258542817349</v>
      </c>
      <c r="W2007" s="12">
        <v>121.57</v>
      </c>
      <c r="X2007" s="12">
        <v>0</v>
      </c>
      <c r="Y2007" s="12">
        <v>20210505</v>
      </c>
    </row>
    <row r="2008" spans="1:25" x14ac:dyDescent="0.45">
      <c r="A2008" s="3" t="s">
        <v>3379</v>
      </c>
      <c r="B2008" s="3" t="s">
        <v>3380</v>
      </c>
      <c r="C2008" s="6" t="s">
        <v>519</v>
      </c>
      <c r="D2008" s="6" t="s">
        <v>90</v>
      </c>
      <c r="E2008" s="6" t="s">
        <v>304</v>
      </c>
      <c r="F2008" s="6">
        <v>13625.74</v>
      </c>
      <c r="G2008" s="2">
        <v>2.66</v>
      </c>
      <c r="H2008" s="2">
        <v>9.51</v>
      </c>
      <c r="I2008" s="2">
        <v>3.48</v>
      </c>
      <c r="J2008" s="47">
        <f t="shared" si="155"/>
        <v>2.5751879699248117</v>
      </c>
      <c r="K2008" s="47">
        <f t="shared" si="156"/>
        <v>-0.63406940063091477</v>
      </c>
      <c r="L2008" s="8">
        <v>15.93</v>
      </c>
      <c r="M2008" s="8">
        <v>6.78</v>
      </c>
      <c r="N2008" s="8">
        <v>18.510000000000002</v>
      </c>
      <c r="O2008" s="17">
        <f t="shared" si="157"/>
        <v>2.6328175182481758E-2</v>
      </c>
      <c r="P2008" s="17">
        <f t="shared" si="158"/>
        <v>-0.29192388059701496</v>
      </c>
      <c r="Q2008" s="5">
        <v>0.56999999999999995</v>
      </c>
      <c r="R2008" s="9">
        <v>20.46</v>
      </c>
      <c r="S2008" s="9">
        <v>6.57</v>
      </c>
      <c r="T2008" s="9">
        <v>14508.440420000001</v>
      </c>
      <c r="U2008" s="9">
        <v>9601.48</v>
      </c>
      <c r="V2008" s="45">
        <f t="shared" si="159"/>
        <v>0.51106292154959454</v>
      </c>
      <c r="W2008" s="12">
        <v>6.06</v>
      </c>
      <c r="X2008" s="12">
        <v>1.61</v>
      </c>
      <c r="Y2008" s="12">
        <v>20210719</v>
      </c>
    </row>
    <row r="2009" spans="1:25" x14ac:dyDescent="0.45">
      <c r="A2009" s="3" t="s">
        <v>3381</v>
      </c>
      <c r="B2009" s="3" t="s">
        <v>3382</v>
      </c>
      <c r="C2009" s="6" t="s">
        <v>518</v>
      </c>
      <c r="D2009" s="6" t="s">
        <v>189</v>
      </c>
      <c r="E2009" s="6" t="s">
        <v>2107</v>
      </c>
      <c r="F2009" s="6">
        <v>33797.870000000003</v>
      </c>
      <c r="G2009" s="2">
        <v>1.19</v>
      </c>
      <c r="H2009" s="2">
        <v>1.75</v>
      </c>
      <c r="I2009" s="2">
        <v>1.95</v>
      </c>
      <c r="J2009" s="47">
        <f t="shared" si="155"/>
        <v>0.4705882352941177</v>
      </c>
      <c r="K2009" s="47">
        <f t="shared" si="156"/>
        <v>0.11428571428571425</v>
      </c>
      <c r="L2009" s="8">
        <v>26.88</v>
      </c>
      <c r="M2009" s="8">
        <v>21.15</v>
      </c>
      <c r="N2009" s="8">
        <v>19.05</v>
      </c>
      <c r="O2009" s="17">
        <f t="shared" si="157"/>
        <v>0.44943749999999993</v>
      </c>
      <c r="P2009" s="17">
        <f t="shared" si="158"/>
        <v>1.6668750000000006</v>
      </c>
      <c r="R2009" s="9">
        <v>16</v>
      </c>
      <c r="S2009" s="9">
        <v>9.91</v>
      </c>
      <c r="T2009" s="9">
        <v>12581.5</v>
      </c>
      <c r="U2009" s="9">
        <v>10219</v>
      </c>
      <c r="V2009" s="45">
        <f t="shared" si="159"/>
        <v>0.23118700459927585</v>
      </c>
      <c r="W2009" s="12">
        <v>0</v>
      </c>
      <c r="X2009" s="12">
        <v>0.39</v>
      </c>
      <c r="Y2009" s="12">
        <v>20210722</v>
      </c>
    </row>
    <row r="2010" spans="1:25" x14ac:dyDescent="0.45">
      <c r="A2010" s="3" t="s">
        <v>3383</v>
      </c>
      <c r="B2010" s="3" t="s">
        <v>3384</v>
      </c>
      <c r="C2010" s="6" t="s">
        <v>519</v>
      </c>
      <c r="D2010" s="6" t="s">
        <v>303</v>
      </c>
      <c r="E2010" s="6" t="s">
        <v>245</v>
      </c>
      <c r="F2010" s="6">
        <v>3509.22</v>
      </c>
      <c r="G2010" s="2">
        <v>10.96</v>
      </c>
      <c r="H2010" s="2">
        <v>7.82</v>
      </c>
      <c r="I2010" s="2">
        <v>8.27</v>
      </c>
      <c r="J2010" s="47">
        <f t="shared" si="155"/>
        <v>-0.28649635036496351</v>
      </c>
      <c r="K2010" s="47">
        <f t="shared" si="156"/>
        <v>5.754475703324799E-2</v>
      </c>
      <c r="L2010" s="8">
        <v>14.57</v>
      </c>
      <c r="M2010" s="8">
        <v>24.5</v>
      </c>
      <c r="N2010" s="8">
        <v>23.15</v>
      </c>
      <c r="O2010" s="17">
        <f t="shared" si="157"/>
        <v>-0.85515923566878971</v>
      </c>
      <c r="P2010" s="17">
        <f t="shared" si="158"/>
        <v>4.0229555555555621</v>
      </c>
      <c r="R2010" s="9">
        <v>25.32</v>
      </c>
      <c r="S2010" s="9">
        <v>19.510000000000002</v>
      </c>
      <c r="T2010" s="9">
        <v>787.80998999999997</v>
      </c>
      <c r="U2010" s="9">
        <v>757.98</v>
      </c>
      <c r="V2010" s="45">
        <f t="shared" si="159"/>
        <v>3.9354587192274137E-2</v>
      </c>
      <c r="W2010" s="12">
        <v>27.61</v>
      </c>
      <c r="X2010" s="12">
        <v>0</v>
      </c>
      <c r="Y2010" s="12">
        <v>20210805</v>
      </c>
    </row>
    <row r="2011" spans="1:25" x14ac:dyDescent="0.45">
      <c r="A2011" s="3" t="s">
        <v>3385</v>
      </c>
      <c r="B2011" s="3" t="s">
        <v>3386</v>
      </c>
      <c r="C2011" s="6" t="s">
        <v>518</v>
      </c>
      <c r="D2011" s="6" t="s">
        <v>175</v>
      </c>
      <c r="E2011" s="6" t="s">
        <v>205</v>
      </c>
      <c r="F2011" s="6">
        <v>4926.46</v>
      </c>
      <c r="G2011" s="2">
        <v>1.58</v>
      </c>
      <c r="H2011" s="2">
        <v>1.87</v>
      </c>
      <c r="I2011" s="2">
        <v>2.1</v>
      </c>
      <c r="J2011" s="47">
        <f t="shared" si="155"/>
        <v>0.18354430379746836</v>
      </c>
      <c r="K2011" s="47">
        <f t="shared" si="156"/>
        <v>0.12299465240641709</v>
      </c>
      <c r="L2011" s="8">
        <v>26.26</v>
      </c>
      <c r="M2011" s="8">
        <v>23.65</v>
      </c>
      <c r="N2011" s="8">
        <v>21.06</v>
      </c>
      <c r="O2011" s="17">
        <f t="shared" si="157"/>
        <v>1.2885172413793102</v>
      </c>
      <c r="P2011" s="17">
        <f t="shared" si="158"/>
        <v>1.7122695652173916</v>
      </c>
      <c r="R2011" s="9">
        <v>12.59</v>
      </c>
      <c r="S2011" s="9">
        <v>2.6</v>
      </c>
      <c r="T2011" s="9">
        <v>3061.3549800000001</v>
      </c>
      <c r="U2011" s="9">
        <v>3531.11</v>
      </c>
      <c r="V2011" s="45">
        <f t="shared" si="159"/>
        <v>-0.1330332445038529</v>
      </c>
      <c r="W2011" s="12">
        <v>-9.52</v>
      </c>
      <c r="X2011" s="12">
        <v>0.79</v>
      </c>
      <c r="Y2011" s="12">
        <v>20210804</v>
      </c>
    </row>
    <row r="2012" spans="1:25" x14ac:dyDescent="0.45">
      <c r="A2012" s="3" t="s">
        <v>3387</v>
      </c>
      <c r="B2012" s="3" t="s">
        <v>3388</v>
      </c>
      <c r="C2012" s="6" t="s">
        <v>519</v>
      </c>
      <c r="D2012" s="6" t="s">
        <v>189</v>
      </c>
      <c r="E2012" s="6" t="s">
        <v>248</v>
      </c>
      <c r="F2012" s="6">
        <v>19261.63</v>
      </c>
      <c r="G2012" s="2">
        <v>0.55000000000000004</v>
      </c>
      <c r="H2012" s="2">
        <v>0.87</v>
      </c>
      <c r="I2012" s="2">
        <v>1.45</v>
      </c>
      <c r="J2012" s="47">
        <f t="shared" si="155"/>
        <v>0.58181818181818168</v>
      </c>
      <c r="K2012" s="47">
        <f t="shared" si="156"/>
        <v>0.66666666666666663</v>
      </c>
      <c r="L2012" s="8">
        <v>117.72</v>
      </c>
      <c r="M2012" s="8">
        <v>71.709999999999994</v>
      </c>
      <c r="N2012" s="8">
        <v>42.93</v>
      </c>
      <c r="O2012" s="17">
        <f t="shared" si="157"/>
        <v>1.2325156250000002</v>
      </c>
      <c r="P2012" s="17">
        <f t="shared" si="158"/>
        <v>0.64395000000000013</v>
      </c>
      <c r="Q2012" s="5">
        <v>1.78</v>
      </c>
      <c r="R2012" s="9">
        <v>6.43</v>
      </c>
      <c r="T2012" s="9">
        <v>954.13396999999998</v>
      </c>
      <c r="U2012" s="9">
        <v>644.5</v>
      </c>
      <c r="V2012" s="45">
        <f t="shared" si="159"/>
        <v>0.48042508921644683</v>
      </c>
      <c r="W2012" s="12">
        <v>-43.75</v>
      </c>
      <c r="X2012" s="12">
        <v>0</v>
      </c>
      <c r="Y2012" s="12">
        <v>20210810</v>
      </c>
    </row>
    <row r="2013" spans="1:25" x14ac:dyDescent="0.45">
      <c r="A2013" s="3" t="s">
        <v>3389</v>
      </c>
      <c r="B2013" s="3" t="s">
        <v>3390</v>
      </c>
      <c r="C2013" s="6" t="s">
        <v>518</v>
      </c>
      <c r="D2013" s="6" t="s">
        <v>234</v>
      </c>
      <c r="E2013" s="6" t="s">
        <v>288</v>
      </c>
      <c r="F2013" s="6">
        <v>9748.59</v>
      </c>
      <c r="G2013" s="2">
        <v>1.83</v>
      </c>
      <c r="H2013" s="2">
        <v>1.85</v>
      </c>
      <c r="I2013" s="2">
        <v>2.0099999999999998</v>
      </c>
      <c r="J2013" s="47">
        <f t="shared" si="155"/>
        <v>1.0928961748633888E-2</v>
      </c>
      <c r="K2013" s="47">
        <f t="shared" si="156"/>
        <v>8.6486486486486325E-2</v>
      </c>
      <c r="L2013" s="8">
        <v>20.13</v>
      </c>
      <c r="M2013" s="8">
        <v>19.48</v>
      </c>
      <c r="N2013" s="8">
        <v>17.91</v>
      </c>
      <c r="O2013" s="17">
        <f t="shared" si="157"/>
        <v>17.824199999999987</v>
      </c>
      <c r="P2013" s="17">
        <f t="shared" si="158"/>
        <v>2.0708437500000039</v>
      </c>
      <c r="R2013" s="9">
        <v>4.25</v>
      </c>
      <c r="S2013" s="9">
        <v>18.55</v>
      </c>
      <c r="T2013" s="9">
        <v>705.32701999999995</v>
      </c>
      <c r="U2013" s="9">
        <v>694.27</v>
      </c>
      <c r="V2013" s="45">
        <f t="shared" si="159"/>
        <v>1.5926109438690949E-2</v>
      </c>
      <c r="W2013" s="12">
        <v>4.4400000000000004</v>
      </c>
      <c r="X2013" s="12">
        <v>4</v>
      </c>
      <c r="Y2013" s="12">
        <v>20210804</v>
      </c>
    </row>
    <row r="2014" spans="1:25" x14ac:dyDescent="0.45">
      <c r="A2014" s="3" t="s">
        <v>3391</v>
      </c>
      <c r="B2014" s="3" t="s">
        <v>3392</v>
      </c>
      <c r="C2014" s="6" t="s">
        <v>518</v>
      </c>
      <c r="D2014" s="6" t="s">
        <v>234</v>
      </c>
      <c r="E2014" s="6" t="s">
        <v>154</v>
      </c>
      <c r="F2014" s="6">
        <v>29410.76</v>
      </c>
      <c r="G2014" s="2">
        <v>6.58</v>
      </c>
      <c r="H2014" s="2">
        <v>7.02</v>
      </c>
      <c r="I2014" s="2">
        <v>8.08</v>
      </c>
      <c r="J2014" s="47">
        <f t="shared" si="155"/>
        <v>6.6869300911854029E-2</v>
      </c>
      <c r="K2014" s="47">
        <f t="shared" si="156"/>
        <v>0.15099715099715108</v>
      </c>
      <c r="L2014" s="8">
        <v>13.03</v>
      </c>
      <c r="M2014" s="8">
        <v>12.05</v>
      </c>
      <c r="N2014" s="8">
        <v>10.47</v>
      </c>
      <c r="O2014" s="17">
        <f t="shared" si="157"/>
        <v>1.8020227272727294</v>
      </c>
      <c r="P2014" s="17">
        <f t="shared" si="158"/>
        <v>0.69339056603773552</v>
      </c>
      <c r="Q2014" s="5">
        <v>1.42</v>
      </c>
      <c r="R2014" s="9">
        <v>10.65</v>
      </c>
      <c r="S2014" s="9">
        <v>4.1399999999999997</v>
      </c>
      <c r="T2014" s="9">
        <v>11702.087890000001</v>
      </c>
      <c r="U2014" s="9">
        <v>12078</v>
      </c>
      <c r="V2014" s="45">
        <f t="shared" si="159"/>
        <v>-3.1123705083623058E-2</v>
      </c>
      <c r="W2014" s="12">
        <v>9.6999999999999993</v>
      </c>
      <c r="X2014" s="12">
        <v>2.46</v>
      </c>
      <c r="Y2014" s="12">
        <v>20210716</v>
      </c>
    </row>
    <row r="2015" spans="1:25" x14ac:dyDescent="0.45">
      <c r="A2015" s="3" t="s">
        <v>3393</v>
      </c>
      <c r="B2015" s="3" t="s">
        <v>3394</v>
      </c>
      <c r="C2015" s="6" t="s">
        <v>518</v>
      </c>
      <c r="D2015" s="6" t="s">
        <v>234</v>
      </c>
      <c r="E2015" s="6" t="s">
        <v>285</v>
      </c>
      <c r="F2015" s="6">
        <v>7625.19</v>
      </c>
      <c r="G2015" s="2">
        <v>1.97</v>
      </c>
      <c r="H2015" s="2">
        <v>2.0699999999999998</v>
      </c>
      <c r="I2015" s="2">
        <v>2.13</v>
      </c>
      <c r="J2015" s="47">
        <f t="shared" si="155"/>
        <v>5.0761421319796884E-2</v>
      </c>
      <c r="K2015" s="47">
        <f t="shared" si="156"/>
        <v>2.898550724637684E-2</v>
      </c>
      <c r="L2015" s="8">
        <v>13.77</v>
      </c>
      <c r="M2015" s="8">
        <v>12.84</v>
      </c>
      <c r="N2015" s="8">
        <v>12.47</v>
      </c>
      <c r="O2015" s="17">
        <f t="shared" si="157"/>
        <v>2.5294800000000035</v>
      </c>
      <c r="P2015" s="17">
        <f t="shared" si="158"/>
        <v>4.3021499999999966</v>
      </c>
      <c r="R2015" s="9">
        <v>11.02</v>
      </c>
      <c r="S2015" s="9">
        <v>10.58</v>
      </c>
      <c r="T2015" s="9">
        <v>1195.5</v>
      </c>
      <c r="U2015" s="9">
        <v>1136.1600000000001</v>
      </c>
      <c r="V2015" s="45">
        <f t="shared" si="159"/>
        <v>5.2228559357836851E-2</v>
      </c>
      <c r="W2015" s="12">
        <v>-1.96</v>
      </c>
      <c r="X2015" s="12">
        <v>7.23</v>
      </c>
      <c r="Y2015" s="12">
        <v>20210804</v>
      </c>
    </row>
    <row r="2016" spans="1:25" x14ac:dyDescent="0.45">
      <c r="A2016" s="3" t="s">
        <v>4380</v>
      </c>
      <c r="B2016" s="3" t="s">
        <v>3395</v>
      </c>
      <c r="C2016" s="6" t="s">
        <v>519</v>
      </c>
      <c r="D2016" s="6" t="s">
        <v>175</v>
      </c>
      <c r="E2016" s="6" t="s">
        <v>305</v>
      </c>
      <c r="F2016" s="6">
        <v>22733.99</v>
      </c>
      <c r="G2016" s="2">
        <v>5.05</v>
      </c>
      <c r="H2016" s="2">
        <v>5.3</v>
      </c>
      <c r="I2016" s="2">
        <v>6.99</v>
      </c>
      <c r="J2016" s="47">
        <f t="shared" si="155"/>
        <v>4.9504950495049507E-2</v>
      </c>
      <c r="K2016" s="47">
        <f t="shared" si="156"/>
        <v>0.31886792452830198</v>
      </c>
      <c r="L2016" s="8">
        <v>20.27</v>
      </c>
      <c r="M2016" s="8">
        <v>18.75</v>
      </c>
      <c r="N2016" s="8">
        <v>14.22</v>
      </c>
      <c r="O2016" s="17">
        <f t="shared" si="157"/>
        <v>3.7875000000000001</v>
      </c>
      <c r="P2016" s="17">
        <f t="shared" si="158"/>
        <v>0.44595266272189338</v>
      </c>
      <c r="Q2016" s="5">
        <v>15.5</v>
      </c>
      <c r="R2016" s="9">
        <v>88.26</v>
      </c>
      <c r="S2016" s="9">
        <v>-1.92</v>
      </c>
      <c r="T2016" s="9">
        <v>10518.99804</v>
      </c>
      <c r="U2016" s="9">
        <v>10509</v>
      </c>
      <c r="V2016" s="45">
        <f t="shared" si="159"/>
        <v>9.5137881815590458E-4</v>
      </c>
      <c r="W2016" s="12">
        <v>13.85</v>
      </c>
      <c r="X2016" s="12">
        <v>2.7</v>
      </c>
      <c r="Y2016" s="12">
        <v>20210727</v>
      </c>
    </row>
    <row r="2017" spans="1:25" x14ac:dyDescent="0.45">
      <c r="A2017" s="3" t="s">
        <v>3396</v>
      </c>
      <c r="B2017" s="3" t="s">
        <v>3397</v>
      </c>
      <c r="C2017" s="6" t="s">
        <v>518</v>
      </c>
      <c r="D2017" s="6" t="s">
        <v>225</v>
      </c>
      <c r="E2017" s="6" t="s">
        <v>186</v>
      </c>
      <c r="F2017" s="6">
        <v>45920.54</v>
      </c>
      <c r="G2017" s="2">
        <v>9.6999999999999993</v>
      </c>
      <c r="H2017" s="2">
        <v>10.029999999999999</v>
      </c>
      <c r="I2017" s="2">
        <v>11.65</v>
      </c>
      <c r="J2017" s="47">
        <f t="shared" si="155"/>
        <v>3.4020618556701042E-2</v>
      </c>
      <c r="K2017" s="47">
        <f t="shared" si="156"/>
        <v>0.16151545363908287</v>
      </c>
      <c r="L2017" s="8">
        <v>23.74</v>
      </c>
      <c r="M2017" s="8">
        <v>23.59</v>
      </c>
      <c r="N2017" s="8">
        <v>20.32</v>
      </c>
      <c r="O2017" s="17">
        <f t="shared" si="157"/>
        <v>6.9340303030303003</v>
      </c>
      <c r="P2017" s="17">
        <f t="shared" si="158"/>
        <v>1.258083950617283</v>
      </c>
      <c r="Q2017" s="5">
        <v>4.08</v>
      </c>
      <c r="R2017" s="9">
        <v>15.28</v>
      </c>
      <c r="S2017" s="9">
        <v>4.41</v>
      </c>
      <c r="T2017" s="9">
        <v>8563.9921799999993</v>
      </c>
      <c r="U2017" s="9">
        <v>9355.7000000000007</v>
      </c>
      <c r="V2017" s="45">
        <f t="shared" si="159"/>
        <v>-8.4623044774843295E-2</v>
      </c>
      <c r="W2017" s="12">
        <v>22.15</v>
      </c>
      <c r="X2017" s="12">
        <v>1.28</v>
      </c>
      <c r="Y2017" s="12">
        <v>20210707</v>
      </c>
    </row>
    <row r="2018" spans="1:25" x14ac:dyDescent="0.45">
      <c r="A2018" s="3" t="s">
        <v>3396</v>
      </c>
      <c r="B2018" s="3" t="s">
        <v>4982</v>
      </c>
      <c r="C2018" s="6" t="s">
        <v>518</v>
      </c>
      <c r="D2018" s="6" t="s">
        <v>225</v>
      </c>
      <c r="E2018" s="6" t="s">
        <v>186</v>
      </c>
      <c r="F2018" s="6">
        <v>46194.7</v>
      </c>
      <c r="J2018" s="47" t="e">
        <f t="shared" si="155"/>
        <v>#DIV/0!</v>
      </c>
      <c r="K2018" s="47" t="e">
        <f t="shared" si="156"/>
        <v>#DIV/0!</v>
      </c>
      <c r="L2018" s="8">
        <v>23.88</v>
      </c>
      <c r="O2018" s="17" t="e">
        <f t="shared" si="157"/>
        <v>#DIV/0!</v>
      </c>
      <c r="P2018" s="17" t="e">
        <f t="shared" si="158"/>
        <v>#DIV/0!</v>
      </c>
      <c r="R2018" s="9">
        <v>15.28</v>
      </c>
      <c r="S2018" s="9">
        <v>4.1500000000000004</v>
      </c>
      <c r="U2018" s="9">
        <v>9355.7000000000007</v>
      </c>
      <c r="V2018" s="45">
        <f t="shared" si="159"/>
        <v>-1</v>
      </c>
      <c r="X2018" s="12">
        <v>1.1599999999999999</v>
      </c>
      <c r="Y2018" s="12">
        <v>20210707</v>
      </c>
    </row>
    <row r="2019" spans="1:25" x14ac:dyDescent="0.45">
      <c r="A2019" s="3" t="s">
        <v>3398</v>
      </c>
      <c r="B2019" s="3" t="s">
        <v>3399</v>
      </c>
      <c r="C2019" s="6" t="s">
        <v>518</v>
      </c>
      <c r="D2019" s="6" t="s">
        <v>289</v>
      </c>
      <c r="E2019" s="6" t="s">
        <v>1357</v>
      </c>
      <c r="F2019" s="6">
        <v>37687.19</v>
      </c>
      <c r="G2019" s="2">
        <v>-1.18</v>
      </c>
      <c r="H2019" s="2">
        <v>2.11</v>
      </c>
      <c r="I2019" s="2">
        <v>1.51</v>
      </c>
      <c r="J2019" s="47">
        <f t="shared" si="155"/>
        <v>2.7881355932203391</v>
      </c>
      <c r="K2019" s="47">
        <f t="shared" si="156"/>
        <v>-0.28436018957345965</v>
      </c>
      <c r="M2019" s="8">
        <v>11.86</v>
      </c>
      <c r="N2019" s="8">
        <v>16.52</v>
      </c>
      <c r="O2019" s="17">
        <f t="shared" si="157"/>
        <v>4.2537386018237075E-2</v>
      </c>
      <c r="P2019" s="17">
        <f t="shared" si="158"/>
        <v>-0.58095333333333343</v>
      </c>
      <c r="Q2019" s="5">
        <v>3.95</v>
      </c>
      <c r="R2019" s="9">
        <v>-1.35</v>
      </c>
      <c r="S2019" s="9">
        <v>2.19</v>
      </c>
      <c r="T2019" s="9">
        <v>29857.130850000001</v>
      </c>
      <c r="U2019" s="9">
        <v>18701.82</v>
      </c>
      <c r="V2019" s="45">
        <f t="shared" si="159"/>
        <v>0.59648263377575028</v>
      </c>
      <c r="W2019" s="12">
        <v>-11.36</v>
      </c>
      <c r="X2019" s="12">
        <v>1.29</v>
      </c>
      <c r="Y2019" s="12">
        <v>20210728</v>
      </c>
    </row>
    <row r="2020" spans="1:25" x14ac:dyDescent="0.45">
      <c r="A2020" s="3" t="s">
        <v>3400</v>
      </c>
      <c r="B2020" s="3" t="s">
        <v>3401</v>
      </c>
      <c r="C2020" s="6" t="s">
        <v>520</v>
      </c>
      <c r="D2020" s="6" t="s">
        <v>234</v>
      </c>
      <c r="E2020" s="6" t="s">
        <v>284</v>
      </c>
      <c r="F2020" s="6">
        <v>45408.22</v>
      </c>
      <c r="G2020" s="2">
        <v>1.27</v>
      </c>
      <c r="H2020" s="2">
        <v>1.37</v>
      </c>
      <c r="I2020" s="2">
        <v>1.37</v>
      </c>
      <c r="J2020" s="47">
        <f t="shared" si="155"/>
        <v>7.8740157480315029E-2</v>
      </c>
      <c r="K2020" s="47">
        <f t="shared" si="156"/>
        <v>0</v>
      </c>
      <c r="M2020" s="8">
        <v>11.44</v>
      </c>
      <c r="N2020" s="8">
        <v>11.44</v>
      </c>
      <c r="O2020" s="17">
        <f t="shared" si="157"/>
        <v>1.4528799999999988</v>
      </c>
      <c r="P2020" s="17" t="e">
        <f t="shared" si="158"/>
        <v>#DIV/0!</v>
      </c>
      <c r="Q2020" s="5">
        <v>4.37</v>
      </c>
      <c r="U2020" s="9">
        <v>10662.98</v>
      </c>
      <c r="V2020" s="45">
        <f t="shared" si="159"/>
        <v>-1</v>
      </c>
      <c r="X2020" s="12">
        <v>1.8</v>
      </c>
    </row>
    <row r="2021" spans="1:25" x14ac:dyDescent="0.45">
      <c r="A2021" s="3" t="s">
        <v>3402</v>
      </c>
      <c r="B2021" s="3" t="s">
        <v>3403</v>
      </c>
      <c r="C2021" s="6" t="s">
        <v>518</v>
      </c>
      <c r="D2021" s="6" t="s">
        <v>234</v>
      </c>
      <c r="E2021" s="6" t="s">
        <v>287</v>
      </c>
      <c r="F2021" s="6">
        <v>19604.68</v>
      </c>
      <c r="G2021" s="2">
        <v>5.03</v>
      </c>
      <c r="H2021" s="2">
        <v>5.94</v>
      </c>
      <c r="I2021" s="2">
        <v>6.22</v>
      </c>
      <c r="J2021" s="47">
        <f t="shared" si="155"/>
        <v>0.18091451292246521</v>
      </c>
      <c r="K2021" s="47">
        <f t="shared" si="156"/>
        <v>4.7138047138047028E-2</v>
      </c>
      <c r="L2021" s="8">
        <v>34.11</v>
      </c>
      <c r="M2021" s="8">
        <v>29.51</v>
      </c>
      <c r="N2021" s="8">
        <v>28.18</v>
      </c>
      <c r="O2021" s="17">
        <f t="shared" si="157"/>
        <v>1.631157142857143</v>
      </c>
      <c r="P2021" s="17">
        <f t="shared" si="158"/>
        <v>5.9781857142857282</v>
      </c>
      <c r="Q2021" s="5">
        <v>3.73</v>
      </c>
      <c r="R2021" s="9">
        <v>3.3</v>
      </c>
      <c r="S2021" s="9">
        <v>14.3</v>
      </c>
      <c r="U2021" s="9">
        <v>1398.35</v>
      </c>
      <c r="V2021" s="45">
        <f t="shared" si="159"/>
        <v>-1</v>
      </c>
      <c r="W2021" s="12">
        <v>8.6199999999999992</v>
      </c>
      <c r="X2021" s="12">
        <v>1.89</v>
      </c>
      <c r="Y2021" s="12">
        <v>20210726</v>
      </c>
    </row>
    <row r="2022" spans="1:25" x14ac:dyDescent="0.45">
      <c r="A2022" s="3" t="s">
        <v>3922</v>
      </c>
      <c r="B2022" s="3" t="s">
        <v>3923</v>
      </c>
      <c r="C2022" s="6" t="s">
        <v>518</v>
      </c>
      <c r="D2022" s="6" t="s">
        <v>210</v>
      </c>
      <c r="E2022" s="6" t="s">
        <v>188</v>
      </c>
      <c r="F2022" s="6">
        <v>4142.8999999999996</v>
      </c>
      <c r="G2022" s="2">
        <v>0.75</v>
      </c>
      <c r="H2022" s="2">
        <v>1.29</v>
      </c>
      <c r="I2022" s="2">
        <v>1.49</v>
      </c>
      <c r="J2022" s="47">
        <f t="shared" si="155"/>
        <v>0.72000000000000008</v>
      </c>
      <c r="K2022" s="47">
        <f t="shared" si="156"/>
        <v>0.15503875968992245</v>
      </c>
      <c r="L2022" s="8">
        <v>36.39</v>
      </c>
      <c r="M2022" s="8">
        <v>27.41</v>
      </c>
      <c r="N2022" s="8">
        <v>23.75</v>
      </c>
      <c r="O2022" s="17">
        <f t="shared" si="157"/>
        <v>0.38069444444444439</v>
      </c>
      <c r="P2022" s="17">
        <f t="shared" si="158"/>
        <v>1.5318750000000003</v>
      </c>
      <c r="R2022" s="9">
        <v>7.2</v>
      </c>
      <c r="S2022" s="9">
        <v>9.9600000000000009</v>
      </c>
      <c r="T2022" s="9">
        <v>2393.8449700000001</v>
      </c>
      <c r="U2022" s="9">
        <v>2332.4499999999998</v>
      </c>
      <c r="V2022" s="45">
        <f t="shared" si="159"/>
        <v>2.6322094793028914E-2</v>
      </c>
      <c r="W2022" s="12">
        <v>37.74</v>
      </c>
      <c r="X2022" s="12">
        <v>0</v>
      </c>
      <c r="Y2022" s="12">
        <v>20210720</v>
      </c>
    </row>
    <row r="2023" spans="1:25" x14ac:dyDescent="0.45">
      <c r="A2023" s="3" t="s">
        <v>3404</v>
      </c>
      <c r="B2023" s="3" t="s">
        <v>3405</v>
      </c>
      <c r="C2023" s="6" t="s">
        <v>518</v>
      </c>
      <c r="D2023" s="6" t="s">
        <v>289</v>
      </c>
      <c r="E2023" s="6" t="s">
        <v>280</v>
      </c>
      <c r="F2023" s="6">
        <v>3719.05</v>
      </c>
      <c r="G2023" s="2">
        <v>2.56</v>
      </c>
      <c r="H2023" s="2">
        <v>5.59</v>
      </c>
      <c r="I2023" s="2">
        <v>3.9</v>
      </c>
      <c r="J2023" s="47">
        <f t="shared" si="155"/>
        <v>1.18359375</v>
      </c>
      <c r="K2023" s="47">
        <f t="shared" si="156"/>
        <v>-0.30232558139534882</v>
      </c>
      <c r="L2023" s="8">
        <v>9.0500000000000007</v>
      </c>
      <c r="M2023" s="8">
        <v>6.68</v>
      </c>
      <c r="N2023" s="8">
        <v>9.5500000000000007</v>
      </c>
      <c r="O2023" s="17">
        <f t="shared" si="157"/>
        <v>5.6438283828382833E-2</v>
      </c>
      <c r="P2023" s="17">
        <f t="shared" si="158"/>
        <v>-0.31588461538461543</v>
      </c>
      <c r="R2023" s="9">
        <v>65.489999999999995</v>
      </c>
      <c r="S2023" s="9">
        <v>-3.5</v>
      </c>
      <c r="T2023" s="9">
        <v>14039.58691</v>
      </c>
      <c r="U2023" s="9">
        <v>10710</v>
      </c>
      <c r="V2023" s="45">
        <f t="shared" si="159"/>
        <v>0.31088579925303456</v>
      </c>
      <c r="W2023" s="12">
        <v>131.88</v>
      </c>
      <c r="X2023" s="12">
        <v>8.86</v>
      </c>
      <c r="Y2023" s="12">
        <v>20210804</v>
      </c>
    </row>
    <row r="2024" spans="1:25" x14ac:dyDescent="0.45">
      <c r="A2024" s="3" t="s">
        <v>3406</v>
      </c>
      <c r="B2024" s="3" t="s">
        <v>3407</v>
      </c>
      <c r="C2024" s="6" t="s">
        <v>520</v>
      </c>
      <c r="D2024" s="6" t="s">
        <v>189</v>
      </c>
      <c r="E2024" s="6" t="s">
        <v>2107</v>
      </c>
      <c r="F2024" s="6">
        <v>6897.46</v>
      </c>
      <c r="G2024" s="2">
        <v>1.65</v>
      </c>
      <c r="H2024" s="2">
        <v>1.93</v>
      </c>
      <c r="I2024" s="2">
        <v>3.41</v>
      </c>
      <c r="J2024" s="47">
        <f t="shared" si="155"/>
        <v>0.16969696969696973</v>
      </c>
      <c r="K2024" s="47">
        <f t="shared" si="156"/>
        <v>0.76683937823834214</v>
      </c>
      <c r="L2024" s="8">
        <v>30.09</v>
      </c>
      <c r="M2024" s="8">
        <v>24.63</v>
      </c>
      <c r="N2024" s="8">
        <v>13.92</v>
      </c>
      <c r="O2024" s="17">
        <f t="shared" si="157"/>
        <v>1.451410714285714</v>
      </c>
      <c r="P2024" s="17">
        <f t="shared" si="158"/>
        <v>0.18152432432432428</v>
      </c>
      <c r="R2024" s="9">
        <v>6.8</v>
      </c>
      <c r="S2024" s="9">
        <v>7.95</v>
      </c>
      <c r="T2024" s="9">
        <v>2944.4599600000001</v>
      </c>
      <c r="U2024" s="9">
        <v>2730.66</v>
      </c>
      <c r="V2024" s="45">
        <f t="shared" si="159"/>
        <v>7.8296074941589328E-2</v>
      </c>
      <c r="X2024" s="12">
        <v>0.5</v>
      </c>
      <c r="Y2024" s="12">
        <v>20210805</v>
      </c>
    </row>
    <row r="2025" spans="1:25" x14ac:dyDescent="0.45">
      <c r="A2025" s="3" t="s">
        <v>4381</v>
      </c>
      <c r="B2025" s="3" t="s">
        <v>4382</v>
      </c>
      <c r="C2025" s="6" t="s">
        <v>520</v>
      </c>
      <c r="D2025" s="6" t="s">
        <v>234</v>
      </c>
      <c r="E2025" s="6" t="s">
        <v>286</v>
      </c>
      <c r="F2025" s="6">
        <v>3077.59</v>
      </c>
      <c r="H2025" s="2">
        <v>0.05</v>
      </c>
      <c r="I2025" s="2">
        <v>0.05</v>
      </c>
      <c r="J2025" s="47" t="e">
        <f t="shared" si="155"/>
        <v>#DIV/0!</v>
      </c>
      <c r="K2025" s="47">
        <f t="shared" si="156"/>
        <v>0</v>
      </c>
      <c r="M2025" s="8">
        <v>22</v>
      </c>
      <c r="N2025" s="8">
        <v>22</v>
      </c>
      <c r="O2025" s="17" t="e">
        <f t="shared" si="157"/>
        <v>#DIV/0!</v>
      </c>
      <c r="P2025" s="17" t="e">
        <f t="shared" si="158"/>
        <v>#DIV/0!</v>
      </c>
      <c r="T2025" s="9">
        <v>258.26</v>
      </c>
      <c r="V2025" s="45" t="e">
        <f t="shared" si="159"/>
        <v>#DIV/0!</v>
      </c>
      <c r="X2025" s="12">
        <v>0</v>
      </c>
    </row>
    <row r="2026" spans="1:25" x14ac:dyDescent="0.45">
      <c r="A2026" s="3" t="s">
        <v>4983</v>
      </c>
      <c r="B2026" s="3" t="s">
        <v>4984</v>
      </c>
      <c r="C2026" s="6" t="s">
        <v>518</v>
      </c>
      <c r="D2026" s="6" t="s">
        <v>90</v>
      </c>
      <c r="E2026" s="6" t="s">
        <v>282</v>
      </c>
      <c r="F2026" s="6">
        <v>16049.26</v>
      </c>
      <c r="J2026" s="47" t="e">
        <f t="shared" si="155"/>
        <v>#DIV/0!</v>
      </c>
      <c r="K2026" s="47" t="e">
        <f t="shared" si="156"/>
        <v>#DIV/0!</v>
      </c>
      <c r="L2026" s="8">
        <v>23.12</v>
      </c>
      <c r="O2026" s="17" t="e">
        <f t="shared" si="157"/>
        <v>#DIV/0!</v>
      </c>
      <c r="P2026" s="17" t="e">
        <f t="shared" si="158"/>
        <v>#DIV/0!</v>
      </c>
      <c r="R2026" s="9">
        <v>90.93</v>
      </c>
      <c r="U2026" s="9">
        <v>5913.47</v>
      </c>
      <c r="V2026" s="45">
        <f t="shared" si="159"/>
        <v>-1</v>
      </c>
      <c r="X2026" s="12">
        <v>0</v>
      </c>
      <c r="Y2026" s="12">
        <v>20210812</v>
      </c>
    </row>
    <row r="2027" spans="1:25" x14ac:dyDescent="0.45">
      <c r="A2027" s="3" t="s">
        <v>4985</v>
      </c>
      <c r="B2027" s="3" t="s">
        <v>4986</v>
      </c>
      <c r="C2027" s="6" t="s">
        <v>520</v>
      </c>
      <c r="D2027" s="6" t="s">
        <v>234</v>
      </c>
      <c r="E2027" s="6" t="s">
        <v>105</v>
      </c>
      <c r="F2027" s="6">
        <v>27638.28</v>
      </c>
      <c r="J2027" s="47" t="e">
        <f t="shared" si="155"/>
        <v>#DIV/0!</v>
      </c>
      <c r="K2027" s="47" t="e">
        <f t="shared" si="156"/>
        <v>#DIV/0!</v>
      </c>
      <c r="L2027" s="8">
        <v>15.8</v>
      </c>
      <c r="O2027" s="17" t="e">
        <f t="shared" si="157"/>
        <v>#DIV/0!</v>
      </c>
      <c r="P2027" s="17" t="e">
        <f t="shared" si="158"/>
        <v>#DIV/0!</v>
      </c>
      <c r="R2027" s="9">
        <v>10.29</v>
      </c>
      <c r="U2027" s="9">
        <v>7291.22</v>
      </c>
      <c r="V2027" s="45">
        <f t="shared" si="159"/>
        <v>-1</v>
      </c>
      <c r="X2027" s="12">
        <v>0</v>
      </c>
      <c r="Y2027" s="12">
        <v>20210616</v>
      </c>
    </row>
    <row r="2028" spans="1:25" x14ac:dyDescent="0.45">
      <c r="A2028" s="3" t="s">
        <v>3408</v>
      </c>
      <c r="B2028" s="3" t="s">
        <v>3409</v>
      </c>
      <c r="C2028" s="6" t="s">
        <v>519</v>
      </c>
      <c r="D2028" s="6" t="s">
        <v>279</v>
      </c>
      <c r="E2028" s="6" t="s">
        <v>262</v>
      </c>
      <c r="F2028" s="6">
        <v>5985.25</v>
      </c>
      <c r="G2028" s="2">
        <v>-1.94</v>
      </c>
      <c r="H2028" s="2">
        <v>-1.59</v>
      </c>
      <c r="I2028" s="2">
        <v>7.0000000000000007E-2</v>
      </c>
      <c r="J2028" s="47">
        <f t="shared" si="155"/>
        <v>0.18041237113402056</v>
      </c>
      <c r="K2028" s="47">
        <f t="shared" si="156"/>
        <v>1.0440251572327044</v>
      </c>
      <c r="N2028" s="8">
        <v>2534.67</v>
      </c>
      <c r="O2028" s="17">
        <f t="shared" si="157"/>
        <v>0</v>
      </c>
      <c r="P2028" s="17">
        <f t="shared" si="158"/>
        <v>24.27786325301205</v>
      </c>
      <c r="R2028" s="9">
        <v>-30.92</v>
      </c>
      <c r="T2028" s="9">
        <v>202.99699000000001</v>
      </c>
      <c r="U2028" s="9">
        <v>67.790000000000006</v>
      </c>
      <c r="V2028" s="45">
        <f t="shared" si="159"/>
        <v>1.9944975660126862</v>
      </c>
      <c r="W2028" s="12">
        <v>-61.9</v>
      </c>
      <c r="X2028" s="12">
        <v>0</v>
      </c>
      <c r="Y2028" s="12">
        <v>20210810</v>
      </c>
    </row>
    <row r="2029" spans="1:25" x14ac:dyDescent="0.45">
      <c r="A2029" s="3" t="s">
        <v>3410</v>
      </c>
      <c r="B2029" s="3" t="s">
        <v>3411</v>
      </c>
      <c r="C2029" s="6" t="s">
        <v>518</v>
      </c>
      <c r="D2029" s="6" t="s">
        <v>175</v>
      </c>
      <c r="E2029" s="6" t="s">
        <v>305</v>
      </c>
      <c r="F2029" s="6">
        <v>5019.7299999999996</v>
      </c>
      <c r="G2029" s="2">
        <v>0.14000000000000001</v>
      </c>
      <c r="H2029" s="2">
        <v>0.28000000000000003</v>
      </c>
      <c r="I2029" s="2">
        <v>0.33</v>
      </c>
      <c r="J2029" s="47">
        <f t="shared" si="155"/>
        <v>1</v>
      </c>
      <c r="K2029" s="47">
        <f t="shared" si="156"/>
        <v>0.17857142857142852</v>
      </c>
      <c r="L2029" s="8">
        <v>83.12</v>
      </c>
      <c r="M2029" s="8">
        <v>73.17</v>
      </c>
      <c r="N2029" s="8">
        <v>63.35</v>
      </c>
      <c r="O2029" s="17">
        <f t="shared" si="157"/>
        <v>0.73170000000000002</v>
      </c>
      <c r="P2029" s="17">
        <f t="shared" si="158"/>
        <v>3.5476000000000014</v>
      </c>
      <c r="R2029" s="9">
        <v>4.8</v>
      </c>
      <c r="S2029" s="9">
        <v>10.92</v>
      </c>
      <c r="T2029" s="9">
        <v>554.79301999999996</v>
      </c>
      <c r="U2029" s="9">
        <v>511.55</v>
      </c>
      <c r="V2029" s="45">
        <f t="shared" si="159"/>
        <v>8.4533320301045725E-2</v>
      </c>
      <c r="W2029" s="12">
        <v>60</v>
      </c>
      <c r="X2029" s="12">
        <v>0.96</v>
      </c>
      <c r="Y2029" s="12">
        <v>20210805</v>
      </c>
    </row>
    <row r="2030" spans="1:25" x14ac:dyDescent="0.45">
      <c r="A2030" s="3" t="s">
        <v>4987</v>
      </c>
      <c r="B2030" s="3" t="s">
        <v>4988</v>
      </c>
      <c r="C2030" s="6" t="s">
        <v>520</v>
      </c>
      <c r="D2030" s="6" t="s">
        <v>234</v>
      </c>
      <c r="E2030" s="6" t="s">
        <v>105</v>
      </c>
      <c r="F2030" s="6">
        <v>20817.580000000002</v>
      </c>
      <c r="J2030" s="47" t="e">
        <f t="shared" si="155"/>
        <v>#DIV/0!</v>
      </c>
      <c r="K2030" s="47" t="e">
        <f t="shared" si="156"/>
        <v>#DIV/0!</v>
      </c>
      <c r="L2030" s="8">
        <v>9.2899999999999991</v>
      </c>
      <c r="O2030" s="17" t="e">
        <f t="shared" si="157"/>
        <v>#DIV/0!</v>
      </c>
      <c r="P2030" s="17" t="e">
        <f t="shared" si="158"/>
        <v>#DIV/0!</v>
      </c>
      <c r="R2030" s="9">
        <v>13.17</v>
      </c>
      <c r="S2030" s="9">
        <v>-12.43</v>
      </c>
      <c r="U2030" s="9">
        <v>5806.32</v>
      </c>
      <c r="V2030" s="45">
        <f t="shared" si="159"/>
        <v>-1</v>
      </c>
      <c r="X2030" s="12">
        <v>1.4</v>
      </c>
      <c r="Y2030" s="12">
        <v>20210716</v>
      </c>
    </row>
    <row r="2031" spans="1:25" x14ac:dyDescent="0.45">
      <c r="A2031" s="3" t="s">
        <v>4989</v>
      </c>
      <c r="B2031" s="3" t="s">
        <v>4990</v>
      </c>
      <c r="C2031" s="6" t="s">
        <v>520</v>
      </c>
      <c r="D2031" s="6" t="s">
        <v>225</v>
      </c>
      <c r="E2031" s="6" t="s">
        <v>206</v>
      </c>
      <c r="F2031" s="6">
        <v>53762.34</v>
      </c>
      <c r="J2031" s="47" t="e">
        <f t="shared" si="155"/>
        <v>#DIV/0!</v>
      </c>
      <c r="K2031" s="47" t="e">
        <f t="shared" si="156"/>
        <v>#DIV/0!</v>
      </c>
      <c r="O2031" s="17" t="e">
        <f t="shared" si="157"/>
        <v>#DIV/0!</v>
      </c>
      <c r="P2031" s="17" t="e">
        <f t="shared" si="158"/>
        <v>#DIV/0!</v>
      </c>
      <c r="U2031" s="9">
        <v>5966.85</v>
      </c>
      <c r="V2031" s="45">
        <f t="shared" si="159"/>
        <v>-1</v>
      </c>
      <c r="X2031" s="12">
        <v>0.6</v>
      </c>
    </row>
    <row r="2032" spans="1:25" x14ac:dyDescent="0.45">
      <c r="A2032" s="3" t="s">
        <v>3412</v>
      </c>
      <c r="B2032" s="3" t="s">
        <v>3413</v>
      </c>
      <c r="C2032" s="6" t="s">
        <v>518</v>
      </c>
      <c r="D2032" s="6" t="s">
        <v>189</v>
      </c>
      <c r="E2032" s="6" t="s">
        <v>248</v>
      </c>
      <c r="F2032" s="6">
        <v>5293.33</v>
      </c>
      <c r="G2032" s="2">
        <v>0.97</v>
      </c>
      <c r="H2032" s="2">
        <v>0.93</v>
      </c>
      <c r="I2032" s="2">
        <v>1.02</v>
      </c>
      <c r="J2032" s="47">
        <f t="shared" si="155"/>
        <v>-4.1237113402061779E-2</v>
      </c>
      <c r="K2032" s="47">
        <f t="shared" si="156"/>
        <v>9.6774193548387052E-2</v>
      </c>
      <c r="L2032" s="8">
        <v>16.41</v>
      </c>
      <c r="M2032" s="8">
        <v>18.05</v>
      </c>
      <c r="N2032" s="8">
        <v>16.329999999999998</v>
      </c>
      <c r="O2032" s="17">
        <f t="shared" si="157"/>
        <v>-4.3771250000000084</v>
      </c>
      <c r="P2032" s="17">
        <f t="shared" si="158"/>
        <v>1.687433333333334</v>
      </c>
      <c r="R2032" s="9">
        <v>8.93</v>
      </c>
      <c r="T2032" s="9">
        <v>1059.9439600000001</v>
      </c>
      <c r="U2032" s="9">
        <v>1019.24</v>
      </c>
      <c r="V2032" s="45">
        <f t="shared" si="159"/>
        <v>3.9935599073819758E-2</v>
      </c>
      <c r="W2032" s="12">
        <v>21.05</v>
      </c>
      <c r="X2032" s="12">
        <v>0</v>
      </c>
      <c r="Y2032" s="12">
        <v>20210805</v>
      </c>
    </row>
    <row r="2033" spans="1:25" x14ac:dyDescent="0.45">
      <c r="A2033" s="3" t="s">
        <v>4383</v>
      </c>
      <c r="B2033" s="3" t="s">
        <v>4384</v>
      </c>
      <c r="C2033" s="6" t="s">
        <v>519</v>
      </c>
      <c r="D2033" s="6" t="s">
        <v>210</v>
      </c>
      <c r="E2033" s="6" t="s">
        <v>191</v>
      </c>
      <c r="F2033" s="6">
        <v>3304.03</v>
      </c>
      <c r="H2033" s="2">
        <v>0.04</v>
      </c>
      <c r="I2033" s="2">
        <v>0.47</v>
      </c>
      <c r="J2033" s="47" t="e">
        <f t="shared" si="155"/>
        <v>#DIV/0!</v>
      </c>
      <c r="K2033" s="47">
        <f t="shared" si="156"/>
        <v>10.75</v>
      </c>
      <c r="M2033" s="8">
        <v>784</v>
      </c>
      <c r="N2033" s="8">
        <v>59.01</v>
      </c>
      <c r="O2033" s="17" t="e">
        <f t="shared" si="157"/>
        <v>#DIV/0!</v>
      </c>
      <c r="P2033" s="17">
        <f t="shared" si="158"/>
        <v>5.4893023255813952E-2</v>
      </c>
      <c r="T2033" s="9">
        <v>612.16998000000001</v>
      </c>
      <c r="V2033" s="45" t="e">
        <f t="shared" si="159"/>
        <v>#DIV/0!</v>
      </c>
      <c r="W2033" s="12">
        <v>-20</v>
      </c>
      <c r="X2033" s="12">
        <v>0</v>
      </c>
      <c r="Y2033" s="12">
        <v>20210902</v>
      </c>
    </row>
    <row r="2034" spans="1:25" x14ac:dyDescent="0.45">
      <c r="A2034" s="3" t="s">
        <v>3414</v>
      </c>
      <c r="B2034" s="3" t="s">
        <v>3415</v>
      </c>
      <c r="C2034" s="6" t="s">
        <v>518</v>
      </c>
      <c r="D2034" s="6" t="s">
        <v>272</v>
      </c>
      <c r="E2034" s="6" t="s">
        <v>907</v>
      </c>
      <c r="F2034" s="6">
        <v>33359.980000000003</v>
      </c>
      <c r="G2034" s="2">
        <v>8.7100000000000009</v>
      </c>
      <c r="H2034" s="2">
        <v>11.08</v>
      </c>
      <c r="I2034" s="2">
        <v>11.99</v>
      </c>
      <c r="J2034" s="47">
        <f t="shared" si="155"/>
        <v>0.27210103329506302</v>
      </c>
      <c r="K2034" s="47">
        <f t="shared" si="156"/>
        <v>8.2129963898916983E-2</v>
      </c>
      <c r="L2034" s="8">
        <v>18.93</v>
      </c>
      <c r="M2034" s="8">
        <v>18.649999999999999</v>
      </c>
      <c r="N2034" s="8">
        <v>17.23</v>
      </c>
      <c r="O2034" s="17">
        <f t="shared" si="157"/>
        <v>0.6854071729957808</v>
      </c>
      <c r="P2034" s="17">
        <f t="shared" si="158"/>
        <v>2.0978945054945051</v>
      </c>
      <c r="Q2034" s="5">
        <v>1.68</v>
      </c>
      <c r="R2034" s="9">
        <v>19.02</v>
      </c>
      <c r="S2034" s="9">
        <v>6.3</v>
      </c>
      <c r="T2034" s="9">
        <v>16421.365229999999</v>
      </c>
      <c r="U2034" s="9">
        <v>14534.6</v>
      </c>
      <c r="V2034" s="45">
        <f t="shared" si="159"/>
        <v>0.12981198175388378</v>
      </c>
      <c r="W2034" s="12">
        <v>22.27</v>
      </c>
      <c r="X2034" s="12">
        <v>1.36</v>
      </c>
      <c r="Y2034" s="12">
        <v>20210729</v>
      </c>
    </row>
    <row r="2035" spans="1:25" x14ac:dyDescent="0.45">
      <c r="A2035" s="3" t="s">
        <v>3416</v>
      </c>
      <c r="B2035" s="3" t="s">
        <v>3417</v>
      </c>
      <c r="C2035" s="6" t="s">
        <v>519</v>
      </c>
      <c r="D2035" s="6" t="s">
        <v>189</v>
      </c>
      <c r="E2035" s="6" t="s">
        <v>3005</v>
      </c>
      <c r="F2035" s="6">
        <v>27823.040000000001</v>
      </c>
      <c r="G2035" s="2">
        <v>5.8</v>
      </c>
      <c r="H2035" s="2">
        <v>10.3</v>
      </c>
      <c r="I2035" s="2">
        <v>10.84</v>
      </c>
      <c r="J2035" s="47">
        <f t="shared" si="155"/>
        <v>0.77586206896551746</v>
      </c>
      <c r="K2035" s="47">
        <f t="shared" si="156"/>
        <v>5.2427184466019329E-2</v>
      </c>
      <c r="L2035" s="8">
        <v>19.09</v>
      </c>
      <c r="M2035" s="8">
        <v>16.36</v>
      </c>
      <c r="N2035" s="8">
        <v>15.55</v>
      </c>
      <c r="O2035" s="17">
        <f t="shared" si="157"/>
        <v>0.21086222222222217</v>
      </c>
      <c r="P2035" s="17">
        <f t="shared" si="158"/>
        <v>2.9660185185185233</v>
      </c>
      <c r="Q2035" s="5">
        <v>0.89</v>
      </c>
      <c r="R2035" s="9">
        <v>29.72</v>
      </c>
      <c r="S2035" s="9">
        <v>1.56</v>
      </c>
      <c r="T2035" s="9">
        <v>4997.0790999999999</v>
      </c>
      <c r="U2035" s="9">
        <v>3355.7</v>
      </c>
      <c r="V2035" s="45">
        <f t="shared" si="159"/>
        <v>0.48913165658431929</v>
      </c>
      <c r="W2035" s="12">
        <v>1.28</v>
      </c>
      <c r="X2035" s="12">
        <v>1.19</v>
      </c>
      <c r="Y2035" s="12">
        <v>20210722</v>
      </c>
    </row>
    <row r="2036" spans="1:25" x14ac:dyDescent="0.45">
      <c r="A2036" s="3" t="s">
        <v>3418</v>
      </c>
      <c r="B2036" s="3" t="s">
        <v>3419</v>
      </c>
      <c r="C2036" s="6" t="s">
        <v>520</v>
      </c>
      <c r="D2036" s="6" t="s">
        <v>216</v>
      </c>
      <c r="E2036" s="6" t="s">
        <v>946</v>
      </c>
      <c r="F2036" s="6">
        <v>14899.4</v>
      </c>
      <c r="G2036" s="2">
        <v>0.35</v>
      </c>
      <c r="H2036" s="2">
        <v>0.4</v>
      </c>
      <c r="I2036" s="2">
        <v>0.44</v>
      </c>
      <c r="J2036" s="47">
        <f t="shared" si="155"/>
        <v>0.14285714285714299</v>
      </c>
      <c r="K2036" s="47">
        <f t="shared" si="156"/>
        <v>9.999999999999995E-2</v>
      </c>
      <c r="L2036" s="8">
        <v>4.8600000000000003</v>
      </c>
      <c r="M2036" s="8">
        <v>23.58</v>
      </c>
      <c r="N2036" s="8">
        <v>21.53</v>
      </c>
      <c r="O2036" s="17">
        <f t="shared" si="157"/>
        <v>1.6505999999999983</v>
      </c>
      <c r="P2036" s="17">
        <f t="shared" si="158"/>
        <v>2.1530000000000014</v>
      </c>
      <c r="R2036" s="9">
        <v>-78.25</v>
      </c>
      <c r="T2036" s="9">
        <v>2014.1999499999999</v>
      </c>
      <c r="U2036" s="9">
        <v>1820.15</v>
      </c>
      <c r="V2036" s="45">
        <f t="shared" si="159"/>
        <v>0.10661206493970268</v>
      </c>
      <c r="W2036" s="12">
        <v>23.4</v>
      </c>
      <c r="X2036" s="12">
        <v>1.49</v>
      </c>
      <c r="Y2036" s="12">
        <v>20210716</v>
      </c>
    </row>
    <row r="2037" spans="1:25" x14ac:dyDescent="0.45">
      <c r="A2037" s="3" t="s">
        <v>4385</v>
      </c>
      <c r="B2037" s="3" t="s">
        <v>4386</v>
      </c>
      <c r="C2037" s="6" t="s">
        <v>518</v>
      </c>
      <c r="D2037" s="6" t="s">
        <v>289</v>
      </c>
      <c r="E2037" s="6" t="s">
        <v>271</v>
      </c>
      <c r="F2037" s="6">
        <v>3742.99</v>
      </c>
      <c r="G2037" s="2">
        <v>0.37</v>
      </c>
      <c r="H2037" s="2">
        <v>1.03</v>
      </c>
      <c r="I2037" s="2">
        <v>0.98</v>
      </c>
      <c r="J2037" s="47">
        <f t="shared" si="155"/>
        <v>1.783783783783784</v>
      </c>
      <c r="K2037" s="47">
        <f t="shared" si="156"/>
        <v>-4.854368932038839E-2</v>
      </c>
      <c r="L2037" s="8">
        <v>10.06</v>
      </c>
      <c r="M2037" s="8">
        <v>5.35</v>
      </c>
      <c r="N2037" s="8">
        <v>5.67</v>
      </c>
      <c r="O2037" s="17">
        <f t="shared" si="157"/>
        <v>2.9992424242424241E-2</v>
      </c>
      <c r="P2037" s="17">
        <f t="shared" si="158"/>
        <v>-1.1680199999999989</v>
      </c>
      <c r="R2037" s="9">
        <v>63.06</v>
      </c>
      <c r="S2037" s="9">
        <v>-0.42</v>
      </c>
      <c r="T2037" s="9">
        <v>3887.3259200000002</v>
      </c>
      <c r="U2037" s="9">
        <v>2308</v>
      </c>
      <c r="V2037" s="45">
        <f t="shared" si="159"/>
        <v>0.68428332755632593</v>
      </c>
      <c r="W2037" s="12">
        <v>11.54</v>
      </c>
      <c r="X2037" s="12">
        <v>0</v>
      </c>
      <c r="Y2037" s="12">
        <v>20210729</v>
      </c>
    </row>
    <row r="2038" spans="1:25" x14ac:dyDescent="0.45">
      <c r="A2038" s="3" t="s">
        <v>3420</v>
      </c>
      <c r="B2038" s="3" t="s">
        <v>3421</v>
      </c>
      <c r="C2038" s="6" t="s">
        <v>520</v>
      </c>
      <c r="D2038" s="6" t="s">
        <v>309</v>
      </c>
      <c r="E2038" s="6" t="s">
        <v>307</v>
      </c>
      <c r="F2038" s="6">
        <v>28919.88</v>
      </c>
      <c r="G2038" s="2">
        <v>0.36</v>
      </c>
      <c r="H2038" s="2">
        <v>0.23</v>
      </c>
      <c r="I2038" s="2">
        <v>0.68</v>
      </c>
      <c r="J2038" s="47">
        <f t="shared" si="155"/>
        <v>-0.36111111111111105</v>
      </c>
      <c r="K2038" s="47">
        <f t="shared" si="156"/>
        <v>1.956521739130435</v>
      </c>
      <c r="M2038" s="8">
        <v>32.35</v>
      </c>
      <c r="N2038" s="8">
        <v>10.94</v>
      </c>
      <c r="O2038" s="17">
        <f t="shared" si="157"/>
        <v>-0.89584615384615396</v>
      </c>
      <c r="P2038" s="17">
        <f t="shared" si="158"/>
        <v>5.5915555555555545E-2</v>
      </c>
      <c r="U2038" s="9">
        <v>10932.02</v>
      </c>
      <c r="V2038" s="45">
        <f t="shared" si="159"/>
        <v>-1</v>
      </c>
      <c r="X2038" s="12">
        <v>3.05</v>
      </c>
    </row>
    <row r="2039" spans="1:25" x14ac:dyDescent="0.45">
      <c r="A2039" s="3" t="s">
        <v>3924</v>
      </c>
      <c r="B2039" s="3" t="s">
        <v>3422</v>
      </c>
      <c r="C2039" s="6" t="s">
        <v>519</v>
      </c>
      <c r="D2039" s="6" t="s">
        <v>279</v>
      </c>
      <c r="E2039" s="6" t="s">
        <v>256</v>
      </c>
      <c r="F2039" s="6">
        <v>4123.59</v>
      </c>
      <c r="G2039" s="2">
        <v>-1.24</v>
      </c>
      <c r="H2039" s="2">
        <v>-2.72</v>
      </c>
      <c r="I2039" s="2">
        <v>-3.18</v>
      </c>
      <c r="J2039" s="47">
        <f t="shared" si="155"/>
        <v>-1.1935483870967745</v>
      </c>
      <c r="K2039" s="47">
        <f t="shared" si="156"/>
        <v>-0.16911764705882351</v>
      </c>
      <c r="O2039" s="17">
        <f t="shared" si="157"/>
        <v>0</v>
      </c>
      <c r="P2039" s="17">
        <f t="shared" si="158"/>
        <v>0</v>
      </c>
      <c r="R2039" s="9">
        <v>-14.51</v>
      </c>
      <c r="U2039" s="9">
        <v>35</v>
      </c>
      <c r="V2039" s="45">
        <f t="shared" si="159"/>
        <v>-1</v>
      </c>
      <c r="W2039" s="12">
        <v>-21.57</v>
      </c>
      <c r="X2039" s="12">
        <v>0</v>
      </c>
      <c r="Y2039" s="12">
        <v>20210811</v>
      </c>
    </row>
    <row r="2040" spans="1:25" x14ac:dyDescent="0.45">
      <c r="A2040" s="3" t="s">
        <v>3423</v>
      </c>
      <c r="B2040" s="3" t="s">
        <v>3424</v>
      </c>
      <c r="C2040" s="6" t="s">
        <v>518</v>
      </c>
      <c r="D2040" s="6" t="s">
        <v>327</v>
      </c>
      <c r="E2040" s="6" t="s">
        <v>354</v>
      </c>
      <c r="F2040" s="6">
        <v>3898.27</v>
      </c>
      <c r="G2040" s="2">
        <v>3.95</v>
      </c>
      <c r="H2040" s="2">
        <v>4.1500000000000004</v>
      </c>
      <c r="I2040" s="2">
        <v>4.24</v>
      </c>
      <c r="J2040" s="47">
        <f t="shared" si="155"/>
        <v>5.0632911392405104E-2</v>
      </c>
      <c r="K2040" s="47">
        <f t="shared" si="156"/>
        <v>2.1686746987951772E-2</v>
      </c>
      <c r="L2040" s="8">
        <v>13.86</v>
      </c>
      <c r="M2040" s="8">
        <v>16.190000000000001</v>
      </c>
      <c r="N2040" s="8">
        <v>15.86</v>
      </c>
      <c r="O2040" s="17">
        <f t="shared" si="157"/>
        <v>3.197524999999998</v>
      </c>
      <c r="P2040" s="17">
        <f t="shared" si="158"/>
        <v>7.3132222222222341</v>
      </c>
      <c r="Q2040" s="5">
        <v>2.94</v>
      </c>
      <c r="R2040" s="9">
        <v>10.38</v>
      </c>
      <c r="S2040" s="9">
        <v>7.96</v>
      </c>
      <c r="T2040" s="9">
        <v>3424.3998999999999</v>
      </c>
      <c r="U2040" s="9">
        <v>3298.87</v>
      </c>
      <c r="V2040" s="45">
        <f t="shared" si="159"/>
        <v>3.8052393698448254E-2</v>
      </c>
      <c r="W2040" s="12">
        <v>10.93</v>
      </c>
      <c r="X2040" s="12">
        <v>3.54</v>
      </c>
      <c r="Y2040" s="12">
        <v>20210805</v>
      </c>
    </row>
    <row r="2041" spans="1:25" x14ac:dyDescent="0.45">
      <c r="A2041" s="3" t="s">
        <v>3425</v>
      </c>
      <c r="B2041" s="3" t="s">
        <v>3426</v>
      </c>
      <c r="C2041" s="6" t="s">
        <v>518</v>
      </c>
      <c r="D2041" s="6" t="s">
        <v>90</v>
      </c>
      <c r="E2041" s="6" t="s">
        <v>198</v>
      </c>
      <c r="F2041" s="6">
        <v>3744.72</v>
      </c>
      <c r="G2041" s="2">
        <v>2.75</v>
      </c>
      <c r="H2041" s="2">
        <v>3.12</v>
      </c>
      <c r="I2041" s="2">
        <v>3.32</v>
      </c>
      <c r="J2041" s="47">
        <f t="shared" si="155"/>
        <v>0.13454545454545458</v>
      </c>
      <c r="K2041" s="47">
        <f t="shared" si="156"/>
        <v>6.4102564102564014E-2</v>
      </c>
      <c r="L2041" s="8">
        <v>31.08</v>
      </c>
      <c r="M2041" s="8">
        <v>28.39</v>
      </c>
      <c r="N2041" s="8">
        <v>26.68</v>
      </c>
      <c r="O2041" s="17">
        <f t="shared" si="157"/>
        <v>2.1100675675675671</v>
      </c>
      <c r="P2041" s="17">
        <f t="shared" si="158"/>
        <v>4.1620800000000058</v>
      </c>
      <c r="R2041" s="9">
        <v>13.29</v>
      </c>
      <c r="S2041" s="9">
        <v>-1.1100000000000001</v>
      </c>
      <c r="U2041" s="9">
        <v>1332</v>
      </c>
      <c r="V2041" s="45">
        <f t="shared" si="159"/>
        <v>-1</v>
      </c>
      <c r="X2041" s="12">
        <v>1.76</v>
      </c>
      <c r="Y2041" s="12">
        <v>20210723</v>
      </c>
    </row>
    <row r="2042" spans="1:25" x14ac:dyDescent="0.45">
      <c r="A2042" s="3" t="s">
        <v>3427</v>
      </c>
      <c r="B2042" s="3" t="s">
        <v>3428</v>
      </c>
      <c r="C2042" s="6" t="s">
        <v>518</v>
      </c>
      <c r="D2042" s="6" t="s">
        <v>234</v>
      </c>
      <c r="E2042" s="6" t="s">
        <v>221</v>
      </c>
      <c r="F2042" s="6">
        <v>29120.66</v>
      </c>
      <c r="G2042" s="2">
        <v>2.02</v>
      </c>
      <c r="H2042" s="2">
        <v>5.77</v>
      </c>
      <c r="I2042" s="2">
        <v>5.36</v>
      </c>
      <c r="J2042" s="47">
        <f t="shared" si="155"/>
        <v>1.8564356435643563</v>
      </c>
      <c r="K2042" s="47">
        <f t="shared" si="156"/>
        <v>-7.1057192374349959E-2</v>
      </c>
      <c r="L2042" s="8">
        <v>13.35</v>
      </c>
      <c r="M2042" s="8">
        <v>8.67</v>
      </c>
      <c r="N2042" s="8">
        <v>9.34</v>
      </c>
      <c r="O2042" s="17">
        <f t="shared" si="157"/>
        <v>4.6702400000000005E-2</v>
      </c>
      <c r="P2042" s="17">
        <f t="shared" si="158"/>
        <v>-1.3144341463414657</v>
      </c>
      <c r="Q2042" s="5">
        <v>0.41</v>
      </c>
      <c r="R2042" s="9">
        <v>18.809999999999999</v>
      </c>
      <c r="S2042" s="9">
        <v>4.07</v>
      </c>
      <c r="T2042" s="9">
        <v>14178.5</v>
      </c>
      <c r="U2042" s="9">
        <v>16067</v>
      </c>
      <c r="V2042" s="45">
        <f t="shared" si="159"/>
        <v>-0.11753905520632352</v>
      </c>
      <c r="W2042" s="12">
        <v>15.33</v>
      </c>
      <c r="X2042" s="12">
        <v>1.76</v>
      </c>
      <c r="Y2042" s="12">
        <v>20210720</v>
      </c>
    </row>
    <row r="2043" spans="1:25" x14ac:dyDescent="0.45">
      <c r="A2043" s="3" t="s">
        <v>3429</v>
      </c>
      <c r="B2043" s="3" t="s">
        <v>3430</v>
      </c>
      <c r="C2043" s="6" t="s">
        <v>520</v>
      </c>
      <c r="D2043" s="6" t="s">
        <v>225</v>
      </c>
      <c r="E2043" s="6" t="s">
        <v>1269</v>
      </c>
      <c r="F2043" s="6">
        <v>18277.16</v>
      </c>
      <c r="G2043" s="2">
        <v>0.78</v>
      </c>
      <c r="H2043" s="2">
        <v>0.82</v>
      </c>
      <c r="I2043" s="2">
        <v>0.88</v>
      </c>
      <c r="J2043" s="47">
        <f t="shared" si="155"/>
        <v>5.1282051282051183E-2</v>
      </c>
      <c r="K2043" s="47">
        <f t="shared" si="156"/>
        <v>7.3170731707317138E-2</v>
      </c>
      <c r="M2043" s="8">
        <v>41.15</v>
      </c>
      <c r="N2043" s="8">
        <v>38.56</v>
      </c>
      <c r="O2043" s="17">
        <f t="shared" si="157"/>
        <v>8.0242500000000163</v>
      </c>
      <c r="P2043" s="17">
        <f t="shared" si="158"/>
        <v>5.2698666666666627</v>
      </c>
      <c r="T2043" s="9">
        <v>4449.3549800000001</v>
      </c>
      <c r="U2043" s="9">
        <v>3816.8</v>
      </c>
      <c r="V2043" s="45">
        <f t="shared" si="159"/>
        <v>0.16572913959337662</v>
      </c>
      <c r="X2043" s="12">
        <v>0.56999999999999995</v>
      </c>
    </row>
    <row r="2044" spans="1:25" x14ac:dyDescent="0.45">
      <c r="A2044" s="3" t="s">
        <v>3431</v>
      </c>
      <c r="B2044" s="3" t="s">
        <v>3432</v>
      </c>
      <c r="C2044" s="6" t="s">
        <v>518</v>
      </c>
      <c r="D2044" s="6" t="s">
        <v>279</v>
      </c>
      <c r="E2044" s="6" t="s">
        <v>264</v>
      </c>
      <c r="F2044" s="6">
        <v>95366.19</v>
      </c>
      <c r="G2044" s="2">
        <v>7.17</v>
      </c>
      <c r="H2044" s="2">
        <v>9.18</v>
      </c>
      <c r="I2044" s="2">
        <v>10.4</v>
      </c>
      <c r="J2044" s="47">
        <f t="shared" si="155"/>
        <v>0.28033472803347276</v>
      </c>
      <c r="K2044" s="47">
        <f t="shared" si="156"/>
        <v>0.13289760348583884</v>
      </c>
      <c r="L2044" s="8">
        <v>33.659999999999997</v>
      </c>
      <c r="M2044" s="8">
        <v>27.59</v>
      </c>
      <c r="N2044" s="8">
        <v>24.34</v>
      </c>
      <c r="O2044" s="17">
        <f t="shared" si="157"/>
        <v>0.98418059701492555</v>
      </c>
      <c r="P2044" s="17">
        <f t="shared" si="158"/>
        <v>1.8314852459016384</v>
      </c>
      <c r="Q2044" s="5">
        <v>2.87</v>
      </c>
      <c r="R2044" s="9">
        <v>21.9</v>
      </c>
      <c r="S2044" s="9">
        <v>7.18</v>
      </c>
      <c r="T2044" s="9">
        <v>17135.626950000002</v>
      </c>
      <c r="U2044" s="9">
        <v>14351</v>
      </c>
      <c r="V2044" s="45">
        <f t="shared" si="159"/>
        <v>0.19403713678489315</v>
      </c>
      <c r="W2044" s="12">
        <v>-2.5299999999999998</v>
      </c>
      <c r="X2044" s="12">
        <v>1</v>
      </c>
      <c r="Y2044" s="12">
        <v>20210729</v>
      </c>
    </row>
    <row r="2045" spans="1:25" x14ac:dyDescent="0.45">
      <c r="A2045" s="3" t="s">
        <v>3433</v>
      </c>
      <c r="B2045" s="3" t="s">
        <v>3434</v>
      </c>
      <c r="C2045" s="6" t="s">
        <v>519</v>
      </c>
      <c r="D2045" s="6" t="s">
        <v>189</v>
      </c>
      <c r="E2045" s="6" t="s">
        <v>213</v>
      </c>
      <c r="F2045" s="6">
        <v>4814.57</v>
      </c>
      <c r="G2045" s="2">
        <v>5.83</v>
      </c>
      <c r="H2045" s="2">
        <v>8.19</v>
      </c>
      <c r="I2045" s="2">
        <v>8.75</v>
      </c>
      <c r="J2045" s="47">
        <f t="shared" si="155"/>
        <v>0.40480274442538583</v>
      </c>
      <c r="K2045" s="47">
        <f t="shared" si="156"/>
        <v>6.8376068376068438E-2</v>
      </c>
      <c r="L2045" s="8">
        <v>18.43</v>
      </c>
      <c r="M2045" s="8">
        <v>16.690000000000001</v>
      </c>
      <c r="N2045" s="8">
        <v>15.64</v>
      </c>
      <c r="O2045" s="17">
        <f t="shared" si="157"/>
        <v>0.41229957627118663</v>
      </c>
      <c r="P2045" s="17">
        <f t="shared" si="158"/>
        <v>2.2873499999999982</v>
      </c>
      <c r="Q2045" s="5">
        <v>1.67</v>
      </c>
      <c r="R2045" s="9">
        <v>22.75</v>
      </c>
      <c r="S2045" s="9">
        <v>-6</v>
      </c>
      <c r="T2045" s="9">
        <v>1337.76196</v>
      </c>
      <c r="U2045" s="9">
        <v>1333.9</v>
      </c>
      <c r="V2045" s="45">
        <f t="shared" si="159"/>
        <v>2.895239523202604E-3</v>
      </c>
      <c r="W2045" s="12">
        <v>7.98</v>
      </c>
      <c r="X2045" s="12">
        <v>0</v>
      </c>
      <c r="Y2045" s="12">
        <v>20210804</v>
      </c>
    </row>
    <row r="2046" spans="1:25" x14ac:dyDescent="0.45">
      <c r="A2046" s="3" t="s">
        <v>3435</v>
      </c>
      <c r="B2046" s="3" t="s">
        <v>3436</v>
      </c>
      <c r="C2046" s="6" t="s">
        <v>519</v>
      </c>
      <c r="D2046" s="6" t="s">
        <v>279</v>
      </c>
      <c r="E2046" s="6" t="s">
        <v>265</v>
      </c>
      <c r="F2046" s="6">
        <v>8677.1299999999992</v>
      </c>
      <c r="G2046" s="2">
        <v>3.41</v>
      </c>
      <c r="H2046" s="2">
        <v>4.3</v>
      </c>
      <c r="I2046" s="2">
        <v>4.97</v>
      </c>
      <c r="J2046" s="47">
        <f t="shared" si="155"/>
        <v>0.26099706744868023</v>
      </c>
      <c r="K2046" s="47">
        <f t="shared" si="156"/>
        <v>0.15581395348837207</v>
      </c>
      <c r="L2046" s="8">
        <v>23.64</v>
      </c>
      <c r="M2046" s="8">
        <v>19.329999999999998</v>
      </c>
      <c r="N2046" s="8">
        <v>16.73</v>
      </c>
      <c r="O2046" s="17">
        <f t="shared" si="157"/>
        <v>0.74062134831460702</v>
      </c>
      <c r="P2046" s="17">
        <f t="shared" si="158"/>
        <v>1.0737164179104479</v>
      </c>
      <c r="R2046" s="9">
        <v>10.23</v>
      </c>
      <c r="S2046" s="9">
        <v>31.74</v>
      </c>
      <c r="T2046" s="9">
        <v>5230.0820299999996</v>
      </c>
      <c r="U2046" s="9">
        <v>4415.78</v>
      </c>
      <c r="V2046" s="45">
        <f t="shared" si="159"/>
        <v>0.18440729157702601</v>
      </c>
      <c r="W2046" s="12">
        <v>6.76</v>
      </c>
      <c r="X2046" s="12">
        <v>0</v>
      </c>
      <c r="Y2046" s="12">
        <v>20210805</v>
      </c>
    </row>
    <row r="2047" spans="1:25" x14ac:dyDescent="0.45">
      <c r="A2047" s="3" t="s">
        <v>3437</v>
      </c>
      <c r="B2047" s="3" t="s">
        <v>3438</v>
      </c>
      <c r="C2047" s="6" t="s">
        <v>518</v>
      </c>
      <c r="D2047" s="6" t="s">
        <v>225</v>
      </c>
      <c r="E2047" s="6" t="s">
        <v>226</v>
      </c>
      <c r="F2047" s="6">
        <v>40650.300000000003</v>
      </c>
      <c r="G2047" s="2">
        <v>1.97</v>
      </c>
      <c r="H2047" s="2">
        <v>1.31</v>
      </c>
      <c r="I2047" s="2">
        <v>3.39</v>
      </c>
      <c r="J2047" s="47">
        <f t="shared" si="155"/>
        <v>-0.33502538071065985</v>
      </c>
      <c r="K2047" s="47">
        <f t="shared" si="156"/>
        <v>1.5877862595419847</v>
      </c>
      <c r="L2047" s="8">
        <v>180.59</v>
      </c>
      <c r="M2047" s="8">
        <v>60.56</v>
      </c>
      <c r="N2047" s="8">
        <v>23.47</v>
      </c>
      <c r="O2047" s="17">
        <f t="shared" si="157"/>
        <v>-1.8076242424242428</v>
      </c>
      <c r="P2047" s="17">
        <f t="shared" si="158"/>
        <v>0.14781586538461539</v>
      </c>
      <c r="Q2047" s="5">
        <v>5.51</v>
      </c>
      <c r="R2047" s="9">
        <v>17.14</v>
      </c>
      <c r="S2047" s="9">
        <v>-1.19</v>
      </c>
      <c r="T2047" s="9">
        <v>49689.378900000003</v>
      </c>
      <c r="U2047" s="9">
        <v>52893.31</v>
      </c>
      <c r="V2047" s="45">
        <f t="shared" si="159"/>
        <v>-6.0573465718065184E-2</v>
      </c>
      <c r="W2047" s="12">
        <v>10</v>
      </c>
      <c r="X2047" s="12">
        <v>2.27</v>
      </c>
      <c r="Y2047" s="12">
        <v>20210810</v>
      </c>
    </row>
    <row r="2048" spans="1:25" x14ac:dyDescent="0.45">
      <c r="A2048" s="3" t="s">
        <v>3439</v>
      </c>
      <c r="B2048" s="3" t="s">
        <v>3440</v>
      </c>
      <c r="C2048" s="6" t="s">
        <v>520</v>
      </c>
      <c r="D2048" s="6" t="s">
        <v>46</v>
      </c>
      <c r="E2048" s="6" t="s">
        <v>66</v>
      </c>
      <c r="F2048" s="6">
        <v>21611.9</v>
      </c>
      <c r="G2048" s="2">
        <v>10.99</v>
      </c>
      <c r="H2048" s="2">
        <v>13.17</v>
      </c>
      <c r="I2048" s="2">
        <v>18.760000000000002</v>
      </c>
      <c r="J2048" s="47">
        <f t="shared" si="155"/>
        <v>0.19836214740673336</v>
      </c>
      <c r="K2048" s="47">
        <f t="shared" si="156"/>
        <v>0.42444950645406238</v>
      </c>
      <c r="L2048" s="8">
        <v>14.71</v>
      </c>
      <c r="M2048" s="8">
        <v>13.37</v>
      </c>
      <c r="N2048" s="8">
        <v>9.3800000000000008</v>
      </c>
      <c r="O2048" s="17">
        <f t="shared" si="157"/>
        <v>0.67401972477064231</v>
      </c>
      <c r="P2048" s="17">
        <f t="shared" si="158"/>
        <v>0.2209921288014311</v>
      </c>
      <c r="R2048" s="9">
        <v>8.16</v>
      </c>
      <c r="S2048" s="9">
        <v>-7.57</v>
      </c>
      <c r="T2048" s="9">
        <v>33484.089840000001</v>
      </c>
      <c r="U2048" s="9">
        <v>29982.959999999999</v>
      </c>
      <c r="V2048" s="45">
        <f t="shared" si="159"/>
        <v>0.11677065373131944</v>
      </c>
      <c r="W2048" s="12">
        <v>61.76</v>
      </c>
      <c r="X2048" s="12">
        <v>0.66</v>
      </c>
      <c r="Y2048" s="12">
        <v>20210802</v>
      </c>
    </row>
    <row r="2049" spans="1:25" x14ac:dyDescent="0.45">
      <c r="A2049" s="3" t="s">
        <v>3441</v>
      </c>
      <c r="B2049" s="3" t="s">
        <v>3442</v>
      </c>
      <c r="C2049" s="6" t="s">
        <v>518</v>
      </c>
      <c r="D2049" s="6" t="s">
        <v>189</v>
      </c>
      <c r="E2049" s="6" t="s">
        <v>377</v>
      </c>
      <c r="F2049" s="6">
        <v>207131.41</v>
      </c>
      <c r="G2049" s="2">
        <v>3.17</v>
      </c>
      <c r="H2049" s="2">
        <v>3.17</v>
      </c>
      <c r="I2049" s="2">
        <v>3.15</v>
      </c>
      <c r="J2049" s="47">
        <f t="shared" si="155"/>
        <v>0</v>
      </c>
      <c r="K2049" s="47">
        <f t="shared" si="156"/>
        <v>-6.309148264984233E-3</v>
      </c>
      <c r="L2049" s="8">
        <v>9.07</v>
      </c>
      <c r="M2049" s="8">
        <v>9.14</v>
      </c>
      <c r="N2049" s="8">
        <v>9.2200000000000006</v>
      </c>
      <c r="O2049" s="17" t="e">
        <f t="shared" si="157"/>
        <v>#DIV/0!</v>
      </c>
      <c r="P2049" s="17">
        <f t="shared" si="158"/>
        <v>-14.613699999999987</v>
      </c>
      <c r="Q2049" s="5">
        <v>2.97</v>
      </c>
      <c r="R2049" s="9">
        <v>12.33</v>
      </c>
      <c r="S2049" s="9">
        <v>2.42</v>
      </c>
      <c r="T2049" s="9">
        <v>173161.65625</v>
      </c>
      <c r="U2049" s="9">
        <v>171760</v>
      </c>
      <c r="V2049" s="45">
        <f t="shared" si="159"/>
        <v>8.1605510596180712E-3</v>
      </c>
      <c r="W2049" s="12">
        <v>11.69</v>
      </c>
      <c r="X2049" s="12">
        <v>7.17</v>
      </c>
      <c r="Y2049" s="12">
        <v>20210722</v>
      </c>
    </row>
    <row r="2050" spans="1:25" x14ac:dyDescent="0.45">
      <c r="A2050" s="3" t="s">
        <v>3443</v>
      </c>
      <c r="B2050" s="3" t="s">
        <v>3444</v>
      </c>
      <c r="C2050" s="6" t="s">
        <v>518</v>
      </c>
      <c r="D2050" s="6" t="s">
        <v>279</v>
      </c>
      <c r="E2050" s="6" t="s">
        <v>258</v>
      </c>
      <c r="F2050" s="6">
        <v>53867.8</v>
      </c>
      <c r="G2050" s="2">
        <v>1.87</v>
      </c>
      <c r="H2050" s="2">
        <v>1.96</v>
      </c>
      <c r="I2050" s="2">
        <v>1.98</v>
      </c>
      <c r="J2050" s="47">
        <f t="shared" si="155"/>
        <v>4.8128342245989227E-2</v>
      </c>
      <c r="K2050" s="47">
        <f t="shared" si="156"/>
        <v>1.0204081632653071E-2</v>
      </c>
      <c r="L2050" s="8">
        <v>8.49</v>
      </c>
      <c r="M2050" s="8">
        <v>8.7100000000000009</v>
      </c>
      <c r="N2050" s="8">
        <v>8.6199999999999992</v>
      </c>
      <c r="O2050" s="17">
        <f t="shared" si="157"/>
        <v>1.8097444444444475</v>
      </c>
      <c r="P2050" s="17">
        <f t="shared" si="158"/>
        <v>8.4475999999999924</v>
      </c>
      <c r="R2050" s="9">
        <v>13.68</v>
      </c>
      <c r="S2050" s="9">
        <v>18.55</v>
      </c>
      <c r="T2050" s="9">
        <v>29362.859369999998</v>
      </c>
      <c r="U2050" s="9">
        <v>30167.89</v>
      </c>
      <c r="V2050" s="45">
        <f t="shared" si="159"/>
        <v>-2.6685016088297892E-2</v>
      </c>
      <c r="X2050" s="12">
        <v>2.11</v>
      </c>
      <c r="Y2050" s="12">
        <v>20210730</v>
      </c>
    </row>
    <row r="2051" spans="1:25" x14ac:dyDescent="0.45">
      <c r="A2051" s="3" t="s">
        <v>4387</v>
      </c>
      <c r="B2051" s="3" t="s">
        <v>4388</v>
      </c>
      <c r="C2051" s="6" t="s">
        <v>518</v>
      </c>
      <c r="D2051" s="6" t="s">
        <v>216</v>
      </c>
      <c r="E2051" s="6" t="s">
        <v>296</v>
      </c>
      <c r="F2051" s="6">
        <v>18604.47</v>
      </c>
      <c r="G2051" s="2">
        <v>0.12</v>
      </c>
      <c r="H2051" s="2">
        <v>0.61</v>
      </c>
      <c r="I2051" s="2">
        <v>0.98</v>
      </c>
      <c r="J2051" s="47">
        <f t="shared" ref="J2051:J2114" si="160">(H2051-G2051)/ABS(G2051)</f>
        <v>4.083333333333333</v>
      </c>
      <c r="K2051" s="47">
        <f t="shared" ref="K2051:K2114" si="161">(I2051-H2051)/ABS(H2051)</f>
        <v>0.60655737704918034</v>
      </c>
      <c r="L2051" s="8">
        <v>206.07</v>
      </c>
      <c r="M2051" s="8">
        <v>47.29</v>
      </c>
      <c r="N2051" s="8">
        <v>29.54</v>
      </c>
      <c r="O2051" s="17">
        <f t="shared" ref="O2051:O2114" si="162">M2051/(J2051*100)</f>
        <v>0.11581224489795919</v>
      </c>
      <c r="P2051" s="17">
        <f t="shared" ref="P2051:P2114" si="163">N2051/(K2051*100)</f>
        <v>0.48701081081081082</v>
      </c>
      <c r="Q2051" s="5">
        <v>1.43</v>
      </c>
      <c r="R2051" s="9">
        <v>-3.13</v>
      </c>
      <c r="S2051" s="9">
        <v>46.92</v>
      </c>
      <c r="T2051" s="9">
        <v>6320.2578100000001</v>
      </c>
      <c r="U2051" s="9">
        <v>4495.75</v>
      </c>
      <c r="V2051" s="45">
        <f t="shared" ref="V2051:V2114" si="164">(T2051-U2051)/U2051</f>
        <v>0.40582946338208309</v>
      </c>
      <c r="W2051" s="12">
        <v>15.63</v>
      </c>
      <c r="X2051" s="12">
        <v>0</v>
      </c>
      <c r="Y2051" s="12">
        <v>20210729</v>
      </c>
    </row>
    <row r="2052" spans="1:25" x14ac:dyDescent="0.45">
      <c r="A2052" s="3" t="s">
        <v>3445</v>
      </c>
      <c r="B2052" s="3" t="s">
        <v>3446</v>
      </c>
      <c r="C2052" s="6" t="s">
        <v>518</v>
      </c>
      <c r="D2052" s="6" t="s">
        <v>225</v>
      </c>
      <c r="E2052" s="6" t="s">
        <v>186</v>
      </c>
      <c r="F2052" s="6">
        <v>13175.55</v>
      </c>
      <c r="G2052" s="2">
        <v>4.26</v>
      </c>
      <c r="H2052" s="2">
        <v>3.87</v>
      </c>
      <c r="I2052" s="2">
        <v>4.1100000000000003</v>
      </c>
      <c r="J2052" s="47">
        <f t="shared" si="160"/>
        <v>-9.1549295774647821E-2</v>
      </c>
      <c r="K2052" s="47">
        <f t="shared" si="161"/>
        <v>6.2015503875969047E-2</v>
      </c>
      <c r="L2052" s="8">
        <v>16.97</v>
      </c>
      <c r="M2052" s="8">
        <v>15.71</v>
      </c>
      <c r="N2052" s="8">
        <v>14.78</v>
      </c>
      <c r="O2052" s="17">
        <f t="shared" si="162"/>
        <v>-1.7160153846153858</v>
      </c>
      <c r="P2052" s="17">
        <f t="shared" si="163"/>
        <v>2.3832749999999976</v>
      </c>
      <c r="Q2052" s="5">
        <v>2.81</v>
      </c>
      <c r="R2052" s="9">
        <v>5.91</v>
      </c>
      <c r="S2052" s="9">
        <v>14.47</v>
      </c>
      <c r="T2052" s="9">
        <v>10245.233389999999</v>
      </c>
      <c r="U2052" s="9">
        <v>11723.8</v>
      </c>
      <c r="V2052" s="45">
        <f t="shared" si="164"/>
        <v>-0.12611666950988587</v>
      </c>
      <c r="W2052" s="12">
        <v>108.33</v>
      </c>
      <c r="X2052" s="12">
        <v>0</v>
      </c>
      <c r="Y2052" s="12">
        <v>20210729</v>
      </c>
    </row>
    <row r="2053" spans="1:25" x14ac:dyDescent="0.45">
      <c r="A2053" s="3" t="s">
        <v>3447</v>
      </c>
      <c r="B2053" s="3" t="s">
        <v>3448</v>
      </c>
      <c r="C2053" s="6" t="s">
        <v>520</v>
      </c>
      <c r="D2053" s="6" t="s">
        <v>225</v>
      </c>
      <c r="E2053" s="6" t="s">
        <v>226</v>
      </c>
      <c r="F2053" s="6">
        <v>5245.65</v>
      </c>
      <c r="G2053" s="2">
        <v>3.5</v>
      </c>
      <c r="H2053" s="2">
        <v>2.84</v>
      </c>
      <c r="I2053" s="2">
        <v>3.06</v>
      </c>
      <c r="J2053" s="47">
        <f t="shared" si="160"/>
        <v>-0.18857142857142861</v>
      </c>
      <c r="K2053" s="47">
        <f t="shared" si="161"/>
        <v>7.7464788732394443E-2</v>
      </c>
      <c r="M2053" s="8">
        <v>15.77</v>
      </c>
      <c r="N2053" s="8">
        <v>14.64</v>
      </c>
      <c r="O2053" s="17">
        <f t="shared" si="162"/>
        <v>-0.83628787878787858</v>
      </c>
      <c r="P2053" s="17">
        <f t="shared" si="163"/>
        <v>1.8898909090909073</v>
      </c>
      <c r="T2053" s="9">
        <v>3861.4199199999998</v>
      </c>
      <c r="U2053" s="9">
        <v>3672.31</v>
      </c>
      <c r="V2053" s="45">
        <f t="shared" si="164"/>
        <v>5.1496175431812639E-2</v>
      </c>
      <c r="X2053" s="12">
        <v>1.97</v>
      </c>
    </row>
    <row r="2054" spans="1:25" x14ac:dyDescent="0.45">
      <c r="A2054" s="3" t="s">
        <v>3449</v>
      </c>
      <c r="B2054" s="3" t="s">
        <v>3450</v>
      </c>
      <c r="C2054" s="6" t="s">
        <v>519</v>
      </c>
      <c r="D2054" s="6" t="s">
        <v>234</v>
      </c>
      <c r="E2054" s="6" t="s">
        <v>965</v>
      </c>
      <c r="F2054" s="6">
        <v>3479.49</v>
      </c>
      <c r="G2054" s="2">
        <v>1.1100000000000001</v>
      </c>
      <c r="H2054" s="2">
        <v>4.8899999999999997</v>
      </c>
      <c r="I2054" s="2">
        <v>4.42</v>
      </c>
      <c r="J2054" s="47">
        <f t="shared" si="160"/>
        <v>3.4054054054054044</v>
      </c>
      <c r="K2054" s="47">
        <f t="shared" si="161"/>
        <v>-9.6114519427402817E-2</v>
      </c>
      <c r="L2054" s="8">
        <v>18.059999999999999</v>
      </c>
      <c r="M2054" s="8">
        <v>14.07</v>
      </c>
      <c r="N2054" s="8">
        <v>15.55</v>
      </c>
      <c r="O2054" s="17">
        <f t="shared" si="162"/>
        <v>4.1316666666666675E-2</v>
      </c>
      <c r="P2054" s="17">
        <f t="shared" si="163"/>
        <v>-1.6178617021276605</v>
      </c>
      <c r="Q2054" s="5">
        <v>1.76</v>
      </c>
      <c r="R2054" s="9">
        <v>7.68</v>
      </c>
      <c r="S2054" s="9">
        <v>16.22</v>
      </c>
      <c r="T2054" s="9">
        <v>929.07597999999996</v>
      </c>
      <c r="U2054" s="9">
        <v>1242.43</v>
      </c>
      <c r="V2054" s="45">
        <f t="shared" si="164"/>
        <v>-0.25221060341427692</v>
      </c>
      <c r="W2054" s="12">
        <v>19.82</v>
      </c>
      <c r="X2054" s="12">
        <v>0</v>
      </c>
      <c r="Y2054" s="12">
        <v>20210728</v>
      </c>
    </row>
    <row r="2055" spans="1:25" x14ac:dyDescent="0.45">
      <c r="A2055" s="3" t="s">
        <v>3451</v>
      </c>
      <c r="B2055" s="3" t="s">
        <v>3452</v>
      </c>
      <c r="C2055" s="6" t="s">
        <v>520</v>
      </c>
      <c r="D2055" s="6" t="s">
        <v>189</v>
      </c>
      <c r="E2055" s="6" t="s">
        <v>247</v>
      </c>
      <c r="F2055" s="6">
        <v>741353.88</v>
      </c>
      <c r="G2055" s="2">
        <v>1.88</v>
      </c>
      <c r="H2055" s="2">
        <v>2.29</v>
      </c>
      <c r="I2055" s="2">
        <v>2.84</v>
      </c>
      <c r="J2055" s="47">
        <f t="shared" si="160"/>
        <v>0.21808510638297882</v>
      </c>
      <c r="K2055" s="47">
        <f t="shared" si="161"/>
        <v>0.24017467248908289</v>
      </c>
      <c r="L2055" s="8">
        <v>39.25</v>
      </c>
      <c r="M2055" s="8">
        <v>33.840000000000003</v>
      </c>
      <c r="N2055" s="8">
        <v>27.28</v>
      </c>
      <c r="O2055" s="17">
        <f t="shared" si="162"/>
        <v>1.5516878048780482</v>
      </c>
      <c r="P2055" s="17">
        <f t="shared" si="163"/>
        <v>1.1358400000000004</v>
      </c>
      <c r="R2055" s="9">
        <v>19.63</v>
      </c>
      <c r="S2055" s="9">
        <v>31.17</v>
      </c>
      <c r="T2055" s="9">
        <v>92007.476559999996</v>
      </c>
      <c r="U2055" s="9">
        <v>69863.61</v>
      </c>
      <c r="V2055" s="45">
        <f t="shared" si="164"/>
        <v>0.316958521897165</v>
      </c>
      <c r="W2055" s="12">
        <v>0</v>
      </c>
      <c r="X2055" s="12">
        <v>0.23</v>
      </c>
      <c r="Y2055" s="12">
        <v>20210811</v>
      </c>
    </row>
    <row r="2056" spans="1:25" x14ac:dyDescent="0.45">
      <c r="A2056" s="3" t="s">
        <v>3453</v>
      </c>
      <c r="B2056" s="3" t="s">
        <v>3454</v>
      </c>
      <c r="C2056" s="6" t="s">
        <v>519</v>
      </c>
      <c r="D2056" s="6" t="s">
        <v>234</v>
      </c>
      <c r="E2056" s="6" t="s">
        <v>169</v>
      </c>
      <c r="F2056" s="6">
        <v>6896.66</v>
      </c>
      <c r="G2056" s="2">
        <v>2.4</v>
      </c>
      <c r="H2056" s="2">
        <v>3.07</v>
      </c>
      <c r="I2056" s="2">
        <v>3.16</v>
      </c>
      <c r="J2056" s="47">
        <f t="shared" si="160"/>
        <v>0.27916666666666667</v>
      </c>
      <c r="K2056" s="47">
        <f t="shared" si="161"/>
        <v>2.9315960912052217E-2</v>
      </c>
      <c r="L2056" s="8">
        <v>16.37</v>
      </c>
      <c r="M2056" s="8">
        <v>14.72</v>
      </c>
      <c r="N2056" s="8">
        <v>14.29</v>
      </c>
      <c r="O2056" s="17">
        <f t="shared" si="162"/>
        <v>0.52728358208955228</v>
      </c>
      <c r="P2056" s="17">
        <f t="shared" si="163"/>
        <v>4.8744777777777601</v>
      </c>
      <c r="Q2056" s="5">
        <v>1.49</v>
      </c>
      <c r="R2056" s="9">
        <v>7.8</v>
      </c>
      <c r="S2056" s="9">
        <v>45.61</v>
      </c>
      <c r="T2056" s="9">
        <v>2063.4279700000002</v>
      </c>
      <c r="U2056" s="9">
        <v>2281.73</v>
      </c>
      <c r="V2056" s="45">
        <f t="shared" si="164"/>
        <v>-9.567390970886118E-2</v>
      </c>
      <c r="W2056" s="12">
        <v>7.69</v>
      </c>
      <c r="X2056" s="12">
        <v>0</v>
      </c>
      <c r="Y2056" s="12">
        <v>20210726</v>
      </c>
    </row>
    <row r="2057" spans="1:25" x14ac:dyDescent="0.45">
      <c r="A2057" s="3" t="s">
        <v>3925</v>
      </c>
      <c r="B2057" s="3" t="s">
        <v>3926</v>
      </c>
      <c r="C2057" s="6" t="s">
        <v>519</v>
      </c>
      <c r="D2057" s="6" t="s">
        <v>216</v>
      </c>
      <c r="E2057" s="6" t="s">
        <v>1102</v>
      </c>
      <c r="F2057" s="6">
        <v>22599.95</v>
      </c>
      <c r="G2057" s="2">
        <v>-0.46</v>
      </c>
      <c r="H2057" s="2">
        <v>0.48</v>
      </c>
      <c r="I2057" s="2">
        <v>1.36</v>
      </c>
      <c r="J2057" s="47">
        <f t="shared" si="160"/>
        <v>2.043478260869565</v>
      </c>
      <c r="K2057" s="47">
        <f t="shared" si="161"/>
        <v>1.8333333333333337</v>
      </c>
      <c r="L2057" s="8">
        <v>129.97</v>
      </c>
      <c r="M2057" s="8">
        <v>78.52</v>
      </c>
      <c r="N2057" s="8">
        <v>27.66</v>
      </c>
      <c r="O2057" s="17">
        <f t="shared" si="162"/>
        <v>0.3842468085106383</v>
      </c>
      <c r="P2057" s="17">
        <f t="shared" si="163"/>
        <v>0.15087272727272724</v>
      </c>
      <c r="R2057" s="9">
        <v>-0.62</v>
      </c>
      <c r="S2057" s="9">
        <v>4.2699999999999996</v>
      </c>
      <c r="T2057" s="9">
        <v>3786.7199700000001</v>
      </c>
      <c r="U2057" s="9">
        <v>2809</v>
      </c>
      <c r="V2057" s="45">
        <f t="shared" si="164"/>
        <v>0.34806691705233184</v>
      </c>
      <c r="W2057" s="12">
        <v>85.29</v>
      </c>
      <c r="X2057" s="12">
        <v>0</v>
      </c>
      <c r="Y2057" s="12">
        <v>20210923</v>
      </c>
    </row>
    <row r="2058" spans="1:25" x14ac:dyDescent="0.45">
      <c r="A2058" s="3" t="s">
        <v>3927</v>
      </c>
      <c r="B2058" s="3" t="s">
        <v>3928</v>
      </c>
      <c r="C2058" s="6" t="s">
        <v>520</v>
      </c>
      <c r="D2058" s="6" t="s">
        <v>225</v>
      </c>
      <c r="E2058" s="6" t="s">
        <v>226</v>
      </c>
      <c r="F2058" s="6">
        <v>10235.129999999999</v>
      </c>
      <c r="G2058" s="2">
        <v>0.11</v>
      </c>
      <c r="H2058" s="2">
        <v>0.11</v>
      </c>
      <c r="I2058" s="2">
        <v>0.12</v>
      </c>
      <c r="J2058" s="47">
        <f t="shared" si="160"/>
        <v>0</v>
      </c>
      <c r="K2058" s="47">
        <f t="shared" si="161"/>
        <v>9.090909090909087E-2</v>
      </c>
      <c r="M2058" s="8">
        <v>16.55</v>
      </c>
      <c r="N2058" s="8">
        <v>15.83</v>
      </c>
      <c r="O2058" s="17" t="e">
        <f t="shared" si="162"/>
        <v>#DIV/0!</v>
      </c>
      <c r="P2058" s="17">
        <f t="shared" si="163"/>
        <v>1.741300000000001</v>
      </c>
      <c r="T2058" s="9">
        <v>10848.339840000001</v>
      </c>
      <c r="U2058" s="9">
        <v>9799.58</v>
      </c>
      <c r="V2058" s="45">
        <f t="shared" si="164"/>
        <v>0.10702089681394515</v>
      </c>
      <c r="X2058" s="12">
        <v>0</v>
      </c>
      <c r="Y2058" s="12">
        <v>20210628</v>
      </c>
    </row>
    <row r="2059" spans="1:25" x14ac:dyDescent="0.45">
      <c r="A2059" s="3" t="s">
        <v>3455</v>
      </c>
      <c r="B2059" s="3" t="s">
        <v>3456</v>
      </c>
      <c r="C2059" s="6" t="s">
        <v>518</v>
      </c>
      <c r="D2059" s="6" t="s">
        <v>234</v>
      </c>
      <c r="E2059" s="6" t="s">
        <v>105</v>
      </c>
      <c r="F2059" s="6">
        <v>131249.34</v>
      </c>
      <c r="G2059" s="2">
        <v>3.87</v>
      </c>
      <c r="H2059" s="2">
        <v>6.32</v>
      </c>
      <c r="I2059" s="2">
        <v>6.22</v>
      </c>
      <c r="J2059" s="47">
        <f t="shared" si="160"/>
        <v>0.63307493540051685</v>
      </c>
      <c r="K2059" s="47">
        <f t="shared" si="161"/>
        <v>-1.5822784810126667E-2</v>
      </c>
      <c r="L2059" s="8">
        <v>13.97</v>
      </c>
      <c r="M2059" s="8">
        <v>11.41</v>
      </c>
      <c r="N2059" s="8">
        <v>11.59</v>
      </c>
      <c r="O2059" s="17">
        <f t="shared" si="162"/>
        <v>0.18023142857142854</v>
      </c>
      <c r="P2059" s="17">
        <f t="shared" si="163"/>
        <v>-7.3248799999999612</v>
      </c>
      <c r="Q2059" s="5">
        <v>0.98</v>
      </c>
      <c r="R2059" s="9">
        <v>14.12</v>
      </c>
      <c r="S2059" s="9">
        <v>7.05</v>
      </c>
      <c r="T2059" s="9">
        <v>32626.746090000001</v>
      </c>
      <c r="U2059" s="9">
        <v>39923.21</v>
      </c>
      <c r="V2059" s="45">
        <f t="shared" si="164"/>
        <v>-0.18276245597485771</v>
      </c>
      <c r="W2059" s="12">
        <v>16.55</v>
      </c>
      <c r="X2059" s="12">
        <v>2.4900000000000002</v>
      </c>
      <c r="Y2059" s="12">
        <v>20210826</v>
      </c>
    </row>
    <row r="2060" spans="1:25" x14ac:dyDescent="0.45">
      <c r="A2060" s="3" t="s">
        <v>3929</v>
      </c>
      <c r="B2060" s="3" t="s">
        <v>3930</v>
      </c>
      <c r="C2060" s="6" t="s">
        <v>518</v>
      </c>
      <c r="D2060" s="6" t="s">
        <v>189</v>
      </c>
      <c r="E2060" s="6" t="s">
        <v>203</v>
      </c>
      <c r="F2060" s="6">
        <v>5233.3999999999996</v>
      </c>
      <c r="G2060" s="2">
        <v>1.19</v>
      </c>
      <c r="H2060" s="2">
        <v>1.75</v>
      </c>
      <c r="I2060" s="2">
        <v>1.74</v>
      </c>
      <c r="J2060" s="47">
        <f t="shared" si="160"/>
        <v>0.4705882352941177</v>
      </c>
      <c r="K2060" s="47">
        <f t="shared" si="161"/>
        <v>-5.7142857142857195E-3</v>
      </c>
      <c r="L2060" s="8">
        <v>27.44</v>
      </c>
      <c r="M2060" s="8">
        <v>27.36</v>
      </c>
      <c r="N2060" s="8">
        <v>27.41</v>
      </c>
      <c r="O2060" s="17">
        <f t="shared" si="162"/>
        <v>0.58139999999999992</v>
      </c>
      <c r="P2060" s="17">
        <f t="shared" si="163"/>
        <v>-47.967499999999959</v>
      </c>
      <c r="Q2060" s="5">
        <v>0.99</v>
      </c>
      <c r="R2060" s="9">
        <v>29.91</v>
      </c>
      <c r="S2060" s="9">
        <v>-5.75</v>
      </c>
      <c r="T2060" s="9">
        <v>1914.63195</v>
      </c>
      <c r="U2060" s="9">
        <v>1836</v>
      </c>
      <c r="V2060" s="45">
        <f t="shared" si="164"/>
        <v>4.2827859477124162E-2</v>
      </c>
      <c r="W2060" s="12">
        <v>11.29</v>
      </c>
      <c r="X2060" s="12">
        <v>0</v>
      </c>
      <c r="Y2060" s="12">
        <v>20210805</v>
      </c>
    </row>
    <row r="2061" spans="1:25" x14ac:dyDescent="0.45">
      <c r="A2061" s="3" t="s">
        <v>3457</v>
      </c>
      <c r="B2061" s="3" t="s">
        <v>3458</v>
      </c>
      <c r="C2061" s="6" t="s">
        <v>518</v>
      </c>
      <c r="D2061" s="6" t="s">
        <v>10</v>
      </c>
      <c r="E2061" s="6" t="s">
        <v>29</v>
      </c>
      <c r="F2061" s="6">
        <v>36448.379999999997</v>
      </c>
      <c r="G2061" s="2">
        <v>13.38</v>
      </c>
      <c r="H2061" s="2">
        <v>11.5</v>
      </c>
      <c r="I2061" s="2">
        <v>17.190000000000001</v>
      </c>
      <c r="J2061" s="47">
        <f t="shared" si="160"/>
        <v>-0.14050822122571008</v>
      </c>
      <c r="K2061" s="47">
        <f t="shared" si="161"/>
        <v>0.49478260869565227</v>
      </c>
      <c r="L2061" s="8">
        <v>73.94</v>
      </c>
      <c r="M2061" s="8">
        <v>57.73</v>
      </c>
      <c r="N2061" s="8">
        <v>38.619999999999997</v>
      </c>
      <c r="O2061" s="17">
        <f t="shared" si="162"/>
        <v>-4.1086563829787215</v>
      </c>
      <c r="P2061" s="17">
        <f t="shared" si="163"/>
        <v>0.78054481546572918</v>
      </c>
      <c r="Q2061" s="5">
        <v>4.22</v>
      </c>
      <c r="R2061" s="9">
        <v>-13.26</v>
      </c>
      <c r="S2061" s="9">
        <v>13.64</v>
      </c>
      <c r="T2061" s="9">
        <v>4861.9018500000002</v>
      </c>
      <c r="U2061" s="9">
        <v>5103</v>
      </c>
      <c r="V2061" s="45">
        <f t="shared" si="164"/>
        <v>-4.7246355085243934E-2</v>
      </c>
      <c r="W2061" s="12">
        <v>2.38</v>
      </c>
      <c r="X2061" s="12">
        <v>0</v>
      </c>
      <c r="Y2061" s="12">
        <v>20210803</v>
      </c>
    </row>
    <row r="2062" spans="1:25" x14ac:dyDescent="0.45">
      <c r="A2062" s="3" t="s">
        <v>3459</v>
      </c>
      <c r="B2062" s="3" t="s">
        <v>3460</v>
      </c>
      <c r="C2062" s="6" t="s">
        <v>518</v>
      </c>
      <c r="D2062" s="6" t="s">
        <v>279</v>
      </c>
      <c r="E2062" s="6" t="s">
        <v>266</v>
      </c>
      <c r="F2062" s="6">
        <v>23245.31</v>
      </c>
      <c r="G2062" s="2">
        <v>-1.38</v>
      </c>
      <c r="H2062" s="2">
        <v>-2.95</v>
      </c>
      <c r="I2062" s="2">
        <v>-0.96</v>
      </c>
      <c r="J2062" s="47">
        <f t="shared" si="160"/>
        <v>-1.1376811594202902</v>
      </c>
      <c r="K2062" s="47">
        <f t="shared" si="161"/>
        <v>0.6745762711864407</v>
      </c>
      <c r="O2062" s="17">
        <f t="shared" si="162"/>
        <v>0</v>
      </c>
      <c r="P2062" s="17">
        <f t="shared" si="163"/>
        <v>0</v>
      </c>
      <c r="R2062" s="9">
        <v>-0.6</v>
      </c>
      <c r="S2062" s="9">
        <v>68.83</v>
      </c>
      <c r="T2062" s="9">
        <v>2007.1839500000001</v>
      </c>
      <c r="U2062" s="9">
        <v>1093.96</v>
      </c>
      <c r="V2062" s="45">
        <f t="shared" si="164"/>
        <v>0.83478733226077739</v>
      </c>
      <c r="W2062" s="12">
        <v>122.81</v>
      </c>
      <c r="X2062" s="12">
        <v>0</v>
      </c>
      <c r="Y2062" s="12">
        <v>20210804</v>
      </c>
    </row>
    <row r="2063" spans="1:25" x14ac:dyDescent="0.45">
      <c r="A2063" s="3" t="s">
        <v>3461</v>
      </c>
      <c r="B2063" s="3" t="s">
        <v>3462</v>
      </c>
      <c r="C2063" s="6" t="s">
        <v>518</v>
      </c>
      <c r="D2063" s="6" t="s">
        <v>10</v>
      </c>
      <c r="E2063" s="6" t="s">
        <v>29</v>
      </c>
      <c r="F2063" s="6">
        <v>15522.8</v>
      </c>
      <c r="G2063" s="2">
        <v>10.3</v>
      </c>
      <c r="H2063" s="2">
        <v>12.89</v>
      </c>
      <c r="I2063" s="2">
        <v>15.29</v>
      </c>
      <c r="J2063" s="47">
        <f t="shared" si="160"/>
        <v>0.25145631067961161</v>
      </c>
      <c r="K2063" s="47">
        <f t="shared" si="161"/>
        <v>0.18619084561675706</v>
      </c>
      <c r="L2063" s="8">
        <v>37.630000000000003</v>
      </c>
      <c r="M2063" s="8">
        <v>32.5</v>
      </c>
      <c r="N2063" s="8">
        <v>27.39</v>
      </c>
      <c r="O2063" s="17">
        <f t="shared" si="162"/>
        <v>1.2924710424710426</v>
      </c>
      <c r="P2063" s="17">
        <f t="shared" si="163"/>
        <v>1.4710712500000009</v>
      </c>
      <c r="Q2063" s="5">
        <v>1.78</v>
      </c>
      <c r="R2063" s="9">
        <v>13.54</v>
      </c>
      <c r="S2063" s="9">
        <v>9.5399999999999991</v>
      </c>
      <c r="T2063" s="9">
        <v>4449.7997999999998</v>
      </c>
      <c r="U2063" s="9">
        <v>3086.2</v>
      </c>
      <c r="V2063" s="45">
        <f t="shared" si="164"/>
        <v>0.44183779405093643</v>
      </c>
      <c r="W2063" s="12">
        <v>16.600000000000001</v>
      </c>
      <c r="X2063" s="12">
        <v>0</v>
      </c>
      <c r="Y2063" s="12">
        <v>20210728</v>
      </c>
    </row>
    <row r="2064" spans="1:25" x14ac:dyDescent="0.45">
      <c r="A2064" s="3" t="s">
        <v>3463</v>
      </c>
      <c r="B2064" s="3" t="s">
        <v>3464</v>
      </c>
      <c r="C2064" s="6" t="s">
        <v>519</v>
      </c>
      <c r="D2064" s="6" t="s">
        <v>189</v>
      </c>
      <c r="E2064" s="6" t="s">
        <v>248</v>
      </c>
      <c r="F2064" s="6">
        <v>30702.799999999999</v>
      </c>
      <c r="G2064" s="2">
        <v>1.0900000000000001</v>
      </c>
      <c r="H2064" s="2">
        <v>1.33</v>
      </c>
      <c r="I2064" s="2">
        <v>1.41</v>
      </c>
      <c r="J2064" s="47">
        <f t="shared" si="160"/>
        <v>0.22018348623853209</v>
      </c>
      <c r="K2064" s="47">
        <f t="shared" si="161"/>
        <v>6.015037593984951E-2</v>
      </c>
      <c r="L2064" s="8">
        <v>165.94</v>
      </c>
      <c r="M2064" s="8">
        <v>175.04</v>
      </c>
      <c r="N2064" s="8">
        <v>165.2</v>
      </c>
      <c r="O2064" s="17">
        <f t="shared" si="162"/>
        <v>7.9497333333333335</v>
      </c>
      <c r="P2064" s="17">
        <f t="shared" si="163"/>
        <v>27.464500000000047</v>
      </c>
      <c r="Q2064" s="5">
        <v>7.78</v>
      </c>
      <c r="R2064" s="9">
        <v>7.89</v>
      </c>
      <c r="S2064" s="9">
        <v>36.75</v>
      </c>
      <c r="T2064" s="9">
        <v>2052.3811000000001</v>
      </c>
      <c r="U2064" s="9">
        <v>1614.17</v>
      </c>
      <c r="V2064" s="45">
        <f t="shared" si="164"/>
        <v>0.27147766344313173</v>
      </c>
      <c r="W2064" s="12">
        <v>65.52</v>
      </c>
      <c r="X2064" s="12">
        <v>0</v>
      </c>
      <c r="Y2064" s="12">
        <v>20210729</v>
      </c>
    </row>
    <row r="2065" spans="1:25" x14ac:dyDescent="0.45">
      <c r="A2065" s="3" t="s">
        <v>3465</v>
      </c>
      <c r="B2065" s="3" t="s">
        <v>3466</v>
      </c>
      <c r="C2065" s="6" t="s">
        <v>519</v>
      </c>
      <c r="D2065" s="6" t="s">
        <v>279</v>
      </c>
      <c r="E2065" s="6" t="s">
        <v>256</v>
      </c>
      <c r="F2065" s="6">
        <v>16690.75</v>
      </c>
      <c r="G2065" s="2">
        <v>4.3</v>
      </c>
      <c r="H2065" s="2">
        <v>6.54</v>
      </c>
      <c r="I2065" s="2">
        <v>7.61</v>
      </c>
      <c r="J2065" s="47">
        <f t="shared" si="160"/>
        <v>0.52093023255813964</v>
      </c>
      <c r="K2065" s="47">
        <f t="shared" si="161"/>
        <v>0.16360856269113155</v>
      </c>
      <c r="L2065" s="8">
        <v>73.489999999999995</v>
      </c>
      <c r="M2065" s="8">
        <v>65.599999999999994</v>
      </c>
      <c r="N2065" s="8">
        <v>56.38</v>
      </c>
      <c r="O2065" s="17">
        <f t="shared" si="162"/>
        <v>1.2592857142857139</v>
      </c>
      <c r="P2065" s="17">
        <f t="shared" si="163"/>
        <v>3.446029906542055</v>
      </c>
      <c r="Q2065" s="5">
        <v>4.6900000000000004</v>
      </c>
      <c r="R2065" s="9">
        <v>13.37</v>
      </c>
      <c r="S2065" s="9">
        <v>11.07</v>
      </c>
      <c r="T2065" s="9">
        <v>908.55200000000002</v>
      </c>
      <c r="U2065" s="9">
        <v>738.69</v>
      </c>
      <c r="V2065" s="45">
        <f t="shared" si="164"/>
        <v>0.22995031745387098</v>
      </c>
      <c r="W2065" s="12">
        <v>19.329999999999998</v>
      </c>
      <c r="X2065" s="12">
        <v>0.3</v>
      </c>
      <c r="Y2065" s="12">
        <v>20210803</v>
      </c>
    </row>
    <row r="2066" spans="1:25" x14ac:dyDescent="0.45">
      <c r="A2066" s="3" t="s">
        <v>3467</v>
      </c>
      <c r="B2066" s="3" t="s">
        <v>3468</v>
      </c>
      <c r="C2066" s="6" t="s">
        <v>518</v>
      </c>
      <c r="D2066" s="6" t="s">
        <v>90</v>
      </c>
      <c r="E2066" s="6" t="s">
        <v>268</v>
      </c>
      <c r="F2066" s="6">
        <v>12237.88</v>
      </c>
      <c r="G2066" s="2">
        <v>0.7</v>
      </c>
      <c r="H2066" s="2">
        <v>2.35</v>
      </c>
      <c r="I2066" s="2">
        <v>2.41</v>
      </c>
      <c r="J2066" s="47">
        <f t="shared" si="160"/>
        <v>2.3571428571428577</v>
      </c>
      <c r="K2066" s="47">
        <f t="shared" si="161"/>
        <v>2.5531914893617044E-2</v>
      </c>
      <c r="L2066" s="8">
        <v>20.67</v>
      </c>
      <c r="M2066" s="8">
        <v>9.9499999999999993</v>
      </c>
      <c r="N2066" s="8">
        <v>9.7100000000000009</v>
      </c>
      <c r="O2066" s="17">
        <f t="shared" si="162"/>
        <v>4.2212121212121201E-2</v>
      </c>
      <c r="P2066" s="17">
        <f t="shared" si="163"/>
        <v>3.8030833333333303</v>
      </c>
      <c r="Q2066" s="5">
        <v>0.49</v>
      </c>
      <c r="R2066" s="9">
        <v>3.82</v>
      </c>
      <c r="S2066" s="9">
        <v>0.89</v>
      </c>
      <c r="T2066" s="9">
        <v>9201.7861300000004</v>
      </c>
      <c r="U2066" s="9">
        <v>6679.86</v>
      </c>
      <c r="V2066" s="45">
        <f t="shared" si="164"/>
        <v>0.37754176434835474</v>
      </c>
      <c r="W2066" s="12">
        <v>11.63</v>
      </c>
      <c r="X2066" s="12">
        <v>0.48</v>
      </c>
      <c r="Y2066" s="12">
        <v>20210722</v>
      </c>
    </row>
    <row r="2067" spans="1:25" x14ac:dyDescent="0.45">
      <c r="A2067" s="3" t="s">
        <v>3469</v>
      </c>
      <c r="B2067" s="3" t="s">
        <v>3470</v>
      </c>
      <c r="C2067" s="6" t="s">
        <v>518</v>
      </c>
      <c r="D2067" s="6" t="s">
        <v>327</v>
      </c>
      <c r="E2067" s="6" t="s">
        <v>209</v>
      </c>
      <c r="F2067" s="6">
        <v>25441.439999999999</v>
      </c>
      <c r="G2067" s="2">
        <v>0.34</v>
      </c>
      <c r="H2067" s="2">
        <v>0.47</v>
      </c>
      <c r="I2067" s="2">
        <v>0.48</v>
      </c>
      <c r="J2067" s="47">
        <f t="shared" si="160"/>
        <v>0.3823529411764704</v>
      </c>
      <c r="K2067" s="47">
        <f t="shared" si="161"/>
        <v>2.1276595744680871E-2</v>
      </c>
      <c r="L2067" s="8">
        <v>6.9</v>
      </c>
      <c r="M2067" s="8">
        <v>10.32</v>
      </c>
      <c r="N2067" s="8">
        <v>10.210000000000001</v>
      </c>
      <c r="O2067" s="17">
        <f t="shared" si="162"/>
        <v>0.26990769230769246</v>
      </c>
      <c r="P2067" s="17">
        <f t="shared" si="163"/>
        <v>4.7986999999999957</v>
      </c>
      <c r="Q2067" s="5">
        <v>0.8</v>
      </c>
      <c r="R2067" s="9">
        <v>18.97</v>
      </c>
      <c r="S2067" s="9">
        <v>-2.56</v>
      </c>
      <c r="T2067" s="9">
        <v>50072.105459999999</v>
      </c>
      <c r="U2067" s="9">
        <v>49201.54</v>
      </c>
      <c r="V2067" s="45">
        <f t="shared" si="164"/>
        <v>1.7693866086305389E-2</v>
      </c>
      <c r="X2067" s="12">
        <v>6.97</v>
      </c>
      <c r="Y2067" s="12">
        <v>20210729</v>
      </c>
    </row>
    <row r="2068" spans="1:25" x14ac:dyDescent="0.45">
      <c r="A2068" s="3" t="s">
        <v>3471</v>
      </c>
      <c r="B2068" s="3" t="s">
        <v>3472</v>
      </c>
      <c r="C2068" s="6" t="s">
        <v>518</v>
      </c>
      <c r="D2068" s="6" t="s">
        <v>189</v>
      </c>
      <c r="E2068" s="6" t="s">
        <v>211</v>
      </c>
      <c r="F2068" s="6">
        <v>44808.18</v>
      </c>
      <c r="G2068" s="2">
        <v>3.96</v>
      </c>
      <c r="H2068" s="2">
        <v>6.15</v>
      </c>
      <c r="I2068" s="2">
        <v>6.68</v>
      </c>
      <c r="J2068" s="47">
        <f t="shared" si="160"/>
        <v>0.55303030303030309</v>
      </c>
      <c r="K2068" s="47">
        <f t="shared" si="161"/>
        <v>8.6178861788617778E-2</v>
      </c>
      <c r="L2068" s="8">
        <v>28.33</v>
      </c>
      <c r="M2068" s="8">
        <v>22.05</v>
      </c>
      <c r="N2068" s="8">
        <v>20.32</v>
      </c>
      <c r="O2068" s="17">
        <f t="shared" si="162"/>
        <v>0.39871232876712326</v>
      </c>
      <c r="P2068" s="17">
        <f t="shared" si="163"/>
        <v>2.3578867924528333</v>
      </c>
      <c r="Q2068" s="5">
        <v>2.12</v>
      </c>
      <c r="R2068" s="9">
        <v>16.760000000000002</v>
      </c>
      <c r="S2068" s="9">
        <v>0.35</v>
      </c>
      <c r="T2068" s="9">
        <v>14568.23242</v>
      </c>
      <c r="U2068" s="9">
        <v>12172</v>
      </c>
      <c r="V2068" s="45">
        <f t="shared" si="164"/>
        <v>0.19686431317778511</v>
      </c>
      <c r="W2068" s="12">
        <v>6.8</v>
      </c>
      <c r="X2068" s="12">
        <v>1.47</v>
      </c>
      <c r="Y2068" s="12">
        <v>20210804</v>
      </c>
    </row>
    <row r="2069" spans="1:25" x14ac:dyDescent="0.45">
      <c r="A2069" s="3" t="s">
        <v>3473</v>
      </c>
      <c r="B2069" s="3" t="s">
        <v>3474</v>
      </c>
      <c r="C2069" s="6" t="s">
        <v>519</v>
      </c>
      <c r="D2069" s="6" t="s">
        <v>189</v>
      </c>
      <c r="E2069" s="6" t="s">
        <v>248</v>
      </c>
      <c r="F2069" s="6">
        <v>4463.33</v>
      </c>
      <c r="G2069" s="2">
        <v>0.12</v>
      </c>
      <c r="H2069" s="2">
        <v>0.27</v>
      </c>
      <c r="I2069" s="2">
        <v>0.39</v>
      </c>
      <c r="J2069" s="47">
        <f t="shared" si="160"/>
        <v>1.2500000000000002</v>
      </c>
      <c r="K2069" s="47">
        <f t="shared" si="161"/>
        <v>0.44444444444444442</v>
      </c>
      <c r="L2069" s="8">
        <v>108.39</v>
      </c>
      <c r="M2069" s="8">
        <v>158.02000000000001</v>
      </c>
      <c r="N2069" s="8">
        <v>108.73</v>
      </c>
      <c r="O2069" s="17">
        <f t="shared" si="162"/>
        <v>1.2641599999999997</v>
      </c>
      <c r="P2069" s="17">
        <f t="shared" si="163"/>
        <v>2.4464250000000001</v>
      </c>
      <c r="R2069" s="9">
        <v>-14.01</v>
      </c>
      <c r="T2069" s="9">
        <v>522.53002000000004</v>
      </c>
      <c r="U2069" s="9">
        <v>440.22</v>
      </c>
      <c r="V2069" s="45">
        <f t="shared" si="164"/>
        <v>0.18697473990277588</v>
      </c>
      <c r="W2069" s="12">
        <v>116.67</v>
      </c>
      <c r="X2069" s="12">
        <v>0</v>
      </c>
      <c r="Y2069" s="12">
        <v>20210727</v>
      </c>
    </row>
    <row r="2070" spans="1:25" x14ac:dyDescent="0.45">
      <c r="A2070" s="3" t="s">
        <v>3475</v>
      </c>
      <c r="B2070" s="3" t="s">
        <v>3476</v>
      </c>
      <c r="C2070" s="6" t="s">
        <v>519</v>
      </c>
      <c r="D2070" s="6" t="s">
        <v>189</v>
      </c>
      <c r="E2070" s="6" t="s">
        <v>214</v>
      </c>
      <c r="F2070" s="6">
        <v>20735.07</v>
      </c>
      <c r="G2070" s="2">
        <v>4.49</v>
      </c>
      <c r="H2070" s="2">
        <v>5.29</v>
      </c>
      <c r="I2070" s="2">
        <v>5.65</v>
      </c>
      <c r="J2070" s="47">
        <f t="shared" si="160"/>
        <v>0.17817371937639193</v>
      </c>
      <c r="K2070" s="47">
        <f t="shared" si="161"/>
        <v>6.8052930056710842E-2</v>
      </c>
      <c r="L2070" s="8">
        <v>26.42</v>
      </c>
      <c r="M2070" s="8">
        <v>23.57</v>
      </c>
      <c r="N2070" s="8">
        <v>22.09</v>
      </c>
      <c r="O2070" s="17">
        <f t="shared" si="162"/>
        <v>1.3228662500000004</v>
      </c>
      <c r="P2070" s="17">
        <f t="shared" si="163"/>
        <v>3.2460027777777749</v>
      </c>
      <c r="Q2070" s="5">
        <v>1.71</v>
      </c>
      <c r="R2070" s="9">
        <v>39.86</v>
      </c>
      <c r="S2070" s="9">
        <v>12.75</v>
      </c>
      <c r="T2070" s="9">
        <v>3519.7648899999999</v>
      </c>
      <c r="U2070" s="9">
        <v>3121.47</v>
      </c>
      <c r="V2070" s="45">
        <f t="shared" si="164"/>
        <v>0.12759850006567422</v>
      </c>
      <c r="W2070" s="12">
        <v>6.73</v>
      </c>
      <c r="X2070" s="12">
        <v>0.32</v>
      </c>
      <c r="Y2070" s="12">
        <v>20210720</v>
      </c>
    </row>
    <row r="2071" spans="1:25" x14ac:dyDescent="0.45">
      <c r="A2071" s="3" t="s">
        <v>3477</v>
      </c>
      <c r="B2071" s="3" t="s">
        <v>3478</v>
      </c>
      <c r="C2071" s="6" t="s">
        <v>518</v>
      </c>
      <c r="D2071" s="6" t="s">
        <v>279</v>
      </c>
      <c r="E2071" s="6" t="s">
        <v>259</v>
      </c>
      <c r="F2071" s="6">
        <v>11719.2</v>
      </c>
      <c r="G2071" s="2">
        <v>2.5099999999999998</v>
      </c>
      <c r="H2071" s="2">
        <v>2.64</v>
      </c>
      <c r="I2071" s="2">
        <v>2.81</v>
      </c>
      <c r="J2071" s="47">
        <f t="shared" si="160"/>
        <v>5.1792828685259105E-2</v>
      </c>
      <c r="K2071" s="47">
        <f t="shared" si="161"/>
        <v>6.4393939393939365E-2</v>
      </c>
      <c r="L2071" s="8">
        <v>4.4000000000000004</v>
      </c>
      <c r="M2071" s="8">
        <v>4.0599999999999996</v>
      </c>
      <c r="N2071" s="8">
        <v>3.82</v>
      </c>
      <c r="O2071" s="17">
        <f t="shared" si="162"/>
        <v>0.78389230769230545</v>
      </c>
      <c r="P2071" s="17">
        <f t="shared" si="163"/>
        <v>0.59322352941176493</v>
      </c>
      <c r="Q2071" s="5">
        <v>0.86</v>
      </c>
      <c r="R2071" s="9">
        <v>21.65</v>
      </c>
      <c r="S2071" s="9">
        <v>-6.94</v>
      </c>
      <c r="T2071" s="9">
        <v>16565.667959999999</v>
      </c>
      <c r="U2071" s="9">
        <v>16659</v>
      </c>
      <c r="V2071" s="45">
        <f t="shared" si="164"/>
        <v>-5.6024995497929737E-3</v>
      </c>
      <c r="W2071" s="12">
        <v>8.6199999999999992</v>
      </c>
      <c r="X2071" s="12">
        <v>0</v>
      </c>
      <c r="Y2071" s="12">
        <v>20210804</v>
      </c>
    </row>
    <row r="2072" spans="1:25" x14ac:dyDescent="0.45">
      <c r="A2072" s="3" t="s">
        <v>4389</v>
      </c>
      <c r="B2072" s="3" t="s">
        <v>4390</v>
      </c>
      <c r="C2072" s="6" t="s">
        <v>518</v>
      </c>
      <c r="D2072" s="6" t="s">
        <v>272</v>
      </c>
      <c r="E2072" s="6" t="s">
        <v>1074</v>
      </c>
      <c r="F2072" s="6">
        <v>3451.61</v>
      </c>
      <c r="G2072" s="2">
        <v>-0.09</v>
      </c>
      <c r="H2072" s="2">
        <v>2.4900000000000002</v>
      </c>
      <c r="I2072" s="2">
        <v>3.81</v>
      </c>
      <c r="J2072" s="47">
        <f t="shared" si="160"/>
        <v>28.666666666666668</v>
      </c>
      <c r="K2072" s="47">
        <f t="shared" si="161"/>
        <v>0.53012048192771077</v>
      </c>
      <c r="L2072" s="8">
        <v>48.01</v>
      </c>
      <c r="M2072" s="8">
        <v>19.850000000000001</v>
      </c>
      <c r="N2072" s="8">
        <v>12.97</v>
      </c>
      <c r="O2072" s="17">
        <f t="shared" si="162"/>
        <v>6.9244186046511624E-3</v>
      </c>
      <c r="P2072" s="17">
        <f t="shared" si="163"/>
        <v>0.24466136363636368</v>
      </c>
      <c r="R2072" s="9">
        <v>8.34</v>
      </c>
      <c r="S2072" s="9">
        <v>-8.68</v>
      </c>
      <c r="T2072" s="9">
        <v>3748.0280699999998</v>
      </c>
      <c r="U2072" s="9">
        <v>3076.4</v>
      </c>
      <c r="V2072" s="45">
        <f t="shared" si="164"/>
        <v>0.21831623651020665</v>
      </c>
      <c r="W2072" s="12">
        <v>154.55000000000001</v>
      </c>
      <c r="X2072" s="12">
        <v>0.97</v>
      </c>
      <c r="Y2072" s="12">
        <v>20210729</v>
      </c>
    </row>
    <row r="2073" spans="1:25" x14ac:dyDescent="0.45">
      <c r="A2073" s="3" t="s">
        <v>4991</v>
      </c>
      <c r="B2073" s="3" t="s">
        <v>4992</v>
      </c>
      <c r="C2073" s="6" t="s">
        <v>520</v>
      </c>
      <c r="D2073" s="6" t="s">
        <v>327</v>
      </c>
      <c r="E2073" s="6" t="s">
        <v>321</v>
      </c>
      <c r="F2073" s="6">
        <v>15751.64</v>
      </c>
      <c r="J2073" s="47" t="e">
        <f t="shared" si="160"/>
        <v>#DIV/0!</v>
      </c>
      <c r="K2073" s="47" t="e">
        <f t="shared" si="161"/>
        <v>#DIV/0!</v>
      </c>
      <c r="O2073" s="17" t="e">
        <f t="shared" si="162"/>
        <v>#DIV/0!</v>
      </c>
      <c r="P2073" s="17" t="e">
        <f t="shared" si="163"/>
        <v>#DIV/0!</v>
      </c>
      <c r="V2073" s="45" t="e">
        <f t="shared" si="164"/>
        <v>#DIV/0!</v>
      </c>
      <c r="X2073" s="12">
        <v>1.81</v>
      </c>
    </row>
    <row r="2074" spans="1:25" x14ac:dyDescent="0.45">
      <c r="A2074" s="3" t="s">
        <v>3479</v>
      </c>
      <c r="B2074" s="3" t="s">
        <v>3480</v>
      </c>
      <c r="C2074" s="6" t="s">
        <v>518</v>
      </c>
      <c r="D2074" s="6" t="s">
        <v>234</v>
      </c>
      <c r="E2074" s="6" t="s">
        <v>154</v>
      </c>
      <c r="F2074" s="6">
        <v>78606.2</v>
      </c>
      <c r="G2074" s="2">
        <v>3.63</v>
      </c>
      <c r="H2074" s="2">
        <v>4.68</v>
      </c>
      <c r="I2074" s="2">
        <v>4.78</v>
      </c>
      <c r="J2074" s="47">
        <f t="shared" si="160"/>
        <v>0.28925619834710742</v>
      </c>
      <c r="K2074" s="47">
        <f t="shared" si="161"/>
        <v>2.1367521367521482E-2</v>
      </c>
      <c r="L2074" s="8">
        <v>14.08</v>
      </c>
      <c r="M2074" s="8">
        <v>12.49</v>
      </c>
      <c r="N2074" s="8">
        <v>12.23</v>
      </c>
      <c r="O2074" s="17">
        <f t="shared" si="162"/>
        <v>0.43179714285714293</v>
      </c>
      <c r="P2074" s="17">
        <f t="shared" si="163"/>
        <v>5.7236399999999694</v>
      </c>
      <c r="Q2074" s="5">
        <v>1.48</v>
      </c>
      <c r="R2074" s="9">
        <v>9.48</v>
      </c>
      <c r="S2074" s="9">
        <v>17.23</v>
      </c>
      <c r="T2074" s="9">
        <v>21835.849600000001</v>
      </c>
      <c r="U2074" s="9">
        <v>24427</v>
      </c>
      <c r="V2074" s="45">
        <f t="shared" si="164"/>
        <v>-0.10607730789699917</v>
      </c>
      <c r="W2074" s="12">
        <v>5.36</v>
      </c>
      <c r="X2074" s="12">
        <v>3.08</v>
      </c>
      <c r="Y2074" s="12">
        <v>20210715</v>
      </c>
    </row>
    <row r="2075" spans="1:25" x14ac:dyDescent="0.45">
      <c r="A2075" s="3" t="s">
        <v>4993</v>
      </c>
      <c r="B2075" s="3" t="s">
        <v>4994</v>
      </c>
      <c r="C2075" s="6" t="s">
        <v>518</v>
      </c>
      <c r="D2075" s="6" t="s">
        <v>234</v>
      </c>
      <c r="E2075" s="6" t="s">
        <v>904</v>
      </c>
      <c r="F2075" s="6">
        <v>3683.53</v>
      </c>
      <c r="J2075" s="47" t="e">
        <f t="shared" si="160"/>
        <v>#DIV/0!</v>
      </c>
      <c r="K2075" s="47" t="e">
        <f t="shared" si="161"/>
        <v>#DIV/0!</v>
      </c>
      <c r="O2075" s="17" t="e">
        <f t="shared" si="162"/>
        <v>#DIV/0!</v>
      </c>
      <c r="P2075" s="17" t="e">
        <f t="shared" si="163"/>
        <v>#DIV/0!</v>
      </c>
      <c r="V2075" s="45" t="e">
        <f t="shared" si="164"/>
        <v>#DIV/0!</v>
      </c>
      <c r="X2075" s="12">
        <v>1.97</v>
      </c>
    </row>
    <row r="2076" spans="1:25" x14ac:dyDescent="0.45">
      <c r="A2076" s="3" t="s">
        <v>3481</v>
      </c>
      <c r="B2076" s="3" t="s">
        <v>3482</v>
      </c>
      <c r="C2076" s="6" t="s">
        <v>518</v>
      </c>
      <c r="D2076" s="6" t="s">
        <v>309</v>
      </c>
      <c r="E2076" s="6" t="s">
        <v>312</v>
      </c>
      <c r="F2076" s="6">
        <v>8615.18</v>
      </c>
      <c r="G2076" s="2">
        <v>3.24</v>
      </c>
      <c r="H2076" s="2">
        <v>3.8</v>
      </c>
      <c r="I2076" s="2">
        <v>4.8099999999999996</v>
      </c>
      <c r="J2076" s="47">
        <f t="shared" si="160"/>
        <v>0.17283950617283939</v>
      </c>
      <c r="K2076" s="47">
        <f t="shared" si="161"/>
        <v>0.26578947368421046</v>
      </c>
      <c r="L2076" s="8">
        <v>26.79</v>
      </c>
      <c r="M2076" s="8">
        <v>24.33</v>
      </c>
      <c r="N2076" s="8">
        <v>19.22</v>
      </c>
      <c r="O2076" s="17">
        <f t="shared" si="162"/>
        <v>1.4076642857142867</v>
      </c>
      <c r="P2076" s="17">
        <f t="shared" si="163"/>
        <v>0.72312871287128722</v>
      </c>
      <c r="Q2076" s="5">
        <v>1.36</v>
      </c>
      <c r="R2076" s="9">
        <v>19.3</v>
      </c>
      <c r="T2076" s="9">
        <v>6698.8081000000002</v>
      </c>
      <c r="U2076" s="9">
        <v>3781.13</v>
      </c>
      <c r="V2076" s="45">
        <f t="shared" si="164"/>
        <v>0.7716418372285534</v>
      </c>
      <c r="W2076" s="12">
        <v>13.24</v>
      </c>
      <c r="X2076" s="12">
        <v>1</v>
      </c>
      <c r="Y2076" s="12">
        <v>20210726</v>
      </c>
    </row>
    <row r="2077" spans="1:25" x14ac:dyDescent="0.45">
      <c r="A2077" s="3" t="s">
        <v>3483</v>
      </c>
      <c r="B2077" s="3" t="s">
        <v>3484</v>
      </c>
      <c r="C2077" s="6" t="s">
        <v>519</v>
      </c>
      <c r="D2077" s="6" t="s">
        <v>234</v>
      </c>
      <c r="E2077" s="6" t="s">
        <v>1140</v>
      </c>
      <c r="F2077" s="6">
        <v>6075.35</v>
      </c>
      <c r="G2077" s="2">
        <v>0.31</v>
      </c>
      <c r="H2077" s="2">
        <v>0.28000000000000003</v>
      </c>
      <c r="I2077" s="2">
        <v>0.19</v>
      </c>
      <c r="J2077" s="47">
        <f t="shared" si="160"/>
        <v>-9.6774193548387011E-2</v>
      </c>
      <c r="K2077" s="47">
        <f t="shared" si="161"/>
        <v>-0.32142857142857151</v>
      </c>
      <c r="L2077" s="8">
        <v>67.66</v>
      </c>
      <c r="M2077" s="8">
        <v>77.319999999999993</v>
      </c>
      <c r="N2077" s="8">
        <v>113.95</v>
      </c>
      <c r="O2077" s="17">
        <f t="shared" si="162"/>
        <v>-7.9897333333333398</v>
      </c>
      <c r="P2077" s="17">
        <f t="shared" si="163"/>
        <v>-3.54511111111111</v>
      </c>
      <c r="R2077" s="9">
        <v>5.29</v>
      </c>
      <c r="S2077" s="9">
        <v>5.44</v>
      </c>
      <c r="U2077" s="9">
        <v>508.55</v>
      </c>
      <c r="V2077" s="45">
        <f t="shared" si="164"/>
        <v>-1</v>
      </c>
      <c r="W2077" s="12">
        <v>14.29</v>
      </c>
      <c r="X2077" s="12">
        <v>5.17</v>
      </c>
      <c r="Y2077" s="12">
        <v>20210729</v>
      </c>
    </row>
    <row r="2078" spans="1:25" x14ac:dyDescent="0.45">
      <c r="A2078" s="3" t="s">
        <v>3485</v>
      </c>
      <c r="B2078" s="3" t="s">
        <v>3486</v>
      </c>
      <c r="C2078" s="6" t="s">
        <v>518</v>
      </c>
      <c r="D2078" s="6" t="s">
        <v>279</v>
      </c>
      <c r="E2078" s="6" t="s">
        <v>262</v>
      </c>
      <c r="F2078" s="6">
        <v>18380.43</v>
      </c>
      <c r="G2078" s="2">
        <v>10.46</v>
      </c>
      <c r="H2078" s="2">
        <v>12.76</v>
      </c>
      <c r="I2078" s="2">
        <v>14.86</v>
      </c>
      <c r="J2078" s="47">
        <f t="shared" si="160"/>
        <v>0.2198852772466538</v>
      </c>
      <c r="K2078" s="47">
        <f t="shared" si="161"/>
        <v>0.16457680250783696</v>
      </c>
      <c r="L2078" s="8">
        <v>36.35</v>
      </c>
      <c r="M2078" s="8">
        <v>30.83</v>
      </c>
      <c r="N2078" s="8">
        <v>26.47</v>
      </c>
      <c r="O2078" s="17">
        <f t="shared" si="162"/>
        <v>1.4020947826086962</v>
      </c>
      <c r="P2078" s="17">
        <f t="shared" si="163"/>
        <v>1.6083676190476193</v>
      </c>
      <c r="Q2078" s="5">
        <v>2.8</v>
      </c>
      <c r="R2078" s="9">
        <v>15.71</v>
      </c>
      <c r="S2078" s="9">
        <v>8.3699999999999992</v>
      </c>
      <c r="T2078" s="9">
        <v>2823.7539000000002</v>
      </c>
      <c r="U2078" s="9">
        <v>2537.16</v>
      </c>
      <c r="V2078" s="45">
        <f t="shared" si="164"/>
        <v>0.1129585441990258</v>
      </c>
      <c r="W2078" s="12">
        <v>17.62</v>
      </c>
      <c r="X2078" s="12">
        <v>0.35</v>
      </c>
      <c r="Y2078" s="12">
        <v>20210729</v>
      </c>
    </row>
    <row r="2079" spans="1:25" x14ac:dyDescent="0.45">
      <c r="A2079" s="3" t="s">
        <v>3487</v>
      </c>
      <c r="B2079" s="3" t="s">
        <v>3488</v>
      </c>
      <c r="C2079" s="6" t="s">
        <v>518</v>
      </c>
      <c r="D2079" s="6" t="s">
        <v>216</v>
      </c>
      <c r="E2079" s="6" t="s">
        <v>1449</v>
      </c>
      <c r="F2079" s="6">
        <v>4214.5600000000004</v>
      </c>
      <c r="G2079" s="2">
        <v>2.2799999999999998</v>
      </c>
      <c r="H2079" s="2">
        <v>2.0299999999999998</v>
      </c>
      <c r="I2079" s="2">
        <v>2.86</v>
      </c>
      <c r="J2079" s="47">
        <f t="shared" si="160"/>
        <v>-0.10964912280701755</v>
      </c>
      <c r="K2079" s="47">
        <f t="shared" si="161"/>
        <v>0.40886699507389168</v>
      </c>
      <c r="L2079" s="8">
        <v>7.99</v>
      </c>
      <c r="M2079" s="8">
        <v>9.39</v>
      </c>
      <c r="N2079" s="8">
        <v>6.67</v>
      </c>
      <c r="O2079" s="17">
        <f t="shared" si="162"/>
        <v>-0.85636800000000002</v>
      </c>
      <c r="P2079" s="17">
        <f t="shared" si="163"/>
        <v>0.16313373493975902</v>
      </c>
      <c r="Q2079" s="5">
        <v>0.94</v>
      </c>
      <c r="R2079" s="9">
        <v>27.57</v>
      </c>
      <c r="S2079" s="9">
        <v>-3.63</v>
      </c>
      <c r="T2079" s="9">
        <v>2971.5148899999999</v>
      </c>
      <c r="U2079" s="9">
        <v>2937.78</v>
      </c>
      <c r="V2079" s="45">
        <f t="shared" si="164"/>
        <v>1.1483123310799216E-2</v>
      </c>
      <c r="W2079" s="12">
        <v>0</v>
      </c>
      <c r="X2079" s="12">
        <v>1.99</v>
      </c>
      <c r="Y2079" s="12">
        <v>20210809</v>
      </c>
    </row>
    <row r="2080" spans="1:25" x14ac:dyDescent="0.45">
      <c r="A2080" s="3" t="s">
        <v>3489</v>
      </c>
      <c r="B2080" s="3" t="s">
        <v>3490</v>
      </c>
      <c r="C2080" s="6" t="s">
        <v>518</v>
      </c>
      <c r="D2080" s="6" t="s">
        <v>303</v>
      </c>
      <c r="E2080" s="6" t="s">
        <v>1015</v>
      </c>
      <c r="F2080" s="6">
        <v>114746.25</v>
      </c>
      <c r="G2080" s="2">
        <v>9.2799999999999994</v>
      </c>
      <c r="H2080" s="2">
        <v>11.82</v>
      </c>
      <c r="I2080" s="2">
        <v>11.88</v>
      </c>
      <c r="J2080" s="47">
        <f t="shared" si="160"/>
        <v>0.27370689655172425</v>
      </c>
      <c r="K2080" s="47">
        <f t="shared" si="161"/>
        <v>5.0761421319797375E-3</v>
      </c>
      <c r="L2080" s="8">
        <v>18.510000000000002</v>
      </c>
      <c r="M2080" s="8">
        <v>19.61</v>
      </c>
      <c r="N2080" s="8">
        <v>19.52</v>
      </c>
      <c r="O2080" s="17">
        <f t="shared" si="162"/>
        <v>0.71645984251968464</v>
      </c>
      <c r="P2080" s="17">
        <f t="shared" si="163"/>
        <v>38.45439999999968</v>
      </c>
      <c r="Q2080" s="5">
        <v>1.48</v>
      </c>
      <c r="R2080" s="9">
        <v>45.7</v>
      </c>
      <c r="S2080" s="9">
        <v>6.37</v>
      </c>
      <c r="T2080" s="9">
        <v>102105.17187000001</v>
      </c>
      <c r="U2080" s="9">
        <v>93561</v>
      </c>
      <c r="V2080" s="45">
        <f t="shared" si="164"/>
        <v>9.1321938307628234E-2</v>
      </c>
      <c r="W2080" s="12">
        <v>63.27</v>
      </c>
      <c r="X2080" s="12">
        <v>1.17</v>
      </c>
      <c r="Y2080" s="12">
        <v>20210818</v>
      </c>
    </row>
    <row r="2081" spans="1:25" x14ac:dyDescent="0.45">
      <c r="A2081" s="3" t="s">
        <v>3491</v>
      </c>
      <c r="B2081" s="3" t="s">
        <v>3492</v>
      </c>
      <c r="C2081" s="6" t="s">
        <v>519</v>
      </c>
      <c r="D2081" s="6" t="s">
        <v>279</v>
      </c>
      <c r="E2081" s="6" t="s">
        <v>264</v>
      </c>
      <c r="F2081" s="6">
        <v>5276.77</v>
      </c>
      <c r="G2081" s="2">
        <v>-2.2799999999999998</v>
      </c>
      <c r="H2081" s="2">
        <v>-2.1800000000000002</v>
      </c>
      <c r="I2081" s="2">
        <v>-1.17</v>
      </c>
      <c r="J2081" s="47">
        <f t="shared" si="160"/>
        <v>4.3859649122806862E-2</v>
      </c>
      <c r="K2081" s="47">
        <f t="shared" si="161"/>
        <v>0.46330275229357804</v>
      </c>
      <c r="O2081" s="17">
        <f t="shared" si="162"/>
        <v>0</v>
      </c>
      <c r="P2081" s="17">
        <f t="shared" si="163"/>
        <v>0</v>
      </c>
      <c r="R2081" s="9">
        <v>-95.94</v>
      </c>
      <c r="S2081" s="9">
        <v>10.75</v>
      </c>
      <c r="T2081" s="9">
        <v>29.402989999999999</v>
      </c>
      <c r="U2081" s="9">
        <v>0.15</v>
      </c>
      <c r="V2081" s="45">
        <f t="shared" si="164"/>
        <v>195.01993333333334</v>
      </c>
      <c r="W2081" s="12">
        <v>-32.69</v>
      </c>
      <c r="X2081" s="12">
        <v>0</v>
      </c>
      <c r="Y2081" s="12">
        <v>20210809</v>
      </c>
    </row>
    <row r="2082" spans="1:25" x14ac:dyDescent="0.45">
      <c r="A2082" s="3" t="s">
        <v>3493</v>
      </c>
      <c r="B2082" s="3" t="s">
        <v>3494</v>
      </c>
      <c r="C2082" s="6" t="s">
        <v>518</v>
      </c>
      <c r="D2082" s="6" t="s">
        <v>279</v>
      </c>
      <c r="E2082" s="6" t="s">
        <v>261</v>
      </c>
      <c r="F2082" s="6">
        <v>7228.64</v>
      </c>
      <c r="G2082" s="2">
        <v>4.28</v>
      </c>
      <c r="H2082" s="2">
        <v>5.26</v>
      </c>
      <c r="I2082" s="2">
        <v>5.66</v>
      </c>
      <c r="J2082" s="47">
        <f t="shared" si="160"/>
        <v>0.22897196261682232</v>
      </c>
      <c r="K2082" s="47">
        <f t="shared" si="161"/>
        <v>7.6045627376425923E-2</v>
      </c>
      <c r="L2082" s="8">
        <v>14.22</v>
      </c>
      <c r="M2082" s="8">
        <v>12.87</v>
      </c>
      <c r="N2082" s="8">
        <v>11.97</v>
      </c>
      <c r="O2082" s="17">
        <f t="shared" si="162"/>
        <v>0.56207755102040835</v>
      </c>
      <c r="P2082" s="17">
        <f t="shared" si="163"/>
        <v>1.5740549999999989</v>
      </c>
      <c r="R2082" s="9">
        <v>65.38</v>
      </c>
      <c r="S2082" s="9">
        <v>-3.08</v>
      </c>
      <c r="T2082" s="9">
        <v>19633.369139999999</v>
      </c>
      <c r="U2082" s="9">
        <v>17640</v>
      </c>
      <c r="V2082" s="45">
        <f t="shared" si="164"/>
        <v>0.11300278571428565</v>
      </c>
      <c r="W2082" s="12">
        <v>62.5</v>
      </c>
      <c r="X2082" s="12">
        <v>0</v>
      </c>
      <c r="Y2082" s="12">
        <v>20210802</v>
      </c>
    </row>
    <row r="2083" spans="1:25" x14ac:dyDescent="0.45">
      <c r="A2083" s="3" t="s">
        <v>3495</v>
      </c>
      <c r="B2083" s="3" t="s">
        <v>3496</v>
      </c>
      <c r="C2083" s="6" t="s">
        <v>518</v>
      </c>
      <c r="D2083" s="6" t="s">
        <v>234</v>
      </c>
      <c r="E2083" s="6" t="s">
        <v>244</v>
      </c>
      <c r="F2083" s="6">
        <v>4988.58</v>
      </c>
      <c r="G2083" s="2">
        <v>8.51</v>
      </c>
      <c r="H2083" s="2">
        <v>8.9700000000000006</v>
      </c>
      <c r="I2083" s="2">
        <v>10.15</v>
      </c>
      <c r="J2083" s="47">
        <f t="shared" si="160"/>
        <v>5.4054054054054154E-2</v>
      </c>
      <c r="K2083" s="47">
        <f t="shared" si="161"/>
        <v>0.13154960981047933</v>
      </c>
      <c r="L2083" s="8">
        <v>15.85</v>
      </c>
      <c r="M2083" s="8">
        <v>15.5</v>
      </c>
      <c r="N2083" s="8">
        <v>13.69</v>
      </c>
      <c r="O2083" s="17">
        <f t="shared" si="162"/>
        <v>2.8674999999999948</v>
      </c>
      <c r="P2083" s="17">
        <f t="shared" si="163"/>
        <v>1.0406720338983053</v>
      </c>
      <c r="Q2083" s="5">
        <v>2.73</v>
      </c>
      <c r="R2083" s="9">
        <v>10.59</v>
      </c>
      <c r="S2083" s="9">
        <v>-0.99</v>
      </c>
      <c r="T2083" s="9">
        <v>5066.9501899999996</v>
      </c>
      <c r="U2083" s="9">
        <v>4827.3</v>
      </c>
      <c r="V2083" s="45">
        <f t="shared" si="164"/>
        <v>4.9644768296977476E-2</v>
      </c>
      <c r="W2083" s="12">
        <v>121.33</v>
      </c>
      <c r="X2083" s="12">
        <v>2.0099999999999998</v>
      </c>
      <c r="Y2083" s="12">
        <v>20210727</v>
      </c>
    </row>
    <row r="2084" spans="1:25" x14ac:dyDescent="0.45">
      <c r="A2084" s="3" t="s">
        <v>3497</v>
      </c>
      <c r="B2084" s="3" t="s">
        <v>3498</v>
      </c>
      <c r="C2084" s="6" t="s">
        <v>520</v>
      </c>
      <c r="D2084" s="6" t="s">
        <v>189</v>
      </c>
      <c r="E2084" s="6" t="s">
        <v>2107</v>
      </c>
      <c r="F2084" s="6">
        <v>4243.2700000000004</v>
      </c>
      <c r="G2084" s="2">
        <v>0.01</v>
      </c>
      <c r="H2084" s="2">
        <v>0.76</v>
      </c>
      <c r="I2084" s="2">
        <v>1</v>
      </c>
      <c r="J2084" s="47">
        <f t="shared" si="160"/>
        <v>75</v>
      </c>
      <c r="K2084" s="47">
        <f t="shared" si="161"/>
        <v>0.31578947368421051</v>
      </c>
      <c r="M2084" s="8">
        <v>20.85</v>
      </c>
      <c r="N2084" s="8">
        <v>15.77</v>
      </c>
      <c r="O2084" s="17">
        <f t="shared" si="162"/>
        <v>2.7800000000000004E-3</v>
      </c>
      <c r="P2084" s="17">
        <f t="shared" si="163"/>
        <v>0.49938333333333335</v>
      </c>
      <c r="R2084" s="9">
        <v>-0.39</v>
      </c>
      <c r="T2084" s="9">
        <v>2822.3850000000002</v>
      </c>
      <c r="U2084" s="9">
        <v>2519.2399999999998</v>
      </c>
      <c r="V2084" s="45">
        <f t="shared" si="164"/>
        <v>0.12033192550134186</v>
      </c>
      <c r="X2084" s="12">
        <v>0.32</v>
      </c>
      <c r="Y2084" s="12">
        <v>20210614</v>
      </c>
    </row>
    <row r="2085" spans="1:25" x14ac:dyDescent="0.45">
      <c r="A2085" s="3" t="s">
        <v>3499</v>
      </c>
      <c r="B2085" s="3" t="s">
        <v>3500</v>
      </c>
      <c r="C2085" s="6" t="s">
        <v>518</v>
      </c>
      <c r="D2085" s="6" t="s">
        <v>210</v>
      </c>
      <c r="E2085" s="6" t="s">
        <v>3501</v>
      </c>
      <c r="F2085" s="6">
        <v>6436.88</v>
      </c>
      <c r="G2085" s="2">
        <v>3.4</v>
      </c>
      <c r="H2085" s="2">
        <v>9.6300000000000008</v>
      </c>
      <c r="I2085" s="2">
        <v>10.58</v>
      </c>
      <c r="J2085" s="47">
        <f t="shared" si="160"/>
        <v>1.8323529411764707</v>
      </c>
      <c r="K2085" s="47">
        <f t="shared" si="161"/>
        <v>9.8650051921079882E-2</v>
      </c>
      <c r="L2085" s="8">
        <v>11.79</v>
      </c>
      <c r="M2085" s="8">
        <v>12.08</v>
      </c>
      <c r="N2085" s="8">
        <v>10.99</v>
      </c>
      <c r="O2085" s="17">
        <f t="shared" si="162"/>
        <v>6.5926163723916534E-2</v>
      </c>
      <c r="P2085" s="17">
        <f t="shared" si="163"/>
        <v>1.114038947368422</v>
      </c>
      <c r="R2085" s="9">
        <v>21.69</v>
      </c>
      <c r="S2085" s="9">
        <v>12.62</v>
      </c>
      <c r="T2085" s="9">
        <v>11400.04687</v>
      </c>
      <c r="U2085" s="9">
        <v>8167.93</v>
      </c>
      <c r="V2085" s="45">
        <f t="shared" si="164"/>
        <v>0.39570819901737647</v>
      </c>
      <c r="W2085" s="12">
        <v>39.409999999999997</v>
      </c>
      <c r="X2085" s="12">
        <v>1.41</v>
      </c>
      <c r="Y2085" s="12">
        <v>20210927</v>
      </c>
    </row>
    <row r="2086" spans="1:25" x14ac:dyDescent="0.45">
      <c r="A2086" s="3" t="s">
        <v>4995</v>
      </c>
      <c r="B2086" s="3" t="s">
        <v>4996</v>
      </c>
      <c r="C2086" s="6" t="s">
        <v>520</v>
      </c>
      <c r="D2086" s="6" t="s">
        <v>189</v>
      </c>
      <c r="E2086" s="6" t="s">
        <v>378</v>
      </c>
      <c r="F2086" s="6">
        <v>12791.62</v>
      </c>
      <c r="J2086" s="47" t="e">
        <f t="shared" si="160"/>
        <v>#DIV/0!</v>
      </c>
      <c r="K2086" s="47" t="e">
        <f t="shared" si="161"/>
        <v>#DIV/0!</v>
      </c>
      <c r="O2086" s="17" t="e">
        <f t="shared" si="162"/>
        <v>#DIV/0!</v>
      </c>
      <c r="P2086" s="17" t="e">
        <f t="shared" si="163"/>
        <v>#DIV/0!</v>
      </c>
      <c r="U2086" s="9">
        <v>20133.2</v>
      </c>
      <c r="V2086" s="45">
        <f t="shared" si="164"/>
        <v>-1</v>
      </c>
      <c r="X2086" s="12">
        <v>3.81</v>
      </c>
    </row>
    <row r="2087" spans="1:25" x14ac:dyDescent="0.45">
      <c r="A2087" s="3" t="s">
        <v>4997</v>
      </c>
      <c r="B2087" s="3" t="s">
        <v>4998</v>
      </c>
      <c r="C2087" s="6" t="s">
        <v>519</v>
      </c>
      <c r="D2087" s="6" t="s">
        <v>189</v>
      </c>
      <c r="E2087" s="6" t="s">
        <v>378</v>
      </c>
      <c r="F2087" s="6">
        <v>4389.0600000000004</v>
      </c>
      <c r="G2087" s="2">
        <v>-2.64</v>
      </c>
      <c r="J2087" s="47">
        <f t="shared" si="160"/>
        <v>1</v>
      </c>
      <c r="K2087" s="47" t="e">
        <f t="shared" si="161"/>
        <v>#DIV/0!</v>
      </c>
      <c r="O2087" s="17">
        <f t="shared" si="162"/>
        <v>0</v>
      </c>
      <c r="P2087" s="17" t="e">
        <f t="shared" si="163"/>
        <v>#DIV/0!</v>
      </c>
      <c r="R2087" s="9">
        <v>-6.23</v>
      </c>
      <c r="S2087" s="9">
        <v>-7.17</v>
      </c>
      <c r="U2087" s="9">
        <v>4171</v>
      </c>
      <c r="V2087" s="45">
        <f t="shared" si="164"/>
        <v>-1</v>
      </c>
      <c r="W2087" s="12">
        <v>-35.479999999999997</v>
      </c>
      <c r="X2087" s="12">
        <v>0</v>
      </c>
      <c r="Y2087" s="12">
        <v>20210729</v>
      </c>
    </row>
    <row r="2088" spans="1:25" x14ac:dyDescent="0.45">
      <c r="A2088" s="3" t="s">
        <v>4999</v>
      </c>
      <c r="B2088" s="3" t="s">
        <v>5000</v>
      </c>
      <c r="C2088" s="6" t="s">
        <v>519</v>
      </c>
      <c r="D2088" s="6" t="s">
        <v>234</v>
      </c>
      <c r="E2088" s="6" t="s">
        <v>1642</v>
      </c>
      <c r="F2088" s="6">
        <v>4169.92</v>
      </c>
      <c r="J2088" s="47" t="e">
        <f t="shared" si="160"/>
        <v>#DIV/0!</v>
      </c>
      <c r="K2088" s="47" t="e">
        <f t="shared" si="161"/>
        <v>#DIV/0!</v>
      </c>
      <c r="L2088" s="8">
        <v>92.83</v>
      </c>
      <c r="O2088" s="17" t="e">
        <f t="shared" si="162"/>
        <v>#DIV/0!</v>
      </c>
      <c r="P2088" s="17" t="e">
        <f t="shared" si="163"/>
        <v>#DIV/0!</v>
      </c>
      <c r="R2088" s="9">
        <v>15.9</v>
      </c>
      <c r="U2088" s="9">
        <v>138.5</v>
      </c>
      <c r="V2088" s="45">
        <f t="shared" si="164"/>
        <v>-1</v>
      </c>
      <c r="X2088" s="12">
        <v>0</v>
      </c>
      <c r="Y2088" s="12">
        <v>20210817</v>
      </c>
    </row>
    <row r="2089" spans="1:25" x14ac:dyDescent="0.45">
      <c r="A2089" s="3" t="s">
        <v>4391</v>
      </c>
      <c r="B2089" s="3" t="s">
        <v>3502</v>
      </c>
      <c r="C2089" s="6" t="s">
        <v>518</v>
      </c>
      <c r="D2089" s="6" t="s">
        <v>189</v>
      </c>
      <c r="E2089" s="6" t="s">
        <v>378</v>
      </c>
      <c r="F2089" s="6">
        <v>6096.2</v>
      </c>
      <c r="G2089" s="2">
        <v>0.53</v>
      </c>
      <c r="H2089" s="2">
        <v>0.63</v>
      </c>
      <c r="I2089" s="2">
        <v>0.56999999999999995</v>
      </c>
      <c r="J2089" s="47">
        <f t="shared" si="160"/>
        <v>0.18867924528301883</v>
      </c>
      <c r="K2089" s="47">
        <f t="shared" si="161"/>
        <v>-9.5238095238095316E-2</v>
      </c>
      <c r="L2089" s="8">
        <v>14.15</v>
      </c>
      <c r="M2089" s="8">
        <v>19.98</v>
      </c>
      <c r="N2089" s="8">
        <v>22.09</v>
      </c>
      <c r="O2089" s="17">
        <f t="shared" si="162"/>
        <v>1.0589400000000002</v>
      </c>
      <c r="P2089" s="17">
        <f t="shared" si="163"/>
        <v>-2.3194499999999985</v>
      </c>
      <c r="R2089" s="9">
        <v>7.71</v>
      </c>
      <c r="S2089" s="9">
        <v>-5.56</v>
      </c>
      <c r="T2089" s="9">
        <v>3373.8898899999999</v>
      </c>
      <c r="U2089" s="9">
        <v>3352.32</v>
      </c>
      <c r="V2089" s="45">
        <f t="shared" si="164"/>
        <v>6.4343171296295572E-3</v>
      </c>
      <c r="W2089" s="12">
        <v>-84.62</v>
      </c>
      <c r="X2089" s="12">
        <v>1.08</v>
      </c>
      <c r="Y2089" s="12">
        <v>20210615</v>
      </c>
    </row>
    <row r="2090" spans="1:25" x14ac:dyDescent="0.45">
      <c r="A2090" s="3" t="s">
        <v>3503</v>
      </c>
      <c r="B2090" s="3" t="s">
        <v>3504</v>
      </c>
      <c r="C2090" s="6" t="s">
        <v>520</v>
      </c>
      <c r="D2090" s="6" t="s">
        <v>216</v>
      </c>
      <c r="E2090" s="6" t="s">
        <v>1256</v>
      </c>
      <c r="F2090" s="6">
        <v>3114.99</v>
      </c>
      <c r="G2090" s="2">
        <v>1.44</v>
      </c>
      <c r="H2090" s="2">
        <v>1.61</v>
      </c>
      <c r="I2090" s="2">
        <v>1.23</v>
      </c>
      <c r="J2090" s="47">
        <f t="shared" si="160"/>
        <v>0.11805555555555566</v>
      </c>
      <c r="K2090" s="47">
        <f t="shared" si="161"/>
        <v>-0.23602484472049695</v>
      </c>
      <c r="L2090" s="8">
        <v>11.05</v>
      </c>
      <c r="M2090" s="8">
        <v>10.09</v>
      </c>
      <c r="N2090" s="8">
        <v>13.2</v>
      </c>
      <c r="O2090" s="17">
        <f t="shared" si="162"/>
        <v>0.85468235294117567</v>
      </c>
      <c r="P2090" s="17">
        <f t="shared" si="163"/>
        <v>-0.55926315789473668</v>
      </c>
      <c r="R2090" s="9">
        <v>7.55</v>
      </c>
      <c r="T2090" s="9">
        <v>8045.4501899999996</v>
      </c>
      <c r="U2090" s="9">
        <v>7871.11</v>
      </c>
      <c r="V2090" s="45">
        <f t="shared" si="164"/>
        <v>2.2149377914931934E-2</v>
      </c>
      <c r="X2090" s="12">
        <v>2.04</v>
      </c>
      <c r="Y2090" s="12">
        <v>20210611</v>
      </c>
    </row>
    <row r="2091" spans="1:25" x14ac:dyDescent="0.45">
      <c r="A2091" s="3" t="s">
        <v>5001</v>
      </c>
      <c r="B2091" s="3" t="s">
        <v>5002</v>
      </c>
      <c r="C2091" s="6" t="s">
        <v>518</v>
      </c>
      <c r="D2091" s="6" t="s">
        <v>234</v>
      </c>
      <c r="E2091" s="6" t="s">
        <v>904</v>
      </c>
      <c r="F2091" s="6">
        <v>28651.5</v>
      </c>
      <c r="J2091" s="47" t="e">
        <f t="shared" si="160"/>
        <v>#DIV/0!</v>
      </c>
      <c r="K2091" s="47" t="e">
        <f t="shared" si="161"/>
        <v>#DIV/0!</v>
      </c>
      <c r="O2091" s="17" t="e">
        <f t="shared" si="162"/>
        <v>#DIV/0!</v>
      </c>
      <c r="P2091" s="17" t="e">
        <f t="shared" si="163"/>
        <v>#DIV/0!</v>
      </c>
      <c r="V2091" s="45" t="e">
        <f t="shared" si="164"/>
        <v>#DIV/0!</v>
      </c>
      <c r="X2091" s="12">
        <v>1.87</v>
      </c>
    </row>
    <row r="2092" spans="1:25" x14ac:dyDescent="0.45">
      <c r="A2092" s="3" t="s">
        <v>3931</v>
      </c>
      <c r="B2092" s="3" t="s">
        <v>3932</v>
      </c>
      <c r="C2092" s="6" t="s">
        <v>518</v>
      </c>
      <c r="D2092" s="6" t="s">
        <v>175</v>
      </c>
      <c r="E2092" s="6" t="s">
        <v>305</v>
      </c>
      <c r="F2092" s="6">
        <v>8228.2199999999993</v>
      </c>
      <c r="H2092" s="2">
        <v>0.94</v>
      </c>
      <c r="I2092" s="2">
        <v>1.19</v>
      </c>
      <c r="J2092" s="47" t="e">
        <f t="shared" si="160"/>
        <v>#DIV/0!</v>
      </c>
      <c r="K2092" s="47">
        <f t="shared" si="161"/>
        <v>0.26595744680851063</v>
      </c>
      <c r="M2092" s="8">
        <v>33.06</v>
      </c>
      <c r="N2092" s="8">
        <v>26.04</v>
      </c>
      <c r="O2092" s="17" t="e">
        <f t="shared" si="162"/>
        <v>#DIV/0!</v>
      </c>
      <c r="P2092" s="17">
        <f t="shared" si="163"/>
        <v>0.97910399999999997</v>
      </c>
      <c r="Q2092" s="5">
        <v>1.3</v>
      </c>
      <c r="T2092" s="9">
        <v>2170.2880799999998</v>
      </c>
      <c r="U2092" s="9">
        <v>1581.6</v>
      </c>
      <c r="V2092" s="45">
        <f t="shared" si="164"/>
        <v>0.37221047040971167</v>
      </c>
      <c r="W2092" s="12">
        <v>15</v>
      </c>
      <c r="X2092" s="12">
        <v>0</v>
      </c>
      <c r="Y2092" s="12">
        <v>20210806</v>
      </c>
    </row>
    <row r="2093" spans="1:25" x14ac:dyDescent="0.45">
      <c r="A2093" s="3" t="s">
        <v>3505</v>
      </c>
      <c r="B2093" s="3" t="s">
        <v>3506</v>
      </c>
      <c r="C2093" s="6" t="s">
        <v>518</v>
      </c>
      <c r="D2093" s="6" t="s">
        <v>303</v>
      </c>
      <c r="E2093" s="6" t="s">
        <v>1015</v>
      </c>
      <c r="F2093" s="6">
        <v>78457.86</v>
      </c>
      <c r="G2093" s="2">
        <v>0.43</v>
      </c>
      <c r="H2093" s="2">
        <v>2.57</v>
      </c>
      <c r="I2093" s="2">
        <v>3.19</v>
      </c>
      <c r="J2093" s="47">
        <f t="shared" si="160"/>
        <v>4.9767441860465107</v>
      </c>
      <c r="K2093" s="47">
        <f t="shared" si="161"/>
        <v>0.24124513618677049</v>
      </c>
      <c r="L2093" s="8">
        <v>44.24</v>
      </c>
      <c r="M2093" s="8">
        <v>25.27</v>
      </c>
      <c r="N2093" s="8">
        <v>20.38</v>
      </c>
      <c r="O2093" s="17">
        <f t="shared" si="162"/>
        <v>5.0776168224299076E-2</v>
      </c>
      <c r="P2093" s="17">
        <f t="shared" si="163"/>
        <v>0.84478387096774166</v>
      </c>
      <c r="Q2093" s="5">
        <v>2.41</v>
      </c>
      <c r="R2093" s="9">
        <v>32.299999999999997</v>
      </c>
      <c r="S2093" s="9">
        <v>2.17</v>
      </c>
      <c r="T2093" s="9">
        <v>45838.953119999998</v>
      </c>
      <c r="U2093" s="9">
        <v>32136.959999999999</v>
      </c>
      <c r="V2093" s="45">
        <f t="shared" si="164"/>
        <v>0.42636245369817183</v>
      </c>
      <c r="W2093" s="12">
        <v>41.94</v>
      </c>
      <c r="X2093" s="12">
        <v>1.6</v>
      </c>
      <c r="Y2093" s="12">
        <v>20210818</v>
      </c>
    </row>
    <row r="2094" spans="1:25" x14ac:dyDescent="0.45">
      <c r="A2094" s="3" t="s">
        <v>3507</v>
      </c>
      <c r="B2094" s="3" t="s">
        <v>3508</v>
      </c>
      <c r="C2094" s="6" t="s">
        <v>520</v>
      </c>
      <c r="D2094" s="6" t="s">
        <v>327</v>
      </c>
      <c r="E2094" s="6" t="s">
        <v>209</v>
      </c>
      <c r="F2094" s="6">
        <v>5953.92</v>
      </c>
      <c r="G2094" s="2">
        <v>1.27</v>
      </c>
      <c r="H2094" s="2">
        <v>1.5</v>
      </c>
      <c r="I2094" s="2">
        <v>1.62</v>
      </c>
      <c r="J2094" s="47">
        <f t="shared" si="160"/>
        <v>0.18110236220472439</v>
      </c>
      <c r="K2094" s="47">
        <f t="shared" si="161"/>
        <v>8.0000000000000071E-2</v>
      </c>
      <c r="L2094" s="8">
        <v>13.78</v>
      </c>
      <c r="M2094" s="8">
        <v>11.95</v>
      </c>
      <c r="N2094" s="8">
        <v>11.06</v>
      </c>
      <c r="O2094" s="17">
        <f t="shared" si="162"/>
        <v>0.65984782608695647</v>
      </c>
      <c r="P2094" s="17">
        <f t="shared" si="163"/>
        <v>1.3824999999999987</v>
      </c>
      <c r="R2094" s="9">
        <v>13.98</v>
      </c>
      <c r="S2094" s="9">
        <v>2.93</v>
      </c>
      <c r="T2094" s="9">
        <v>5482.33007</v>
      </c>
      <c r="U2094" s="9">
        <v>5196.3500000000004</v>
      </c>
      <c r="V2094" s="45">
        <f t="shared" si="164"/>
        <v>5.5034797502092739E-2</v>
      </c>
      <c r="X2094" s="12">
        <v>3.29</v>
      </c>
      <c r="Y2094" s="12">
        <v>20210615</v>
      </c>
    </row>
    <row r="2095" spans="1:25" x14ac:dyDescent="0.45">
      <c r="A2095" s="3" t="s">
        <v>5003</v>
      </c>
      <c r="B2095" s="3" t="s">
        <v>5004</v>
      </c>
      <c r="C2095" s="6" t="s">
        <v>518</v>
      </c>
      <c r="D2095" s="6" t="s">
        <v>189</v>
      </c>
      <c r="E2095" s="6" t="s">
        <v>378</v>
      </c>
      <c r="F2095" s="6">
        <v>4232.8</v>
      </c>
      <c r="G2095" s="2">
        <v>0.67</v>
      </c>
      <c r="J2095" s="47">
        <f t="shared" si="160"/>
        <v>-1</v>
      </c>
      <c r="K2095" s="47" t="e">
        <f t="shared" si="161"/>
        <v>#DIV/0!</v>
      </c>
      <c r="L2095" s="8">
        <v>7.4</v>
      </c>
      <c r="O2095" s="17">
        <f t="shared" si="162"/>
        <v>0</v>
      </c>
      <c r="P2095" s="17" t="e">
        <f t="shared" si="163"/>
        <v>#DIV/0!</v>
      </c>
      <c r="R2095" s="9">
        <v>19.5</v>
      </c>
      <c r="S2095" s="9">
        <v>-1.84</v>
      </c>
      <c r="U2095" s="9">
        <v>4100.71</v>
      </c>
      <c r="V2095" s="45">
        <f t="shared" si="164"/>
        <v>-1</v>
      </c>
      <c r="X2095" s="12">
        <v>1.65</v>
      </c>
      <c r="Y2095" s="12">
        <v>20210812</v>
      </c>
    </row>
    <row r="2096" spans="1:25" x14ac:dyDescent="0.45">
      <c r="A2096" s="3" t="s">
        <v>3509</v>
      </c>
      <c r="B2096" s="3" t="s">
        <v>3510</v>
      </c>
      <c r="C2096" s="6" t="s">
        <v>520</v>
      </c>
      <c r="D2096" s="6" t="s">
        <v>234</v>
      </c>
      <c r="E2096" s="6" t="s">
        <v>244</v>
      </c>
      <c r="F2096" s="6">
        <v>32774.959999999999</v>
      </c>
      <c r="G2096" s="2">
        <v>4.63</v>
      </c>
      <c r="H2096" s="2">
        <v>5.84</v>
      </c>
      <c r="I2096" s="2">
        <v>6.14</v>
      </c>
      <c r="J2096" s="47">
        <f t="shared" si="160"/>
        <v>0.26133909287257018</v>
      </c>
      <c r="K2096" s="47">
        <f t="shared" si="161"/>
        <v>5.13698630136986E-2</v>
      </c>
      <c r="L2096" s="8">
        <v>18.82</v>
      </c>
      <c r="M2096" s="8">
        <v>8.0500000000000007</v>
      </c>
      <c r="N2096" s="8">
        <v>7.66</v>
      </c>
      <c r="O2096" s="17">
        <f t="shared" si="162"/>
        <v>0.30802892561983475</v>
      </c>
      <c r="P2096" s="17">
        <f t="shared" si="163"/>
        <v>1.4911466666666675</v>
      </c>
      <c r="Q2096" s="5">
        <v>1.24</v>
      </c>
      <c r="R2096" s="9">
        <v>5.28</v>
      </c>
      <c r="S2096" s="9">
        <v>2.82</v>
      </c>
      <c r="U2096" s="9">
        <v>51520.46</v>
      </c>
      <c r="V2096" s="45">
        <f t="shared" si="164"/>
        <v>-1</v>
      </c>
      <c r="X2096" s="12">
        <v>3.22</v>
      </c>
      <c r="Y2096" s="12">
        <v>20210806</v>
      </c>
    </row>
    <row r="2097" spans="1:25" x14ac:dyDescent="0.45">
      <c r="A2097" s="3" t="s">
        <v>3511</v>
      </c>
      <c r="B2097" s="3" t="s">
        <v>3512</v>
      </c>
      <c r="C2097" s="6" t="s">
        <v>518</v>
      </c>
      <c r="D2097" s="6" t="s">
        <v>272</v>
      </c>
      <c r="E2097" s="6" t="s">
        <v>2638</v>
      </c>
      <c r="F2097" s="6">
        <v>6640.96</v>
      </c>
      <c r="G2097" s="2">
        <v>4.16</v>
      </c>
      <c r="H2097" s="2">
        <v>5.36</v>
      </c>
      <c r="I2097" s="2">
        <v>6.01</v>
      </c>
      <c r="J2097" s="47">
        <f t="shared" si="160"/>
        <v>0.28846153846153849</v>
      </c>
      <c r="K2097" s="47">
        <f t="shared" si="161"/>
        <v>0.1212686567164178</v>
      </c>
      <c r="L2097" s="8">
        <v>20</v>
      </c>
      <c r="M2097" s="8">
        <v>16.3</v>
      </c>
      <c r="N2097" s="8">
        <v>14.56</v>
      </c>
      <c r="O2097" s="17">
        <f t="shared" si="162"/>
        <v>0.56506666666666661</v>
      </c>
      <c r="P2097" s="17">
        <f t="shared" si="163"/>
        <v>1.200640000000001</v>
      </c>
      <c r="Q2097" s="5">
        <v>2.19</v>
      </c>
      <c r="R2097" s="9">
        <v>15.69</v>
      </c>
      <c r="S2097" s="9">
        <v>8</v>
      </c>
      <c r="T2097" s="9">
        <v>4137.0541899999998</v>
      </c>
      <c r="U2097" s="9">
        <v>3513.2</v>
      </c>
      <c r="V2097" s="45">
        <f t="shared" si="164"/>
        <v>0.17757434532619834</v>
      </c>
      <c r="W2097" s="12">
        <v>15</v>
      </c>
      <c r="X2097" s="12">
        <v>1.37</v>
      </c>
      <c r="Y2097" s="12">
        <v>20210802</v>
      </c>
    </row>
    <row r="2098" spans="1:25" x14ac:dyDescent="0.45">
      <c r="A2098" s="3" t="s">
        <v>5005</v>
      </c>
      <c r="B2098" s="3" t="s">
        <v>5006</v>
      </c>
      <c r="C2098" s="6" t="s">
        <v>518</v>
      </c>
      <c r="D2098" s="6" t="s">
        <v>327</v>
      </c>
      <c r="E2098" s="6" t="s">
        <v>209</v>
      </c>
      <c r="F2098" s="6">
        <v>24844.75</v>
      </c>
      <c r="J2098" s="47" t="e">
        <f t="shared" si="160"/>
        <v>#DIV/0!</v>
      </c>
      <c r="K2098" s="47" t="e">
        <f t="shared" si="161"/>
        <v>#DIV/0!</v>
      </c>
      <c r="L2098" s="8">
        <v>17.18</v>
      </c>
      <c r="O2098" s="17" t="e">
        <f t="shared" si="162"/>
        <v>#DIV/0!</v>
      </c>
      <c r="P2098" s="17" t="e">
        <f t="shared" si="163"/>
        <v>#DIV/0!</v>
      </c>
      <c r="R2098" s="9">
        <v>20.63</v>
      </c>
      <c r="U2098" s="9">
        <v>9362.99</v>
      </c>
      <c r="V2098" s="45">
        <f t="shared" si="164"/>
        <v>-1</v>
      </c>
      <c r="X2098" s="12">
        <v>2.37</v>
      </c>
      <c r="Y2098" s="12">
        <v>20210629</v>
      </c>
    </row>
    <row r="2099" spans="1:25" x14ac:dyDescent="0.45">
      <c r="A2099" s="3" t="s">
        <v>3933</v>
      </c>
      <c r="B2099" s="3" t="s">
        <v>3934</v>
      </c>
      <c r="C2099" s="6" t="s">
        <v>519</v>
      </c>
      <c r="D2099" s="6" t="s">
        <v>279</v>
      </c>
      <c r="E2099" s="6" t="s">
        <v>258</v>
      </c>
      <c r="F2099" s="6">
        <v>9587.17</v>
      </c>
      <c r="G2099" s="2">
        <v>-1.22</v>
      </c>
      <c r="H2099" s="2">
        <v>-0.2</v>
      </c>
      <c r="I2099" s="2">
        <v>0.14000000000000001</v>
      </c>
      <c r="J2099" s="47">
        <f t="shared" si="160"/>
        <v>0.83606557377049184</v>
      </c>
      <c r="K2099" s="47">
        <f t="shared" si="161"/>
        <v>1.7</v>
      </c>
      <c r="N2099" s="8">
        <v>153.07</v>
      </c>
      <c r="O2099" s="17">
        <f t="shared" si="162"/>
        <v>0</v>
      </c>
      <c r="P2099" s="17">
        <f t="shared" si="163"/>
        <v>0.90041176470588236</v>
      </c>
      <c r="R2099" s="9">
        <v>-136.31</v>
      </c>
      <c r="S2099" s="9">
        <v>116.74</v>
      </c>
      <c r="T2099" s="9">
        <v>756.26</v>
      </c>
      <c r="U2099" s="9">
        <v>210.48</v>
      </c>
      <c r="V2099" s="45">
        <f t="shared" si="164"/>
        <v>2.5930254656024325</v>
      </c>
      <c r="W2099" s="12">
        <v>-90</v>
      </c>
      <c r="X2099" s="12">
        <v>0</v>
      </c>
      <c r="Y2099" s="12">
        <v>20210809</v>
      </c>
    </row>
    <row r="2100" spans="1:25" x14ac:dyDescent="0.45">
      <c r="A2100" s="3" t="s">
        <v>3513</v>
      </c>
      <c r="B2100" s="3" t="s">
        <v>3514</v>
      </c>
      <c r="C2100" s="6" t="s">
        <v>520</v>
      </c>
      <c r="D2100" s="6" t="s">
        <v>189</v>
      </c>
      <c r="E2100" s="6" t="s">
        <v>378</v>
      </c>
      <c r="F2100" s="6">
        <v>17892.14</v>
      </c>
      <c r="G2100" s="2">
        <v>-0.38</v>
      </c>
      <c r="H2100" s="2">
        <v>0.62</v>
      </c>
      <c r="I2100" s="2">
        <v>0.46</v>
      </c>
      <c r="J2100" s="47">
        <f t="shared" si="160"/>
        <v>2.6315789473684212</v>
      </c>
      <c r="K2100" s="47">
        <f t="shared" si="161"/>
        <v>-0.2580645161290322</v>
      </c>
      <c r="M2100" s="8">
        <v>14.23</v>
      </c>
      <c r="N2100" s="8">
        <v>19.23</v>
      </c>
      <c r="O2100" s="17">
        <f t="shared" si="162"/>
        <v>5.4073999999999997E-2</v>
      </c>
      <c r="P2100" s="17">
        <f t="shared" si="163"/>
        <v>-0.74516250000000017</v>
      </c>
      <c r="R2100" s="9">
        <v>-32.729999999999997</v>
      </c>
      <c r="S2100" s="9">
        <v>-1.23</v>
      </c>
      <c r="T2100" s="9">
        <v>10456.3496</v>
      </c>
      <c r="U2100" s="9">
        <v>9722.18</v>
      </c>
      <c r="V2100" s="45">
        <f t="shared" si="164"/>
        <v>7.5514915379060993E-2</v>
      </c>
      <c r="X2100" s="12">
        <v>3.85</v>
      </c>
      <c r="Y2100" s="12">
        <v>20210716</v>
      </c>
    </row>
    <row r="2101" spans="1:25" x14ac:dyDescent="0.45">
      <c r="A2101" s="3" t="s">
        <v>4392</v>
      </c>
      <c r="B2101" s="3" t="s">
        <v>4393</v>
      </c>
      <c r="C2101" s="6" t="s">
        <v>520</v>
      </c>
      <c r="D2101" s="6" t="s">
        <v>327</v>
      </c>
      <c r="E2101" s="6" t="s">
        <v>209</v>
      </c>
      <c r="F2101" s="6">
        <v>32825.51</v>
      </c>
      <c r="G2101" s="2">
        <v>0.63</v>
      </c>
      <c r="H2101" s="2">
        <v>0.55000000000000004</v>
      </c>
      <c r="I2101" s="2">
        <v>0.56999999999999995</v>
      </c>
      <c r="J2101" s="47">
        <f t="shared" si="160"/>
        <v>-0.12698412698412692</v>
      </c>
      <c r="K2101" s="47">
        <f t="shared" si="161"/>
        <v>3.6363636363636188E-2</v>
      </c>
      <c r="M2101" s="8">
        <v>25.32</v>
      </c>
      <c r="N2101" s="8">
        <v>24.21</v>
      </c>
      <c r="O2101" s="17">
        <f t="shared" si="162"/>
        <v>-1.993950000000001</v>
      </c>
      <c r="P2101" s="17">
        <f t="shared" si="163"/>
        <v>6.657750000000032</v>
      </c>
      <c r="Q2101" s="5">
        <v>3.01</v>
      </c>
      <c r="T2101" s="9">
        <v>17848.599600000001</v>
      </c>
      <c r="U2101" s="9">
        <v>15917.23</v>
      </c>
      <c r="V2101" s="45">
        <f t="shared" si="164"/>
        <v>0.12133829818379215</v>
      </c>
      <c r="X2101" s="12">
        <v>4.13</v>
      </c>
    </row>
    <row r="2102" spans="1:25" x14ac:dyDescent="0.45">
      <c r="A2102" s="3" t="s">
        <v>5007</v>
      </c>
      <c r="B2102" s="3" t="s">
        <v>5008</v>
      </c>
      <c r="C2102" s="6" t="s">
        <v>519</v>
      </c>
      <c r="D2102" s="6" t="s">
        <v>234</v>
      </c>
      <c r="E2102" s="6" t="s">
        <v>904</v>
      </c>
      <c r="F2102" s="6">
        <v>13432.21</v>
      </c>
      <c r="J2102" s="47" t="e">
        <f t="shared" si="160"/>
        <v>#DIV/0!</v>
      </c>
      <c r="K2102" s="47" t="e">
        <f t="shared" si="161"/>
        <v>#DIV/0!</v>
      </c>
      <c r="O2102" s="17" t="e">
        <f t="shared" si="162"/>
        <v>#DIV/0!</v>
      </c>
      <c r="P2102" s="17" t="e">
        <f t="shared" si="163"/>
        <v>#DIV/0!</v>
      </c>
      <c r="V2102" s="45" t="e">
        <f t="shared" si="164"/>
        <v>#DIV/0!</v>
      </c>
      <c r="X2102" s="12">
        <v>1.53</v>
      </c>
    </row>
    <row r="2103" spans="1:25" x14ac:dyDescent="0.45">
      <c r="A2103" s="3" t="s">
        <v>4394</v>
      </c>
      <c r="B2103" s="3" t="s">
        <v>4395</v>
      </c>
      <c r="C2103" s="6" t="s">
        <v>520</v>
      </c>
      <c r="D2103" s="6" t="s">
        <v>327</v>
      </c>
      <c r="E2103" s="6" t="s">
        <v>1149</v>
      </c>
      <c r="F2103" s="6">
        <v>9055.14</v>
      </c>
      <c r="G2103" s="2">
        <v>0.34</v>
      </c>
      <c r="H2103" s="2">
        <v>0.35</v>
      </c>
      <c r="I2103" s="2">
        <v>0.4</v>
      </c>
      <c r="J2103" s="47">
        <f t="shared" si="160"/>
        <v>2.9411764705882214E-2</v>
      </c>
      <c r="K2103" s="47">
        <f t="shared" si="161"/>
        <v>0.14285714285714299</v>
      </c>
      <c r="L2103" s="8">
        <v>11.11</v>
      </c>
      <c r="M2103" s="8">
        <v>19.37</v>
      </c>
      <c r="N2103" s="8">
        <v>17.170000000000002</v>
      </c>
      <c r="O2103" s="17">
        <f t="shared" si="162"/>
        <v>6.5858000000000319</v>
      </c>
      <c r="P2103" s="17">
        <f t="shared" si="163"/>
        <v>1.2018999999999991</v>
      </c>
      <c r="R2103" s="9">
        <v>23.11</v>
      </c>
      <c r="S2103" s="9">
        <v>18.600000000000001</v>
      </c>
      <c r="T2103" s="9">
        <v>3209.0549299999998</v>
      </c>
      <c r="U2103" s="9">
        <v>2894.49</v>
      </c>
      <c r="V2103" s="45">
        <f t="shared" si="164"/>
        <v>0.10867715210624325</v>
      </c>
      <c r="X2103" s="12">
        <v>1.85</v>
      </c>
      <c r="Y2103" s="12">
        <v>20210721</v>
      </c>
    </row>
    <row r="2104" spans="1:25" x14ac:dyDescent="0.45">
      <c r="A2104" s="3" t="s">
        <v>3515</v>
      </c>
      <c r="B2104" s="3" t="s">
        <v>3516</v>
      </c>
      <c r="C2104" s="6" t="s">
        <v>518</v>
      </c>
      <c r="D2104" s="6" t="s">
        <v>46</v>
      </c>
      <c r="E2104" s="6" t="s">
        <v>66</v>
      </c>
      <c r="F2104" s="6">
        <v>252391.23</v>
      </c>
      <c r="G2104" s="2">
        <v>13.83</v>
      </c>
      <c r="H2104" s="2">
        <v>16.579999999999998</v>
      </c>
      <c r="I2104" s="2">
        <v>17.61</v>
      </c>
      <c r="J2104" s="47">
        <f t="shared" si="160"/>
        <v>0.19884309472161954</v>
      </c>
      <c r="K2104" s="47">
        <f t="shared" si="161"/>
        <v>6.2123039806996454E-2</v>
      </c>
      <c r="L2104" s="8">
        <v>11.99</v>
      </c>
      <c r="M2104" s="8">
        <v>10.89</v>
      </c>
      <c r="N2104" s="8">
        <v>10.25</v>
      </c>
      <c r="O2104" s="17">
        <f t="shared" si="162"/>
        <v>0.54766800000000038</v>
      </c>
      <c r="P2104" s="17">
        <f t="shared" si="163"/>
        <v>1.6499514563106776</v>
      </c>
      <c r="Q2104" s="5">
        <v>0.83</v>
      </c>
      <c r="R2104" s="9">
        <v>10.26</v>
      </c>
      <c r="S2104" s="9">
        <v>0.92</v>
      </c>
      <c r="T2104" s="9">
        <v>282582.40625</v>
      </c>
      <c r="U2104" s="9">
        <v>256740.2</v>
      </c>
      <c r="V2104" s="45">
        <f t="shared" si="164"/>
        <v>0.10065508342674807</v>
      </c>
      <c r="W2104" s="12">
        <v>50.14</v>
      </c>
      <c r="X2104" s="12">
        <v>2.41</v>
      </c>
      <c r="Y2104" s="12">
        <v>20210805</v>
      </c>
    </row>
    <row r="2105" spans="1:25" x14ac:dyDescent="0.45">
      <c r="A2105" s="3" t="s">
        <v>3935</v>
      </c>
      <c r="B2105" s="3" t="s">
        <v>3936</v>
      </c>
      <c r="C2105" s="6" t="s">
        <v>518</v>
      </c>
      <c r="D2105" s="6" t="s">
        <v>189</v>
      </c>
      <c r="E2105" s="6" t="s">
        <v>246</v>
      </c>
      <c r="F2105" s="6">
        <v>26119.19</v>
      </c>
      <c r="G2105" s="2">
        <v>0.44</v>
      </c>
      <c r="H2105" s="2">
        <v>0.42</v>
      </c>
      <c r="I2105" s="2">
        <v>0.55000000000000004</v>
      </c>
      <c r="J2105" s="47">
        <f t="shared" si="160"/>
        <v>-4.5454545454545497E-2</v>
      </c>
      <c r="K2105" s="47">
        <f t="shared" si="161"/>
        <v>0.3095238095238097</v>
      </c>
      <c r="L2105" s="8">
        <v>34.6</v>
      </c>
      <c r="M2105" s="8">
        <v>37.25</v>
      </c>
      <c r="N2105" s="8">
        <v>28.41</v>
      </c>
      <c r="O2105" s="17">
        <f t="shared" si="162"/>
        <v>-8.1949999999999932</v>
      </c>
      <c r="P2105" s="17">
        <f t="shared" si="163"/>
        <v>0.91786153846153795</v>
      </c>
      <c r="Q2105" s="5">
        <v>2.56</v>
      </c>
      <c r="R2105" s="9">
        <v>8.9600000000000009</v>
      </c>
      <c r="T2105" s="9">
        <v>5323.08007</v>
      </c>
      <c r="U2105" s="9">
        <v>4468</v>
      </c>
      <c r="V2105" s="45">
        <f t="shared" si="164"/>
        <v>0.19137870859444941</v>
      </c>
      <c r="W2105" s="12">
        <v>0</v>
      </c>
      <c r="X2105" s="12">
        <v>0</v>
      </c>
      <c r="Y2105" s="12">
        <v>20210809</v>
      </c>
    </row>
    <row r="2106" spans="1:25" x14ac:dyDescent="0.45">
      <c r="A2106" s="3" t="s">
        <v>3517</v>
      </c>
      <c r="B2106" s="3" t="s">
        <v>3518</v>
      </c>
      <c r="C2106" s="6" t="s">
        <v>518</v>
      </c>
      <c r="D2106" s="6" t="s">
        <v>210</v>
      </c>
      <c r="E2106" s="6" t="s">
        <v>1439</v>
      </c>
      <c r="F2106" s="6">
        <v>3681.71</v>
      </c>
      <c r="G2106" s="2">
        <v>1.98</v>
      </c>
      <c r="H2106" s="2">
        <v>4.95</v>
      </c>
      <c r="I2106" s="2">
        <v>5.88</v>
      </c>
      <c r="J2106" s="47">
        <f t="shared" si="160"/>
        <v>1.5000000000000002</v>
      </c>
      <c r="K2106" s="47">
        <f t="shared" si="161"/>
        <v>0.18787878787878781</v>
      </c>
      <c r="L2106" s="8">
        <v>9.09</v>
      </c>
      <c r="M2106" s="8">
        <v>5.76</v>
      </c>
      <c r="N2106" s="8">
        <v>4.8600000000000003</v>
      </c>
      <c r="O2106" s="17">
        <f t="shared" si="162"/>
        <v>3.839999999999999E-2</v>
      </c>
      <c r="P2106" s="17">
        <f t="shared" si="163"/>
        <v>0.25867741935483879</v>
      </c>
      <c r="R2106" s="9">
        <v>12.67</v>
      </c>
      <c r="S2106" s="9">
        <v>14.18</v>
      </c>
      <c r="T2106" s="9">
        <v>7855.9531200000001</v>
      </c>
      <c r="U2106" s="9">
        <v>6129.32</v>
      </c>
      <c r="V2106" s="45">
        <f t="shared" si="164"/>
        <v>0.2817005997402649</v>
      </c>
      <c r="W2106" s="12">
        <v>-1.32</v>
      </c>
      <c r="X2106" s="12">
        <v>0</v>
      </c>
      <c r="Y2106" s="12">
        <v>20210729</v>
      </c>
    </row>
    <row r="2107" spans="1:25" x14ac:dyDescent="0.45">
      <c r="A2107" s="3" t="s">
        <v>3519</v>
      </c>
      <c r="B2107" s="3" t="s">
        <v>3520</v>
      </c>
      <c r="C2107" s="6" t="s">
        <v>520</v>
      </c>
      <c r="D2107" s="6" t="s">
        <v>189</v>
      </c>
      <c r="E2107" s="6" t="s">
        <v>202</v>
      </c>
      <c r="F2107" s="6">
        <v>7204.12</v>
      </c>
      <c r="G2107" s="2">
        <v>1.89</v>
      </c>
      <c r="H2107" s="2">
        <v>2.0099999999999998</v>
      </c>
      <c r="I2107" s="2">
        <v>2.1</v>
      </c>
      <c r="J2107" s="47">
        <f t="shared" si="160"/>
        <v>6.3492063492063433E-2</v>
      </c>
      <c r="K2107" s="47">
        <f t="shared" si="161"/>
        <v>4.4776119402985232E-2</v>
      </c>
      <c r="L2107" s="8">
        <v>28.14</v>
      </c>
      <c r="M2107" s="8">
        <v>25.48</v>
      </c>
      <c r="N2107" s="8">
        <v>24.39</v>
      </c>
      <c r="O2107" s="17">
        <f t="shared" si="162"/>
        <v>4.0131000000000032</v>
      </c>
      <c r="P2107" s="17">
        <f t="shared" si="163"/>
        <v>5.4470999999999812</v>
      </c>
      <c r="R2107" s="9">
        <v>14.74</v>
      </c>
      <c r="S2107" s="9">
        <v>8.0299999999999994</v>
      </c>
      <c r="T2107" s="9">
        <v>1743.38</v>
      </c>
      <c r="U2107" s="9">
        <v>1631.47</v>
      </c>
      <c r="V2107" s="45">
        <f t="shared" si="164"/>
        <v>6.8594580347784567E-2</v>
      </c>
      <c r="X2107" s="12">
        <v>2.27</v>
      </c>
      <c r="Y2107" s="12">
        <v>20210811</v>
      </c>
    </row>
    <row r="2108" spans="1:25" x14ac:dyDescent="0.45">
      <c r="A2108" s="3" t="s">
        <v>3521</v>
      </c>
      <c r="B2108" s="3" t="s">
        <v>3522</v>
      </c>
      <c r="C2108" s="6" t="s">
        <v>520</v>
      </c>
      <c r="D2108" s="6" t="s">
        <v>189</v>
      </c>
      <c r="E2108" s="6" t="s">
        <v>248</v>
      </c>
      <c r="F2108" s="6">
        <v>11174.63</v>
      </c>
      <c r="G2108" s="2">
        <v>3.36</v>
      </c>
      <c r="H2108" s="2">
        <v>3.96</v>
      </c>
      <c r="I2108" s="2">
        <v>4.38</v>
      </c>
      <c r="J2108" s="47">
        <f t="shared" si="160"/>
        <v>0.1785714285714286</v>
      </c>
      <c r="K2108" s="47">
        <f t="shared" si="161"/>
        <v>0.10606060606060605</v>
      </c>
      <c r="M2108" s="8">
        <v>39.770000000000003</v>
      </c>
      <c r="N2108" s="8">
        <v>35.96</v>
      </c>
      <c r="O2108" s="17">
        <f t="shared" si="162"/>
        <v>2.2271199999999998</v>
      </c>
      <c r="P2108" s="17">
        <f t="shared" si="163"/>
        <v>3.390514285714286</v>
      </c>
      <c r="T2108" s="9">
        <v>997</v>
      </c>
      <c r="V2108" s="45" t="e">
        <f t="shared" si="164"/>
        <v>#DIV/0!</v>
      </c>
      <c r="X2108" s="12">
        <v>0</v>
      </c>
    </row>
    <row r="2109" spans="1:25" x14ac:dyDescent="0.45">
      <c r="A2109" s="3" t="s">
        <v>3523</v>
      </c>
      <c r="B2109" s="3" t="s">
        <v>3524</v>
      </c>
      <c r="C2109" s="6" t="s">
        <v>518</v>
      </c>
      <c r="D2109" s="6" t="s">
        <v>279</v>
      </c>
      <c r="E2109" s="6" t="s">
        <v>262</v>
      </c>
      <c r="F2109" s="6">
        <v>176159.02</v>
      </c>
      <c r="G2109" s="2">
        <v>19.329999999999998</v>
      </c>
      <c r="H2109" s="2">
        <v>22.03</v>
      </c>
      <c r="I2109" s="2">
        <v>19.63</v>
      </c>
      <c r="J2109" s="47">
        <f t="shared" si="160"/>
        <v>0.13967925504397327</v>
      </c>
      <c r="K2109" s="47">
        <f t="shared" si="161"/>
        <v>-0.10894235133908316</v>
      </c>
      <c r="L2109" s="8">
        <v>18.82</v>
      </c>
      <c r="M2109" s="8">
        <v>20.350000000000001</v>
      </c>
      <c r="N2109" s="8">
        <v>22.84</v>
      </c>
      <c r="O2109" s="17">
        <f t="shared" si="162"/>
        <v>1.4569092592592576</v>
      </c>
      <c r="P2109" s="17">
        <f t="shared" si="163"/>
        <v>-2.0965216666666651</v>
      </c>
      <c r="Q2109" s="5">
        <v>1.04</v>
      </c>
      <c r="R2109" s="9">
        <v>28.95</v>
      </c>
      <c r="S2109" s="9">
        <v>13.5</v>
      </c>
      <c r="T2109" s="9">
        <v>35552.914060000003</v>
      </c>
      <c r="U2109" s="9">
        <v>32218</v>
      </c>
      <c r="V2109" s="45">
        <f t="shared" si="164"/>
        <v>0.10351089639332059</v>
      </c>
      <c r="W2109" s="12">
        <v>7.77</v>
      </c>
      <c r="X2109" s="12">
        <v>0.23</v>
      </c>
      <c r="Y2109" s="12">
        <v>20210728</v>
      </c>
    </row>
    <row r="2110" spans="1:25" x14ac:dyDescent="0.45">
      <c r="A2110" s="3" t="s">
        <v>3525</v>
      </c>
      <c r="B2110" s="3" t="s">
        <v>3526</v>
      </c>
      <c r="C2110" s="6" t="s">
        <v>519</v>
      </c>
      <c r="D2110" s="6" t="s">
        <v>189</v>
      </c>
      <c r="E2110" s="6" t="s">
        <v>377</v>
      </c>
      <c r="F2110" s="6">
        <v>183624.73</v>
      </c>
      <c r="G2110" s="2">
        <v>2.76</v>
      </c>
      <c r="H2110" s="2">
        <v>2.29</v>
      </c>
      <c r="I2110" s="2">
        <v>3.06</v>
      </c>
      <c r="J2110" s="47">
        <f t="shared" si="160"/>
        <v>-0.17028985507246369</v>
      </c>
      <c r="K2110" s="47">
        <f t="shared" si="161"/>
        <v>0.33624454148471616</v>
      </c>
      <c r="L2110" s="8">
        <v>39.479999999999997</v>
      </c>
      <c r="M2110" s="8">
        <v>64.2</v>
      </c>
      <c r="N2110" s="8">
        <v>48.12</v>
      </c>
      <c r="O2110" s="17">
        <f t="shared" si="162"/>
        <v>-3.7700425531914914</v>
      </c>
      <c r="P2110" s="17">
        <f t="shared" si="163"/>
        <v>1.4311012987012988</v>
      </c>
      <c r="Q2110" s="5">
        <v>1.36</v>
      </c>
      <c r="R2110" s="9">
        <v>7.19</v>
      </c>
      <c r="S2110" s="9">
        <v>13.35</v>
      </c>
      <c r="T2110" s="9">
        <v>80044.125</v>
      </c>
      <c r="U2110" s="9">
        <v>68397</v>
      </c>
      <c r="V2110" s="45">
        <f t="shared" si="164"/>
        <v>0.17028707399447343</v>
      </c>
      <c r="W2110" s="12">
        <v>67.27</v>
      </c>
      <c r="X2110" s="12">
        <v>0</v>
      </c>
      <c r="Y2110" s="12">
        <v>20210805</v>
      </c>
    </row>
    <row r="2111" spans="1:25" x14ac:dyDescent="0.45">
      <c r="A2111" s="3" t="s">
        <v>3527</v>
      </c>
      <c r="B2111" s="3" t="s">
        <v>3528</v>
      </c>
      <c r="C2111" s="6" t="s">
        <v>518</v>
      </c>
      <c r="D2111" s="6" t="s">
        <v>272</v>
      </c>
      <c r="E2111" s="6" t="s">
        <v>233</v>
      </c>
      <c r="F2111" s="6">
        <v>6502</v>
      </c>
      <c r="G2111" s="2">
        <v>0.83</v>
      </c>
      <c r="H2111" s="2">
        <v>1.42</v>
      </c>
      <c r="I2111" s="2">
        <v>1.61</v>
      </c>
      <c r="J2111" s="47">
        <f t="shared" si="160"/>
        <v>0.71084337349397586</v>
      </c>
      <c r="K2111" s="47">
        <f t="shared" si="161"/>
        <v>0.13380281690140858</v>
      </c>
      <c r="L2111" s="8">
        <v>43.23</v>
      </c>
      <c r="M2111" s="8">
        <v>35.71</v>
      </c>
      <c r="N2111" s="8">
        <v>31.47</v>
      </c>
      <c r="O2111" s="17">
        <f t="shared" si="162"/>
        <v>0.50236101694915258</v>
      </c>
      <c r="P2111" s="17">
        <f t="shared" si="163"/>
        <v>2.351968421052629</v>
      </c>
      <c r="Q2111" s="5">
        <v>2.1</v>
      </c>
      <c r="R2111" s="9">
        <v>6.32</v>
      </c>
      <c r="S2111" s="9">
        <v>-8.7799999999999994</v>
      </c>
      <c r="T2111" s="9">
        <v>2040.78503</v>
      </c>
      <c r="U2111" s="9">
        <v>1961</v>
      </c>
      <c r="V2111" s="45">
        <f t="shared" si="164"/>
        <v>4.0685889852116269E-2</v>
      </c>
      <c r="W2111" s="12">
        <v>42.86</v>
      </c>
      <c r="X2111" s="12">
        <v>0</v>
      </c>
      <c r="Y2111" s="12">
        <v>20210805</v>
      </c>
    </row>
    <row r="2112" spans="1:25" x14ac:dyDescent="0.45">
      <c r="A2112" s="3" t="s">
        <v>5009</v>
      </c>
      <c r="B2112" s="3" t="s">
        <v>5010</v>
      </c>
      <c r="C2112" s="6" t="s">
        <v>520</v>
      </c>
      <c r="D2112" s="6" t="s">
        <v>327</v>
      </c>
      <c r="E2112" s="6" t="s">
        <v>321</v>
      </c>
      <c r="F2112" s="6">
        <v>13901.8</v>
      </c>
      <c r="J2112" s="47" t="e">
        <f t="shared" si="160"/>
        <v>#DIV/0!</v>
      </c>
      <c r="K2112" s="47" t="e">
        <f t="shared" si="161"/>
        <v>#DIV/0!</v>
      </c>
      <c r="L2112" s="8">
        <v>19.2</v>
      </c>
      <c r="O2112" s="17" t="e">
        <f t="shared" si="162"/>
        <v>#DIV/0!</v>
      </c>
      <c r="P2112" s="17" t="e">
        <f t="shared" si="163"/>
        <v>#DIV/0!</v>
      </c>
      <c r="R2112" s="9">
        <v>5.2</v>
      </c>
      <c r="U2112" s="9">
        <v>12300.5</v>
      </c>
      <c r="V2112" s="45">
        <f t="shared" si="164"/>
        <v>-1</v>
      </c>
      <c r="X2112" s="12">
        <v>3.64</v>
      </c>
      <c r="Y2112" s="12">
        <v>20210608</v>
      </c>
    </row>
    <row r="2113" spans="1:25" x14ac:dyDescent="0.45">
      <c r="A2113" s="3" t="s">
        <v>3529</v>
      </c>
      <c r="B2113" s="3" t="s">
        <v>3530</v>
      </c>
      <c r="C2113" s="6" t="s">
        <v>519</v>
      </c>
      <c r="D2113" s="6" t="s">
        <v>279</v>
      </c>
      <c r="E2113" s="6" t="s">
        <v>262</v>
      </c>
      <c r="F2113" s="6">
        <v>5509.63</v>
      </c>
      <c r="G2113" s="2">
        <v>-0.71</v>
      </c>
      <c r="H2113" s="2">
        <v>0.06</v>
      </c>
      <c r="I2113" s="2">
        <v>0.56999999999999995</v>
      </c>
      <c r="J2113" s="47">
        <f t="shared" si="160"/>
        <v>1.0845070422535212</v>
      </c>
      <c r="K2113" s="47">
        <f t="shared" si="161"/>
        <v>8.5</v>
      </c>
      <c r="M2113" s="8">
        <v>1466</v>
      </c>
      <c r="N2113" s="8">
        <v>153.16</v>
      </c>
      <c r="O2113" s="17">
        <f t="shared" si="162"/>
        <v>13.517662337662337</v>
      </c>
      <c r="P2113" s="17">
        <f t="shared" si="163"/>
        <v>0.18018823529411765</v>
      </c>
      <c r="R2113" s="9">
        <v>-1.1200000000000001</v>
      </c>
      <c r="S2113" s="9">
        <v>58.76</v>
      </c>
      <c r="T2113" s="9">
        <v>631.84001999999998</v>
      </c>
      <c r="U2113" s="9">
        <v>498.83</v>
      </c>
      <c r="V2113" s="45">
        <f t="shared" si="164"/>
        <v>0.26664398692941482</v>
      </c>
      <c r="W2113" s="12">
        <v>53.33</v>
      </c>
      <c r="X2113" s="12">
        <v>0</v>
      </c>
      <c r="Y2113" s="12">
        <v>20210729</v>
      </c>
    </row>
    <row r="2114" spans="1:25" x14ac:dyDescent="0.45">
      <c r="A2114" s="3" t="s">
        <v>3531</v>
      </c>
      <c r="B2114" s="3" t="s">
        <v>3532</v>
      </c>
      <c r="C2114" s="6" t="s">
        <v>518</v>
      </c>
      <c r="D2114" s="6" t="s">
        <v>175</v>
      </c>
      <c r="E2114" s="6" t="s">
        <v>281</v>
      </c>
      <c r="F2114" s="6">
        <v>4788.9399999999996</v>
      </c>
      <c r="G2114" s="2">
        <v>4.3</v>
      </c>
      <c r="H2114" s="2">
        <v>3.85</v>
      </c>
      <c r="I2114" s="2">
        <v>4.45</v>
      </c>
      <c r="J2114" s="47">
        <f t="shared" si="160"/>
        <v>-0.10465116279069761</v>
      </c>
      <c r="K2114" s="47">
        <f t="shared" si="161"/>
        <v>0.15584415584415587</v>
      </c>
      <c r="L2114" s="8">
        <v>15.5</v>
      </c>
      <c r="M2114" s="8">
        <v>18.86</v>
      </c>
      <c r="N2114" s="8">
        <v>16.350000000000001</v>
      </c>
      <c r="O2114" s="17">
        <f t="shared" si="162"/>
        <v>-1.8021777777777788</v>
      </c>
      <c r="P2114" s="17">
        <f t="shared" si="163"/>
        <v>1.0491250000000001</v>
      </c>
      <c r="R2114" s="9">
        <v>44.94</v>
      </c>
      <c r="S2114" s="9">
        <v>7.61</v>
      </c>
      <c r="T2114" s="9">
        <v>1016.23297</v>
      </c>
      <c r="U2114" s="9">
        <v>4034</v>
      </c>
      <c r="V2114" s="45">
        <f t="shared" si="164"/>
        <v>-0.74808305156172528</v>
      </c>
      <c r="W2114" s="12">
        <v>25.76</v>
      </c>
      <c r="X2114" s="12">
        <v>0</v>
      </c>
      <c r="Y2114" s="12">
        <v>20210726</v>
      </c>
    </row>
    <row r="2115" spans="1:25" x14ac:dyDescent="0.45">
      <c r="A2115" s="3" t="s">
        <v>3937</v>
      </c>
      <c r="B2115" s="3" t="s">
        <v>3938</v>
      </c>
      <c r="C2115" s="6" t="s">
        <v>518</v>
      </c>
      <c r="D2115" s="6" t="s">
        <v>216</v>
      </c>
      <c r="E2115" s="6" t="s">
        <v>1102</v>
      </c>
      <c r="F2115" s="6">
        <v>5457.97</v>
      </c>
      <c r="G2115" s="2">
        <v>-0.81</v>
      </c>
      <c r="H2115" s="2">
        <v>3.23</v>
      </c>
      <c r="I2115" s="2">
        <v>5.0199999999999996</v>
      </c>
      <c r="J2115" s="47">
        <f t="shared" ref="J2115:J2178" si="165">(H2115-G2115)/ABS(G2115)</f>
        <v>4.9876543209876543</v>
      </c>
      <c r="K2115" s="47">
        <f t="shared" ref="K2115:K2178" si="166">(I2115-H2115)/ABS(H2115)</f>
        <v>0.55417956656346734</v>
      </c>
      <c r="L2115" s="8">
        <v>147.28</v>
      </c>
      <c r="M2115" s="8">
        <v>19.59</v>
      </c>
      <c r="N2115" s="8">
        <v>12.61</v>
      </c>
      <c r="O2115" s="17">
        <f t="shared" ref="O2115:O2178" si="167">M2115/(J2115*100)</f>
        <v>3.9276980198019805E-2</v>
      </c>
      <c r="P2115" s="17">
        <f t="shared" ref="P2115:P2178" si="168">N2115/(K2115*100)</f>
        <v>0.22754357541899448</v>
      </c>
      <c r="R2115" s="9">
        <v>-3.81</v>
      </c>
      <c r="S2115" s="9">
        <v>-18.190000000000001</v>
      </c>
      <c r="T2115" s="9">
        <v>3013.1369599999998</v>
      </c>
      <c r="U2115" s="9">
        <v>2160</v>
      </c>
      <c r="V2115" s="45">
        <f t="shared" ref="V2115:V2178" si="169">(T2115-U2115)/U2115</f>
        <v>0.39497081481481472</v>
      </c>
      <c r="W2115" s="12">
        <v>129.41</v>
      </c>
      <c r="X2115" s="12">
        <v>1.89</v>
      </c>
      <c r="Y2115" s="12">
        <v>20210729</v>
      </c>
    </row>
    <row r="2116" spans="1:25" x14ac:dyDescent="0.45">
      <c r="A2116" s="3" t="s">
        <v>3533</v>
      </c>
      <c r="B2116" s="3" t="s">
        <v>3534</v>
      </c>
      <c r="C2116" s="6" t="s">
        <v>520</v>
      </c>
      <c r="D2116" s="6" t="s">
        <v>189</v>
      </c>
      <c r="E2116" s="6" t="s">
        <v>299</v>
      </c>
      <c r="F2116" s="6">
        <v>66808.39</v>
      </c>
      <c r="G2116" s="2">
        <v>3.6</v>
      </c>
      <c r="H2116" s="2">
        <v>5.4</v>
      </c>
      <c r="I2116" s="2">
        <v>6.09</v>
      </c>
      <c r="J2116" s="47">
        <f t="shared" si="165"/>
        <v>0.50000000000000011</v>
      </c>
      <c r="K2116" s="47">
        <f t="shared" si="166"/>
        <v>0.12777777777777768</v>
      </c>
      <c r="L2116" s="8">
        <v>32.99</v>
      </c>
      <c r="M2116" s="8">
        <v>19.670000000000002</v>
      </c>
      <c r="N2116" s="8">
        <v>17.43</v>
      </c>
      <c r="O2116" s="17">
        <f t="shared" si="167"/>
        <v>0.39339999999999992</v>
      </c>
      <c r="P2116" s="17">
        <f t="shared" si="168"/>
        <v>1.3640869565217402</v>
      </c>
      <c r="R2116" s="9">
        <v>26.11</v>
      </c>
      <c r="T2116" s="9">
        <v>16238.094719999999</v>
      </c>
      <c r="U2116" s="9">
        <v>10370.66</v>
      </c>
      <c r="V2116" s="45">
        <f t="shared" si="169"/>
        <v>0.56577254678101485</v>
      </c>
      <c r="W2116" s="12">
        <v>41.67</v>
      </c>
      <c r="X2116" s="12">
        <v>1.43</v>
      </c>
      <c r="Y2116" s="12">
        <v>20210610</v>
      </c>
    </row>
    <row r="2117" spans="1:25" x14ac:dyDescent="0.45">
      <c r="A2117" s="3" t="s">
        <v>3535</v>
      </c>
      <c r="B2117" s="3" t="s">
        <v>3536</v>
      </c>
      <c r="C2117" s="6" t="s">
        <v>518</v>
      </c>
      <c r="D2117" s="6" t="s">
        <v>210</v>
      </c>
      <c r="E2117" s="6" t="s">
        <v>1439</v>
      </c>
      <c r="F2117" s="6">
        <v>7630.81</v>
      </c>
      <c r="G2117" s="2">
        <v>3.08</v>
      </c>
      <c r="H2117" s="2">
        <v>5.74</v>
      </c>
      <c r="I2117" s="2">
        <v>8.2100000000000009</v>
      </c>
      <c r="J2117" s="47">
        <f t="shared" si="165"/>
        <v>0.86363636363636365</v>
      </c>
      <c r="K2117" s="47">
        <f t="shared" si="166"/>
        <v>0.43031358885017429</v>
      </c>
      <c r="L2117" s="8">
        <v>14.66</v>
      </c>
      <c r="M2117" s="8">
        <v>10.78</v>
      </c>
      <c r="N2117" s="8">
        <v>7.54</v>
      </c>
      <c r="O2117" s="17">
        <f t="shared" si="167"/>
        <v>0.12482105263157894</v>
      </c>
      <c r="P2117" s="17">
        <f t="shared" si="168"/>
        <v>0.17522105263157894</v>
      </c>
      <c r="R2117" s="9">
        <v>11.07</v>
      </c>
      <c r="S2117" s="9">
        <v>9.3000000000000007</v>
      </c>
      <c r="T2117" s="9">
        <v>8655.1748000000007</v>
      </c>
      <c r="U2117" s="9">
        <v>7077.66</v>
      </c>
      <c r="V2117" s="45">
        <f t="shared" si="169"/>
        <v>0.22288649073281294</v>
      </c>
      <c r="W2117" s="12">
        <v>26.25</v>
      </c>
      <c r="X2117" s="12">
        <v>1.1000000000000001</v>
      </c>
      <c r="Y2117" s="12">
        <v>20210824</v>
      </c>
    </row>
    <row r="2118" spans="1:25" x14ac:dyDescent="0.45">
      <c r="A2118" s="3" t="s">
        <v>3537</v>
      </c>
      <c r="B2118" s="3" t="s">
        <v>3538</v>
      </c>
      <c r="C2118" s="6" t="s">
        <v>520</v>
      </c>
      <c r="D2118" s="6" t="s">
        <v>90</v>
      </c>
      <c r="E2118" s="6" t="s">
        <v>196</v>
      </c>
      <c r="F2118" s="6">
        <v>5695.6</v>
      </c>
      <c r="G2118" s="2">
        <v>1.8</v>
      </c>
      <c r="H2118" s="2">
        <v>2.48</v>
      </c>
      <c r="I2118" s="2">
        <v>2.04</v>
      </c>
      <c r="J2118" s="47">
        <f t="shared" si="165"/>
        <v>0.37777777777777771</v>
      </c>
      <c r="K2118" s="47">
        <f t="shared" si="166"/>
        <v>-0.17741935483870966</v>
      </c>
      <c r="M2118" s="8">
        <v>7.22</v>
      </c>
      <c r="N2118" s="8">
        <v>8.77</v>
      </c>
      <c r="O2118" s="17">
        <f t="shared" si="167"/>
        <v>0.19111764705882356</v>
      </c>
      <c r="P2118" s="17">
        <f t="shared" si="168"/>
        <v>-0.49430909090909098</v>
      </c>
      <c r="T2118" s="9">
        <v>7045.4501899999996</v>
      </c>
      <c r="U2118" s="9">
        <v>7223.04</v>
      </c>
      <c r="V2118" s="45">
        <f t="shared" si="169"/>
        <v>-2.4586574350965854E-2</v>
      </c>
      <c r="X2118" s="12">
        <v>0</v>
      </c>
      <c r="Y2118" s="12">
        <v>20210625</v>
      </c>
    </row>
    <row r="2119" spans="1:25" x14ac:dyDescent="0.45">
      <c r="A2119" s="3" t="s">
        <v>3539</v>
      </c>
      <c r="B2119" s="3" t="s">
        <v>3540</v>
      </c>
      <c r="C2119" s="6" t="s">
        <v>520</v>
      </c>
      <c r="D2119" s="6" t="s">
        <v>216</v>
      </c>
      <c r="E2119" s="6" t="s">
        <v>1464</v>
      </c>
      <c r="F2119" s="6">
        <v>28443.29</v>
      </c>
      <c r="G2119" s="2">
        <v>0.86</v>
      </c>
      <c r="H2119" s="2">
        <v>1.42</v>
      </c>
      <c r="I2119" s="2">
        <v>1.95</v>
      </c>
      <c r="J2119" s="47">
        <f t="shared" si="165"/>
        <v>0.65116279069767435</v>
      </c>
      <c r="K2119" s="47">
        <f t="shared" si="166"/>
        <v>0.37323943661971837</v>
      </c>
      <c r="M2119" s="8">
        <v>15.31</v>
      </c>
      <c r="N2119" s="8">
        <v>11.21</v>
      </c>
      <c r="O2119" s="17">
        <f t="shared" si="167"/>
        <v>0.23511785714285718</v>
      </c>
      <c r="P2119" s="17">
        <f t="shared" si="168"/>
        <v>0.30034339622641504</v>
      </c>
      <c r="R2119" s="9">
        <v>11.18</v>
      </c>
      <c r="S2119" s="9">
        <v>-12.39</v>
      </c>
      <c r="T2119" s="9">
        <v>29390.904289999999</v>
      </c>
      <c r="U2119" s="9">
        <v>27516.89</v>
      </c>
      <c r="V2119" s="45">
        <f t="shared" si="169"/>
        <v>6.8104145853692011E-2</v>
      </c>
      <c r="X2119" s="12">
        <v>4.1900000000000004</v>
      </c>
      <c r="Y2119" s="12">
        <v>20210811</v>
      </c>
    </row>
    <row r="2120" spans="1:25" x14ac:dyDescent="0.45">
      <c r="A2120" s="3" t="s">
        <v>3541</v>
      </c>
      <c r="B2120" s="3" t="s">
        <v>3542</v>
      </c>
      <c r="C2120" s="6" t="s">
        <v>518</v>
      </c>
      <c r="D2120" s="6" t="s">
        <v>289</v>
      </c>
      <c r="E2120" s="6" t="s">
        <v>275</v>
      </c>
      <c r="F2120" s="6">
        <v>128915.3</v>
      </c>
      <c r="G2120" s="2">
        <v>1.48</v>
      </c>
      <c r="H2120" s="2">
        <v>4.37</v>
      </c>
      <c r="I2120" s="2">
        <v>4.74</v>
      </c>
      <c r="J2120" s="47">
        <f t="shared" si="165"/>
        <v>1.9527027027027029</v>
      </c>
      <c r="K2120" s="47">
        <f t="shared" si="166"/>
        <v>8.4668192219679653E-2</v>
      </c>
      <c r="L2120" s="8">
        <v>25.98</v>
      </c>
      <c r="M2120" s="8">
        <v>11.11</v>
      </c>
      <c r="N2120" s="8">
        <v>10.25</v>
      </c>
      <c r="O2120" s="17">
        <f t="shared" si="167"/>
        <v>5.6895501730103798E-2</v>
      </c>
      <c r="P2120" s="17">
        <f t="shared" si="168"/>
        <v>1.2106081081081079</v>
      </c>
      <c r="Q2120" s="5">
        <v>0.6</v>
      </c>
      <c r="R2120" s="9">
        <v>4.96</v>
      </c>
      <c r="S2120" s="9">
        <v>1.62</v>
      </c>
      <c r="T2120" s="9">
        <v>147334.09375</v>
      </c>
      <c r="U2120" s="9">
        <v>140685</v>
      </c>
      <c r="V2120" s="45">
        <f t="shared" si="169"/>
        <v>4.7262279205316844E-2</v>
      </c>
      <c r="W2120" s="12">
        <v>29.41</v>
      </c>
      <c r="X2120" s="12">
        <v>4.59</v>
      </c>
      <c r="Y2120" s="12">
        <v>20210729</v>
      </c>
    </row>
    <row r="2121" spans="1:25" x14ac:dyDescent="0.45">
      <c r="A2121" s="3" t="s">
        <v>3543</v>
      </c>
      <c r="B2121" s="3" t="s">
        <v>3544</v>
      </c>
      <c r="C2121" s="6" t="s">
        <v>518</v>
      </c>
      <c r="D2121" s="6" t="s">
        <v>289</v>
      </c>
      <c r="E2121" s="6" t="s">
        <v>430</v>
      </c>
      <c r="F2121" s="6">
        <v>11804.87</v>
      </c>
      <c r="G2121" s="2">
        <v>21.46</v>
      </c>
      <c r="H2121" s="2">
        <v>31.33</v>
      </c>
      <c r="I2121" s="2">
        <v>47</v>
      </c>
      <c r="J2121" s="47">
        <f t="shared" si="165"/>
        <v>0.45992544268406321</v>
      </c>
      <c r="K2121" s="47">
        <f t="shared" si="166"/>
        <v>0.50015959144589861</v>
      </c>
      <c r="L2121" s="8">
        <v>69.98</v>
      </c>
      <c r="M2121" s="8">
        <v>48.58</v>
      </c>
      <c r="N2121" s="8">
        <v>32.380000000000003</v>
      </c>
      <c r="O2121" s="17">
        <f t="shared" si="167"/>
        <v>1.0562581560283693</v>
      </c>
      <c r="P2121" s="17">
        <f t="shared" si="168"/>
        <v>0.6473933631142309</v>
      </c>
      <c r="R2121" s="9">
        <v>34.01</v>
      </c>
      <c r="S2121" s="9">
        <v>58.71</v>
      </c>
      <c r="T2121" s="9">
        <v>390.14001000000002</v>
      </c>
      <c r="U2121" s="9">
        <v>302.55</v>
      </c>
      <c r="V2121" s="45">
        <f t="shared" si="169"/>
        <v>0.28950589985126429</v>
      </c>
      <c r="W2121" s="12">
        <v>11.79</v>
      </c>
      <c r="X2121" s="12">
        <v>0.72</v>
      </c>
      <c r="Y2121" s="12">
        <v>20210729</v>
      </c>
    </row>
    <row r="2122" spans="1:25" x14ac:dyDescent="0.45">
      <c r="A2122" s="3" t="s">
        <v>3545</v>
      </c>
      <c r="B2122" s="3" t="s">
        <v>3546</v>
      </c>
      <c r="C2122" s="6" t="s">
        <v>518</v>
      </c>
      <c r="D2122" s="6" t="s">
        <v>303</v>
      </c>
      <c r="E2122" s="6" t="s">
        <v>290</v>
      </c>
      <c r="F2122" s="6">
        <v>12108.03</v>
      </c>
      <c r="G2122" s="2">
        <v>0.72</v>
      </c>
      <c r="H2122" s="2">
        <v>2.83</v>
      </c>
      <c r="I2122" s="2">
        <v>3.1</v>
      </c>
      <c r="J2122" s="47">
        <f t="shared" si="165"/>
        <v>2.9305555555555562</v>
      </c>
      <c r="K2122" s="47">
        <f t="shared" si="166"/>
        <v>9.5406360424028266E-2</v>
      </c>
      <c r="L2122" s="8">
        <v>21.82</v>
      </c>
      <c r="M2122" s="8">
        <v>15.34</v>
      </c>
      <c r="N2122" s="8">
        <v>14.03</v>
      </c>
      <c r="O2122" s="17">
        <f t="shared" si="167"/>
        <v>5.2345023696682459E-2</v>
      </c>
      <c r="P2122" s="17">
        <f t="shared" si="168"/>
        <v>1.4705518518518517</v>
      </c>
      <c r="Q2122" s="5">
        <v>1.53</v>
      </c>
      <c r="R2122" s="9">
        <v>20.85</v>
      </c>
      <c r="S2122" s="9">
        <v>3.16</v>
      </c>
      <c r="T2122" s="9">
        <v>5634.0917900000004</v>
      </c>
      <c r="U2122" s="9">
        <v>4961.3999999999996</v>
      </c>
      <c r="V2122" s="45">
        <f t="shared" si="169"/>
        <v>0.13558507477728077</v>
      </c>
      <c r="W2122" s="12">
        <v>70</v>
      </c>
      <c r="X2122" s="12">
        <v>0</v>
      </c>
      <c r="Y2122" s="12">
        <v>20210812</v>
      </c>
    </row>
    <row r="2123" spans="1:25" x14ac:dyDescent="0.45">
      <c r="A2123" s="3" t="s">
        <v>3547</v>
      </c>
      <c r="B2123" s="3" t="s">
        <v>3548</v>
      </c>
      <c r="C2123" s="6" t="s">
        <v>519</v>
      </c>
      <c r="D2123" s="6" t="s">
        <v>279</v>
      </c>
      <c r="E2123" s="6" t="s">
        <v>258</v>
      </c>
      <c r="F2123" s="6">
        <v>3452.12</v>
      </c>
      <c r="G2123" s="2">
        <v>-3.78</v>
      </c>
      <c r="H2123" s="2">
        <v>-4.7</v>
      </c>
      <c r="I2123" s="2">
        <v>-6.9</v>
      </c>
      <c r="J2123" s="47">
        <f t="shared" si="165"/>
        <v>-0.24338624338624348</v>
      </c>
      <c r="K2123" s="47">
        <f t="shared" si="166"/>
        <v>-0.46808510638297873</v>
      </c>
      <c r="O2123" s="17">
        <f t="shared" si="167"/>
        <v>0</v>
      </c>
      <c r="P2123" s="17">
        <f t="shared" si="168"/>
        <v>0</v>
      </c>
      <c r="R2123" s="9">
        <v>-14.58</v>
      </c>
      <c r="T2123" s="9">
        <v>26.207000000000001</v>
      </c>
      <c r="U2123" s="9">
        <v>25</v>
      </c>
      <c r="V2123" s="45">
        <f t="shared" si="169"/>
        <v>4.8280000000000031E-2</v>
      </c>
      <c r="W2123" s="12">
        <v>-25.86</v>
      </c>
      <c r="X2123" s="12">
        <v>0</v>
      </c>
      <c r="Y2123" s="12">
        <v>20210809</v>
      </c>
    </row>
    <row r="2124" spans="1:25" x14ac:dyDescent="0.45">
      <c r="A2124" s="3" t="s">
        <v>3549</v>
      </c>
      <c r="B2124" s="3" t="s">
        <v>3550</v>
      </c>
      <c r="C2124" s="6" t="s">
        <v>518</v>
      </c>
      <c r="D2124" s="6" t="s">
        <v>303</v>
      </c>
      <c r="E2124" s="6" t="s">
        <v>621</v>
      </c>
      <c r="F2124" s="6">
        <v>7673.22</v>
      </c>
      <c r="G2124" s="2">
        <v>1.76</v>
      </c>
      <c r="H2124" s="2">
        <v>2.82</v>
      </c>
      <c r="I2124" s="2">
        <v>3.21</v>
      </c>
      <c r="J2124" s="47">
        <f t="shared" si="165"/>
        <v>0.60227272727272718</v>
      </c>
      <c r="K2124" s="47">
        <f t="shared" si="166"/>
        <v>0.13829787234042559</v>
      </c>
      <c r="L2124" s="8">
        <v>7.9</v>
      </c>
      <c r="M2124" s="8">
        <v>13.83</v>
      </c>
      <c r="N2124" s="8">
        <v>12.15</v>
      </c>
      <c r="O2124" s="17">
        <f t="shared" si="167"/>
        <v>0.22963018867924531</v>
      </c>
      <c r="P2124" s="17">
        <f t="shared" si="168"/>
        <v>0.87853846153846116</v>
      </c>
      <c r="Q2124" s="5">
        <v>0.64</v>
      </c>
      <c r="R2124" s="9">
        <v>123.25</v>
      </c>
      <c r="S2124" s="9">
        <v>3.32</v>
      </c>
      <c r="T2124" s="9">
        <v>4659.2568300000003</v>
      </c>
      <c r="U2124" s="9">
        <v>3676.9</v>
      </c>
      <c r="V2124" s="45">
        <f t="shared" si="169"/>
        <v>0.2671698523212489</v>
      </c>
      <c r="W2124" s="12">
        <v>25.49</v>
      </c>
      <c r="X2124" s="12">
        <v>0.72</v>
      </c>
      <c r="Y2124" s="12">
        <v>20210729</v>
      </c>
    </row>
    <row r="2125" spans="1:25" x14ac:dyDescent="0.45">
      <c r="A2125" s="3" t="s">
        <v>3551</v>
      </c>
      <c r="B2125" s="3" t="s">
        <v>3552</v>
      </c>
      <c r="C2125" s="6" t="s">
        <v>518</v>
      </c>
      <c r="D2125" s="6" t="s">
        <v>210</v>
      </c>
      <c r="E2125" s="6" t="s">
        <v>192</v>
      </c>
      <c r="F2125" s="6">
        <v>11284.71</v>
      </c>
      <c r="G2125" s="2">
        <v>1.55</v>
      </c>
      <c r="H2125" s="2">
        <v>2.0499999999999998</v>
      </c>
      <c r="I2125" s="2">
        <v>2.39</v>
      </c>
      <c r="J2125" s="47">
        <f t="shared" si="165"/>
        <v>0.32258064516129015</v>
      </c>
      <c r="K2125" s="47">
        <f t="shared" si="166"/>
        <v>0.16585365853658554</v>
      </c>
      <c r="L2125" s="8">
        <v>48.67</v>
      </c>
      <c r="M2125" s="8">
        <v>47.74</v>
      </c>
      <c r="N2125" s="8">
        <v>40.85</v>
      </c>
      <c r="O2125" s="17">
        <f t="shared" si="167"/>
        <v>1.4799400000000007</v>
      </c>
      <c r="P2125" s="17">
        <f t="shared" si="168"/>
        <v>2.4630147058823502</v>
      </c>
      <c r="R2125" s="9">
        <v>33.590000000000003</v>
      </c>
      <c r="S2125" s="9">
        <v>15.55</v>
      </c>
      <c r="T2125" s="9">
        <v>1132.4169899999999</v>
      </c>
      <c r="U2125" s="9">
        <v>880.83</v>
      </c>
      <c r="V2125" s="45">
        <f t="shared" si="169"/>
        <v>0.28562491059568801</v>
      </c>
      <c r="W2125" s="12">
        <v>10.53</v>
      </c>
      <c r="X2125" s="12">
        <v>0</v>
      </c>
      <c r="Y2125" s="12">
        <v>20210802</v>
      </c>
    </row>
    <row r="2126" spans="1:25" x14ac:dyDescent="0.45">
      <c r="A2126" s="3" t="s">
        <v>3553</v>
      </c>
      <c r="B2126" s="3" t="s">
        <v>3554</v>
      </c>
      <c r="C2126" s="6" t="s">
        <v>518</v>
      </c>
      <c r="D2126" s="6" t="s">
        <v>289</v>
      </c>
      <c r="E2126" s="6" t="s">
        <v>280</v>
      </c>
      <c r="F2126" s="6">
        <v>10337.469999999999</v>
      </c>
      <c r="G2126" s="2">
        <v>-6.94</v>
      </c>
      <c r="H2126" s="2">
        <v>1.2</v>
      </c>
      <c r="I2126" s="2">
        <v>1.7</v>
      </c>
      <c r="J2126" s="47">
        <f t="shared" si="165"/>
        <v>1.1729106628242074</v>
      </c>
      <c r="K2126" s="47">
        <f t="shared" si="166"/>
        <v>0.41666666666666669</v>
      </c>
      <c r="L2126" s="8">
        <v>52.57</v>
      </c>
      <c r="M2126" s="8">
        <v>37.67</v>
      </c>
      <c r="N2126" s="8">
        <v>26.61</v>
      </c>
      <c r="O2126" s="17">
        <f t="shared" si="167"/>
        <v>0.32116683046683048</v>
      </c>
      <c r="P2126" s="17">
        <f t="shared" si="168"/>
        <v>0.63863999999999987</v>
      </c>
      <c r="R2126" s="9">
        <v>5.53</v>
      </c>
      <c r="S2126" s="9">
        <v>5.93</v>
      </c>
      <c r="T2126" s="9">
        <v>12823.092769999999</v>
      </c>
      <c r="U2126" s="9">
        <v>8260.2999999999993</v>
      </c>
      <c r="V2126" s="45">
        <f t="shared" si="169"/>
        <v>0.5523761570403013</v>
      </c>
      <c r="W2126" s="12">
        <v>253.33</v>
      </c>
      <c r="X2126" s="12">
        <v>0.88</v>
      </c>
      <c r="Y2126" s="12">
        <v>20210805</v>
      </c>
    </row>
    <row r="2127" spans="1:25" x14ac:dyDescent="0.45">
      <c r="A2127" s="3" t="s">
        <v>3555</v>
      </c>
      <c r="B2127" s="3" t="s">
        <v>3556</v>
      </c>
      <c r="C2127" s="6" t="s">
        <v>518</v>
      </c>
      <c r="D2127" s="6" t="s">
        <v>175</v>
      </c>
      <c r="E2127" s="6" t="s">
        <v>305</v>
      </c>
      <c r="F2127" s="6">
        <v>48242.06</v>
      </c>
      <c r="G2127" s="2">
        <v>1.78</v>
      </c>
      <c r="H2127" s="2">
        <v>1.93</v>
      </c>
      <c r="I2127" s="2">
        <v>2.42</v>
      </c>
      <c r="J2127" s="47">
        <f t="shared" si="165"/>
        <v>8.4269662921348257E-2</v>
      </c>
      <c r="K2127" s="47">
        <f t="shared" si="166"/>
        <v>0.25388601036269431</v>
      </c>
      <c r="L2127" s="8">
        <v>49.91</v>
      </c>
      <c r="M2127" s="8">
        <v>50.43</v>
      </c>
      <c r="N2127" s="8">
        <v>40.26</v>
      </c>
      <c r="O2127" s="17">
        <f t="shared" si="167"/>
        <v>5.984360000000005</v>
      </c>
      <c r="P2127" s="17">
        <f t="shared" si="168"/>
        <v>1.5857510204081631</v>
      </c>
      <c r="Q2127" s="5">
        <v>4.1900000000000004</v>
      </c>
      <c r="R2127" s="9">
        <v>8.89</v>
      </c>
      <c r="S2127" s="9">
        <v>-17.23</v>
      </c>
      <c r="T2127" s="9">
        <v>6269.6499000000003</v>
      </c>
      <c r="U2127" s="9">
        <v>5984</v>
      </c>
      <c r="V2127" s="45">
        <f t="shared" si="169"/>
        <v>4.7735611631016098E-2</v>
      </c>
      <c r="W2127" s="12">
        <v>45</v>
      </c>
      <c r="X2127" s="12">
        <v>0.78</v>
      </c>
      <c r="Y2127" s="12">
        <v>20210804</v>
      </c>
    </row>
    <row r="2128" spans="1:25" x14ac:dyDescent="0.45">
      <c r="A2128" s="3" t="s">
        <v>3557</v>
      </c>
      <c r="B2128" s="3" t="s">
        <v>3558</v>
      </c>
      <c r="C2128" s="6" t="s">
        <v>519</v>
      </c>
      <c r="D2128" s="6" t="s">
        <v>303</v>
      </c>
      <c r="E2128" s="6" t="s">
        <v>245</v>
      </c>
      <c r="F2128" s="6">
        <v>5862.47</v>
      </c>
      <c r="G2128" s="2">
        <v>-1.1299999999999999</v>
      </c>
      <c r="H2128" s="2">
        <v>0.06</v>
      </c>
      <c r="I2128" s="2">
        <v>1.38</v>
      </c>
      <c r="J2128" s="47">
        <f t="shared" si="165"/>
        <v>1.0530973451327434</v>
      </c>
      <c r="K2128" s="47">
        <f t="shared" si="166"/>
        <v>21.999999999999996</v>
      </c>
      <c r="M2128" s="8">
        <v>681.23</v>
      </c>
      <c r="N2128" s="8">
        <v>30.97</v>
      </c>
      <c r="O2128" s="17">
        <f t="shared" si="167"/>
        <v>6.4688226890756297</v>
      </c>
      <c r="P2128" s="17">
        <f t="shared" si="168"/>
        <v>1.407727272727273E-2</v>
      </c>
      <c r="R2128" s="9">
        <v>-36.75</v>
      </c>
      <c r="S2128" s="9">
        <v>-14.13</v>
      </c>
      <c r="T2128" s="9">
        <v>868.72997999999995</v>
      </c>
      <c r="U2128" s="9">
        <v>604</v>
      </c>
      <c r="V2128" s="45">
        <f t="shared" si="169"/>
        <v>0.43829466887417212</v>
      </c>
      <c r="W2128" s="12">
        <v>-25.81</v>
      </c>
      <c r="X2128" s="12">
        <v>0</v>
      </c>
      <c r="Y2128" s="12">
        <v>20210805</v>
      </c>
    </row>
    <row r="2129" spans="1:25" x14ac:dyDescent="0.45">
      <c r="A2129" s="3" t="s">
        <v>3559</v>
      </c>
      <c r="B2129" s="3" t="s">
        <v>3560</v>
      </c>
      <c r="C2129" s="6" t="s">
        <v>519</v>
      </c>
      <c r="D2129" s="6" t="s">
        <v>189</v>
      </c>
      <c r="E2129" s="6" t="s">
        <v>908</v>
      </c>
      <c r="F2129" s="6">
        <v>19615.43</v>
      </c>
      <c r="G2129" s="2">
        <v>2.14</v>
      </c>
      <c r="H2129" s="2">
        <v>2.4300000000000002</v>
      </c>
      <c r="I2129" s="2">
        <v>2.71</v>
      </c>
      <c r="J2129" s="47">
        <f t="shared" si="165"/>
        <v>0.1355140186915888</v>
      </c>
      <c r="K2129" s="47">
        <f t="shared" si="166"/>
        <v>0.11522633744855958</v>
      </c>
      <c r="L2129" s="8">
        <v>32.700000000000003</v>
      </c>
      <c r="M2129" s="8">
        <v>32.18</v>
      </c>
      <c r="N2129" s="8">
        <v>28.85</v>
      </c>
      <c r="O2129" s="17">
        <f t="shared" si="167"/>
        <v>2.3746620689655171</v>
      </c>
      <c r="P2129" s="17">
        <f t="shared" si="168"/>
        <v>2.5037678571428592</v>
      </c>
      <c r="Q2129" s="5">
        <v>3.22</v>
      </c>
      <c r="R2129" s="9">
        <v>15.16</v>
      </c>
      <c r="S2129" s="9">
        <v>8.49</v>
      </c>
      <c r="T2129" s="9">
        <v>3437.2719699999998</v>
      </c>
      <c r="U2129" s="9">
        <v>3147.7</v>
      </c>
      <c r="V2129" s="45">
        <f t="shared" si="169"/>
        <v>9.1994780315786118E-2</v>
      </c>
      <c r="W2129" s="12">
        <v>17.86</v>
      </c>
      <c r="X2129" s="12">
        <v>0</v>
      </c>
      <c r="Y2129" s="12">
        <v>20210804</v>
      </c>
    </row>
    <row r="2130" spans="1:25" x14ac:dyDescent="0.45">
      <c r="A2130" s="3" t="s">
        <v>3561</v>
      </c>
      <c r="B2130" s="3" t="s">
        <v>3562</v>
      </c>
      <c r="C2130" s="6" t="s">
        <v>518</v>
      </c>
      <c r="D2130" s="6" t="s">
        <v>309</v>
      </c>
      <c r="E2130" s="6" t="s">
        <v>310</v>
      </c>
      <c r="F2130" s="6">
        <v>3234.15</v>
      </c>
      <c r="G2130" s="2">
        <v>0.39</v>
      </c>
      <c r="H2130" s="2">
        <v>0.56999999999999995</v>
      </c>
      <c r="I2130" s="2">
        <v>1.21</v>
      </c>
      <c r="J2130" s="47">
        <f t="shared" si="165"/>
        <v>0.46153846153846134</v>
      </c>
      <c r="K2130" s="47">
        <f t="shared" si="166"/>
        <v>1.1228070175438598</v>
      </c>
      <c r="L2130" s="8">
        <v>98.6</v>
      </c>
      <c r="M2130" s="8">
        <v>51.9</v>
      </c>
      <c r="N2130" s="8">
        <v>24.51</v>
      </c>
      <c r="O2130" s="17">
        <f t="shared" si="167"/>
        <v>1.1245000000000005</v>
      </c>
      <c r="P2130" s="17">
        <f t="shared" si="168"/>
        <v>0.21829218749999998</v>
      </c>
      <c r="R2130" s="9">
        <v>1.73</v>
      </c>
      <c r="S2130" s="9">
        <v>-16.61</v>
      </c>
      <c r="T2130" s="9">
        <v>1805.5</v>
      </c>
      <c r="U2130" s="9">
        <v>1999.4</v>
      </c>
      <c r="V2130" s="45">
        <f t="shared" si="169"/>
        <v>-9.6979093728118471E-2</v>
      </c>
      <c r="W2130" s="12">
        <v>133.33000000000001</v>
      </c>
      <c r="X2130" s="12">
        <v>2.84</v>
      </c>
      <c r="Y2130" s="12">
        <v>20210728</v>
      </c>
    </row>
    <row r="2131" spans="1:25" x14ac:dyDescent="0.45">
      <c r="A2131" s="3" t="s">
        <v>3563</v>
      </c>
      <c r="B2131" s="3" t="s">
        <v>3564</v>
      </c>
      <c r="C2131" s="6" t="s">
        <v>518</v>
      </c>
      <c r="D2131" s="6" t="s">
        <v>234</v>
      </c>
      <c r="E2131" s="6" t="s">
        <v>286</v>
      </c>
      <c r="F2131" s="6">
        <v>4586.96</v>
      </c>
      <c r="G2131" s="2">
        <v>1.46</v>
      </c>
      <c r="H2131" s="2">
        <v>1.65</v>
      </c>
      <c r="I2131" s="2">
        <v>1.81</v>
      </c>
      <c r="J2131" s="47">
        <f t="shared" si="165"/>
        <v>0.13013698630136983</v>
      </c>
      <c r="K2131" s="47">
        <f t="shared" si="166"/>
        <v>9.6969696969697067E-2</v>
      </c>
      <c r="L2131" s="8">
        <v>43.96</v>
      </c>
      <c r="M2131" s="8">
        <v>40.020000000000003</v>
      </c>
      <c r="N2131" s="8">
        <v>36.380000000000003</v>
      </c>
      <c r="O2131" s="17">
        <f t="shared" si="167"/>
        <v>3.07522105263158</v>
      </c>
      <c r="P2131" s="17">
        <f t="shared" si="168"/>
        <v>3.7516874999999965</v>
      </c>
      <c r="R2131" s="9">
        <v>5.2</v>
      </c>
      <c r="S2131" s="9">
        <v>14.69</v>
      </c>
      <c r="T2131" s="9">
        <v>207.983</v>
      </c>
      <c r="U2131" s="9">
        <v>186.88</v>
      </c>
      <c r="V2131" s="45">
        <f t="shared" si="169"/>
        <v>0.11292273116438362</v>
      </c>
      <c r="W2131" s="12">
        <v>2.56</v>
      </c>
      <c r="X2131" s="12">
        <v>1.76</v>
      </c>
      <c r="Y2131" s="12">
        <v>20210804</v>
      </c>
    </row>
    <row r="2132" spans="1:25" x14ac:dyDescent="0.45">
      <c r="A2132" s="3" t="s">
        <v>3565</v>
      </c>
      <c r="B2132" s="3" t="s">
        <v>3566</v>
      </c>
      <c r="C2132" s="6" t="s">
        <v>519</v>
      </c>
      <c r="D2132" s="6" t="s">
        <v>234</v>
      </c>
      <c r="E2132" s="6" t="s">
        <v>220</v>
      </c>
      <c r="F2132" s="6">
        <v>44118.87</v>
      </c>
      <c r="G2132" s="2">
        <v>9.33</v>
      </c>
      <c r="H2132" s="2">
        <v>12.31</v>
      </c>
      <c r="I2132" s="2">
        <v>12.79</v>
      </c>
      <c r="J2132" s="47">
        <f t="shared" si="165"/>
        <v>0.31939978563772781</v>
      </c>
      <c r="K2132" s="47">
        <f t="shared" si="166"/>
        <v>3.8992688870836609E-2</v>
      </c>
      <c r="L2132" s="8">
        <v>18.11</v>
      </c>
      <c r="M2132" s="8">
        <v>15.8</v>
      </c>
      <c r="N2132" s="8">
        <v>15.2</v>
      </c>
      <c r="O2132" s="17">
        <f t="shared" si="167"/>
        <v>0.49467785234899325</v>
      </c>
      <c r="P2132" s="17">
        <f t="shared" si="168"/>
        <v>3.8981666666666772</v>
      </c>
      <c r="Q2132" s="5">
        <v>1.24</v>
      </c>
      <c r="R2132" s="9">
        <v>33.97</v>
      </c>
      <c r="S2132" s="9">
        <v>9.5399999999999991</v>
      </c>
      <c r="T2132" s="9">
        <v>7521.89599</v>
      </c>
      <c r="U2132" s="9">
        <v>6206.7</v>
      </c>
      <c r="V2132" s="45">
        <f t="shared" si="169"/>
        <v>0.21189939742536296</v>
      </c>
      <c r="W2132" s="12">
        <v>3.08</v>
      </c>
      <c r="X2132" s="12">
        <v>2.2200000000000002</v>
      </c>
      <c r="Y2132" s="12">
        <v>20210804</v>
      </c>
    </row>
    <row r="2133" spans="1:25" x14ac:dyDescent="0.45">
      <c r="A2133" s="3" t="s">
        <v>4396</v>
      </c>
      <c r="B2133" s="3" t="s">
        <v>4397</v>
      </c>
      <c r="C2133" s="6" t="s">
        <v>518</v>
      </c>
      <c r="D2133" s="6" t="s">
        <v>90</v>
      </c>
      <c r="E2133" s="6" t="s">
        <v>196</v>
      </c>
      <c r="F2133" s="6">
        <v>3597.02</v>
      </c>
      <c r="G2133" s="2">
        <v>0.62</v>
      </c>
      <c r="H2133" s="2">
        <v>1.92</v>
      </c>
      <c r="I2133" s="2">
        <v>2.46</v>
      </c>
      <c r="J2133" s="47">
        <f t="shared" si="165"/>
        <v>2.096774193548387</v>
      </c>
      <c r="K2133" s="47">
        <f t="shared" si="166"/>
        <v>0.28125000000000006</v>
      </c>
      <c r="L2133" s="8">
        <v>33.53</v>
      </c>
      <c r="M2133" s="8">
        <v>12.24</v>
      </c>
      <c r="N2133" s="8">
        <v>9.5399999999999991</v>
      </c>
      <c r="O2133" s="17">
        <f t="shared" si="167"/>
        <v>5.8375384615384621E-2</v>
      </c>
      <c r="P2133" s="17">
        <f t="shared" si="168"/>
        <v>0.33919999999999989</v>
      </c>
      <c r="R2133" s="9">
        <v>6.9</v>
      </c>
      <c r="S2133" s="9">
        <v>7.27</v>
      </c>
      <c r="T2133" s="9">
        <v>3490.8600999999999</v>
      </c>
      <c r="U2133" s="9">
        <v>2758</v>
      </c>
      <c r="V2133" s="45">
        <f t="shared" si="169"/>
        <v>0.26572157360406085</v>
      </c>
      <c r="W2133" s="12">
        <v>59.26</v>
      </c>
      <c r="X2133" s="12">
        <v>1.36</v>
      </c>
      <c r="Y2133" s="12">
        <v>20210804</v>
      </c>
    </row>
    <row r="2134" spans="1:25" x14ac:dyDescent="0.45">
      <c r="A2134" s="3" t="s">
        <v>3567</v>
      </c>
      <c r="B2134" s="3" t="s">
        <v>3568</v>
      </c>
      <c r="C2134" s="6" t="s">
        <v>518</v>
      </c>
      <c r="D2134" s="6" t="s">
        <v>289</v>
      </c>
      <c r="E2134" s="6" t="s">
        <v>430</v>
      </c>
      <c r="F2134" s="6">
        <v>52076.66</v>
      </c>
      <c r="G2134" s="2">
        <v>3.15</v>
      </c>
      <c r="H2134" s="2">
        <v>3.45</v>
      </c>
      <c r="I2134" s="2">
        <v>3.61</v>
      </c>
      <c r="J2134" s="47">
        <f t="shared" si="165"/>
        <v>9.523809523809533E-2</v>
      </c>
      <c r="K2134" s="47">
        <f t="shared" si="166"/>
        <v>4.6376811594202809E-2</v>
      </c>
      <c r="L2134" s="8">
        <v>16.89</v>
      </c>
      <c r="M2134" s="8">
        <v>15.44</v>
      </c>
      <c r="N2134" s="8">
        <v>14.74</v>
      </c>
      <c r="O2134" s="17">
        <f t="shared" si="167"/>
        <v>1.6211999999999984</v>
      </c>
      <c r="P2134" s="17">
        <f t="shared" si="168"/>
        <v>3.1783125000000059</v>
      </c>
      <c r="Q2134" s="5">
        <v>2.57</v>
      </c>
      <c r="R2134" s="9">
        <v>13.97</v>
      </c>
      <c r="S2134" s="9">
        <v>0.95</v>
      </c>
      <c r="T2134" s="9">
        <v>11375.339840000001</v>
      </c>
      <c r="U2134" s="9">
        <v>9704.01</v>
      </c>
      <c r="V2134" s="45">
        <f t="shared" si="169"/>
        <v>0.17223084477447986</v>
      </c>
      <c r="W2134" s="12">
        <v>2.2999999999999998</v>
      </c>
      <c r="X2134" s="12">
        <v>3.42</v>
      </c>
      <c r="Y2134" s="12">
        <v>20210729</v>
      </c>
    </row>
    <row r="2135" spans="1:25" x14ac:dyDescent="0.45">
      <c r="A2135" s="3" t="s">
        <v>5011</v>
      </c>
      <c r="B2135" s="3" t="s">
        <v>5012</v>
      </c>
      <c r="C2135" s="6" t="s">
        <v>518</v>
      </c>
      <c r="D2135" s="6" t="s">
        <v>90</v>
      </c>
      <c r="E2135" s="6" t="s">
        <v>268</v>
      </c>
      <c r="F2135" s="6">
        <v>3360.56</v>
      </c>
      <c r="J2135" s="47" t="e">
        <f t="shared" si="165"/>
        <v>#DIV/0!</v>
      </c>
      <c r="K2135" s="47" t="e">
        <f t="shared" si="166"/>
        <v>#DIV/0!</v>
      </c>
      <c r="L2135" s="8">
        <v>6.3</v>
      </c>
      <c r="O2135" s="17" t="e">
        <f t="shared" si="167"/>
        <v>#DIV/0!</v>
      </c>
      <c r="P2135" s="17" t="e">
        <f t="shared" si="168"/>
        <v>#DIV/0!</v>
      </c>
      <c r="R2135" s="9">
        <v>7.31</v>
      </c>
      <c r="S2135" s="9">
        <v>-1.22</v>
      </c>
      <c r="U2135" s="9">
        <v>1078.19</v>
      </c>
      <c r="V2135" s="45">
        <f t="shared" si="169"/>
        <v>-1</v>
      </c>
      <c r="X2135" s="12">
        <v>0</v>
      </c>
      <c r="Y2135" s="12">
        <v>20210727</v>
      </c>
    </row>
    <row r="2136" spans="1:25" x14ac:dyDescent="0.45">
      <c r="A2136" s="3" t="s">
        <v>3569</v>
      </c>
      <c r="B2136" s="3" t="s">
        <v>3570</v>
      </c>
      <c r="C2136" s="6" t="s">
        <v>518</v>
      </c>
      <c r="D2136" s="6" t="s">
        <v>309</v>
      </c>
      <c r="E2136" s="6" t="s">
        <v>310</v>
      </c>
      <c r="F2136" s="6">
        <v>3475.72</v>
      </c>
      <c r="G2136" s="2">
        <v>4.3499999999999996</v>
      </c>
      <c r="H2136" s="2">
        <v>7.75</v>
      </c>
      <c r="I2136" s="2">
        <v>7.75</v>
      </c>
      <c r="J2136" s="47">
        <f t="shared" si="165"/>
        <v>0.78160919540229901</v>
      </c>
      <c r="K2136" s="47">
        <f t="shared" si="166"/>
        <v>0</v>
      </c>
      <c r="L2136" s="8">
        <v>9.1999999999999993</v>
      </c>
      <c r="M2136" s="8">
        <v>6.66</v>
      </c>
      <c r="N2136" s="8">
        <v>6.66</v>
      </c>
      <c r="O2136" s="17">
        <f t="shared" si="167"/>
        <v>8.5208823529411754E-2</v>
      </c>
      <c r="P2136" s="17" t="e">
        <f t="shared" si="168"/>
        <v>#DIV/0!</v>
      </c>
      <c r="Q2136" s="5">
        <v>0.67</v>
      </c>
      <c r="R2136" s="9">
        <v>20.92</v>
      </c>
      <c r="S2136" s="9">
        <v>13.5</v>
      </c>
      <c r="T2136" s="9">
        <v>1531.65002</v>
      </c>
      <c r="U2136" s="9">
        <v>1307.9100000000001</v>
      </c>
      <c r="V2136" s="45">
        <f t="shared" si="169"/>
        <v>0.17106683181564478</v>
      </c>
      <c r="W2136" s="12">
        <v>12.35</v>
      </c>
      <c r="X2136" s="12">
        <v>4.42</v>
      </c>
      <c r="Y2136" s="12">
        <v>20210723</v>
      </c>
    </row>
    <row r="2137" spans="1:25" x14ac:dyDescent="0.45">
      <c r="A2137" s="3" t="s">
        <v>3571</v>
      </c>
      <c r="B2137" s="3" t="s">
        <v>3572</v>
      </c>
      <c r="C2137" s="6" t="s">
        <v>518</v>
      </c>
      <c r="D2137" s="6" t="s">
        <v>175</v>
      </c>
      <c r="E2137" s="6" t="s">
        <v>193</v>
      </c>
      <c r="F2137" s="6">
        <v>20176.41</v>
      </c>
      <c r="G2137" s="2">
        <v>3</v>
      </c>
      <c r="H2137" s="2">
        <v>3.57</v>
      </c>
      <c r="I2137" s="2">
        <v>3.99</v>
      </c>
      <c r="J2137" s="47">
        <f t="shared" si="165"/>
        <v>0.18999999999999995</v>
      </c>
      <c r="K2137" s="47">
        <f t="shared" si="166"/>
        <v>0.11764705882352952</v>
      </c>
      <c r="L2137" s="8">
        <v>33.17</v>
      </c>
      <c r="M2137" s="8">
        <v>29.53</v>
      </c>
      <c r="N2137" s="8">
        <v>26.4</v>
      </c>
      <c r="O2137" s="17">
        <f t="shared" si="167"/>
        <v>1.5542105263157902</v>
      </c>
      <c r="P2137" s="17">
        <f t="shared" si="168"/>
        <v>2.2439999999999976</v>
      </c>
      <c r="Q2137" s="5">
        <v>1.42</v>
      </c>
      <c r="R2137" s="9">
        <v>22.42</v>
      </c>
      <c r="S2137" s="9">
        <v>13.66</v>
      </c>
      <c r="T2137" s="9">
        <v>2974.0659099999998</v>
      </c>
      <c r="U2137" s="9">
        <v>2716.6</v>
      </c>
      <c r="V2137" s="45">
        <f t="shared" si="169"/>
        <v>9.4775053375542928E-2</v>
      </c>
      <c r="W2137" s="12">
        <v>13.75</v>
      </c>
      <c r="X2137" s="12">
        <v>0.36</v>
      </c>
      <c r="Y2137" s="12">
        <v>20210727</v>
      </c>
    </row>
    <row r="2138" spans="1:25" x14ac:dyDescent="0.45">
      <c r="A2138" s="3" t="s">
        <v>3939</v>
      </c>
      <c r="B2138" s="3" t="s">
        <v>3940</v>
      </c>
      <c r="C2138" s="6" t="s">
        <v>520</v>
      </c>
      <c r="D2138" s="6" t="s">
        <v>279</v>
      </c>
      <c r="E2138" s="6" t="s">
        <v>264</v>
      </c>
      <c r="F2138" s="6">
        <v>30456.79</v>
      </c>
      <c r="G2138" s="2">
        <v>0.93</v>
      </c>
      <c r="H2138" s="2">
        <v>1.24</v>
      </c>
      <c r="I2138" s="2">
        <v>1.36</v>
      </c>
      <c r="J2138" s="47">
        <f t="shared" si="165"/>
        <v>0.33333333333333326</v>
      </c>
      <c r="K2138" s="47">
        <f t="shared" si="166"/>
        <v>9.6774193548387177E-2</v>
      </c>
      <c r="L2138" s="8">
        <v>46.09</v>
      </c>
      <c r="M2138" s="8">
        <v>32.340000000000003</v>
      </c>
      <c r="N2138" s="8">
        <v>29.49</v>
      </c>
      <c r="O2138" s="17">
        <f t="shared" si="167"/>
        <v>0.97020000000000028</v>
      </c>
      <c r="P2138" s="17">
        <f t="shared" si="168"/>
        <v>3.0472999999999977</v>
      </c>
      <c r="R2138" s="9">
        <v>9.4</v>
      </c>
      <c r="T2138" s="9">
        <v>6466.4799800000001</v>
      </c>
      <c r="U2138" s="9">
        <v>5785.64</v>
      </c>
      <c r="V2138" s="45">
        <f t="shared" si="169"/>
        <v>0.11767755684764343</v>
      </c>
      <c r="X2138" s="12">
        <v>0.24</v>
      </c>
      <c r="Y2138" s="12">
        <v>20210614</v>
      </c>
    </row>
    <row r="2139" spans="1:25" x14ac:dyDescent="0.45">
      <c r="A2139" s="3" t="s">
        <v>3573</v>
      </c>
      <c r="B2139" s="3" t="s">
        <v>3574</v>
      </c>
      <c r="C2139" s="6" t="s">
        <v>519</v>
      </c>
      <c r="D2139" s="6" t="s">
        <v>234</v>
      </c>
      <c r="E2139" s="6" t="s">
        <v>238</v>
      </c>
      <c r="F2139" s="6">
        <v>3803.04</v>
      </c>
      <c r="G2139" s="2">
        <v>-0.09</v>
      </c>
      <c r="H2139" s="2">
        <v>-0.75</v>
      </c>
      <c r="I2139" s="2">
        <v>-0.37</v>
      </c>
      <c r="J2139" s="47">
        <f t="shared" si="165"/>
        <v>-7.3333333333333339</v>
      </c>
      <c r="K2139" s="47">
        <f t="shared" si="166"/>
        <v>0.50666666666666671</v>
      </c>
      <c r="O2139" s="17">
        <f t="shared" si="167"/>
        <v>0</v>
      </c>
      <c r="P2139" s="17">
        <f t="shared" si="168"/>
        <v>0</v>
      </c>
      <c r="R2139" s="9">
        <v>-7.13</v>
      </c>
      <c r="S2139" s="9">
        <v>27.38</v>
      </c>
      <c r="T2139" s="9">
        <v>680.33299999999997</v>
      </c>
      <c r="U2139" s="9">
        <v>502.03</v>
      </c>
      <c r="V2139" s="45">
        <f t="shared" si="169"/>
        <v>0.35516403402187124</v>
      </c>
      <c r="W2139" s="12">
        <v>-25</v>
      </c>
      <c r="X2139" s="12">
        <v>0</v>
      </c>
      <c r="Y2139" s="12">
        <v>20210803</v>
      </c>
    </row>
    <row r="2140" spans="1:25" x14ac:dyDescent="0.45">
      <c r="A2140" s="3" t="s">
        <v>3575</v>
      </c>
      <c r="B2140" s="3" t="s">
        <v>3576</v>
      </c>
      <c r="C2140" s="6" t="s">
        <v>518</v>
      </c>
      <c r="D2140" s="6" t="s">
        <v>234</v>
      </c>
      <c r="E2140" s="6" t="s">
        <v>244</v>
      </c>
      <c r="F2140" s="6">
        <v>38911.730000000003</v>
      </c>
      <c r="G2140" s="2">
        <v>8.56</v>
      </c>
      <c r="H2140" s="2">
        <v>11.23</v>
      </c>
      <c r="I2140" s="2">
        <v>12.46</v>
      </c>
      <c r="J2140" s="47">
        <f t="shared" si="165"/>
        <v>0.31191588785046725</v>
      </c>
      <c r="K2140" s="47">
        <f t="shared" si="166"/>
        <v>0.10952804986642924</v>
      </c>
      <c r="L2140" s="8">
        <v>14.65</v>
      </c>
      <c r="M2140" s="8">
        <v>13.78</v>
      </c>
      <c r="N2140" s="8">
        <v>12.42</v>
      </c>
      <c r="O2140" s="17">
        <f t="shared" si="167"/>
        <v>0.44178576779026218</v>
      </c>
      <c r="P2140" s="17">
        <f t="shared" si="168"/>
        <v>1.1339560975609753</v>
      </c>
      <c r="Q2140" s="5">
        <v>2.21</v>
      </c>
      <c r="R2140" s="9">
        <v>9.65</v>
      </c>
      <c r="S2140" s="9">
        <v>4.03</v>
      </c>
      <c r="T2140" s="9">
        <v>33381.003900000003</v>
      </c>
      <c r="U2140" s="9">
        <v>31981</v>
      </c>
      <c r="V2140" s="45">
        <f t="shared" si="169"/>
        <v>4.3776113942653558E-2</v>
      </c>
      <c r="W2140" s="12">
        <v>11.89</v>
      </c>
      <c r="X2140" s="12">
        <v>2.27</v>
      </c>
      <c r="Y2140" s="12">
        <v>20210722</v>
      </c>
    </row>
    <row r="2141" spans="1:25" x14ac:dyDescent="0.45">
      <c r="A2141" s="3" t="s">
        <v>3577</v>
      </c>
      <c r="B2141" s="3" t="s">
        <v>3578</v>
      </c>
      <c r="C2141" s="6" t="s">
        <v>520</v>
      </c>
      <c r="D2141" s="6" t="s">
        <v>272</v>
      </c>
      <c r="E2141" s="6" t="s">
        <v>3579</v>
      </c>
      <c r="F2141" s="6">
        <v>10975.18</v>
      </c>
      <c r="G2141" s="2">
        <v>0.47</v>
      </c>
      <c r="H2141" s="2">
        <v>0.91</v>
      </c>
      <c r="I2141" s="2">
        <v>0.78</v>
      </c>
      <c r="J2141" s="47">
        <f t="shared" si="165"/>
        <v>0.93617021276595758</v>
      </c>
      <c r="K2141" s="47">
        <f t="shared" si="166"/>
        <v>-0.14285714285714285</v>
      </c>
      <c r="L2141" s="8">
        <v>80.709999999999994</v>
      </c>
      <c r="M2141" s="8">
        <v>15.08</v>
      </c>
      <c r="N2141" s="8">
        <v>17.59</v>
      </c>
      <c r="O2141" s="17">
        <f t="shared" si="167"/>
        <v>0.16108181818181816</v>
      </c>
      <c r="P2141" s="17">
        <f t="shared" si="168"/>
        <v>-1.2313000000000001</v>
      </c>
      <c r="R2141" s="9">
        <v>1.23</v>
      </c>
      <c r="T2141" s="9">
        <v>17954.550780000001</v>
      </c>
      <c r="U2141" s="9">
        <v>17768</v>
      </c>
      <c r="V2141" s="45">
        <f t="shared" si="169"/>
        <v>1.0499255965781258E-2</v>
      </c>
      <c r="X2141" s="12">
        <v>0.4</v>
      </c>
      <c r="Y2141" s="12">
        <v>20210806</v>
      </c>
    </row>
    <row r="2142" spans="1:25" x14ac:dyDescent="0.45">
      <c r="A2142" s="3" t="s">
        <v>3580</v>
      </c>
      <c r="B2142" s="3" t="s">
        <v>3581</v>
      </c>
      <c r="C2142" s="6" t="s">
        <v>518</v>
      </c>
      <c r="D2142" s="6" t="s">
        <v>272</v>
      </c>
      <c r="E2142" s="6" t="s">
        <v>538</v>
      </c>
      <c r="F2142" s="6">
        <v>13611.58</v>
      </c>
      <c r="G2142" s="2">
        <v>-0.08</v>
      </c>
      <c r="H2142" s="2">
        <v>0.89</v>
      </c>
      <c r="I2142" s="2">
        <v>1.1200000000000001</v>
      </c>
      <c r="J2142" s="47">
        <f t="shared" si="165"/>
        <v>12.125</v>
      </c>
      <c r="K2142" s="47">
        <f t="shared" si="166"/>
        <v>0.25842696629213491</v>
      </c>
      <c r="L2142" s="8">
        <v>104.82</v>
      </c>
      <c r="M2142" s="8">
        <v>25.98</v>
      </c>
      <c r="N2142" s="8">
        <v>20.59</v>
      </c>
      <c r="O2142" s="17">
        <f t="shared" si="167"/>
        <v>2.142680412371134E-2</v>
      </c>
      <c r="P2142" s="17">
        <f t="shared" si="168"/>
        <v>0.79674347826086933</v>
      </c>
      <c r="R2142" s="9">
        <v>1.1599999999999999</v>
      </c>
      <c r="S2142" s="9">
        <v>6.34</v>
      </c>
      <c r="T2142" s="9">
        <v>5593.3339800000003</v>
      </c>
      <c r="U2142" s="9">
        <v>5146.7299999999996</v>
      </c>
      <c r="V2142" s="45">
        <f t="shared" si="169"/>
        <v>8.6774316896359588E-2</v>
      </c>
      <c r="W2142" s="12">
        <v>80</v>
      </c>
      <c r="X2142" s="12">
        <v>2.4300000000000002</v>
      </c>
      <c r="Y2142" s="12">
        <v>20210804</v>
      </c>
    </row>
    <row r="2143" spans="1:25" x14ac:dyDescent="0.45">
      <c r="A2143" s="3" t="s">
        <v>3582</v>
      </c>
      <c r="B2143" s="3" t="s">
        <v>4398</v>
      </c>
      <c r="C2143" s="6" t="s">
        <v>520</v>
      </c>
      <c r="D2143" s="6" t="s">
        <v>303</v>
      </c>
      <c r="E2143" s="6" t="s">
        <v>295</v>
      </c>
      <c r="F2143" s="6">
        <v>24677.03</v>
      </c>
      <c r="G2143" s="2">
        <v>0.47</v>
      </c>
      <c r="H2143" s="2">
        <v>0.75</v>
      </c>
      <c r="I2143" s="2">
        <v>0.85</v>
      </c>
      <c r="J2143" s="47">
        <f t="shared" si="165"/>
        <v>0.59574468085106391</v>
      </c>
      <c r="K2143" s="47">
        <f t="shared" si="166"/>
        <v>0.1333333333333333</v>
      </c>
      <c r="M2143" s="8">
        <v>12.85</v>
      </c>
      <c r="N2143" s="8">
        <v>11.27</v>
      </c>
      <c r="O2143" s="17">
        <f t="shared" si="167"/>
        <v>0.21569642857142854</v>
      </c>
      <c r="P2143" s="17">
        <f t="shared" si="168"/>
        <v>0.84525000000000017</v>
      </c>
      <c r="Q2143" s="5">
        <v>2.08</v>
      </c>
      <c r="T2143" s="9">
        <v>80142.148430000001</v>
      </c>
      <c r="U2143" s="9">
        <v>67164.37</v>
      </c>
      <c r="V2143" s="45">
        <f t="shared" si="169"/>
        <v>0.19322415188291064</v>
      </c>
      <c r="X2143" s="12">
        <v>5.25</v>
      </c>
    </row>
    <row r="2144" spans="1:25" x14ac:dyDescent="0.45">
      <c r="A2144" s="3" t="s">
        <v>3583</v>
      </c>
      <c r="B2144" s="3" t="s">
        <v>3584</v>
      </c>
      <c r="C2144" s="6" t="s">
        <v>519</v>
      </c>
      <c r="D2144" s="6" t="s">
        <v>303</v>
      </c>
      <c r="E2144" s="6" t="s">
        <v>292</v>
      </c>
      <c r="F2144" s="6">
        <v>20865.939999999999</v>
      </c>
      <c r="G2144" s="2">
        <v>6.74</v>
      </c>
      <c r="H2144" s="2">
        <v>7.35</v>
      </c>
      <c r="I2144" s="2">
        <v>7.71</v>
      </c>
      <c r="J2144" s="47">
        <f t="shared" si="165"/>
        <v>9.0504451038575587E-2</v>
      </c>
      <c r="K2144" s="47">
        <f t="shared" si="166"/>
        <v>4.897959183673474E-2</v>
      </c>
      <c r="L2144" s="8">
        <v>23.48</v>
      </c>
      <c r="M2144" s="8">
        <v>24.63</v>
      </c>
      <c r="N2144" s="8">
        <v>23.49</v>
      </c>
      <c r="O2144" s="17">
        <f t="shared" si="167"/>
        <v>2.7214131147541005</v>
      </c>
      <c r="P2144" s="17">
        <f t="shared" si="168"/>
        <v>4.7958749999999952</v>
      </c>
      <c r="Q2144" s="5">
        <v>2.73</v>
      </c>
      <c r="R2144" s="9">
        <v>49.2</v>
      </c>
      <c r="S2144" s="9">
        <v>10.75</v>
      </c>
      <c r="T2144" s="9">
        <v>11551.41015</v>
      </c>
      <c r="U2144" s="9">
        <v>10620.35</v>
      </c>
      <c r="V2144" s="45">
        <f t="shared" si="169"/>
        <v>8.7667558037164431E-2</v>
      </c>
      <c r="W2144" s="12">
        <v>56.57</v>
      </c>
      <c r="X2144" s="12">
        <v>1.1499999999999999</v>
      </c>
      <c r="Y2144" s="12">
        <v>20210722</v>
      </c>
    </row>
    <row r="2145" spans="1:25" x14ac:dyDescent="0.45">
      <c r="A2145" s="3" t="s">
        <v>3585</v>
      </c>
      <c r="B2145" s="3" t="s">
        <v>3586</v>
      </c>
      <c r="C2145" s="6" t="s">
        <v>520</v>
      </c>
      <c r="D2145" s="6" t="s">
        <v>225</v>
      </c>
      <c r="E2145" s="6" t="s">
        <v>186</v>
      </c>
      <c r="F2145" s="6">
        <v>15323.33</v>
      </c>
      <c r="G2145" s="2">
        <v>1.26</v>
      </c>
      <c r="H2145" s="2">
        <v>1.58</v>
      </c>
      <c r="I2145" s="2">
        <v>1.88</v>
      </c>
      <c r="J2145" s="47">
        <f t="shared" si="165"/>
        <v>0.25396825396825401</v>
      </c>
      <c r="K2145" s="47">
        <f t="shared" si="166"/>
        <v>0.18987341772151886</v>
      </c>
      <c r="L2145" s="8">
        <v>47.19</v>
      </c>
      <c r="M2145" s="8">
        <v>35.54</v>
      </c>
      <c r="N2145" s="8">
        <v>29.87</v>
      </c>
      <c r="O2145" s="17">
        <f t="shared" si="167"/>
        <v>1.3993874999999996</v>
      </c>
      <c r="P2145" s="17">
        <f t="shared" si="168"/>
        <v>1.5731533333333345</v>
      </c>
      <c r="T2145" s="9">
        <v>4676.4599600000001</v>
      </c>
      <c r="U2145" s="9">
        <v>3973.16</v>
      </c>
      <c r="V2145" s="45">
        <f t="shared" si="169"/>
        <v>0.17701274552245574</v>
      </c>
      <c r="X2145" s="12">
        <v>0.56999999999999995</v>
      </c>
      <c r="Y2145" s="12">
        <v>20210616</v>
      </c>
    </row>
    <row r="2146" spans="1:25" x14ac:dyDescent="0.45">
      <c r="A2146" s="3" t="s">
        <v>3587</v>
      </c>
      <c r="B2146" s="3" t="s">
        <v>3588</v>
      </c>
      <c r="C2146" s="6" t="s">
        <v>519</v>
      </c>
      <c r="D2146" s="6" t="s">
        <v>46</v>
      </c>
      <c r="E2146" s="6" t="s">
        <v>63</v>
      </c>
      <c r="F2146" s="6">
        <v>576823.06000000006</v>
      </c>
      <c r="G2146" s="2">
        <v>2.37</v>
      </c>
      <c r="H2146" s="2">
        <v>4.25</v>
      </c>
      <c r="I2146" s="2">
        <v>6.27</v>
      </c>
      <c r="J2146" s="47">
        <f t="shared" si="165"/>
        <v>0.7932489451476793</v>
      </c>
      <c r="K2146" s="47">
        <f t="shared" si="166"/>
        <v>0.4752941176470587</v>
      </c>
      <c r="L2146" s="8">
        <v>128.22</v>
      </c>
      <c r="M2146" s="8">
        <v>140.86000000000001</v>
      </c>
      <c r="N2146" s="8">
        <v>95.44</v>
      </c>
      <c r="O2146" s="17">
        <f t="shared" si="167"/>
        <v>1.7757351063829789</v>
      </c>
      <c r="P2146" s="17">
        <f t="shared" si="168"/>
        <v>2.0080198019801987</v>
      </c>
      <c r="Q2146" s="5">
        <v>3.76</v>
      </c>
      <c r="R2146" s="9">
        <v>6.13</v>
      </c>
      <c r="S2146" s="9">
        <v>48.28</v>
      </c>
      <c r="T2146" s="9">
        <v>49388.773430000001</v>
      </c>
      <c r="U2146" s="9">
        <v>31536</v>
      </c>
      <c r="V2146" s="45">
        <f t="shared" si="169"/>
        <v>0.56610773179857943</v>
      </c>
      <c r="W2146" s="12">
        <v>17.72</v>
      </c>
      <c r="X2146" s="12">
        <v>0</v>
      </c>
      <c r="Y2146" s="12">
        <v>20210728</v>
      </c>
    </row>
    <row r="2147" spans="1:25" x14ac:dyDescent="0.45">
      <c r="A2147" s="3" t="s">
        <v>3589</v>
      </c>
      <c r="B2147" s="3" t="s">
        <v>3590</v>
      </c>
      <c r="C2147" s="6" t="s">
        <v>518</v>
      </c>
      <c r="D2147" s="6" t="s">
        <v>189</v>
      </c>
      <c r="E2147" s="6" t="s">
        <v>3591</v>
      </c>
      <c r="F2147" s="6">
        <v>607445.56000000006</v>
      </c>
      <c r="G2147" s="2">
        <v>3.54</v>
      </c>
      <c r="H2147" s="2">
        <v>4.07</v>
      </c>
      <c r="I2147" s="2">
        <v>4.84</v>
      </c>
      <c r="J2147" s="47">
        <f t="shared" si="165"/>
        <v>0.14971751412429385</v>
      </c>
      <c r="K2147" s="47">
        <f t="shared" si="166"/>
        <v>0.18918918918918906</v>
      </c>
      <c r="L2147" s="8">
        <v>32.450000000000003</v>
      </c>
      <c r="M2147" s="8">
        <v>28.78</v>
      </c>
      <c r="N2147" s="8">
        <v>24.17</v>
      </c>
      <c r="O2147" s="17">
        <f t="shared" si="167"/>
        <v>1.9222867924528295</v>
      </c>
      <c r="P2147" s="17">
        <f t="shared" si="168"/>
        <v>1.2775571428571439</v>
      </c>
      <c r="Q2147" s="5">
        <v>1.81</v>
      </c>
      <c r="R2147" s="9">
        <v>29.55</v>
      </c>
      <c r="S2147" s="9">
        <v>10.45</v>
      </c>
      <c r="T2147" s="9">
        <v>56557.148430000001</v>
      </c>
      <c r="U2147" s="9">
        <v>45505</v>
      </c>
      <c r="V2147" s="45">
        <f t="shared" si="169"/>
        <v>0.24287767124491816</v>
      </c>
      <c r="W2147" s="12">
        <v>5.49</v>
      </c>
      <c r="X2147" s="12">
        <v>1.19</v>
      </c>
      <c r="Y2147" s="12">
        <v>20210715</v>
      </c>
    </row>
    <row r="2148" spans="1:25" x14ac:dyDescent="0.45">
      <c r="A2148" s="3" t="s">
        <v>3592</v>
      </c>
      <c r="B2148" s="3" t="s">
        <v>3593</v>
      </c>
      <c r="C2148" s="6" t="s">
        <v>518</v>
      </c>
      <c r="D2148" s="6" t="s">
        <v>225</v>
      </c>
      <c r="E2148" s="6" t="s">
        <v>1039</v>
      </c>
      <c r="F2148" s="6">
        <v>28234.22</v>
      </c>
      <c r="G2148" s="2">
        <v>4.96</v>
      </c>
      <c r="H2148" s="2">
        <v>6.1</v>
      </c>
      <c r="I2148" s="2">
        <v>6.39</v>
      </c>
      <c r="J2148" s="47">
        <f t="shared" si="165"/>
        <v>0.22983870967741929</v>
      </c>
      <c r="K2148" s="47">
        <f t="shared" si="166"/>
        <v>4.7540983606557383E-2</v>
      </c>
      <c r="L2148" s="8">
        <v>11.93</v>
      </c>
      <c r="M2148" s="8">
        <v>12.68</v>
      </c>
      <c r="N2148" s="8">
        <v>12.12</v>
      </c>
      <c r="O2148" s="17">
        <f t="shared" si="167"/>
        <v>0.55169122807017557</v>
      </c>
      <c r="P2148" s="17">
        <f t="shared" si="168"/>
        <v>2.5493793103448272</v>
      </c>
      <c r="Q2148" s="5">
        <v>3.37</v>
      </c>
      <c r="R2148" s="9">
        <v>15.26</v>
      </c>
      <c r="S2148" s="9">
        <v>3.87</v>
      </c>
      <c r="T2148" s="9">
        <v>44681.984369999998</v>
      </c>
      <c r="U2148" s="9">
        <v>43185</v>
      </c>
      <c r="V2148" s="45">
        <f t="shared" si="169"/>
        <v>3.4664452240361195E-2</v>
      </c>
      <c r="W2148" s="12">
        <v>20.72</v>
      </c>
      <c r="X2148" s="12">
        <v>2.2999999999999998</v>
      </c>
      <c r="Y2148" s="12">
        <v>20210802</v>
      </c>
    </row>
    <row r="2149" spans="1:25" x14ac:dyDescent="0.45">
      <c r="A2149" s="3" t="s">
        <v>4399</v>
      </c>
      <c r="B2149" s="3" t="s">
        <v>4400</v>
      </c>
      <c r="C2149" s="6" t="s">
        <v>519</v>
      </c>
      <c r="D2149" s="6" t="s">
        <v>175</v>
      </c>
      <c r="E2149" s="6" t="s">
        <v>305</v>
      </c>
      <c r="F2149" s="6">
        <v>10017.219999999999</v>
      </c>
      <c r="H2149" s="2">
        <v>-2.38</v>
      </c>
      <c r="I2149" s="2">
        <v>-1.95</v>
      </c>
      <c r="J2149" s="47" t="e">
        <f t="shared" si="165"/>
        <v>#DIV/0!</v>
      </c>
      <c r="K2149" s="47">
        <f t="shared" si="166"/>
        <v>0.18067226890756299</v>
      </c>
      <c r="O2149" s="17" t="e">
        <f t="shared" si="167"/>
        <v>#DIV/0!</v>
      </c>
      <c r="P2149" s="17">
        <f t="shared" si="168"/>
        <v>0</v>
      </c>
      <c r="T2149" s="9">
        <v>8.2375000000000007</v>
      </c>
      <c r="U2149" s="9">
        <v>1.84</v>
      </c>
      <c r="V2149" s="45">
        <f t="shared" si="169"/>
        <v>3.4769021739130439</v>
      </c>
      <c r="W2149" s="12">
        <v>-1297.83</v>
      </c>
      <c r="X2149" s="12">
        <v>0</v>
      </c>
      <c r="Y2149" s="12">
        <v>20210809</v>
      </c>
    </row>
    <row r="2150" spans="1:25" x14ac:dyDescent="0.45">
      <c r="A2150" s="3" t="s">
        <v>3594</v>
      </c>
      <c r="B2150" s="3" t="s">
        <v>3595</v>
      </c>
      <c r="C2150" s="6" t="s">
        <v>518</v>
      </c>
      <c r="D2150" s="6" t="s">
        <v>175</v>
      </c>
      <c r="E2150" s="6" t="s">
        <v>305</v>
      </c>
      <c r="F2150" s="6">
        <v>43594.2</v>
      </c>
      <c r="G2150" s="2">
        <v>4.34</v>
      </c>
      <c r="H2150" s="2">
        <v>6.03</v>
      </c>
      <c r="I2150" s="2">
        <v>6.84</v>
      </c>
      <c r="J2150" s="47">
        <f t="shared" si="165"/>
        <v>0.38940092165898627</v>
      </c>
      <c r="K2150" s="47">
        <f t="shared" si="166"/>
        <v>0.13432835820895514</v>
      </c>
      <c r="L2150" s="8">
        <v>36.24</v>
      </c>
      <c r="M2150" s="8">
        <v>30.2</v>
      </c>
      <c r="N2150" s="8">
        <v>26.63</v>
      </c>
      <c r="O2150" s="17">
        <f t="shared" si="167"/>
        <v>0.77555029585798796</v>
      </c>
      <c r="P2150" s="17">
        <f t="shared" si="168"/>
        <v>1.9824555555555567</v>
      </c>
      <c r="Q2150" s="5">
        <v>1.4</v>
      </c>
      <c r="R2150" s="9">
        <v>19.52</v>
      </c>
      <c r="S2150" s="9">
        <v>0.89</v>
      </c>
      <c r="T2150" s="9">
        <v>13873.76757</v>
      </c>
      <c r="U2150" s="9">
        <v>12454.7</v>
      </c>
      <c r="V2150" s="45">
        <f t="shared" si="169"/>
        <v>0.11393831806466628</v>
      </c>
      <c r="W2150" s="12">
        <v>62.9</v>
      </c>
      <c r="X2150" s="12">
        <v>1.29</v>
      </c>
      <c r="Y2150" s="12">
        <v>20210804</v>
      </c>
    </row>
    <row r="2151" spans="1:25" x14ac:dyDescent="0.45">
      <c r="A2151" s="3" t="s">
        <v>3596</v>
      </c>
      <c r="B2151" s="3" t="s">
        <v>3597</v>
      </c>
      <c r="C2151" s="6" t="s">
        <v>518</v>
      </c>
      <c r="D2151" s="6" t="s">
        <v>216</v>
      </c>
      <c r="E2151" s="6" t="s">
        <v>2491</v>
      </c>
      <c r="F2151" s="6">
        <v>11370.13</v>
      </c>
      <c r="G2151" s="2">
        <v>2.9</v>
      </c>
      <c r="H2151" s="2">
        <v>3.52</v>
      </c>
      <c r="I2151" s="2">
        <v>3.85</v>
      </c>
      <c r="J2151" s="47">
        <f t="shared" si="165"/>
        <v>0.2137931034482759</v>
      </c>
      <c r="K2151" s="47">
        <f t="shared" si="166"/>
        <v>9.3750000000000014E-2</v>
      </c>
      <c r="L2151" s="8">
        <v>29.5</v>
      </c>
      <c r="M2151" s="8">
        <v>30.2</v>
      </c>
      <c r="N2151" s="8">
        <v>27.58</v>
      </c>
      <c r="O2151" s="17">
        <f t="shared" si="167"/>
        <v>1.4125806451612899</v>
      </c>
      <c r="P2151" s="17">
        <f t="shared" si="168"/>
        <v>2.941866666666666</v>
      </c>
      <c r="Q2151" s="5">
        <v>2.91</v>
      </c>
      <c r="R2151" s="9">
        <v>34.200000000000003</v>
      </c>
      <c r="S2151" s="9">
        <v>9.8699999999999992</v>
      </c>
      <c r="T2151" s="9">
        <v>3759.3500899999999</v>
      </c>
      <c r="U2151" s="9">
        <v>3378.81</v>
      </c>
      <c r="V2151" s="45">
        <f t="shared" si="169"/>
        <v>0.11262547760898067</v>
      </c>
      <c r="W2151" s="12">
        <v>4.88</v>
      </c>
      <c r="X2151" s="12">
        <v>0.99</v>
      </c>
      <c r="Y2151" s="12">
        <v>20210902</v>
      </c>
    </row>
    <row r="2152" spans="1:25" x14ac:dyDescent="0.45">
      <c r="A2152" s="3" t="s">
        <v>3598</v>
      </c>
      <c r="B2152" s="3" t="s">
        <v>3599</v>
      </c>
      <c r="C2152" s="6" t="s">
        <v>519</v>
      </c>
      <c r="D2152" s="6" t="s">
        <v>189</v>
      </c>
      <c r="E2152" s="6" t="s">
        <v>247</v>
      </c>
      <c r="F2152" s="6">
        <v>27846.97</v>
      </c>
      <c r="G2152" s="2">
        <v>5</v>
      </c>
      <c r="H2152" s="2">
        <v>6.42</v>
      </c>
      <c r="I2152" s="2">
        <v>7.97</v>
      </c>
      <c r="J2152" s="47">
        <f t="shared" si="165"/>
        <v>0.28399999999999997</v>
      </c>
      <c r="K2152" s="47">
        <f t="shared" si="166"/>
        <v>0.24143302180685355</v>
      </c>
      <c r="L2152" s="8">
        <v>80.069999999999993</v>
      </c>
      <c r="M2152" s="8">
        <v>91.22</v>
      </c>
      <c r="N2152" s="8">
        <v>73.459999999999994</v>
      </c>
      <c r="O2152" s="17">
        <f t="shared" si="167"/>
        <v>3.2119718309859158</v>
      </c>
      <c r="P2152" s="17">
        <f t="shared" si="168"/>
        <v>3.042665806451613</v>
      </c>
      <c r="Q2152" s="5">
        <v>3.65</v>
      </c>
      <c r="R2152" s="9">
        <v>25.57</v>
      </c>
      <c r="S2152" s="9">
        <v>44.21</v>
      </c>
      <c r="T2152" s="9">
        <v>1137.04504</v>
      </c>
      <c r="U2152" s="9">
        <v>836.03</v>
      </c>
      <c r="V2152" s="45">
        <f t="shared" si="169"/>
        <v>0.36005291676136025</v>
      </c>
      <c r="W2152" s="12">
        <v>71.95</v>
      </c>
      <c r="X2152" s="12">
        <v>0</v>
      </c>
      <c r="Y2152" s="12">
        <v>20210805</v>
      </c>
    </row>
    <row r="2153" spans="1:25" x14ac:dyDescent="0.45">
      <c r="A2153" s="3" t="s">
        <v>3600</v>
      </c>
      <c r="B2153" s="3" t="s">
        <v>3601</v>
      </c>
      <c r="C2153" s="6" t="s">
        <v>520</v>
      </c>
      <c r="D2153" s="6" t="s">
        <v>189</v>
      </c>
      <c r="E2153" s="6" t="s">
        <v>211</v>
      </c>
      <c r="F2153" s="6">
        <v>15937.8</v>
      </c>
      <c r="G2153" s="2">
        <v>6.55</v>
      </c>
      <c r="H2153" s="2">
        <v>7.92</v>
      </c>
      <c r="I2153" s="2">
        <v>9.3000000000000007</v>
      </c>
      <c r="J2153" s="47">
        <f t="shared" si="165"/>
        <v>0.20916030534351146</v>
      </c>
      <c r="K2153" s="47">
        <f t="shared" si="166"/>
        <v>0.17424242424242434</v>
      </c>
      <c r="L2153" s="8">
        <v>22.42</v>
      </c>
      <c r="M2153" s="8">
        <v>15.93</v>
      </c>
      <c r="N2153" s="8">
        <v>13.57</v>
      </c>
      <c r="O2153" s="17">
        <f t="shared" si="167"/>
        <v>0.76161678832116775</v>
      </c>
      <c r="P2153" s="17">
        <f t="shared" si="168"/>
        <v>0.7787999999999996</v>
      </c>
      <c r="Q2153" s="5">
        <v>0.64</v>
      </c>
      <c r="R2153" s="9">
        <v>8.42</v>
      </c>
      <c r="S2153" s="9">
        <v>4.0199999999999996</v>
      </c>
      <c r="T2153" s="9">
        <v>14727.26953</v>
      </c>
      <c r="U2153" s="9">
        <v>13324.4</v>
      </c>
      <c r="V2153" s="45">
        <f t="shared" si="169"/>
        <v>0.10528575620665846</v>
      </c>
      <c r="X2153" s="12">
        <v>0.56000000000000005</v>
      </c>
      <c r="Y2153" s="12">
        <v>20210729</v>
      </c>
    </row>
    <row r="2154" spans="1:25" x14ac:dyDescent="0.45">
      <c r="A2154" s="3" t="s">
        <v>3602</v>
      </c>
      <c r="B2154" s="3" t="s">
        <v>3603</v>
      </c>
      <c r="C2154" s="6" t="s">
        <v>519</v>
      </c>
      <c r="D2154" s="6" t="s">
        <v>175</v>
      </c>
      <c r="E2154" s="6" t="s">
        <v>305</v>
      </c>
      <c r="F2154" s="6">
        <v>4799.8</v>
      </c>
      <c r="G2154" s="2">
        <v>3</v>
      </c>
      <c r="H2154" s="2">
        <v>4.25</v>
      </c>
      <c r="I2154" s="2">
        <v>4.5599999999999996</v>
      </c>
      <c r="J2154" s="47">
        <f t="shared" si="165"/>
        <v>0.41666666666666669</v>
      </c>
      <c r="K2154" s="47">
        <f t="shared" si="166"/>
        <v>7.2941176470588148E-2</v>
      </c>
      <c r="L2154" s="8">
        <v>24.82</v>
      </c>
      <c r="M2154" s="8">
        <v>24.1</v>
      </c>
      <c r="N2154" s="8">
        <v>22.49</v>
      </c>
      <c r="O2154" s="17">
        <f t="shared" si="167"/>
        <v>0.57839999999999991</v>
      </c>
      <c r="P2154" s="17">
        <f t="shared" si="168"/>
        <v>3.083306451612907</v>
      </c>
      <c r="Q2154" s="5">
        <v>1.61</v>
      </c>
      <c r="R2154" s="9">
        <v>39.799999999999997</v>
      </c>
      <c r="S2154" s="9">
        <v>9.57</v>
      </c>
      <c r="T2154" s="9">
        <v>2206.7329100000002</v>
      </c>
      <c r="U2154" s="9">
        <v>1949.25</v>
      </c>
      <c r="V2154" s="45">
        <f t="shared" si="169"/>
        <v>0.13209332307297689</v>
      </c>
      <c r="W2154" s="12">
        <v>26</v>
      </c>
      <c r="X2154" s="12">
        <v>0.84</v>
      </c>
      <c r="Y2154" s="12">
        <v>20210804</v>
      </c>
    </row>
    <row r="2155" spans="1:25" x14ac:dyDescent="0.45">
      <c r="A2155" s="3" t="s">
        <v>3604</v>
      </c>
      <c r="B2155" s="3" t="s">
        <v>3605</v>
      </c>
      <c r="C2155" s="6" t="s">
        <v>519</v>
      </c>
      <c r="D2155" s="6" t="s">
        <v>272</v>
      </c>
      <c r="E2155" s="6" t="s">
        <v>1408</v>
      </c>
      <c r="F2155" s="6">
        <v>6662.27</v>
      </c>
      <c r="G2155" s="2">
        <v>3.16</v>
      </c>
      <c r="H2155" s="2">
        <v>3.64</v>
      </c>
      <c r="I2155" s="2">
        <v>3.93</v>
      </c>
      <c r="J2155" s="47">
        <f t="shared" si="165"/>
        <v>0.15189873417721517</v>
      </c>
      <c r="K2155" s="47">
        <f t="shared" si="166"/>
        <v>7.9670329670329679E-2</v>
      </c>
      <c r="L2155" s="8">
        <v>35.35</v>
      </c>
      <c r="M2155" s="8">
        <v>33.75</v>
      </c>
      <c r="N2155" s="8">
        <v>31.32</v>
      </c>
      <c r="O2155" s="17">
        <f t="shared" si="167"/>
        <v>2.2218750000000003</v>
      </c>
      <c r="P2155" s="17">
        <f t="shared" si="168"/>
        <v>3.9311999999999996</v>
      </c>
      <c r="Q2155" s="5">
        <v>2.25</v>
      </c>
      <c r="R2155" s="9">
        <v>17.77</v>
      </c>
      <c r="S2155" s="9">
        <v>4.04</v>
      </c>
      <c r="T2155" s="9">
        <v>2484.0129299999999</v>
      </c>
      <c r="U2155" s="9">
        <v>2994.89</v>
      </c>
      <c r="V2155" s="45">
        <f t="shared" si="169"/>
        <v>-0.17058291623398522</v>
      </c>
      <c r="W2155" s="12">
        <v>10.67</v>
      </c>
      <c r="X2155" s="12">
        <v>0.65</v>
      </c>
      <c r="Y2155" s="12">
        <v>20210804</v>
      </c>
    </row>
    <row r="2156" spans="1:25" x14ac:dyDescent="0.45">
      <c r="A2156" s="3" t="s">
        <v>3606</v>
      </c>
      <c r="B2156" s="3" t="s">
        <v>3607</v>
      </c>
      <c r="C2156" s="6" t="s">
        <v>518</v>
      </c>
      <c r="D2156" s="6" t="s">
        <v>46</v>
      </c>
      <c r="E2156" s="6" t="s">
        <v>66</v>
      </c>
      <c r="F2156" s="6">
        <v>14468.74</v>
      </c>
      <c r="G2156" s="2">
        <v>-0.2</v>
      </c>
      <c r="H2156" s="2">
        <v>0.96</v>
      </c>
      <c r="I2156" s="2">
        <v>1.89</v>
      </c>
      <c r="J2156" s="47">
        <f t="shared" si="165"/>
        <v>5.7999999999999989</v>
      </c>
      <c r="K2156" s="47">
        <f t="shared" si="166"/>
        <v>0.96875</v>
      </c>
      <c r="M2156" s="8">
        <v>24.4</v>
      </c>
      <c r="N2156" s="8">
        <v>12.39</v>
      </c>
      <c r="O2156" s="17">
        <f t="shared" si="167"/>
        <v>4.2068965517241388E-2</v>
      </c>
      <c r="P2156" s="17">
        <f t="shared" si="168"/>
        <v>0.12789677419354839</v>
      </c>
      <c r="R2156" s="9">
        <v>0.56000000000000005</v>
      </c>
      <c r="S2156" s="9">
        <v>-2.86</v>
      </c>
      <c r="T2156" s="9">
        <v>34691.320310000003</v>
      </c>
      <c r="U2156" s="9">
        <v>33651.67</v>
      </c>
      <c r="V2156" s="45">
        <f t="shared" si="169"/>
        <v>3.0894464078603072E-2</v>
      </c>
      <c r="X2156" s="12">
        <v>0</v>
      </c>
      <c r="Y2156" s="12">
        <v>20210730</v>
      </c>
    </row>
    <row r="2157" spans="1:25" x14ac:dyDescent="0.45">
      <c r="A2157" s="3" t="s">
        <v>5013</v>
      </c>
      <c r="B2157" s="3" t="s">
        <v>5014</v>
      </c>
      <c r="C2157" s="6" t="s">
        <v>520</v>
      </c>
      <c r="D2157" s="6" t="s">
        <v>272</v>
      </c>
      <c r="E2157" s="6" t="s">
        <v>907</v>
      </c>
      <c r="F2157" s="6">
        <v>32187.48</v>
      </c>
      <c r="J2157" s="47" t="e">
        <f t="shared" si="165"/>
        <v>#DIV/0!</v>
      </c>
      <c r="K2157" s="47" t="e">
        <f t="shared" si="166"/>
        <v>#DIV/0!</v>
      </c>
      <c r="O2157" s="17" t="e">
        <f t="shared" si="167"/>
        <v>#DIV/0!</v>
      </c>
      <c r="P2157" s="17" t="e">
        <f t="shared" si="168"/>
        <v>#DIV/0!</v>
      </c>
      <c r="U2157" s="9">
        <v>9811.94</v>
      </c>
      <c r="V2157" s="45">
        <f t="shared" si="169"/>
        <v>-1</v>
      </c>
      <c r="X2157" s="12">
        <v>1.1599999999999999</v>
      </c>
    </row>
    <row r="2158" spans="1:25" x14ac:dyDescent="0.45">
      <c r="A2158" s="3" t="s">
        <v>3608</v>
      </c>
      <c r="B2158" s="3" t="s">
        <v>3609</v>
      </c>
      <c r="C2158" s="6" t="s">
        <v>519</v>
      </c>
      <c r="D2158" s="6" t="s">
        <v>216</v>
      </c>
      <c r="E2158" s="6" t="s">
        <v>306</v>
      </c>
      <c r="F2158" s="6">
        <v>21233.3</v>
      </c>
      <c r="G2158" s="2">
        <v>6.21</v>
      </c>
      <c r="H2158" s="2">
        <v>4.6500000000000004</v>
      </c>
      <c r="I2158" s="2">
        <v>7.07</v>
      </c>
      <c r="J2158" s="47">
        <f t="shared" si="165"/>
        <v>-0.25120772946859898</v>
      </c>
      <c r="K2158" s="47">
        <f t="shared" si="166"/>
        <v>0.52043010752688168</v>
      </c>
      <c r="L2158" s="8">
        <v>24.78</v>
      </c>
      <c r="M2158" s="8">
        <v>39.51</v>
      </c>
      <c r="N2158" s="8">
        <v>25.96</v>
      </c>
      <c r="O2158" s="17">
        <f t="shared" si="167"/>
        <v>-1.5728019230769235</v>
      </c>
      <c r="P2158" s="17">
        <f t="shared" si="168"/>
        <v>0.49881818181818188</v>
      </c>
      <c r="Q2158" s="5">
        <v>4.13</v>
      </c>
      <c r="R2158" s="9">
        <v>25.16</v>
      </c>
      <c r="S2158" s="9">
        <v>21.69</v>
      </c>
      <c r="T2158" s="9">
        <v>3369.61499</v>
      </c>
      <c r="U2158" s="9">
        <v>3372.77</v>
      </c>
      <c r="V2158" s="45">
        <f t="shared" si="169"/>
        <v>-9.3543585835973028E-4</v>
      </c>
      <c r="W2158" s="12">
        <v>111.76</v>
      </c>
      <c r="X2158" s="12">
        <v>0</v>
      </c>
      <c r="Y2158" s="12">
        <v>20210802</v>
      </c>
    </row>
    <row r="2159" spans="1:25" x14ac:dyDescent="0.45">
      <c r="A2159" s="3" t="s">
        <v>3610</v>
      </c>
      <c r="B2159" s="3" t="s">
        <v>3611</v>
      </c>
      <c r="C2159" s="6" t="s">
        <v>518</v>
      </c>
      <c r="D2159" s="6" t="s">
        <v>327</v>
      </c>
      <c r="E2159" s="6" t="s">
        <v>209</v>
      </c>
      <c r="F2159" s="6">
        <v>29415.96</v>
      </c>
      <c r="G2159" s="2">
        <v>0.88</v>
      </c>
      <c r="H2159" s="2">
        <v>0.91</v>
      </c>
      <c r="I2159" s="2">
        <v>1.01</v>
      </c>
      <c r="J2159" s="47">
        <f t="shared" si="165"/>
        <v>3.4090909090909123E-2</v>
      </c>
      <c r="K2159" s="47">
        <f t="shared" si="166"/>
        <v>0.10989010989010986</v>
      </c>
      <c r="L2159" s="8">
        <v>29.45</v>
      </c>
      <c r="M2159" s="8">
        <v>25</v>
      </c>
      <c r="N2159" s="8">
        <v>22.49</v>
      </c>
      <c r="O2159" s="17">
        <f t="shared" si="167"/>
        <v>7.3333333333333268</v>
      </c>
      <c r="P2159" s="17">
        <f t="shared" si="168"/>
        <v>2.0465900000000006</v>
      </c>
      <c r="Q2159" s="5">
        <v>3.06</v>
      </c>
      <c r="R2159" s="9">
        <v>9.81</v>
      </c>
      <c r="S2159" s="9">
        <v>4.54</v>
      </c>
      <c r="T2159" s="9">
        <v>13616.454100000001</v>
      </c>
      <c r="U2159" s="9">
        <v>11543.44</v>
      </c>
      <c r="V2159" s="45">
        <f t="shared" si="169"/>
        <v>0.17958373760334875</v>
      </c>
      <c r="W2159" s="12">
        <v>-8.6999999999999993</v>
      </c>
      <c r="X2159" s="12">
        <v>2.04</v>
      </c>
      <c r="Y2159" s="12">
        <v>20210730</v>
      </c>
    </row>
    <row r="2160" spans="1:25" x14ac:dyDescent="0.45">
      <c r="A2160" s="3" t="s">
        <v>3612</v>
      </c>
      <c r="B2160" s="3" t="s">
        <v>3613</v>
      </c>
      <c r="C2160" s="6" t="s">
        <v>520</v>
      </c>
      <c r="D2160" s="6" t="s">
        <v>216</v>
      </c>
      <c r="E2160" s="6" t="s">
        <v>1102</v>
      </c>
      <c r="F2160" s="6">
        <v>3569.46</v>
      </c>
      <c r="G2160" s="2">
        <v>-1.73</v>
      </c>
      <c r="H2160" s="2">
        <v>-0.65</v>
      </c>
      <c r="I2160" s="2">
        <v>0.14000000000000001</v>
      </c>
      <c r="J2160" s="47">
        <f t="shared" si="165"/>
        <v>0.62427745664739887</v>
      </c>
      <c r="K2160" s="47">
        <f t="shared" si="166"/>
        <v>1.2153846153846155</v>
      </c>
      <c r="N2160" s="8">
        <v>20.9</v>
      </c>
      <c r="O2160" s="17">
        <f t="shared" si="167"/>
        <v>0</v>
      </c>
      <c r="P2160" s="17">
        <f t="shared" si="168"/>
        <v>0.17196202531645569</v>
      </c>
      <c r="R2160" s="9">
        <v>-487.53</v>
      </c>
      <c r="T2160" s="9">
        <v>12652.214840000001</v>
      </c>
      <c r="U2160" s="9">
        <v>8898.92</v>
      </c>
      <c r="V2160" s="45">
        <f t="shared" si="169"/>
        <v>0.42176970239085199</v>
      </c>
      <c r="X2160" s="12">
        <v>0</v>
      </c>
      <c r="Y2160" s="12">
        <v>20210616</v>
      </c>
    </row>
    <row r="2161" spans="1:25" x14ac:dyDescent="0.45">
      <c r="A2161" s="3" t="s">
        <v>4401</v>
      </c>
      <c r="B2161" s="3" t="s">
        <v>4402</v>
      </c>
      <c r="C2161" s="6" t="s">
        <v>518</v>
      </c>
      <c r="D2161" s="6" t="s">
        <v>189</v>
      </c>
      <c r="E2161" s="6" t="s">
        <v>248</v>
      </c>
      <c r="F2161" s="6">
        <v>13674.94</v>
      </c>
      <c r="H2161" s="2">
        <v>-0.17</v>
      </c>
      <c r="I2161" s="2">
        <v>-0.2</v>
      </c>
      <c r="J2161" s="47" t="e">
        <f t="shared" si="165"/>
        <v>#DIV/0!</v>
      </c>
      <c r="K2161" s="47">
        <f t="shared" si="166"/>
        <v>-0.1764705882352941</v>
      </c>
      <c r="O2161" s="17" t="e">
        <f t="shared" si="167"/>
        <v>#DIV/0!</v>
      </c>
      <c r="P2161" s="17">
        <f t="shared" si="168"/>
        <v>0</v>
      </c>
      <c r="T2161" s="9">
        <v>340.41</v>
      </c>
      <c r="U2161" s="9">
        <v>179.87</v>
      </c>
      <c r="V2161" s="45">
        <f t="shared" si="169"/>
        <v>0.89253349641407698</v>
      </c>
      <c r="X2161" s="12">
        <v>0</v>
      </c>
    </row>
    <row r="2162" spans="1:25" x14ac:dyDescent="0.45">
      <c r="A2162" s="3" t="s">
        <v>3614</v>
      </c>
      <c r="B2162" s="3" t="s">
        <v>3615</v>
      </c>
      <c r="C2162" s="6" t="s">
        <v>518</v>
      </c>
      <c r="D2162" s="6" t="s">
        <v>216</v>
      </c>
      <c r="E2162" s="6" t="s">
        <v>1449</v>
      </c>
      <c r="F2162" s="6">
        <v>8428.7000000000007</v>
      </c>
      <c r="G2162" s="2">
        <v>-0.08</v>
      </c>
      <c r="H2162" s="2">
        <v>0.52</v>
      </c>
      <c r="I2162" s="2">
        <v>0.5</v>
      </c>
      <c r="J2162" s="47">
        <f t="shared" si="165"/>
        <v>7.5</v>
      </c>
      <c r="K2162" s="47">
        <f t="shared" si="166"/>
        <v>-3.8461538461538491E-2</v>
      </c>
      <c r="L2162" s="8">
        <v>21.76</v>
      </c>
      <c r="M2162" s="8">
        <v>28.04</v>
      </c>
      <c r="N2162" s="8">
        <v>29.45</v>
      </c>
      <c r="O2162" s="17">
        <f t="shared" si="167"/>
        <v>3.7386666666666665E-2</v>
      </c>
      <c r="P2162" s="17">
        <f t="shared" si="168"/>
        <v>-7.6569999999999938</v>
      </c>
      <c r="R2162" s="9">
        <v>9.82</v>
      </c>
      <c r="S2162" s="9">
        <v>-1.8</v>
      </c>
      <c r="T2162" s="9">
        <v>5232.0351499999997</v>
      </c>
      <c r="U2162" s="9">
        <v>4565.7700000000004</v>
      </c>
      <c r="V2162" s="45">
        <f t="shared" si="169"/>
        <v>0.14592613075122032</v>
      </c>
      <c r="W2162" s="12">
        <v>-150</v>
      </c>
      <c r="X2162" s="12">
        <v>0.53</v>
      </c>
      <c r="Y2162" s="12">
        <v>20210706</v>
      </c>
    </row>
    <row r="2163" spans="1:25" x14ac:dyDescent="0.45">
      <c r="A2163" s="3" t="s">
        <v>3616</v>
      </c>
      <c r="B2163" s="3" t="s">
        <v>3617</v>
      </c>
      <c r="C2163" s="6" t="s">
        <v>519</v>
      </c>
      <c r="D2163" s="6" t="s">
        <v>234</v>
      </c>
      <c r="E2163" s="6" t="s">
        <v>1642</v>
      </c>
      <c r="F2163" s="6">
        <v>19325.73</v>
      </c>
      <c r="G2163" s="2">
        <v>1.31</v>
      </c>
      <c r="H2163" s="2">
        <v>1.57</v>
      </c>
      <c r="I2163" s="2">
        <v>1.73</v>
      </c>
      <c r="J2163" s="47">
        <f t="shared" si="165"/>
        <v>0.19847328244274809</v>
      </c>
      <c r="K2163" s="47">
        <f t="shared" si="166"/>
        <v>0.10191082802547766</v>
      </c>
      <c r="L2163" s="8">
        <v>60.74</v>
      </c>
      <c r="M2163" s="8">
        <v>52.91</v>
      </c>
      <c r="N2163" s="8">
        <v>48.14</v>
      </c>
      <c r="O2163" s="17">
        <f t="shared" si="167"/>
        <v>2.6658499999999998</v>
      </c>
      <c r="P2163" s="17">
        <f t="shared" si="168"/>
        <v>4.723737500000003</v>
      </c>
      <c r="Q2163" s="5">
        <v>4</v>
      </c>
      <c r="R2163" s="9">
        <v>6.25</v>
      </c>
      <c r="T2163" s="9">
        <v>1031.83898</v>
      </c>
      <c r="U2163" s="9">
        <v>892.66</v>
      </c>
      <c r="V2163" s="45">
        <f t="shared" si="169"/>
        <v>0.15591488360630029</v>
      </c>
      <c r="W2163" s="12">
        <v>0</v>
      </c>
      <c r="X2163" s="12">
        <v>0.38</v>
      </c>
      <c r="Y2163" s="12">
        <v>20210729</v>
      </c>
    </row>
    <row r="2164" spans="1:25" x14ac:dyDescent="0.45">
      <c r="A2164" s="3" t="s">
        <v>3618</v>
      </c>
      <c r="B2164" s="3" t="s">
        <v>3619</v>
      </c>
      <c r="C2164" s="6" t="s">
        <v>518</v>
      </c>
      <c r="D2164" s="6" t="s">
        <v>189</v>
      </c>
      <c r="E2164" s="6" t="s">
        <v>248</v>
      </c>
      <c r="F2164" s="6">
        <v>54331.81</v>
      </c>
      <c r="G2164" s="2">
        <v>0.11</v>
      </c>
      <c r="H2164" s="2">
        <v>-0.18</v>
      </c>
      <c r="I2164" s="2">
        <v>0.12</v>
      </c>
      <c r="J2164" s="47">
        <f t="shared" si="165"/>
        <v>-2.6363636363636362</v>
      </c>
      <c r="K2164" s="47">
        <f t="shared" si="166"/>
        <v>1.6666666666666667</v>
      </c>
      <c r="L2164" s="8">
        <v>1430.05</v>
      </c>
      <c r="N2164" s="8">
        <v>2696.66</v>
      </c>
      <c r="O2164" s="17">
        <f t="shared" si="167"/>
        <v>0</v>
      </c>
      <c r="P2164" s="17">
        <f t="shared" si="168"/>
        <v>16.179959999999998</v>
      </c>
      <c r="R2164" s="9">
        <v>-5.84</v>
      </c>
      <c r="S2164" s="9">
        <v>60.3</v>
      </c>
      <c r="T2164" s="9">
        <v>2525.5219699999998</v>
      </c>
      <c r="U2164" s="9">
        <v>1761.78</v>
      </c>
      <c r="V2164" s="45">
        <f t="shared" si="169"/>
        <v>0.43350586906424177</v>
      </c>
      <c r="W2164" s="12">
        <v>150</v>
      </c>
      <c r="X2164" s="12">
        <v>0</v>
      </c>
      <c r="Y2164" s="12">
        <v>20210803</v>
      </c>
    </row>
    <row r="2165" spans="1:25" x14ac:dyDescent="0.45">
      <c r="A2165" s="3" t="s">
        <v>3620</v>
      </c>
      <c r="B2165" s="3" t="s">
        <v>3621</v>
      </c>
      <c r="C2165" s="6" t="s">
        <v>520</v>
      </c>
      <c r="D2165" s="6" t="s">
        <v>210</v>
      </c>
      <c r="E2165" s="6" t="s">
        <v>1439</v>
      </c>
      <c r="F2165" s="6">
        <v>8605.24</v>
      </c>
      <c r="G2165" s="2">
        <v>0.82</v>
      </c>
      <c r="H2165" s="2">
        <v>2.0299999999999998</v>
      </c>
      <c r="I2165" s="2">
        <v>2.8</v>
      </c>
      <c r="J2165" s="47">
        <f t="shared" si="165"/>
        <v>1.475609756097561</v>
      </c>
      <c r="K2165" s="47">
        <f t="shared" si="166"/>
        <v>0.37931034482758624</v>
      </c>
      <c r="M2165" s="8">
        <v>11.65</v>
      </c>
      <c r="N2165" s="8">
        <v>8.43</v>
      </c>
      <c r="O2165" s="17">
        <f t="shared" si="167"/>
        <v>7.8950413223140503E-2</v>
      </c>
      <c r="P2165" s="17">
        <f t="shared" si="168"/>
        <v>0.2222454545454545</v>
      </c>
      <c r="T2165" s="9">
        <v>5827.7851499999997</v>
      </c>
      <c r="U2165" s="9">
        <v>3583.02</v>
      </c>
      <c r="V2165" s="45">
        <f t="shared" si="169"/>
        <v>0.62650087077381644</v>
      </c>
      <c r="X2165" s="12">
        <v>2.2599999999999998</v>
      </c>
    </row>
    <row r="2166" spans="1:25" x14ac:dyDescent="0.45">
      <c r="A2166" s="3" t="s">
        <v>3622</v>
      </c>
      <c r="B2166" s="3" t="s">
        <v>3623</v>
      </c>
      <c r="C2166" s="6" t="s">
        <v>519</v>
      </c>
      <c r="D2166" s="6" t="s">
        <v>279</v>
      </c>
      <c r="E2166" s="6" t="s">
        <v>256</v>
      </c>
      <c r="F2166" s="6">
        <v>5220.42</v>
      </c>
      <c r="G2166" s="2">
        <v>-3.74</v>
      </c>
      <c r="H2166" s="2">
        <v>-3.04</v>
      </c>
      <c r="I2166" s="2">
        <v>-2.68</v>
      </c>
      <c r="J2166" s="47">
        <f t="shared" si="165"/>
        <v>0.18716577540106955</v>
      </c>
      <c r="K2166" s="47">
        <f t="shared" si="166"/>
        <v>0.1184210526315789</v>
      </c>
      <c r="O2166" s="17">
        <f t="shared" si="167"/>
        <v>0</v>
      </c>
      <c r="P2166" s="17">
        <f t="shared" si="168"/>
        <v>0</v>
      </c>
      <c r="R2166" s="9">
        <v>-25.47</v>
      </c>
      <c r="S2166" s="9">
        <v>75.709999999999994</v>
      </c>
      <c r="T2166" s="9">
        <v>125.66</v>
      </c>
      <c r="U2166" s="9">
        <v>90.1</v>
      </c>
      <c r="V2166" s="45">
        <f t="shared" si="169"/>
        <v>0.39467258601553834</v>
      </c>
      <c r="W2166" s="12">
        <v>-2.63</v>
      </c>
      <c r="X2166" s="12">
        <v>0</v>
      </c>
      <c r="Y2166" s="12">
        <v>20210805</v>
      </c>
    </row>
    <row r="2167" spans="1:25" x14ac:dyDescent="0.45">
      <c r="A2167" s="3" t="s">
        <v>3624</v>
      </c>
      <c r="B2167" s="3" t="s">
        <v>3625</v>
      </c>
      <c r="C2167" s="6" t="s">
        <v>518</v>
      </c>
      <c r="D2167" s="6" t="s">
        <v>189</v>
      </c>
      <c r="E2167" s="6" t="s">
        <v>248</v>
      </c>
      <c r="F2167" s="6">
        <v>47656.14</v>
      </c>
      <c r="G2167" s="2">
        <v>-0.72</v>
      </c>
      <c r="H2167" s="2">
        <v>0.78</v>
      </c>
      <c r="I2167" s="2">
        <v>1.06</v>
      </c>
      <c r="J2167" s="47">
        <f t="shared" si="165"/>
        <v>2.0833333333333335</v>
      </c>
      <c r="K2167" s="47">
        <f t="shared" si="166"/>
        <v>0.35897435897435898</v>
      </c>
      <c r="M2167" s="8">
        <v>76.959999999999994</v>
      </c>
      <c r="N2167" s="8">
        <v>56.55</v>
      </c>
      <c r="O2167" s="17">
        <f t="shared" si="167"/>
        <v>0.36940799999999996</v>
      </c>
      <c r="P2167" s="17">
        <f t="shared" si="168"/>
        <v>1.5753214285714285</v>
      </c>
      <c r="R2167" s="9">
        <v>-11.06</v>
      </c>
      <c r="S2167" s="9">
        <v>11.05</v>
      </c>
      <c r="T2167" s="9">
        <v>4782.6821200000004</v>
      </c>
      <c r="U2167" s="9">
        <v>3716.35</v>
      </c>
      <c r="V2167" s="45">
        <f t="shared" si="169"/>
        <v>0.28692995008543343</v>
      </c>
      <c r="W2167" s="12">
        <v>14.29</v>
      </c>
      <c r="X2167" s="12">
        <v>0</v>
      </c>
      <c r="Y2167" s="12">
        <v>20210722</v>
      </c>
    </row>
    <row r="2168" spans="1:25" x14ac:dyDescent="0.45">
      <c r="A2168" s="3" t="s">
        <v>3626</v>
      </c>
      <c r="B2168" s="3" t="s">
        <v>3627</v>
      </c>
      <c r="C2168" s="6" t="s">
        <v>518</v>
      </c>
      <c r="D2168" s="6" t="s">
        <v>90</v>
      </c>
      <c r="E2168" s="6" t="s">
        <v>304</v>
      </c>
      <c r="F2168" s="6">
        <v>7469.67</v>
      </c>
      <c r="G2168" s="2">
        <v>2.06</v>
      </c>
      <c r="H2168" s="2">
        <v>11.82</v>
      </c>
      <c r="I2168" s="2">
        <v>7.04</v>
      </c>
      <c r="J2168" s="47">
        <f t="shared" si="165"/>
        <v>4.7378640776699026</v>
      </c>
      <c r="K2168" s="47">
        <f t="shared" si="166"/>
        <v>-0.4043993231810491</v>
      </c>
      <c r="L2168" s="8">
        <v>6.33</v>
      </c>
      <c r="M2168" s="8">
        <v>3.15</v>
      </c>
      <c r="N2168" s="8">
        <v>5.29</v>
      </c>
      <c r="O2168" s="17">
        <f t="shared" si="167"/>
        <v>6.6485655737704924E-3</v>
      </c>
      <c r="P2168" s="17">
        <f t="shared" si="168"/>
        <v>-0.13081129707112971</v>
      </c>
      <c r="Q2168" s="5">
        <v>0.23</v>
      </c>
      <c r="R2168" s="9">
        <v>14.07</v>
      </c>
      <c r="S2168" s="9">
        <v>5.56</v>
      </c>
      <c r="T2168" s="9">
        <v>13839.5996</v>
      </c>
      <c r="U2168" s="9">
        <v>8735.4</v>
      </c>
      <c r="V2168" s="45">
        <f t="shared" si="169"/>
        <v>0.58431206355747878</v>
      </c>
      <c r="W2168" s="12">
        <v>23.29</v>
      </c>
      <c r="X2168" s="12">
        <v>5.64</v>
      </c>
      <c r="Y2168" s="12">
        <v>20210803</v>
      </c>
    </row>
    <row r="2169" spans="1:25" x14ac:dyDescent="0.45">
      <c r="A2169" s="3" t="s">
        <v>3941</v>
      </c>
      <c r="B2169" s="3" t="s">
        <v>3628</v>
      </c>
      <c r="C2169" s="6" t="s">
        <v>519</v>
      </c>
      <c r="D2169" s="6" t="s">
        <v>279</v>
      </c>
      <c r="E2169" s="6" t="s">
        <v>265</v>
      </c>
      <c r="F2169" s="6">
        <v>20450.12</v>
      </c>
      <c r="G2169" s="2">
        <v>-1.56</v>
      </c>
      <c r="H2169" s="2">
        <v>-0.75</v>
      </c>
      <c r="I2169" s="2">
        <v>-0.19</v>
      </c>
      <c r="J2169" s="47">
        <f t="shared" si="165"/>
        <v>0.51923076923076927</v>
      </c>
      <c r="K2169" s="47">
        <f t="shared" si="166"/>
        <v>0.7466666666666667</v>
      </c>
      <c r="O2169" s="17">
        <f t="shared" si="167"/>
        <v>0</v>
      </c>
      <c r="P2169" s="17">
        <f t="shared" si="168"/>
        <v>0</v>
      </c>
      <c r="R2169" s="9">
        <v>-13.9</v>
      </c>
      <c r="T2169" s="9">
        <v>496.70199000000002</v>
      </c>
      <c r="U2169" s="9">
        <v>298.85000000000002</v>
      </c>
      <c r="V2169" s="45">
        <f t="shared" si="169"/>
        <v>0.66204447047013548</v>
      </c>
      <c r="W2169" s="12">
        <v>56</v>
      </c>
      <c r="X2169" s="12">
        <v>0</v>
      </c>
      <c r="Y2169" s="12">
        <v>20210810</v>
      </c>
    </row>
    <row r="2170" spans="1:25" x14ac:dyDescent="0.45">
      <c r="A2170" s="3" t="s">
        <v>3629</v>
      </c>
      <c r="B2170" s="3" t="s">
        <v>3630</v>
      </c>
      <c r="C2170" s="6" t="s">
        <v>519</v>
      </c>
      <c r="D2170" s="6" t="s">
        <v>189</v>
      </c>
      <c r="E2170" s="6" t="s">
        <v>2107</v>
      </c>
      <c r="F2170" s="6">
        <v>172190.95</v>
      </c>
      <c r="G2170" s="2">
        <v>5.51</v>
      </c>
      <c r="H2170" s="2">
        <v>7.39</v>
      </c>
      <c r="I2170" s="2">
        <v>7.79</v>
      </c>
      <c r="J2170" s="47">
        <f t="shared" si="165"/>
        <v>0.3411978221415608</v>
      </c>
      <c r="K2170" s="47">
        <f t="shared" si="166"/>
        <v>5.4127198917456071E-2</v>
      </c>
      <c r="L2170" s="8">
        <v>28.25</v>
      </c>
      <c r="M2170" s="8">
        <v>25.23</v>
      </c>
      <c r="N2170" s="8">
        <v>23.93</v>
      </c>
      <c r="O2170" s="17">
        <f t="shared" si="167"/>
        <v>0.7394537234042553</v>
      </c>
      <c r="P2170" s="17">
        <f t="shared" si="168"/>
        <v>4.4210674999999959</v>
      </c>
      <c r="Q2170" s="5">
        <v>2.7</v>
      </c>
      <c r="R2170" s="9">
        <v>69.92</v>
      </c>
      <c r="S2170" s="9">
        <v>1.51</v>
      </c>
      <c r="T2170" s="9">
        <v>17397.271479999999</v>
      </c>
      <c r="U2170" s="9">
        <v>14461</v>
      </c>
      <c r="V2170" s="45">
        <f t="shared" si="169"/>
        <v>0.20304760943226605</v>
      </c>
      <c r="W2170" s="12">
        <v>19.87</v>
      </c>
      <c r="X2170" s="12">
        <v>2.19</v>
      </c>
      <c r="Y2170" s="12">
        <v>20210720</v>
      </c>
    </row>
    <row r="2171" spans="1:25" x14ac:dyDescent="0.45">
      <c r="A2171" s="3" t="s">
        <v>3631</v>
      </c>
      <c r="B2171" s="3" t="s">
        <v>3632</v>
      </c>
      <c r="C2171" s="6" t="s">
        <v>519</v>
      </c>
      <c r="D2171" s="6" t="s">
        <v>303</v>
      </c>
      <c r="E2171" s="6" t="s">
        <v>294</v>
      </c>
      <c r="F2171" s="6">
        <v>6974.25</v>
      </c>
      <c r="G2171" s="2">
        <v>0.65</v>
      </c>
      <c r="H2171" s="2">
        <v>3.46</v>
      </c>
      <c r="I2171" s="2">
        <v>3.94</v>
      </c>
      <c r="J2171" s="47">
        <f t="shared" si="165"/>
        <v>4.3230769230769228</v>
      </c>
      <c r="K2171" s="47">
        <f t="shared" si="166"/>
        <v>0.13872832369942195</v>
      </c>
      <c r="L2171" s="8">
        <v>88.5</v>
      </c>
      <c r="M2171" s="8">
        <v>28.91</v>
      </c>
      <c r="N2171" s="8">
        <v>25.38</v>
      </c>
      <c r="O2171" s="17">
        <f t="shared" si="167"/>
        <v>6.6873665480427058E-2</v>
      </c>
      <c r="P2171" s="17">
        <f t="shared" si="168"/>
        <v>1.8294750000000002</v>
      </c>
      <c r="Q2171" s="5">
        <v>2.89</v>
      </c>
      <c r="R2171" s="9">
        <v>8.4600000000000009</v>
      </c>
      <c r="S2171" s="9">
        <v>6.81</v>
      </c>
      <c r="T2171" s="9">
        <v>3300.0180599999999</v>
      </c>
      <c r="U2171" s="9">
        <v>2398.12</v>
      </c>
      <c r="V2171" s="45">
        <f t="shared" si="169"/>
        <v>0.37608545860924392</v>
      </c>
      <c r="W2171" s="12">
        <v>54.24</v>
      </c>
      <c r="X2171" s="12">
        <v>1.6</v>
      </c>
      <c r="Y2171" s="12">
        <v>20210802</v>
      </c>
    </row>
    <row r="2172" spans="1:25" x14ac:dyDescent="0.45">
      <c r="A2172" s="3" t="s">
        <v>3633</v>
      </c>
      <c r="B2172" s="3" t="s">
        <v>3634</v>
      </c>
      <c r="C2172" s="6" t="s">
        <v>518</v>
      </c>
      <c r="D2172" s="6" t="s">
        <v>10</v>
      </c>
      <c r="E2172" s="6" t="s">
        <v>17</v>
      </c>
      <c r="F2172" s="6">
        <v>15587.45</v>
      </c>
      <c r="G2172" s="2">
        <v>1.92</v>
      </c>
      <c r="H2172" s="2">
        <v>3.14</v>
      </c>
      <c r="I2172" s="2">
        <v>3.71</v>
      </c>
      <c r="J2172" s="47">
        <f t="shared" si="165"/>
        <v>0.63541666666666674</v>
      </c>
      <c r="K2172" s="47">
        <f t="shared" si="166"/>
        <v>0.1815286624203821</v>
      </c>
      <c r="L2172" s="8">
        <v>28.54</v>
      </c>
      <c r="M2172" s="8">
        <v>22.01</v>
      </c>
      <c r="N2172" s="8">
        <v>18.600000000000001</v>
      </c>
      <c r="O2172" s="17">
        <f t="shared" si="167"/>
        <v>0.34638688524590167</v>
      </c>
      <c r="P2172" s="17">
        <f t="shared" si="168"/>
        <v>1.0246315789473688</v>
      </c>
      <c r="Q2172" s="5">
        <v>0.88</v>
      </c>
      <c r="R2172" s="9">
        <v>9.61</v>
      </c>
      <c r="S2172" s="9">
        <v>-3.22</v>
      </c>
      <c r="T2172" s="9">
        <v>12556.679679999999</v>
      </c>
      <c r="U2172" s="9">
        <v>11651</v>
      </c>
      <c r="V2172" s="45">
        <f t="shared" si="169"/>
        <v>7.7734072611792923E-2</v>
      </c>
      <c r="W2172" s="12">
        <v>48.94</v>
      </c>
      <c r="X2172" s="12">
        <v>0.12</v>
      </c>
      <c r="Y2172" s="12">
        <v>20210729</v>
      </c>
    </row>
    <row r="2173" spans="1:25" x14ac:dyDescent="0.45">
      <c r="A2173" s="3" t="s">
        <v>3635</v>
      </c>
      <c r="B2173" s="3" t="s">
        <v>3636</v>
      </c>
      <c r="C2173" s="6" t="s">
        <v>518</v>
      </c>
      <c r="D2173" s="6" t="s">
        <v>189</v>
      </c>
      <c r="E2173" s="6" t="s">
        <v>195</v>
      </c>
      <c r="F2173" s="6">
        <v>16959.93</v>
      </c>
      <c r="G2173" s="2">
        <v>5.54</v>
      </c>
      <c r="H2173" s="2">
        <v>6.69</v>
      </c>
      <c r="I2173" s="2">
        <v>7.82</v>
      </c>
      <c r="J2173" s="47">
        <f t="shared" si="165"/>
        <v>0.20758122743682317</v>
      </c>
      <c r="K2173" s="47">
        <f t="shared" si="166"/>
        <v>0.16890881913303435</v>
      </c>
      <c r="L2173" s="8">
        <v>73.040000000000006</v>
      </c>
      <c r="M2173" s="8">
        <v>62.23</v>
      </c>
      <c r="N2173" s="8">
        <v>53.27</v>
      </c>
      <c r="O2173" s="17">
        <f t="shared" si="167"/>
        <v>2.9978626086956508</v>
      </c>
      <c r="P2173" s="17">
        <f t="shared" si="168"/>
        <v>3.153772566371682</v>
      </c>
      <c r="R2173" s="9">
        <v>9.51</v>
      </c>
      <c r="S2173" s="9">
        <v>11.63</v>
      </c>
      <c r="T2173" s="9">
        <v>1526.93298</v>
      </c>
      <c r="U2173" s="9">
        <v>1116.6600000000001</v>
      </c>
      <c r="V2173" s="45">
        <f t="shared" si="169"/>
        <v>0.36741083230347638</v>
      </c>
      <c r="W2173" s="12">
        <v>9.16</v>
      </c>
      <c r="X2173" s="12">
        <v>0</v>
      </c>
      <c r="Y2173" s="12">
        <v>20210804</v>
      </c>
    </row>
    <row r="2174" spans="1:25" x14ac:dyDescent="0.45">
      <c r="A2174" s="3" t="s">
        <v>3637</v>
      </c>
      <c r="B2174" s="3" t="s">
        <v>3638</v>
      </c>
      <c r="C2174" s="6" t="s">
        <v>518</v>
      </c>
      <c r="D2174" s="6" t="s">
        <v>189</v>
      </c>
      <c r="E2174" s="6" t="s">
        <v>248</v>
      </c>
      <c r="F2174" s="6">
        <v>27567.32</v>
      </c>
      <c r="G2174" s="2">
        <v>-0.39</v>
      </c>
      <c r="H2174" s="2">
        <v>-0.36</v>
      </c>
      <c r="I2174" s="2">
        <v>-0.12</v>
      </c>
      <c r="J2174" s="47">
        <f t="shared" si="165"/>
        <v>7.6923076923076983E-2</v>
      </c>
      <c r="K2174" s="47">
        <f t="shared" si="166"/>
        <v>0.66666666666666663</v>
      </c>
      <c r="O2174" s="17">
        <f t="shared" si="167"/>
        <v>0</v>
      </c>
      <c r="P2174" s="17">
        <f t="shared" si="168"/>
        <v>0</v>
      </c>
      <c r="T2174" s="9">
        <v>1012.32</v>
      </c>
      <c r="U2174" s="9">
        <v>772.45</v>
      </c>
      <c r="V2174" s="45">
        <f t="shared" si="169"/>
        <v>0.31053142598226419</v>
      </c>
      <c r="W2174" s="12">
        <v>16.670000000000002</v>
      </c>
      <c r="X2174" s="12">
        <v>0</v>
      </c>
      <c r="Y2174" s="12">
        <v>20210810</v>
      </c>
    </row>
    <row r="2175" spans="1:25" x14ac:dyDescent="0.45">
      <c r="A2175" s="3" t="s">
        <v>3639</v>
      </c>
      <c r="B2175" s="3" t="s">
        <v>5015</v>
      </c>
      <c r="C2175" s="6" t="s">
        <v>518</v>
      </c>
      <c r="D2175" s="6" t="s">
        <v>216</v>
      </c>
      <c r="E2175" s="6" t="s">
        <v>1256</v>
      </c>
      <c r="F2175" s="6">
        <v>8509.17</v>
      </c>
      <c r="J2175" s="47" t="e">
        <f t="shared" si="165"/>
        <v>#DIV/0!</v>
      </c>
      <c r="K2175" s="47" t="e">
        <f t="shared" si="166"/>
        <v>#DIV/0!</v>
      </c>
      <c r="L2175" s="8">
        <v>80.959999999999994</v>
      </c>
      <c r="O2175" s="17" t="e">
        <f t="shared" si="167"/>
        <v>#DIV/0!</v>
      </c>
      <c r="P2175" s="17" t="e">
        <f t="shared" si="168"/>
        <v>#DIV/0!</v>
      </c>
      <c r="R2175" s="9">
        <v>6.7</v>
      </c>
      <c r="S2175" s="9">
        <v>-0.04</v>
      </c>
      <c r="U2175" s="9">
        <v>4474.67</v>
      </c>
      <c r="V2175" s="45">
        <f t="shared" si="169"/>
        <v>-1</v>
      </c>
      <c r="W2175" s="12">
        <v>300</v>
      </c>
      <c r="X2175" s="12">
        <v>0</v>
      </c>
      <c r="Y2175" s="12">
        <v>20210730</v>
      </c>
    </row>
    <row r="2176" spans="1:25" x14ac:dyDescent="0.45">
      <c r="A2176" s="3" t="s">
        <v>3639</v>
      </c>
      <c r="B2176" s="3" t="s">
        <v>3640</v>
      </c>
      <c r="C2176" s="6" t="s">
        <v>518</v>
      </c>
      <c r="D2176" s="6" t="s">
        <v>216</v>
      </c>
      <c r="E2176" s="6" t="s">
        <v>1256</v>
      </c>
      <c r="F2176" s="6">
        <v>9779.61</v>
      </c>
      <c r="G2176" s="2">
        <v>-0.45</v>
      </c>
      <c r="H2176" s="2">
        <v>0.31</v>
      </c>
      <c r="I2176" s="2">
        <v>0.46</v>
      </c>
      <c r="J2176" s="47">
        <f t="shared" si="165"/>
        <v>1.6888888888888889</v>
      </c>
      <c r="K2176" s="47">
        <f t="shared" si="166"/>
        <v>0.48387096774193555</v>
      </c>
      <c r="L2176" s="8">
        <v>93.04</v>
      </c>
      <c r="M2176" s="8">
        <v>69.38</v>
      </c>
      <c r="N2176" s="8">
        <v>46.43</v>
      </c>
      <c r="O2176" s="17">
        <f t="shared" si="167"/>
        <v>0.41080263157894736</v>
      </c>
      <c r="P2176" s="17">
        <f t="shared" si="168"/>
        <v>0.95955333333333315</v>
      </c>
      <c r="Q2176" s="5">
        <v>2.15</v>
      </c>
      <c r="R2176" s="9">
        <v>6.7</v>
      </c>
      <c r="S2176" s="9">
        <v>-0.04</v>
      </c>
      <c r="T2176" s="9">
        <v>5276.3188399999999</v>
      </c>
      <c r="U2176" s="9">
        <v>4474.67</v>
      </c>
      <c r="V2176" s="45">
        <f t="shared" si="169"/>
        <v>0.17915261684101841</v>
      </c>
      <c r="W2176" s="12">
        <v>300</v>
      </c>
      <c r="X2176" s="12">
        <v>0</v>
      </c>
      <c r="Y2176" s="12">
        <v>20210730</v>
      </c>
    </row>
    <row r="2177" spans="1:25" x14ac:dyDescent="0.45">
      <c r="A2177" s="3" t="s">
        <v>3641</v>
      </c>
      <c r="B2177" s="3" t="s">
        <v>3642</v>
      </c>
      <c r="C2177" s="6" t="s">
        <v>519</v>
      </c>
      <c r="D2177" s="6" t="s">
        <v>309</v>
      </c>
      <c r="E2177" s="6" t="s">
        <v>307</v>
      </c>
      <c r="F2177" s="6">
        <v>18518.38</v>
      </c>
      <c r="G2177" s="2">
        <v>-27.08</v>
      </c>
      <c r="H2177" s="2">
        <v>-13.99</v>
      </c>
      <c r="I2177" s="2">
        <v>2.44</v>
      </c>
      <c r="J2177" s="47">
        <f t="shared" si="165"/>
        <v>0.48338257016248148</v>
      </c>
      <c r="K2177" s="47">
        <f t="shared" si="166"/>
        <v>1.1744102930664759</v>
      </c>
      <c r="N2177" s="8">
        <v>23.43</v>
      </c>
      <c r="O2177" s="17">
        <f t="shared" si="167"/>
        <v>0</v>
      </c>
      <c r="P2177" s="17">
        <f t="shared" si="168"/>
        <v>0.19950438222763239</v>
      </c>
      <c r="R2177" s="9">
        <v>-141.47999999999999</v>
      </c>
      <c r="S2177" s="9">
        <v>-12.21</v>
      </c>
      <c r="T2177" s="9">
        <v>23122.242180000001</v>
      </c>
      <c r="U2177" s="9">
        <v>15355</v>
      </c>
      <c r="V2177" s="45">
        <f t="shared" si="169"/>
        <v>0.50584449234776951</v>
      </c>
      <c r="W2177" s="12">
        <v>-7.6</v>
      </c>
      <c r="X2177" s="12">
        <v>0</v>
      </c>
      <c r="Y2177" s="12">
        <v>20210720</v>
      </c>
    </row>
    <row r="2178" spans="1:25" x14ac:dyDescent="0.45">
      <c r="A2178" s="3" t="s">
        <v>3643</v>
      </c>
      <c r="B2178" s="3" t="s">
        <v>3644</v>
      </c>
      <c r="C2178" s="6" t="s">
        <v>518</v>
      </c>
      <c r="D2178" s="6" t="s">
        <v>189</v>
      </c>
      <c r="E2178" s="6" t="s">
        <v>247</v>
      </c>
      <c r="F2178" s="6">
        <v>91978.29</v>
      </c>
      <c r="G2178" s="2">
        <v>-3.86</v>
      </c>
      <c r="H2178" s="2">
        <v>-1.46</v>
      </c>
      <c r="I2178" s="2">
        <v>-0.52</v>
      </c>
      <c r="J2178" s="47">
        <f t="shared" si="165"/>
        <v>0.62176165803108807</v>
      </c>
      <c r="K2178" s="47">
        <f t="shared" si="166"/>
        <v>0.64383561643835618</v>
      </c>
      <c r="O2178" s="17">
        <f t="shared" si="167"/>
        <v>0</v>
      </c>
      <c r="P2178" s="17">
        <f t="shared" si="168"/>
        <v>0</v>
      </c>
      <c r="R2178" s="9">
        <v>-42.11</v>
      </c>
      <c r="T2178" s="9">
        <v>15761.219719999999</v>
      </c>
      <c r="U2178" s="9">
        <v>11139</v>
      </c>
      <c r="V2178" s="45">
        <f t="shared" si="169"/>
        <v>0.41495822964359452</v>
      </c>
      <c r="W2178" s="12">
        <v>25</v>
      </c>
      <c r="X2178" s="12">
        <v>0</v>
      </c>
      <c r="Y2178" s="12">
        <v>20210805</v>
      </c>
    </row>
    <row r="2179" spans="1:25" x14ac:dyDescent="0.45">
      <c r="A2179" s="3" t="s">
        <v>3645</v>
      </c>
      <c r="B2179" s="3" t="s">
        <v>3646</v>
      </c>
      <c r="C2179" s="6" t="s">
        <v>518</v>
      </c>
      <c r="D2179" s="6" t="s">
        <v>234</v>
      </c>
      <c r="E2179" s="6" t="s">
        <v>105</v>
      </c>
      <c r="F2179" s="6">
        <v>59547.07</v>
      </c>
      <c r="G2179" s="2">
        <v>1.46</v>
      </c>
      <c r="H2179" s="2">
        <v>1.6</v>
      </c>
      <c r="I2179" s="2">
        <v>1.62</v>
      </c>
      <c r="J2179" s="47">
        <f t="shared" ref="J2179:J2242" si="170">(H2179-G2179)/ABS(G2179)</f>
        <v>9.5890410958904201E-2</v>
      </c>
      <c r="K2179" s="47">
        <f t="shared" ref="K2179:K2242" si="171">(I2179-H2179)/ABS(H2179)</f>
        <v>1.2500000000000011E-2</v>
      </c>
      <c r="L2179" s="8">
        <v>8.84</v>
      </c>
      <c r="M2179" s="8">
        <v>10.199999999999999</v>
      </c>
      <c r="N2179" s="8">
        <v>10.039999999999999</v>
      </c>
      <c r="O2179" s="17">
        <f t="shared" ref="O2179:O2242" si="172">M2179/(J2179*100)</f>
        <v>1.0637142857142845</v>
      </c>
      <c r="P2179" s="17">
        <f t="shared" ref="P2179:P2242" si="173">N2179/(K2179*100)</f>
        <v>8.0319999999999929</v>
      </c>
      <c r="Q2179" s="5">
        <v>1.93</v>
      </c>
      <c r="R2179" s="9">
        <v>11.67</v>
      </c>
      <c r="S2179" s="9">
        <v>-4.24</v>
      </c>
      <c r="T2179" s="9">
        <v>31591.289059999999</v>
      </c>
      <c r="U2179" s="9">
        <v>36032</v>
      </c>
      <c r="V2179" s="45">
        <f t="shared" ref="V2179:V2242" si="174">(T2179-U2179)/U2179</f>
        <v>-0.12324353186056841</v>
      </c>
      <c r="X2179" s="12">
        <v>0.74</v>
      </c>
      <c r="Y2179" s="12">
        <v>20210720</v>
      </c>
    </row>
    <row r="2180" spans="1:25" x14ac:dyDescent="0.45">
      <c r="A2180" s="3" t="s">
        <v>3647</v>
      </c>
      <c r="B2180" s="3" t="s">
        <v>3648</v>
      </c>
      <c r="C2180" s="6" t="s">
        <v>520</v>
      </c>
      <c r="D2180" s="6" t="s">
        <v>216</v>
      </c>
      <c r="E2180" s="6" t="s">
        <v>228</v>
      </c>
      <c r="F2180" s="6">
        <v>8718.2900000000009</v>
      </c>
      <c r="G2180" s="2">
        <v>0.65</v>
      </c>
      <c r="H2180" s="2">
        <v>0.59</v>
      </c>
      <c r="I2180" s="2">
        <v>0.73</v>
      </c>
      <c r="J2180" s="47">
        <f t="shared" si="170"/>
        <v>-9.2307692307692382E-2</v>
      </c>
      <c r="K2180" s="47">
        <f t="shared" si="171"/>
        <v>0.23728813559322037</v>
      </c>
      <c r="M2180" s="8">
        <v>23.98</v>
      </c>
      <c r="N2180" s="8">
        <v>19.43</v>
      </c>
      <c r="O2180" s="17">
        <f t="shared" si="172"/>
        <v>-2.5978333333333312</v>
      </c>
      <c r="P2180" s="17">
        <f t="shared" si="173"/>
        <v>0.81883571428571411</v>
      </c>
      <c r="T2180" s="9">
        <v>2861.6079100000002</v>
      </c>
      <c r="U2180" s="9">
        <v>2595.92</v>
      </c>
      <c r="V2180" s="45">
        <f t="shared" si="174"/>
        <v>0.10234826574008447</v>
      </c>
      <c r="X2180" s="12">
        <v>0</v>
      </c>
    </row>
    <row r="2181" spans="1:25" x14ac:dyDescent="0.45">
      <c r="A2181" s="3" t="s">
        <v>3942</v>
      </c>
      <c r="B2181" s="3" t="s">
        <v>3943</v>
      </c>
      <c r="C2181" s="6" t="s">
        <v>519</v>
      </c>
      <c r="D2181" s="6" t="s">
        <v>234</v>
      </c>
      <c r="E2181" s="6" t="s">
        <v>172</v>
      </c>
      <c r="F2181" s="6">
        <v>4916.7</v>
      </c>
      <c r="G2181" s="2">
        <v>2.31</v>
      </c>
      <c r="H2181" s="2">
        <v>2.66</v>
      </c>
      <c r="I2181" s="2">
        <v>2.42</v>
      </c>
      <c r="J2181" s="47">
        <f t="shared" si="170"/>
        <v>0.15151515151515155</v>
      </c>
      <c r="K2181" s="47">
        <f t="shared" si="171"/>
        <v>-9.0225563909774514E-2</v>
      </c>
      <c r="L2181" s="8">
        <v>13.69</v>
      </c>
      <c r="M2181" s="8">
        <v>14.3</v>
      </c>
      <c r="N2181" s="8">
        <v>15.74</v>
      </c>
      <c r="O2181" s="17">
        <f t="shared" si="172"/>
        <v>0.94379999999999986</v>
      </c>
      <c r="P2181" s="17">
        <f t="shared" si="173"/>
        <v>-1.7445166666666652</v>
      </c>
      <c r="R2181" s="9">
        <v>8.32</v>
      </c>
      <c r="S2181" s="9">
        <v>18.48</v>
      </c>
      <c r="T2181" s="9">
        <v>1036</v>
      </c>
      <c r="U2181" s="9">
        <v>1153.1300000000001</v>
      </c>
      <c r="V2181" s="45">
        <f t="shared" si="174"/>
        <v>-0.10157571132482902</v>
      </c>
      <c r="W2181" s="12">
        <v>12.16</v>
      </c>
      <c r="X2181" s="12">
        <v>3.68</v>
      </c>
      <c r="Y2181" s="12">
        <v>20210723</v>
      </c>
    </row>
    <row r="2182" spans="1:25" x14ac:dyDescent="0.45">
      <c r="A2182" s="3" t="s">
        <v>3649</v>
      </c>
      <c r="B2182" s="3" t="s">
        <v>3650</v>
      </c>
      <c r="C2182" s="6" t="s">
        <v>518</v>
      </c>
      <c r="D2182" s="6" t="s">
        <v>234</v>
      </c>
      <c r="E2182" s="6" t="s">
        <v>287</v>
      </c>
      <c r="F2182" s="6">
        <v>14743.77</v>
      </c>
      <c r="G2182" s="2">
        <v>2.0499999999999998</v>
      </c>
      <c r="H2182" s="2">
        <v>1.96</v>
      </c>
      <c r="I2182" s="2">
        <v>2.11</v>
      </c>
      <c r="J2182" s="47">
        <f t="shared" si="170"/>
        <v>-4.3902439024390179E-2</v>
      </c>
      <c r="K2182" s="47">
        <f t="shared" si="171"/>
        <v>7.6530612244897919E-2</v>
      </c>
      <c r="L2182" s="8">
        <v>25.21</v>
      </c>
      <c r="M2182" s="8">
        <v>25.37</v>
      </c>
      <c r="N2182" s="8">
        <v>23.49</v>
      </c>
      <c r="O2182" s="17">
        <f t="shared" si="172"/>
        <v>-5.778722222222231</v>
      </c>
      <c r="P2182" s="17">
        <f t="shared" si="173"/>
        <v>3.0693600000000014</v>
      </c>
      <c r="Q2182" s="5">
        <v>6.14</v>
      </c>
      <c r="R2182" s="9">
        <v>2.76</v>
      </c>
      <c r="S2182" s="9">
        <v>6.7</v>
      </c>
      <c r="T2182" s="9">
        <v>1219.2430400000001</v>
      </c>
      <c r="U2182" s="9">
        <v>1241.17</v>
      </c>
      <c r="V2182" s="45">
        <f t="shared" si="174"/>
        <v>-1.7666363189571137E-2</v>
      </c>
      <c r="W2182" s="12">
        <v>-2.08</v>
      </c>
      <c r="X2182" s="12">
        <v>2.92</v>
      </c>
      <c r="Y2182" s="12">
        <v>20210727</v>
      </c>
    </row>
    <row r="2183" spans="1:25" x14ac:dyDescent="0.45">
      <c r="A2183" s="3" t="s">
        <v>3944</v>
      </c>
      <c r="B2183" s="3" t="s">
        <v>3651</v>
      </c>
      <c r="C2183" s="6" t="s">
        <v>519</v>
      </c>
      <c r="D2183" s="6" t="s">
        <v>210</v>
      </c>
      <c r="E2183" s="6" t="s">
        <v>192</v>
      </c>
      <c r="F2183" s="6">
        <v>4602.62</v>
      </c>
      <c r="G2183" s="2">
        <v>3.79</v>
      </c>
      <c r="H2183" s="2">
        <v>6.34</v>
      </c>
      <c r="I2183" s="2">
        <v>6.45</v>
      </c>
      <c r="J2183" s="47">
        <f t="shared" si="170"/>
        <v>0.67282321899736142</v>
      </c>
      <c r="K2183" s="47">
        <f t="shared" si="171"/>
        <v>1.7350157728706676E-2</v>
      </c>
      <c r="L2183" s="8">
        <v>14.83</v>
      </c>
      <c r="M2183" s="8">
        <v>11.73</v>
      </c>
      <c r="N2183" s="8">
        <v>11.55</v>
      </c>
      <c r="O2183" s="17">
        <f t="shared" si="172"/>
        <v>0.17434000000000002</v>
      </c>
      <c r="P2183" s="17">
        <f t="shared" si="173"/>
        <v>6.6569999999999805</v>
      </c>
      <c r="R2183" s="9">
        <v>21.29</v>
      </c>
      <c r="S2183" s="9">
        <v>11.53</v>
      </c>
      <c r="T2183" s="9">
        <v>8013.2451099999998</v>
      </c>
      <c r="U2183" s="9">
        <v>5154</v>
      </c>
      <c r="V2183" s="45">
        <f t="shared" si="174"/>
        <v>0.55476234187039186</v>
      </c>
      <c r="W2183" s="12">
        <v>85.56</v>
      </c>
      <c r="X2183" s="12">
        <v>0.81</v>
      </c>
      <c r="Y2183" s="12">
        <v>20210728</v>
      </c>
    </row>
    <row r="2184" spans="1:25" x14ac:dyDescent="0.45">
      <c r="A2184" s="3" t="s">
        <v>3652</v>
      </c>
      <c r="B2184" s="3" t="s">
        <v>3653</v>
      </c>
      <c r="C2184" s="6" t="s">
        <v>518</v>
      </c>
      <c r="D2184" s="6" t="s">
        <v>327</v>
      </c>
      <c r="E2184" s="6" t="s">
        <v>354</v>
      </c>
      <c r="F2184" s="6">
        <v>9988.49</v>
      </c>
      <c r="G2184" s="2">
        <v>2.54</v>
      </c>
      <c r="H2184" s="2">
        <v>2.99</v>
      </c>
      <c r="I2184" s="2">
        <v>3.24</v>
      </c>
      <c r="J2184" s="47">
        <f t="shared" si="170"/>
        <v>0.17716535433070874</v>
      </c>
      <c r="K2184" s="47">
        <f t="shared" si="171"/>
        <v>8.3612040133779264E-2</v>
      </c>
      <c r="L2184" s="8">
        <v>15.39</v>
      </c>
      <c r="M2184" s="8">
        <v>15.98</v>
      </c>
      <c r="N2184" s="8">
        <v>14.77</v>
      </c>
      <c r="O2184" s="17">
        <f t="shared" si="172"/>
        <v>0.90198222222222191</v>
      </c>
      <c r="P2184" s="17">
        <f t="shared" si="173"/>
        <v>1.7664919999999997</v>
      </c>
      <c r="Q2184" s="5">
        <v>2</v>
      </c>
      <c r="R2184" s="9">
        <v>14.86</v>
      </c>
      <c r="S2184" s="9">
        <v>3.76</v>
      </c>
      <c r="U2184" s="9">
        <v>6559</v>
      </c>
      <c r="V2184" s="45">
        <f t="shared" si="174"/>
        <v>-1</v>
      </c>
      <c r="W2184" s="12">
        <v>15.7</v>
      </c>
      <c r="X2184" s="12">
        <v>2.76</v>
      </c>
      <c r="Y2184" s="12">
        <v>20210802</v>
      </c>
    </row>
    <row r="2185" spans="1:25" x14ac:dyDescent="0.45">
      <c r="A2185" s="3" t="s">
        <v>3654</v>
      </c>
      <c r="B2185" s="3" t="s">
        <v>3655</v>
      </c>
      <c r="C2185" s="6" t="s">
        <v>518</v>
      </c>
      <c r="D2185" s="6" t="s">
        <v>289</v>
      </c>
      <c r="E2185" s="6" t="s">
        <v>277</v>
      </c>
      <c r="F2185" s="6">
        <v>4573.6499999999996</v>
      </c>
      <c r="G2185" s="2">
        <v>0.18</v>
      </c>
      <c r="H2185" s="2">
        <v>0.23</v>
      </c>
      <c r="I2185" s="2">
        <v>0.28999999999999998</v>
      </c>
      <c r="J2185" s="47">
        <f t="shared" si="170"/>
        <v>0.2777777777777779</v>
      </c>
      <c r="K2185" s="47">
        <f t="shared" si="171"/>
        <v>0.26086956521739119</v>
      </c>
      <c r="L2185" s="8">
        <v>27.4</v>
      </c>
      <c r="M2185" s="8">
        <v>17.87</v>
      </c>
      <c r="N2185" s="8">
        <v>14.17</v>
      </c>
      <c r="O2185" s="17">
        <f t="shared" si="172"/>
        <v>0.64331999999999978</v>
      </c>
      <c r="P2185" s="17">
        <f t="shared" si="173"/>
        <v>0.54318333333333357</v>
      </c>
      <c r="Q2185" s="5">
        <v>0.7</v>
      </c>
      <c r="R2185" s="9">
        <v>8.7799999999999994</v>
      </c>
      <c r="S2185" s="9">
        <v>-5.88</v>
      </c>
      <c r="U2185" s="9">
        <v>15771.9</v>
      </c>
      <c r="V2185" s="45">
        <f t="shared" si="174"/>
        <v>-1</v>
      </c>
      <c r="X2185" s="12">
        <v>1.73</v>
      </c>
      <c r="Y2185" s="12">
        <v>20210811</v>
      </c>
    </row>
    <row r="2186" spans="1:25" x14ac:dyDescent="0.45">
      <c r="A2186" s="3" t="s">
        <v>5016</v>
      </c>
      <c r="B2186" s="3" t="s">
        <v>5017</v>
      </c>
      <c r="C2186" s="6" t="s">
        <v>519</v>
      </c>
      <c r="D2186" s="6" t="s">
        <v>309</v>
      </c>
      <c r="E2186" s="6" t="s">
        <v>310</v>
      </c>
      <c r="F2186" s="6">
        <v>11015.33</v>
      </c>
      <c r="G2186" s="2">
        <v>32.46</v>
      </c>
      <c r="H2186" s="2">
        <v>33.72</v>
      </c>
      <c r="J2186" s="47">
        <f t="shared" si="170"/>
        <v>3.8817005545286443E-2</v>
      </c>
      <c r="K2186" s="47">
        <f t="shared" si="171"/>
        <v>-1</v>
      </c>
      <c r="L2186" s="8">
        <v>18.04</v>
      </c>
      <c r="M2186" s="8">
        <v>16.66</v>
      </c>
      <c r="O2186" s="17">
        <f t="shared" si="172"/>
        <v>4.2919333333333407</v>
      </c>
      <c r="P2186" s="17">
        <f t="shared" si="173"/>
        <v>0</v>
      </c>
      <c r="R2186" s="9">
        <v>12.81</v>
      </c>
      <c r="S2186" s="9">
        <v>5.59</v>
      </c>
      <c r="T2186" s="9">
        <v>4625</v>
      </c>
      <c r="U2186" s="9">
        <v>4541.9799999999996</v>
      </c>
      <c r="V2186" s="45">
        <f t="shared" si="174"/>
        <v>1.8278371987547379E-2</v>
      </c>
      <c r="W2186" s="12">
        <v>-25.84</v>
      </c>
      <c r="X2186" s="12">
        <v>0</v>
      </c>
      <c r="Y2186" s="12">
        <v>20210804</v>
      </c>
    </row>
    <row r="2187" spans="1:25" x14ac:dyDescent="0.45">
      <c r="A2187" s="3" t="s">
        <v>3656</v>
      </c>
      <c r="B2187" s="3" t="s">
        <v>3657</v>
      </c>
      <c r="C2187" s="6" t="s">
        <v>518</v>
      </c>
      <c r="D2187" s="6" t="s">
        <v>279</v>
      </c>
      <c r="E2187" s="6" t="s">
        <v>261</v>
      </c>
      <c r="F2187" s="6">
        <v>13591.54</v>
      </c>
      <c r="G2187" s="2">
        <v>10.37</v>
      </c>
      <c r="H2187" s="2">
        <v>10.96</v>
      </c>
      <c r="I2187" s="2">
        <v>12.28</v>
      </c>
      <c r="J2187" s="47">
        <f t="shared" si="170"/>
        <v>5.6894889103182418E-2</v>
      </c>
      <c r="K2187" s="47">
        <f t="shared" si="171"/>
        <v>0.12043795620437941</v>
      </c>
      <c r="L2187" s="8">
        <v>13.47</v>
      </c>
      <c r="M2187" s="8">
        <v>14.55</v>
      </c>
      <c r="N2187" s="8">
        <v>12.99</v>
      </c>
      <c r="O2187" s="17">
        <f t="shared" si="172"/>
        <v>2.5573474576271114</v>
      </c>
      <c r="P2187" s="17">
        <f t="shared" si="173"/>
        <v>1.0785636363636377</v>
      </c>
      <c r="Q2187" s="5">
        <v>2.23</v>
      </c>
      <c r="R2187" s="9">
        <v>16.37</v>
      </c>
      <c r="S2187" s="9">
        <v>4.4400000000000004</v>
      </c>
      <c r="T2187" s="9">
        <v>12287.820309999999</v>
      </c>
      <c r="U2187" s="9">
        <v>11558.9</v>
      </c>
      <c r="V2187" s="45">
        <f t="shared" si="174"/>
        <v>6.3061390789780999E-2</v>
      </c>
      <c r="W2187" s="12">
        <v>13.49</v>
      </c>
      <c r="X2187" s="12">
        <v>0.5</v>
      </c>
      <c r="Y2187" s="12">
        <v>20210726</v>
      </c>
    </row>
    <row r="2188" spans="1:25" x14ac:dyDescent="0.45">
      <c r="A2188" s="3" t="s">
        <v>3658</v>
      </c>
      <c r="B2188" s="3" t="s">
        <v>3659</v>
      </c>
      <c r="C2188" s="6" t="s">
        <v>518</v>
      </c>
      <c r="D2188" s="6" t="s">
        <v>189</v>
      </c>
      <c r="E2188" s="6" t="s">
        <v>1610</v>
      </c>
      <c r="F2188" s="6">
        <v>19841.73</v>
      </c>
      <c r="G2188" s="2">
        <v>5.59</v>
      </c>
      <c r="H2188" s="2">
        <v>10.23</v>
      </c>
      <c r="I2188" s="2">
        <v>12.18</v>
      </c>
      <c r="J2188" s="47">
        <f t="shared" si="170"/>
        <v>0.8300536672629697</v>
      </c>
      <c r="K2188" s="47">
        <f t="shared" si="171"/>
        <v>0.19061583577712601</v>
      </c>
      <c r="L2188" s="8">
        <v>36.06</v>
      </c>
      <c r="M2188" s="8">
        <v>30.88</v>
      </c>
      <c r="N2188" s="8">
        <v>25.93</v>
      </c>
      <c r="O2188" s="17">
        <f t="shared" si="172"/>
        <v>0.37202413793103445</v>
      </c>
      <c r="P2188" s="17">
        <f t="shared" si="173"/>
        <v>1.360327692307693</v>
      </c>
      <c r="Q2188" s="5">
        <v>0.94</v>
      </c>
      <c r="R2188" s="9">
        <v>-277.26</v>
      </c>
      <c r="S2188" s="9">
        <v>18.54</v>
      </c>
      <c r="T2188" s="9">
        <v>1903.83996</v>
      </c>
      <c r="U2188" s="9">
        <v>1284.5</v>
      </c>
      <c r="V2188" s="45">
        <f t="shared" si="174"/>
        <v>0.48216423511093814</v>
      </c>
      <c r="W2188" s="12">
        <v>-11.2</v>
      </c>
      <c r="X2188" s="12">
        <v>0.51</v>
      </c>
      <c r="Y2188" s="12">
        <v>20210820</v>
      </c>
    </row>
    <row r="2189" spans="1:25" x14ac:dyDescent="0.45">
      <c r="A2189" s="3" t="s">
        <v>4403</v>
      </c>
      <c r="B2189" s="3" t="s">
        <v>4404</v>
      </c>
      <c r="C2189" s="6" t="s">
        <v>518</v>
      </c>
      <c r="D2189" s="6" t="s">
        <v>225</v>
      </c>
      <c r="E2189" s="6" t="s">
        <v>1152</v>
      </c>
      <c r="F2189" s="6">
        <v>157596.85999999999</v>
      </c>
      <c r="G2189" s="2">
        <v>2.9</v>
      </c>
      <c r="H2189" s="2">
        <v>2.95</v>
      </c>
      <c r="I2189" s="2">
        <v>3.13</v>
      </c>
      <c r="J2189" s="47">
        <f t="shared" si="170"/>
        <v>1.7241379310344921E-2</v>
      </c>
      <c r="K2189" s="47">
        <f t="shared" si="171"/>
        <v>6.1016949152542271E-2</v>
      </c>
      <c r="M2189" s="8">
        <v>20.32</v>
      </c>
      <c r="N2189" s="8">
        <v>19.149999999999999</v>
      </c>
      <c r="O2189" s="17">
        <f t="shared" si="172"/>
        <v>11.785599999999935</v>
      </c>
      <c r="P2189" s="17">
        <f t="shared" si="173"/>
        <v>3.138472222222227</v>
      </c>
      <c r="Q2189" s="5">
        <v>5.0199999999999996</v>
      </c>
      <c r="T2189" s="9">
        <v>62340.914060000003</v>
      </c>
      <c r="U2189" s="9">
        <v>57937.11</v>
      </c>
      <c r="V2189" s="45">
        <f t="shared" si="174"/>
        <v>7.6010074717223597E-2</v>
      </c>
      <c r="X2189" s="12">
        <v>3.41</v>
      </c>
    </row>
    <row r="2190" spans="1:25" x14ac:dyDescent="0.45">
      <c r="A2190" s="3" t="s">
        <v>4405</v>
      </c>
      <c r="B2190" s="3" t="s">
        <v>4406</v>
      </c>
      <c r="C2190" s="6" t="s">
        <v>519</v>
      </c>
      <c r="D2190" s="6" t="s">
        <v>309</v>
      </c>
      <c r="E2190" s="6" t="s">
        <v>307</v>
      </c>
      <c r="F2190" s="6">
        <v>4241.76</v>
      </c>
      <c r="H2190" s="2">
        <v>-0.9</v>
      </c>
      <c r="I2190" s="2">
        <v>1.08</v>
      </c>
      <c r="J2190" s="47" t="e">
        <f t="shared" si="170"/>
        <v>#DIV/0!</v>
      </c>
      <c r="K2190" s="47">
        <f t="shared" si="171"/>
        <v>2.1999999999999997</v>
      </c>
      <c r="N2190" s="8">
        <v>18.29</v>
      </c>
      <c r="O2190" s="17" t="e">
        <f t="shared" si="172"/>
        <v>#DIV/0!</v>
      </c>
      <c r="P2190" s="17">
        <f t="shared" si="173"/>
        <v>8.3136363636363647E-2</v>
      </c>
      <c r="T2190" s="9">
        <v>2295.2619599999998</v>
      </c>
      <c r="V2190" s="45" t="e">
        <f t="shared" si="174"/>
        <v>#DIV/0!</v>
      </c>
      <c r="W2190" s="12">
        <v>8.51</v>
      </c>
      <c r="X2190" s="12">
        <v>0</v>
      </c>
      <c r="Y2190" s="12">
        <v>20210812</v>
      </c>
    </row>
    <row r="2191" spans="1:25" x14ac:dyDescent="0.45">
      <c r="A2191" s="3" t="s">
        <v>3660</v>
      </c>
      <c r="B2191" s="3" t="s">
        <v>3661</v>
      </c>
      <c r="C2191" s="6" t="s">
        <v>519</v>
      </c>
      <c r="D2191" s="6" t="s">
        <v>303</v>
      </c>
      <c r="E2191" s="6" t="s">
        <v>292</v>
      </c>
      <c r="F2191" s="6">
        <v>18216.740000000002</v>
      </c>
      <c r="G2191" s="2">
        <v>3.14</v>
      </c>
      <c r="H2191" s="2">
        <v>12.02</v>
      </c>
      <c r="I2191" s="2">
        <v>13.81</v>
      </c>
      <c r="J2191" s="47">
        <f t="shared" si="170"/>
        <v>2.8280254777070057</v>
      </c>
      <c r="K2191" s="47">
        <f t="shared" si="171"/>
        <v>0.14891846921797014</v>
      </c>
      <c r="L2191" s="8">
        <v>33.67</v>
      </c>
      <c r="M2191" s="8">
        <v>27.69</v>
      </c>
      <c r="N2191" s="8">
        <v>24.09</v>
      </c>
      <c r="O2191" s="17">
        <f t="shared" si="172"/>
        <v>9.7912837837837857E-2</v>
      </c>
      <c r="P2191" s="17">
        <f t="shared" si="173"/>
        <v>1.617663687150837</v>
      </c>
      <c r="Q2191" s="5">
        <v>1.68</v>
      </c>
      <c r="R2191" s="9">
        <v>29.86</v>
      </c>
      <c r="S2191" s="9">
        <v>9.01</v>
      </c>
      <c r="T2191" s="9">
        <v>7789.7978499999999</v>
      </c>
      <c r="U2191" s="9">
        <v>6151.95</v>
      </c>
      <c r="V2191" s="45">
        <f t="shared" si="174"/>
        <v>0.26623230845504275</v>
      </c>
      <c r="W2191" s="12">
        <v>113.54</v>
      </c>
      <c r="X2191" s="12">
        <v>0</v>
      </c>
      <c r="Y2191" s="12">
        <v>20210826</v>
      </c>
    </row>
    <row r="2192" spans="1:25" x14ac:dyDescent="0.45">
      <c r="A2192" s="3" t="s">
        <v>3662</v>
      </c>
      <c r="B2192" s="3" t="s">
        <v>3663</v>
      </c>
      <c r="C2192" s="6" t="s">
        <v>519</v>
      </c>
      <c r="D2192" s="6" t="s">
        <v>234</v>
      </c>
      <c r="E2192" s="6" t="s">
        <v>168</v>
      </c>
      <c r="F2192" s="6">
        <v>4559.7700000000004</v>
      </c>
      <c r="G2192" s="2">
        <v>4.32</v>
      </c>
      <c r="H2192" s="2">
        <v>7.04</v>
      </c>
      <c r="I2192" s="2">
        <v>6.02</v>
      </c>
      <c r="J2192" s="47">
        <f t="shared" si="170"/>
        <v>0.62962962962962954</v>
      </c>
      <c r="K2192" s="47">
        <f t="shared" si="171"/>
        <v>-0.1448863636363637</v>
      </c>
      <c r="L2192" s="8">
        <v>11.67</v>
      </c>
      <c r="M2192" s="8">
        <v>13.4</v>
      </c>
      <c r="N2192" s="8">
        <v>15.67</v>
      </c>
      <c r="O2192" s="17">
        <f t="shared" si="172"/>
        <v>0.21282352941176474</v>
      </c>
      <c r="P2192" s="17">
        <f t="shared" si="173"/>
        <v>-1.0815372549019602</v>
      </c>
      <c r="Q2192" s="5">
        <v>0.75</v>
      </c>
      <c r="R2192" s="9">
        <v>13.46</v>
      </c>
      <c r="S2192" s="9">
        <v>7.99</v>
      </c>
      <c r="T2192" s="9">
        <v>1248.43298</v>
      </c>
      <c r="U2192" s="9">
        <v>1368.66</v>
      </c>
      <c r="V2192" s="45">
        <f t="shared" si="174"/>
        <v>-8.7842868206859284E-2</v>
      </c>
      <c r="W2192" s="12">
        <v>29.93</v>
      </c>
      <c r="X2192" s="12">
        <v>1.36</v>
      </c>
      <c r="Y2192" s="12">
        <v>20210727</v>
      </c>
    </row>
    <row r="2193" spans="1:25" x14ac:dyDescent="0.45">
      <c r="A2193" s="3" t="s">
        <v>4407</v>
      </c>
      <c r="B2193" s="3" t="s">
        <v>4408</v>
      </c>
      <c r="C2193" s="6" t="s">
        <v>518</v>
      </c>
      <c r="D2193" s="6" t="s">
        <v>189</v>
      </c>
      <c r="E2193" s="6" t="s">
        <v>213</v>
      </c>
      <c r="F2193" s="6">
        <v>21619.06</v>
      </c>
      <c r="H2193" s="2">
        <v>0.55000000000000004</v>
      </c>
      <c r="I2193" s="2">
        <v>0.61</v>
      </c>
      <c r="J2193" s="47" t="e">
        <f t="shared" si="170"/>
        <v>#DIV/0!</v>
      </c>
      <c r="K2193" s="47">
        <f t="shared" si="171"/>
        <v>0.10909090909090897</v>
      </c>
      <c r="L2193" s="8">
        <v>17.399999999999999</v>
      </c>
      <c r="M2193" s="8">
        <v>16.760000000000002</v>
      </c>
      <c r="N2193" s="8">
        <v>15.11</v>
      </c>
      <c r="O2193" s="17" t="e">
        <f t="shared" si="172"/>
        <v>#DIV/0!</v>
      </c>
      <c r="P2193" s="17">
        <f t="shared" si="173"/>
        <v>1.3850833333333348</v>
      </c>
      <c r="Q2193" s="5">
        <v>0.86</v>
      </c>
      <c r="R2193" s="9">
        <v>16.53</v>
      </c>
      <c r="S2193" s="9">
        <v>5.25</v>
      </c>
      <c r="U2193" s="9">
        <v>6209</v>
      </c>
      <c r="V2193" s="45">
        <f t="shared" si="174"/>
        <v>-1</v>
      </c>
      <c r="W2193" s="12">
        <v>36.36</v>
      </c>
      <c r="X2193" s="12">
        <v>1.06</v>
      </c>
      <c r="Y2193" s="12">
        <v>20210804</v>
      </c>
    </row>
    <row r="2194" spans="1:25" x14ac:dyDescent="0.45">
      <c r="A2194" s="3" t="s">
        <v>3664</v>
      </c>
      <c r="B2194" s="3" t="s">
        <v>3665</v>
      </c>
      <c r="C2194" s="6" t="s">
        <v>519</v>
      </c>
      <c r="D2194" s="6" t="s">
        <v>234</v>
      </c>
      <c r="E2194" s="6" t="s">
        <v>181</v>
      </c>
      <c r="F2194" s="6">
        <v>4205.08</v>
      </c>
      <c r="G2194" s="2">
        <v>-7.08</v>
      </c>
      <c r="H2194" s="2">
        <v>1.72</v>
      </c>
      <c r="I2194" s="2">
        <v>1.64</v>
      </c>
      <c r="J2194" s="47">
        <f t="shared" si="170"/>
        <v>1.2429378531073447</v>
      </c>
      <c r="K2194" s="47">
        <f t="shared" si="171"/>
        <v>-4.6511627906976785E-2</v>
      </c>
      <c r="L2194" s="8">
        <v>9.6300000000000008</v>
      </c>
      <c r="M2194" s="8">
        <v>11.09</v>
      </c>
      <c r="N2194" s="8">
        <v>11.59</v>
      </c>
      <c r="O2194" s="17">
        <f t="shared" si="172"/>
        <v>8.9224090909090892E-2</v>
      </c>
      <c r="P2194" s="17">
        <f t="shared" si="173"/>
        <v>-2.4918499999999981</v>
      </c>
      <c r="R2194" s="9">
        <v>16.559999999999999</v>
      </c>
      <c r="S2194" s="9">
        <v>5.22</v>
      </c>
      <c r="T2194" s="9">
        <v>1261.5</v>
      </c>
      <c r="U2194" s="9">
        <v>1424.64</v>
      </c>
      <c r="V2194" s="45">
        <f t="shared" si="174"/>
        <v>-0.11451314016172513</v>
      </c>
      <c r="W2194" s="12">
        <v>8.89</v>
      </c>
      <c r="X2194" s="12">
        <v>4.41</v>
      </c>
      <c r="Y2194" s="12">
        <v>20210728</v>
      </c>
    </row>
    <row r="2195" spans="1:25" x14ac:dyDescent="0.45">
      <c r="A2195" s="3" t="s">
        <v>3666</v>
      </c>
      <c r="B2195" s="3" t="s">
        <v>3667</v>
      </c>
      <c r="C2195" s="6" t="s">
        <v>520</v>
      </c>
      <c r="D2195" s="6" t="s">
        <v>234</v>
      </c>
      <c r="E2195" s="6" t="s">
        <v>105</v>
      </c>
      <c r="F2195" s="6">
        <v>29904</v>
      </c>
      <c r="G2195" s="2">
        <v>0.23</v>
      </c>
      <c r="H2195" s="2">
        <v>1.57</v>
      </c>
      <c r="I2195" s="2">
        <v>1.62</v>
      </c>
      <c r="J2195" s="47">
        <f t="shared" si="170"/>
        <v>5.8260869565217392</v>
      </c>
      <c r="K2195" s="47">
        <f t="shared" si="171"/>
        <v>3.1847133757961811E-2</v>
      </c>
      <c r="M2195" s="8">
        <v>8.5299999999999994</v>
      </c>
      <c r="N2195" s="8">
        <v>8.27</v>
      </c>
      <c r="O2195" s="17">
        <f t="shared" si="172"/>
        <v>1.4641044776119402E-2</v>
      </c>
      <c r="P2195" s="17">
        <f t="shared" si="173"/>
        <v>2.5967799999999976</v>
      </c>
      <c r="T2195" s="9">
        <v>21316.41015</v>
      </c>
      <c r="U2195" s="9">
        <v>22872.62</v>
      </c>
      <c r="V2195" s="45">
        <f t="shared" si="174"/>
        <v>-6.8038110631838386E-2</v>
      </c>
      <c r="X2195" s="12">
        <v>0</v>
      </c>
      <c r="Y2195" s="12">
        <v>20210616</v>
      </c>
    </row>
    <row r="2196" spans="1:25" x14ac:dyDescent="0.45">
      <c r="A2196" s="3" t="s">
        <v>3668</v>
      </c>
      <c r="B2196" s="3" t="s">
        <v>3669</v>
      </c>
      <c r="C2196" s="6" t="s">
        <v>518</v>
      </c>
      <c r="D2196" s="6" t="s">
        <v>272</v>
      </c>
      <c r="E2196" s="6" t="s">
        <v>1336</v>
      </c>
      <c r="F2196" s="6">
        <v>4215.8599999999997</v>
      </c>
      <c r="G2196" s="2">
        <v>7.09</v>
      </c>
      <c r="H2196" s="2">
        <v>7.64</v>
      </c>
      <c r="I2196" s="2">
        <v>8.1</v>
      </c>
      <c r="J2196" s="47">
        <f t="shared" si="170"/>
        <v>7.7574047954865985E-2</v>
      </c>
      <c r="K2196" s="47">
        <f t="shared" si="171"/>
        <v>6.0209424083769635E-2</v>
      </c>
      <c r="L2196" s="8">
        <v>33.380000000000003</v>
      </c>
      <c r="M2196" s="8">
        <v>29.25</v>
      </c>
      <c r="N2196" s="8">
        <v>27.56</v>
      </c>
      <c r="O2196" s="17">
        <f t="shared" si="172"/>
        <v>3.77059090909091</v>
      </c>
      <c r="P2196" s="17">
        <f t="shared" si="173"/>
        <v>4.5773565217391301</v>
      </c>
      <c r="R2196" s="9">
        <v>7.25</v>
      </c>
      <c r="S2196" s="9">
        <v>5.29</v>
      </c>
      <c r="T2196" s="9">
        <v>1800.7020199999999</v>
      </c>
      <c r="U2196" s="9">
        <v>1804.16</v>
      </c>
      <c r="V2196" s="45">
        <f t="shared" si="174"/>
        <v>-1.9166703618305105E-3</v>
      </c>
      <c r="W2196" s="12">
        <v>2.4</v>
      </c>
      <c r="X2196" s="12">
        <v>0.45</v>
      </c>
      <c r="Y2196" s="12">
        <v>20210707</v>
      </c>
    </row>
    <row r="2197" spans="1:25" x14ac:dyDescent="0.45">
      <c r="A2197" s="3" t="s">
        <v>3670</v>
      </c>
      <c r="B2197" s="3" t="s">
        <v>3671</v>
      </c>
      <c r="C2197" s="6" t="s">
        <v>518</v>
      </c>
      <c r="D2197" s="6" t="s">
        <v>279</v>
      </c>
      <c r="E2197" s="6" t="s">
        <v>260</v>
      </c>
      <c r="F2197" s="6">
        <v>378518.94</v>
      </c>
      <c r="G2197" s="2">
        <v>16.77</v>
      </c>
      <c r="H2197" s="2">
        <v>18.61</v>
      </c>
      <c r="I2197" s="2">
        <v>19.760000000000002</v>
      </c>
      <c r="J2197" s="47">
        <f t="shared" si="170"/>
        <v>0.10971973762671436</v>
      </c>
      <c r="K2197" s="47">
        <f t="shared" si="171"/>
        <v>6.1794734013971099E-2</v>
      </c>
      <c r="L2197" s="8">
        <v>21.73</v>
      </c>
      <c r="M2197" s="8">
        <v>21.56</v>
      </c>
      <c r="N2197" s="8">
        <v>20.3</v>
      </c>
      <c r="O2197" s="17">
        <f t="shared" si="172"/>
        <v>1.9650065217391306</v>
      </c>
      <c r="P2197" s="17">
        <f t="shared" si="173"/>
        <v>3.2850695652173854</v>
      </c>
      <c r="Q2197" s="5">
        <v>1.63</v>
      </c>
      <c r="R2197" s="9">
        <v>26.04</v>
      </c>
      <c r="S2197" s="9">
        <v>8.9499999999999993</v>
      </c>
      <c r="T2197" s="9">
        <v>282159.3125</v>
      </c>
      <c r="U2197" s="9">
        <v>257141</v>
      </c>
      <c r="V2197" s="45">
        <f t="shared" si="174"/>
        <v>9.7294140179901303E-2</v>
      </c>
      <c r="W2197" s="12">
        <v>20.14</v>
      </c>
      <c r="X2197" s="12">
        <v>1.25</v>
      </c>
      <c r="Y2197" s="12">
        <v>20210721</v>
      </c>
    </row>
    <row r="2198" spans="1:25" x14ac:dyDescent="0.45">
      <c r="A2198" s="3" t="s">
        <v>3672</v>
      </c>
      <c r="B2198" s="3" t="s">
        <v>3673</v>
      </c>
      <c r="C2198" s="6" t="s">
        <v>520</v>
      </c>
      <c r="D2198" s="6" t="s">
        <v>216</v>
      </c>
      <c r="E2198" s="6" t="s">
        <v>946</v>
      </c>
      <c r="F2198" s="6">
        <v>23638.25</v>
      </c>
      <c r="G2198" s="2">
        <v>0.22</v>
      </c>
      <c r="H2198" s="2">
        <v>0.24</v>
      </c>
      <c r="I2198" s="2">
        <v>0.25</v>
      </c>
      <c r="J2198" s="47">
        <f t="shared" si="170"/>
        <v>9.090909090909087E-2</v>
      </c>
      <c r="K2198" s="47">
        <f t="shared" si="171"/>
        <v>4.1666666666666706E-2</v>
      </c>
      <c r="L2198" s="8">
        <v>61.23</v>
      </c>
      <c r="M2198" s="8">
        <v>33.17</v>
      </c>
      <c r="N2198" s="8">
        <v>31.22</v>
      </c>
      <c r="O2198" s="17">
        <f t="shared" si="172"/>
        <v>3.6487000000000021</v>
      </c>
      <c r="P2198" s="17">
        <f t="shared" si="173"/>
        <v>7.4927999999999928</v>
      </c>
      <c r="R2198" s="9">
        <v>7.58</v>
      </c>
      <c r="T2198" s="9">
        <v>7149.89599</v>
      </c>
      <c r="U2198" s="9">
        <v>6553.8</v>
      </c>
      <c r="V2198" s="45">
        <f t="shared" si="174"/>
        <v>9.0954254020568184E-2</v>
      </c>
      <c r="X2198" s="12">
        <v>0.56000000000000005</v>
      </c>
      <c r="Y2198" s="12">
        <v>20210610</v>
      </c>
    </row>
    <row r="2199" spans="1:25" x14ac:dyDescent="0.45">
      <c r="A2199" s="3" t="s">
        <v>3674</v>
      </c>
      <c r="B2199" s="3" t="s">
        <v>3675</v>
      </c>
      <c r="C2199" s="6" t="s">
        <v>518</v>
      </c>
      <c r="D2199" s="6" t="s">
        <v>234</v>
      </c>
      <c r="E2199" s="6" t="s">
        <v>238</v>
      </c>
      <c r="F2199" s="6">
        <v>6325.33</v>
      </c>
      <c r="G2199" s="2">
        <v>4.9800000000000004</v>
      </c>
      <c r="H2199" s="2">
        <v>4.7300000000000004</v>
      </c>
      <c r="I2199" s="2">
        <v>5.4</v>
      </c>
      <c r="J2199" s="47">
        <f t="shared" si="170"/>
        <v>-5.0200803212851398E-2</v>
      </c>
      <c r="K2199" s="47">
        <f t="shared" si="171"/>
        <v>0.14164904862579278</v>
      </c>
      <c r="L2199" s="8">
        <v>6.69</v>
      </c>
      <c r="M2199" s="8">
        <v>6.55</v>
      </c>
      <c r="N2199" s="8">
        <v>5.73</v>
      </c>
      <c r="O2199" s="17">
        <f t="shared" si="172"/>
        <v>-1.3047600000000001</v>
      </c>
      <c r="P2199" s="17">
        <f t="shared" si="173"/>
        <v>0.40452089552238818</v>
      </c>
      <c r="Q2199" s="5">
        <v>1.97</v>
      </c>
      <c r="R2199" s="9">
        <v>8.8000000000000007</v>
      </c>
      <c r="S2199" s="9">
        <v>3.32</v>
      </c>
      <c r="T2199" s="9">
        <v>11772.489250000001</v>
      </c>
      <c r="U2199" s="9">
        <v>13162.1</v>
      </c>
      <c r="V2199" s="45">
        <f t="shared" si="174"/>
        <v>-0.10557667469476753</v>
      </c>
      <c r="W2199" s="12">
        <v>6.12</v>
      </c>
      <c r="X2199" s="12">
        <v>3.68</v>
      </c>
      <c r="Y2199" s="12">
        <v>20210727</v>
      </c>
    </row>
    <row r="2200" spans="1:25" x14ac:dyDescent="0.45">
      <c r="A2200" s="3" t="s">
        <v>3676</v>
      </c>
      <c r="B2200" s="3" t="s">
        <v>3677</v>
      </c>
      <c r="C2200" s="6" t="s">
        <v>518</v>
      </c>
      <c r="D2200" s="6" t="s">
        <v>309</v>
      </c>
      <c r="E2200" s="6" t="s">
        <v>311</v>
      </c>
      <c r="F2200" s="6">
        <v>147143.01999999999</v>
      </c>
      <c r="G2200" s="2">
        <v>8.06</v>
      </c>
      <c r="H2200" s="2">
        <v>9.56</v>
      </c>
      <c r="I2200" s="2">
        <v>10.8</v>
      </c>
      <c r="J2200" s="47">
        <f t="shared" si="170"/>
        <v>0.18610421836228286</v>
      </c>
      <c r="K2200" s="47">
        <f t="shared" si="171"/>
        <v>0.1297071129707113</v>
      </c>
      <c r="L2200" s="8">
        <v>27.55</v>
      </c>
      <c r="M2200" s="8">
        <v>23.17</v>
      </c>
      <c r="N2200" s="8">
        <v>20.5</v>
      </c>
      <c r="O2200" s="17">
        <f t="shared" si="172"/>
        <v>1.2450013333333334</v>
      </c>
      <c r="P2200" s="17">
        <f t="shared" si="173"/>
        <v>1.5804838709677418</v>
      </c>
      <c r="Q2200" s="5">
        <v>2.3199999999999998</v>
      </c>
      <c r="R2200" s="9">
        <v>32.450000000000003</v>
      </c>
      <c r="S2200" s="9">
        <v>-0.08</v>
      </c>
      <c r="T2200" s="9">
        <v>21191.16015</v>
      </c>
      <c r="U2200" s="9">
        <v>19533</v>
      </c>
      <c r="V2200" s="45">
        <f t="shared" si="174"/>
        <v>8.4890193518660714E-2</v>
      </c>
      <c r="W2200" s="12">
        <v>-2.91</v>
      </c>
      <c r="X2200" s="12">
        <v>1.93</v>
      </c>
      <c r="Y2200" s="12">
        <v>20210722</v>
      </c>
    </row>
    <row r="2201" spans="1:25" x14ac:dyDescent="0.45">
      <c r="A2201" s="3" t="s">
        <v>3945</v>
      </c>
      <c r="B2201" s="3" t="s">
        <v>3678</v>
      </c>
      <c r="C2201" s="6" t="s">
        <v>518</v>
      </c>
      <c r="D2201" s="6" t="s">
        <v>90</v>
      </c>
      <c r="E2201" s="6" t="s">
        <v>196</v>
      </c>
      <c r="F2201" s="6">
        <v>4672.13</v>
      </c>
      <c r="G2201" s="2">
        <v>1.25</v>
      </c>
      <c r="H2201" s="2">
        <v>1.69</v>
      </c>
      <c r="I2201" s="2">
        <v>1.92</v>
      </c>
      <c r="J2201" s="47">
        <f t="shared" si="170"/>
        <v>0.35199999999999998</v>
      </c>
      <c r="K2201" s="47">
        <f t="shared" si="171"/>
        <v>0.13609467455621302</v>
      </c>
      <c r="L2201" s="8">
        <v>20.11</v>
      </c>
      <c r="M2201" s="8">
        <v>16.27</v>
      </c>
      <c r="N2201" s="8">
        <v>14.37</v>
      </c>
      <c r="O2201" s="17">
        <f t="shared" si="172"/>
        <v>0.46221590909090915</v>
      </c>
      <c r="P2201" s="17">
        <f t="shared" si="173"/>
        <v>1.0558826086956521</v>
      </c>
      <c r="Q2201" s="5">
        <v>1.17</v>
      </c>
      <c r="R2201" s="9">
        <v>13.11</v>
      </c>
      <c r="S2201" s="9">
        <v>1.52</v>
      </c>
      <c r="T2201" s="9">
        <v>8883.2646399999994</v>
      </c>
      <c r="U2201" s="9">
        <v>8265</v>
      </c>
      <c r="V2201" s="45">
        <f t="shared" si="174"/>
        <v>7.4805159104658125E-2</v>
      </c>
      <c r="W2201" s="12">
        <v>34.380000000000003</v>
      </c>
      <c r="X2201" s="12">
        <v>0</v>
      </c>
      <c r="Y2201" s="12">
        <v>20210805</v>
      </c>
    </row>
    <row r="2202" spans="1:25" x14ac:dyDescent="0.45">
      <c r="A2202" s="3" t="s">
        <v>3679</v>
      </c>
      <c r="B2202" s="3" t="s">
        <v>3680</v>
      </c>
      <c r="C2202" s="6" t="s">
        <v>518</v>
      </c>
      <c r="D2202" s="6" t="s">
        <v>309</v>
      </c>
      <c r="E2202" s="6" t="s">
        <v>1698</v>
      </c>
      <c r="F2202" s="6">
        <v>175029.28</v>
      </c>
      <c r="G2202" s="2">
        <v>7.68</v>
      </c>
      <c r="H2202" s="2">
        <v>10.68</v>
      </c>
      <c r="I2202" s="2">
        <v>10.88</v>
      </c>
      <c r="J2202" s="47">
        <f t="shared" si="170"/>
        <v>0.390625</v>
      </c>
      <c r="K2202" s="47">
        <f t="shared" si="171"/>
        <v>1.8726591760299727E-2</v>
      </c>
      <c r="L2202" s="8">
        <v>20.43</v>
      </c>
      <c r="M2202" s="8">
        <v>18.829999999999998</v>
      </c>
      <c r="N2202" s="8">
        <v>18.48</v>
      </c>
      <c r="O2202" s="17">
        <f t="shared" si="172"/>
        <v>0.48204799999999998</v>
      </c>
      <c r="P2202" s="17">
        <f t="shared" si="173"/>
        <v>9.8683199999999474</v>
      </c>
      <c r="Q2202" s="5">
        <v>1.67</v>
      </c>
      <c r="R2202" s="9">
        <v>193.06</v>
      </c>
      <c r="S2202" s="9">
        <v>7.87</v>
      </c>
      <c r="T2202" s="9">
        <v>90804.078120000006</v>
      </c>
      <c r="U2202" s="9">
        <v>84628</v>
      </c>
      <c r="V2202" s="45">
        <f t="shared" si="174"/>
        <v>7.2979133620078532E-2</v>
      </c>
      <c r="W2202" s="12">
        <v>65.87</v>
      </c>
      <c r="X2202" s="12">
        <v>2.0299999999999998</v>
      </c>
      <c r="Y2202" s="12">
        <v>20210729</v>
      </c>
    </row>
    <row r="2203" spans="1:25" x14ac:dyDescent="0.45">
      <c r="A2203" s="3" t="s">
        <v>3681</v>
      </c>
      <c r="B2203" s="3" t="s">
        <v>3682</v>
      </c>
      <c r="C2203" s="6" t="s">
        <v>519</v>
      </c>
      <c r="D2203" s="6" t="s">
        <v>189</v>
      </c>
      <c r="E2203" s="6" t="s">
        <v>204</v>
      </c>
      <c r="F2203" s="6">
        <v>11722.5</v>
      </c>
      <c r="G2203" s="2">
        <v>0.16</v>
      </c>
      <c r="H2203" s="2">
        <v>0.71</v>
      </c>
      <c r="I2203" s="2">
        <v>1.49</v>
      </c>
      <c r="J2203" s="47">
        <f t="shared" si="170"/>
        <v>3.4374999999999996</v>
      </c>
      <c r="K2203" s="47">
        <f t="shared" si="171"/>
        <v>1.0985915492957747</v>
      </c>
      <c r="M2203" s="8">
        <v>215.7</v>
      </c>
      <c r="N2203" s="8">
        <v>102.3</v>
      </c>
      <c r="O2203" s="17">
        <f t="shared" si="172"/>
        <v>0.62749090909090921</v>
      </c>
      <c r="P2203" s="17">
        <f t="shared" si="173"/>
        <v>0.93119230769230765</v>
      </c>
      <c r="T2203" s="9">
        <v>602.84996999999998</v>
      </c>
      <c r="U2203" s="9">
        <v>233.42</v>
      </c>
      <c r="V2203" s="45">
        <f t="shared" si="174"/>
        <v>1.5826834461485735</v>
      </c>
      <c r="W2203" s="12">
        <v>46.67</v>
      </c>
      <c r="X2203" s="12">
        <v>0</v>
      </c>
      <c r="Y2203" s="12">
        <v>20210810</v>
      </c>
    </row>
    <row r="2204" spans="1:25" x14ac:dyDescent="0.45">
      <c r="A2204" s="3" t="s">
        <v>3683</v>
      </c>
      <c r="B2204" s="3" t="s">
        <v>3684</v>
      </c>
      <c r="C2204" s="6" t="s">
        <v>519</v>
      </c>
      <c r="D2204" s="6" t="s">
        <v>189</v>
      </c>
      <c r="E2204" s="6" t="s">
        <v>247</v>
      </c>
      <c r="F2204" s="6">
        <v>6245.43</v>
      </c>
      <c r="G2204" s="2">
        <v>-0.28000000000000003</v>
      </c>
      <c r="H2204" s="2">
        <v>-0.17</v>
      </c>
      <c r="I2204" s="2">
        <v>-0.03</v>
      </c>
      <c r="J2204" s="47">
        <f t="shared" si="170"/>
        <v>0.39285714285714285</v>
      </c>
      <c r="K2204" s="47">
        <f t="shared" si="171"/>
        <v>0.82352941176470595</v>
      </c>
      <c r="O2204" s="17">
        <f t="shared" si="172"/>
        <v>0</v>
      </c>
      <c r="P2204" s="17">
        <f t="shared" si="173"/>
        <v>0</v>
      </c>
      <c r="R2204" s="9">
        <v>-7.15</v>
      </c>
      <c r="T2204" s="9">
        <v>475.85998000000001</v>
      </c>
      <c r="U2204" s="9">
        <v>373.63</v>
      </c>
      <c r="V2204" s="45">
        <f t="shared" si="174"/>
        <v>0.27361287905146808</v>
      </c>
      <c r="W2204" s="12">
        <v>-50</v>
      </c>
      <c r="X2204" s="12">
        <v>0</v>
      </c>
      <c r="Y2204" s="12">
        <v>20210803</v>
      </c>
    </row>
    <row r="2205" spans="1:25" x14ac:dyDescent="0.45">
      <c r="A2205" s="3" t="s">
        <v>3946</v>
      </c>
      <c r="B2205" s="3" t="s">
        <v>3947</v>
      </c>
      <c r="C2205" s="6" t="s">
        <v>519</v>
      </c>
      <c r="D2205" s="6" t="s">
        <v>303</v>
      </c>
      <c r="E2205" s="6" t="s">
        <v>290</v>
      </c>
      <c r="F2205" s="6">
        <v>3715.48</v>
      </c>
      <c r="G2205" s="2">
        <v>0</v>
      </c>
      <c r="H2205" s="2">
        <v>2.36</v>
      </c>
      <c r="I2205" s="2">
        <v>2.66</v>
      </c>
      <c r="J2205" s="47" t="e">
        <f t="shared" si="170"/>
        <v>#DIV/0!</v>
      </c>
      <c r="K2205" s="47">
        <f t="shared" si="171"/>
        <v>0.12711864406779674</v>
      </c>
      <c r="L2205" s="8">
        <v>19.2</v>
      </c>
      <c r="M2205" s="8">
        <v>16.03</v>
      </c>
      <c r="N2205" s="8">
        <v>14.22</v>
      </c>
      <c r="O2205" s="17" t="e">
        <f t="shared" si="172"/>
        <v>#DIV/0!</v>
      </c>
      <c r="P2205" s="17">
        <f t="shared" si="173"/>
        <v>1.1186399999999987</v>
      </c>
      <c r="Q2205" s="5">
        <v>1.39</v>
      </c>
      <c r="R2205" s="9">
        <v>13.39</v>
      </c>
      <c r="S2205" s="9">
        <v>1.1200000000000001</v>
      </c>
      <c r="T2205" s="9">
        <v>4279.3198199999997</v>
      </c>
      <c r="U2205" s="9">
        <v>3449.75</v>
      </c>
      <c r="V2205" s="45">
        <f t="shared" si="174"/>
        <v>0.24047244582940785</v>
      </c>
      <c r="W2205" s="12">
        <v>237.5</v>
      </c>
      <c r="X2205" s="12">
        <v>0</v>
      </c>
      <c r="Y2205" s="12">
        <v>20210824</v>
      </c>
    </row>
    <row r="2206" spans="1:25" x14ac:dyDescent="0.45">
      <c r="A2206" s="3" t="s">
        <v>3685</v>
      </c>
      <c r="B2206" s="3" t="s">
        <v>3686</v>
      </c>
      <c r="C2206" s="6" t="s">
        <v>518</v>
      </c>
      <c r="D2206" s="6" t="s">
        <v>210</v>
      </c>
      <c r="E2206" s="6" t="s">
        <v>191</v>
      </c>
      <c r="F2206" s="6">
        <v>22778.13</v>
      </c>
      <c r="G2206" s="2">
        <v>16.77</v>
      </c>
      <c r="H2206" s="2">
        <v>21.07</v>
      </c>
      <c r="I2206" s="2">
        <v>24.21</v>
      </c>
      <c r="J2206" s="47">
        <f t="shared" si="170"/>
        <v>0.25641025641025644</v>
      </c>
      <c r="K2206" s="47">
        <f t="shared" si="171"/>
        <v>0.14902705268153776</v>
      </c>
      <c r="L2206" s="8">
        <v>17.91</v>
      </c>
      <c r="M2206" s="8">
        <v>14.94</v>
      </c>
      <c r="N2206" s="8">
        <v>13</v>
      </c>
      <c r="O2206" s="17">
        <f t="shared" si="172"/>
        <v>0.58265999999999984</v>
      </c>
      <c r="P2206" s="17">
        <f t="shared" si="173"/>
        <v>0.87232484076433103</v>
      </c>
      <c r="Q2206" s="5">
        <v>1.1100000000000001</v>
      </c>
      <c r="R2206" s="9">
        <v>29.36</v>
      </c>
      <c r="S2206" s="9">
        <v>12.17</v>
      </c>
      <c r="T2206" s="9">
        <v>9314.8222600000008</v>
      </c>
      <c r="U2206" s="9">
        <v>8530</v>
      </c>
      <c r="V2206" s="45">
        <f t="shared" si="174"/>
        <v>9.2007298944900451E-2</v>
      </c>
      <c r="W2206" s="12">
        <v>11.29</v>
      </c>
      <c r="X2206" s="12">
        <v>0</v>
      </c>
      <c r="Y2206" s="12">
        <v>20210804</v>
      </c>
    </row>
    <row r="2207" spans="1:25" x14ac:dyDescent="0.45">
      <c r="A2207" s="3" t="s">
        <v>3687</v>
      </c>
      <c r="B2207" s="3" t="s">
        <v>3688</v>
      </c>
      <c r="C2207" s="6" t="s">
        <v>518</v>
      </c>
      <c r="D2207" s="6" t="s">
        <v>234</v>
      </c>
      <c r="E2207" s="6" t="s">
        <v>154</v>
      </c>
      <c r="F2207" s="6">
        <v>88263.42</v>
      </c>
      <c r="G2207" s="2">
        <v>3.06</v>
      </c>
      <c r="H2207" s="2">
        <v>4.72</v>
      </c>
      <c r="I2207" s="2">
        <v>4.3499999999999996</v>
      </c>
      <c r="J2207" s="47">
        <f t="shared" si="170"/>
        <v>0.5424836601307188</v>
      </c>
      <c r="K2207" s="47">
        <f t="shared" si="171"/>
        <v>-7.8389830508474603E-2</v>
      </c>
      <c r="L2207" s="8">
        <v>15.59</v>
      </c>
      <c r="M2207" s="8">
        <v>12.56</v>
      </c>
      <c r="N2207" s="8">
        <v>13.61</v>
      </c>
      <c r="O2207" s="17">
        <f t="shared" si="172"/>
        <v>0.23152771084337356</v>
      </c>
      <c r="P2207" s="17">
        <f t="shared" si="173"/>
        <v>-1.736194594594594</v>
      </c>
      <c r="Q2207" s="5">
        <v>1.93</v>
      </c>
      <c r="R2207" s="9">
        <v>12.52</v>
      </c>
      <c r="S2207" s="9">
        <v>3.79</v>
      </c>
      <c r="T2207" s="9">
        <v>22576.742180000001</v>
      </c>
      <c r="U2207" s="9">
        <v>25241</v>
      </c>
      <c r="V2207" s="45">
        <f t="shared" si="174"/>
        <v>-0.10555278396260048</v>
      </c>
      <c r="W2207" s="12">
        <v>52.63</v>
      </c>
      <c r="X2207" s="12">
        <v>2.84</v>
      </c>
      <c r="Y2207" s="12">
        <v>20210721</v>
      </c>
    </row>
    <row r="2208" spans="1:25" x14ac:dyDescent="0.45">
      <c r="A2208" s="3" t="s">
        <v>3689</v>
      </c>
      <c r="B2208" s="3" t="s">
        <v>3690</v>
      </c>
      <c r="C2208" s="6" t="s">
        <v>518</v>
      </c>
      <c r="D2208" s="6" t="s">
        <v>225</v>
      </c>
      <c r="E2208" s="6" t="s">
        <v>226</v>
      </c>
      <c r="F2208" s="6">
        <v>8647.89</v>
      </c>
      <c r="G2208" s="2">
        <v>0.21</v>
      </c>
      <c r="H2208" s="2">
        <v>1.6</v>
      </c>
      <c r="I2208" s="2">
        <v>2.62</v>
      </c>
      <c r="J2208" s="47">
        <f t="shared" si="170"/>
        <v>6.6190476190476195</v>
      </c>
      <c r="K2208" s="47">
        <f t="shared" si="171"/>
        <v>0.63749999999999996</v>
      </c>
      <c r="L2208" s="8">
        <v>556.71</v>
      </c>
      <c r="M2208" s="8">
        <v>24.41</v>
      </c>
      <c r="N2208" s="8">
        <v>14.86</v>
      </c>
      <c r="O2208" s="17">
        <f t="shared" si="172"/>
        <v>3.6878417266187048E-2</v>
      </c>
      <c r="P2208" s="17">
        <f t="shared" si="173"/>
        <v>0.23309803921568628</v>
      </c>
      <c r="R2208" s="9">
        <v>1.45</v>
      </c>
      <c r="S2208" s="9">
        <v>0.94</v>
      </c>
      <c r="T2208" s="9">
        <v>27445.54492</v>
      </c>
      <c r="U2208" s="9">
        <v>22885</v>
      </c>
      <c r="V2208" s="45">
        <f t="shared" si="174"/>
        <v>0.1992809665719904</v>
      </c>
      <c r="W2208" s="12">
        <v>71.430000000000007</v>
      </c>
      <c r="X2208" s="12">
        <v>0</v>
      </c>
      <c r="Y2208" s="12">
        <v>20210803</v>
      </c>
    </row>
    <row r="2209" spans="1:25" x14ac:dyDescent="0.45">
      <c r="A2209" s="3" t="s">
        <v>4409</v>
      </c>
      <c r="B2209" s="3" t="s">
        <v>4410</v>
      </c>
      <c r="C2209" s="6" t="s">
        <v>518</v>
      </c>
      <c r="D2209" s="6" t="s">
        <v>189</v>
      </c>
      <c r="E2209" s="6" t="s">
        <v>377</v>
      </c>
      <c r="F2209" s="6">
        <v>3410.46</v>
      </c>
      <c r="G2209" s="2">
        <v>2.2400000000000002</v>
      </c>
      <c r="H2209" s="2">
        <v>1.93</v>
      </c>
      <c r="I2209" s="2">
        <v>1.95</v>
      </c>
      <c r="J2209" s="47">
        <f t="shared" si="170"/>
        <v>-0.13839285714285726</v>
      </c>
      <c r="K2209" s="47">
        <f t="shared" si="171"/>
        <v>1.0362694300518144E-2</v>
      </c>
      <c r="L2209" s="8">
        <v>15.85</v>
      </c>
      <c r="M2209" s="8">
        <v>20.5</v>
      </c>
      <c r="N2209" s="8">
        <v>20.32</v>
      </c>
      <c r="O2209" s="17">
        <f t="shared" si="172"/>
        <v>-1.481290322580644</v>
      </c>
      <c r="P2209" s="17">
        <f t="shared" si="173"/>
        <v>19.608799999999981</v>
      </c>
      <c r="R2209" s="9">
        <v>4.93</v>
      </c>
      <c r="S2209" s="9">
        <v>0.81</v>
      </c>
      <c r="T2209" s="9">
        <v>4143.7768500000002</v>
      </c>
      <c r="U2209" s="9">
        <v>4037</v>
      </c>
      <c r="V2209" s="45">
        <f t="shared" si="174"/>
        <v>2.6449554124349812E-2</v>
      </c>
      <c r="W2209" s="12">
        <v>13.11</v>
      </c>
      <c r="X2209" s="12">
        <v>0</v>
      </c>
      <c r="Y2209" s="12">
        <v>20210805</v>
      </c>
    </row>
    <row r="2210" spans="1:25" x14ac:dyDescent="0.45">
      <c r="A2210" s="3" t="s">
        <v>5018</v>
      </c>
      <c r="B2210" s="3" t="s">
        <v>5019</v>
      </c>
      <c r="C2210" s="6" t="s">
        <v>518</v>
      </c>
      <c r="D2210" s="6" t="s">
        <v>234</v>
      </c>
      <c r="E2210" s="6" t="s">
        <v>904</v>
      </c>
      <c r="F2210" s="6">
        <v>3174.71</v>
      </c>
      <c r="J2210" s="47" t="e">
        <f t="shared" si="170"/>
        <v>#DIV/0!</v>
      </c>
      <c r="K2210" s="47" t="e">
        <f t="shared" si="171"/>
        <v>#DIV/0!</v>
      </c>
      <c r="O2210" s="17" t="e">
        <f t="shared" si="172"/>
        <v>#DIV/0!</v>
      </c>
      <c r="P2210" s="17" t="e">
        <f t="shared" si="173"/>
        <v>#DIV/0!</v>
      </c>
      <c r="V2210" s="45" t="e">
        <f t="shared" si="174"/>
        <v>#DIV/0!</v>
      </c>
      <c r="X2210" s="12">
        <v>0</v>
      </c>
    </row>
    <row r="2211" spans="1:25" x14ac:dyDescent="0.45">
      <c r="A2211" s="3" t="s">
        <v>3691</v>
      </c>
      <c r="B2211" s="3" t="s">
        <v>3692</v>
      </c>
      <c r="C2211" s="6" t="s">
        <v>520</v>
      </c>
      <c r="D2211" s="6" t="s">
        <v>234</v>
      </c>
      <c r="E2211" s="6" t="s">
        <v>284</v>
      </c>
      <c r="F2211" s="6">
        <v>4275.05</v>
      </c>
      <c r="G2211" s="2">
        <v>0.31</v>
      </c>
      <c r="H2211" s="2">
        <v>0.39</v>
      </c>
      <c r="I2211" s="2">
        <v>0.63</v>
      </c>
      <c r="J2211" s="47">
        <f t="shared" si="170"/>
        <v>0.25806451612903231</v>
      </c>
      <c r="K2211" s="47">
        <f t="shared" si="171"/>
        <v>0.61538461538461531</v>
      </c>
      <c r="M2211" s="8">
        <v>41.67</v>
      </c>
      <c r="N2211" s="8">
        <v>25.79</v>
      </c>
      <c r="O2211" s="17">
        <f t="shared" si="172"/>
        <v>1.6147124999999998</v>
      </c>
      <c r="P2211" s="17">
        <f t="shared" si="173"/>
        <v>0.4190875</v>
      </c>
      <c r="T2211" s="9">
        <v>240.74</v>
      </c>
      <c r="V2211" s="45" t="e">
        <f t="shared" si="174"/>
        <v>#DIV/0!</v>
      </c>
      <c r="X2211" s="12">
        <v>0</v>
      </c>
    </row>
    <row r="2212" spans="1:25" x14ac:dyDescent="0.45">
      <c r="A2212" s="3" t="s">
        <v>3693</v>
      </c>
      <c r="B2212" s="3" t="s">
        <v>3694</v>
      </c>
      <c r="C2212" s="6" t="s">
        <v>519</v>
      </c>
      <c r="D2212" s="6" t="s">
        <v>279</v>
      </c>
      <c r="E2212" s="6" t="s">
        <v>258</v>
      </c>
      <c r="F2212" s="6">
        <v>7828.17</v>
      </c>
      <c r="G2212" s="2">
        <v>12.38</v>
      </c>
      <c r="H2212" s="2">
        <v>10.14</v>
      </c>
      <c r="I2212" s="2">
        <v>14.46</v>
      </c>
      <c r="J2212" s="47">
        <f t="shared" si="170"/>
        <v>-0.18093699515347336</v>
      </c>
      <c r="K2212" s="47">
        <f t="shared" si="171"/>
        <v>0.42603550295857989</v>
      </c>
      <c r="L2212" s="8">
        <v>19.309999999999999</v>
      </c>
      <c r="M2212" s="8">
        <v>17.23</v>
      </c>
      <c r="N2212" s="8">
        <v>12.08</v>
      </c>
      <c r="O2212" s="17">
        <f t="shared" si="172"/>
        <v>-0.95226517857142856</v>
      </c>
      <c r="P2212" s="17">
        <f t="shared" si="173"/>
        <v>0.28354444444444443</v>
      </c>
      <c r="R2212" s="9">
        <v>12.27</v>
      </c>
      <c r="S2212" s="9">
        <v>-2.93</v>
      </c>
      <c r="T2212" s="9">
        <v>1578.4139399999999</v>
      </c>
      <c r="U2212" s="9">
        <v>1483.3</v>
      </c>
      <c r="V2212" s="45">
        <f t="shared" si="174"/>
        <v>6.4123198274118498E-2</v>
      </c>
      <c r="W2212" s="12">
        <v>-76.540000000000006</v>
      </c>
      <c r="X2212" s="12">
        <v>0</v>
      </c>
      <c r="Y2212" s="12">
        <v>20210804</v>
      </c>
    </row>
    <row r="2213" spans="1:25" x14ac:dyDescent="0.45">
      <c r="A2213" s="3" t="s">
        <v>4411</v>
      </c>
      <c r="B2213" s="3" t="s">
        <v>4412</v>
      </c>
      <c r="C2213" s="6" t="s">
        <v>518</v>
      </c>
      <c r="D2213" s="6" t="s">
        <v>225</v>
      </c>
      <c r="E2213" s="6" t="s">
        <v>226</v>
      </c>
      <c r="F2213" s="6">
        <v>3321.72</v>
      </c>
      <c r="G2213" s="2">
        <v>0.38</v>
      </c>
      <c r="H2213" s="2">
        <v>0.7</v>
      </c>
      <c r="I2213" s="2">
        <v>0.8</v>
      </c>
      <c r="J2213" s="47">
        <f t="shared" si="170"/>
        <v>0.84210526315789458</v>
      </c>
      <c r="K2213" s="47">
        <f t="shared" si="171"/>
        <v>0.14285714285714299</v>
      </c>
      <c r="M2213" s="8">
        <v>34.67</v>
      </c>
      <c r="N2213" s="8">
        <v>30.53</v>
      </c>
      <c r="O2213" s="17">
        <f t="shared" si="172"/>
        <v>0.41170625000000011</v>
      </c>
      <c r="P2213" s="17">
        <f t="shared" si="173"/>
        <v>2.137099999999998</v>
      </c>
      <c r="R2213" s="9">
        <v>2.7</v>
      </c>
      <c r="T2213" s="9">
        <v>1160.6629600000001</v>
      </c>
      <c r="U2213" s="9">
        <v>964.31</v>
      </c>
      <c r="V2213" s="45">
        <f t="shared" si="174"/>
        <v>0.20362016364032332</v>
      </c>
      <c r="W2213" s="12">
        <v>-13.33</v>
      </c>
      <c r="X2213" s="12">
        <v>0.82</v>
      </c>
      <c r="Y2213" s="12">
        <v>20210812</v>
      </c>
    </row>
    <row r="2214" spans="1:25" x14ac:dyDescent="0.45">
      <c r="A2214" s="3" t="s">
        <v>5020</v>
      </c>
      <c r="B2214" s="3" t="s">
        <v>5021</v>
      </c>
      <c r="C2214" s="6" t="s">
        <v>520</v>
      </c>
      <c r="D2214" s="6" t="s">
        <v>327</v>
      </c>
      <c r="E2214" s="6" t="s">
        <v>321</v>
      </c>
      <c r="F2214" s="6">
        <v>9824.74</v>
      </c>
      <c r="G2214" s="2">
        <v>1.24</v>
      </c>
      <c r="J2214" s="47">
        <f t="shared" si="170"/>
        <v>-1</v>
      </c>
      <c r="K2214" s="47" t="e">
        <f t="shared" si="171"/>
        <v>#DIV/0!</v>
      </c>
      <c r="O2214" s="17">
        <f t="shared" si="172"/>
        <v>0</v>
      </c>
      <c r="P2214" s="17" t="e">
        <f t="shared" si="173"/>
        <v>#DIV/0!</v>
      </c>
      <c r="U2214" s="9">
        <v>2365.35</v>
      </c>
      <c r="V2214" s="45">
        <f t="shared" si="174"/>
        <v>-1</v>
      </c>
      <c r="X2214" s="12">
        <v>2.6</v>
      </c>
    </row>
    <row r="2215" spans="1:25" x14ac:dyDescent="0.45">
      <c r="A2215" s="3" t="s">
        <v>3695</v>
      </c>
      <c r="B2215" s="3" t="s">
        <v>3696</v>
      </c>
      <c r="C2215" s="6" t="s">
        <v>518</v>
      </c>
      <c r="D2215" s="6" t="s">
        <v>175</v>
      </c>
      <c r="E2215" s="6" t="s">
        <v>224</v>
      </c>
      <c r="F2215" s="6">
        <v>452530.94</v>
      </c>
      <c r="G2215" s="2">
        <v>5.01</v>
      </c>
      <c r="H2215" s="2">
        <v>5.59</v>
      </c>
      <c r="I2215" s="2">
        <v>6.94</v>
      </c>
      <c r="J2215" s="47">
        <f t="shared" si="170"/>
        <v>0.11576846307385232</v>
      </c>
      <c r="K2215" s="47">
        <f t="shared" si="171"/>
        <v>0.24150268336314859</v>
      </c>
      <c r="L2215" s="8">
        <v>46.65</v>
      </c>
      <c r="M2215" s="8">
        <v>41.59</v>
      </c>
      <c r="N2215" s="8">
        <v>33.450000000000003</v>
      </c>
      <c r="O2215" s="17">
        <f t="shared" si="172"/>
        <v>3.5925155172413787</v>
      </c>
      <c r="P2215" s="17">
        <f t="shared" si="173"/>
        <v>1.3850777777777772</v>
      </c>
      <c r="Q2215" s="5">
        <v>2.2200000000000002</v>
      </c>
      <c r="R2215" s="9">
        <v>33.86</v>
      </c>
      <c r="S2215" s="9">
        <v>9.4700000000000006</v>
      </c>
      <c r="T2215" s="9">
        <v>23427.244139999999</v>
      </c>
      <c r="U2215" s="9">
        <v>21846</v>
      </c>
      <c r="V2215" s="45">
        <f t="shared" si="174"/>
        <v>7.2381403460587704E-2</v>
      </c>
      <c r="W2215" s="12">
        <v>9.52</v>
      </c>
      <c r="X2215" s="12">
        <v>0.55000000000000004</v>
      </c>
      <c r="Y2215" s="12">
        <v>20210727</v>
      </c>
    </row>
    <row r="2216" spans="1:25" x14ac:dyDescent="0.45">
      <c r="A2216" s="3" t="s">
        <v>3697</v>
      </c>
      <c r="B2216" s="3" t="s">
        <v>3698</v>
      </c>
      <c r="C2216" s="6" t="s">
        <v>518</v>
      </c>
      <c r="D2216" s="6" t="s">
        <v>216</v>
      </c>
      <c r="E2216" s="6" t="s">
        <v>231</v>
      </c>
      <c r="F2216" s="6">
        <v>7328.2</v>
      </c>
      <c r="G2216" s="2">
        <v>-0.35</v>
      </c>
      <c r="H2216" s="2">
        <v>4.3099999999999996</v>
      </c>
      <c r="I2216" s="2">
        <v>9.66</v>
      </c>
      <c r="J2216" s="47">
        <f t="shared" si="170"/>
        <v>13.314285714285713</v>
      </c>
      <c r="K2216" s="47">
        <f t="shared" si="171"/>
        <v>1.2412993039443159</v>
      </c>
      <c r="M2216" s="8">
        <v>39.86</v>
      </c>
      <c r="N2216" s="8">
        <v>17.77</v>
      </c>
      <c r="O2216" s="17">
        <f t="shared" si="172"/>
        <v>2.9937768240343349E-2</v>
      </c>
      <c r="P2216" s="17">
        <f t="shared" si="173"/>
        <v>0.14315644859813081</v>
      </c>
      <c r="R2216" s="9">
        <v>-4.7300000000000004</v>
      </c>
      <c r="S2216" s="9">
        <v>19.48</v>
      </c>
      <c r="T2216" s="9">
        <v>3814.6540500000001</v>
      </c>
      <c r="U2216" s="9">
        <v>2886</v>
      </c>
      <c r="V2216" s="45">
        <f t="shared" si="174"/>
        <v>0.32177895010395013</v>
      </c>
      <c r="W2216" s="12">
        <v>-68.97</v>
      </c>
      <c r="X2216" s="12">
        <v>0</v>
      </c>
      <c r="Y2216" s="12">
        <v>20210804</v>
      </c>
    </row>
    <row r="2217" spans="1:25" x14ac:dyDescent="0.45">
      <c r="A2217" s="3" t="s">
        <v>5022</v>
      </c>
      <c r="B2217" s="3" t="s">
        <v>5023</v>
      </c>
      <c r="C2217" s="6" t="s">
        <v>518</v>
      </c>
      <c r="D2217" s="6" t="s">
        <v>289</v>
      </c>
      <c r="E2217" s="6" t="s">
        <v>270</v>
      </c>
      <c r="F2217" s="6">
        <v>5640.39</v>
      </c>
      <c r="J2217" s="47" t="e">
        <f t="shared" si="170"/>
        <v>#DIV/0!</v>
      </c>
      <c r="K2217" s="47" t="e">
        <f t="shared" si="171"/>
        <v>#DIV/0!</v>
      </c>
      <c r="O2217" s="17" t="e">
        <f t="shared" si="172"/>
        <v>#DIV/0!</v>
      </c>
      <c r="P2217" s="17" t="e">
        <f t="shared" si="173"/>
        <v>#DIV/0!</v>
      </c>
      <c r="V2217" s="45" t="e">
        <f t="shared" si="174"/>
        <v>#DIV/0!</v>
      </c>
      <c r="X2217" s="12">
        <v>0</v>
      </c>
    </row>
    <row r="2218" spans="1:25" x14ac:dyDescent="0.45">
      <c r="A2218" s="3" t="s">
        <v>3699</v>
      </c>
      <c r="B2218" s="3" t="s">
        <v>3700</v>
      </c>
      <c r="C2218" s="6" t="s">
        <v>518</v>
      </c>
      <c r="D2218" s="6" t="s">
        <v>90</v>
      </c>
      <c r="E2218" s="6" t="s">
        <v>1772</v>
      </c>
      <c r="F2218" s="6">
        <v>113591.41</v>
      </c>
      <c r="G2218" s="2">
        <v>1.9</v>
      </c>
      <c r="H2218" s="2">
        <v>5.0199999999999996</v>
      </c>
      <c r="I2218" s="2">
        <v>4.1500000000000004</v>
      </c>
      <c r="J2218" s="47">
        <f t="shared" si="170"/>
        <v>1.6421052631578947</v>
      </c>
      <c r="K2218" s="47">
        <f t="shared" si="171"/>
        <v>-0.17330677290836638</v>
      </c>
      <c r="L2218" s="8">
        <v>6.75</v>
      </c>
      <c r="M2218" s="8">
        <v>4.41</v>
      </c>
      <c r="N2218" s="8">
        <v>5.34</v>
      </c>
      <c r="O2218" s="17">
        <f t="shared" si="172"/>
        <v>2.6855769230769232E-2</v>
      </c>
      <c r="P2218" s="17">
        <f t="shared" si="173"/>
        <v>-0.30812413793103471</v>
      </c>
      <c r="Q2218" s="5">
        <v>0.14000000000000001</v>
      </c>
      <c r="R2218" s="9">
        <v>49.76</v>
      </c>
      <c r="S2218" s="9">
        <v>8.14</v>
      </c>
      <c r="T2218" s="9">
        <v>58774.984369999998</v>
      </c>
      <c r="U2218" s="9">
        <v>40018</v>
      </c>
      <c r="V2218" s="45">
        <f t="shared" si="174"/>
        <v>0.46871368809035929</v>
      </c>
      <c r="W2218" s="12">
        <v>11.88</v>
      </c>
      <c r="X2218" s="12">
        <v>3.88</v>
      </c>
      <c r="Y2218" s="12">
        <v>20210729</v>
      </c>
    </row>
    <row r="2219" spans="1:25" x14ac:dyDescent="0.45">
      <c r="A2219" s="3" t="s">
        <v>3701</v>
      </c>
      <c r="B2219" s="3" t="s">
        <v>3702</v>
      </c>
      <c r="C2219" s="6" t="s">
        <v>519</v>
      </c>
      <c r="D2219" s="6" t="s">
        <v>46</v>
      </c>
      <c r="E2219" s="6" t="s">
        <v>80</v>
      </c>
      <c r="F2219" s="6">
        <v>3558.48</v>
      </c>
      <c r="G2219" s="2">
        <v>1.04</v>
      </c>
      <c r="H2219" s="2">
        <v>2.93</v>
      </c>
      <c r="I2219" s="2">
        <v>5.73</v>
      </c>
      <c r="J2219" s="47">
        <f t="shared" si="170"/>
        <v>1.8173076923076923</v>
      </c>
      <c r="K2219" s="47">
        <f t="shared" si="171"/>
        <v>0.95563139931740615</v>
      </c>
      <c r="L2219" s="8">
        <v>82.64</v>
      </c>
      <c r="M2219" s="8">
        <v>43.36</v>
      </c>
      <c r="N2219" s="8">
        <v>22.2</v>
      </c>
      <c r="O2219" s="17">
        <f t="shared" si="172"/>
        <v>0.238594708994709</v>
      </c>
      <c r="P2219" s="17">
        <f t="shared" si="173"/>
        <v>0.23230714285714288</v>
      </c>
      <c r="R2219" s="9">
        <v>8.86</v>
      </c>
      <c r="S2219" s="9">
        <v>-4.92</v>
      </c>
      <c r="T2219" s="9">
        <v>2982.31005</v>
      </c>
      <c r="U2219" s="9">
        <v>2548</v>
      </c>
      <c r="V2219" s="45">
        <f t="shared" si="174"/>
        <v>0.17045135400313974</v>
      </c>
      <c r="W2219" s="12">
        <v>69.7</v>
      </c>
      <c r="X2219" s="12">
        <v>0</v>
      </c>
      <c r="Y2219" s="12">
        <v>20210729</v>
      </c>
    </row>
    <row r="2220" spans="1:25" x14ac:dyDescent="0.45">
      <c r="A2220" s="3" t="s">
        <v>5024</v>
      </c>
      <c r="B2220" s="3" t="s">
        <v>5025</v>
      </c>
      <c r="C2220" s="6" t="s">
        <v>520</v>
      </c>
      <c r="D2220" s="6" t="s">
        <v>210</v>
      </c>
      <c r="E2220" s="6" t="s">
        <v>912</v>
      </c>
      <c r="F2220" s="6">
        <v>68781.98</v>
      </c>
      <c r="J2220" s="47" t="e">
        <f t="shared" si="170"/>
        <v>#DIV/0!</v>
      </c>
      <c r="K2220" s="47" t="e">
        <f t="shared" si="171"/>
        <v>#DIV/0!</v>
      </c>
      <c r="O2220" s="17" t="e">
        <f t="shared" si="172"/>
        <v>#DIV/0!</v>
      </c>
      <c r="P2220" s="17" t="e">
        <f t="shared" si="173"/>
        <v>#DIV/0!</v>
      </c>
      <c r="U2220" s="9">
        <v>49382</v>
      </c>
      <c r="V2220" s="45">
        <f t="shared" si="174"/>
        <v>-1</v>
      </c>
      <c r="X2220" s="12">
        <v>1.6</v>
      </c>
    </row>
    <row r="2221" spans="1:25" x14ac:dyDescent="0.45">
      <c r="A2221" s="3" t="s">
        <v>5026</v>
      </c>
      <c r="B2221" s="3" t="s">
        <v>5027</v>
      </c>
      <c r="C2221" s="6" t="s">
        <v>520</v>
      </c>
      <c r="D2221" s="6" t="s">
        <v>216</v>
      </c>
      <c r="E2221" s="6" t="s">
        <v>946</v>
      </c>
      <c r="F2221" s="6">
        <v>3332</v>
      </c>
      <c r="J2221" s="47" t="e">
        <f t="shared" si="170"/>
        <v>#DIV/0!</v>
      </c>
      <c r="K2221" s="47" t="e">
        <f t="shared" si="171"/>
        <v>#DIV/0!</v>
      </c>
      <c r="O2221" s="17" t="e">
        <f t="shared" si="172"/>
        <v>#DIV/0!</v>
      </c>
      <c r="P2221" s="17" t="e">
        <f t="shared" si="173"/>
        <v>#DIV/0!</v>
      </c>
      <c r="V2221" s="45" t="e">
        <f t="shared" si="174"/>
        <v>#DIV/0!</v>
      </c>
      <c r="X2221" s="12">
        <v>0</v>
      </c>
    </row>
    <row r="2222" spans="1:25" x14ac:dyDescent="0.45">
      <c r="A2222" s="3" t="s">
        <v>5028</v>
      </c>
      <c r="B2222" s="3" t="s">
        <v>5029</v>
      </c>
      <c r="C2222" s="6" t="s">
        <v>518</v>
      </c>
      <c r="D2222" s="6" t="s">
        <v>90</v>
      </c>
      <c r="E2222" s="6" t="s">
        <v>268</v>
      </c>
      <c r="F2222" s="6">
        <v>13660.7</v>
      </c>
      <c r="J2222" s="47" t="e">
        <f t="shared" si="170"/>
        <v>#DIV/0!</v>
      </c>
      <c r="K2222" s="47" t="e">
        <f t="shared" si="171"/>
        <v>#DIV/0!</v>
      </c>
      <c r="L2222" s="8">
        <v>8.2100000000000009</v>
      </c>
      <c r="O2222" s="17" t="e">
        <f t="shared" si="172"/>
        <v>#DIV/0!</v>
      </c>
      <c r="P2222" s="17" t="e">
        <f t="shared" si="173"/>
        <v>#DIV/0!</v>
      </c>
      <c r="R2222" s="9">
        <v>35.1</v>
      </c>
      <c r="S2222" s="9">
        <v>2.27</v>
      </c>
      <c r="U2222" s="9">
        <v>11906.31</v>
      </c>
      <c r="V2222" s="45">
        <f t="shared" si="174"/>
        <v>-1</v>
      </c>
      <c r="X2222" s="12">
        <v>5.9</v>
      </c>
      <c r="Y2222" s="12">
        <v>20211005</v>
      </c>
    </row>
    <row r="2223" spans="1:25" x14ac:dyDescent="0.45">
      <c r="A2223" s="3" t="s">
        <v>3703</v>
      </c>
      <c r="B2223" s="3" t="s">
        <v>3704</v>
      </c>
      <c r="C2223" s="6" t="s">
        <v>518</v>
      </c>
      <c r="D2223" s="6" t="s">
        <v>189</v>
      </c>
      <c r="E2223" s="6" t="s">
        <v>248</v>
      </c>
      <c r="F2223" s="6">
        <v>44242.29</v>
      </c>
      <c r="G2223" s="2">
        <v>2.84</v>
      </c>
      <c r="H2223" s="2">
        <v>3.5</v>
      </c>
      <c r="I2223" s="2">
        <v>4.03</v>
      </c>
      <c r="J2223" s="47">
        <f t="shared" si="170"/>
        <v>0.23239436619718315</v>
      </c>
      <c r="K2223" s="47">
        <f t="shared" si="171"/>
        <v>0.1514285714285715</v>
      </c>
      <c r="L2223" s="8">
        <v>91.11</v>
      </c>
      <c r="M2223" s="8">
        <v>83.11</v>
      </c>
      <c r="N2223" s="8">
        <v>72.17</v>
      </c>
      <c r="O2223" s="17">
        <f t="shared" si="172"/>
        <v>3.5762484848484841</v>
      </c>
      <c r="P2223" s="17">
        <f t="shared" si="173"/>
        <v>4.7659433962264135</v>
      </c>
      <c r="Q2223" s="5">
        <v>5.25</v>
      </c>
      <c r="R2223" s="9">
        <v>16.399999999999999</v>
      </c>
      <c r="S2223" s="9">
        <v>27.91</v>
      </c>
      <c r="T2223" s="9">
        <v>1818.2099599999999</v>
      </c>
      <c r="U2223" s="9">
        <v>1465.07</v>
      </c>
      <c r="V2223" s="45">
        <f t="shared" si="174"/>
        <v>0.24103964998259467</v>
      </c>
      <c r="W2223" s="12">
        <v>16.670000000000002</v>
      </c>
      <c r="X2223" s="12">
        <v>0</v>
      </c>
      <c r="Y2223" s="12">
        <v>20210826</v>
      </c>
    </row>
    <row r="2224" spans="1:25" x14ac:dyDescent="0.45">
      <c r="A2224" s="3" t="s">
        <v>4413</v>
      </c>
      <c r="B2224" s="3" t="s">
        <v>4414</v>
      </c>
      <c r="C2224" s="6" t="s">
        <v>520</v>
      </c>
      <c r="D2224" s="6" t="s">
        <v>327</v>
      </c>
      <c r="E2224" s="6" t="s">
        <v>363</v>
      </c>
      <c r="F2224" s="6">
        <v>18255.189999999999</v>
      </c>
      <c r="G2224" s="2">
        <v>0.85</v>
      </c>
      <c r="H2224" s="2">
        <v>1.57</v>
      </c>
      <c r="I2224" s="2">
        <v>1.82</v>
      </c>
      <c r="J2224" s="47">
        <f t="shared" si="170"/>
        <v>0.84705882352941186</v>
      </c>
      <c r="K2224" s="47">
        <f t="shared" si="171"/>
        <v>0.15923566878980891</v>
      </c>
      <c r="M2224" s="8">
        <v>20.100000000000001</v>
      </c>
      <c r="N2224" s="8">
        <v>17.329999999999998</v>
      </c>
      <c r="O2224" s="17">
        <f t="shared" si="172"/>
        <v>0.23729166666666665</v>
      </c>
      <c r="P2224" s="17">
        <f t="shared" si="173"/>
        <v>1.0883239999999998</v>
      </c>
      <c r="T2224" s="9">
        <v>33362.398430000001</v>
      </c>
      <c r="U2224" s="9">
        <v>29708.59</v>
      </c>
      <c r="V2224" s="45">
        <f t="shared" si="174"/>
        <v>0.12298828150376713</v>
      </c>
      <c r="X2224" s="12">
        <v>2.0299999999999998</v>
      </c>
    </row>
    <row r="2225" spans="1:25" x14ac:dyDescent="0.45">
      <c r="A2225" s="3" t="s">
        <v>3705</v>
      </c>
      <c r="B2225" s="3" t="s">
        <v>3706</v>
      </c>
      <c r="C2225" s="6" t="s">
        <v>519</v>
      </c>
      <c r="D2225" s="6" t="s">
        <v>327</v>
      </c>
      <c r="E2225" s="6" t="s">
        <v>209</v>
      </c>
      <c r="F2225" s="6">
        <v>3043.48</v>
      </c>
      <c r="G2225" s="2">
        <v>0.23</v>
      </c>
      <c r="H2225" s="2">
        <v>0.32</v>
      </c>
      <c r="I2225" s="2">
        <v>0.47</v>
      </c>
      <c r="J2225" s="47">
        <f t="shared" si="170"/>
        <v>0.39130434782608692</v>
      </c>
      <c r="K2225" s="47">
        <f t="shared" si="171"/>
        <v>0.46874999999999989</v>
      </c>
      <c r="M2225" s="8">
        <v>5.44</v>
      </c>
      <c r="N2225" s="8">
        <v>3.74</v>
      </c>
      <c r="O2225" s="17">
        <f t="shared" si="172"/>
        <v>0.13902222222222227</v>
      </c>
      <c r="P2225" s="17">
        <f t="shared" si="173"/>
        <v>7.97866666666667E-2</v>
      </c>
      <c r="Q2225" s="5">
        <v>0.5</v>
      </c>
      <c r="R2225" s="9">
        <v>-27.78</v>
      </c>
      <c r="S2225" s="9">
        <v>-2.4900000000000002</v>
      </c>
      <c r="T2225" s="9">
        <v>8238.2900300000001</v>
      </c>
      <c r="U2225" s="9">
        <v>7980</v>
      </c>
      <c r="V2225" s="45">
        <f t="shared" si="174"/>
        <v>3.236717167919801E-2</v>
      </c>
      <c r="X2225" s="12">
        <v>0</v>
      </c>
      <c r="Y2225" s="12">
        <v>20210805</v>
      </c>
    </row>
    <row r="2226" spans="1:25" x14ac:dyDescent="0.45">
      <c r="A2226" s="3" t="s">
        <v>3707</v>
      </c>
      <c r="B2226" s="3" t="s">
        <v>3708</v>
      </c>
      <c r="C2226" s="6" t="s">
        <v>518</v>
      </c>
      <c r="D2226" s="6" t="s">
        <v>234</v>
      </c>
      <c r="E2226" s="6" t="s">
        <v>286</v>
      </c>
      <c r="F2226" s="6">
        <v>11291.52</v>
      </c>
      <c r="G2226" s="2">
        <v>3.13</v>
      </c>
      <c r="H2226" s="2">
        <v>3.23</v>
      </c>
      <c r="I2226" s="2">
        <v>3.36</v>
      </c>
      <c r="J2226" s="47">
        <f t="shared" si="170"/>
        <v>3.1948881789137407E-2</v>
      </c>
      <c r="K2226" s="47">
        <f t="shared" si="171"/>
        <v>4.0247678018575817E-2</v>
      </c>
      <c r="L2226" s="8">
        <v>26.5</v>
      </c>
      <c r="M2226" s="8">
        <v>15.24</v>
      </c>
      <c r="N2226" s="8">
        <v>14.67</v>
      </c>
      <c r="O2226" s="17">
        <f t="shared" si="172"/>
        <v>4.7701199999999968</v>
      </c>
      <c r="P2226" s="17">
        <f t="shared" si="173"/>
        <v>3.644930769230772</v>
      </c>
      <c r="Q2226" s="5">
        <v>2.37</v>
      </c>
      <c r="R2226" s="9">
        <v>3.6</v>
      </c>
      <c r="S2226" s="9">
        <v>-5.29</v>
      </c>
      <c r="T2226" s="9">
        <v>1189.43505</v>
      </c>
      <c r="U2226" s="9">
        <v>1161.3699999999999</v>
      </c>
      <c r="V2226" s="45">
        <f t="shared" si="174"/>
        <v>2.4165468369253689E-2</v>
      </c>
      <c r="W2226" s="12">
        <v>2.56</v>
      </c>
      <c r="X2226" s="12">
        <v>3.75</v>
      </c>
      <c r="Y2226" s="12">
        <v>20210805</v>
      </c>
    </row>
    <row r="2227" spans="1:25" x14ac:dyDescent="0.45">
      <c r="A2227" s="3" t="s">
        <v>3709</v>
      </c>
      <c r="B2227" s="3" t="s">
        <v>3710</v>
      </c>
      <c r="C2227" s="6" t="s">
        <v>518</v>
      </c>
      <c r="D2227" s="6" t="s">
        <v>216</v>
      </c>
      <c r="E2227" s="6" t="s">
        <v>1256</v>
      </c>
      <c r="F2227" s="6">
        <v>30768.240000000002</v>
      </c>
      <c r="G2227" s="2">
        <v>1.33</v>
      </c>
      <c r="H2227" s="2">
        <v>3.06</v>
      </c>
      <c r="I2227" s="2">
        <v>3.6</v>
      </c>
      <c r="J2227" s="47">
        <f t="shared" si="170"/>
        <v>1.3007518796992481</v>
      </c>
      <c r="K2227" s="47">
        <f t="shared" si="171"/>
        <v>0.17647058823529413</v>
      </c>
      <c r="L2227" s="8">
        <v>60.35</v>
      </c>
      <c r="M2227" s="8">
        <v>25.61</v>
      </c>
      <c r="N2227" s="8">
        <v>21.79</v>
      </c>
      <c r="O2227" s="17">
        <f t="shared" si="172"/>
        <v>0.19688612716763007</v>
      </c>
      <c r="P2227" s="17">
        <f t="shared" si="173"/>
        <v>1.2347666666666666</v>
      </c>
      <c r="Q2227" s="5">
        <v>2.27</v>
      </c>
      <c r="R2227" s="9">
        <v>16.850000000000001</v>
      </c>
      <c r="S2227" s="9">
        <v>-4.8600000000000003</v>
      </c>
      <c r="T2227" s="9">
        <v>11750.55371</v>
      </c>
      <c r="U2227" s="9">
        <v>9238.83</v>
      </c>
      <c r="V2227" s="45">
        <f t="shared" si="174"/>
        <v>0.27186599493658831</v>
      </c>
      <c r="W2227" s="12">
        <v>-10</v>
      </c>
      <c r="X2227" s="12">
        <v>2.5</v>
      </c>
      <c r="Y2227" s="12">
        <v>20210730</v>
      </c>
    </row>
    <row r="2228" spans="1:25" x14ac:dyDescent="0.45">
      <c r="A2228" s="3" t="s">
        <v>5030</v>
      </c>
      <c r="B2228" s="3" t="s">
        <v>5031</v>
      </c>
      <c r="C2228" s="6" t="s">
        <v>518</v>
      </c>
      <c r="D2228" s="6" t="s">
        <v>234</v>
      </c>
      <c r="E2228" s="6" t="s">
        <v>904</v>
      </c>
      <c r="F2228" s="6">
        <v>10578.94</v>
      </c>
      <c r="J2228" s="47" t="e">
        <f t="shared" si="170"/>
        <v>#DIV/0!</v>
      </c>
      <c r="K2228" s="47" t="e">
        <f t="shared" si="171"/>
        <v>#DIV/0!</v>
      </c>
      <c r="O2228" s="17" t="e">
        <f t="shared" si="172"/>
        <v>#DIV/0!</v>
      </c>
      <c r="P2228" s="17" t="e">
        <f t="shared" si="173"/>
        <v>#DIV/0!</v>
      </c>
      <c r="V2228" s="45" t="e">
        <f t="shared" si="174"/>
        <v>#DIV/0!</v>
      </c>
      <c r="X2228" s="12">
        <v>1.75</v>
      </c>
    </row>
    <row r="2229" spans="1:25" x14ac:dyDescent="0.45">
      <c r="A2229" s="3" t="s">
        <v>3711</v>
      </c>
      <c r="B2229" s="3" t="s">
        <v>3712</v>
      </c>
      <c r="C2229" s="6" t="s">
        <v>519</v>
      </c>
      <c r="D2229" s="6" t="s">
        <v>189</v>
      </c>
      <c r="E2229" s="6" t="s">
        <v>249</v>
      </c>
      <c r="F2229" s="6">
        <v>3594.86</v>
      </c>
      <c r="G2229" s="2">
        <v>0.21</v>
      </c>
      <c r="H2229" s="2">
        <v>0.24</v>
      </c>
      <c r="I2229" s="2">
        <v>0.31</v>
      </c>
      <c r="J2229" s="47">
        <f t="shared" si="170"/>
        <v>0.14285714285714285</v>
      </c>
      <c r="K2229" s="47">
        <f t="shared" si="171"/>
        <v>0.29166666666666669</v>
      </c>
      <c r="L2229" s="8">
        <v>79.44</v>
      </c>
      <c r="M2229" s="8">
        <v>59.58</v>
      </c>
      <c r="N2229" s="8">
        <v>46.73</v>
      </c>
      <c r="O2229" s="17">
        <f t="shared" si="172"/>
        <v>4.1706000000000003</v>
      </c>
      <c r="P2229" s="17">
        <f t="shared" si="173"/>
        <v>1.6021714285714284</v>
      </c>
      <c r="Q2229" s="5">
        <v>11.92</v>
      </c>
      <c r="R2229" s="9">
        <v>7.73</v>
      </c>
      <c r="S2229" s="9">
        <v>7.32</v>
      </c>
      <c r="T2229" s="9">
        <v>1350.64599</v>
      </c>
      <c r="U2229" s="9">
        <v>1247.93</v>
      </c>
      <c r="V2229" s="45">
        <f t="shared" si="174"/>
        <v>8.2309095862748649E-2</v>
      </c>
      <c r="W2229" s="12">
        <v>0</v>
      </c>
      <c r="X2229" s="12">
        <v>0</v>
      </c>
      <c r="Y2229" s="12">
        <v>20210805</v>
      </c>
    </row>
    <row r="2230" spans="1:25" x14ac:dyDescent="0.45">
      <c r="A2230" s="3" t="s">
        <v>5032</v>
      </c>
      <c r="B2230" s="3" t="s">
        <v>5033</v>
      </c>
      <c r="C2230" s="6" t="s">
        <v>520</v>
      </c>
      <c r="D2230" s="6" t="s">
        <v>309</v>
      </c>
      <c r="E2230" s="6" t="s">
        <v>307</v>
      </c>
      <c r="F2230" s="6">
        <v>3816.96</v>
      </c>
      <c r="J2230" s="47" t="e">
        <f t="shared" si="170"/>
        <v>#DIV/0!</v>
      </c>
      <c r="K2230" s="47" t="e">
        <f t="shared" si="171"/>
        <v>#DIV/0!</v>
      </c>
      <c r="O2230" s="17" t="e">
        <f t="shared" si="172"/>
        <v>#DIV/0!</v>
      </c>
      <c r="P2230" s="17" t="e">
        <f t="shared" si="173"/>
        <v>#DIV/0!</v>
      </c>
      <c r="R2230" s="9">
        <v>-1.52</v>
      </c>
      <c r="U2230" s="9">
        <v>960.58</v>
      </c>
      <c r="V2230" s="45">
        <f t="shared" si="174"/>
        <v>-1</v>
      </c>
      <c r="X2230" s="12">
        <v>0</v>
      </c>
      <c r="Y2230" s="12">
        <v>20210811</v>
      </c>
    </row>
    <row r="2231" spans="1:25" x14ac:dyDescent="0.45">
      <c r="A2231" s="3" t="s">
        <v>3713</v>
      </c>
      <c r="B2231" s="3" t="s">
        <v>3714</v>
      </c>
      <c r="C2231" s="6" t="s">
        <v>519</v>
      </c>
      <c r="D2231" s="6" t="s">
        <v>216</v>
      </c>
      <c r="E2231" s="6" t="s">
        <v>217</v>
      </c>
      <c r="F2231" s="6">
        <v>27305.91</v>
      </c>
      <c r="G2231" s="2">
        <v>4.3</v>
      </c>
      <c r="H2231" s="2">
        <v>3.94</v>
      </c>
      <c r="I2231" s="2">
        <v>4</v>
      </c>
      <c r="J2231" s="47">
        <f t="shared" si="170"/>
        <v>-8.3720930232558111E-2</v>
      </c>
      <c r="K2231" s="47">
        <f t="shared" si="171"/>
        <v>1.5228426395939101E-2</v>
      </c>
      <c r="L2231" s="8">
        <v>8.9499999999999993</v>
      </c>
      <c r="M2231" s="8">
        <v>10.71</v>
      </c>
      <c r="N2231" s="8">
        <v>10.56</v>
      </c>
      <c r="O2231" s="17">
        <f t="shared" si="172"/>
        <v>-1.2792500000000004</v>
      </c>
      <c r="P2231" s="17">
        <f t="shared" si="173"/>
        <v>6.9343999999999939</v>
      </c>
      <c r="Q2231" s="5">
        <v>0.76</v>
      </c>
      <c r="R2231" s="9">
        <v>17.88</v>
      </c>
      <c r="S2231" s="9">
        <v>15.08</v>
      </c>
      <c r="T2231" s="9">
        <v>27844.42382</v>
      </c>
      <c r="U2231" s="9">
        <v>25285</v>
      </c>
      <c r="V2231" s="45">
        <f t="shared" si="174"/>
        <v>0.10122301048052204</v>
      </c>
      <c r="W2231" s="12">
        <v>24.59</v>
      </c>
      <c r="X2231" s="12">
        <v>2.27</v>
      </c>
      <c r="Y2231" s="12">
        <v>20210805</v>
      </c>
    </row>
    <row r="2232" spans="1:25" x14ac:dyDescent="0.45">
      <c r="A2232" s="3" t="s">
        <v>3713</v>
      </c>
      <c r="B2232" s="3" t="s">
        <v>5034</v>
      </c>
      <c r="C2232" s="6" t="s">
        <v>519</v>
      </c>
      <c r="D2232" s="6" t="s">
        <v>216</v>
      </c>
      <c r="E2232" s="6" t="s">
        <v>217</v>
      </c>
      <c r="F2232" s="6">
        <v>29936.33</v>
      </c>
      <c r="J2232" s="47" t="e">
        <f t="shared" si="170"/>
        <v>#DIV/0!</v>
      </c>
      <c r="K2232" s="47" t="e">
        <f t="shared" si="171"/>
        <v>#DIV/0!</v>
      </c>
      <c r="L2232" s="8">
        <v>9.81</v>
      </c>
      <c r="O2232" s="17" t="e">
        <f t="shared" si="172"/>
        <v>#DIV/0!</v>
      </c>
      <c r="P2232" s="17" t="e">
        <f t="shared" si="173"/>
        <v>#DIV/0!</v>
      </c>
      <c r="R2232" s="9">
        <v>17.88</v>
      </c>
      <c r="S2232" s="9">
        <v>15.08</v>
      </c>
      <c r="U2232" s="9">
        <v>25285</v>
      </c>
      <c r="V2232" s="45">
        <f t="shared" si="174"/>
        <v>-1</v>
      </c>
      <c r="X2232" s="12">
        <v>2.0699999999999998</v>
      </c>
      <c r="Y2232" s="12">
        <v>20210805</v>
      </c>
    </row>
    <row r="2233" spans="1:25" x14ac:dyDescent="0.45">
      <c r="A2233" s="3" t="s">
        <v>3715</v>
      </c>
      <c r="B2233" s="3" t="s">
        <v>3716</v>
      </c>
      <c r="C2233" s="6" t="s">
        <v>519</v>
      </c>
      <c r="D2233" s="6" t="s">
        <v>189</v>
      </c>
      <c r="E2233" s="6" t="s">
        <v>199</v>
      </c>
      <c r="F2233" s="6">
        <v>3971.46</v>
      </c>
      <c r="G2233" s="2">
        <v>0.69</v>
      </c>
      <c r="H2233" s="2">
        <v>0.8</v>
      </c>
      <c r="I2233" s="2">
        <v>0.85</v>
      </c>
      <c r="J2233" s="47">
        <f t="shared" si="170"/>
        <v>0.15942028985507262</v>
      </c>
      <c r="K2233" s="47">
        <f t="shared" si="171"/>
        <v>6.2499999999999917E-2</v>
      </c>
      <c r="L2233" s="8">
        <v>21.71</v>
      </c>
      <c r="M2233" s="8">
        <v>21.85</v>
      </c>
      <c r="N2233" s="8">
        <v>20.56</v>
      </c>
      <c r="O2233" s="17">
        <f t="shared" si="172"/>
        <v>1.3705909090909079</v>
      </c>
      <c r="P2233" s="17">
        <f t="shared" si="173"/>
        <v>3.2896000000000041</v>
      </c>
      <c r="R2233" s="9">
        <v>18.68</v>
      </c>
      <c r="S2233" s="9">
        <v>9.0399999999999991</v>
      </c>
      <c r="T2233" s="9">
        <v>1188.03601</v>
      </c>
      <c r="U2233" s="9">
        <v>1136.3</v>
      </c>
      <c r="V2233" s="45">
        <f t="shared" si="174"/>
        <v>4.5530238493355697E-2</v>
      </c>
      <c r="W2233" s="12">
        <v>5.88</v>
      </c>
      <c r="X2233" s="12">
        <v>0</v>
      </c>
      <c r="Y2233" s="12">
        <v>20210810</v>
      </c>
    </row>
    <row r="2234" spans="1:25" x14ac:dyDescent="0.45">
      <c r="A2234" s="3" t="s">
        <v>3717</v>
      </c>
      <c r="B2234" s="3" t="s">
        <v>3718</v>
      </c>
      <c r="C2234" s="6" t="s">
        <v>518</v>
      </c>
      <c r="D2234" s="6" t="s">
        <v>234</v>
      </c>
      <c r="E2234" s="6" t="s">
        <v>286</v>
      </c>
      <c r="F2234" s="6">
        <v>17534.47</v>
      </c>
      <c r="G2234" s="2">
        <v>1.64</v>
      </c>
      <c r="H2234" s="2">
        <v>1.86</v>
      </c>
      <c r="I2234" s="2">
        <v>1.98</v>
      </c>
      <c r="J2234" s="47">
        <f t="shared" si="170"/>
        <v>0.13414634146341475</v>
      </c>
      <c r="K2234" s="47">
        <f t="shared" si="171"/>
        <v>6.4516129032257993E-2</v>
      </c>
      <c r="L2234" s="8">
        <v>18.98</v>
      </c>
      <c r="M2234" s="8">
        <v>17.54</v>
      </c>
      <c r="N2234" s="8">
        <v>16.510000000000002</v>
      </c>
      <c r="O2234" s="17">
        <f t="shared" si="172"/>
        <v>1.3075272727272715</v>
      </c>
      <c r="P2234" s="17">
        <f t="shared" si="173"/>
        <v>2.5590500000000032</v>
      </c>
      <c r="Q2234" s="5">
        <v>1.76</v>
      </c>
      <c r="R2234" s="9">
        <v>12.07</v>
      </c>
      <c r="T2234" s="9">
        <v>1511.1989699999999</v>
      </c>
      <c r="U2234" s="9">
        <v>1225.57</v>
      </c>
      <c r="V2234" s="45">
        <f t="shared" si="174"/>
        <v>0.23305806277895183</v>
      </c>
      <c r="W2234" s="12">
        <v>0</v>
      </c>
      <c r="X2234" s="12">
        <v>4.04</v>
      </c>
      <c r="Y2234" s="12">
        <v>20210804</v>
      </c>
    </row>
    <row r="2235" spans="1:25" x14ac:dyDescent="0.45">
      <c r="A2235" s="3" t="s">
        <v>3719</v>
      </c>
      <c r="B2235" s="3" t="s">
        <v>3720</v>
      </c>
      <c r="C2235" s="6" t="s">
        <v>519</v>
      </c>
      <c r="D2235" s="6" t="s">
        <v>189</v>
      </c>
      <c r="E2235" s="6" t="s">
        <v>211</v>
      </c>
      <c r="F2235" s="6">
        <v>4047.58</v>
      </c>
      <c r="G2235" s="2">
        <v>0.32</v>
      </c>
      <c r="H2235" s="2">
        <v>1.49</v>
      </c>
      <c r="I2235" s="2">
        <v>2.4</v>
      </c>
      <c r="J2235" s="47">
        <f t="shared" si="170"/>
        <v>3.6562499999999996</v>
      </c>
      <c r="K2235" s="47">
        <f t="shared" si="171"/>
        <v>0.61073825503355694</v>
      </c>
      <c r="L2235" s="8">
        <v>119.23</v>
      </c>
      <c r="M2235" s="8">
        <v>62.42</v>
      </c>
      <c r="N2235" s="8">
        <v>38.75</v>
      </c>
      <c r="O2235" s="17">
        <f t="shared" si="172"/>
        <v>0.17072136752136755</v>
      </c>
      <c r="P2235" s="17">
        <f t="shared" si="173"/>
        <v>0.63447802197802206</v>
      </c>
      <c r="R2235" s="9">
        <v>10.029999999999999</v>
      </c>
      <c r="S2235" s="9">
        <v>9.4499999999999993</v>
      </c>
      <c r="T2235" s="9">
        <v>389.36998999999997</v>
      </c>
      <c r="U2235" s="9">
        <v>296.58</v>
      </c>
      <c r="V2235" s="45">
        <f t="shared" si="174"/>
        <v>0.31286664643603745</v>
      </c>
      <c r="W2235" s="12">
        <v>30.77</v>
      </c>
      <c r="X2235" s="12">
        <v>0</v>
      </c>
      <c r="Y2235" s="12">
        <v>20210722</v>
      </c>
    </row>
    <row r="2236" spans="1:25" x14ac:dyDescent="0.45">
      <c r="A2236" s="3" t="s">
        <v>3721</v>
      </c>
      <c r="B2236" s="3" t="s">
        <v>3722</v>
      </c>
      <c r="C2236" s="6" t="s">
        <v>518</v>
      </c>
      <c r="D2236" s="6" t="s">
        <v>189</v>
      </c>
      <c r="E2236" s="6" t="s">
        <v>1805</v>
      </c>
      <c r="F2236" s="6">
        <v>15100.39</v>
      </c>
      <c r="G2236" s="2">
        <v>1.29</v>
      </c>
      <c r="H2236" s="2">
        <v>1.69</v>
      </c>
      <c r="I2236" s="2">
        <v>2.0099999999999998</v>
      </c>
      <c r="J2236" s="47">
        <f t="shared" si="170"/>
        <v>0.3100775193798449</v>
      </c>
      <c r="K2236" s="47">
        <f t="shared" si="171"/>
        <v>0.18934911242603542</v>
      </c>
      <c r="L2236" s="8">
        <v>14.73</v>
      </c>
      <c r="M2236" s="8">
        <v>13.17</v>
      </c>
      <c r="N2236" s="8">
        <v>11.07</v>
      </c>
      <c r="O2236" s="17">
        <f t="shared" si="172"/>
        <v>0.42473250000000007</v>
      </c>
      <c r="P2236" s="17">
        <f t="shared" si="173"/>
        <v>0.58463437500000037</v>
      </c>
      <c r="R2236" s="9">
        <v>21.64</v>
      </c>
      <c r="S2236" s="9">
        <v>15.02</v>
      </c>
      <c r="T2236" s="9">
        <v>19085.136709999999</v>
      </c>
      <c r="U2236" s="9">
        <v>15610.5</v>
      </c>
      <c r="V2236" s="45">
        <f t="shared" si="174"/>
        <v>0.2225833067486627</v>
      </c>
      <c r="W2236" s="12">
        <v>0</v>
      </c>
      <c r="X2236" s="12">
        <v>0</v>
      </c>
      <c r="Y2236" s="12">
        <v>20210818</v>
      </c>
    </row>
    <row r="2237" spans="1:25" x14ac:dyDescent="0.45">
      <c r="A2237" s="3" t="s">
        <v>3723</v>
      </c>
      <c r="B2237" s="3" t="s">
        <v>3724</v>
      </c>
      <c r="C2237" s="6" t="s">
        <v>519</v>
      </c>
      <c r="D2237" s="6" t="s">
        <v>279</v>
      </c>
      <c r="E2237" s="6" t="s">
        <v>256</v>
      </c>
      <c r="F2237" s="6">
        <v>6048.15</v>
      </c>
      <c r="G2237" s="2">
        <v>-2.39</v>
      </c>
      <c r="H2237" s="2">
        <v>-2.86</v>
      </c>
      <c r="I2237" s="2">
        <v>-1.06</v>
      </c>
      <c r="J2237" s="47">
        <f t="shared" si="170"/>
        <v>-0.19665271966527184</v>
      </c>
      <c r="K2237" s="47">
        <f t="shared" si="171"/>
        <v>0.62937062937062938</v>
      </c>
      <c r="O2237" s="17">
        <f t="shared" si="172"/>
        <v>0</v>
      </c>
      <c r="P2237" s="17">
        <f t="shared" si="173"/>
        <v>0</v>
      </c>
      <c r="R2237" s="9">
        <v>-56.9</v>
      </c>
      <c r="T2237" s="9">
        <v>273.42998999999998</v>
      </c>
      <c r="U2237" s="9">
        <v>76.37</v>
      </c>
      <c r="V2237" s="45">
        <f t="shared" si="174"/>
        <v>2.5803324603902049</v>
      </c>
      <c r="W2237" s="12">
        <v>-473.91</v>
      </c>
      <c r="X2237" s="12">
        <v>0</v>
      </c>
      <c r="Y2237" s="12">
        <v>20210810</v>
      </c>
    </row>
    <row r="2238" spans="1:25" x14ac:dyDescent="0.45">
      <c r="A2238" s="3" t="s">
        <v>3725</v>
      </c>
      <c r="B2238" s="3" t="s">
        <v>3726</v>
      </c>
      <c r="C2238" s="6" t="s">
        <v>519</v>
      </c>
      <c r="D2238" s="6" t="s">
        <v>234</v>
      </c>
      <c r="E2238" s="6" t="s">
        <v>221</v>
      </c>
      <c r="F2238" s="6">
        <v>5511.09</v>
      </c>
      <c r="G2238" s="2">
        <v>5.39</v>
      </c>
      <c r="H2238" s="2">
        <v>4.2</v>
      </c>
      <c r="I2238" s="2">
        <v>2.73</v>
      </c>
      <c r="J2238" s="47">
        <f t="shared" si="170"/>
        <v>-0.22077922077922069</v>
      </c>
      <c r="K2238" s="47">
        <f t="shared" si="171"/>
        <v>-0.35000000000000003</v>
      </c>
      <c r="L2238" s="8">
        <v>5.05</v>
      </c>
      <c r="M2238" s="8">
        <v>6.91</v>
      </c>
      <c r="N2238" s="8">
        <v>10.64</v>
      </c>
      <c r="O2238" s="17">
        <f t="shared" si="172"/>
        <v>-0.3129823529411766</v>
      </c>
      <c r="P2238" s="17">
        <f t="shared" si="173"/>
        <v>-0.30399999999999999</v>
      </c>
      <c r="R2238" s="9">
        <v>45.67</v>
      </c>
      <c r="S2238" s="9">
        <v>41.42</v>
      </c>
      <c r="T2238" s="9">
        <v>1789.81494</v>
      </c>
      <c r="U2238" s="9">
        <v>3239.33</v>
      </c>
      <c r="V2238" s="45">
        <f t="shared" si="174"/>
        <v>-0.4474737245047587</v>
      </c>
      <c r="W2238" s="12">
        <v>56.92</v>
      </c>
      <c r="X2238" s="12">
        <v>3.31</v>
      </c>
      <c r="Y2238" s="12">
        <v>20210806</v>
      </c>
    </row>
    <row r="2239" spans="1:25" x14ac:dyDescent="0.45">
      <c r="A2239" s="3" t="s">
        <v>4415</v>
      </c>
      <c r="B2239" s="3" t="s">
        <v>4416</v>
      </c>
      <c r="C2239" s="6" t="s">
        <v>518</v>
      </c>
      <c r="D2239" s="6" t="s">
        <v>327</v>
      </c>
      <c r="E2239" s="6" t="s">
        <v>209</v>
      </c>
      <c r="F2239" s="6">
        <v>15333.31</v>
      </c>
      <c r="H2239" s="2">
        <v>0.56000000000000005</v>
      </c>
      <c r="I2239" s="2">
        <v>0.72</v>
      </c>
      <c r="J2239" s="47" t="e">
        <f t="shared" si="170"/>
        <v>#DIV/0!</v>
      </c>
      <c r="K2239" s="47">
        <f t="shared" si="171"/>
        <v>0.28571428571428553</v>
      </c>
      <c r="L2239" s="8">
        <v>17.46</v>
      </c>
      <c r="M2239" s="8">
        <v>16.07</v>
      </c>
      <c r="N2239" s="8">
        <v>12.61</v>
      </c>
      <c r="O2239" s="17" t="e">
        <f t="shared" si="172"/>
        <v>#DIV/0!</v>
      </c>
      <c r="P2239" s="17">
        <f t="shared" si="173"/>
        <v>0.4413500000000003</v>
      </c>
      <c r="R2239" s="9">
        <v>6.47</v>
      </c>
      <c r="S2239" s="9">
        <v>-7.76</v>
      </c>
      <c r="T2239" s="9">
        <v>8199.3095699999994</v>
      </c>
      <c r="U2239" s="9">
        <v>8299</v>
      </c>
      <c r="V2239" s="45">
        <f t="shared" si="174"/>
        <v>-1.2012342450897766E-2</v>
      </c>
      <c r="W2239" s="12">
        <v>-23.08</v>
      </c>
      <c r="X2239" s="12">
        <v>2.0699999999999998</v>
      </c>
      <c r="Y2239" s="12">
        <v>20210804</v>
      </c>
    </row>
    <row r="2240" spans="1:25" x14ac:dyDescent="0.45">
      <c r="A2240" s="3" t="s">
        <v>3727</v>
      </c>
      <c r="B2240" s="3" t="s">
        <v>3728</v>
      </c>
      <c r="C2240" s="6" t="s">
        <v>520</v>
      </c>
      <c r="D2240" s="6" t="s">
        <v>327</v>
      </c>
      <c r="E2240" s="6" t="s">
        <v>209</v>
      </c>
      <c r="F2240" s="6">
        <v>41789.230000000003</v>
      </c>
      <c r="G2240" s="2">
        <v>1.27</v>
      </c>
      <c r="H2240" s="2">
        <v>1.64</v>
      </c>
      <c r="I2240" s="2">
        <v>1.97</v>
      </c>
      <c r="J2240" s="47">
        <f t="shared" si="170"/>
        <v>0.29133858267716528</v>
      </c>
      <c r="K2240" s="47">
        <f t="shared" si="171"/>
        <v>0.20121951219512202</v>
      </c>
      <c r="M2240" s="8">
        <v>21.54</v>
      </c>
      <c r="N2240" s="8">
        <v>17.89</v>
      </c>
      <c r="O2240" s="17">
        <f t="shared" si="172"/>
        <v>0.73934594594594616</v>
      </c>
      <c r="P2240" s="17">
        <f t="shared" si="173"/>
        <v>0.88907878787878758</v>
      </c>
      <c r="Q2240" s="5">
        <v>1.38</v>
      </c>
      <c r="T2240" s="9">
        <v>20352.244139999999</v>
      </c>
      <c r="U2240" s="9">
        <v>18378.05</v>
      </c>
      <c r="V2240" s="45">
        <f t="shared" si="174"/>
        <v>0.10742130639540101</v>
      </c>
      <c r="X2240" s="12">
        <v>1.39</v>
      </c>
    </row>
    <row r="2241" spans="1:25" x14ac:dyDescent="0.45">
      <c r="A2241" s="3" t="s">
        <v>494</v>
      </c>
      <c r="B2241" s="3" t="s">
        <v>495</v>
      </c>
      <c r="C2241" s="6" t="s">
        <v>520</v>
      </c>
      <c r="D2241" s="6" t="s">
        <v>46</v>
      </c>
      <c r="E2241" s="6" t="s">
        <v>80</v>
      </c>
      <c r="F2241" s="6">
        <v>8165.21</v>
      </c>
      <c r="G2241" s="2">
        <v>-2.59</v>
      </c>
      <c r="H2241" s="2">
        <v>0.73</v>
      </c>
      <c r="I2241" s="2">
        <v>1.57</v>
      </c>
      <c r="J2241" s="47">
        <f t="shared" si="170"/>
        <v>1.281853281853282</v>
      </c>
      <c r="K2241" s="47">
        <f t="shared" si="171"/>
        <v>1.1506849315068495</v>
      </c>
      <c r="M2241" s="8">
        <v>23.14</v>
      </c>
      <c r="N2241" s="8">
        <v>10.79</v>
      </c>
      <c r="O2241" s="17">
        <f t="shared" si="172"/>
        <v>0.1805198795180723</v>
      </c>
      <c r="P2241" s="17">
        <f t="shared" si="173"/>
        <v>9.3770238095238073E-2</v>
      </c>
      <c r="T2241" s="9">
        <v>21821.740229999999</v>
      </c>
      <c r="U2241" s="9">
        <v>18773.25</v>
      </c>
      <c r="V2241" s="45">
        <f t="shared" si="174"/>
        <v>0.16238478846230672</v>
      </c>
      <c r="X2241" s="12">
        <v>0.87</v>
      </c>
    </row>
    <row r="2242" spans="1:25" x14ac:dyDescent="0.45">
      <c r="A2242" s="3" t="s">
        <v>313</v>
      </c>
      <c r="B2242" s="3" t="s">
        <v>314</v>
      </c>
      <c r="C2242" s="6" t="s">
        <v>518</v>
      </c>
      <c r="D2242" s="6" t="s">
        <v>289</v>
      </c>
      <c r="E2242" s="6" t="s">
        <v>278</v>
      </c>
      <c r="F2242" s="6">
        <v>33489.72</v>
      </c>
      <c r="G2242" s="2">
        <v>-3.53</v>
      </c>
      <c r="H2242" s="2">
        <v>1.2</v>
      </c>
      <c r="I2242" s="2">
        <v>6.08</v>
      </c>
      <c r="J2242" s="47">
        <f t="shared" si="170"/>
        <v>1.339943342776204</v>
      </c>
      <c r="K2242" s="47">
        <f t="shared" si="171"/>
        <v>4.0666666666666664</v>
      </c>
      <c r="M2242" s="8">
        <v>68.180000000000007</v>
      </c>
      <c r="N2242" s="8">
        <v>13.48</v>
      </c>
      <c r="O2242" s="17">
        <f t="shared" si="172"/>
        <v>0.50882748414376322</v>
      </c>
      <c r="P2242" s="17">
        <f t="shared" si="173"/>
        <v>3.314754098360656E-2</v>
      </c>
      <c r="Q2242" s="5">
        <v>12.43</v>
      </c>
      <c r="R2242" s="9">
        <v>-10.68</v>
      </c>
      <c r="S2242" s="9">
        <v>0.49</v>
      </c>
      <c r="T2242" s="9">
        <v>90609.78125</v>
      </c>
      <c r="U2242" s="9">
        <v>64912</v>
      </c>
      <c r="V2242" s="45">
        <f t="shared" si="174"/>
        <v>0.39588645011708157</v>
      </c>
      <c r="W2242" s="12">
        <v>9.42</v>
      </c>
      <c r="X2242" s="12">
        <v>4.78</v>
      </c>
      <c r="Y2242" s="12">
        <v>20210729</v>
      </c>
    </row>
    <row r="2243" spans="1:25" x14ac:dyDescent="0.45">
      <c r="A2243" s="3" t="s">
        <v>3948</v>
      </c>
      <c r="B2243" s="3" t="s">
        <v>3949</v>
      </c>
      <c r="C2243" s="6" t="s">
        <v>520</v>
      </c>
      <c r="D2243" s="6" t="s">
        <v>90</v>
      </c>
      <c r="E2243" s="6" t="s">
        <v>3950</v>
      </c>
      <c r="F2243" s="6">
        <v>7674.04</v>
      </c>
      <c r="G2243" s="2">
        <v>-0.06</v>
      </c>
      <c r="H2243" s="2">
        <v>0.89</v>
      </c>
      <c r="I2243" s="2">
        <v>0.94</v>
      </c>
      <c r="J2243" s="47">
        <f t="shared" ref="J2243:J2306" si="175">(H2243-G2243)/ABS(G2243)</f>
        <v>15.833333333333334</v>
      </c>
      <c r="K2243" s="47">
        <f t="shared" ref="K2243:K2306" si="176">(I2243-H2243)/ABS(H2243)</f>
        <v>5.6179775280898799E-2</v>
      </c>
      <c r="L2243" s="8">
        <v>107.45</v>
      </c>
      <c r="M2243" s="8">
        <v>9.66</v>
      </c>
      <c r="N2243" s="8">
        <v>9.14</v>
      </c>
      <c r="O2243" s="17">
        <f t="shared" ref="O2243:O2306" si="177">M2243/(J2243*100)</f>
        <v>6.1010526315789472E-3</v>
      </c>
      <c r="P2243" s="17">
        <f t="shared" ref="P2243:P2306" si="178">N2243/(K2243*100)</f>
        <v>1.6269200000000024</v>
      </c>
      <c r="R2243" s="9">
        <v>1.03</v>
      </c>
      <c r="S2243" s="9">
        <v>2.16</v>
      </c>
      <c r="T2243" s="9">
        <v>16345.445309999999</v>
      </c>
      <c r="U2243" s="9">
        <v>13151.87</v>
      </c>
      <c r="V2243" s="45">
        <f t="shared" ref="V2243:V2306" si="179">(T2243-U2243)/U2243</f>
        <v>0.24282290731280023</v>
      </c>
      <c r="X2243" s="12">
        <v>0.34</v>
      </c>
      <c r="Y2243" s="12">
        <v>20210804</v>
      </c>
    </row>
    <row r="2244" spans="1:25" x14ac:dyDescent="0.45">
      <c r="A2244" s="3" t="s">
        <v>641</v>
      </c>
      <c r="B2244" s="3" t="s">
        <v>642</v>
      </c>
      <c r="C2244" s="6" t="s">
        <v>520</v>
      </c>
      <c r="D2244" s="6" t="s">
        <v>46</v>
      </c>
      <c r="E2244" s="6" t="s">
        <v>80</v>
      </c>
      <c r="F2244" s="6">
        <v>55456.17</v>
      </c>
      <c r="G2244" s="2">
        <v>0.94</v>
      </c>
      <c r="H2244" s="2">
        <v>1.86</v>
      </c>
      <c r="I2244" s="2">
        <v>2.09</v>
      </c>
      <c r="J2244" s="47">
        <f t="shared" si="175"/>
        <v>0.97872340425531934</v>
      </c>
      <c r="K2244" s="47">
        <f t="shared" si="176"/>
        <v>0.12365591397849449</v>
      </c>
      <c r="L2244" s="8">
        <v>20.059999999999999</v>
      </c>
      <c r="M2244" s="8">
        <v>14.67</v>
      </c>
      <c r="N2244" s="8">
        <v>13.08</v>
      </c>
      <c r="O2244" s="17">
        <f t="shared" si="177"/>
        <v>0.14988913043478258</v>
      </c>
      <c r="P2244" s="17">
        <f t="shared" si="178"/>
        <v>1.0577739130434796</v>
      </c>
      <c r="R2244" s="9">
        <v>16.399999999999999</v>
      </c>
      <c r="S2244" s="9">
        <v>2.87</v>
      </c>
      <c r="T2244" s="9">
        <v>42657.105459999999</v>
      </c>
      <c r="U2244" s="9">
        <v>36891.97</v>
      </c>
      <c r="V2244" s="45">
        <f t="shared" si="179"/>
        <v>0.15627074021799317</v>
      </c>
      <c r="W2244" s="12">
        <v>23.81</v>
      </c>
      <c r="X2244" s="12">
        <v>5.26</v>
      </c>
      <c r="Y2244" s="12">
        <v>20210716</v>
      </c>
    </row>
    <row r="2245" spans="1:25" x14ac:dyDescent="0.45">
      <c r="A2245" s="3" t="s">
        <v>729</v>
      </c>
      <c r="B2245" s="3" t="s">
        <v>730</v>
      </c>
      <c r="C2245" s="6" t="s">
        <v>519</v>
      </c>
      <c r="D2245" s="6" t="s">
        <v>234</v>
      </c>
      <c r="E2245" s="6" t="s">
        <v>169</v>
      </c>
      <c r="F2245" s="6">
        <v>5735.15</v>
      </c>
      <c r="G2245" s="2">
        <v>0.94</v>
      </c>
      <c r="H2245" s="2">
        <v>1.1299999999999999</v>
      </c>
      <c r="I2245" s="2">
        <v>1.18</v>
      </c>
      <c r="J2245" s="47">
        <f t="shared" si="175"/>
        <v>0.20212765957446804</v>
      </c>
      <c r="K2245" s="47">
        <f t="shared" si="176"/>
        <v>4.424778761061951E-2</v>
      </c>
      <c r="L2245" s="8">
        <v>13.72</v>
      </c>
      <c r="M2245" s="8">
        <v>12.55</v>
      </c>
      <c r="N2245" s="8">
        <v>12.02</v>
      </c>
      <c r="O2245" s="17">
        <f t="shared" si="177"/>
        <v>0.62089473684210539</v>
      </c>
      <c r="P2245" s="17">
        <f t="shared" si="178"/>
        <v>2.7165199999999974</v>
      </c>
      <c r="R2245" s="9">
        <v>9.7799999999999994</v>
      </c>
      <c r="S2245" s="9">
        <v>17.670000000000002</v>
      </c>
      <c r="T2245" s="9">
        <v>1330.71801</v>
      </c>
      <c r="U2245" s="9">
        <v>1566.75</v>
      </c>
      <c r="V2245" s="45">
        <f t="shared" si="179"/>
        <v>-0.15065070368597411</v>
      </c>
      <c r="W2245" s="12">
        <v>-3.45</v>
      </c>
      <c r="X2245" s="12">
        <v>3.11</v>
      </c>
      <c r="Y2245" s="12">
        <v>20210722</v>
      </c>
    </row>
    <row r="2246" spans="1:25" x14ac:dyDescent="0.45">
      <c r="A2246" s="3" t="s">
        <v>316</v>
      </c>
      <c r="B2246" s="3" t="s">
        <v>317</v>
      </c>
      <c r="C2246" s="6" t="s">
        <v>518</v>
      </c>
      <c r="D2246" s="6" t="s">
        <v>210</v>
      </c>
      <c r="E2246" s="6" t="s">
        <v>188</v>
      </c>
      <c r="F2246" s="6">
        <v>23696.67</v>
      </c>
      <c r="G2246" s="2">
        <v>4.59</v>
      </c>
      <c r="H2246" s="2">
        <v>5.24</v>
      </c>
      <c r="I2246" s="2">
        <v>6.19</v>
      </c>
      <c r="J2246" s="47">
        <f t="shared" si="175"/>
        <v>0.14161220043572992</v>
      </c>
      <c r="K2246" s="47">
        <f t="shared" si="176"/>
        <v>0.18129770992366415</v>
      </c>
      <c r="L2246" s="8">
        <v>36.31</v>
      </c>
      <c r="M2246" s="8">
        <v>34.08</v>
      </c>
      <c r="N2246" s="8">
        <v>28.86</v>
      </c>
      <c r="O2246" s="17">
        <f t="shared" si="177"/>
        <v>2.4065723076923065</v>
      </c>
      <c r="P2246" s="17">
        <f t="shared" si="178"/>
        <v>1.591856842105263</v>
      </c>
      <c r="Q2246" s="5">
        <v>1.93</v>
      </c>
      <c r="R2246" s="9">
        <v>11</v>
      </c>
      <c r="S2246" s="9">
        <v>8.75</v>
      </c>
      <c r="T2246" s="9">
        <v>5139.7929599999998</v>
      </c>
      <c r="U2246" s="9">
        <v>4856.83</v>
      </c>
      <c r="V2246" s="45">
        <f t="shared" si="179"/>
        <v>5.8260832683046319E-2</v>
      </c>
      <c r="W2246" s="12">
        <v>68.290000000000006</v>
      </c>
      <c r="X2246" s="12">
        <v>0.83</v>
      </c>
      <c r="Y2246" s="12">
        <v>20210803</v>
      </c>
    </row>
    <row r="2247" spans="1:25" x14ac:dyDescent="0.45">
      <c r="A2247" s="3" t="s">
        <v>731</v>
      </c>
      <c r="B2247" s="3" t="s">
        <v>732</v>
      </c>
      <c r="C2247" s="6" t="s">
        <v>518</v>
      </c>
      <c r="D2247" s="6" t="s">
        <v>272</v>
      </c>
      <c r="E2247" s="6" t="s">
        <v>538</v>
      </c>
      <c r="F2247" s="6">
        <v>5114.28</v>
      </c>
      <c r="G2247" s="2">
        <v>7.78</v>
      </c>
      <c r="H2247" s="2">
        <v>9.9</v>
      </c>
      <c r="I2247" s="2">
        <v>11.4</v>
      </c>
      <c r="J2247" s="47">
        <f t="shared" si="175"/>
        <v>0.27249357326478152</v>
      </c>
      <c r="K2247" s="47">
        <f t="shared" si="176"/>
        <v>0.15151515151515152</v>
      </c>
      <c r="L2247" s="8">
        <v>27.48</v>
      </c>
      <c r="M2247" s="8">
        <v>24.31</v>
      </c>
      <c r="N2247" s="8">
        <v>21.11</v>
      </c>
      <c r="O2247" s="17">
        <f t="shared" si="177"/>
        <v>0.89213113207547157</v>
      </c>
      <c r="P2247" s="17">
        <f t="shared" si="178"/>
        <v>1.3932599999999999</v>
      </c>
      <c r="R2247" s="9">
        <v>15.61</v>
      </c>
      <c r="S2247" s="9">
        <v>2.75</v>
      </c>
      <c r="T2247" s="9">
        <v>3274.1559999999999</v>
      </c>
      <c r="U2247" s="9">
        <v>2895.35</v>
      </c>
      <c r="V2247" s="45">
        <f t="shared" si="179"/>
        <v>0.13083254183432055</v>
      </c>
      <c r="W2247" s="12">
        <v>21.23</v>
      </c>
      <c r="X2247" s="12">
        <v>0.83</v>
      </c>
      <c r="Y2247" s="12">
        <v>20210728</v>
      </c>
    </row>
    <row r="2248" spans="1:25" x14ac:dyDescent="0.45">
      <c r="A2248" s="3" t="s">
        <v>454</v>
      </c>
      <c r="B2248" s="3" t="s">
        <v>318</v>
      </c>
      <c r="C2248" s="6" t="s">
        <v>518</v>
      </c>
      <c r="D2248" s="6" t="s">
        <v>189</v>
      </c>
      <c r="E2248" s="6" t="s">
        <v>202</v>
      </c>
      <c r="F2248" s="6">
        <v>67915.75</v>
      </c>
      <c r="G2248" s="2">
        <v>7.05</v>
      </c>
      <c r="H2248" s="2">
        <v>6.93</v>
      </c>
      <c r="I2248" s="2">
        <v>7.56</v>
      </c>
      <c r="J2248" s="47">
        <f t="shared" si="175"/>
        <v>-1.7021276595744695E-2</v>
      </c>
      <c r="K2248" s="47">
        <f t="shared" si="176"/>
        <v>9.0909090909090898E-2</v>
      </c>
      <c r="L2248" s="8">
        <v>21.77</v>
      </c>
      <c r="M2248" s="8">
        <v>23.36</v>
      </c>
      <c r="N2248" s="8">
        <v>21.43</v>
      </c>
      <c r="O2248" s="17">
        <f t="shared" si="177"/>
        <v>-13.72399999999999</v>
      </c>
      <c r="P2248" s="17">
        <f t="shared" si="178"/>
        <v>2.3573000000000004</v>
      </c>
      <c r="Q2248" s="5">
        <v>0.93</v>
      </c>
      <c r="R2248" s="9">
        <v>24.89</v>
      </c>
      <c r="S2248" s="9">
        <v>13.39</v>
      </c>
      <c r="T2248" s="9">
        <v>12828.416010000001</v>
      </c>
      <c r="U2248" s="9">
        <v>11767</v>
      </c>
      <c r="V2248" s="45">
        <f t="shared" si="179"/>
        <v>9.0202771309594698E-2</v>
      </c>
      <c r="W2248" s="12">
        <v>1.1499999999999999</v>
      </c>
      <c r="X2248" s="12">
        <v>0</v>
      </c>
      <c r="Y2248" s="12">
        <v>20210826</v>
      </c>
    </row>
    <row r="2249" spans="1:25" x14ac:dyDescent="0.45">
      <c r="A2249" s="3" t="s">
        <v>446</v>
      </c>
      <c r="B2249" s="3" t="s">
        <v>447</v>
      </c>
      <c r="C2249" s="6" t="s">
        <v>518</v>
      </c>
      <c r="D2249" s="6" t="s">
        <v>234</v>
      </c>
      <c r="E2249" s="6" t="s">
        <v>286</v>
      </c>
      <c r="F2249" s="6">
        <v>9613.44</v>
      </c>
      <c r="G2249" s="2">
        <v>2.5099999999999998</v>
      </c>
      <c r="H2249" s="2">
        <v>2.84</v>
      </c>
      <c r="I2249" s="2">
        <v>3.1</v>
      </c>
      <c r="J2249" s="47">
        <f t="shared" si="175"/>
        <v>0.13147410358565742</v>
      </c>
      <c r="K2249" s="47">
        <f t="shared" si="176"/>
        <v>9.1549295774647974E-2</v>
      </c>
      <c r="L2249" s="8">
        <v>20.49</v>
      </c>
      <c r="M2249" s="8">
        <v>17.7</v>
      </c>
      <c r="N2249" s="8">
        <v>16.21</v>
      </c>
      <c r="O2249" s="17">
        <f t="shared" si="177"/>
        <v>1.3462727272727268</v>
      </c>
      <c r="P2249" s="17">
        <f t="shared" si="178"/>
        <v>1.7706307692307677</v>
      </c>
      <c r="R2249" s="9">
        <v>1.7</v>
      </c>
      <c r="S2249" s="9">
        <v>-10.58</v>
      </c>
      <c r="T2249" s="9">
        <v>1532.64904</v>
      </c>
      <c r="U2249" s="9">
        <v>1527.95</v>
      </c>
      <c r="V2249" s="45">
        <f t="shared" si="179"/>
        <v>3.0753885925586359E-3</v>
      </c>
      <c r="W2249" s="12">
        <v>3.17</v>
      </c>
      <c r="X2249" s="12">
        <v>4.22</v>
      </c>
      <c r="Y2249" s="12">
        <v>20210802</v>
      </c>
    </row>
    <row r="2250" spans="1:25" x14ac:dyDescent="0.45">
      <c r="A2250" s="3" t="s">
        <v>5035</v>
      </c>
      <c r="B2250" s="3" t="s">
        <v>5036</v>
      </c>
      <c r="C2250" s="6" t="s">
        <v>518</v>
      </c>
      <c r="D2250" s="6" t="s">
        <v>234</v>
      </c>
      <c r="E2250" s="6" t="s">
        <v>904</v>
      </c>
      <c r="F2250" s="6">
        <v>40567.839999999997</v>
      </c>
      <c r="J2250" s="47" t="e">
        <f t="shared" si="175"/>
        <v>#DIV/0!</v>
      </c>
      <c r="K2250" s="47" t="e">
        <f t="shared" si="176"/>
        <v>#DIV/0!</v>
      </c>
      <c r="O2250" s="17" t="e">
        <f t="shared" si="177"/>
        <v>#DIV/0!</v>
      </c>
      <c r="P2250" s="17" t="e">
        <f t="shared" si="178"/>
        <v>#DIV/0!</v>
      </c>
      <c r="V2250" s="45" t="e">
        <f t="shared" si="179"/>
        <v>#DIV/0!</v>
      </c>
      <c r="X2250" s="12">
        <v>3.07</v>
      </c>
    </row>
    <row r="2251" spans="1:25" x14ac:dyDescent="0.45">
      <c r="A2251" s="3" t="s">
        <v>862</v>
      </c>
      <c r="B2251" s="3" t="s">
        <v>863</v>
      </c>
      <c r="C2251" s="6" t="s">
        <v>518</v>
      </c>
      <c r="D2251" s="6" t="s">
        <v>175</v>
      </c>
      <c r="E2251" s="6" t="s">
        <v>305</v>
      </c>
      <c r="F2251" s="6">
        <v>5820.15</v>
      </c>
      <c r="G2251" s="2">
        <v>2.42</v>
      </c>
      <c r="H2251" s="2">
        <v>2.5299999999999998</v>
      </c>
      <c r="I2251" s="2">
        <v>2.54</v>
      </c>
      <c r="J2251" s="47">
        <f t="shared" si="175"/>
        <v>4.5454545454545407E-2</v>
      </c>
      <c r="K2251" s="47">
        <f t="shared" si="176"/>
        <v>3.952569169960566E-3</v>
      </c>
      <c r="M2251" s="8">
        <v>13.63</v>
      </c>
      <c r="N2251" s="8">
        <v>13.56</v>
      </c>
      <c r="O2251" s="17">
        <f t="shared" si="177"/>
        <v>2.9986000000000033</v>
      </c>
      <c r="P2251" s="17">
        <f t="shared" si="178"/>
        <v>34.306799999999207</v>
      </c>
      <c r="Q2251" s="5">
        <v>4.34</v>
      </c>
      <c r="T2251" s="9">
        <v>2792.2150799999999</v>
      </c>
      <c r="U2251" s="9">
        <v>2704.6</v>
      </c>
      <c r="V2251" s="45">
        <f t="shared" si="179"/>
        <v>3.2394838423426768E-2</v>
      </c>
      <c r="W2251" s="12">
        <v>16.670000000000002</v>
      </c>
      <c r="X2251" s="12">
        <v>0.28999999999999998</v>
      </c>
      <c r="Y2251" s="12">
        <v>20210805</v>
      </c>
    </row>
    <row r="2252" spans="1:25" x14ac:dyDescent="0.45">
      <c r="A2252" s="3" t="s">
        <v>531</v>
      </c>
      <c r="B2252" s="3" t="s">
        <v>532</v>
      </c>
      <c r="C2252" s="6" t="s">
        <v>519</v>
      </c>
      <c r="D2252" s="6" t="s">
        <v>189</v>
      </c>
      <c r="E2252" s="6" t="s">
        <v>378</v>
      </c>
      <c r="F2252" s="6">
        <v>51876.07</v>
      </c>
      <c r="G2252" s="2">
        <v>1.1100000000000001</v>
      </c>
      <c r="H2252" s="2">
        <v>1.2</v>
      </c>
      <c r="I2252" s="2">
        <v>1.27</v>
      </c>
      <c r="J2252" s="47">
        <f t="shared" si="175"/>
        <v>8.1081081081080947E-2</v>
      </c>
      <c r="K2252" s="47">
        <f t="shared" si="176"/>
        <v>5.833333333333339E-2</v>
      </c>
      <c r="M2252" s="8">
        <v>15.36</v>
      </c>
      <c r="N2252" s="8">
        <v>14.42</v>
      </c>
      <c r="O2252" s="17">
        <f t="shared" si="177"/>
        <v>1.8944000000000032</v>
      </c>
      <c r="P2252" s="17">
        <f t="shared" si="178"/>
        <v>2.4719999999999973</v>
      </c>
      <c r="Q2252" s="5">
        <v>5.12</v>
      </c>
      <c r="T2252" s="9">
        <v>53582.714840000001</v>
      </c>
      <c r="U2252" s="9">
        <v>51139.68</v>
      </c>
      <c r="V2252" s="45">
        <f t="shared" si="179"/>
        <v>4.7771805376959735E-2</v>
      </c>
      <c r="X2252" s="12">
        <v>5.8</v>
      </c>
    </row>
    <row r="2253" spans="1:25" x14ac:dyDescent="0.45">
      <c r="A2253" s="3" t="s">
        <v>733</v>
      </c>
      <c r="B2253" s="3" t="s">
        <v>734</v>
      </c>
      <c r="C2253" s="6" t="s">
        <v>520</v>
      </c>
      <c r="D2253" s="6" t="s">
        <v>234</v>
      </c>
      <c r="E2253" s="6" t="s">
        <v>284</v>
      </c>
      <c r="F2253" s="6">
        <v>37713.870000000003</v>
      </c>
      <c r="G2253" s="2">
        <v>1.39</v>
      </c>
      <c r="H2253" s="2">
        <v>1.46</v>
      </c>
      <c r="I2253" s="2">
        <v>1.52</v>
      </c>
      <c r="J2253" s="47">
        <f t="shared" si="175"/>
        <v>5.0359712230215875E-2</v>
      </c>
      <c r="K2253" s="47">
        <f t="shared" si="176"/>
        <v>4.1095890410958943E-2</v>
      </c>
      <c r="M2253" s="8">
        <v>22.53</v>
      </c>
      <c r="N2253" s="8">
        <v>21.57</v>
      </c>
      <c r="O2253" s="17">
        <f t="shared" si="177"/>
        <v>4.4738142857142815</v>
      </c>
      <c r="P2253" s="17">
        <f t="shared" si="178"/>
        <v>5.248699999999995</v>
      </c>
      <c r="R2253" s="9">
        <v>14.81</v>
      </c>
      <c r="S2253" s="9">
        <v>10.3</v>
      </c>
      <c r="T2253" s="9">
        <v>3402.8149400000002</v>
      </c>
      <c r="U2253" s="9">
        <v>3594.63</v>
      </c>
      <c r="V2253" s="45">
        <f t="shared" si="179"/>
        <v>-5.3361558769609081E-2</v>
      </c>
      <c r="X2253" s="12">
        <v>2.98</v>
      </c>
    </row>
    <row r="2254" spans="1:25" x14ac:dyDescent="0.45">
      <c r="A2254" s="3" t="s">
        <v>514</v>
      </c>
      <c r="B2254" s="3" t="s">
        <v>515</v>
      </c>
      <c r="C2254" s="6" t="s">
        <v>520</v>
      </c>
      <c r="D2254" s="6" t="s">
        <v>289</v>
      </c>
      <c r="E2254" s="6" t="s">
        <v>270</v>
      </c>
      <c r="F2254" s="6">
        <v>6056.92</v>
      </c>
      <c r="G2254" s="2">
        <v>3.21</v>
      </c>
      <c r="H2254" s="2">
        <v>3.42</v>
      </c>
      <c r="I2254" s="2">
        <v>3.84</v>
      </c>
      <c r="J2254" s="47">
        <f t="shared" si="175"/>
        <v>6.5420560747663545E-2</v>
      </c>
      <c r="K2254" s="47">
        <f t="shared" si="176"/>
        <v>0.12280701754385963</v>
      </c>
      <c r="M2254" s="8">
        <v>14.09</v>
      </c>
      <c r="N2254" s="8">
        <v>12.54</v>
      </c>
      <c r="O2254" s="17">
        <f t="shared" si="177"/>
        <v>2.1537571428571431</v>
      </c>
      <c r="P2254" s="17">
        <f t="shared" si="178"/>
        <v>1.0211142857142859</v>
      </c>
      <c r="T2254" s="9">
        <v>1488</v>
      </c>
      <c r="U2254" s="9">
        <v>1403.07</v>
      </c>
      <c r="V2254" s="45">
        <f t="shared" si="179"/>
        <v>6.0531548675404695E-2</v>
      </c>
      <c r="X2254" s="12">
        <v>2.46</v>
      </c>
    </row>
    <row r="2255" spans="1:25" x14ac:dyDescent="0.45">
      <c r="A2255" s="3" t="s">
        <v>319</v>
      </c>
      <c r="B2255" s="3" t="s">
        <v>320</v>
      </c>
      <c r="C2255" s="6" t="s">
        <v>518</v>
      </c>
      <c r="D2255" s="6" t="s">
        <v>234</v>
      </c>
      <c r="E2255" s="6" t="s">
        <v>241</v>
      </c>
      <c r="F2255" s="6">
        <v>7797.59</v>
      </c>
      <c r="G2255" s="2">
        <v>2.75</v>
      </c>
      <c r="H2255" s="2">
        <v>6.18</v>
      </c>
      <c r="I2255" s="2">
        <v>6.69</v>
      </c>
      <c r="J2255" s="47">
        <f t="shared" si="175"/>
        <v>1.2472727272727271</v>
      </c>
      <c r="K2255" s="47">
        <f t="shared" si="176"/>
        <v>8.252427184466031E-2</v>
      </c>
      <c r="L2255" s="8">
        <v>13.54</v>
      </c>
      <c r="M2255" s="8">
        <v>10.4</v>
      </c>
      <c r="N2255" s="8">
        <v>9.6199999999999992</v>
      </c>
      <c r="O2255" s="17">
        <f t="shared" si="177"/>
        <v>8.3381924198250745E-2</v>
      </c>
      <c r="P2255" s="17">
        <f t="shared" si="178"/>
        <v>1.1657176470588217</v>
      </c>
      <c r="R2255" s="9">
        <v>6.02</v>
      </c>
      <c r="S2255" s="9">
        <v>-6.01</v>
      </c>
      <c r="T2255" s="9">
        <v>1123</v>
      </c>
      <c r="U2255" s="9">
        <v>7649</v>
      </c>
      <c r="V2255" s="45">
        <f t="shared" si="179"/>
        <v>-0.85318342266962999</v>
      </c>
      <c r="W2255" s="12">
        <v>-4.63</v>
      </c>
      <c r="X2255" s="12">
        <v>1.03</v>
      </c>
      <c r="Y2255" s="12">
        <v>20210804</v>
      </c>
    </row>
    <row r="2256" spans="1:25" x14ac:dyDescent="0.45">
      <c r="A2256" s="3" t="s">
        <v>864</v>
      </c>
      <c r="B2256" s="3" t="s">
        <v>865</v>
      </c>
      <c r="C2256" s="6" t="s">
        <v>519</v>
      </c>
      <c r="D2256" s="6" t="s">
        <v>46</v>
      </c>
      <c r="E2256" s="6" t="s">
        <v>63</v>
      </c>
      <c r="F2256" s="6">
        <v>5819.86</v>
      </c>
      <c r="G2256" s="2">
        <v>-1.7</v>
      </c>
      <c r="H2256" s="2">
        <v>-2.0099999999999998</v>
      </c>
      <c r="I2256" s="2">
        <v>-1.79</v>
      </c>
      <c r="J2256" s="47">
        <f t="shared" si="175"/>
        <v>-0.1823529411764705</v>
      </c>
      <c r="K2256" s="47">
        <f t="shared" si="176"/>
        <v>0.10945273631840785</v>
      </c>
      <c r="O2256" s="17">
        <f t="shared" si="177"/>
        <v>0</v>
      </c>
      <c r="P2256" s="17">
        <f t="shared" si="178"/>
        <v>0</v>
      </c>
      <c r="R2256" s="9">
        <v>-19.28</v>
      </c>
      <c r="T2256" s="9">
        <v>2673.2299800000001</v>
      </c>
      <c r="U2256" s="9">
        <v>1357.7</v>
      </c>
      <c r="V2256" s="45">
        <f t="shared" si="179"/>
        <v>0.96894010458864255</v>
      </c>
      <c r="W2256" s="12">
        <v>9.52</v>
      </c>
      <c r="X2256" s="12">
        <v>0</v>
      </c>
      <c r="Y2256" s="12">
        <v>20210811</v>
      </c>
    </row>
    <row r="2257" spans="1:25" x14ac:dyDescent="0.45">
      <c r="A2257" s="3" t="s">
        <v>4417</v>
      </c>
      <c r="B2257" s="3" t="s">
        <v>4418</v>
      </c>
      <c r="C2257" s="6" t="s">
        <v>519</v>
      </c>
      <c r="D2257" s="6" t="s">
        <v>189</v>
      </c>
      <c r="E2257" s="6" t="s">
        <v>433</v>
      </c>
      <c r="F2257" s="6">
        <v>5288.5</v>
      </c>
      <c r="G2257" s="2">
        <v>-0.16</v>
      </c>
      <c r="H2257" s="2">
        <v>0.02</v>
      </c>
      <c r="I2257" s="2">
        <v>0.21</v>
      </c>
      <c r="J2257" s="47">
        <f t="shared" si="175"/>
        <v>1.125</v>
      </c>
      <c r="K2257" s="47">
        <f t="shared" si="176"/>
        <v>9.5</v>
      </c>
      <c r="L2257" s="8">
        <v>293.06</v>
      </c>
      <c r="M2257" s="8">
        <v>2241.9</v>
      </c>
      <c r="N2257" s="8">
        <v>242.37</v>
      </c>
      <c r="O2257" s="17">
        <f t="shared" si="177"/>
        <v>19.928000000000001</v>
      </c>
      <c r="P2257" s="17">
        <f t="shared" si="178"/>
        <v>0.2551263157894737</v>
      </c>
      <c r="R2257" s="9">
        <v>-38.26</v>
      </c>
      <c r="S2257" s="9">
        <v>15.02</v>
      </c>
      <c r="T2257" s="9">
        <v>369.923</v>
      </c>
      <c r="U2257" s="9">
        <v>292.69</v>
      </c>
      <c r="V2257" s="45">
        <f t="shared" si="179"/>
        <v>0.26387303973487308</v>
      </c>
      <c r="W2257" s="12">
        <v>38.46</v>
      </c>
      <c r="X2257" s="12">
        <v>0</v>
      </c>
      <c r="Y2257" s="12">
        <v>20210802</v>
      </c>
    </row>
    <row r="2258" spans="1:25" x14ac:dyDescent="0.45">
      <c r="A2258" s="3" t="s">
        <v>701</v>
      </c>
      <c r="B2258" s="3" t="s">
        <v>702</v>
      </c>
      <c r="C2258" s="6" t="s">
        <v>519</v>
      </c>
      <c r="D2258" s="6" t="s">
        <v>189</v>
      </c>
      <c r="E2258" s="6" t="s">
        <v>202</v>
      </c>
      <c r="F2258" s="6">
        <v>3009.39</v>
      </c>
      <c r="G2258" s="2">
        <v>3.41</v>
      </c>
      <c r="H2258" s="2">
        <v>2.1800000000000002</v>
      </c>
      <c r="I2258" s="2">
        <v>2.6</v>
      </c>
      <c r="J2258" s="47">
        <f t="shared" si="175"/>
        <v>-0.3607038123167155</v>
      </c>
      <c r="K2258" s="47">
        <f t="shared" si="176"/>
        <v>0.19266055045871555</v>
      </c>
      <c r="L2258" s="8">
        <v>13.21</v>
      </c>
      <c r="M2258" s="8">
        <v>21.22</v>
      </c>
      <c r="N2258" s="8">
        <v>17.82</v>
      </c>
      <c r="O2258" s="17">
        <f t="shared" si="177"/>
        <v>-0.58829430894308954</v>
      </c>
      <c r="P2258" s="17">
        <f t="shared" si="178"/>
        <v>0.92494285714285751</v>
      </c>
      <c r="Q2258" s="5">
        <v>1.52</v>
      </c>
      <c r="R2258" s="9">
        <v>13.9</v>
      </c>
      <c r="S2258" s="9">
        <v>4.9000000000000004</v>
      </c>
      <c r="T2258" s="9">
        <v>863.59996999999998</v>
      </c>
      <c r="U2258" s="9">
        <v>1273.7</v>
      </c>
      <c r="V2258" s="45">
        <f t="shared" si="179"/>
        <v>-0.32197537096647566</v>
      </c>
      <c r="W2258" s="12">
        <v>18.920000000000002</v>
      </c>
      <c r="X2258" s="12">
        <v>0</v>
      </c>
      <c r="Y2258" s="12">
        <v>20210908</v>
      </c>
    </row>
    <row r="2259" spans="1:25" x14ac:dyDescent="0.45">
      <c r="A2259" s="3" t="s">
        <v>322</v>
      </c>
      <c r="B2259" s="3" t="s">
        <v>323</v>
      </c>
      <c r="C2259" s="6" t="s">
        <v>519</v>
      </c>
      <c r="D2259" s="6" t="s">
        <v>175</v>
      </c>
      <c r="E2259" s="6" t="s">
        <v>193</v>
      </c>
      <c r="F2259" s="6">
        <v>27542.54</v>
      </c>
      <c r="G2259" s="2">
        <v>5.09</v>
      </c>
      <c r="H2259" s="2">
        <v>5.19</v>
      </c>
      <c r="I2259" s="2">
        <v>5.9</v>
      </c>
      <c r="J2259" s="47">
        <f t="shared" si="175"/>
        <v>1.964636542239696E-2</v>
      </c>
      <c r="K2259" s="47">
        <f t="shared" si="176"/>
        <v>0.13680154142581888</v>
      </c>
      <c r="L2259" s="8">
        <v>33.25</v>
      </c>
      <c r="M2259" s="8">
        <v>32.729999999999997</v>
      </c>
      <c r="N2259" s="8">
        <v>28.8</v>
      </c>
      <c r="O2259" s="17">
        <f t="shared" si="177"/>
        <v>16.65956999999991</v>
      </c>
      <c r="P2259" s="17">
        <f t="shared" si="178"/>
        <v>2.1052394366197187</v>
      </c>
      <c r="Q2259" s="5">
        <v>3.36</v>
      </c>
      <c r="R2259" s="9">
        <v>33.51</v>
      </c>
      <c r="S2259" s="9">
        <v>8.2799999999999994</v>
      </c>
      <c r="T2259" s="9">
        <v>2976.46704</v>
      </c>
      <c r="U2259" s="9">
        <v>2784.6</v>
      </c>
      <c r="V2259" s="45">
        <f t="shared" si="179"/>
        <v>6.890290885585007E-2</v>
      </c>
      <c r="W2259" s="12">
        <v>-1.6</v>
      </c>
      <c r="X2259" s="12">
        <v>0.68</v>
      </c>
      <c r="Y2259" s="12">
        <v>20210803</v>
      </c>
    </row>
    <row r="2260" spans="1:25" x14ac:dyDescent="0.45">
      <c r="A2260" s="3" t="s">
        <v>403</v>
      </c>
      <c r="B2260" s="3" t="s">
        <v>404</v>
      </c>
      <c r="C2260" s="6" t="s">
        <v>519</v>
      </c>
      <c r="D2260" s="6" t="s">
        <v>189</v>
      </c>
      <c r="E2260" s="6" t="s">
        <v>249</v>
      </c>
      <c r="F2260" s="6">
        <v>24529.5</v>
      </c>
      <c r="G2260" s="2">
        <v>6.97</v>
      </c>
      <c r="H2260" s="2">
        <v>5.35</v>
      </c>
      <c r="I2260" s="2">
        <v>6.03</v>
      </c>
      <c r="J2260" s="47">
        <f t="shared" si="175"/>
        <v>-0.23242467718794838</v>
      </c>
      <c r="K2260" s="47">
        <f t="shared" si="176"/>
        <v>0.12710280373831787</v>
      </c>
      <c r="L2260" s="8">
        <v>39.46</v>
      </c>
      <c r="M2260" s="8">
        <v>40.71</v>
      </c>
      <c r="N2260" s="8">
        <v>36.119999999999997</v>
      </c>
      <c r="O2260" s="17">
        <f t="shared" si="177"/>
        <v>-1.751535185185185</v>
      </c>
      <c r="P2260" s="17">
        <f t="shared" si="178"/>
        <v>2.8417941176470563</v>
      </c>
      <c r="R2260" s="9">
        <v>-45.21</v>
      </c>
      <c r="S2260" s="9">
        <v>2.79</v>
      </c>
      <c r="T2260" s="9">
        <v>1321.9499499999999</v>
      </c>
      <c r="U2260" s="9">
        <v>1265.05</v>
      </c>
      <c r="V2260" s="45">
        <f t="shared" si="179"/>
        <v>4.4978419825303338E-2</v>
      </c>
      <c r="W2260" s="12">
        <v>3.1</v>
      </c>
      <c r="X2260" s="12">
        <v>0</v>
      </c>
      <c r="Y2260" s="12">
        <v>20210722</v>
      </c>
    </row>
    <row r="2261" spans="1:25" x14ac:dyDescent="0.45">
      <c r="A2261" s="3" t="s">
        <v>866</v>
      </c>
      <c r="B2261" s="3" t="s">
        <v>867</v>
      </c>
      <c r="C2261" s="6" t="s">
        <v>518</v>
      </c>
      <c r="D2261" s="6" t="s">
        <v>189</v>
      </c>
      <c r="E2261" s="6" t="s">
        <v>204</v>
      </c>
      <c r="F2261" s="6">
        <v>9248.94</v>
      </c>
      <c r="G2261" s="2">
        <v>0.86</v>
      </c>
      <c r="H2261" s="2">
        <v>1.1100000000000001</v>
      </c>
      <c r="I2261" s="2">
        <v>1.28</v>
      </c>
      <c r="J2261" s="47">
        <f t="shared" si="175"/>
        <v>0.29069767441860478</v>
      </c>
      <c r="K2261" s="47">
        <f t="shared" si="176"/>
        <v>0.15315315315315309</v>
      </c>
      <c r="L2261" s="8">
        <v>23.87</v>
      </c>
      <c r="M2261" s="8">
        <v>23.73</v>
      </c>
      <c r="N2261" s="8">
        <v>20.57</v>
      </c>
      <c r="O2261" s="17">
        <f t="shared" si="177"/>
        <v>0.8163119999999997</v>
      </c>
      <c r="P2261" s="17">
        <f t="shared" si="178"/>
        <v>1.3431000000000006</v>
      </c>
      <c r="Q2261" s="5">
        <v>1.22</v>
      </c>
      <c r="R2261" s="9">
        <v>79.599999999999994</v>
      </c>
      <c r="T2261" s="9">
        <v>4935.0551699999996</v>
      </c>
      <c r="U2261" s="9">
        <v>4370.6000000000004</v>
      </c>
      <c r="V2261" s="45">
        <f t="shared" si="179"/>
        <v>0.12914821077197622</v>
      </c>
      <c r="W2261" s="12">
        <v>75</v>
      </c>
      <c r="X2261" s="12">
        <v>0.04</v>
      </c>
      <c r="Y2261" s="12">
        <v>20210804</v>
      </c>
    </row>
    <row r="2262" spans="1:25" x14ac:dyDescent="0.45">
      <c r="A2262" s="3" t="s">
        <v>405</v>
      </c>
      <c r="B2262" s="3" t="s">
        <v>406</v>
      </c>
      <c r="C2262" s="6" t="s">
        <v>519</v>
      </c>
      <c r="D2262" s="6" t="s">
        <v>279</v>
      </c>
      <c r="E2262" s="6" t="s">
        <v>256</v>
      </c>
      <c r="F2262" s="6">
        <v>55283.35</v>
      </c>
      <c r="G2262" s="2">
        <v>10.41</v>
      </c>
      <c r="H2262" s="2">
        <v>11.22</v>
      </c>
      <c r="I2262" s="2">
        <v>12.34</v>
      </c>
      <c r="J2262" s="47">
        <f t="shared" si="175"/>
        <v>7.7809798270893418E-2</v>
      </c>
      <c r="K2262" s="47">
        <f t="shared" si="176"/>
        <v>9.9821746880570328E-2</v>
      </c>
      <c r="L2262" s="8">
        <v>19.89</v>
      </c>
      <c r="M2262" s="8">
        <v>19.03</v>
      </c>
      <c r="N2262" s="8">
        <v>17.3</v>
      </c>
      <c r="O2262" s="17">
        <f t="shared" si="177"/>
        <v>2.4457074074074061</v>
      </c>
      <c r="P2262" s="17">
        <f t="shared" si="178"/>
        <v>1.7330892857142872</v>
      </c>
      <c r="Q2262" s="5">
        <v>1.61</v>
      </c>
      <c r="R2262" s="9">
        <v>29.61</v>
      </c>
      <c r="S2262" s="9">
        <v>35.270000000000003</v>
      </c>
      <c r="T2262" s="9">
        <v>6925.9560499999998</v>
      </c>
      <c r="U2262" s="9">
        <v>6205.68</v>
      </c>
      <c r="V2262" s="45">
        <f t="shared" si="179"/>
        <v>0.11606722389810616</v>
      </c>
      <c r="W2262" s="12">
        <v>7.58</v>
      </c>
      <c r="X2262" s="12">
        <v>0</v>
      </c>
      <c r="Y2262" s="12">
        <v>20210729</v>
      </c>
    </row>
    <row r="2263" spans="1:25" x14ac:dyDescent="0.45">
      <c r="A2263" s="3" t="s">
        <v>3951</v>
      </c>
      <c r="B2263" s="3" t="s">
        <v>3952</v>
      </c>
      <c r="C2263" s="6" t="s">
        <v>519</v>
      </c>
      <c r="D2263" s="6" t="s">
        <v>189</v>
      </c>
      <c r="E2263" s="6" t="s">
        <v>1610</v>
      </c>
      <c r="F2263" s="6">
        <v>3675.08</v>
      </c>
      <c r="G2263" s="2">
        <v>-0.33</v>
      </c>
      <c r="H2263" s="2">
        <v>0.38</v>
      </c>
      <c r="I2263" s="2">
        <v>0.52</v>
      </c>
      <c r="J2263" s="47">
        <f t="shared" si="175"/>
        <v>2.1515151515151514</v>
      </c>
      <c r="K2263" s="47">
        <f t="shared" si="176"/>
        <v>0.36842105263157898</v>
      </c>
      <c r="L2263" s="8">
        <v>1266.75</v>
      </c>
      <c r="M2263" s="8">
        <v>132.47</v>
      </c>
      <c r="N2263" s="8">
        <v>96.51</v>
      </c>
      <c r="O2263" s="17">
        <f t="shared" si="177"/>
        <v>0.61570563380281695</v>
      </c>
      <c r="P2263" s="17">
        <f t="shared" si="178"/>
        <v>2.6195571428571429</v>
      </c>
      <c r="Q2263" s="5">
        <v>5.52</v>
      </c>
      <c r="R2263" s="9">
        <v>0.16</v>
      </c>
      <c r="S2263" s="9">
        <v>12.48</v>
      </c>
      <c r="T2263" s="9">
        <v>2694.75488</v>
      </c>
      <c r="U2263" s="9">
        <v>2256.11</v>
      </c>
      <c r="V2263" s="45">
        <f t="shared" si="179"/>
        <v>0.19442530727668411</v>
      </c>
      <c r="W2263" s="12">
        <v>266.67</v>
      </c>
      <c r="X2263" s="12">
        <v>0</v>
      </c>
      <c r="Y2263" s="12">
        <v>20210805</v>
      </c>
    </row>
    <row r="2264" spans="1:25" x14ac:dyDescent="0.45">
      <c r="A2264" s="3" t="s">
        <v>892</v>
      </c>
      <c r="B2264" s="3" t="s">
        <v>893</v>
      </c>
      <c r="C2264" s="6" t="s">
        <v>518</v>
      </c>
      <c r="D2264" s="6" t="s">
        <v>189</v>
      </c>
      <c r="E2264" s="6" t="s">
        <v>299</v>
      </c>
      <c r="F2264" s="6">
        <v>3370.78</v>
      </c>
      <c r="G2264" s="2">
        <v>0.92</v>
      </c>
      <c r="H2264" s="2">
        <v>2.17</v>
      </c>
      <c r="I2264" s="2">
        <v>2.2000000000000002</v>
      </c>
      <c r="J2264" s="47">
        <f t="shared" si="175"/>
        <v>1.3586956521739131</v>
      </c>
      <c r="K2264" s="47">
        <f t="shared" si="176"/>
        <v>1.3824884792626843E-2</v>
      </c>
      <c r="L2264" s="8">
        <v>19.91</v>
      </c>
      <c r="M2264" s="8">
        <v>10.72</v>
      </c>
      <c r="N2264" s="8">
        <v>10.57</v>
      </c>
      <c r="O2264" s="17">
        <f t="shared" si="177"/>
        <v>7.8899200000000003E-2</v>
      </c>
      <c r="P2264" s="17">
        <f t="shared" si="178"/>
        <v>7.6456333333332696</v>
      </c>
      <c r="Q2264" s="5">
        <v>0.53</v>
      </c>
      <c r="R2264" s="9">
        <v>11.02</v>
      </c>
      <c r="S2264" s="9">
        <v>2.41</v>
      </c>
      <c r="T2264" s="9">
        <v>3198.1650300000001</v>
      </c>
      <c r="U2264" s="9">
        <v>2501.9</v>
      </c>
      <c r="V2264" s="45">
        <f t="shared" si="179"/>
        <v>0.27829450817378792</v>
      </c>
      <c r="W2264" s="12">
        <v>2.2200000000000002</v>
      </c>
      <c r="X2264" s="12">
        <v>1.63</v>
      </c>
      <c r="Y2264" s="12">
        <v>20210803</v>
      </c>
    </row>
    <row r="2265" spans="1:25" x14ac:dyDescent="0.45">
      <c r="A2265" s="3" t="s">
        <v>3953</v>
      </c>
      <c r="B2265" s="3" t="s">
        <v>324</v>
      </c>
      <c r="C2265" s="6" t="s">
        <v>518</v>
      </c>
      <c r="D2265" s="6" t="s">
        <v>327</v>
      </c>
      <c r="E2265" s="6" t="s">
        <v>321</v>
      </c>
      <c r="F2265" s="6">
        <v>8811.9699999999993</v>
      </c>
      <c r="G2265" s="2">
        <v>2.37</v>
      </c>
      <c r="H2265" s="2">
        <v>0.05</v>
      </c>
      <c r="I2265" s="2">
        <v>1.72</v>
      </c>
      <c r="J2265" s="47">
        <f t="shared" si="175"/>
        <v>-0.97890295358649793</v>
      </c>
      <c r="K2265" s="47">
        <f t="shared" si="176"/>
        <v>33.4</v>
      </c>
      <c r="M2265" s="8">
        <v>365.6</v>
      </c>
      <c r="N2265" s="8">
        <v>10.63</v>
      </c>
      <c r="O2265" s="17">
        <f t="shared" si="177"/>
        <v>-3.734793103448276</v>
      </c>
      <c r="P2265" s="17">
        <f t="shared" si="178"/>
        <v>3.1826347305389225E-3</v>
      </c>
      <c r="Q2265" s="5">
        <v>20.18</v>
      </c>
      <c r="R2265" s="9">
        <v>-17.809999999999999</v>
      </c>
      <c r="S2265" s="9">
        <v>28.35</v>
      </c>
      <c r="T2265" s="9">
        <v>15517.240229999999</v>
      </c>
      <c r="U2265" s="9">
        <v>11443</v>
      </c>
      <c r="V2265" s="45">
        <f t="shared" si="179"/>
        <v>0.35604651140435195</v>
      </c>
      <c r="W2265" s="12">
        <v>-79.91</v>
      </c>
      <c r="X2265" s="12">
        <v>3.28</v>
      </c>
      <c r="Y2265" s="12">
        <v>20210804</v>
      </c>
    </row>
    <row r="2266" spans="1:25" x14ac:dyDescent="0.45">
      <c r="A2266" s="3" t="s">
        <v>5037</v>
      </c>
      <c r="B2266" s="3" t="s">
        <v>5038</v>
      </c>
      <c r="C2266" s="6" t="s">
        <v>518</v>
      </c>
      <c r="D2266" s="6" t="s">
        <v>234</v>
      </c>
      <c r="E2266" s="6" t="s">
        <v>904</v>
      </c>
      <c r="F2266" s="6">
        <v>242517.47</v>
      </c>
      <c r="J2266" s="47" t="e">
        <f t="shared" si="175"/>
        <v>#DIV/0!</v>
      </c>
      <c r="K2266" s="47" t="e">
        <f t="shared" si="176"/>
        <v>#DIV/0!</v>
      </c>
      <c r="O2266" s="17" t="e">
        <f t="shared" si="177"/>
        <v>#DIV/0!</v>
      </c>
      <c r="P2266" s="17" t="e">
        <f t="shared" si="178"/>
        <v>#DIV/0!</v>
      </c>
      <c r="V2266" s="45" t="e">
        <f t="shared" si="179"/>
        <v>#DIV/0!</v>
      </c>
      <c r="X2266" s="12">
        <v>1.29</v>
      </c>
    </row>
    <row r="2267" spans="1:25" x14ac:dyDescent="0.45">
      <c r="A2267" s="3" t="s">
        <v>325</v>
      </c>
      <c r="B2267" s="3" t="s">
        <v>326</v>
      </c>
      <c r="C2267" s="6" t="s">
        <v>518</v>
      </c>
      <c r="D2267" s="6" t="s">
        <v>234</v>
      </c>
      <c r="E2267" s="6" t="s">
        <v>286</v>
      </c>
      <c r="F2267" s="6">
        <v>21645.62</v>
      </c>
      <c r="G2267" s="2">
        <v>3.22</v>
      </c>
      <c r="H2267" s="2">
        <v>2.88</v>
      </c>
      <c r="I2267" s="2">
        <v>3.08</v>
      </c>
      <c r="J2267" s="47">
        <f t="shared" si="175"/>
        <v>-0.10559006211180133</v>
      </c>
      <c r="K2267" s="47">
        <f t="shared" si="176"/>
        <v>6.9444444444444503E-2</v>
      </c>
      <c r="L2267" s="8">
        <v>18.8</v>
      </c>
      <c r="M2267" s="8">
        <v>20.010000000000002</v>
      </c>
      <c r="N2267" s="8">
        <v>18.73</v>
      </c>
      <c r="O2267" s="17">
        <f t="shared" si="177"/>
        <v>-1.8950647058823515</v>
      </c>
      <c r="P2267" s="17">
        <f t="shared" si="178"/>
        <v>2.6971199999999977</v>
      </c>
      <c r="Q2267" s="5">
        <v>6.73</v>
      </c>
      <c r="R2267" s="9">
        <v>-0.89</v>
      </c>
      <c r="S2267" s="9">
        <v>2.93</v>
      </c>
      <c r="T2267" s="9">
        <v>3687.4929099999999</v>
      </c>
      <c r="U2267" s="9">
        <v>3795.36</v>
      </c>
      <c r="V2267" s="45">
        <f t="shared" si="179"/>
        <v>-2.8420779583491471E-2</v>
      </c>
      <c r="W2267" s="12">
        <v>2.86</v>
      </c>
      <c r="X2267" s="12">
        <v>3.12</v>
      </c>
      <c r="Y2267" s="12">
        <v>20210806</v>
      </c>
    </row>
    <row r="2268" spans="1:25" x14ac:dyDescent="0.45">
      <c r="A2268" s="3" t="s">
        <v>797</v>
      </c>
      <c r="B2268" s="3" t="s">
        <v>798</v>
      </c>
      <c r="C2268" s="6" t="s">
        <v>519</v>
      </c>
      <c r="D2268" s="6" t="s">
        <v>279</v>
      </c>
      <c r="E2268" s="6" t="s">
        <v>266</v>
      </c>
      <c r="F2268" s="6">
        <v>18673.73</v>
      </c>
      <c r="G2268" s="2">
        <v>4.53</v>
      </c>
      <c r="H2268" s="2">
        <v>3.57</v>
      </c>
      <c r="I2268" s="2">
        <v>3.73</v>
      </c>
      <c r="J2268" s="47">
        <f t="shared" si="175"/>
        <v>-0.21192052980132459</v>
      </c>
      <c r="K2268" s="47">
        <f t="shared" si="176"/>
        <v>4.4817927170868389E-2</v>
      </c>
      <c r="L2268" s="8">
        <v>3.27</v>
      </c>
      <c r="M2268" s="8">
        <v>4.33</v>
      </c>
      <c r="N2268" s="8">
        <v>4.1399999999999997</v>
      </c>
      <c r="O2268" s="17">
        <f t="shared" si="177"/>
        <v>-0.20432187499999993</v>
      </c>
      <c r="P2268" s="17">
        <f t="shared" si="178"/>
        <v>0.92373749999999899</v>
      </c>
      <c r="Q2268" s="5">
        <v>0.22</v>
      </c>
      <c r="R2268" s="9">
        <v>8.4700000000000006</v>
      </c>
      <c r="S2268" s="9">
        <v>2.37</v>
      </c>
      <c r="T2268" s="9">
        <v>17497.54882</v>
      </c>
      <c r="U2268" s="9">
        <v>11946</v>
      </c>
      <c r="V2268" s="45">
        <f t="shared" si="179"/>
        <v>0.46472030972710532</v>
      </c>
      <c r="W2268" s="12">
        <v>16.46</v>
      </c>
      <c r="X2268" s="12">
        <v>2.85</v>
      </c>
      <c r="Y2268" s="12">
        <v>20210805</v>
      </c>
    </row>
    <row r="2269" spans="1:25" x14ac:dyDescent="0.45">
      <c r="A2269" s="3" t="s">
        <v>4419</v>
      </c>
      <c r="B2269" s="3" t="s">
        <v>4420</v>
      </c>
      <c r="C2269" s="6" t="s">
        <v>520</v>
      </c>
      <c r="D2269" s="6" t="s">
        <v>90</v>
      </c>
      <c r="E2269" s="6" t="s">
        <v>197</v>
      </c>
      <c r="F2269" s="6">
        <v>3064.74</v>
      </c>
      <c r="G2269" s="2">
        <v>0.96</v>
      </c>
      <c r="H2269" s="2">
        <v>1.1599999999999999</v>
      </c>
      <c r="I2269" s="2">
        <v>1.42</v>
      </c>
      <c r="J2269" s="47">
        <f t="shared" si="175"/>
        <v>0.20833333333333329</v>
      </c>
      <c r="K2269" s="47">
        <f t="shared" si="176"/>
        <v>0.22413793103448279</v>
      </c>
      <c r="M2269" s="8">
        <v>30.61</v>
      </c>
      <c r="N2269" s="8">
        <v>24.94</v>
      </c>
      <c r="O2269" s="17">
        <f t="shared" si="177"/>
        <v>1.4692800000000004</v>
      </c>
      <c r="P2269" s="17">
        <f t="shared" si="178"/>
        <v>1.1127076923076922</v>
      </c>
      <c r="T2269" s="9">
        <v>409.60998000000001</v>
      </c>
      <c r="U2269" s="9">
        <v>339.29</v>
      </c>
      <c r="V2269" s="45">
        <f t="shared" si="179"/>
        <v>0.20725627044711009</v>
      </c>
      <c r="X2269" s="12">
        <v>0</v>
      </c>
    </row>
    <row r="2270" spans="1:25" x14ac:dyDescent="0.45">
      <c r="A2270" s="3" t="s">
        <v>735</v>
      </c>
      <c r="B2270" s="3" t="s">
        <v>736</v>
      </c>
      <c r="C2270" s="6" t="s">
        <v>518</v>
      </c>
      <c r="D2270" s="6" t="s">
        <v>303</v>
      </c>
      <c r="E2270" s="6" t="s">
        <v>291</v>
      </c>
      <c r="F2270" s="6">
        <v>3086.24</v>
      </c>
      <c r="G2270" s="2">
        <v>-2.73</v>
      </c>
      <c r="H2270" s="2">
        <v>-1.91</v>
      </c>
      <c r="I2270" s="2">
        <v>-1.56</v>
      </c>
      <c r="J2270" s="47">
        <f t="shared" si="175"/>
        <v>0.30036630036630041</v>
      </c>
      <c r="K2270" s="47">
        <f t="shared" si="176"/>
        <v>0.18324607329842926</v>
      </c>
      <c r="O2270" s="17">
        <f t="shared" si="177"/>
        <v>0</v>
      </c>
      <c r="P2270" s="17">
        <f t="shared" si="178"/>
        <v>0</v>
      </c>
      <c r="T2270" s="9">
        <v>1410.6330499999999</v>
      </c>
      <c r="U2270" s="9">
        <v>1260.73</v>
      </c>
      <c r="V2270" s="45">
        <f t="shared" si="179"/>
        <v>0.11890178705987792</v>
      </c>
      <c r="W2270" s="12">
        <v>-14.29</v>
      </c>
      <c r="X2270" s="12">
        <v>0</v>
      </c>
      <c r="Y2270" s="12">
        <v>20210805</v>
      </c>
    </row>
    <row r="2271" spans="1:25" x14ac:dyDescent="0.45">
      <c r="A2271" s="3" t="s">
        <v>643</v>
      </c>
      <c r="B2271" s="3" t="s">
        <v>644</v>
      </c>
      <c r="C2271" s="6" t="s">
        <v>518</v>
      </c>
      <c r="D2271" s="6" t="s">
        <v>90</v>
      </c>
      <c r="E2271" s="6" t="s">
        <v>198</v>
      </c>
      <c r="F2271" s="6">
        <v>6192.85</v>
      </c>
      <c r="G2271" s="2">
        <v>1.39</v>
      </c>
      <c r="H2271" s="2">
        <v>1.79</v>
      </c>
      <c r="I2271" s="2">
        <v>2.09</v>
      </c>
      <c r="J2271" s="47">
        <f t="shared" si="175"/>
        <v>0.28776978417266197</v>
      </c>
      <c r="K2271" s="47">
        <f t="shared" si="176"/>
        <v>0.1675977653631284</v>
      </c>
      <c r="L2271" s="8">
        <v>21.24</v>
      </c>
      <c r="M2271" s="8">
        <v>19.11</v>
      </c>
      <c r="N2271" s="8">
        <v>16.399999999999999</v>
      </c>
      <c r="O2271" s="17">
        <f t="shared" si="177"/>
        <v>0.66407249999999973</v>
      </c>
      <c r="P2271" s="17">
        <f t="shared" si="178"/>
        <v>0.97853333333333392</v>
      </c>
      <c r="R2271" s="9">
        <v>-317.87</v>
      </c>
      <c r="S2271" s="9">
        <v>5.64</v>
      </c>
      <c r="T2271" s="9">
        <v>2873.0061000000001</v>
      </c>
      <c r="U2271" s="9">
        <v>2353</v>
      </c>
      <c r="V2271" s="45">
        <f t="shared" si="179"/>
        <v>0.2209970675733107</v>
      </c>
      <c r="W2271" s="12">
        <v>24.32</v>
      </c>
      <c r="X2271" s="12">
        <v>1.46</v>
      </c>
      <c r="Y2271" s="12">
        <v>20210802</v>
      </c>
    </row>
    <row r="2272" spans="1:25" x14ac:dyDescent="0.45">
      <c r="A2272" s="3" t="s">
        <v>459</v>
      </c>
      <c r="B2272" s="3" t="s">
        <v>460</v>
      </c>
      <c r="C2272" s="6" t="s">
        <v>520</v>
      </c>
      <c r="D2272" s="6" t="s">
        <v>46</v>
      </c>
      <c r="E2272" s="6" t="s">
        <v>66</v>
      </c>
      <c r="F2272" s="6">
        <v>183636.98</v>
      </c>
      <c r="G2272" s="2">
        <v>1.79</v>
      </c>
      <c r="H2272" s="2">
        <v>3.29</v>
      </c>
      <c r="I2272" s="2">
        <v>3.63</v>
      </c>
      <c r="J2272" s="47">
        <f t="shared" si="175"/>
        <v>0.83798882681564246</v>
      </c>
      <c r="K2272" s="47">
        <f t="shared" si="176"/>
        <v>0.10334346504559266</v>
      </c>
      <c r="L2272" s="8">
        <v>14.09</v>
      </c>
      <c r="M2272" s="8">
        <v>11.13</v>
      </c>
      <c r="N2272" s="8">
        <v>10.09</v>
      </c>
      <c r="O2272" s="17">
        <f t="shared" si="177"/>
        <v>0.13281799999999999</v>
      </c>
      <c r="P2272" s="17">
        <f t="shared" si="178"/>
        <v>0.97635588235294146</v>
      </c>
      <c r="Q2272" s="5">
        <v>0.91</v>
      </c>
      <c r="R2272" s="9">
        <v>8.89</v>
      </c>
      <c r="S2272" s="9">
        <v>2.14</v>
      </c>
      <c r="T2272" s="9">
        <v>298801.65625</v>
      </c>
      <c r="U2272" s="9">
        <v>265826.81</v>
      </c>
      <c r="V2272" s="45">
        <f t="shared" si="179"/>
        <v>0.12404635277382293</v>
      </c>
      <c r="W2272" s="12">
        <v>27.87</v>
      </c>
      <c r="X2272" s="12">
        <v>1</v>
      </c>
      <c r="Y2272" s="12">
        <v>20210729</v>
      </c>
    </row>
    <row r="2273" spans="1:25" x14ac:dyDescent="0.45">
      <c r="A2273" s="3" t="s">
        <v>894</v>
      </c>
      <c r="B2273" s="3" t="s">
        <v>895</v>
      </c>
      <c r="C2273" s="6" t="s">
        <v>520</v>
      </c>
      <c r="D2273" s="6" t="s">
        <v>289</v>
      </c>
      <c r="E2273" s="6" t="s">
        <v>430</v>
      </c>
      <c r="F2273" s="6">
        <v>35809.89</v>
      </c>
      <c r="G2273" s="2">
        <v>0.26</v>
      </c>
      <c r="H2273" s="2">
        <v>0.28000000000000003</v>
      </c>
      <c r="I2273" s="2">
        <v>0.39</v>
      </c>
      <c r="J2273" s="47">
        <f t="shared" si="175"/>
        <v>7.6923076923076983E-2</v>
      </c>
      <c r="K2273" s="47">
        <f t="shared" si="176"/>
        <v>0.39285714285714279</v>
      </c>
      <c r="L2273" s="8">
        <v>7.08</v>
      </c>
      <c r="M2273" s="8">
        <v>42.21</v>
      </c>
      <c r="N2273" s="8">
        <v>30.31</v>
      </c>
      <c r="O2273" s="17">
        <f t="shared" si="177"/>
        <v>5.4872999999999958</v>
      </c>
      <c r="P2273" s="17">
        <f t="shared" si="178"/>
        <v>0.77152727272727284</v>
      </c>
      <c r="R2273" s="9">
        <v>19.96</v>
      </c>
      <c r="S2273" s="9">
        <v>10.35</v>
      </c>
      <c r="T2273" s="9">
        <v>20179.099600000001</v>
      </c>
      <c r="U2273" s="9">
        <v>16926.310000000001</v>
      </c>
      <c r="V2273" s="45">
        <f t="shared" si="179"/>
        <v>0.1921735806563864</v>
      </c>
      <c r="X2273" s="12">
        <v>0.47</v>
      </c>
      <c r="Y2273" s="12">
        <v>20210810</v>
      </c>
    </row>
    <row r="2274" spans="1:25" x14ac:dyDescent="0.45">
      <c r="A2274" s="3" t="s">
        <v>5039</v>
      </c>
      <c r="B2274" s="3" t="s">
        <v>5040</v>
      </c>
      <c r="C2274" s="6" t="s">
        <v>518</v>
      </c>
      <c r="D2274" s="6" t="s">
        <v>234</v>
      </c>
      <c r="E2274" s="6" t="s">
        <v>904</v>
      </c>
      <c r="F2274" s="6">
        <v>82581.11</v>
      </c>
      <c r="J2274" s="47" t="e">
        <f t="shared" si="175"/>
        <v>#DIV/0!</v>
      </c>
      <c r="K2274" s="47" t="e">
        <f t="shared" si="176"/>
        <v>#DIV/0!</v>
      </c>
      <c r="O2274" s="17" t="e">
        <f t="shared" si="177"/>
        <v>#DIV/0!</v>
      </c>
      <c r="P2274" s="17" t="e">
        <f t="shared" si="178"/>
        <v>#DIV/0!</v>
      </c>
      <c r="V2274" s="45" t="e">
        <f t="shared" si="179"/>
        <v>#DIV/0!</v>
      </c>
      <c r="X2274" s="12">
        <v>1.77</v>
      </c>
    </row>
    <row r="2275" spans="1:25" x14ac:dyDescent="0.45">
      <c r="A2275" s="3" t="s">
        <v>516</v>
      </c>
      <c r="B2275" s="3" t="s">
        <v>517</v>
      </c>
      <c r="C2275" s="6" t="s">
        <v>518</v>
      </c>
      <c r="D2275" s="6" t="s">
        <v>189</v>
      </c>
      <c r="E2275" s="6" t="s">
        <v>377</v>
      </c>
      <c r="F2275" s="6">
        <v>236190.84</v>
      </c>
      <c r="G2275" s="2">
        <v>4.8499999999999996</v>
      </c>
      <c r="H2275" s="2">
        <v>5.09</v>
      </c>
      <c r="I2275" s="2">
        <v>5.18</v>
      </c>
      <c r="J2275" s="47">
        <f t="shared" si="175"/>
        <v>4.9484536082474273E-2</v>
      </c>
      <c r="K2275" s="47">
        <f t="shared" si="176"/>
        <v>1.7681728880157142E-2</v>
      </c>
      <c r="L2275" s="8">
        <v>11.52</v>
      </c>
      <c r="M2275" s="8">
        <v>11.22</v>
      </c>
      <c r="N2275" s="8">
        <v>11.01</v>
      </c>
      <c r="O2275" s="17">
        <f t="shared" si="177"/>
        <v>2.2673749999999981</v>
      </c>
      <c r="P2275" s="17">
        <f t="shared" si="178"/>
        <v>6.226766666666677</v>
      </c>
      <c r="Q2275" s="5">
        <v>3.88</v>
      </c>
      <c r="R2275" s="9">
        <v>30.1</v>
      </c>
      <c r="S2275" s="9">
        <v>0.76</v>
      </c>
      <c r="T2275" s="9">
        <v>133459.01561999999</v>
      </c>
      <c r="U2275" s="9">
        <v>128292</v>
      </c>
      <c r="V2275" s="45">
        <f t="shared" si="179"/>
        <v>4.0275431203816221E-2</v>
      </c>
      <c r="W2275" s="12">
        <v>1.55</v>
      </c>
      <c r="X2275" s="12">
        <v>4.4000000000000004</v>
      </c>
      <c r="Y2275" s="12">
        <v>20210723</v>
      </c>
    </row>
    <row r="2276" spans="1:25" x14ac:dyDescent="0.45">
      <c r="A2276" s="3" t="s">
        <v>4421</v>
      </c>
      <c r="B2276" s="3" t="s">
        <v>4422</v>
      </c>
      <c r="C2276" s="6" t="s">
        <v>518</v>
      </c>
      <c r="D2276" s="6" t="s">
        <v>216</v>
      </c>
      <c r="E2276" s="6" t="s">
        <v>946</v>
      </c>
      <c r="F2276" s="6">
        <v>4038.08</v>
      </c>
      <c r="H2276" s="2">
        <v>-0.06</v>
      </c>
      <c r="I2276" s="2">
        <v>0.21</v>
      </c>
      <c r="J2276" s="47" t="e">
        <f t="shared" si="175"/>
        <v>#DIV/0!</v>
      </c>
      <c r="K2276" s="47">
        <f t="shared" si="176"/>
        <v>4.5000000000000009</v>
      </c>
      <c r="N2276" s="8">
        <v>105.78</v>
      </c>
      <c r="O2276" s="17" t="e">
        <f t="shared" si="177"/>
        <v>#DIV/0!</v>
      </c>
      <c r="P2276" s="17">
        <f t="shared" si="178"/>
        <v>0.23506666666666662</v>
      </c>
      <c r="T2276" s="9">
        <v>2224.06005</v>
      </c>
      <c r="V2276" s="45" t="e">
        <f t="shared" si="179"/>
        <v>#DIV/0!</v>
      </c>
      <c r="W2276" s="12">
        <v>115.38</v>
      </c>
      <c r="X2276" s="12">
        <v>0</v>
      </c>
      <c r="Y2276" s="12">
        <v>20210810</v>
      </c>
    </row>
    <row r="2277" spans="1:25" x14ac:dyDescent="0.45">
      <c r="A2277" s="3" t="s">
        <v>615</v>
      </c>
      <c r="B2277" s="3" t="s">
        <v>616</v>
      </c>
      <c r="C2277" s="6" t="s">
        <v>518</v>
      </c>
      <c r="D2277" s="6" t="s">
        <v>303</v>
      </c>
      <c r="E2277" s="6" t="s">
        <v>245</v>
      </c>
      <c r="F2277" s="6">
        <v>33708.47</v>
      </c>
      <c r="G2277" s="2">
        <v>4.76</v>
      </c>
      <c r="H2277" s="2">
        <v>4.21</v>
      </c>
      <c r="I2277" s="2">
        <v>6.55</v>
      </c>
      <c r="J2277" s="47">
        <f t="shared" si="175"/>
        <v>-0.11554621848739492</v>
      </c>
      <c r="K2277" s="47">
        <f t="shared" si="176"/>
        <v>0.5558194774346793</v>
      </c>
      <c r="L2277" s="8">
        <v>42.18</v>
      </c>
      <c r="M2277" s="8">
        <v>76.83</v>
      </c>
      <c r="N2277" s="8">
        <v>49.37</v>
      </c>
      <c r="O2277" s="17">
        <f t="shared" si="177"/>
        <v>-6.6492872727272747</v>
      </c>
      <c r="P2277" s="17">
        <f t="shared" si="178"/>
        <v>0.88823803418803426</v>
      </c>
      <c r="R2277" s="9">
        <v>-45.45</v>
      </c>
      <c r="S2277" s="9">
        <v>41.97</v>
      </c>
      <c r="T2277" s="9">
        <v>15854.94433</v>
      </c>
      <c r="U2277" s="9">
        <v>14145.16</v>
      </c>
      <c r="V2277" s="45">
        <f t="shared" si="179"/>
        <v>0.12087415978327572</v>
      </c>
      <c r="W2277" s="12">
        <v>244.83</v>
      </c>
      <c r="X2277" s="12">
        <v>0</v>
      </c>
      <c r="Y2277" s="12">
        <v>20210804</v>
      </c>
    </row>
    <row r="2278" spans="1:25" x14ac:dyDescent="0.45">
      <c r="A2278" s="3" t="s">
        <v>496</v>
      </c>
      <c r="B2278" s="3" t="s">
        <v>497</v>
      </c>
      <c r="C2278" s="6" t="s">
        <v>518</v>
      </c>
      <c r="D2278" s="6" t="s">
        <v>309</v>
      </c>
      <c r="E2278" s="6" t="s">
        <v>310</v>
      </c>
      <c r="F2278" s="6">
        <v>15382.52</v>
      </c>
      <c r="G2278" s="2">
        <v>3.84</v>
      </c>
      <c r="H2278" s="2">
        <v>4.21</v>
      </c>
      <c r="I2278" s="2">
        <v>4.88</v>
      </c>
      <c r="J2278" s="47">
        <f t="shared" si="175"/>
        <v>9.6354166666666699E-2</v>
      </c>
      <c r="K2278" s="47">
        <f t="shared" si="176"/>
        <v>0.15914489311163893</v>
      </c>
      <c r="L2278" s="8">
        <v>22.06</v>
      </c>
      <c r="M2278" s="8">
        <v>19.32</v>
      </c>
      <c r="N2278" s="8">
        <v>16.690000000000001</v>
      </c>
      <c r="O2278" s="17">
        <f t="shared" si="177"/>
        <v>2.0051027027027022</v>
      </c>
      <c r="P2278" s="17">
        <f t="shared" si="178"/>
        <v>1.048729850746269</v>
      </c>
      <c r="Q2278" s="5">
        <v>1.78</v>
      </c>
      <c r="R2278" s="9">
        <v>6.97</v>
      </c>
      <c r="S2278" s="9">
        <v>28.76</v>
      </c>
      <c r="T2278" s="9">
        <v>7894.0297799999998</v>
      </c>
      <c r="U2278" s="9">
        <v>7556.1</v>
      </c>
      <c r="V2278" s="45">
        <f t="shared" si="179"/>
        <v>4.472277762337707E-2</v>
      </c>
      <c r="W2278" s="12">
        <v>4.71</v>
      </c>
      <c r="X2278" s="12">
        <v>0.59</v>
      </c>
      <c r="Y2278" s="12">
        <v>20210727</v>
      </c>
    </row>
    <row r="2279" spans="1:25" x14ac:dyDescent="0.45">
      <c r="A2279" s="3" t="s">
        <v>617</v>
      </c>
      <c r="B2279" s="3" t="s">
        <v>618</v>
      </c>
      <c r="C2279" s="6" t="s">
        <v>518</v>
      </c>
      <c r="D2279" s="6" t="s">
        <v>234</v>
      </c>
      <c r="E2279" s="6" t="s">
        <v>181</v>
      </c>
      <c r="F2279" s="6">
        <v>10525.46</v>
      </c>
      <c r="G2279" s="2">
        <v>4.4400000000000004</v>
      </c>
      <c r="H2279" s="2">
        <v>8.19</v>
      </c>
      <c r="I2279" s="2">
        <v>9.14</v>
      </c>
      <c r="J2279" s="47">
        <f t="shared" si="175"/>
        <v>0.84459459459459429</v>
      </c>
      <c r="K2279" s="47">
        <f t="shared" si="176"/>
        <v>0.11599511599511614</v>
      </c>
      <c r="L2279" s="8">
        <v>16.62</v>
      </c>
      <c r="M2279" s="8">
        <v>12.42</v>
      </c>
      <c r="N2279" s="8">
        <v>11.13</v>
      </c>
      <c r="O2279" s="17">
        <f t="shared" si="177"/>
        <v>0.14705280000000007</v>
      </c>
      <c r="P2279" s="17">
        <f t="shared" si="178"/>
        <v>0.95952315789473575</v>
      </c>
      <c r="R2279" s="9">
        <v>18.29</v>
      </c>
      <c r="S2279" s="9">
        <v>17.190000000000001</v>
      </c>
      <c r="T2279" s="9">
        <v>1853.6999499999999</v>
      </c>
      <c r="U2279" s="9">
        <v>1332.6</v>
      </c>
      <c r="V2279" s="45">
        <f t="shared" si="179"/>
        <v>0.3910400345189855</v>
      </c>
      <c r="W2279" s="12">
        <v>30.14</v>
      </c>
      <c r="X2279" s="12">
        <v>0.98</v>
      </c>
      <c r="Y2279" s="12">
        <v>20210715</v>
      </c>
    </row>
    <row r="2280" spans="1:25" x14ac:dyDescent="0.45">
      <c r="A2280" s="3" t="s">
        <v>328</v>
      </c>
      <c r="B2280" s="3" t="s">
        <v>329</v>
      </c>
      <c r="C2280" s="6" t="s">
        <v>518</v>
      </c>
      <c r="D2280" s="6" t="s">
        <v>189</v>
      </c>
      <c r="E2280" s="6" t="s">
        <v>237</v>
      </c>
      <c r="F2280" s="6">
        <v>20237.759999999998</v>
      </c>
      <c r="G2280" s="2">
        <v>8.2799999999999994</v>
      </c>
      <c r="H2280" s="2">
        <v>10.01</v>
      </c>
      <c r="I2280" s="2">
        <v>10.86</v>
      </c>
      <c r="J2280" s="47">
        <f t="shared" si="175"/>
        <v>0.20893719806763292</v>
      </c>
      <c r="K2280" s="47">
        <f t="shared" si="176"/>
        <v>8.4915084915084885E-2</v>
      </c>
      <c r="L2280" s="8">
        <v>32.159999999999997</v>
      </c>
      <c r="M2280" s="8">
        <v>32.75</v>
      </c>
      <c r="N2280" s="8">
        <v>30.21</v>
      </c>
      <c r="O2280" s="17">
        <f t="shared" si="177"/>
        <v>1.5674566473988434</v>
      </c>
      <c r="P2280" s="17">
        <f t="shared" si="178"/>
        <v>3.5576717647058835</v>
      </c>
      <c r="Q2280" s="5">
        <v>4.63</v>
      </c>
      <c r="R2280" s="9">
        <v>1107.7</v>
      </c>
      <c r="S2280" s="9">
        <v>2.54</v>
      </c>
      <c r="T2280" s="9">
        <v>2645.2370599999999</v>
      </c>
      <c r="U2280" s="9">
        <v>2365.36</v>
      </c>
      <c r="V2280" s="45">
        <f t="shared" si="179"/>
        <v>0.11832324043697356</v>
      </c>
      <c r="W2280" s="12">
        <v>45.86</v>
      </c>
      <c r="X2280" s="12">
        <v>0</v>
      </c>
      <c r="Y2280" s="12">
        <v>20210727</v>
      </c>
    </row>
    <row r="2281" spans="1:25" x14ac:dyDescent="0.45">
      <c r="A2281" s="3" t="s">
        <v>547</v>
      </c>
      <c r="B2281" s="3" t="s">
        <v>548</v>
      </c>
      <c r="C2281" s="6" t="s">
        <v>519</v>
      </c>
      <c r="D2281" s="6" t="s">
        <v>189</v>
      </c>
      <c r="E2281" s="6" t="s">
        <v>246</v>
      </c>
      <c r="F2281" s="6">
        <v>11272.81</v>
      </c>
      <c r="G2281" s="2">
        <v>2.21</v>
      </c>
      <c r="H2281" s="2">
        <v>2.76</v>
      </c>
      <c r="I2281" s="2">
        <v>3.18</v>
      </c>
      <c r="J2281" s="47">
        <f t="shared" si="175"/>
        <v>0.24886877828054291</v>
      </c>
      <c r="K2281" s="47">
        <f t="shared" si="176"/>
        <v>0.15217391304347841</v>
      </c>
      <c r="L2281" s="8">
        <v>18.68</v>
      </c>
      <c r="M2281" s="8">
        <v>17.920000000000002</v>
      </c>
      <c r="N2281" s="8">
        <v>15.57</v>
      </c>
      <c r="O2281" s="17">
        <f t="shared" si="177"/>
        <v>0.72005818181818204</v>
      </c>
      <c r="P2281" s="17">
        <f t="shared" si="178"/>
        <v>1.0231714285714277</v>
      </c>
      <c r="Q2281" s="5">
        <v>3.67</v>
      </c>
      <c r="R2281" s="9">
        <v>11.39</v>
      </c>
      <c r="S2281" s="9">
        <v>28.5</v>
      </c>
      <c r="T2281" s="9">
        <v>2170.1000899999999</v>
      </c>
      <c r="U2281" s="9">
        <v>1689.93</v>
      </c>
      <c r="V2281" s="45">
        <f t="shared" si="179"/>
        <v>0.28413608255963252</v>
      </c>
      <c r="W2281" s="12">
        <v>9.6199999999999992</v>
      </c>
      <c r="X2281" s="12">
        <v>0</v>
      </c>
      <c r="Y2281" s="12">
        <v>20210927</v>
      </c>
    </row>
    <row r="2282" spans="1:25" x14ac:dyDescent="0.45">
      <c r="A2282" s="3" t="s">
        <v>558</v>
      </c>
      <c r="B2282" s="3" t="s">
        <v>559</v>
      </c>
      <c r="C2282" s="6" t="s">
        <v>519</v>
      </c>
      <c r="D2282" s="6" t="s">
        <v>303</v>
      </c>
      <c r="E2282" s="6" t="s">
        <v>293</v>
      </c>
      <c r="F2282" s="6">
        <v>46184.59</v>
      </c>
      <c r="G2282" s="2">
        <v>4.67</v>
      </c>
      <c r="H2282" s="2">
        <v>4.8899999999999997</v>
      </c>
      <c r="I2282" s="2">
        <v>5.19</v>
      </c>
      <c r="J2282" s="47">
        <f t="shared" si="175"/>
        <v>4.710920770877939E-2</v>
      </c>
      <c r="K2282" s="47">
        <f t="shared" si="176"/>
        <v>6.1349693251533895E-2</v>
      </c>
      <c r="L2282" s="8">
        <v>11.95</v>
      </c>
      <c r="M2282" s="8">
        <v>10.94</v>
      </c>
      <c r="N2282" s="8">
        <v>10.29</v>
      </c>
      <c r="O2282" s="17">
        <f t="shared" si="177"/>
        <v>2.3222636363636391</v>
      </c>
      <c r="P2282" s="17">
        <f t="shared" si="178"/>
        <v>1.6772699999999956</v>
      </c>
      <c r="Q2282" s="5">
        <v>1.6</v>
      </c>
      <c r="R2282" s="9">
        <v>18.32</v>
      </c>
      <c r="S2282" s="9">
        <v>4.9800000000000004</v>
      </c>
      <c r="T2282" s="9">
        <v>133376.90625</v>
      </c>
      <c r="U2282" s="9">
        <v>139537</v>
      </c>
      <c r="V2282" s="45">
        <f t="shared" si="179"/>
        <v>-4.4146668983853742E-2</v>
      </c>
      <c r="W2282" s="12">
        <v>27.27</v>
      </c>
      <c r="X2282" s="12">
        <v>3.5</v>
      </c>
      <c r="Y2282" s="12">
        <v>20210701</v>
      </c>
    </row>
    <row r="2283" spans="1:25" x14ac:dyDescent="0.45">
      <c r="A2283" s="3" t="s">
        <v>799</v>
      </c>
      <c r="B2283" s="3" t="s">
        <v>800</v>
      </c>
      <c r="C2283" s="6" t="s">
        <v>518</v>
      </c>
      <c r="D2283" s="6" t="s">
        <v>234</v>
      </c>
      <c r="E2283" s="6" t="s">
        <v>169</v>
      </c>
      <c r="F2283" s="6">
        <v>5176.5600000000004</v>
      </c>
      <c r="G2283" s="2">
        <v>2.42</v>
      </c>
      <c r="H2283" s="2">
        <v>3.73</v>
      </c>
      <c r="I2283" s="2">
        <v>4.63</v>
      </c>
      <c r="J2283" s="47">
        <f t="shared" si="175"/>
        <v>0.54132231404958686</v>
      </c>
      <c r="K2283" s="47">
        <f t="shared" si="176"/>
        <v>0.24128686327077745</v>
      </c>
      <c r="L2283" s="8">
        <v>15.9</v>
      </c>
      <c r="M2283" s="8">
        <v>15.36</v>
      </c>
      <c r="N2283" s="8">
        <v>12.36</v>
      </c>
      <c r="O2283" s="17">
        <f t="shared" si="177"/>
        <v>0.28374961832061063</v>
      </c>
      <c r="P2283" s="17">
        <f t="shared" si="178"/>
        <v>0.51225333333333334</v>
      </c>
      <c r="R2283" s="9">
        <v>10.78</v>
      </c>
      <c r="S2283" s="9">
        <v>6.12</v>
      </c>
      <c r="T2283" s="9">
        <v>1182.5150100000001</v>
      </c>
      <c r="U2283" s="9">
        <v>1287.33</v>
      </c>
      <c r="V2283" s="45">
        <f t="shared" si="179"/>
        <v>-8.1420451632448446E-2</v>
      </c>
      <c r="W2283" s="12">
        <v>40.450000000000003</v>
      </c>
      <c r="X2283" s="12">
        <v>2.79</v>
      </c>
      <c r="Y2283" s="12">
        <v>20210722</v>
      </c>
    </row>
    <row r="2284" spans="1:25" x14ac:dyDescent="0.45">
      <c r="A2284" s="3" t="s">
        <v>4423</v>
      </c>
      <c r="B2284" s="3" t="s">
        <v>4424</v>
      </c>
      <c r="C2284" s="6" t="s">
        <v>518</v>
      </c>
      <c r="D2284" s="6" t="s">
        <v>272</v>
      </c>
      <c r="E2284" s="6" t="s">
        <v>254</v>
      </c>
      <c r="F2284" s="6">
        <v>3452.87</v>
      </c>
      <c r="G2284" s="2">
        <v>0.04</v>
      </c>
      <c r="H2284" s="2">
        <v>0.47</v>
      </c>
      <c r="I2284" s="2">
        <v>0.76</v>
      </c>
      <c r="J2284" s="47">
        <f t="shared" si="175"/>
        <v>10.75</v>
      </c>
      <c r="K2284" s="47">
        <f t="shared" si="176"/>
        <v>0.61702127659574479</v>
      </c>
      <c r="L2284" s="8">
        <v>105.78</v>
      </c>
      <c r="M2284" s="8">
        <v>51.99</v>
      </c>
      <c r="N2284" s="8">
        <v>31.93</v>
      </c>
      <c r="O2284" s="17">
        <f t="shared" si="177"/>
        <v>4.8362790697674421E-2</v>
      </c>
      <c r="P2284" s="17">
        <f t="shared" si="178"/>
        <v>0.51748620689655167</v>
      </c>
      <c r="R2284" s="9">
        <v>13.46</v>
      </c>
      <c r="S2284" s="9">
        <v>-3.1</v>
      </c>
      <c r="T2284" s="9">
        <v>1357.23999</v>
      </c>
      <c r="U2284" s="9">
        <v>1153.4000000000001</v>
      </c>
      <c r="V2284" s="45">
        <f t="shared" si="179"/>
        <v>0.17672966013525224</v>
      </c>
      <c r="W2284" s="12">
        <v>166.67</v>
      </c>
      <c r="X2284" s="12">
        <v>0</v>
      </c>
      <c r="Y2284" s="12">
        <v>20210803</v>
      </c>
    </row>
    <row r="2285" spans="1:25" x14ac:dyDescent="0.45">
      <c r="A2285" s="3" t="s">
        <v>801</v>
      </c>
      <c r="B2285" s="3" t="s">
        <v>802</v>
      </c>
      <c r="C2285" s="6" t="s">
        <v>518</v>
      </c>
      <c r="D2285" s="6" t="s">
        <v>189</v>
      </c>
      <c r="E2285" s="6" t="s">
        <v>212</v>
      </c>
      <c r="F2285" s="6">
        <v>5502.51</v>
      </c>
      <c r="G2285" s="2">
        <v>5.28</v>
      </c>
      <c r="H2285" s="2">
        <v>7.03</v>
      </c>
      <c r="I2285" s="2">
        <v>8.33</v>
      </c>
      <c r="J2285" s="47">
        <f t="shared" si="175"/>
        <v>0.33143939393939392</v>
      </c>
      <c r="K2285" s="47">
        <f t="shared" si="176"/>
        <v>0.18492176386913226</v>
      </c>
      <c r="L2285" s="8">
        <v>20.5</v>
      </c>
      <c r="M2285" s="8">
        <v>15.59</v>
      </c>
      <c r="N2285" s="8">
        <v>13.16</v>
      </c>
      <c r="O2285" s="17">
        <f t="shared" si="177"/>
        <v>0.47037257142857147</v>
      </c>
      <c r="P2285" s="17">
        <f t="shared" si="178"/>
        <v>0.71165230769230781</v>
      </c>
      <c r="Q2285" s="5">
        <v>1.56</v>
      </c>
      <c r="R2285" s="9">
        <v>9.83</v>
      </c>
      <c r="S2285" s="9">
        <v>9.77</v>
      </c>
      <c r="T2285" s="9">
        <v>17081.476559999999</v>
      </c>
      <c r="U2285" s="9">
        <v>12326</v>
      </c>
      <c r="V2285" s="45">
        <f t="shared" si="179"/>
        <v>0.38580858023689757</v>
      </c>
      <c r="W2285" s="12">
        <v>88.16</v>
      </c>
      <c r="X2285" s="12">
        <v>0</v>
      </c>
      <c r="Y2285" s="12">
        <v>20210812</v>
      </c>
    </row>
    <row r="2286" spans="1:25" x14ac:dyDescent="0.45">
      <c r="A2286" s="3" t="s">
        <v>330</v>
      </c>
      <c r="B2286" s="3" t="s">
        <v>331</v>
      </c>
      <c r="C2286" s="6" t="s">
        <v>518</v>
      </c>
      <c r="D2286" s="6" t="s">
        <v>175</v>
      </c>
      <c r="E2286" s="6" t="s">
        <v>366</v>
      </c>
      <c r="F2286" s="6">
        <v>31357.759999999998</v>
      </c>
      <c r="G2286" s="2">
        <v>2.59</v>
      </c>
      <c r="H2286" s="2">
        <v>3.09</v>
      </c>
      <c r="I2286" s="2">
        <v>3.42</v>
      </c>
      <c r="J2286" s="47">
        <f t="shared" si="175"/>
        <v>0.19305019305019305</v>
      </c>
      <c r="K2286" s="47">
        <f t="shared" si="176"/>
        <v>0.10679611650485439</v>
      </c>
      <c r="L2286" s="8">
        <v>44.55</v>
      </c>
      <c r="M2286" s="8">
        <v>38.97</v>
      </c>
      <c r="N2286" s="8">
        <v>35.200000000000003</v>
      </c>
      <c r="O2286" s="17">
        <f t="shared" si="177"/>
        <v>2.0186459999999999</v>
      </c>
      <c r="P2286" s="17">
        <f t="shared" si="178"/>
        <v>3.2959999999999994</v>
      </c>
      <c r="Q2286" s="5">
        <v>3.08</v>
      </c>
      <c r="R2286" s="9">
        <v>10.54</v>
      </c>
      <c r="S2286" s="9">
        <v>14.89</v>
      </c>
      <c r="T2286" s="9">
        <v>5927.0717699999996</v>
      </c>
      <c r="U2286" s="9">
        <v>5445.99</v>
      </c>
      <c r="V2286" s="45">
        <f t="shared" si="179"/>
        <v>8.8336880897687986E-2</v>
      </c>
      <c r="W2286" s="12">
        <v>4.4800000000000004</v>
      </c>
      <c r="X2286" s="12">
        <v>0.28000000000000003</v>
      </c>
      <c r="Y2286" s="12">
        <v>20210805</v>
      </c>
    </row>
    <row r="2287" spans="1:25" x14ac:dyDescent="0.45">
      <c r="A2287" s="3" t="s">
        <v>3954</v>
      </c>
      <c r="B2287" s="3" t="s">
        <v>3955</v>
      </c>
      <c r="C2287" s="6" t="s">
        <v>518</v>
      </c>
      <c r="D2287" s="6" t="s">
        <v>234</v>
      </c>
      <c r="E2287" s="6" t="s">
        <v>1623</v>
      </c>
      <c r="F2287" s="6">
        <v>3249.11</v>
      </c>
      <c r="G2287" s="2">
        <v>6.3</v>
      </c>
      <c r="H2287" s="2">
        <v>8.5</v>
      </c>
      <c r="I2287" s="2">
        <v>8.9499999999999993</v>
      </c>
      <c r="J2287" s="47">
        <f t="shared" si="175"/>
        <v>0.34920634920634924</v>
      </c>
      <c r="K2287" s="47">
        <f t="shared" si="176"/>
        <v>5.2941176470588151E-2</v>
      </c>
      <c r="L2287" s="8">
        <v>13.2</v>
      </c>
      <c r="M2287" s="8">
        <v>12.02</v>
      </c>
      <c r="N2287" s="8">
        <v>11.42</v>
      </c>
      <c r="O2287" s="17">
        <f t="shared" si="177"/>
        <v>0.34420909090909085</v>
      </c>
      <c r="P2287" s="17">
        <f t="shared" si="178"/>
        <v>2.1571111111111145</v>
      </c>
      <c r="R2287" s="9">
        <v>21.52</v>
      </c>
      <c r="S2287" s="9">
        <v>14.93</v>
      </c>
      <c r="T2287" s="9">
        <v>1072.3000400000001</v>
      </c>
      <c r="U2287" s="9">
        <v>1083.71</v>
      </c>
      <c r="V2287" s="45">
        <f t="shared" si="179"/>
        <v>-1.0528610052504781E-2</v>
      </c>
      <c r="W2287" s="12">
        <v>-23.38</v>
      </c>
      <c r="X2287" s="12">
        <v>1.96</v>
      </c>
      <c r="Y2287" s="12">
        <v>20210804</v>
      </c>
    </row>
    <row r="2288" spans="1:25" x14ac:dyDescent="0.45">
      <c r="A2288" s="3" t="s">
        <v>332</v>
      </c>
      <c r="B2288" s="3" t="s">
        <v>333</v>
      </c>
      <c r="C2288" s="6" t="s">
        <v>519</v>
      </c>
      <c r="D2288" s="6" t="s">
        <v>189</v>
      </c>
      <c r="E2288" s="6" t="s">
        <v>248</v>
      </c>
      <c r="F2288" s="6">
        <v>55688.62</v>
      </c>
      <c r="G2288" s="2">
        <v>2.69</v>
      </c>
      <c r="H2288" s="2">
        <v>2.81</v>
      </c>
      <c r="I2288" s="2">
        <v>3.45</v>
      </c>
      <c r="J2288" s="47">
        <f t="shared" si="175"/>
        <v>4.4609665427509333E-2</v>
      </c>
      <c r="K2288" s="47">
        <f t="shared" si="176"/>
        <v>0.22775800711743777</v>
      </c>
      <c r="L2288" s="8">
        <v>68.319999999999993</v>
      </c>
      <c r="M2288" s="8">
        <v>80.2</v>
      </c>
      <c r="N2288" s="8">
        <v>65.38</v>
      </c>
      <c r="O2288" s="17">
        <f t="shared" si="177"/>
        <v>17.978166666666652</v>
      </c>
      <c r="P2288" s="17">
        <f t="shared" si="178"/>
        <v>2.8705906249999993</v>
      </c>
      <c r="Q2288" s="5">
        <v>3.97</v>
      </c>
      <c r="R2288" s="9">
        <v>-0.14000000000000001</v>
      </c>
      <c r="S2288" s="9">
        <v>29.55</v>
      </c>
      <c r="T2288" s="9">
        <v>5015.0829999999996</v>
      </c>
      <c r="U2288" s="9">
        <v>4318</v>
      </c>
      <c r="V2288" s="45">
        <f t="shared" si="179"/>
        <v>0.16143654469661872</v>
      </c>
      <c r="W2288" s="12">
        <v>19.18</v>
      </c>
      <c r="X2288" s="12">
        <v>0</v>
      </c>
      <c r="Y2288" s="12">
        <v>20210826</v>
      </c>
    </row>
    <row r="2289" spans="1:25" x14ac:dyDescent="0.45">
      <c r="A2289" s="3" t="s">
        <v>334</v>
      </c>
      <c r="B2289" s="3" t="s">
        <v>335</v>
      </c>
      <c r="C2289" s="6" t="s">
        <v>519</v>
      </c>
      <c r="D2289" s="6" t="s">
        <v>189</v>
      </c>
      <c r="E2289" s="6" t="s">
        <v>203</v>
      </c>
      <c r="F2289" s="6">
        <v>22941.06</v>
      </c>
      <c r="G2289" s="2">
        <v>3.01</v>
      </c>
      <c r="H2289" s="2">
        <v>3.83</v>
      </c>
      <c r="I2289" s="2">
        <v>9.19</v>
      </c>
      <c r="J2289" s="47">
        <f t="shared" si="175"/>
        <v>0.27242524916943534</v>
      </c>
      <c r="K2289" s="47">
        <f t="shared" si="176"/>
        <v>1.3994778067885116</v>
      </c>
      <c r="L2289" s="8">
        <v>20.85</v>
      </c>
      <c r="M2289" s="8">
        <v>19.559999999999999</v>
      </c>
      <c r="N2289" s="8">
        <v>8.15</v>
      </c>
      <c r="O2289" s="17">
        <f t="shared" si="177"/>
        <v>0.71799512195121917</v>
      </c>
      <c r="P2289" s="17">
        <f t="shared" si="178"/>
        <v>5.8236007462686576E-2</v>
      </c>
      <c r="R2289" s="9">
        <v>8.34</v>
      </c>
      <c r="S2289" s="9">
        <v>-0.24</v>
      </c>
      <c r="T2289" s="9">
        <v>16389.970700000002</v>
      </c>
      <c r="U2289" s="9">
        <v>16736</v>
      </c>
      <c r="V2289" s="45">
        <f t="shared" si="179"/>
        <v>-2.0675746892925329E-2</v>
      </c>
      <c r="W2289" s="12">
        <v>52.24</v>
      </c>
      <c r="X2289" s="12">
        <v>0</v>
      </c>
      <c r="Y2289" s="12">
        <v>20210804</v>
      </c>
    </row>
    <row r="2290" spans="1:25" x14ac:dyDescent="0.45">
      <c r="A2290" s="3" t="s">
        <v>737</v>
      </c>
      <c r="B2290" s="3" t="s">
        <v>738</v>
      </c>
      <c r="C2290" s="6" t="s">
        <v>519</v>
      </c>
      <c r="D2290" s="6" t="s">
        <v>225</v>
      </c>
      <c r="E2290" s="6" t="s">
        <v>206</v>
      </c>
      <c r="F2290" s="6">
        <v>3438.87</v>
      </c>
      <c r="G2290" s="2">
        <v>4.1100000000000003</v>
      </c>
      <c r="H2290" s="2">
        <v>5.36</v>
      </c>
      <c r="I2290" s="2">
        <v>5.63</v>
      </c>
      <c r="J2290" s="47">
        <f t="shared" si="175"/>
        <v>0.30413625304136249</v>
      </c>
      <c r="K2290" s="47">
        <f t="shared" si="176"/>
        <v>5.0373134328358125E-2</v>
      </c>
      <c r="L2290" s="8">
        <v>46.12</v>
      </c>
      <c r="M2290" s="8">
        <v>46.8</v>
      </c>
      <c r="N2290" s="8">
        <v>44.56</v>
      </c>
      <c r="O2290" s="17">
        <f t="shared" si="177"/>
        <v>1.5387840000000002</v>
      </c>
      <c r="P2290" s="17">
        <f t="shared" si="178"/>
        <v>8.8459851851851994</v>
      </c>
      <c r="R2290" s="9">
        <v>44.95</v>
      </c>
      <c r="S2290" s="9">
        <v>3.2</v>
      </c>
      <c r="T2290" s="9">
        <v>459</v>
      </c>
      <c r="U2290" s="9">
        <v>408.5</v>
      </c>
      <c r="V2290" s="45">
        <f t="shared" si="179"/>
        <v>0.12362301101591187</v>
      </c>
      <c r="W2290" s="12">
        <v>-6.06</v>
      </c>
      <c r="X2290" s="12">
        <v>1.1499999999999999</v>
      </c>
      <c r="Y2290" s="12">
        <v>20210708</v>
      </c>
    </row>
    <row r="2291" spans="1:25" x14ac:dyDescent="0.45">
      <c r="A2291" s="3" t="s">
        <v>4425</v>
      </c>
      <c r="B2291" s="3" t="s">
        <v>4426</v>
      </c>
      <c r="C2291" s="6" t="s">
        <v>518</v>
      </c>
      <c r="D2291" s="6" t="s">
        <v>175</v>
      </c>
      <c r="E2291" s="6" t="s">
        <v>305</v>
      </c>
      <c r="F2291" s="6">
        <v>31963.66</v>
      </c>
      <c r="H2291" s="2">
        <v>-0.04</v>
      </c>
      <c r="I2291" s="2">
        <v>-0.01</v>
      </c>
      <c r="J2291" s="47" t="e">
        <f t="shared" si="175"/>
        <v>#DIV/0!</v>
      </c>
      <c r="K2291" s="47">
        <f t="shared" si="176"/>
        <v>0.75</v>
      </c>
      <c r="O2291" s="17" t="e">
        <f t="shared" si="177"/>
        <v>#DIV/0!</v>
      </c>
      <c r="P2291" s="17">
        <f t="shared" si="178"/>
        <v>0</v>
      </c>
      <c r="T2291" s="9">
        <v>773.22997999999995</v>
      </c>
      <c r="V2291" s="45" t="e">
        <f t="shared" si="179"/>
        <v>#DIV/0!</v>
      </c>
      <c r="X2291" s="12">
        <v>0</v>
      </c>
      <c r="Y2291" s="12">
        <v>20210617</v>
      </c>
    </row>
    <row r="2292" spans="1:25" x14ac:dyDescent="0.45">
      <c r="A2292" s="3" t="s">
        <v>336</v>
      </c>
      <c r="B2292" s="3" t="s">
        <v>337</v>
      </c>
      <c r="C2292" s="6" t="s">
        <v>518</v>
      </c>
      <c r="D2292" s="6" t="s">
        <v>327</v>
      </c>
      <c r="E2292" s="6" t="s">
        <v>321</v>
      </c>
      <c r="F2292" s="6">
        <v>29307.07</v>
      </c>
      <c r="G2292" s="2">
        <v>3.77</v>
      </c>
      <c r="H2292" s="2">
        <v>4.04</v>
      </c>
      <c r="I2292" s="2">
        <v>4.26</v>
      </c>
      <c r="J2292" s="47">
        <f t="shared" si="175"/>
        <v>7.161803713527852E-2</v>
      </c>
      <c r="K2292" s="47">
        <f t="shared" si="176"/>
        <v>5.4455445544554393E-2</v>
      </c>
      <c r="L2292" s="8">
        <v>23.4</v>
      </c>
      <c r="M2292" s="8">
        <v>22.98</v>
      </c>
      <c r="N2292" s="8">
        <v>21.83</v>
      </c>
      <c r="O2292" s="17">
        <f t="shared" si="177"/>
        <v>3.2086888888888887</v>
      </c>
      <c r="P2292" s="17">
        <f t="shared" si="178"/>
        <v>4.0087818181818218</v>
      </c>
      <c r="Q2292" s="5">
        <v>3.83</v>
      </c>
      <c r="R2292" s="9">
        <v>11.83</v>
      </c>
      <c r="S2292" s="9">
        <v>-0.19</v>
      </c>
      <c r="T2292" s="9">
        <v>7762.4199200000003</v>
      </c>
      <c r="U2292" s="9">
        <v>7241.7</v>
      </c>
      <c r="V2292" s="45">
        <f t="shared" si="179"/>
        <v>7.1905756935526255E-2</v>
      </c>
      <c r="W2292" s="12">
        <v>9.52</v>
      </c>
      <c r="X2292" s="12">
        <v>2.92</v>
      </c>
      <c r="Y2292" s="12">
        <v>20210803</v>
      </c>
    </row>
    <row r="2293" spans="1:25" x14ac:dyDescent="0.45">
      <c r="A2293" s="3" t="s">
        <v>868</v>
      </c>
      <c r="B2293" s="3" t="s">
        <v>869</v>
      </c>
      <c r="C2293" s="6" t="s">
        <v>520</v>
      </c>
      <c r="D2293" s="6" t="s">
        <v>210</v>
      </c>
      <c r="E2293" s="6" t="s">
        <v>215</v>
      </c>
      <c r="F2293" s="6">
        <v>7201.64</v>
      </c>
      <c r="G2293" s="2">
        <v>0.47</v>
      </c>
      <c r="H2293" s="2">
        <v>0.55000000000000004</v>
      </c>
      <c r="I2293" s="2">
        <v>0.59</v>
      </c>
      <c r="J2293" s="47">
        <f t="shared" si="175"/>
        <v>0.17021276595744697</v>
      </c>
      <c r="K2293" s="47">
        <f t="shared" si="176"/>
        <v>7.2727272727272585E-2</v>
      </c>
      <c r="M2293" s="8">
        <v>25.45</v>
      </c>
      <c r="N2293" s="8">
        <v>23.51</v>
      </c>
      <c r="O2293" s="17">
        <f t="shared" si="177"/>
        <v>1.4951874999999983</v>
      </c>
      <c r="P2293" s="17">
        <f t="shared" si="178"/>
        <v>3.2326250000000067</v>
      </c>
      <c r="T2293" s="9">
        <v>2786.4199199999998</v>
      </c>
      <c r="U2293" s="9">
        <v>2522.96</v>
      </c>
      <c r="V2293" s="45">
        <f t="shared" si="179"/>
        <v>0.10442492944794994</v>
      </c>
      <c r="X2293" s="12">
        <v>0</v>
      </c>
      <c r="Y2293" s="12">
        <v>20210615</v>
      </c>
    </row>
    <row r="2294" spans="1:25" x14ac:dyDescent="0.45">
      <c r="A2294" s="3" t="s">
        <v>581</v>
      </c>
      <c r="B2294" s="3" t="s">
        <v>582</v>
      </c>
      <c r="C2294" s="6" t="s">
        <v>520</v>
      </c>
      <c r="D2294" s="6" t="s">
        <v>46</v>
      </c>
      <c r="E2294" s="6" t="s">
        <v>79</v>
      </c>
      <c r="F2294" s="6">
        <v>17236.240000000002</v>
      </c>
      <c r="G2294" s="2">
        <v>1.46</v>
      </c>
      <c r="H2294" s="2">
        <v>1.66</v>
      </c>
      <c r="I2294" s="2">
        <v>1.9</v>
      </c>
      <c r="J2294" s="47">
        <f t="shared" si="175"/>
        <v>0.13698630136986298</v>
      </c>
      <c r="K2294" s="47">
        <f t="shared" si="176"/>
        <v>0.14457831325301204</v>
      </c>
      <c r="M2294" s="8">
        <v>10.47</v>
      </c>
      <c r="N2294" s="8">
        <v>9.1199999999999992</v>
      </c>
      <c r="O2294" s="17">
        <f t="shared" si="177"/>
        <v>0.76431000000000027</v>
      </c>
      <c r="P2294" s="17">
        <f t="shared" si="178"/>
        <v>0.63080000000000003</v>
      </c>
      <c r="T2294" s="9">
        <v>34036.28125</v>
      </c>
      <c r="U2294" s="9">
        <v>25230.02</v>
      </c>
      <c r="V2294" s="45">
        <f t="shared" si="179"/>
        <v>0.34903901185968145</v>
      </c>
      <c r="X2294" s="12">
        <v>1.46</v>
      </c>
    </row>
    <row r="2295" spans="1:25" x14ac:dyDescent="0.45">
      <c r="A2295" s="3" t="s">
        <v>222</v>
      </c>
      <c r="B2295" s="3" t="s">
        <v>424</v>
      </c>
      <c r="C2295" s="6" t="s">
        <v>518</v>
      </c>
      <c r="D2295" s="6" t="s">
        <v>234</v>
      </c>
      <c r="E2295" s="6" t="s">
        <v>286</v>
      </c>
      <c r="F2295" s="6">
        <v>32917.32</v>
      </c>
      <c r="G2295" s="2">
        <v>3.5</v>
      </c>
      <c r="H2295" s="2">
        <v>3.05</v>
      </c>
      <c r="I2295" s="2">
        <v>3.42</v>
      </c>
      <c r="J2295" s="47">
        <f t="shared" si="175"/>
        <v>-0.12857142857142861</v>
      </c>
      <c r="K2295" s="47">
        <f t="shared" si="176"/>
        <v>0.12131147540983611</v>
      </c>
      <c r="L2295" s="8">
        <v>23.6</v>
      </c>
      <c r="M2295" s="8">
        <v>25.86</v>
      </c>
      <c r="N2295" s="8">
        <v>23.02</v>
      </c>
      <c r="O2295" s="17">
        <f t="shared" si="177"/>
        <v>-2.0113333333333325</v>
      </c>
      <c r="P2295" s="17">
        <f t="shared" si="178"/>
        <v>1.8975945945945938</v>
      </c>
      <c r="Q2295" s="5">
        <v>5.88</v>
      </c>
      <c r="R2295" s="9">
        <v>5.66</v>
      </c>
      <c r="S2295" s="9">
        <v>3.64</v>
      </c>
      <c r="T2295" s="9">
        <v>4391.0380800000003</v>
      </c>
      <c r="U2295" s="9">
        <v>4605.97</v>
      </c>
      <c r="V2295" s="45">
        <f t="shared" si="179"/>
        <v>-4.6663768978087133E-2</v>
      </c>
      <c r="W2295" s="12">
        <v>6.67</v>
      </c>
      <c r="X2295" s="12">
        <v>3.09</v>
      </c>
      <c r="Y2295" s="12">
        <v>20210804</v>
      </c>
    </row>
    <row r="2296" spans="1:25" x14ac:dyDescent="0.45">
      <c r="A2296" s="3" t="s">
        <v>673</v>
      </c>
      <c r="B2296" s="3" t="s">
        <v>619</v>
      </c>
      <c r="C2296" s="6" t="s">
        <v>519</v>
      </c>
      <c r="D2296" s="6" t="s">
        <v>303</v>
      </c>
      <c r="E2296" s="6" t="s">
        <v>294</v>
      </c>
      <c r="F2296" s="6">
        <v>5580.47</v>
      </c>
      <c r="G2296" s="2">
        <v>0.57999999999999996</v>
      </c>
      <c r="H2296" s="2">
        <v>0.74</v>
      </c>
      <c r="I2296" s="2">
        <v>0.84</v>
      </c>
      <c r="J2296" s="47">
        <f t="shared" si="175"/>
        <v>0.27586206896551729</v>
      </c>
      <c r="K2296" s="47">
        <f t="shared" si="176"/>
        <v>0.13513513513513511</v>
      </c>
      <c r="L2296" s="8">
        <v>37.07</v>
      </c>
      <c r="M2296" s="8">
        <v>34.299999999999997</v>
      </c>
      <c r="N2296" s="8">
        <v>29.95</v>
      </c>
      <c r="O2296" s="17">
        <f t="shared" si="177"/>
        <v>1.2433749999999997</v>
      </c>
      <c r="P2296" s="17">
        <f t="shared" si="178"/>
        <v>2.2162999999999999</v>
      </c>
      <c r="Q2296" s="5">
        <v>2.4500000000000002</v>
      </c>
      <c r="R2296" s="9">
        <v>29.74</v>
      </c>
      <c r="S2296" s="9">
        <v>5.49</v>
      </c>
      <c r="T2296" s="9">
        <v>1848.5610300000001</v>
      </c>
      <c r="U2296" s="9">
        <v>1733.82</v>
      </c>
      <c r="V2296" s="45">
        <f t="shared" si="179"/>
        <v>6.6178167283801173E-2</v>
      </c>
      <c r="W2296" s="12">
        <v>42.86</v>
      </c>
      <c r="X2296" s="12">
        <v>1.59</v>
      </c>
      <c r="Y2296" s="12">
        <v>20210804</v>
      </c>
    </row>
    <row r="2297" spans="1:25" x14ac:dyDescent="0.45">
      <c r="A2297" s="3" t="s">
        <v>3956</v>
      </c>
      <c r="B2297" s="3" t="s">
        <v>3957</v>
      </c>
      <c r="C2297" s="6" t="s">
        <v>519</v>
      </c>
      <c r="D2297" s="6" t="s">
        <v>309</v>
      </c>
      <c r="E2297" s="6" t="s">
        <v>2160</v>
      </c>
      <c r="F2297" s="6">
        <v>3105.22</v>
      </c>
      <c r="G2297" s="2">
        <v>2.4900000000000002</v>
      </c>
      <c r="H2297" s="2">
        <v>3.34</v>
      </c>
      <c r="I2297" s="2">
        <v>3.47</v>
      </c>
      <c r="J2297" s="47">
        <f t="shared" si="175"/>
        <v>0.34136546184738936</v>
      </c>
      <c r="K2297" s="47">
        <f t="shared" si="176"/>
        <v>3.892215568862286E-2</v>
      </c>
      <c r="L2297" s="8">
        <v>15.88</v>
      </c>
      <c r="M2297" s="8">
        <v>13.71</v>
      </c>
      <c r="N2297" s="8">
        <v>13.17</v>
      </c>
      <c r="O2297" s="17">
        <f t="shared" si="177"/>
        <v>0.40162235294117676</v>
      </c>
      <c r="P2297" s="17">
        <f t="shared" si="178"/>
        <v>3.3836769230769139</v>
      </c>
      <c r="Q2297" s="5">
        <v>1.1299999999999999</v>
      </c>
      <c r="R2297" s="9">
        <v>16.78</v>
      </c>
      <c r="S2297" s="9">
        <v>4.9800000000000004</v>
      </c>
      <c r="T2297" s="9">
        <v>2567.3058999999998</v>
      </c>
      <c r="U2297" s="9">
        <v>2372.1799999999998</v>
      </c>
      <c r="V2297" s="45">
        <f t="shared" si="179"/>
        <v>8.2255941791938222E-2</v>
      </c>
      <c r="W2297" s="12">
        <v>7.94</v>
      </c>
      <c r="X2297" s="12">
        <v>0.87</v>
      </c>
      <c r="Y2297" s="12">
        <v>20210804</v>
      </c>
    </row>
    <row r="2298" spans="1:25" x14ac:dyDescent="0.45">
      <c r="A2298" s="3" t="s">
        <v>3958</v>
      </c>
      <c r="B2298" s="3" t="s">
        <v>645</v>
      </c>
      <c r="C2298" s="6" t="s">
        <v>518</v>
      </c>
      <c r="D2298" s="6" t="s">
        <v>289</v>
      </c>
      <c r="E2298" s="6" t="s">
        <v>280</v>
      </c>
      <c r="F2298" s="6">
        <v>9103.92</v>
      </c>
      <c r="G2298" s="2">
        <v>1.17</v>
      </c>
      <c r="H2298" s="2">
        <v>2.19</v>
      </c>
      <c r="I2298" s="2">
        <v>2.44</v>
      </c>
      <c r="J2298" s="47">
        <f t="shared" si="175"/>
        <v>0.87179487179487192</v>
      </c>
      <c r="K2298" s="47">
        <f t="shared" si="176"/>
        <v>0.11415525114155252</v>
      </c>
      <c r="L2298" s="8">
        <v>9.8000000000000007</v>
      </c>
      <c r="M2298" s="8">
        <v>10.07</v>
      </c>
      <c r="N2298" s="8">
        <v>9.0299999999999994</v>
      </c>
      <c r="O2298" s="17">
        <f t="shared" si="177"/>
        <v>0.11550882352941175</v>
      </c>
      <c r="P2298" s="17">
        <f t="shared" si="178"/>
        <v>0.79102799999999995</v>
      </c>
      <c r="R2298" s="9">
        <v>33.71</v>
      </c>
      <c r="S2298" s="9">
        <v>12.18</v>
      </c>
      <c r="T2298" s="9">
        <v>2855.7700100000002</v>
      </c>
      <c r="U2298" s="9">
        <v>2772.59</v>
      </c>
      <c r="V2298" s="45">
        <f t="shared" si="179"/>
        <v>3.000083315600216E-2</v>
      </c>
      <c r="W2298" s="12">
        <v>-5.88</v>
      </c>
      <c r="X2298" s="12">
        <v>5.72</v>
      </c>
      <c r="Y2298" s="12">
        <v>20210809</v>
      </c>
    </row>
    <row r="2299" spans="1:25" x14ac:dyDescent="0.45">
      <c r="A2299" s="3" t="s">
        <v>338</v>
      </c>
      <c r="B2299" s="3" t="s">
        <v>339</v>
      </c>
      <c r="C2299" s="6" t="s">
        <v>518</v>
      </c>
      <c r="D2299" s="6" t="s">
        <v>175</v>
      </c>
      <c r="E2299" s="6" t="s">
        <v>224</v>
      </c>
      <c r="F2299" s="6">
        <v>9031.0300000000007</v>
      </c>
      <c r="G2299" s="2">
        <v>6.06</v>
      </c>
      <c r="H2299" s="2">
        <v>8.3699999999999992</v>
      </c>
      <c r="I2299" s="2">
        <v>11.01</v>
      </c>
      <c r="J2299" s="47">
        <f t="shared" si="175"/>
        <v>0.38118811881188114</v>
      </c>
      <c r="K2299" s="47">
        <f t="shared" si="176"/>
        <v>0.31541218637992841</v>
      </c>
      <c r="L2299" s="8">
        <v>33.42</v>
      </c>
      <c r="M2299" s="8">
        <v>24.11</v>
      </c>
      <c r="N2299" s="8">
        <v>18.329999999999998</v>
      </c>
      <c r="O2299" s="17">
        <f t="shared" si="177"/>
        <v>0.63249610389610389</v>
      </c>
      <c r="P2299" s="17">
        <f t="shared" si="178"/>
        <v>0.581144318181818</v>
      </c>
      <c r="Q2299" s="5">
        <v>0.89</v>
      </c>
      <c r="R2299" s="9">
        <v>10.61</v>
      </c>
      <c r="S2299" s="9">
        <v>13.63</v>
      </c>
      <c r="T2299" s="9">
        <v>1802.0159900000001</v>
      </c>
      <c r="U2299" s="9">
        <v>1559.87</v>
      </c>
      <c r="V2299" s="45">
        <f t="shared" si="179"/>
        <v>0.155234724688596</v>
      </c>
      <c r="W2299" s="12">
        <v>11.88</v>
      </c>
      <c r="X2299" s="12">
        <v>0</v>
      </c>
      <c r="Y2299" s="12">
        <v>20210729</v>
      </c>
    </row>
    <row r="2300" spans="1:25" x14ac:dyDescent="0.45">
      <c r="A2300" s="3" t="s">
        <v>5041</v>
      </c>
      <c r="B2300" s="3" t="s">
        <v>5042</v>
      </c>
      <c r="C2300" s="6" t="s">
        <v>518</v>
      </c>
      <c r="D2300" s="6" t="s">
        <v>234</v>
      </c>
      <c r="E2300" s="6" t="s">
        <v>105</v>
      </c>
      <c r="F2300" s="6">
        <v>7704.19</v>
      </c>
      <c r="G2300" s="2">
        <v>4.8600000000000003</v>
      </c>
      <c r="H2300" s="2">
        <v>5.4</v>
      </c>
      <c r="J2300" s="47">
        <f t="shared" si="175"/>
        <v>0.1111111111111111</v>
      </c>
      <c r="K2300" s="47">
        <f t="shared" si="176"/>
        <v>-1</v>
      </c>
      <c r="L2300" s="8">
        <v>6.32</v>
      </c>
      <c r="M2300" s="8">
        <v>5.93</v>
      </c>
      <c r="O2300" s="17">
        <f t="shared" si="177"/>
        <v>0.53369999999999995</v>
      </c>
      <c r="P2300" s="17">
        <f t="shared" si="178"/>
        <v>0</v>
      </c>
      <c r="R2300" s="9">
        <v>5.59</v>
      </c>
      <c r="S2300" s="9">
        <v>6.04</v>
      </c>
      <c r="U2300" s="9">
        <v>9469.3799999999992</v>
      </c>
      <c r="V2300" s="45">
        <f t="shared" si="179"/>
        <v>-1</v>
      </c>
      <c r="X2300" s="12">
        <v>2.46</v>
      </c>
      <c r="Y2300" s="12">
        <v>20210816</v>
      </c>
    </row>
    <row r="2301" spans="1:25" x14ac:dyDescent="0.45">
      <c r="A2301" s="3" t="s">
        <v>803</v>
      </c>
      <c r="B2301" s="3" t="s">
        <v>340</v>
      </c>
      <c r="C2301" s="6" t="s">
        <v>518</v>
      </c>
      <c r="D2301" s="6" t="s">
        <v>234</v>
      </c>
      <c r="E2301" s="6" t="s">
        <v>154</v>
      </c>
      <c r="F2301" s="6">
        <v>189813.61</v>
      </c>
      <c r="G2301" s="2">
        <v>0.37</v>
      </c>
      <c r="H2301" s="2">
        <v>3.87</v>
      </c>
      <c r="I2301" s="2">
        <v>3.61</v>
      </c>
      <c r="J2301" s="47">
        <f t="shared" si="175"/>
        <v>9.4594594594594597</v>
      </c>
      <c r="K2301" s="47">
        <f t="shared" si="176"/>
        <v>-6.7183462532299801E-2</v>
      </c>
      <c r="L2301" s="8">
        <v>28.88</v>
      </c>
      <c r="M2301" s="8">
        <v>11.86</v>
      </c>
      <c r="N2301" s="8">
        <v>12.72</v>
      </c>
      <c r="O2301" s="17">
        <f t="shared" si="177"/>
        <v>1.2537714285714286E-2</v>
      </c>
      <c r="P2301" s="17">
        <f t="shared" si="178"/>
        <v>-1.8933230769230753</v>
      </c>
      <c r="Q2301" s="5">
        <v>1.1599999999999999</v>
      </c>
      <c r="R2301" s="9">
        <v>4.88</v>
      </c>
      <c r="S2301" s="9">
        <v>-1.68</v>
      </c>
      <c r="T2301" s="9">
        <v>71191.429680000001</v>
      </c>
      <c r="U2301" s="9">
        <v>80303</v>
      </c>
      <c r="V2301" s="45">
        <f t="shared" si="179"/>
        <v>-0.11346488076410594</v>
      </c>
      <c r="W2301" s="12">
        <v>52.17</v>
      </c>
      <c r="X2301" s="12">
        <v>0.87</v>
      </c>
      <c r="Y2301" s="12">
        <v>20210713</v>
      </c>
    </row>
    <row r="2302" spans="1:25" x14ac:dyDescent="0.45">
      <c r="A2302" s="3" t="s">
        <v>804</v>
      </c>
      <c r="B2302" s="3" t="s">
        <v>646</v>
      </c>
      <c r="C2302" s="6" t="s">
        <v>518</v>
      </c>
      <c r="D2302" s="6" t="s">
        <v>216</v>
      </c>
      <c r="E2302" s="6" t="s">
        <v>231</v>
      </c>
      <c r="F2302" s="6">
        <v>7056.28</v>
      </c>
      <c r="G2302" s="2">
        <v>0.99</v>
      </c>
      <c r="H2302" s="2">
        <v>2.27</v>
      </c>
      <c r="I2302" s="2">
        <v>3.15</v>
      </c>
      <c r="J2302" s="47">
        <f t="shared" si="175"/>
        <v>1.292929292929293</v>
      </c>
      <c r="K2302" s="47">
        <f t="shared" si="176"/>
        <v>0.38766519823788542</v>
      </c>
      <c r="L2302" s="8">
        <v>84.89</v>
      </c>
      <c r="M2302" s="8">
        <v>33.299999999999997</v>
      </c>
      <c r="N2302" s="8">
        <v>23.97</v>
      </c>
      <c r="O2302" s="17">
        <f t="shared" si="177"/>
        <v>0.25755468749999993</v>
      </c>
      <c r="P2302" s="17">
        <f t="shared" si="178"/>
        <v>0.61831704545454547</v>
      </c>
      <c r="R2302" s="9">
        <v>8.6199999999999992</v>
      </c>
      <c r="S2302" s="9">
        <v>0.35</v>
      </c>
      <c r="T2302" s="9">
        <v>1590.5129300000001</v>
      </c>
      <c r="U2302" s="9">
        <v>1300</v>
      </c>
      <c r="V2302" s="45">
        <f t="shared" si="179"/>
        <v>0.22347148461538469</v>
      </c>
      <c r="W2302" s="12">
        <v>44</v>
      </c>
      <c r="X2302" s="12">
        <v>0.85</v>
      </c>
      <c r="Y2302" s="12">
        <v>20210727</v>
      </c>
    </row>
    <row r="2303" spans="1:25" x14ac:dyDescent="0.45">
      <c r="A2303" s="3" t="s">
        <v>4427</v>
      </c>
      <c r="B2303" s="3" t="s">
        <v>4428</v>
      </c>
      <c r="C2303" s="6" t="s">
        <v>518</v>
      </c>
      <c r="D2303" s="6" t="s">
        <v>289</v>
      </c>
      <c r="E2303" s="6" t="s">
        <v>276</v>
      </c>
      <c r="F2303" s="6">
        <v>3055.99</v>
      </c>
      <c r="G2303" s="2">
        <v>0.71</v>
      </c>
      <c r="H2303" s="2">
        <v>0.73</v>
      </c>
      <c r="I2303" s="2">
        <v>1.31</v>
      </c>
      <c r="J2303" s="47">
        <f t="shared" si="175"/>
        <v>2.8169014084507067E-2</v>
      </c>
      <c r="K2303" s="47">
        <f t="shared" si="176"/>
        <v>0.79452054794520555</v>
      </c>
      <c r="L2303" s="8">
        <v>96.31</v>
      </c>
      <c r="M2303" s="8">
        <v>55.72</v>
      </c>
      <c r="N2303" s="8">
        <v>30.78</v>
      </c>
      <c r="O2303" s="17">
        <f t="shared" si="177"/>
        <v>19.780599999999982</v>
      </c>
      <c r="P2303" s="17">
        <f t="shared" si="178"/>
        <v>0.38740344827586209</v>
      </c>
      <c r="R2303" s="9">
        <v>3.83</v>
      </c>
      <c r="S2303" s="9">
        <v>-3.2</v>
      </c>
      <c r="T2303" s="9">
        <v>415.17700000000002</v>
      </c>
      <c r="U2303" s="9">
        <v>348.57</v>
      </c>
      <c r="V2303" s="45">
        <f t="shared" si="179"/>
        <v>0.19108643887884794</v>
      </c>
      <c r="W2303" s="12">
        <v>10</v>
      </c>
      <c r="X2303" s="12">
        <v>0.89</v>
      </c>
      <c r="Y2303" s="12">
        <v>20210804</v>
      </c>
    </row>
    <row r="2304" spans="1:25" x14ac:dyDescent="0.45">
      <c r="A2304" s="3" t="s">
        <v>341</v>
      </c>
      <c r="B2304" s="3" t="s">
        <v>342</v>
      </c>
      <c r="C2304" s="6" t="s">
        <v>518</v>
      </c>
      <c r="D2304" s="6" t="s">
        <v>216</v>
      </c>
      <c r="E2304" s="6" t="s">
        <v>232</v>
      </c>
      <c r="F2304" s="6">
        <v>14397.43</v>
      </c>
      <c r="G2304" s="2">
        <v>17.920000000000002</v>
      </c>
      <c r="H2304" s="2">
        <v>24</v>
      </c>
      <c r="I2304" s="2">
        <v>22.51</v>
      </c>
      <c r="J2304" s="47">
        <f t="shared" si="175"/>
        <v>0.33928571428571414</v>
      </c>
      <c r="K2304" s="47">
        <f t="shared" si="176"/>
        <v>-6.2083333333333268E-2</v>
      </c>
      <c r="L2304" s="8">
        <v>10.039999999999999</v>
      </c>
      <c r="M2304" s="8">
        <v>9.58</v>
      </c>
      <c r="N2304" s="8">
        <v>10.210000000000001</v>
      </c>
      <c r="O2304" s="17">
        <f t="shared" si="177"/>
        <v>0.2823578947368422</v>
      </c>
      <c r="P2304" s="17">
        <f t="shared" si="178"/>
        <v>-1.6445637583892636</v>
      </c>
      <c r="Q2304" s="5">
        <v>1.25</v>
      </c>
      <c r="R2304" s="9">
        <v>32.25</v>
      </c>
      <c r="S2304" s="9">
        <v>-1.49</v>
      </c>
      <c r="T2304" s="9">
        <v>21782.890619999998</v>
      </c>
      <c r="U2304" s="9">
        <v>19456</v>
      </c>
      <c r="V2304" s="45">
        <f t="shared" si="179"/>
        <v>0.11959758532072359</v>
      </c>
      <c r="W2304" s="12">
        <v>33.83</v>
      </c>
      <c r="X2304" s="12">
        <v>2.44</v>
      </c>
      <c r="Y2304" s="12">
        <v>20210728</v>
      </c>
    </row>
    <row r="2305" spans="1:25" x14ac:dyDescent="0.45">
      <c r="A2305" s="3" t="s">
        <v>3959</v>
      </c>
      <c r="B2305" s="3" t="s">
        <v>739</v>
      </c>
      <c r="C2305" s="6" t="s">
        <v>520</v>
      </c>
      <c r="D2305" s="6" t="s">
        <v>279</v>
      </c>
      <c r="E2305" s="6" t="s">
        <v>264</v>
      </c>
      <c r="F2305" s="6">
        <v>13608.04</v>
      </c>
      <c r="G2305" s="2">
        <v>0.23</v>
      </c>
      <c r="H2305" s="2">
        <v>0.82</v>
      </c>
      <c r="I2305" s="2">
        <v>1.03</v>
      </c>
      <c r="J2305" s="47">
        <f t="shared" si="175"/>
        <v>2.5652173913043477</v>
      </c>
      <c r="K2305" s="47">
        <f t="shared" si="176"/>
        <v>0.25609756097560987</v>
      </c>
      <c r="M2305" s="8">
        <v>34.56</v>
      </c>
      <c r="N2305" s="8">
        <v>27.51</v>
      </c>
      <c r="O2305" s="17">
        <f t="shared" si="177"/>
        <v>0.13472542372881358</v>
      </c>
      <c r="P2305" s="17">
        <f t="shared" si="178"/>
        <v>1.0741999999999996</v>
      </c>
      <c r="T2305" s="9">
        <v>2935.3600999999999</v>
      </c>
      <c r="U2305" s="9">
        <v>2240.9699999999998</v>
      </c>
      <c r="V2305" s="45">
        <f t="shared" si="179"/>
        <v>0.30986139930476542</v>
      </c>
      <c r="X2305" s="12">
        <v>0</v>
      </c>
    </row>
    <row r="2306" spans="1:25" x14ac:dyDescent="0.45">
      <c r="A2306" s="3" t="s">
        <v>647</v>
      </c>
      <c r="B2306" s="3" t="s">
        <v>648</v>
      </c>
      <c r="C2306" s="6" t="s">
        <v>519</v>
      </c>
      <c r="D2306" s="6" t="s">
        <v>303</v>
      </c>
      <c r="E2306" s="6" t="s">
        <v>294</v>
      </c>
      <c r="F2306" s="6">
        <v>4357.6400000000003</v>
      </c>
      <c r="G2306" s="2">
        <v>1.2</v>
      </c>
      <c r="H2306" s="2">
        <v>1.39</v>
      </c>
      <c r="I2306" s="2">
        <v>1.81</v>
      </c>
      <c r="J2306" s="47">
        <f t="shared" si="175"/>
        <v>0.1583333333333333</v>
      </c>
      <c r="K2306" s="47">
        <f t="shared" si="176"/>
        <v>0.30215827338129508</v>
      </c>
      <c r="L2306" s="8">
        <v>108.55</v>
      </c>
      <c r="M2306" s="8">
        <v>105.05</v>
      </c>
      <c r="N2306" s="8">
        <v>81.040000000000006</v>
      </c>
      <c r="O2306" s="17">
        <f t="shared" si="177"/>
        <v>6.6347368421052639</v>
      </c>
      <c r="P2306" s="17">
        <f t="shared" si="178"/>
        <v>2.6820380952380947</v>
      </c>
      <c r="Q2306" s="5">
        <v>9.5500000000000007</v>
      </c>
      <c r="R2306" s="9">
        <v>-15.26</v>
      </c>
      <c r="S2306" s="9">
        <v>29.56</v>
      </c>
      <c r="T2306" s="9">
        <v>289.95598999999999</v>
      </c>
      <c r="U2306" s="9">
        <v>248.81</v>
      </c>
      <c r="V2306" s="45">
        <f t="shared" si="179"/>
        <v>0.16537112656243713</v>
      </c>
      <c r="W2306" s="12">
        <v>41.94</v>
      </c>
      <c r="X2306" s="12">
        <v>0.38</v>
      </c>
      <c r="Y2306" s="12">
        <v>20210804</v>
      </c>
    </row>
    <row r="2307" spans="1:25" x14ac:dyDescent="0.45">
      <c r="A2307" s="3" t="s">
        <v>870</v>
      </c>
      <c r="B2307" s="3" t="s">
        <v>871</v>
      </c>
      <c r="C2307" s="6" t="s">
        <v>519</v>
      </c>
      <c r="D2307" s="6" t="s">
        <v>303</v>
      </c>
      <c r="E2307" s="6" t="s">
        <v>245</v>
      </c>
      <c r="F2307" s="6">
        <v>6561.4</v>
      </c>
      <c r="G2307" s="2">
        <v>-4.99</v>
      </c>
      <c r="H2307" s="2">
        <v>-0.54</v>
      </c>
      <c r="I2307" s="2">
        <v>-0.18</v>
      </c>
      <c r="J2307" s="47">
        <f t="shared" ref="J2307:J2370" si="180">(H2307-G2307)/ABS(G2307)</f>
        <v>0.89178356713426854</v>
      </c>
      <c r="K2307" s="47">
        <f t="shared" ref="K2307:K2370" si="181">(I2307-H2307)/ABS(H2307)</f>
        <v>0.66666666666666674</v>
      </c>
      <c r="O2307" s="17">
        <f t="shared" ref="O2307:O2370" si="182">M2307/(J2307*100)</f>
        <v>0</v>
      </c>
      <c r="P2307" s="17">
        <f t="shared" ref="P2307:P2370" si="183">N2307/(K2307*100)</f>
        <v>0</v>
      </c>
      <c r="T2307" s="9">
        <v>3206.5380799999998</v>
      </c>
      <c r="U2307" s="9">
        <v>2541</v>
      </c>
      <c r="V2307" s="45">
        <f t="shared" ref="V2307:V2370" si="184">(T2307-U2307)/U2307</f>
        <v>0.26191974813065716</v>
      </c>
      <c r="W2307" s="12">
        <v>-16.670000000000002</v>
      </c>
      <c r="X2307" s="12">
        <v>0</v>
      </c>
      <c r="Y2307" s="12">
        <v>20210811</v>
      </c>
    </row>
    <row r="2308" spans="1:25" x14ac:dyDescent="0.45">
      <c r="A2308" s="3" t="s">
        <v>872</v>
      </c>
      <c r="B2308" s="3" t="s">
        <v>873</v>
      </c>
      <c r="C2308" s="6" t="s">
        <v>518</v>
      </c>
      <c r="D2308" s="6" t="s">
        <v>189</v>
      </c>
      <c r="E2308" s="6" t="s">
        <v>195</v>
      </c>
      <c r="F2308" s="6">
        <v>46455.26</v>
      </c>
      <c r="G2308" s="2">
        <v>0.26</v>
      </c>
      <c r="H2308" s="2">
        <v>0.28999999999999998</v>
      </c>
      <c r="I2308" s="2">
        <v>0.31</v>
      </c>
      <c r="J2308" s="47">
        <f t="shared" si="180"/>
        <v>0.11538461538461527</v>
      </c>
      <c r="K2308" s="47">
        <f t="shared" si="181"/>
        <v>6.8965517241379379E-2</v>
      </c>
      <c r="L2308" s="8">
        <v>31.39</v>
      </c>
      <c r="M2308" s="8">
        <v>28.38</v>
      </c>
      <c r="N2308" s="8">
        <v>26.11</v>
      </c>
      <c r="O2308" s="17">
        <f t="shared" si="182"/>
        <v>2.4596000000000027</v>
      </c>
      <c r="P2308" s="17">
        <f t="shared" si="183"/>
        <v>3.7859499999999962</v>
      </c>
      <c r="Q2308" s="5">
        <v>3.15</v>
      </c>
      <c r="R2308" s="9">
        <v>18.91</v>
      </c>
      <c r="S2308" s="9">
        <v>0.77</v>
      </c>
      <c r="T2308" s="9">
        <v>9873.2929600000007</v>
      </c>
      <c r="U2308" s="9">
        <v>8469</v>
      </c>
      <c r="V2308" s="45">
        <f t="shared" si="184"/>
        <v>0.16581567599480465</v>
      </c>
      <c r="W2308" s="12">
        <v>0</v>
      </c>
      <c r="X2308" s="12">
        <v>0.15</v>
      </c>
      <c r="Y2308" s="12">
        <v>20210713</v>
      </c>
    </row>
    <row r="2309" spans="1:25" x14ac:dyDescent="0.45">
      <c r="A2309" s="3" t="s">
        <v>674</v>
      </c>
      <c r="B2309" s="3" t="s">
        <v>675</v>
      </c>
      <c r="C2309" s="6" t="s">
        <v>519</v>
      </c>
      <c r="D2309" s="6" t="s">
        <v>189</v>
      </c>
      <c r="E2309" s="6" t="s">
        <v>204</v>
      </c>
      <c r="F2309" s="6">
        <v>14905.63</v>
      </c>
      <c r="G2309" s="2">
        <v>-0.47</v>
      </c>
      <c r="H2309" s="2">
        <v>-1.1499999999999999</v>
      </c>
      <c r="I2309" s="2">
        <v>-0.1</v>
      </c>
      <c r="J2309" s="47">
        <f t="shared" si="180"/>
        <v>-1.4468085106382977</v>
      </c>
      <c r="K2309" s="47">
        <f t="shared" si="181"/>
        <v>0.91304347826086951</v>
      </c>
      <c r="O2309" s="17">
        <f t="shared" si="182"/>
        <v>0</v>
      </c>
      <c r="P2309" s="17">
        <f t="shared" si="183"/>
        <v>0</v>
      </c>
      <c r="R2309" s="9">
        <v>-87.95</v>
      </c>
      <c r="S2309" s="9">
        <v>35.93</v>
      </c>
      <c r="T2309" s="9">
        <v>1289.7760000000001</v>
      </c>
      <c r="U2309" s="9">
        <v>988.76</v>
      </c>
      <c r="V2309" s="45">
        <f t="shared" si="184"/>
        <v>0.30443788179133469</v>
      </c>
      <c r="W2309" s="12">
        <v>26.03</v>
      </c>
      <c r="X2309" s="12">
        <v>0</v>
      </c>
      <c r="Y2309" s="12">
        <v>20210805</v>
      </c>
    </row>
    <row r="2310" spans="1:25" x14ac:dyDescent="0.45">
      <c r="A2310" s="3" t="s">
        <v>533</v>
      </c>
      <c r="B2310" s="3" t="s">
        <v>534</v>
      </c>
      <c r="C2310" s="6" t="s">
        <v>520</v>
      </c>
      <c r="D2310" s="6" t="s">
        <v>309</v>
      </c>
      <c r="E2310" s="6" t="s">
        <v>311</v>
      </c>
      <c r="F2310" s="6">
        <v>12111.47</v>
      </c>
      <c r="G2310" s="2">
        <v>-11.48</v>
      </c>
      <c r="H2310" s="2">
        <v>0.1</v>
      </c>
      <c r="I2310" s="2">
        <v>3.55</v>
      </c>
      <c r="J2310" s="47">
        <f t="shared" si="180"/>
        <v>1.0087108013937283</v>
      </c>
      <c r="K2310" s="47">
        <f t="shared" si="181"/>
        <v>34.499999999999993</v>
      </c>
      <c r="M2310" s="8">
        <v>602.86</v>
      </c>
      <c r="N2310" s="8">
        <v>17.86</v>
      </c>
      <c r="O2310" s="17">
        <f t="shared" si="182"/>
        <v>5.976539550949914</v>
      </c>
      <c r="P2310" s="17">
        <f t="shared" si="183"/>
        <v>5.1768115942028995E-3</v>
      </c>
      <c r="R2310" s="9">
        <v>-9.0500000000000007</v>
      </c>
      <c r="T2310" s="9">
        <v>12386.08496</v>
      </c>
      <c r="U2310" s="9">
        <v>13839.25</v>
      </c>
      <c r="V2310" s="45">
        <f t="shared" si="184"/>
        <v>-0.1050031641888108</v>
      </c>
      <c r="X2310" s="12">
        <v>0.55000000000000004</v>
      </c>
      <c r="Y2310" s="12">
        <v>20210610</v>
      </c>
    </row>
    <row r="2311" spans="1:25" x14ac:dyDescent="0.45">
      <c r="A2311" s="3" t="s">
        <v>740</v>
      </c>
      <c r="B2311" s="3" t="s">
        <v>741</v>
      </c>
      <c r="C2311" s="6" t="s">
        <v>518</v>
      </c>
      <c r="D2311" s="6" t="s">
        <v>189</v>
      </c>
      <c r="E2311" s="6" t="s">
        <v>248</v>
      </c>
      <c r="F2311" s="6">
        <v>4870.91</v>
      </c>
      <c r="G2311" s="2">
        <v>0.02</v>
      </c>
      <c r="H2311" s="2">
        <v>-0.2</v>
      </c>
      <c r="I2311" s="2">
        <v>-7.0000000000000007E-2</v>
      </c>
      <c r="J2311" s="47">
        <f t="shared" si="180"/>
        <v>-11</v>
      </c>
      <c r="K2311" s="47">
        <f t="shared" si="181"/>
        <v>0.65</v>
      </c>
      <c r="L2311" s="8">
        <v>512.79</v>
      </c>
      <c r="O2311" s="17">
        <f t="shared" si="182"/>
        <v>0</v>
      </c>
      <c r="P2311" s="17">
        <f t="shared" si="183"/>
        <v>0</v>
      </c>
      <c r="R2311" s="9">
        <v>-51.48</v>
      </c>
      <c r="S2311" s="9">
        <v>18.71</v>
      </c>
      <c r="T2311" s="9">
        <v>416.59201000000002</v>
      </c>
      <c r="U2311" s="9">
        <v>351.59</v>
      </c>
      <c r="V2311" s="45">
        <f t="shared" si="184"/>
        <v>0.18488014448647586</v>
      </c>
      <c r="W2311" s="12">
        <v>71.430000000000007</v>
      </c>
      <c r="X2311" s="12">
        <v>0</v>
      </c>
      <c r="Y2311" s="12">
        <v>20210803</v>
      </c>
    </row>
    <row r="2312" spans="1:25" x14ac:dyDescent="0.45">
      <c r="A2312" s="3" t="s">
        <v>343</v>
      </c>
      <c r="B2312" s="3" t="s">
        <v>344</v>
      </c>
      <c r="C2312" s="6" t="s">
        <v>518</v>
      </c>
      <c r="D2312" s="6" t="s">
        <v>90</v>
      </c>
      <c r="E2312" s="6" t="s">
        <v>197</v>
      </c>
      <c r="F2312" s="6">
        <v>13156.66</v>
      </c>
      <c r="G2312" s="2">
        <v>2.0699999999999998</v>
      </c>
      <c r="H2312" s="2">
        <v>9.1199999999999992</v>
      </c>
      <c r="I2312" s="2">
        <v>7.28</v>
      </c>
      <c r="J2312" s="47">
        <f t="shared" si="180"/>
        <v>3.4057971014492749</v>
      </c>
      <c r="K2312" s="47">
        <f t="shared" si="181"/>
        <v>-0.20175438596491219</v>
      </c>
      <c r="L2312" s="8">
        <v>29.76</v>
      </c>
      <c r="M2312" s="8">
        <v>11.26</v>
      </c>
      <c r="N2312" s="8">
        <v>14.1</v>
      </c>
      <c r="O2312" s="17">
        <f t="shared" si="182"/>
        <v>3.3061276595744683E-2</v>
      </c>
      <c r="P2312" s="17">
        <f t="shared" si="183"/>
        <v>-0.69886956521739163</v>
      </c>
      <c r="Q2312" s="5">
        <v>0.24</v>
      </c>
      <c r="R2312" s="9">
        <v>6.9</v>
      </c>
      <c r="S2312" s="9">
        <v>10.17</v>
      </c>
      <c r="T2312" s="9">
        <v>9656.2900300000001</v>
      </c>
      <c r="U2312" s="9">
        <v>7504</v>
      </c>
      <c r="V2312" s="45">
        <f t="shared" si="184"/>
        <v>0.28681903384861407</v>
      </c>
      <c r="W2312" s="12">
        <v>19.87</v>
      </c>
      <c r="X2312" s="12">
        <v>1.05</v>
      </c>
      <c r="Y2312" s="12">
        <v>20210805</v>
      </c>
    </row>
    <row r="2313" spans="1:25" x14ac:dyDescent="0.45">
      <c r="A2313" s="3" t="s">
        <v>5043</v>
      </c>
      <c r="B2313" s="3" t="s">
        <v>5044</v>
      </c>
      <c r="C2313" s="6" t="s">
        <v>520</v>
      </c>
      <c r="D2313" s="6" t="s">
        <v>90</v>
      </c>
      <c r="E2313" s="6" t="s">
        <v>442</v>
      </c>
      <c r="F2313" s="6">
        <v>23035.19</v>
      </c>
      <c r="J2313" s="47" t="e">
        <f t="shared" si="180"/>
        <v>#DIV/0!</v>
      </c>
      <c r="K2313" s="47" t="e">
        <f t="shared" si="181"/>
        <v>#DIV/0!</v>
      </c>
      <c r="O2313" s="17" t="e">
        <f t="shared" si="182"/>
        <v>#DIV/0!</v>
      </c>
      <c r="P2313" s="17" t="e">
        <f t="shared" si="183"/>
        <v>#DIV/0!</v>
      </c>
      <c r="U2313" s="9">
        <v>50526.79</v>
      </c>
      <c r="V2313" s="45">
        <f t="shared" si="184"/>
        <v>-1</v>
      </c>
      <c r="X2313" s="12">
        <v>2.39</v>
      </c>
    </row>
    <row r="2314" spans="1:25" x14ac:dyDescent="0.45">
      <c r="A2314" s="3" t="s">
        <v>345</v>
      </c>
      <c r="B2314" s="3" t="s">
        <v>346</v>
      </c>
      <c r="C2314" s="6" t="s">
        <v>519</v>
      </c>
      <c r="D2314" s="6" t="s">
        <v>234</v>
      </c>
      <c r="E2314" s="6" t="s">
        <v>240</v>
      </c>
      <c r="F2314" s="6">
        <v>32825.870000000003</v>
      </c>
      <c r="G2314" s="2">
        <v>11.49</v>
      </c>
      <c r="H2314" s="2">
        <v>12.59</v>
      </c>
      <c r="I2314" s="2">
        <v>13.6</v>
      </c>
      <c r="J2314" s="47">
        <f t="shared" si="180"/>
        <v>9.573542210617926E-2</v>
      </c>
      <c r="K2314" s="47">
        <f t="shared" si="181"/>
        <v>8.0222398729150102E-2</v>
      </c>
      <c r="L2314" s="8">
        <v>21.21</v>
      </c>
      <c r="M2314" s="8">
        <v>20.21</v>
      </c>
      <c r="N2314" s="8">
        <v>18.71</v>
      </c>
      <c r="O2314" s="17">
        <f t="shared" si="182"/>
        <v>2.1110263636363644</v>
      </c>
      <c r="P2314" s="17">
        <f t="shared" si="183"/>
        <v>2.3322663366336638</v>
      </c>
      <c r="R2314" s="9">
        <v>14.34</v>
      </c>
      <c r="S2314" s="9">
        <v>6.7</v>
      </c>
      <c r="T2314" s="9">
        <v>9880.6855400000004</v>
      </c>
      <c r="U2314" s="9">
        <v>9352</v>
      </c>
      <c r="V2314" s="45">
        <f t="shared" si="184"/>
        <v>5.6531815654405515E-2</v>
      </c>
      <c r="W2314" s="12">
        <v>11.66</v>
      </c>
      <c r="X2314" s="12">
        <v>1.1200000000000001</v>
      </c>
      <c r="Y2314" s="12">
        <v>20210729</v>
      </c>
    </row>
    <row r="2315" spans="1:25" x14ac:dyDescent="0.45">
      <c r="A2315" s="3" t="s">
        <v>5045</v>
      </c>
      <c r="B2315" s="3" t="s">
        <v>5046</v>
      </c>
      <c r="C2315" s="6" t="s">
        <v>520</v>
      </c>
      <c r="D2315" s="6" t="s">
        <v>303</v>
      </c>
      <c r="E2315" s="6" t="s">
        <v>290</v>
      </c>
      <c r="F2315" s="6">
        <v>4140.32</v>
      </c>
      <c r="J2315" s="47" t="e">
        <f t="shared" si="180"/>
        <v>#DIV/0!</v>
      </c>
      <c r="K2315" s="47" t="e">
        <f t="shared" si="181"/>
        <v>#DIV/0!</v>
      </c>
      <c r="O2315" s="17" t="e">
        <f t="shared" si="182"/>
        <v>#DIV/0!</v>
      </c>
      <c r="P2315" s="17" t="e">
        <f t="shared" si="183"/>
        <v>#DIV/0!</v>
      </c>
      <c r="U2315" s="9">
        <v>4729.12</v>
      </c>
      <c r="V2315" s="45">
        <f t="shared" si="184"/>
        <v>-1</v>
      </c>
      <c r="X2315" s="12">
        <v>0</v>
      </c>
    </row>
    <row r="2316" spans="1:25" x14ac:dyDescent="0.45">
      <c r="A2316" s="3" t="s">
        <v>347</v>
      </c>
      <c r="B2316" s="3" t="s">
        <v>348</v>
      </c>
      <c r="C2316" s="6" t="s">
        <v>518</v>
      </c>
      <c r="D2316" s="6" t="s">
        <v>175</v>
      </c>
      <c r="E2316" s="6" t="s">
        <v>366</v>
      </c>
      <c r="F2316" s="6">
        <v>58920.52</v>
      </c>
      <c r="G2316" s="2">
        <v>3.97</v>
      </c>
      <c r="H2316" s="2">
        <v>4.79</v>
      </c>
      <c r="I2316" s="2">
        <v>5.33</v>
      </c>
      <c r="J2316" s="47">
        <f t="shared" si="180"/>
        <v>0.20654911838790926</v>
      </c>
      <c r="K2316" s="47">
        <f t="shared" si="181"/>
        <v>0.11273486430062631</v>
      </c>
      <c r="L2316" s="8">
        <v>33.549999999999997</v>
      </c>
      <c r="M2316" s="8">
        <v>29.12</v>
      </c>
      <c r="N2316" s="8">
        <v>26.2</v>
      </c>
      <c r="O2316" s="17">
        <f t="shared" si="182"/>
        <v>1.4098341463414639</v>
      </c>
      <c r="P2316" s="17">
        <f t="shared" si="183"/>
        <v>2.3240370370370367</v>
      </c>
      <c r="Q2316" s="5">
        <v>2.41</v>
      </c>
      <c r="R2316" s="9">
        <v>24.44</v>
      </c>
      <c r="S2316" s="9">
        <v>3.19</v>
      </c>
      <c r="T2316" s="9">
        <v>17132.07617</v>
      </c>
      <c r="U2316" s="9">
        <v>15218</v>
      </c>
      <c r="V2316" s="45">
        <f t="shared" si="184"/>
        <v>0.12577711722959656</v>
      </c>
      <c r="W2316" s="12">
        <v>6</v>
      </c>
      <c r="X2316" s="12">
        <v>1.65</v>
      </c>
      <c r="Y2316" s="12">
        <v>20210729</v>
      </c>
    </row>
    <row r="2317" spans="1:25" x14ac:dyDescent="0.45">
      <c r="A2317" s="3" t="s">
        <v>676</v>
      </c>
      <c r="B2317" s="3" t="s">
        <v>349</v>
      </c>
      <c r="C2317" s="6" t="s">
        <v>518</v>
      </c>
      <c r="D2317" s="6" t="s">
        <v>289</v>
      </c>
      <c r="E2317" s="6" t="s">
        <v>277</v>
      </c>
      <c r="F2317" s="6">
        <v>34171.26</v>
      </c>
      <c r="G2317" s="2">
        <v>1.1000000000000001</v>
      </c>
      <c r="H2317" s="2">
        <v>1.19</v>
      </c>
      <c r="I2317" s="2">
        <v>1.18</v>
      </c>
      <c r="J2317" s="47">
        <f t="shared" si="180"/>
        <v>8.1818181818181679E-2</v>
      </c>
      <c r="K2317" s="47">
        <f t="shared" si="181"/>
        <v>-8.4033613445378234E-3</v>
      </c>
      <c r="L2317" s="8">
        <v>23.84</v>
      </c>
      <c r="M2317" s="8">
        <v>23.56</v>
      </c>
      <c r="N2317" s="8">
        <v>23.84</v>
      </c>
      <c r="O2317" s="17">
        <f t="shared" si="182"/>
        <v>2.8795555555555605</v>
      </c>
      <c r="P2317" s="17">
        <f t="shared" si="183"/>
        <v>-28.369599999999974</v>
      </c>
      <c r="Q2317" s="5">
        <v>4.71</v>
      </c>
      <c r="R2317" s="9">
        <v>9.84</v>
      </c>
      <c r="S2317" s="9">
        <v>1.59</v>
      </c>
      <c r="T2317" s="9">
        <v>9705.4501899999996</v>
      </c>
      <c r="U2317" s="9">
        <v>7719</v>
      </c>
      <c r="V2317" s="45">
        <f t="shared" si="184"/>
        <v>0.25734553569115165</v>
      </c>
      <c r="W2317" s="12">
        <v>25</v>
      </c>
      <c r="X2317" s="12">
        <v>5.83</v>
      </c>
      <c r="Y2317" s="12">
        <v>20210802</v>
      </c>
    </row>
    <row r="2318" spans="1:25" x14ac:dyDescent="0.45">
      <c r="A2318" s="3" t="s">
        <v>742</v>
      </c>
      <c r="B2318" s="3" t="s">
        <v>743</v>
      </c>
      <c r="C2318" s="6" t="s">
        <v>519</v>
      </c>
      <c r="D2318" s="6" t="s">
        <v>216</v>
      </c>
      <c r="E2318" s="6" t="s">
        <v>217</v>
      </c>
      <c r="F2318" s="6">
        <v>17555.88</v>
      </c>
      <c r="G2318" s="2">
        <v>-0.92</v>
      </c>
      <c r="H2318" s="2">
        <v>0.7</v>
      </c>
      <c r="I2318" s="2">
        <v>1.02</v>
      </c>
      <c r="J2318" s="47">
        <f t="shared" si="180"/>
        <v>1.7608695652173914</v>
      </c>
      <c r="K2318" s="47">
        <f t="shared" si="181"/>
        <v>0.45714285714285724</v>
      </c>
      <c r="L2318" s="8">
        <v>66.92</v>
      </c>
      <c r="M2318" s="8">
        <v>48.48</v>
      </c>
      <c r="N2318" s="8">
        <v>33.4</v>
      </c>
      <c r="O2318" s="17">
        <f t="shared" si="182"/>
        <v>0.27531851851851852</v>
      </c>
      <c r="P2318" s="17">
        <f t="shared" si="183"/>
        <v>0.73062499999999986</v>
      </c>
      <c r="R2318" s="9">
        <v>-1870</v>
      </c>
      <c r="T2318" s="9">
        <v>5100.96191</v>
      </c>
      <c r="U2318" s="9">
        <v>4463</v>
      </c>
      <c r="V2318" s="45">
        <f t="shared" si="184"/>
        <v>0.14294463589513778</v>
      </c>
      <c r="W2318" s="12">
        <v>29.41</v>
      </c>
      <c r="X2318" s="12">
        <v>1.41</v>
      </c>
      <c r="Y2318" s="12">
        <v>20210803</v>
      </c>
    </row>
    <row r="2319" spans="1:25" x14ac:dyDescent="0.45">
      <c r="A2319" s="3" t="s">
        <v>649</v>
      </c>
      <c r="B2319" s="3" t="s">
        <v>650</v>
      </c>
      <c r="C2319" s="6" t="s">
        <v>518</v>
      </c>
      <c r="D2319" s="6" t="s">
        <v>210</v>
      </c>
      <c r="E2319" s="6" t="s">
        <v>191</v>
      </c>
      <c r="F2319" s="6">
        <v>7761.25</v>
      </c>
      <c r="G2319" s="2">
        <v>2.98</v>
      </c>
      <c r="H2319" s="2">
        <v>4.3</v>
      </c>
      <c r="I2319" s="2">
        <v>4.6900000000000004</v>
      </c>
      <c r="J2319" s="47">
        <f t="shared" si="180"/>
        <v>0.44295302013422816</v>
      </c>
      <c r="K2319" s="47">
        <f t="shared" si="181"/>
        <v>9.0697674418604782E-2</v>
      </c>
      <c r="L2319" s="8">
        <v>41.54</v>
      </c>
      <c r="M2319" s="8">
        <v>25.21</v>
      </c>
      <c r="N2319" s="8">
        <v>23.11</v>
      </c>
      <c r="O2319" s="17">
        <f t="shared" si="182"/>
        <v>0.56913484848484863</v>
      </c>
      <c r="P2319" s="17">
        <f t="shared" si="183"/>
        <v>2.5480256410256374</v>
      </c>
      <c r="R2319" s="9">
        <v>30.76</v>
      </c>
      <c r="S2319" s="9">
        <v>9.76</v>
      </c>
      <c r="T2319" s="9">
        <v>2200.4399400000002</v>
      </c>
      <c r="U2319" s="9">
        <v>1982.78</v>
      </c>
      <c r="V2319" s="45">
        <f t="shared" si="184"/>
        <v>0.10977513390290412</v>
      </c>
      <c r="W2319" s="12">
        <v>-39.47</v>
      </c>
      <c r="X2319" s="12">
        <v>0.41</v>
      </c>
      <c r="Y2319" s="12">
        <v>20210805</v>
      </c>
    </row>
    <row r="2320" spans="1:25" x14ac:dyDescent="0.45">
      <c r="A2320" s="3" t="s">
        <v>539</v>
      </c>
      <c r="B2320" s="3" t="s">
        <v>540</v>
      </c>
      <c r="C2320" s="6" t="s">
        <v>518</v>
      </c>
      <c r="D2320" s="6" t="s">
        <v>303</v>
      </c>
      <c r="E2320" s="6" t="s">
        <v>295</v>
      </c>
      <c r="F2320" s="6">
        <v>389722.47</v>
      </c>
      <c r="G2320" s="2">
        <v>5.57</v>
      </c>
      <c r="H2320" s="2">
        <v>5.91</v>
      </c>
      <c r="I2320" s="2">
        <v>6.26</v>
      </c>
      <c r="J2320" s="47">
        <f t="shared" si="180"/>
        <v>6.1041292639138212E-2</v>
      </c>
      <c r="K2320" s="47">
        <f t="shared" si="181"/>
        <v>5.9221658206429717E-2</v>
      </c>
      <c r="L2320" s="8">
        <v>23.26</v>
      </c>
      <c r="M2320" s="8">
        <v>23.52</v>
      </c>
      <c r="N2320" s="8">
        <v>22.2</v>
      </c>
      <c r="O2320" s="17">
        <f t="shared" si="182"/>
        <v>3.8531294117647077</v>
      </c>
      <c r="P2320" s="17">
        <f t="shared" si="183"/>
        <v>3.7486285714285752</v>
      </c>
      <c r="Q2320" s="5">
        <v>4.28</v>
      </c>
      <c r="R2320" s="9">
        <v>19.920000000000002</v>
      </c>
      <c r="S2320" s="9">
        <v>3.18</v>
      </c>
      <c r="T2320" s="9">
        <v>551813.625</v>
      </c>
      <c r="U2320" s="9">
        <v>559151</v>
      </c>
      <c r="V2320" s="45">
        <f t="shared" si="184"/>
        <v>-1.3122349776715055E-2</v>
      </c>
      <c r="W2320" s="12">
        <v>38.520000000000003</v>
      </c>
      <c r="X2320" s="12">
        <v>1.58</v>
      </c>
      <c r="Y2320" s="12">
        <v>20210817</v>
      </c>
    </row>
    <row r="2321" spans="1:25" x14ac:dyDescent="0.45">
      <c r="A2321" s="3" t="s">
        <v>5047</v>
      </c>
      <c r="B2321" s="3" t="s">
        <v>5048</v>
      </c>
      <c r="C2321" s="6" t="s">
        <v>520</v>
      </c>
      <c r="D2321" s="6" t="s">
        <v>225</v>
      </c>
      <c r="E2321" s="6" t="s">
        <v>226</v>
      </c>
      <c r="F2321" s="6">
        <v>14955.24</v>
      </c>
      <c r="J2321" s="47" t="e">
        <f t="shared" si="180"/>
        <v>#DIV/0!</v>
      </c>
      <c r="K2321" s="47" t="e">
        <f t="shared" si="181"/>
        <v>#DIV/0!</v>
      </c>
      <c r="L2321" s="8">
        <v>18.78</v>
      </c>
      <c r="O2321" s="17" t="e">
        <f t="shared" si="182"/>
        <v>#DIV/0!</v>
      </c>
      <c r="P2321" s="17" t="e">
        <f t="shared" si="183"/>
        <v>#DIV/0!</v>
      </c>
      <c r="R2321" s="9">
        <v>8.27</v>
      </c>
      <c r="S2321" s="9">
        <v>2.29</v>
      </c>
      <c r="U2321" s="9">
        <v>40838.379999999997</v>
      </c>
      <c r="V2321" s="45">
        <f t="shared" si="184"/>
        <v>-1</v>
      </c>
      <c r="X2321" s="12">
        <v>1.23</v>
      </c>
      <c r="Y2321" s="12">
        <v>20210727</v>
      </c>
    </row>
    <row r="2322" spans="1:25" x14ac:dyDescent="0.45">
      <c r="A2322" s="3" t="s">
        <v>689</v>
      </c>
      <c r="B2322" s="3" t="s">
        <v>690</v>
      </c>
      <c r="C2322" s="6" t="s">
        <v>518</v>
      </c>
      <c r="D2322" s="6" t="s">
        <v>175</v>
      </c>
      <c r="E2322" s="6" t="s">
        <v>194</v>
      </c>
      <c r="F2322" s="6">
        <v>3783.72</v>
      </c>
      <c r="G2322" s="2">
        <v>2.7</v>
      </c>
      <c r="H2322" s="2">
        <v>3.14</v>
      </c>
      <c r="I2322" s="2">
        <v>3.57</v>
      </c>
      <c r="J2322" s="47">
        <f t="shared" si="180"/>
        <v>0.16296296296296292</v>
      </c>
      <c r="K2322" s="47">
        <f t="shared" si="181"/>
        <v>0.13694267515923558</v>
      </c>
      <c r="L2322" s="8">
        <v>28.06</v>
      </c>
      <c r="M2322" s="8">
        <v>24.42</v>
      </c>
      <c r="N2322" s="8">
        <v>21.46</v>
      </c>
      <c r="O2322" s="17">
        <f t="shared" si="182"/>
        <v>1.4985000000000006</v>
      </c>
      <c r="P2322" s="17">
        <f t="shared" si="183"/>
        <v>1.5670790697674428</v>
      </c>
      <c r="Q2322" s="5">
        <v>2.0699999999999998</v>
      </c>
      <c r="R2322" s="9">
        <v>16.86</v>
      </c>
      <c r="S2322" s="9">
        <v>11.82</v>
      </c>
      <c r="T2322" s="9">
        <v>976.97802000000001</v>
      </c>
      <c r="U2322" s="9">
        <v>912.6</v>
      </c>
      <c r="V2322" s="45">
        <f t="shared" si="184"/>
        <v>7.0543523997370142E-2</v>
      </c>
      <c r="W2322" s="12">
        <v>4.41</v>
      </c>
      <c r="X2322" s="12">
        <v>0</v>
      </c>
      <c r="Y2322" s="12">
        <v>20210715</v>
      </c>
    </row>
    <row r="2323" spans="1:25" x14ac:dyDescent="0.45">
      <c r="A2323" s="3" t="s">
        <v>3960</v>
      </c>
      <c r="B2323" s="3" t="s">
        <v>3961</v>
      </c>
      <c r="C2323" s="6" t="s">
        <v>519</v>
      </c>
      <c r="D2323" s="6" t="s">
        <v>303</v>
      </c>
      <c r="E2323" s="6" t="s">
        <v>292</v>
      </c>
      <c r="F2323" s="6">
        <v>5455.89</v>
      </c>
      <c r="G2323" s="2">
        <v>0.06</v>
      </c>
      <c r="H2323" s="2">
        <v>0.64</v>
      </c>
      <c r="I2323" s="2">
        <v>0.77</v>
      </c>
      <c r="J2323" s="47">
        <f t="shared" si="180"/>
        <v>9.6666666666666679</v>
      </c>
      <c r="K2323" s="47">
        <f t="shared" si="181"/>
        <v>0.203125</v>
      </c>
      <c r="M2323" s="8">
        <v>37.64</v>
      </c>
      <c r="N2323" s="8">
        <v>31.29</v>
      </c>
      <c r="O2323" s="17">
        <f t="shared" si="182"/>
        <v>3.8937931034482759E-2</v>
      </c>
      <c r="P2323" s="17">
        <f t="shared" si="183"/>
        <v>1.5404307692307693</v>
      </c>
      <c r="U2323" s="9">
        <v>4920.2</v>
      </c>
      <c r="V2323" s="45">
        <f t="shared" si="184"/>
        <v>-1</v>
      </c>
      <c r="W2323" s="12">
        <v>54.55</v>
      </c>
      <c r="X2323" s="12">
        <v>0</v>
      </c>
      <c r="Y2323" s="12">
        <v>20210819</v>
      </c>
    </row>
    <row r="2324" spans="1:25" x14ac:dyDescent="0.45">
      <c r="A2324" s="3" t="s">
        <v>5049</v>
      </c>
      <c r="B2324" s="3" t="s">
        <v>5050</v>
      </c>
      <c r="C2324" s="6" t="s">
        <v>520</v>
      </c>
      <c r="D2324" s="6" t="s">
        <v>289</v>
      </c>
      <c r="E2324" s="6" t="s">
        <v>275</v>
      </c>
      <c r="F2324" s="6">
        <v>17691.330000000002</v>
      </c>
      <c r="J2324" s="47" t="e">
        <f t="shared" si="180"/>
        <v>#DIV/0!</v>
      </c>
      <c r="K2324" s="47" t="e">
        <f t="shared" si="181"/>
        <v>#DIV/0!</v>
      </c>
      <c r="O2324" s="17" t="e">
        <f t="shared" si="182"/>
        <v>#DIV/0!</v>
      </c>
      <c r="P2324" s="17" t="e">
        <f t="shared" si="183"/>
        <v>#DIV/0!</v>
      </c>
      <c r="U2324" s="9">
        <v>3600</v>
      </c>
      <c r="V2324" s="45">
        <f t="shared" si="184"/>
        <v>-1</v>
      </c>
      <c r="X2324" s="12">
        <v>1.0900000000000001</v>
      </c>
      <c r="Y2324" s="12">
        <v>20210422</v>
      </c>
    </row>
    <row r="2325" spans="1:25" x14ac:dyDescent="0.45">
      <c r="A2325" s="3" t="s">
        <v>5051</v>
      </c>
      <c r="B2325" s="3" t="s">
        <v>5052</v>
      </c>
      <c r="C2325" s="6" t="s">
        <v>518</v>
      </c>
      <c r="D2325" s="6" t="s">
        <v>272</v>
      </c>
      <c r="E2325" s="6" t="s">
        <v>2638</v>
      </c>
      <c r="F2325" s="6">
        <v>3510.65</v>
      </c>
      <c r="G2325" s="2">
        <v>4.72</v>
      </c>
      <c r="H2325" s="2">
        <v>3.9</v>
      </c>
      <c r="J2325" s="47">
        <f t="shared" si="180"/>
        <v>-0.17372881355932202</v>
      </c>
      <c r="K2325" s="47">
        <f t="shared" si="181"/>
        <v>-1</v>
      </c>
      <c r="L2325" s="8">
        <v>21.72</v>
      </c>
      <c r="M2325" s="8">
        <v>16.989999999999998</v>
      </c>
      <c r="O2325" s="17">
        <f t="shared" si="182"/>
        <v>-0.97796097560975614</v>
      </c>
      <c r="P2325" s="17">
        <f t="shared" si="183"/>
        <v>0</v>
      </c>
      <c r="R2325" s="9">
        <v>12.28</v>
      </c>
      <c r="S2325" s="9">
        <v>1.48</v>
      </c>
      <c r="T2325" s="9">
        <v>3811.1999500000002</v>
      </c>
      <c r="U2325" s="9">
        <v>3059.12</v>
      </c>
      <c r="V2325" s="45">
        <f t="shared" si="184"/>
        <v>0.24584846295666737</v>
      </c>
      <c r="W2325" s="12">
        <v>8.8000000000000007</v>
      </c>
      <c r="X2325" s="12">
        <v>1.51</v>
      </c>
      <c r="Y2325" s="12">
        <v>20210624</v>
      </c>
    </row>
    <row r="2326" spans="1:25" x14ac:dyDescent="0.45">
      <c r="A2326" s="3" t="s">
        <v>3962</v>
      </c>
      <c r="B2326" s="3" t="s">
        <v>3963</v>
      </c>
      <c r="C2326" s="6" t="s">
        <v>518</v>
      </c>
      <c r="D2326" s="6" t="s">
        <v>175</v>
      </c>
      <c r="E2326" s="6" t="s">
        <v>305</v>
      </c>
      <c r="F2326" s="6">
        <v>25364.37</v>
      </c>
      <c r="G2326" s="2">
        <v>-0.09</v>
      </c>
      <c r="H2326" s="2">
        <v>-0.04</v>
      </c>
      <c r="I2326" s="2">
        <v>0.09</v>
      </c>
      <c r="J2326" s="47">
        <f t="shared" si="180"/>
        <v>0.55555555555555558</v>
      </c>
      <c r="K2326" s="47">
        <f t="shared" si="181"/>
        <v>3.25</v>
      </c>
      <c r="L2326" s="8">
        <v>550.25</v>
      </c>
      <c r="N2326" s="8">
        <v>507.92</v>
      </c>
      <c r="O2326" s="17">
        <f t="shared" si="182"/>
        <v>0</v>
      </c>
      <c r="P2326" s="17">
        <f t="shared" si="183"/>
        <v>1.5628307692307692</v>
      </c>
      <c r="R2326" s="9">
        <v>-23.43</v>
      </c>
      <c r="T2326" s="9">
        <v>1193.6159600000001</v>
      </c>
      <c r="U2326" s="9">
        <v>902.61</v>
      </c>
      <c r="V2326" s="45">
        <f t="shared" si="184"/>
        <v>0.32240498111033566</v>
      </c>
      <c r="W2326" s="12">
        <v>500</v>
      </c>
      <c r="X2326" s="12">
        <v>0</v>
      </c>
      <c r="Y2326" s="12">
        <v>20210914</v>
      </c>
    </row>
    <row r="2327" spans="1:25" x14ac:dyDescent="0.45">
      <c r="A2327" s="3" t="s">
        <v>350</v>
      </c>
      <c r="B2327" s="3" t="s">
        <v>351</v>
      </c>
      <c r="C2327" s="6" t="s">
        <v>518</v>
      </c>
      <c r="D2327" s="6" t="s">
        <v>234</v>
      </c>
      <c r="E2327" s="6" t="s">
        <v>286</v>
      </c>
      <c r="F2327" s="6">
        <v>13721.12</v>
      </c>
      <c r="G2327" s="2">
        <v>4.88</v>
      </c>
      <c r="H2327" s="2">
        <v>4.8600000000000003</v>
      </c>
      <c r="I2327" s="2">
        <v>4.91</v>
      </c>
      <c r="J2327" s="47">
        <f t="shared" si="180"/>
        <v>-4.0983606557376175E-3</v>
      </c>
      <c r="K2327" s="47">
        <f t="shared" si="181"/>
        <v>1.0288065843621363E-2</v>
      </c>
      <c r="L2327" s="8">
        <v>16.37</v>
      </c>
      <c r="M2327" s="8">
        <v>15.86</v>
      </c>
      <c r="N2327" s="8">
        <v>15.7</v>
      </c>
      <c r="O2327" s="17">
        <f t="shared" si="182"/>
        <v>-38.698400000000824</v>
      </c>
      <c r="P2327" s="17">
        <f t="shared" si="183"/>
        <v>15.260400000000052</v>
      </c>
      <c r="Q2327" s="5">
        <v>7.93</v>
      </c>
      <c r="R2327" s="9">
        <v>6.42</v>
      </c>
      <c r="S2327" s="9">
        <v>10.82</v>
      </c>
      <c r="T2327" s="9">
        <v>1263.54602</v>
      </c>
      <c r="U2327" s="9">
        <v>1209.32</v>
      </c>
      <c r="V2327" s="45">
        <f t="shared" si="184"/>
        <v>4.4840091952502284E-2</v>
      </c>
      <c r="W2327" s="12">
        <v>0.83</v>
      </c>
      <c r="X2327" s="12">
        <v>5.44</v>
      </c>
      <c r="Y2327" s="12">
        <v>20210730</v>
      </c>
    </row>
    <row r="2328" spans="1:25" x14ac:dyDescent="0.45">
      <c r="A2328" s="3" t="s">
        <v>651</v>
      </c>
      <c r="B2328" s="3" t="s">
        <v>434</v>
      </c>
      <c r="C2328" s="6" t="s">
        <v>518</v>
      </c>
      <c r="D2328" s="6" t="s">
        <v>90</v>
      </c>
      <c r="E2328" s="6" t="s">
        <v>268</v>
      </c>
      <c r="F2328" s="6">
        <v>21309.82</v>
      </c>
      <c r="G2328" s="2">
        <v>1.1100000000000001</v>
      </c>
      <c r="H2328" s="2">
        <v>1.51</v>
      </c>
      <c r="I2328" s="2">
        <v>1.63</v>
      </c>
      <c r="J2328" s="47">
        <f t="shared" si="180"/>
        <v>0.36036036036036023</v>
      </c>
      <c r="K2328" s="47">
        <f t="shared" si="181"/>
        <v>7.9470198675496609E-2</v>
      </c>
      <c r="L2328" s="8">
        <v>37.880000000000003</v>
      </c>
      <c r="M2328" s="8">
        <v>31.44</v>
      </c>
      <c r="N2328" s="8">
        <v>29.07</v>
      </c>
      <c r="O2328" s="17">
        <f t="shared" si="182"/>
        <v>0.87246000000000035</v>
      </c>
      <c r="P2328" s="17">
        <f t="shared" si="183"/>
        <v>3.657975000000004</v>
      </c>
      <c r="Q2328" s="5">
        <v>6.29</v>
      </c>
      <c r="R2328" s="9">
        <v>9.9499999999999993</v>
      </c>
      <c r="S2328" s="9">
        <v>4.72</v>
      </c>
      <c r="T2328" s="9">
        <v>1326.39294</v>
      </c>
      <c r="U2328" s="9">
        <v>1096.22</v>
      </c>
      <c r="V2328" s="45">
        <f t="shared" si="184"/>
        <v>0.20996965937494291</v>
      </c>
      <c r="W2328" s="12">
        <v>0</v>
      </c>
      <c r="X2328" s="12">
        <v>0.46</v>
      </c>
      <c r="Y2328" s="12">
        <v>20210811</v>
      </c>
    </row>
    <row r="2329" spans="1:25" x14ac:dyDescent="0.45">
      <c r="A2329" s="3" t="s">
        <v>498</v>
      </c>
      <c r="B2329" s="3" t="s">
        <v>499</v>
      </c>
      <c r="C2329" s="6" t="s">
        <v>518</v>
      </c>
      <c r="D2329" s="6" t="s">
        <v>175</v>
      </c>
      <c r="E2329" s="6" t="s">
        <v>9</v>
      </c>
      <c r="F2329" s="6">
        <v>17198.900000000001</v>
      </c>
      <c r="G2329" s="2">
        <v>3.76</v>
      </c>
      <c r="H2329" s="2">
        <v>4.8099999999999996</v>
      </c>
      <c r="I2329" s="2">
        <v>5.53</v>
      </c>
      <c r="J2329" s="47">
        <f t="shared" si="180"/>
        <v>0.27925531914893614</v>
      </c>
      <c r="K2329" s="47">
        <f t="shared" si="181"/>
        <v>0.14968814968814984</v>
      </c>
      <c r="M2329" s="8">
        <v>14.75</v>
      </c>
      <c r="N2329" s="8">
        <v>12.83</v>
      </c>
      <c r="O2329" s="17">
        <f t="shared" si="182"/>
        <v>0.52819047619047621</v>
      </c>
      <c r="P2329" s="17">
        <f t="shared" si="183"/>
        <v>0.85711527777777696</v>
      </c>
      <c r="Q2329" s="5">
        <v>1.82</v>
      </c>
      <c r="T2329" s="9">
        <v>13832.139639999999</v>
      </c>
      <c r="U2329" s="9">
        <v>15413.34</v>
      </c>
      <c r="V2329" s="45">
        <f t="shared" si="184"/>
        <v>-0.10258648417539616</v>
      </c>
      <c r="X2329" s="12">
        <v>1.84</v>
      </c>
    </row>
    <row r="2330" spans="1:25" x14ac:dyDescent="0.45">
      <c r="A2330" s="3" t="s">
        <v>352</v>
      </c>
      <c r="B2330" s="3" t="s">
        <v>353</v>
      </c>
      <c r="C2330" s="6" t="s">
        <v>518</v>
      </c>
      <c r="D2330" s="6" t="s">
        <v>234</v>
      </c>
      <c r="E2330" s="6" t="s">
        <v>244</v>
      </c>
      <c r="F2330" s="6">
        <v>13383.36</v>
      </c>
      <c r="G2330" s="2">
        <v>2.1800000000000002</v>
      </c>
      <c r="H2330" s="2">
        <v>3.98</v>
      </c>
      <c r="I2330" s="2">
        <v>4.53</v>
      </c>
      <c r="J2330" s="47">
        <f t="shared" si="180"/>
        <v>0.82568807339449524</v>
      </c>
      <c r="K2330" s="47">
        <f t="shared" si="181"/>
        <v>0.13819095477386942</v>
      </c>
      <c r="L2330" s="8">
        <v>27.84</v>
      </c>
      <c r="M2330" s="8">
        <v>18.96</v>
      </c>
      <c r="N2330" s="8">
        <v>16.670000000000002</v>
      </c>
      <c r="O2330" s="17">
        <f t="shared" si="182"/>
        <v>0.22962666666666673</v>
      </c>
      <c r="P2330" s="17">
        <f t="shared" si="183"/>
        <v>1.2063018181818177</v>
      </c>
      <c r="Q2330" s="5">
        <v>2.11</v>
      </c>
      <c r="R2330" s="9">
        <v>8.24</v>
      </c>
      <c r="S2330" s="9">
        <v>1.43</v>
      </c>
      <c r="T2330" s="9">
        <v>8320</v>
      </c>
      <c r="U2330" s="9">
        <v>8098.92</v>
      </c>
      <c r="V2330" s="45">
        <f t="shared" si="184"/>
        <v>2.729746682273685E-2</v>
      </c>
      <c r="W2330" s="12">
        <v>21.35</v>
      </c>
      <c r="X2330" s="12">
        <v>0.64</v>
      </c>
      <c r="Y2330" s="12">
        <v>20210720</v>
      </c>
    </row>
    <row r="2331" spans="1:25" x14ac:dyDescent="0.45">
      <c r="A2331" s="3" t="s">
        <v>3964</v>
      </c>
      <c r="B2331" s="3" t="s">
        <v>3965</v>
      </c>
      <c r="C2331" s="6" t="s">
        <v>518</v>
      </c>
      <c r="D2331" s="6" t="s">
        <v>234</v>
      </c>
      <c r="E2331" s="6" t="s">
        <v>288</v>
      </c>
      <c r="F2331" s="6">
        <v>4329.1000000000004</v>
      </c>
      <c r="G2331" s="2">
        <v>1.64</v>
      </c>
      <c r="H2331" s="2">
        <v>1.73</v>
      </c>
      <c r="I2331" s="2">
        <v>1.83</v>
      </c>
      <c r="J2331" s="47">
        <f t="shared" si="180"/>
        <v>5.4878048780487854E-2</v>
      </c>
      <c r="K2331" s="47">
        <f t="shared" si="181"/>
        <v>5.780346820809254E-2</v>
      </c>
      <c r="L2331" s="8">
        <v>20.07</v>
      </c>
      <c r="M2331" s="8">
        <v>19.649999999999999</v>
      </c>
      <c r="N2331" s="8">
        <v>18.54</v>
      </c>
      <c r="O2331" s="17">
        <f t="shared" si="182"/>
        <v>3.5806666666666631</v>
      </c>
      <c r="P2331" s="17">
        <f t="shared" si="183"/>
        <v>3.2074199999999968</v>
      </c>
      <c r="Q2331" s="5">
        <v>2.86</v>
      </c>
      <c r="R2331" s="9">
        <v>4.8</v>
      </c>
      <c r="S2331" s="9">
        <v>-5.1100000000000003</v>
      </c>
      <c r="T2331" s="9">
        <v>426.46098999999998</v>
      </c>
      <c r="U2331" s="9">
        <v>433.92</v>
      </c>
      <c r="V2331" s="45">
        <f t="shared" si="184"/>
        <v>-1.7189827617994181E-2</v>
      </c>
      <c r="W2331" s="12">
        <v>17.07</v>
      </c>
      <c r="X2331" s="12">
        <v>2.71</v>
      </c>
      <c r="Y2331" s="12">
        <v>20210804</v>
      </c>
    </row>
    <row r="2332" spans="1:25" x14ac:dyDescent="0.45">
      <c r="A2332" s="3" t="s">
        <v>414</v>
      </c>
      <c r="B2332" s="3" t="s">
        <v>355</v>
      </c>
      <c r="C2332" s="6" t="s">
        <v>518</v>
      </c>
      <c r="D2332" s="6" t="s">
        <v>90</v>
      </c>
      <c r="E2332" s="6" t="s">
        <v>282</v>
      </c>
      <c r="F2332" s="6">
        <v>15147.34</v>
      </c>
      <c r="G2332" s="2">
        <v>2.69</v>
      </c>
      <c r="H2332" s="2">
        <v>3.45</v>
      </c>
      <c r="I2332" s="2">
        <v>4.8899999999999997</v>
      </c>
      <c r="J2332" s="47">
        <f t="shared" si="180"/>
        <v>0.28252788104089227</v>
      </c>
      <c r="K2332" s="47">
        <f t="shared" si="181"/>
        <v>0.4173913043478259</v>
      </c>
      <c r="L2332" s="8">
        <v>21.56</v>
      </c>
      <c r="M2332" s="8">
        <v>16.5</v>
      </c>
      <c r="N2332" s="8">
        <v>11.63</v>
      </c>
      <c r="O2332" s="17">
        <f t="shared" si="182"/>
        <v>0.58401315789473673</v>
      </c>
      <c r="P2332" s="17">
        <f t="shared" si="183"/>
        <v>0.2786354166666668</v>
      </c>
      <c r="Q2332" s="5">
        <v>0.92</v>
      </c>
      <c r="R2332" s="9">
        <v>6.27</v>
      </c>
      <c r="S2332" s="9">
        <v>5.82</v>
      </c>
      <c r="T2332" s="9">
        <v>18240.47265</v>
      </c>
      <c r="U2332" s="9">
        <v>17578.8</v>
      </c>
      <c r="V2332" s="45">
        <f t="shared" si="184"/>
        <v>3.7640376476210005E-2</v>
      </c>
      <c r="W2332" s="12">
        <v>-12.9</v>
      </c>
      <c r="X2332" s="12">
        <v>1.69</v>
      </c>
      <c r="Y2332" s="12">
        <v>20210803</v>
      </c>
    </row>
    <row r="2333" spans="1:25" x14ac:dyDescent="0.45">
      <c r="A2333" s="3" t="s">
        <v>691</v>
      </c>
      <c r="B2333" s="3" t="s">
        <v>692</v>
      </c>
      <c r="C2333" s="6" t="s">
        <v>520</v>
      </c>
      <c r="D2333" s="6" t="s">
        <v>175</v>
      </c>
      <c r="E2333" s="6" t="s">
        <v>305</v>
      </c>
      <c r="F2333" s="6">
        <v>9319.35</v>
      </c>
      <c r="G2333" s="2">
        <v>0.08</v>
      </c>
      <c r="H2333" s="2">
        <v>0.09</v>
      </c>
      <c r="I2333" s="2">
        <v>0.12</v>
      </c>
      <c r="J2333" s="47">
        <f t="shared" si="180"/>
        <v>0.12499999999999993</v>
      </c>
      <c r="K2333" s="47">
        <f t="shared" si="181"/>
        <v>0.33333333333333331</v>
      </c>
      <c r="L2333" s="8">
        <v>63</v>
      </c>
      <c r="M2333" s="8">
        <v>35</v>
      </c>
      <c r="N2333" s="8">
        <v>26.25</v>
      </c>
      <c r="O2333" s="17">
        <f t="shared" si="182"/>
        <v>2.8000000000000016</v>
      </c>
      <c r="P2333" s="17">
        <f t="shared" si="183"/>
        <v>0.78750000000000009</v>
      </c>
      <c r="R2333" s="9">
        <v>6.56</v>
      </c>
      <c r="S2333" s="9">
        <v>-1.1299999999999999</v>
      </c>
      <c r="T2333" s="9">
        <v>5420.0200100000002</v>
      </c>
      <c r="U2333" s="9">
        <v>5258.7</v>
      </c>
      <c r="V2333" s="45">
        <f t="shared" si="184"/>
        <v>3.0676785137011119E-2</v>
      </c>
      <c r="X2333" s="12">
        <v>0.87</v>
      </c>
      <c r="Y2333" s="12">
        <v>20210614</v>
      </c>
    </row>
    <row r="2334" spans="1:25" x14ac:dyDescent="0.45">
      <c r="A2334" s="3" t="s">
        <v>3966</v>
      </c>
      <c r="B2334" s="3" t="s">
        <v>703</v>
      </c>
      <c r="C2334" s="6" t="s">
        <v>519</v>
      </c>
      <c r="D2334" s="6" t="s">
        <v>216</v>
      </c>
      <c r="E2334" s="6" t="s">
        <v>227</v>
      </c>
      <c r="F2334" s="6">
        <v>6582.5</v>
      </c>
      <c r="G2334" s="2">
        <v>0.38</v>
      </c>
      <c r="H2334" s="2">
        <v>0.81</v>
      </c>
      <c r="I2334" s="2">
        <v>1.1299999999999999</v>
      </c>
      <c r="J2334" s="47">
        <f t="shared" si="180"/>
        <v>1.1315789473684212</v>
      </c>
      <c r="K2334" s="47">
        <f t="shared" si="181"/>
        <v>0.39506172839506148</v>
      </c>
      <c r="L2334" s="8">
        <v>40.31</v>
      </c>
      <c r="M2334" s="8">
        <v>35.950000000000003</v>
      </c>
      <c r="N2334" s="8">
        <v>25.71</v>
      </c>
      <c r="O2334" s="17">
        <f t="shared" si="182"/>
        <v>0.31769767441860464</v>
      </c>
      <c r="P2334" s="17">
        <f t="shared" si="183"/>
        <v>0.65078437500000041</v>
      </c>
      <c r="Q2334" s="5">
        <v>1.48</v>
      </c>
      <c r="R2334" s="9">
        <v>8.06</v>
      </c>
      <c r="S2334" s="9">
        <v>44.15</v>
      </c>
      <c r="T2334" s="9">
        <v>1774.35205</v>
      </c>
      <c r="U2334" s="9">
        <v>1367.65</v>
      </c>
      <c r="V2334" s="45">
        <f t="shared" si="184"/>
        <v>0.29737290242386566</v>
      </c>
      <c r="W2334" s="12">
        <v>16.670000000000002</v>
      </c>
      <c r="X2334" s="12">
        <v>0</v>
      </c>
      <c r="Y2334" s="12">
        <v>20210809</v>
      </c>
    </row>
    <row r="2335" spans="1:25" x14ac:dyDescent="0.45">
      <c r="A2335" s="3" t="s">
        <v>677</v>
      </c>
      <c r="B2335" s="3" t="s">
        <v>620</v>
      </c>
      <c r="C2335" s="6" t="s">
        <v>518</v>
      </c>
      <c r="D2335" s="6" t="s">
        <v>303</v>
      </c>
      <c r="E2335" s="6" t="s">
        <v>621</v>
      </c>
      <c r="F2335" s="6">
        <v>12596.24</v>
      </c>
      <c r="G2335" s="2">
        <v>8.48</v>
      </c>
      <c r="H2335" s="2">
        <v>11.57</v>
      </c>
      <c r="I2335" s="2">
        <v>11.49</v>
      </c>
      <c r="J2335" s="47">
        <f t="shared" si="180"/>
        <v>0.36438679245283018</v>
      </c>
      <c r="K2335" s="47">
        <f t="shared" si="181"/>
        <v>-6.9144338807260218E-3</v>
      </c>
      <c r="L2335" s="8">
        <v>14.89</v>
      </c>
      <c r="M2335" s="8">
        <v>14.46</v>
      </c>
      <c r="N2335" s="8">
        <v>14.56</v>
      </c>
      <c r="O2335" s="17">
        <f t="shared" si="182"/>
        <v>0.39683106796116507</v>
      </c>
      <c r="P2335" s="17">
        <f t="shared" si="183"/>
        <v>-21.05739999999998</v>
      </c>
      <c r="Q2335" s="5">
        <v>1.6</v>
      </c>
      <c r="R2335" s="9">
        <v>60.81</v>
      </c>
      <c r="S2335" s="9">
        <v>6.57</v>
      </c>
      <c r="T2335" s="9">
        <v>7643.8491199999999</v>
      </c>
      <c r="U2335" s="9">
        <v>6783.19</v>
      </c>
      <c r="V2335" s="45">
        <f t="shared" si="184"/>
        <v>0.12688117537618734</v>
      </c>
      <c r="W2335" s="12">
        <v>58.38</v>
      </c>
      <c r="X2335" s="12">
        <v>1.41</v>
      </c>
      <c r="Y2335" s="12">
        <v>20210825</v>
      </c>
    </row>
    <row r="2336" spans="1:25" x14ac:dyDescent="0.45">
      <c r="A2336" s="3" t="s">
        <v>356</v>
      </c>
      <c r="B2336" s="3" t="s">
        <v>357</v>
      </c>
      <c r="C2336" s="6" t="s">
        <v>518</v>
      </c>
      <c r="D2336" s="6" t="s">
        <v>210</v>
      </c>
      <c r="E2336" s="6" t="s">
        <v>187</v>
      </c>
      <c r="F2336" s="6">
        <v>11172.65</v>
      </c>
      <c r="G2336" s="2">
        <v>6.85</v>
      </c>
      <c r="H2336" s="2">
        <v>8.77</v>
      </c>
      <c r="I2336" s="2">
        <v>9.1</v>
      </c>
      <c r="J2336" s="47">
        <f t="shared" si="180"/>
        <v>0.28029197080291973</v>
      </c>
      <c r="K2336" s="47">
        <f t="shared" si="181"/>
        <v>3.7628278221208677E-2</v>
      </c>
      <c r="L2336" s="8">
        <v>38.26</v>
      </c>
      <c r="M2336" s="8">
        <v>32.92</v>
      </c>
      <c r="N2336" s="8">
        <v>31.73</v>
      </c>
      <c r="O2336" s="17">
        <f t="shared" si="182"/>
        <v>1.1744895833333333</v>
      </c>
      <c r="P2336" s="17">
        <f t="shared" si="183"/>
        <v>8.4324878787878763</v>
      </c>
      <c r="R2336" s="9">
        <v>16.079999999999998</v>
      </c>
      <c r="S2336" s="9">
        <v>4.4800000000000004</v>
      </c>
      <c r="T2336" s="9">
        <v>5687.3178699999999</v>
      </c>
      <c r="U2336" s="9">
        <v>5054.93</v>
      </c>
      <c r="V2336" s="45">
        <f t="shared" si="184"/>
        <v>0.12510319035080594</v>
      </c>
      <c r="W2336" s="12">
        <v>52.75</v>
      </c>
      <c r="X2336" s="12">
        <v>2.7</v>
      </c>
      <c r="Y2336" s="12">
        <v>20210722</v>
      </c>
    </row>
    <row r="2337" spans="1:25" x14ac:dyDescent="0.45">
      <c r="A2337" s="3" t="s">
        <v>356</v>
      </c>
      <c r="B2337" s="3" t="s">
        <v>5053</v>
      </c>
      <c r="C2337" s="6" t="s">
        <v>518</v>
      </c>
      <c r="D2337" s="6" t="s">
        <v>210</v>
      </c>
      <c r="E2337" s="6" t="s">
        <v>187</v>
      </c>
      <c r="F2337" s="6">
        <v>11295.27</v>
      </c>
      <c r="J2337" s="47" t="e">
        <f t="shared" si="180"/>
        <v>#DIV/0!</v>
      </c>
      <c r="K2337" s="47" t="e">
        <f t="shared" si="181"/>
        <v>#DIV/0!</v>
      </c>
      <c r="L2337" s="8">
        <v>38.68</v>
      </c>
      <c r="O2337" s="17" t="e">
        <f t="shared" si="182"/>
        <v>#DIV/0!</v>
      </c>
      <c r="P2337" s="17" t="e">
        <f t="shared" si="183"/>
        <v>#DIV/0!</v>
      </c>
      <c r="R2337" s="9">
        <v>16.100000000000001</v>
      </c>
      <c r="S2337" s="9">
        <v>4.4800000000000004</v>
      </c>
      <c r="U2337" s="9">
        <v>5054.93</v>
      </c>
      <c r="V2337" s="45">
        <f t="shared" si="184"/>
        <v>-1</v>
      </c>
      <c r="X2337" s="12">
        <v>2.67</v>
      </c>
      <c r="Y2337" s="12">
        <v>20210722</v>
      </c>
    </row>
    <row r="2338" spans="1:25" x14ac:dyDescent="0.45">
      <c r="A2338" s="3" t="s">
        <v>358</v>
      </c>
      <c r="B2338" s="3" t="s">
        <v>359</v>
      </c>
      <c r="C2338" s="6" t="s">
        <v>518</v>
      </c>
      <c r="D2338" s="6" t="s">
        <v>279</v>
      </c>
      <c r="E2338" s="6" t="s">
        <v>257</v>
      </c>
      <c r="F2338" s="6">
        <v>24799.599999999999</v>
      </c>
      <c r="G2338" s="2">
        <v>4.54</v>
      </c>
      <c r="H2338" s="2">
        <v>7.16</v>
      </c>
      <c r="I2338" s="2">
        <v>7.75</v>
      </c>
      <c r="J2338" s="47">
        <f t="shared" si="180"/>
        <v>0.5770925110132159</v>
      </c>
      <c r="K2338" s="47">
        <f t="shared" si="181"/>
        <v>8.2402234636871491E-2</v>
      </c>
      <c r="L2338" s="8">
        <v>58.02</v>
      </c>
      <c r="M2338" s="8">
        <v>46.93</v>
      </c>
      <c r="N2338" s="8">
        <v>43.37</v>
      </c>
      <c r="O2338" s="17">
        <f t="shared" si="182"/>
        <v>0.81321450381679383</v>
      </c>
      <c r="P2338" s="17">
        <f t="shared" si="183"/>
        <v>5.2632067796610178</v>
      </c>
      <c r="Q2338" s="5">
        <v>1.82</v>
      </c>
      <c r="R2338" s="9">
        <v>25.08</v>
      </c>
      <c r="S2338" s="9">
        <v>8.6999999999999993</v>
      </c>
      <c r="T2338" s="9">
        <v>2660.1599099999999</v>
      </c>
      <c r="U2338" s="9">
        <v>2146.9</v>
      </c>
      <c r="V2338" s="45">
        <f t="shared" si="184"/>
        <v>0.23907024547021274</v>
      </c>
      <c r="W2338" s="12">
        <v>44.37</v>
      </c>
      <c r="X2338" s="12">
        <v>0.2</v>
      </c>
      <c r="Y2338" s="12">
        <v>20210722</v>
      </c>
    </row>
    <row r="2339" spans="1:25" x14ac:dyDescent="0.45">
      <c r="A2339" s="3" t="s">
        <v>805</v>
      </c>
      <c r="B2339" s="3" t="s">
        <v>806</v>
      </c>
      <c r="C2339" s="6" t="s">
        <v>519</v>
      </c>
      <c r="D2339" s="6" t="s">
        <v>234</v>
      </c>
      <c r="E2339" s="6" t="s">
        <v>168</v>
      </c>
      <c r="F2339" s="6">
        <v>4644.74</v>
      </c>
      <c r="G2339" s="2">
        <v>4.47</v>
      </c>
      <c r="H2339" s="2">
        <v>6.85</v>
      </c>
      <c r="I2339" s="2">
        <v>5.52</v>
      </c>
      <c r="J2339" s="47">
        <f t="shared" si="180"/>
        <v>0.53243847874720363</v>
      </c>
      <c r="K2339" s="47">
        <f t="shared" si="181"/>
        <v>-0.19416058394160585</v>
      </c>
      <c r="L2339" s="8">
        <v>13.18</v>
      </c>
      <c r="M2339" s="8">
        <v>11.89</v>
      </c>
      <c r="N2339" s="8">
        <v>14.75</v>
      </c>
      <c r="O2339" s="17">
        <f t="shared" si="182"/>
        <v>0.22331218487394958</v>
      </c>
      <c r="P2339" s="17">
        <f t="shared" si="183"/>
        <v>-0.75968045112781946</v>
      </c>
      <c r="Q2339" s="5">
        <v>0.7</v>
      </c>
      <c r="R2339" s="9">
        <v>10.37</v>
      </c>
      <c r="S2339" s="9">
        <v>15.1</v>
      </c>
      <c r="T2339" s="9">
        <v>1676.6169400000001</v>
      </c>
      <c r="U2339" s="9">
        <v>1897.21</v>
      </c>
      <c r="V2339" s="45">
        <f t="shared" si="184"/>
        <v>-0.11627234728891368</v>
      </c>
      <c r="W2339" s="12">
        <v>80.14</v>
      </c>
      <c r="X2339" s="12">
        <v>1.52</v>
      </c>
      <c r="Y2339" s="12">
        <v>20210720</v>
      </c>
    </row>
    <row r="2340" spans="1:25" x14ac:dyDescent="0.45">
      <c r="A2340" s="3" t="s">
        <v>896</v>
      </c>
      <c r="B2340" s="3" t="s">
        <v>897</v>
      </c>
      <c r="C2340" s="6" t="s">
        <v>520</v>
      </c>
      <c r="D2340" s="6" t="s">
        <v>225</v>
      </c>
      <c r="E2340" s="6" t="s">
        <v>530</v>
      </c>
      <c r="F2340" s="6">
        <v>26288.81</v>
      </c>
      <c r="G2340" s="2">
        <v>3.67</v>
      </c>
      <c r="H2340" s="2">
        <v>3.84</v>
      </c>
      <c r="I2340" s="2">
        <v>4.16</v>
      </c>
      <c r="J2340" s="47">
        <f t="shared" si="180"/>
        <v>4.6321525885558566E-2</v>
      </c>
      <c r="K2340" s="47">
        <f t="shared" si="181"/>
        <v>8.3333333333333412E-2</v>
      </c>
      <c r="M2340" s="8">
        <v>25.59</v>
      </c>
      <c r="N2340" s="8">
        <v>23.62</v>
      </c>
      <c r="O2340" s="17">
        <f t="shared" si="182"/>
        <v>5.5244294117647073</v>
      </c>
      <c r="P2340" s="17">
        <f t="shared" si="183"/>
        <v>2.8343999999999974</v>
      </c>
      <c r="Q2340" s="5">
        <v>3.6</v>
      </c>
      <c r="U2340" s="9">
        <v>5257.56</v>
      </c>
      <c r="V2340" s="45">
        <f t="shared" si="184"/>
        <v>-1</v>
      </c>
      <c r="X2340" s="12">
        <v>1.88</v>
      </c>
    </row>
    <row r="2341" spans="1:25" x14ac:dyDescent="0.45">
      <c r="A2341" s="3" t="s">
        <v>5054</v>
      </c>
      <c r="B2341" s="3" t="s">
        <v>5055</v>
      </c>
      <c r="C2341" s="6" t="s">
        <v>518</v>
      </c>
      <c r="D2341" s="6" t="s">
        <v>234</v>
      </c>
      <c r="E2341" s="6" t="s">
        <v>244</v>
      </c>
      <c r="F2341" s="6">
        <v>3511.24</v>
      </c>
      <c r="J2341" s="47" t="e">
        <f t="shared" si="180"/>
        <v>#DIV/0!</v>
      </c>
      <c r="K2341" s="47" t="e">
        <f t="shared" si="181"/>
        <v>#DIV/0!</v>
      </c>
      <c r="L2341" s="8">
        <v>250.56</v>
      </c>
      <c r="O2341" s="17" t="e">
        <f t="shared" si="182"/>
        <v>#DIV/0!</v>
      </c>
      <c r="P2341" s="17" t="e">
        <f t="shared" si="183"/>
        <v>#DIV/0!</v>
      </c>
      <c r="R2341" s="9">
        <v>0.28999999999999998</v>
      </c>
      <c r="S2341" s="9">
        <v>-12.94</v>
      </c>
      <c r="U2341" s="9">
        <v>1180.7</v>
      </c>
      <c r="V2341" s="45">
        <f t="shared" si="184"/>
        <v>-1</v>
      </c>
      <c r="X2341" s="12">
        <v>0.09</v>
      </c>
      <c r="Y2341" s="12">
        <v>20210806</v>
      </c>
    </row>
    <row r="2342" spans="1:25" x14ac:dyDescent="0.45">
      <c r="A2342" s="3" t="s">
        <v>652</v>
      </c>
      <c r="B2342" s="3" t="s">
        <v>583</v>
      </c>
      <c r="C2342" s="6" t="s">
        <v>518</v>
      </c>
      <c r="D2342" s="6" t="s">
        <v>327</v>
      </c>
      <c r="E2342" s="6" t="s">
        <v>363</v>
      </c>
      <c r="F2342" s="6">
        <v>11670.51</v>
      </c>
      <c r="G2342" s="2">
        <v>1.58</v>
      </c>
      <c r="H2342" s="2">
        <v>1.67</v>
      </c>
      <c r="I2342" s="2">
        <v>1.79</v>
      </c>
      <c r="J2342" s="47">
        <f t="shared" si="180"/>
        <v>5.6962025316455604E-2</v>
      </c>
      <c r="K2342" s="47">
        <f t="shared" si="181"/>
        <v>7.1856287425149767E-2</v>
      </c>
      <c r="L2342" s="8">
        <v>27.95</v>
      </c>
      <c r="M2342" s="8">
        <v>28.47</v>
      </c>
      <c r="N2342" s="8">
        <v>26.49</v>
      </c>
      <c r="O2342" s="17">
        <f t="shared" si="182"/>
        <v>4.9980666666666753</v>
      </c>
      <c r="P2342" s="17">
        <f t="shared" si="183"/>
        <v>3.6865249999999961</v>
      </c>
      <c r="Q2342" s="5">
        <v>4.58</v>
      </c>
      <c r="R2342" s="9">
        <v>9.23</v>
      </c>
      <c r="S2342" s="9">
        <v>12.12</v>
      </c>
      <c r="T2342" s="9">
        <v>1836</v>
      </c>
      <c r="U2342" s="9">
        <v>1462.7</v>
      </c>
      <c r="V2342" s="45">
        <f t="shared" si="184"/>
        <v>0.25521296232993773</v>
      </c>
      <c r="W2342" s="12">
        <v>9.09</v>
      </c>
      <c r="X2342" s="12">
        <v>2.11</v>
      </c>
      <c r="Y2342" s="12">
        <v>20210804</v>
      </c>
    </row>
    <row r="2343" spans="1:25" x14ac:dyDescent="0.45">
      <c r="A2343" s="3" t="s">
        <v>704</v>
      </c>
      <c r="B2343" s="3" t="s">
        <v>705</v>
      </c>
      <c r="C2343" s="6" t="s">
        <v>518</v>
      </c>
      <c r="D2343" s="6" t="s">
        <v>189</v>
      </c>
      <c r="E2343" s="6" t="s">
        <v>236</v>
      </c>
      <c r="F2343" s="6">
        <v>4775.66</v>
      </c>
      <c r="G2343" s="2">
        <v>3.74</v>
      </c>
      <c r="H2343" s="2">
        <v>4.5999999999999996</v>
      </c>
      <c r="I2343" s="2">
        <v>5.01</v>
      </c>
      <c r="J2343" s="47">
        <f t="shared" si="180"/>
        <v>0.22994652406417096</v>
      </c>
      <c r="K2343" s="47">
        <f t="shared" si="181"/>
        <v>8.9130434782608736E-2</v>
      </c>
      <c r="L2343" s="8">
        <v>33.93</v>
      </c>
      <c r="M2343" s="8">
        <v>30.85</v>
      </c>
      <c r="N2343" s="8">
        <v>28.34</v>
      </c>
      <c r="O2343" s="17">
        <f t="shared" si="182"/>
        <v>1.3416162790697685</v>
      </c>
      <c r="P2343" s="17">
        <f t="shared" si="183"/>
        <v>3.1796097560975594</v>
      </c>
      <c r="Q2343" s="5">
        <v>3.86</v>
      </c>
      <c r="R2343" s="9">
        <v>13.61</v>
      </c>
      <c r="S2343" s="9">
        <v>2.4</v>
      </c>
      <c r="T2343" s="9">
        <v>1615.0040200000001</v>
      </c>
      <c r="U2343" s="9">
        <v>1508.6</v>
      </c>
      <c r="V2343" s="45">
        <f t="shared" si="184"/>
        <v>7.0531631976667231E-2</v>
      </c>
      <c r="W2343" s="12">
        <v>22.77</v>
      </c>
      <c r="X2343" s="12">
        <v>0.73</v>
      </c>
      <c r="Y2343" s="12">
        <v>20210802</v>
      </c>
    </row>
    <row r="2344" spans="1:25" x14ac:dyDescent="0.45">
      <c r="A2344" s="3" t="s">
        <v>425</v>
      </c>
      <c r="B2344" s="3" t="s">
        <v>360</v>
      </c>
      <c r="C2344" s="6" t="s">
        <v>518</v>
      </c>
      <c r="D2344" s="6" t="s">
        <v>175</v>
      </c>
      <c r="E2344" s="6" t="s">
        <v>224</v>
      </c>
      <c r="F2344" s="6">
        <v>10300.879999999999</v>
      </c>
      <c r="G2344" s="2">
        <v>1.85</v>
      </c>
      <c r="H2344" s="2">
        <v>2.06</v>
      </c>
      <c r="I2344" s="2">
        <v>2.2799999999999998</v>
      </c>
      <c r="J2344" s="47">
        <f t="shared" si="180"/>
        <v>0.11351351351351349</v>
      </c>
      <c r="K2344" s="47">
        <f t="shared" si="181"/>
        <v>0.10679611650485425</v>
      </c>
      <c r="L2344" s="8">
        <v>13.46</v>
      </c>
      <c r="M2344" s="8">
        <v>12.24</v>
      </c>
      <c r="N2344" s="8">
        <v>11.06</v>
      </c>
      <c r="O2344" s="17">
        <f t="shared" si="182"/>
        <v>1.0782857142857145</v>
      </c>
      <c r="P2344" s="17">
        <f t="shared" si="183"/>
        <v>1.0356181818181831</v>
      </c>
      <c r="R2344" s="9">
        <v>775.45</v>
      </c>
      <c r="S2344" s="9">
        <v>-2.4700000000000002</v>
      </c>
      <c r="T2344" s="9">
        <v>5119.4750899999999</v>
      </c>
      <c r="U2344" s="9">
        <v>4835</v>
      </c>
      <c r="V2344" s="45">
        <f t="shared" si="184"/>
        <v>5.8836626680454994E-2</v>
      </c>
      <c r="W2344" s="12">
        <v>-2.2200000000000002</v>
      </c>
      <c r="X2344" s="12">
        <v>3.73</v>
      </c>
      <c r="Y2344" s="12">
        <v>20210803</v>
      </c>
    </row>
    <row r="2345" spans="1:25" x14ac:dyDescent="0.45">
      <c r="A2345" s="3" t="s">
        <v>361</v>
      </c>
      <c r="B2345" s="3" t="s">
        <v>362</v>
      </c>
      <c r="C2345" s="6" t="s">
        <v>519</v>
      </c>
      <c r="D2345" s="6" t="s">
        <v>189</v>
      </c>
      <c r="E2345" s="6" t="s">
        <v>236</v>
      </c>
      <c r="F2345" s="6">
        <v>7814.27</v>
      </c>
      <c r="G2345" s="2">
        <v>3.73</v>
      </c>
      <c r="H2345" s="2">
        <v>3.77</v>
      </c>
      <c r="I2345" s="2">
        <v>4.58</v>
      </c>
      <c r="J2345" s="47">
        <f t="shared" si="180"/>
        <v>1.0723860589812341E-2</v>
      </c>
      <c r="K2345" s="47">
        <f t="shared" si="181"/>
        <v>0.21485411140583555</v>
      </c>
      <c r="L2345" s="8">
        <v>42.27</v>
      </c>
      <c r="M2345" s="8">
        <v>32.64</v>
      </c>
      <c r="N2345" s="8">
        <v>26.87</v>
      </c>
      <c r="O2345" s="17">
        <f t="shared" si="182"/>
        <v>30.436799999999973</v>
      </c>
      <c r="P2345" s="17">
        <f t="shared" si="183"/>
        <v>1.2506160493827161</v>
      </c>
      <c r="Q2345" s="5">
        <v>2.42</v>
      </c>
      <c r="R2345" s="9">
        <v>9.32</v>
      </c>
      <c r="S2345" s="9">
        <v>6.8</v>
      </c>
      <c r="T2345" s="9">
        <v>2390.8820799999999</v>
      </c>
      <c r="U2345" s="9">
        <v>2495.67</v>
      </c>
      <c r="V2345" s="45">
        <f t="shared" si="184"/>
        <v>-4.1987891027259298E-2</v>
      </c>
      <c r="W2345" s="12">
        <v>26.83</v>
      </c>
      <c r="X2345" s="12">
        <v>0.53</v>
      </c>
      <c r="Y2345" s="12">
        <v>20210805</v>
      </c>
    </row>
    <row r="2346" spans="1:25" x14ac:dyDescent="0.45">
      <c r="A2346" s="3" t="s">
        <v>653</v>
      </c>
      <c r="B2346" s="3" t="s">
        <v>654</v>
      </c>
      <c r="C2346" s="6" t="s">
        <v>518</v>
      </c>
      <c r="D2346" s="6" t="s">
        <v>216</v>
      </c>
      <c r="E2346" s="6" t="s">
        <v>217</v>
      </c>
      <c r="F2346" s="6">
        <v>4923.7299999999996</v>
      </c>
      <c r="G2346" s="2">
        <v>1.57</v>
      </c>
      <c r="H2346" s="2">
        <v>1.62</v>
      </c>
      <c r="I2346" s="2">
        <v>2.23</v>
      </c>
      <c r="J2346" s="47">
        <f t="shared" si="180"/>
        <v>3.1847133757961811E-2</v>
      </c>
      <c r="K2346" s="47">
        <f t="shared" si="181"/>
        <v>0.37654320987654311</v>
      </c>
      <c r="L2346" s="8">
        <v>36.64</v>
      </c>
      <c r="M2346" s="8">
        <v>39.880000000000003</v>
      </c>
      <c r="N2346" s="8">
        <v>28.87</v>
      </c>
      <c r="O2346" s="17">
        <f t="shared" si="182"/>
        <v>12.52231999999999</v>
      </c>
      <c r="P2346" s="17">
        <f t="shared" si="183"/>
        <v>0.76671147540983631</v>
      </c>
      <c r="R2346" s="9">
        <v>40.49</v>
      </c>
      <c r="S2346" s="9">
        <v>8.89</v>
      </c>
      <c r="T2346" s="9">
        <v>1101.79504</v>
      </c>
      <c r="U2346" s="9">
        <v>974.2</v>
      </c>
      <c r="V2346" s="45">
        <f t="shared" si="184"/>
        <v>0.13097417368096892</v>
      </c>
      <c r="W2346" s="12">
        <v>121.74</v>
      </c>
      <c r="X2346" s="12">
        <v>0.74</v>
      </c>
      <c r="Y2346" s="12">
        <v>20210729</v>
      </c>
    </row>
    <row r="2347" spans="1:25" x14ac:dyDescent="0.45">
      <c r="A2347" s="3" t="s">
        <v>807</v>
      </c>
      <c r="B2347" s="3" t="s">
        <v>808</v>
      </c>
      <c r="C2347" s="6" t="s">
        <v>520</v>
      </c>
      <c r="D2347" s="6" t="s">
        <v>225</v>
      </c>
      <c r="E2347" s="6" t="s">
        <v>226</v>
      </c>
      <c r="F2347" s="6">
        <v>9355.31</v>
      </c>
      <c r="G2347" s="2">
        <v>2.62</v>
      </c>
      <c r="H2347" s="2">
        <v>2.69</v>
      </c>
      <c r="I2347" s="2">
        <v>2.85</v>
      </c>
      <c r="J2347" s="47">
        <f t="shared" si="180"/>
        <v>2.6717557251908334E-2</v>
      </c>
      <c r="K2347" s="47">
        <f t="shared" si="181"/>
        <v>5.9479553903345778E-2</v>
      </c>
      <c r="M2347" s="8">
        <v>14.45</v>
      </c>
      <c r="N2347" s="8">
        <v>13.64</v>
      </c>
      <c r="O2347" s="17">
        <f t="shared" si="182"/>
        <v>5.4084285714285842</v>
      </c>
      <c r="P2347" s="17">
        <f t="shared" si="183"/>
        <v>2.2932249999999983</v>
      </c>
      <c r="T2347" s="9">
        <v>3573.5400300000001</v>
      </c>
      <c r="U2347" s="9">
        <v>2878.52</v>
      </c>
      <c r="V2347" s="45">
        <f t="shared" si="184"/>
        <v>0.24145047802342876</v>
      </c>
      <c r="X2347" s="12">
        <v>1.51</v>
      </c>
      <c r="Y2347" s="12">
        <v>20210615</v>
      </c>
    </row>
    <row r="2348" spans="1:25" x14ac:dyDescent="0.45">
      <c r="A2348" s="3" t="s">
        <v>898</v>
      </c>
      <c r="B2348" s="3" t="s">
        <v>899</v>
      </c>
      <c r="C2348" s="6" t="s">
        <v>518</v>
      </c>
      <c r="D2348" s="6" t="s">
        <v>210</v>
      </c>
      <c r="E2348" s="6" t="s">
        <v>192</v>
      </c>
      <c r="F2348" s="6">
        <v>26994.21</v>
      </c>
      <c r="G2348" s="2">
        <v>1.24</v>
      </c>
      <c r="H2348" s="2">
        <v>3.6</v>
      </c>
      <c r="I2348" s="2">
        <v>1.78</v>
      </c>
      <c r="J2348" s="47">
        <f t="shared" si="180"/>
        <v>1.9032258064516132</v>
      </c>
      <c r="K2348" s="47">
        <f t="shared" si="181"/>
        <v>-0.50555555555555554</v>
      </c>
      <c r="L2348" s="8">
        <v>17.84</v>
      </c>
      <c r="M2348" s="8">
        <v>10.01</v>
      </c>
      <c r="N2348" s="8">
        <v>20.239999999999998</v>
      </c>
      <c r="O2348" s="17">
        <f t="shared" si="182"/>
        <v>5.2594915254237283E-2</v>
      </c>
      <c r="P2348" s="17">
        <f t="shared" si="183"/>
        <v>-0.40035164835164833</v>
      </c>
      <c r="R2348" s="9">
        <v>17.309999999999999</v>
      </c>
      <c r="S2348" s="9">
        <v>0.9</v>
      </c>
      <c r="T2348" s="9">
        <v>10222</v>
      </c>
      <c r="U2348" s="9">
        <v>7532</v>
      </c>
      <c r="V2348" s="45">
        <f t="shared" si="184"/>
        <v>0.35714285714285715</v>
      </c>
      <c r="W2348" s="12">
        <v>-2.15</v>
      </c>
      <c r="X2348" s="12">
        <v>1.89</v>
      </c>
      <c r="Y2348" s="12">
        <v>20210730</v>
      </c>
    </row>
    <row r="2349" spans="1:25" x14ac:dyDescent="0.45">
      <c r="A2349" s="3" t="s">
        <v>3967</v>
      </c>
      <c r="B2349" s="3" t="s">
        <v>3968</v>
      </c>
      <c r="C2349" s="6" t="s">
        <v>520</v>
      </c>
      <c r="D2349" s="6" t="s">
        <v>175</v>
      </c>
      <c r="E2349" s="6" t="s">
        <v>194</v>
      </c>
      <c r="F2349" s="6">
        <v>5090.22</v>
      </c>
      <c r="G2349" s="2">
        <v>0.56000000000000005</v>
      </c>
      <c r="H2349" s="2">
        <v>0.38</v>
      </c>
      <c r="I2349" s="2">
        <v>0.55000000000000004</v>
      </c>
      <c r="J2349" s="47">
        <f t="shared" si="180"/>
        <v>-0.32142857142857151</v>
      </c>
      <c r="K2349" s="47">
        <f t="shared" si="181"/>
        <v>0.44736842105263169</v>
      </c>
      <c r="M2349" s="8">
        <v>25.66</v>
      </c>
      <c r="N2349" s="8">
        <v>17.73</v>
      </c>
      <c r="O2349" s="17">
        <f t="shared" si="182"/>
        <v>-0.79831111111111086</v>
      </c>
      <c r="P2349" s="17">
        <f t="shared" si="183"/>
        <v>0.39631764705882344</v>
      </c>
      <c r="T2349" s="9">
        <v>7159.6201099999998</v>
      </c>
      <c r="U2349" s="9">
        <v>8581.89</v>
      </c>
      <c r="V2349" s="45">
        <f t="shared" si="184"/>
        <v>-0.16572921466017387</v>
      </c>
      <c r="X2349" s="12">
        <v>3.12</v>
      </c>
    </row>
    <row r="2350" spans="1:25" x14ac:dyDescent="0.45">
      <c r="A2350" s="3" t="s">
        <v>3969</v>
      </c>
      <c r="B2350" s="3" t="s">
        <v>3970</v>
      </c>
      <c r="C2350" s="6" t="s">
        <v>520</v>
      </c>
      <c r="D2350" s="6" t="s">
        <v>216</v>
      </c>
      <c r="E2350" s="6" t="s">
        <v>228</v>
      </c>
      <c r="F2350" s="6">
        <v>8626.9500000000007</v>
      </c>
      <c r="G2350" s="2">
        <v>-0.17</v>
      </c>
      <c r="H2350" s="2">
        <v>-0.05</v>
      </c>
      <c r="I2350" s="2">
        <v>0.08</v>
      </c>
      <c r="J2350" s="47">
        <f t="shared" si="180"/>
        <v>0.70588235294117652</v>
      </c>
      <c r="K2350" s="47">
        <f t="shared" si="181"/>
        <v>2.6</v>
      </c>
      <c r="N2350" s="8">
        <v>20.75</v>
      </c>
      <c r="O2350" s="17">
        <f t="shared" si="182"/>
        <v>0</v>
      </c>
      <c r="P2350" s="17">
        <f t="shared" si="183"/>
        <v>7.9807692307692302E-2</v>
      </c>
      <c r="T2350" s="9">
        <v>2411.1999500000002</v>
      </c>
      <c r="U2350" s="9">
        <v>4615.42</v>
      </c>
      <c r="V2350" s="45">
        <f t="shared" si="184"/>
        <v>-0.47757734940698787</v>
      </c>
      <c r="X2350" s="12">
        <v>0</v>
      </c>
    </row>
    <row r="2351" spans="1:25" x14ac:dyDescent="0.45">
      <c r="A2351" s="3" t="s">
        <v>364</v>
      </c>
      <c r="B2351" s="3" t="s">
        <v>365</v>
      </c>
      <c r="C2351" s="6" t="s">
        <v>519</v>
      </c>
      <c r="D2351" s="6" t="s">
        <v>216</v>
      </c>
      <c r="E2351" s="6" t="s">
        <v>228</v>
      </c>
      <c r="F2351" s="6">
        <v>14650.41</v>
      </c>
      <c r="G2351" s="2">
        <v>-19.21</v>
      </c>
      <c r="H2351" s="2">
        <v>-4.9800000000000004</v>
      </c>
      <c r="I2351" s="2">
        <v>1.6</v>
      </c>
      <c r="J2351" s="47">
        <f t="shared" si="180"/>
        <v>0.74076002082248826</v>
      </c>
      <c r="K2351" s="47">
        <f t="shared" si="181"/>
        <v>1.321285140562249</v>
      </c>
      <c r="N2351" s="8">
        <v>79.25</v>
      </c>
      <c r="O2351" s="17">
        <f t="shared" si="182"/>
        <v>0</v>
      </c>
      <c r="P2351" s="17">
        <f t="shared" si="183"/>
        <v>0.59979483282674773</v>
      </c>
      <c r="R2351" s="9">
        <v>-327.32</v>
      </c>
      <c r="S2351" s="9">
        <v>-8.85</v>
      </c>
      <c r="T2351" s="9">
        <v>4221.8881799999999</v>
      </c>
      <c r="U2351" s="9">
        <v>2095.86</v>
      </c>
      <c r="V2351" s="45">
        <f t="shared" si="184"/>
        <v>1.0143941770919811</v>
      </c>
      <c r="W2351" s="12">
        <v>-20.5</v>
      </c>
      <c r="X2351" s="12">
        <v>0</v>
      </c>
      <c r="Y2351" s="12">
        <v>20210803</v>
      </c>
    </row>
    <row r="2352" spans="1:25" x14ac:dyDescent="0.45">
      <c r="A2352" s="3" t="s">
        <v>809</v>
      </c>
      <c r="B2352" s="3" t="s">
        <v>810</v>
      </c>
      <c r="C2352" s="6" t="s">
        <v>518</v>
      </c>
      <c r="D2352" s="6" t="s">
        <v>90</v>
      </c>
      <c r="E2352" s="6" t="s">
        <v>304</v>
      </c>
      <c r="F2352" s="6">
        <v>7377.94</v>
      </c>
      <c r="G2352" s="2">
        <v>-5.19</v>
      </c>
      <c r="H2352" s="2">
        <v>7.2</v>
      </c>
      <c r="I2352" s="2">
        <v>1.45</v>
      </c>
      <c r="J2352" s="47">
        <f t="shared" si="180"/>
        <v>2.3872832369942194</v>
      </c>
      <c r="K2352" s="47">
        <f t="shared" si="181"/>
        <v>-0.79861111111111105</v>
      </c>
      <c r="M2352" s="8">
        <v>3.8</v>
      </c>
      <c r="N2352" s="8">
        <v>18.87</v>
      </c>
      <c r="O2352" s="17">
        <f t="shared" si="182"/>
        <v>1.5917675544794192E-2</v>
      </c>
      <c r="P2352" s="17">
        <f t="shared" si="183"/>
        <v>-0.2362852173913044</v>
      </c>
      <c r="Q2352" s="5">
        <v>0.48</v>
      </c>
      <c r="R2352" s="9">
        <v>-13.05</v>
      </c>
      <c r="S2352" s="9">
        <v>0.96</v>
      </c>
      <c r="T2352" s="9">
        <v>16678.01367</v>
      </c>
      <c r="U2352" s="9">
        <v>9741</v>
      </c>
      <c r="V2352" s="45">
        <f t="shared" si="184"/>
        <v>0.71214594702802592</v>
      </c>
      <c r="W2352" s="12">
        <v>18.68</v>
      </c>
      <c r="X2352" s="12">
        <v>0.15</v>
      </c>
      <c r="Y2352" s="12">
        <v>20210729</v>
      </c>
    </row>
    <row r="2353" spans="1:25" x14ac:dyDescent="0.45">
      <c r="A2353" s="3" t="s">
        <v>5056</v>
      </c>
      <c r="B2353" s="3" t="s">
        <v>5057</v>
      </c>
      <c r="C2353" s="6" t="s">
        <v>518</v>
      </c>
      <c r="D2353" s="6" t="s">
        <v>234</v>
      </c>
      <c r="E2353" s="6" t="s">
        <v>904</v>
      </c>
      <c r="F2353" s="6">
        <v>7072.27</v>
      </c>
      <c r="J2353" s="47" t="e">
        <f t="shared" si="180"/>
        <v>#DIV/0!</v>
      </c>
      <c r="K2353" s="47" t="e">
        <f t="shared" si="181"/>
        <v>#DIV/0!</v>
      </c>
      <c r="O2353" s="17" t="e">
        <f t="shared" si="182"/>
        <v>#DIV/0!</v>
      </c>
      <c r="P2353" s="17" t="e">
        <f t="shared" si="183"/>
        <v>#DIV/0!</v>
      </c>
      <c r="V2353" s="45" t="e">
        <f t="shared" si="184"/>
        <v>#DIV/0!</v>
      </c>
      <c r="X2353" s="12">
        <v>0.24</v>
      </c>
    </row>
    <row r="2354" spans="1:25" x14ac:dyDescent="0.45">
      <c r="A2354" s="3" t="s">
        <v>811</v>
      </c>
      <c r="B2354" s="3" t="s">
        <v>812</v>
      </c>
      <c r="C2354" s="6" t="s">
        <v>518</v>
      </c>
      <c r="D2354" s="6" t="s">
        <v>289</v>
      </c>
      <c r="E2354" s="6" t="s">
        <v>271</v>
      </c>
      <c r="F2354" s="6">
        <v>7361.83</v>
      </c>
      <c r="G2354" s="2">
        <v>1.31</v>
      </c>
      <c r="H2354" s="2">
        <v>7.36</v>
      </c>
      <c r="I2354" s="2">
        <v>8.2799999999999994</v>
      </c>
      <c r="J2354" s="47">
        <f t="shared" si="180"/>
        <v>4.6183206106870234</v>
      </c>
      <c r="K2354" s="47">
        <f t="shared" si="181"/>
        <v>0.12499999999999986</v>
      </c>
      <c r="L2354" s="8">
        <v>24.95</v>
      </c>
      <c r="M2354" s="8">
        <v>9.73</v>
      </c>
      <c r="N2354" s="8">
        <v>8.65</v>
      </c>
      <c r="O2354" s="17">
        <f t="shared" si="182"/>
        <v>2.1068264462809915E-2</v>
      </c>
      <c r="P2354" s="17">
        <f t="shared" si="183"/>
        <v>0.69200000000000084</v>
      </c>
      <c r="Q2354" s="5">
        <v>0.57999999999999996</v>
      </c>
      <c r="R2354" s="9">
        <v>17.850000000000001</v>
      </c>
      <c r="S2354" s="9">
        <v>9.31</v>
      </c>
      <c r="T2354" s="9">
        <v>2478.05395</v>
      </c>
      <c r="U2354" s="9">
        <v>1558.59</v>
      </c>
      <c r="V2354" s="45">
        <f t="shared" si="184"/>
        <v>0.58993317678157831</v>
      </c>
      <c r="W2354" s="12">
        <v>0.51</v>
      </c>
      <c r="X2354" s="12">
        <v>1.51</v>
      </c>
      <c r="Y2354" s="12">
        <v>20210804</v>
      </c>
    </row>
    <row r="2355" spans="1:25" x14ac:dyDescent="0.45">
      <c r="A2355" s="3" t="s">
        <v>367</v>
      </c>
      <c r="B2355" s="3" t="s">
        <v>368</v>
      </c>
      <c r="C2355" s="6" t="s">
        <v>519</v>
      </c>
      <c r="D2355" s="6" t="s">
        <v>327</v>
      </c>
      <c r="E2355" s="6" t="s">
        <v>321</v>
      </c>
      <c r="F2355" s="6">
        <v>37324.639999999999</v>
      </c>
      <c r="G2355" s="2">
        <v>2.79</v>
      </c>
      <c r="H2355" s="2">
        <v>2.98</v>
      </c>
      <c r="I2355" s="2">
        <v>3.17</v>
      </c>
      <c r="J2355" s="47">
        <f t="shared" si="180"/>
        <v>6.8100358422939045E-2</v>
      </c>
      <c r="K2355" s="47">
        <f t="shared" si="181"/>
        <v>6.3758389261744944E-2</v>
      </c>
      <c r="L2355" s="8">
        <v>24</v>
      </c>
      <c r="M2355" s="8">
        <v>23.24</v>
      </c>
      <c r="N2355" s="8">
        <v>21.85</v>
      </c>
      <c r="O2355" s="17">
        <f t="shared" si="182"/>
        <v>3.41261052631579</v>
      </c>
      <c r="P2355" s="17">
        <f t="shared" si="183"/>
        <v>3.4270000000000014</v>
      </c>
      <c r="Q2355" s="5">
        <v>3.81</v>
      </c>
      <c r="R2355" s="9">
        <v>10.91</v>
      </c>
      <c r="S2355" s="9">
        <v>1.1200000000000001</v>
      </c>
      <c r="T2355" s="9">
        <v>12628.69628</v>
      </c>
      <c r="U2355" s="9">
        <v>11526</v>
      </c>
      <c r="V2355" s="45">
        <f t="shared" si="184"/>
        <v>9.5670334895019971E-2</v>
      </c>
      <c r="W2355" s="12">
        <v>9.84</v>
      </c>
      <c r="X2355" s="12">
        <v>2.64</v>
      </c>
      <c r="Y2355" s="12">
        <v>20210729</v>
      </c>
    </row>
    <row r="2356" spans="1:25" x14ac:dyDescent="0.45">
      <c r="A2356" s="3" t="s">
        <v>5058</v>
      </c>
      <c r="B2356" s="3" t="s">
        <v>5059</v>
      </c>
      <c r="C2356" s="6" t="s">
        <v>518</v>
      </c>
      <c r="D2356" s="6" t="s">
        <v>234</v>
      </c>
      <c r="E2356" s="6" t="s">
        <v>904</v>
      </c>
      <c r="F2356" s="6">
        <v>9842.2099999999991</v>
      </c>
      <c r="J2356" s="47" t="e">
        <f t="shared" si="180"/>
        <v>#DIV/0!</v>
      </c>
      <c r="K2356" s="47" t="e">
        <f t="shared" si="181"/>
        <v>#DIV/0!</v>
      </c>
      <c r="O2356" s="17" t="e">
        <f t="shared" si="182"/>
        <v>#DIV/0!</v>
      </c>
      <c r="P2356" s="17" t="e">
        <f t="shared" si="183"/>
        <v>#DIV/0!</v>
      </c>
      <c r="V2356" s="45" t="e">
        <f t="shared" si="184"/>
        <v>#DIV/0!</v>
      </c>
      <c r="X2356" s="12">
        <v>1.51</v>
      </c>
    </row>
    <row r="2357" spans="1:25" x14ac:dyDescent="0.45">
      <c r="A2357" s="3" t="s">
        <v>5060</v>
      </c>
      <c r="B2357" s="3" t="s">
        <v>5061</v>
      </c>
      <c r="C2357" s="6" t="s">
        <v>518</v>
      </c>
      <c r="D2357" s="6" t="s">
        <v>234</v>
      </c>
      <c r="E2357" s="6" t="s">
        <v>904</v>
      </c>
      <c r="F2357" s="6">
        <v>45279.9</v>
      </c>
      <c r="J2357" s="47" t="e">
        <f t="shared" si="180"/>
        <v>#DIV/0!</v>
      </c>
      <c r="K2357" s="47" t="e">
        <f t="shared" si="181"/>
        <v>#DIV/0!</v>
      </c>
      <c r="O2357" s="17" t="e">
        <f t="shared" si="182"/>
        <v>#DIV/0!</v>
      </c>
      <c r="P2357" s="17" t="e">
        <f t="shared" si="183"/>
        <v>#DIV/0!</v>
      </c>
      <c r="V2357" s="45" t="e">
        <f t="shared" si="184"/>
        <v>#DIV/0!</v>
      </c>
      <c r="X2357" s="12">
        <v>1.56</v>
      </c>
    </row>
    <row r="2358" spans="1:25" x14ac:dyDescent="0.45">
      <c r="A2358" s="3" t="s">
        <v>369</v>
      </c>
      <c r="B2358" s="3" t="s">
        <v>370</v>
      </c>
      <c r="C2358" s="6" t="s">
        <v>519</v>
      </c>
      <c r="D2358" s="6" t="s">
        <v>189</v>
      </c>
      <c r="E2358" s="6" t="s">
        <v>301</v>
      </c>
      <c r="F2358" s="6">
        <v>30961.09</v>
      </c>
      <c r="G2358" s="2">
        <v>3</v>
      </c>
      <c r="H2358" s="2">
        <v>3.54</v>
      </c>
      <c r="I2358" s="2">
        <v>4.03</v>
      </c>
      <c r="J2358" s="47">
        <f t="shared" si="180"/>
        <v>0.18000000000000002</v>
      </c>
      <c r="K2358" s="47">
        <f t="shared" si="181"/>
        <v>0.13841807909604525</v>
      </c>
      <c r="L2358" s="8">
        <v>41.02</v>
      </c>
      <c r="M2358" s="8">
        <v>35.61</v>
      </c>
      <c r="N2358" s="8">
        <v>31.29</v>
      </c>
      <c r="O2358" s="17">
        <f t="shared" si="182"/>
        <v>1.9783333333333328</v>
      </c>
      <c r="P2358" s="17">
        <f t="shared" si="183"/>
        <v>2.2605428571428559</v>
      </c>
      <c r="R2358" s="9">
        <v>29.7</v>
      </c>
      <c r="S2358" s="9">
        <v>8.75</v>
      </c>
      <c r="T2358" s="9">
        <v>3582.4560499999998</v>
      </c>
      <c r="U2358" s="9">
        <v>3147.6</v>
      </c>
      <c r="V2358" s="45">
        <f t="shared" si="184"/>
        <v>0.13815480048290757</v>
      </c>
      <c r="W2358" s="12">
        <v>9.33</v>
      </c>
      <c r="X2358" s="12">
        <v>0</v>
      </c>
      <c r="Y2358" s="12">
        <v>20210729</v>
      </c>
    </row>
    <row r="2359" spans="1:25" x14ac:dyDescent="0.45">
      <c r="A2359" s="3" t="s">
        <v>584</v>
      </c>
      <c r="B2359" s="3" t="s">
        <v>585</v>
      </c>
      <c r="C2359" s="6" t="s">
        <v>519</v>
      </c>
      <c r="D2359" s="6" t="s">
        <v>279</v>
      </c>
      <c r="E2359" s="6" t="s">
        <v>256</v>
      </c>
      <c r="F2359" s="6">
        <v>7679.08</v>
      </c>
      <c r="G2359" s="2">
        <v>-2.62</v>
      </c>
      <c r="H2359" s="2">
        <v>-3.57</v>
      </c>
      <c r="I2359" s="2">
        <v>-2.81</v>
      </c>
      <c r="J2359" s="47">
        <f t="shared" si="180"/>
        <v>-0.36259541984732813</v>
      </c>
      <c r="K2359" s="47">
        <f t="shared" si="181"/>
        <v>0.21288515406162459</v>
      </c>
      <c r="O2359" s="17">
        <f t="shared" si="182"/>
        <v>0</v>
      </c>
      <c r="P2359" s="17">
        <f t="shared" si="183"/>
        <v>0</v>
      </c>
      <c r="R2359" s="9">
        <v>-23.81</v>
      </c>
      <c r="S2359" s="9">
        <v>51.37</v>
      </c>
      <c r="T2359" s="9">
        <v>141.18199999999999</v>
      </c>
      <c r="U2359" s="9">
        <v>92.52</v>
      </c>
      <c r="V2359" s="45">
        <f t="shared" si="184"/>
        <v>0.52596195417207081</v>
      </c>
      <c r="W2359" s="12">
        <v>7.23</v>
      </c>
      <c r="X2359" s="12">
        <v>0</v>
      </c>
      <c r="Y2359" s="12">
        <v>20210805</v>
      </c>
    </row>
    <row r="2360" spans="1:25" x14ac:dyDescent="0.45">
      <c r="A2360" s="3" t="s">
        <v>5062</v>
      </c>
      <c r="B2360" s="3" t="s">
        <v>5063</v>
      </c>
      <c r="C2360" s="6" t="s">
        <v>518</v>
      </c>
      <c r="D2360" s="6" t="s">
        <v>234</v>
      </c>
      <c r="E2360" s="6" t="s">
        <v>904</v>
      </c>
      <c r="F2360" s="6">
        <v>11269.19</v>
      </c>
      <c r="J2360" s="47" t="e">
        <f t="shared" si="180"/>
        <v>#DIV/0!</v>
      </c>
      <c r="K2360" s="47" t="e">
        <f t="shared" si="181"/>
        <v>#DIV/0!</v>
      </c>
      <c r="O2360" s="17" t="e">
        <f t="shared" si="182"/>
        <v>#DIV/0!</v>
      </c>
      <c r="P2360" s="17" t="e">
        <f t="shared" si="183"/>
        <v>#DIV/0!</v>
      </c>
      <c r="V2360" s="45" t="e">
        <f t="shared" si="184"/>
        <v>#DIV/0!</v>
      </c>
      <c r="X2360" s="12">
        <v>2.99</v>
      </c>
    </row>
    <row r="2361" spans="1:25" x14ac:dyDescent="0.45">
      <c r="A2361" s="3" t="s">
        <v>5064</v>
      </c>
      <c r="B2361" s="3" t="s">
        <v>5065</v>
      </c>
      <c r="C2361" s="6" t="s">
        <v>518</v>
      </c>
      <c r="D2361" s="6" t="s">
        <v>234</v>
      </c>
      <c r="E2361" s="6" t="s">
        <v>904</v>
      </c>
      <c r="F2361" s="6">
        <v>19417.849999999999</v>
      </c>
      <c r="J2361" s="47" t="e">
        <f t="shared" si="180"/>
        <v>#DIV/0!</v>
      </c>
      <c r="K2361" s="47" t="e">
        <f t="shared" si="181"/>
        <v>#DIV/0!</v>
      </c>
      <c r="O2361" s="17" t="e">
        <f t="shared" si="182"/>
        <v>#DIV/0!</v>
      </c>
      <c r="P2361" s="17" t="e">
        <f t="shared" si="183"/>
        <v>#DIV/0!</v>
      </c>
      <c r="V2361" s="45" t="e">
        <f t="shared" si="184"/>
        <v>#DIV/0!</v>
      </c>
      <c r="X2361" s="12">
        <v>0.68</v>
      </c>
    </row>
    <row r="2362" spans="1:25" x14ac:dyDescent="0.45">
      <c r="A2362" s="3" t="s">
        <v>3971</v>
      </c>
      <c r="B2362" s="3" t="s">
        <v>3972</v>
      </c>
      <c r="C2362" s="6" t="s">
        <v>519</v>
      </c>
      <c r="D2362" s="6" t="s">
        <v>189</v>
      </c>
      <c r="E2362" s="6" t="s">
        <v>248</v>
      </c>
      <c r="F2362" s="6">
        <v>17929.080000000002</v>
      </c>
      <c r="G2362" s="2">
        <v>-0.13</v>
      </c>
      <c r="H2362" s="2">
        <v>-0.11</v>
      </c>
      <c r="I2362" s="2">
        <v>-0.1</v>
      </c>
      <c r="J2362" s="47">
        <f t="shared" si="180"/>
        <v>0.15384615384615388</v>
      </c>
      <c r="K2362" s="47">
        <f t="shared" si="181"/>
        <v>9.090909090909087E-2</v>
      </c>
      <c r="O2362" s="17">
        <f t="shared" si="182"/>
        <v>0</v>
      </c>
      <c r="P2362" s="17">
        <f t="shared" si="183"/>
        <v>0</v>
      </c>
      <c r="T2362" s="9">
        <v>983.09802000000002</v>
      </c>
      <c r="U2362" s="9">
        <v>763.52</v>
      </c>
      <c r="V2362" s="45">
        <f t="shared" si="184"/>
        <v>0.28758646793797155</v>
      </c>
      <c r="W2362" s="12">
        <v>133.33000000000001</v>
      </c>
      <c r="X2362" s="12">
        <v>0</v>
      </c>
      <c r="Y2362" s="12">
        <v>20210721</v>
      </c>
    </row>
    <row r="2363" spans="1:25" x14ac:dyDescent="0.45">
      <c r="A2363" s="3" t="s">
        <v>655</v>
      </c>
      <c r="B2363" s="3" t="s">
        <v>656</v>
      </c>
      <c r="C2363" s="6" t="s">
        <v>520</v>
      </c>
      <c r="D2363" s="6" t="s">
        <v>327</v>
      </c>
      <c r="E2363" s="6" t="s">
        <v>354</v>
      </c>
      <c r="F2363" s="6">
        <v>20778.22</v>
      </c>
      <c r="G2363" s="2">
        <v>3.28</v>
      </c>
      <c r="H2363" s="2">
        <v>3.87</v>
      </c>
      <c r="I2363" s="2">
        <v>4.38</v>
      </c>
      <c r="J2363" s="47">
        <f t="shared" si="180"/>
        <v>0.17987804878048791</v>
      </c>
      <c r="K2363" s="47">
        <f t="shared" si="181"/>
        <v>0.13178294573643404</v>
      </c>
      <c r="M2363" s="8">
        <v>19.03</v>
      </c>
      <c r="N2363" s="8">
        <v>16.809999999999999</v>
      </c>
      <c r="O2363" s="17">
        <f t="shared" si="182"/>
        <v>1.0579389830508468</v>
      </c>
      <c r="P2363" s="17">
        <f t="shared" si="183"/>
        <v>1.2755823529411769</v>
      </c>
      <c r="T2363" s="9">
        <v>13238.12011</v>
      </c>
      <c r="U2363" s="9">
        <v>10155.48</v>
      </c>
      <c r="V2363" s="45">
        <f t="shared" si="184"/>
        <v>0.30354450109694475</v>
      </c>
      <c r="X2363" s="12">
        <v>1.4</v>
      </c>
    </row>
    <row r="2364" spans="1:25" x14ac:dyDescent="0.45">
      <c r="A2364" s="3" t="s">
        <v>371</v>
      </c>
      <c r="B2364" s="3" t="s">
        <v>372</v>
      </c>
      <c r="C2364" s="6" t="s">
        <v>518</v>
      </c>
      <c r="D2364" s="6" t="s">
        <v>289</v>
      </c>
      <c r="E2364" s="6" t="s">
        <v>275</v>
      </c>
      <c r="F2364" s="6">
        <v>265231.19</v>
      </c>
      <c r="G2364" s="2">
        <v>-0.32</v>
      </c>
      <c r="H2364" s="2">
        <v>3.73</v>
      </c>
      <c r="I2364" s="2">
        <v>4.21</v>
      </c>
      <c r="J2364" s="47">
        <f t="shared" si="180"/>
        <v>12.65625</v>
      </c>
      <c r="K2364" s="47">
        <f t="shared" si="181"/>
        <v>0.12868632707774799</v>
      </c>
      <c r="M2364" s="8">
        <v>16.809999999999999</v>
      </c>
      <c r="N2364" s="8">
        <v>14.87</v>
      </c>
      <c r="O2364" s="17">
        <f t="shared" si="182"/>
        <v>1.3281975308641975E-2</v>
      </c>
      <c r="P2364" s="17">
        <f t="shared" si="183"/>
        <v>1.1555229166666667</v>
      </c>
      <c r="Q2364" s="5">
        <v>1.42</v>
      </c>
      <c r="R2364" s="9">
        <v>-0.48</v>
      </c>
      <c r="S2364" s="9">
        <v>-2.75</v>
      </c>
      <c r="T2364" s="9">
        <v>242725.75</v>
      </c>
      <c r="U2364" s="9">
        <v>181502</v>
      </c>
      <c r="V2364" s="45">
        <f t="shared" si="184"/>
        <v>0.33731721964496258</v>
      </c>
      <c r="W2364" s="12">
        <v>10.17</v>
      </c>
      <c r="X2364" s="12">
        <v>5.55</v>
      </c>
      <c r="Y2364" s="12">
        <v>20210730</v>
      </c>
    </row>
    <row r="2365" spans="1:25" x14ac:dyDescent="0.45">
      <c r="A2365" s="3" t="s">
        <v>586</v>
      </c>
      <c r="B2365" s="3" t="s">
        <v>587</v>
      </c>
      <c r="C2365" s="6" t="s">
        <v>519</v>
      </c>
      <c r="D2365" s="6" t="s">
        <v>234</v>
      </c>
      <c r="E2365" s="6" t="s">
        <v>221</v>
      </c>
      <c r="F2365" s="6">
        <v>23648.19</v>
      </c>
      <c r="G2365" s="2">
        <v>0.72</v>
      </c>
      <c r="H2365" s="2">
        <v>0.96</v>
      </c>
      <c r="I2365" s="2">
        <v>1.22</v>
      </c>
      <c r="J2365" s="47">
        <f t="shared" si="180"/>
        <v>0.33333333333333331</v>
      </c>
      <c r="K2365" s="47">
        <f t="shared" si="181"/>
        <v>0.27083333333333337</v>
      </c>
      <c r="L2365" s="8">
        <v>48.07</v>
      </c>
      <c r="M2365" s="8">
        <v>44.06</v>
      </c>
      <c r="N2365" s="8">
        <v>34.67</v>
      </c>
      <c r="O2365" s="17">
        <f t="shared" si="182"/>
        <v>1.3218000000000003</v>
      </c>
      <c r="P2365" s="17">
        <f t="shared" si="183"/>
        <v>1.2801230769230769</v>
      </c>
      <c r="R2365" s="9">
        <v>24.04</v>
      </c>
      <c r="T2365" s="9">
        <v>2246.56005</v>
      </c>
      <c r="U2365" s="9">
        <v>1582.6</v>
      </c>
      <c r="V2365" s="45">
        <f t="shared" si="184"/>
        <v>0.41953750157967912</v>
      </c>
      <c r="W2365" s="12">
        <v>30</v>
      </c>
      <c r="X2365" s="12">
        <v>0</v>
      </c>
      <c r="Y2365" s="12">
        <v>20210810</v>
      </c>
    </row>
    <row r="2366" spans="1:25" x14ac:dyDescent="0.45">
      <c r="A2366" s="3" t="s">
        <v>874</v>
      </c>
      <c r="B2366" s="3" t="s">
        <v>875</v>
      </c>
      <c r="C2366" s="6" t="s">
        <v>518</v>
      </c>
      <c r="D2366" s="6" t="s">
        <v>46</v>
      </c>
      <c r="E2366" s="6" t="s">
        <v>66</v>
      </c>
      <c r="F2366" s="6">
        <v>30071.599999999999</v>
      </c>
      <c r="G2366" s="2">
        <v>-0.85</v>
      </c>
      <c r="H2366" s="2">
        <v>-0.74</v>
      </c>
      <c r="I2366" s="2">
        <v>-0.31</v>
      </c>
      <c r="J2366" s="47">
        <f t="shared" si="180"/>
        <v>0.12941176470588234</v>
      </c>
      <c r="K2366" s="47">
        <f t="shared" si="181"/>
        <v>0.58108108108108103</v>
      </c>
      <c r="O2366" s="17">
        <f t="shared" si="182"/>
        <v>0</v>
      </c>
      <c r="P2366" s="17">
        <f t="shared" si="183"/>
        <v>0</v>
      </c>
      <c r="T2366" s="9">
        <v>2191.1000899999999</v>
      </c>
      <c r="U2366" s="9">
        <v>895.68</v>
      </c>
      <c r="V2366" s="45">
        <f t="shared" si="184"/>
        <v>1.4462978854055022</v>
      </c>
      <c r="X2366" s="12">
        <v>0</v>
      </c>
    </row>
    <row r="2367" spans="1:25" x14ac:dyDescent="0.45">
      <c r="A2367" s="3" t="s">
        <v>373</v>
      </c>
      <c r="B2367" s="3" t="s">
        <v>374</v>
      </c>
      <c r="C2367" s="6" t="s">
        <v>518</v>
      </c>
      <c r="D2367" s="6" t="s">
        <v>309</v>
      </c>
      <c r="E2367" s="6" t="s">
        <v>312</v>
      </c>
      <c r="F2367" s="6">
        <v>16074.03</v>
      </c>
      <c r="G2367" s="2">
        <v>1.43</v>
      </c>
      <c r="H2367" s="2">
        <v>6.14</v>
      </c>
      <c r="I2367" s="2">
        <v>6.98</v>
      </c>
      <c r="J2367" s="47">
        <f t="shared" si="180"/>
        <v>3.2937062937062938</v>
      </c>
      <c r="K2367" s="47">
        <f t="shared" si="181"/>
        <v>0.13680781758957666</v>
      </c>
      <c r="L2367" s="8">
        <v>50.31</v>
      </c>
      <c r="M2367" s="8">
        <v>23.44</v>
      </c>
      <c r="N2367" s="8">
        <v>20.62</v>
      </c>
      <c r="O2367" s="17">
        <f t="shared" si="182"/>
        <v>7.1166029723991511E-2</v>
      </c>
      <c r="P2367" s="17">
        <f t="shared" si="183"/>
        <v>1.5072238095238084</v>
      </c>
      <c r="Q2367" s="5">
        <v>1.95</v>
      </c>
      <c r="R2367" s="9">
        <v>12.79</v>
      </c>
      <c r="S2367" s="9">
        <v>3.95</v>
      </c>
      <c r="T2367" s="9">
        <v>19194.28125</v>
      </c>
      <c r="U2367" s="9">
        <v>16252</v>
      </c>
      <c r="V2367" s="45">
        <f t="shared" si="184"/>
        <v>0.18104117954713267</v>
      </c>
      <c r="W2367" s="12">
        <v>56.99</v>
      </c>
      <c r="X2367" s="12">
        <v>0</v>
      </c>
      <c r="Y2367" s="12">
        <v>20210729</v>
      </c>
    </row>
    <row r="2368" spans="1:25" x14ac:dyDescent="0.45">
      <c r="A2368" s="3" t="s">
        <v>375</v>
      </c>
      <c r="B2368" s="3" t="s">
        <v>376</v>
      </c>
      <c r="C2368" s="6" t="s">
        <v>519</v>
      </c>
      <c r="D2368" s="6" t="s">
        <v>279</v>
      </c>
      <c r="E2368" s="6" t="s">
        <v>257</v>
      </c>
      <c r="F2368" s="6">
        <v>14341.32</v>
      </c>
      <c r="G2368" s="2">
        <v>1.55</v>
      </c>
      <c r="H2368" s="2">
        <v>2.84</v>
      </c>
      <c r="I2368" s="2">
        <v>3.16</v>
      </c>
      <c r="J2368" s="47">
        <f t="shared" si="180"/>
        <v>0.83225806451612894</v>
      </c>
      <c r="K2368" s="47">
        <f t="shared" si="181"/>
        <v>0.11267605633802827</v>
      </c>
      <c r="L2368" s="8">
        <v>31.58</v>
      </c>
      <c r="M2368" s="8">
        <v>23.09</v>
      </c>
      <c r="N2368" s="8">
        <v>20.8</v>
      </c>
      <c r="O2368" s="17">
        <f t="shared" si="182"/>
        <v>0.27743798449612406</v>
      </c>
      <c r="P2368" s="17">
        <f t="shared" si="183"/>
        <v>1.8459999999999985</v>
      </c>
      <c r="Q2368" s="5">
        <v>1.07</v>
      </c>
      <c r="R2368" s="9">
        <v>9.4499999999999993</v>
      </c>
      <c r="S2368" s="9">
        <v>-0.28999999999999998</v>
      </c>
      <c r="T2368" s="9">
        <v>4217.8417900000004</v>
      </c>
      <c r="U2368" s="9">
        <v>3342</v>
      </c>
      <c r="V2368" s="45">
        <f t="shared" si="184"/>
        <v>0.2620711520047877</v>
      </c>
      <c r="W2368" s="12">
        <v>30.91</v>
      </c>
      <c r="X2368" s="12">
        <v>0.61</v>
      </c>
      <c r="Y2368" s="12">
        <v>20210805</v>
      </c>
    </row>
    <row r="2369" spans="1:25" x14ac:dyDescent="0.45">
      <c r="A2369" s="3" t="s">
        <v>3973</v>
      </c>
      <c r="B2369" s="3" t="s">
        <v>428</v>
      </c>
      <c r="C2369" s="6" t="s">
        <v>518</v>
      </c>
      <c r="D2369" s="6" t="s">
        <v>272</v>
      </c>
      <c r="E2369" s="6" t="s">
        <v>399</v>
      </c>
      <c r="F2369" s="6">
        <v>4829.3999999999996</v>
      </c>
      <c r="G2369" s="2">
        <v>1.43</v>
      </c>
      <c r="H2369" s="2">
        <v>1.91</v>
      </c>
      <c r="I2369" s="2">
        <v>2.58</v>
      </c>
      <c r="J2369" s="47">
        <f t="shared" si="180"/>
        <v>0.33566433566433568</v>
      </c>
      <c r="K2369" s="47">
        <f t="shared" si="181"/>
        <v>0.35078534031413622</v>
      </c>
      <c r="L2369" s="8">
        <v>17.59</v>
      </c>
      <c r="M2369" s="8">
        <v>13.14</v>
      </c>
      <c r="N2369" s="8">
        <v>9.77</v>
      </c>
      <c r="O2369" s="17">
        <f t="shared" si="182"/>
        <v>0.39146249999999999</v>
      </c>
      <c r="P2369" s="17">
        <f t="shared" si="183"/>
        <v>0.27851791044776109</v>
      </c>
      <c r="R2369" s="9">
        <v>5.65</v>
      </c>
      <c r="S2369" s="9">
        <v>-15.84</v>
      </c>
      <c r="T2369" s="9">
        <v>7223.8500899999999</v>
      </c>
      <c r="U2369" s="9">
        <v>7022</v>
      </c>
      <c r="V2369" s="45">
        <f t="shared" si="184"/>
        <v>2.8745384505838779E-2</v>
      </c>
      <c r="W2369" s="12">
        <v>-4.3499999999999996</v>
      </c>
      <c r="X2369" s="12">
        <v>3.97</v>
      </c>
      <c r="Y2369" s="12">
        <v>20210727</v>
      </c>
    </row>
    <row r="2370" spans="1:25" x14ac:dyDescent="0.45">
      <c r="A2370" s="3" t="s">
        <v>4429</v>
      </c>
      <c r="B2370" s="3" t="s">
        <v>4430</v>
      </c>
      <c r="C2370" s="6" t="s">
        <v>520</v>
      </c>
      <c r="D2370" s="6" t="s">
        <v>272</v>
      </c>
      <c r="E2370" s="6" t="s">
        <v>4022</v>
      </c>
      <c r="F2370" s="6">
        <v>15226.11</v>
      </c>
      <c r="H2370" s="2">
        <v>0.28000000000000003</v>
      </c>
      <c r="I2370" s="2">
        <v>0.28999999999999998</v>
      </c>
      <c r="J2370" s="47" t="e">
        <f t="shared" si="180"/>
        <v>#DIV/0!</v>
      </c>
      <c r="K2370" s="47">
        <f t="shared" si="181"/>
        <v>3.5714285714285546E-2</v>
      </c>
      <c r="M2370" s="8">
        <v>13.57</v>
      </c>
      <c r="N2370" s="8">
        <v>13.1</v>
      </c>
      <c r="O2370" s="17" t="e">
        <f t="shared" si="182"/>
        <v>#DIV/0!</v>
      </c>
      <c r="P2370" s="17">
        <f t="shared" si="183"/>
        <v>3.668000000000017</v>
      </c>
      <c r="T2370" s="9">
        <v>2750.8400799999999</v>
      </c>
      <c r="V2370" s="45" t="e">
        <f t="shared" si="184"/>
        <v>#DIV/0!</v>
      </c>
      <c r="X2370" s="12">
        <v>0</v>
      </c>
    </row>
    <row r="2371" spans="1:25" x14ac:dyDescent="0.45">
      <c r="A2371" s="3" t="s">
        <v>500</v>
      </c>
      <c r="B2371" s="3" t="s">
        <v>501</v>
      </c>
      <c r="C2371" s="6" t="s">
        <v>518</v>
      </c>
      <c r="D2371" s="6" t="s">
        <v>272</v>
      </c>
      <c r="E2371" s="6" t="s">
        <v>254</v>
      </c>
      <c r="F2371" s="6">
        <v>21325.919999999998</v>
      </c>
      <c r="G2371" s="2">
        <v>1.95</v>
      </c>
      <c r="H2371" s="2">
        <v>2.75</v>
      </c>
      <c r="I2371" s="2">
        <v>3.26</v>
      </c>
      <c r="J2371" s="47">
        <f t="shared" ref="J2371:J2434" si="185">(H2371-G2371)/ABS(G2371)</f>
        <v>0.4102564102564103</v>
      </c>
      <c r="K2371" s="47">
        <f t="shared" ref="K2371:K2434" si="186">(I2371-H2371)/ABS(H2371)</f>
        <v>0.18545454545454537</v>
      </c>
      <c r="L2371" s="8">
        <v>49.56</v>
      </c>
      <c r="M2371" s="8">
        <v>43.14</v>
      </c>
      <c r="N2371" s="8">
        <v>36.299999999999997</v>
      </c>
      <c r="O2371" s="17">
        <f t="shared" ref="O2371:O2434" si="187">M2371/(J2371*100)</f>
        <v>1.0515375</v>
      </c>
      <c r="P2371" s="17">
        <f t="shared" ref="P2371:P2434" si="188">N2371/(K2371*100)</f>
        <v>1.9573529411764714</v>
      </c>
      <c r="Q2371" s="5">
        <v>3.6</v>
      </c>
      <c r="R2371" s="9">
        <v>14.89</v>
      </c>
      <c r="S2371" s="9">
        <v>6.89</v>
      </c>
      <c r="T2371" s="9">
        <v>5306.4692299999997</v>
      </c>
      <c r="U2371" s="9">
        <v>4876</v>
      </c>
      <c r="V2371" s="45">
        <f t="shared" ref="V2371:V2434" si="189">(T2371-U2371)/U2371</f>
        <v>8.8283271123871965E-2</v>
      </c>
      <c r="W2371" s="12">
        <v>51.35</v>
      </c>
      <c r="X2371" s="12">
        <v>0.95</v>
      </c>
      <c r="Y2371" s="12">
        <v>20210729</v>
      </c>
    </row>
    <row r="2372" spans="1:25" x14ac:dyDescent="0.45">
      <c r="A2372" s="3" t="s">
        <v>407</v>
      </c>
      <c r="B2372" s="3" t="s">
        <v>408</v>
      </c>
      <c r="C2372" s="6" t="s">
        <v>518</v>
      </c>
      <c r="D2372" s="6" t="s">
        <v>234</v>
      </c>
      <c r="E2372" s="6" t="s">
        <v>244</v>
      </c>
      <c r="F2372" s="6">
        <v>9770.11</v>
      </c>
      <c r="G2372" s="2">
        <v>13.8</v>
      </c>
      <c r="H2372" s="2">
        <v>51</v>
      </c>
      <c r="I2372" s="2">
        <v>72.900000000000006</v>
      </c>
      <c r="J2372" s="47">
        <f t="shared" si="185"/>
        <v>2.6956521739130435</v>
      </c>
      <c r="K2372" s="47">
        <f t="shared" si="186"/>
        <v>0.42941176470588244</v>
      </c>
      <c r="L2372" s="8">
        <v>33.94</v>
      </c>
      <c r="M2372" s="8">
        <v>13.76</v>
      </c>
      <c r="N2372" s="8">
        <v>9.6199999999999992</v>
      </c>
      <c r="O2372" s="17">
        <f t="shared" si="187"/>
        <v>5.1045161290322577E-2</v>
      </c>
      <c r="P2372" s="17">
        <f t="shared" si="188"/>
        <v>0.2240273972602739</v>
      </c>
      <c r="R2372" s="9">
        <v>3.39</v>
      </c>
      <c r="S2372" s="9">
        <v>11.33</v>
      </c>
      <c r="U2372" s="9">
        <v>8896.7199999999993</v>
      </c>
      <c r="V2372" s="45">
        <f t="shared" si="189"/>
        <v>-1</v>
      </c>
      <c r="W2372" s="12">
        <v>110.97</v>
      </c>
      <c r="X2372" s="12">
        <v>0</v>
      </c>
      <c r="Y2372" s="12">
        <v>20210803</v>
      </c>
    </row>
    <row r="2373" spans="1:25" x14ac:dyDescent="0.45">
      <c r="A2373" s="3" t="s">
        <v>3974</v>
      </c>
      <c r="B2373" s="3" t="s">
        <v>678</v>
      </c>
      <c r="C2373" s="6" t="s">
        <v>520</v>
      </c>
      <c r="D2373" s="6" t="s">
        <v>303</v>
      </c>
      <c r="E2373" s="6" t="s">
        <v>245</v>
      </c>
      <c r="F2373" s="6">
        <v>22213.98</v>
      </c>
      <c r="G2373" s="2">
        <v>0.23</v>
      </c>
      <c r="H2373" s="2">
        <v>0.22</v>
      </c>
      <c r="I2373" s="2">
        <v>0.28000000000000003</v>
      </c>
      <c r="J2373" s="47">
        <f t="shared" si="185"/>
        <v>-4.3478260869565251E-2</v>
      </c>
      <c r="K2373" s="47">
        <f t="shared" si="186"/>
        <v>0.27272727272727282</v>
      </c>
      <c r="L2373" s="8">
        <v>30.7</v>
      </c>
      <c r="M2373" s="8">
        <v>42.84</v>
      </c>
      <c r="N2373" s="8">
        <v>33.49</v>
      </c>
      <c r="O2373" s="17">
        <f t="shared" si="187"/>
        <v>-9.853199999999994</v>
      </c>
      <c r="P2373" s="17">
        <f t="shared" si="188"/>
        <v>1.2279666666666664</v>
      </c>
      <c r="R2373" s="9">
        <v>7.3</v>
      </c>
      <c r="T2373" s="9">
        <v>13835.820309999999</v>
      </c>
      <c r="U2373" s="9">
        <v>9687.08</v>
      </c>
      <c r="V2373" s="45">
        <f t="shared" si="189"/>
        <v>0.42827563207901653</v>
      </c>
      <c r="X2373" s="12">
        <v>0</v>
      </c>
      <c r="Y2373" s="12">
        <v>20210610</v>
      </c>
    </row>
    <row r="2374" spans="1:25" x14ac:dyDescent="0.45">
      <c r="A2374" s="3" t="s">
        <v>588</v>
      </c>
      <c r="B2374" s="3" t="s">
        <v>589</v>
      </c>
      <c r="C2374" s="6" t="s">
        <v>520</v>
      </c>
      <c r="D2374" s="6" t="s">
        <v>90</v>
      </c>
      <c r="E2374" s="6" t="s">
        <v>443</v>
      </c>
      <c r="F2374" s="6">
        <v>15160.2</v>
      </c>
      <c r="G2374" s="2">
        <v>1.54</v>
      </c>
      <c r="H2374" s="2">
        <v>1.96</v>
      </c>
      <c r="I2374" s="2">
        <v>1.88</v>
      </c>
      <c r="J2374" s="47">
        <f t="shared" si="185"/>
        <v>0.27272727272727265</v>
      </c>
      <c r="K2374" s="47">
        <f t="shared" si="186"/>
        <v>-4.0816326530612283E-2</v>
      </c>
      <c r="L2374" s="8">
        <v>16.149999999999999</v>
      </c>
      <c r="M2374" s="8">
        <v>14.46</v>
      </c>
      <c r="N2374" s="8">
        <v>15.04</v>
      </c>
      <c r="O2374" s="17">
        <f t="shared" si="187"/>
        <v>0.53020000000000012</v>
      </c>
      <c r="P2374" s="17">
        <f t="shared" si="188"/>
        <v>-3.6847999999999965</v>
      </c>
      <c r="R2374" s="9">
        <v>11.48</v>
      </c>
      <c r="S2374" s="9">
        <v>1.81</v>
      </c>
      <c r="T2374" s="9">
        <v>13190.14453</v>
      </c>
      <c r="U2374" s="9">
        <v>11728</v>
      </c>
      <c r="V2374" s="45">
        <f t="shared" si="189"/>
        <v>0.12467125937926327</v>
      </c>
      <c r="W2374" s="12">
        <v>-24.53</v>
      </c>
      <c r="X2374" s="12">
        <v>3.42</v>
      </c>
      <c r="Y2374" s="12">
        <v>20210716</v>
      </c>
    </row>
    <row r="2375" spans="1:25" x14ac:dyDescent="0.45">
      <c r="A2375" s="3" t="s">
        <v>744</v>
      </c>
      <c r="B2375" s="3" t="s">
        <v>745</v>
      </c>
      <c r="C2375" s="6" t="s">
        <v>520</v>
      </c>
      <c r="D2375" s="6" t="s">
        <v>189</v>
      </c>
      <c r="E2375" s="6" t="s">
        <v>211</v>
      </c>
      <c r="F2375" s="6">
        <v>12591.79</v>
      </c>
      <c r="G2375" s="2">
        <v>1.49</v>
      </c>
      <c r="H2375" s="2">
        <v>2.4500000000000002</v>
      </c>
      <c r="I2375" s="2">
        <v>3.17</v>
      </c>
      <c r="J2375" s="47">
        <f t="shared" si="185"/>
        <v>0.644295302013423</v>
      </c>
      <c r="K2375" s="47">
        <f t="shared" si="186"/>
        <v>0.29387755102040802</v>
      </c>
      <c r="L2375" s="8">
        <v>71.540000000000006</v>
      </c>
      <c r="M2375" s="8">
        <v>38.54</v>
      </c>
      <c r="N2375" s="8">
        <v>29.79</v>
      </c>
      <c r="O2375" s="17">
        <f t="shared" si="187"/>
        <v>0.5981729166666665</v>
      </c>
      <c r="P2375" s="17">
        <f t="shared" si="188"/>
        <v>1.0136875000000005</v>
      </c>
      <c r="R2375" s="9">
        <v>7.99</v>
      </c>
      <c r="T2375" s="9">
        <v>4187.6201099999998</v>
      </c>
      <c r="U2375" s="9">
        <v>3773.41</v>
      </c>
      <c r="V2375" s="45">
        <f t="shared" si="189"/>
        <v>0.1097707670250516</v>
      </c>
      <c r="W2375" s="12">
        <v>50</v>
      </c>
      <c r="X2375" s="12">
        <v>0.35</v>
      </c>
      <c r="Y2375" s="12">
        <v>20210709</v>
      </c>
    </row>
    <row r="2376" spans="1:25" x14ac:dyDescent="0.45">
      <c r="A2376" s="3" t="s">
        <v>4431</v>
      </c>
      <c r="B2376" s="3" t="s">
        <v>4432</v>
      </c>
      <c r="C2376" s="6" t="s">
        <v>518</v>
      </c>
      <c r="D2376" s="6" t="s">
        <v>189</v>
      </c>
      <c r="E2376" s="6" t="s">
        <v>246</v>
      </c>
      <c r="F2376" s="6">
        <v>3061.12</v>
      </c>
      <c r="G2376" s="2">
        <v>-0.56999999999999995</v>
      </c>
      <c r="H2376" s="2">
        <v>-0.09</v>
      </c>
      <c r="I2376" s="2">
        <v>0.51</v>
      </c>
      <c r="J2376" s="47">
        <f t="shared" si="185"/>
        <v>0.8421052631578948</v>
      </c>
      <c r="K2376" s="47">
        <f t="shared" si="186"/>
        <v>6.666666666666667</v>
      </c>
      <c r="N2376" s="8">
        <v>80.12</v>
      </c>
      <c r="O2376" s="17">
        <f t="shared" si="187"/>
        <v>0</v>
      </c>
      <c r="P2376" s="17">
        <f t="shared" si="188"/>
        <v>0.12018</v>
      </c>
      <c r="R2376" s="9">
        <v>-1.19</v>
      </c>
      <c r="S2376" s="9">
        <v>7.35</v>
      </c>
      <c r="T2376" s="9">
        <v>1010.67297</v>
      </c>
      <c r="U2376" s="9">
        <v>872.93</v>
      </c>
      <c r="V2376" s="45">
        <f t="shared" si="189"/>
        <v>0.15779383226604657</v>
      </c>
      <c r="W2376" s="12">
        <v>69.23</v>
      </c>
      <c r="X2376" s="12">
        <v>0</v>
      </c>
      <c r="Y2376" s="12">
        <v>20210805</v>
      </c>
    </row>
    <row r="2377" spans="1:25" x14ac:dyDescent="0.45">
      <c r="A2377" s="3" t="s">
        <v>693</v>
      </c>
      <c r="B2377" s="3" t="s">
        <v>694</v>
      </c>
      <c r="C2377" s="6" t="s">
        <v>518</v>
      </c>
      <c r="D2377" s="6" t="s">
        <v>216</v>
      </c>
      <c r="E2377" s="6" t="s">
        <v>251</v>
      </c>
      <c r="F2377" s="6">
        <v>8266.93</v>
      </c>
      <c r="G2377" s="2">
        <v>1.76</v>
      </c>
      <c r="H2377" s="2">
        <v>2.36</v>
      </c>
      <c r="I2377" s="2">
        <v>2.76</v>
      </c>
      <c r="J2377" s="47">
        <f t="shared" si="185"/>
        <v>0.34090909090909083</v>
      </c>
      <c r="K2377" s="47">
        <f t="shared" si="186"/>
        <v>0.16949152542372878</v>
      </c>
      <c r="L2377" s="8">
        <v>44.28</v>
      </c>
      <c r="M2377" s="8">
        <v>40.119999999999997</v>
      </c>
      <c r="N2377" s="8">
        <v>34.29</v>
      </c>
      <c r="O2377" s="17">
        <f t="shared" si="187"/>
        <v>1.1768533333333338</v>
      </c>
      <c r="P2377" s="17">
        <f t="shared" si="188"/>
        <v>2.0231100000000004</v>
      </c>
      <c r="Q2377" s="5">
        <v>2.37</v>
      </c>
      <c r="R2377" s="9">
        <v>71.7</v>
      </c>
      <c r="T2377" s="9">
        <v>1337.23999</v>
      </c>
      <c r="U2377" s="9">
        <v>1091.72</v>
      </c>
      <c r="V2377" s="45">
        <f t="shared" si="189"/>
        <v>0.22489282050342579</v>
      </c>
      <c r="W2377" s="12">
        <v>72.73</v>
      </c>
      <c r="X2377" s="12">
        <v>0</v>
      </c>
      <c r="Y2377" s="12">
        <v>20210805</v>
      </c>
    </row>
    <row r="2378" spans="1:25" x14ac:dyDescent="0.45">
      <c r="A2378" s="3" t="s">
        <v>4433</v>
      </c>
      <c r="B2378" s="3" t="s">
        <v>4434</v>
      </c>
      <c r="C2378" s="6" t="s">
        <v>519</v>
      </c>
      <c r="D2378" s="6" t="s">
        <v>189</v>
      </c>
      <c r="E2378" s="6" t="s">
        <v>246</v>
      </c>
      <c r="F2378" s="6">
        <v>24274.05</v>
      </c>
      <c r="G2378" s="2">
        <v>0.93</v>
      </c>
      <c r="H2378" s="2">
        <v>0.95</v>
      </c>
      <c r="I2378" s="2">
        <v>1.56</v>
      </c>
      <c r="J2378" s="47">
        <f t="shared" si="185"/>
        <v>2.1505376344085919E-2</v>
      </c>
      <c r="K2378" s="47">
        <f t="shared" si="186"/>
        <v>0.64210526315789485</v>
      </c>
      <c r="L2378" s="8">
        <v>102.28</v>
      </c>
      <c r="M2378" s="8">
        <v>71.760000000000005</v>
      </c>
      <c r="N2378" s="8">
        <v>43.84</v>
      </c>
      <c r="O2378" s="17">
        <f t="shared" si="187"/>
        <v>33.368400000000165</v>
      </c>
      <c r="P2378" s="17">
        <f t="shared" si="188"/>
        <v>0.6827540983606557</v>
      </c>
      <c r="Q2378" s="5">
        <v>1.86</v>
      </c>
      <c r="R2378" s="9">
        <v>5.32</v>
      </c>
      <c r="S2378" s="9">
        <v>26.99</v>
      </c>
      <c r="T2378" s="9">
        <v>4421.89599</v>
      </c>
      <c r="U2378" s="9">
        <v>2955.6</v>
      </c>
      <c r="V2378" s="45">
        <f t="shared" si="189"/>
        <v>0.49610772431993511</v>
      </c>
      <c r="W2378" s="12">
        <v>-75.760000000000005</v>
      </c>
      <c r="X2378" s="12">
        <v>0</v>
      </c>
      <c r="Y2378" s="12">
        <v>20210727</v>
      </c>
    </row>
    <row r="2379" spans="1:25" x14ac:dyDescent="0.45">
      <c r="A2379" s="3" t="s">
        <v>876</v>
      </c>
      <c r="B2379" s="3" t="s">
        <v>877</v>
      </c>
      <c r="C2379" s="6" t="s">
        <v>518</v>
      </c>
      <c r="D2379" s="6" t="s">
        <v>225</v>
      </c>
      <c r="E2379" s="6" t="s">
        <v>206</v>
      </c>
      <c r="F2379" s="6">
        <v>4126.09</v>
      </c>
      <c r="G2379" s="2">
        <v>-0.38</v>
      </c>
      <c r="H2379" s="2">
        <v>-0.22</v>
      </c>
      <c r="I2379" s="2">
        <v>-0.1</v>
      </c>
      <c r="J2379" s="47">
        <f t="shared" si="185"/>
        <v>0.42105263157894735</v>
      </c>
      <c r="K2379" s="47">
        <f t="shared" si="186"/>
        <v>0.54545454545454541</v>
      </c>
      <c r="O2379" s="17">
        <f t="shared" si="187"/>
        <v>0</v>
      </c>
      <c r="P2379" s="17">
        <f t="shared" si="188"/>
        <v>0</v>
      </c>
      <c r="T2379" s="9">
        <v>1503.3900100000001</v>
      </c>
      <c r="U2379" s="9">
        <v>802.02</v>
      </c>
      <c r="V2379" s="45">
        <f t="shared" si="189"/>
        <v>0.87450438891798221</v>
      </c>
      <c r="W2379" s="12">
        <v>-200</v>
      </c>
      <c r="X2379" s="12">
        <v>0</v>
      </c>
    </row>
    <row r="2380" spans="1:25" x14ac:dyDescent="0.45">
      <c r="A2380" s="3" t="s">
        <v>878</v>
      </c>
      <c r="B2380" s="3" t="s">
        <v>879</v>
      </c>
      <c r="C2380" s="6" t="s">
        <v>520</v>
      </c>
      <c r="D2380" s="6" t="s">
        <v>216</v>
      </c>
      <c r="E2380" s="6" t="s">
        <v>302</v>
      </c>
      <c r="F2380" s="6">
        <v>3935.34</v>
      </c>
      <c r="G2380" s="2">
        <v>-0.3</v>
      </c>
      <c r="H2380" s="2">
        <v>1.2</v>
      </c>
      <c r="I2380" s="2">
        <v>1.6</v>
      </c>
      <c r="J2380" s="47">
        <f t="shared" si="185"/>
        <v>5</v>
      </c>
      <c r="K2380" s="47">
        <f t="shared" si="186"/>
        <v>0.33333333333333348</v>
      </c>
      <c r="M2380" s="8">
        <v>10.17</v>
      </c>
      <c r="N2380" s="8">
        <v>7.63</v>
      </c>
      <c r="O2380" s="17">
        <f t="shared" si="187"/>
        <v>2.034E-2</v>
      </c>
      <c r="P2380" s="17">
        <f t="shared" si="188"/>
        <v>0.22889999999999988</v>
      </c>
      <c r="T2380" s="9">
        <v>9911</v>
      </c>
      <c r="U2380" s="9">
        <v>10105.39</v>
      </c>
      <c r="V2380" s="45">
        <f t="shared" si="189"/>
        <v>-1.9236268961415583E-2</v>
      </c>
      <c r="X2380" s="12">
        <v>0</v>
      </c>
    </row>
    <row r="2381" spans="1:25" x14ac:dyDescent="0.45">
      <c r="A2381" s="3" t="s">
        <v>679</v>
      </c>
      <c r="B2381" s="3" t="s">
        <v>379</v>
      </c>
      <c r="C2381" s="6" t="s">
        <v>518</v>
      </c>
      <c r="D2381" s="6" t="s">
        <v>303</v>
      </c>
      <c r="E2381" s="6" t="s">
        <v>294</v>
      </c>
      <c r="F2381" s="6">
        <v>35012.32</v>
      </c>
      <c r="G2381" s="2">
        <v>3.47</v>
      </c>
      <c r="H2381" s="2">
        <v>4.1399999999999997</v>
      </c>
      <c r="I2381" s="2">
        <v>4.5999999999999996</v>
      </c>
      <c r="J2381" s="47">
        <f t="shared" si="185"/>
        <v>0.19308357348703153</v>
      </c>
      <c r="K2381" s="47">
        <f t="shared" si="186"/>
        <v>0.1111111111111111</v>
      </c>
      <c r="L2381" s="8">
        <v>29.02</v>
      </c>
      <c r="M2381" s="8">
        <v>28.4</v>
      </c>
      <c r="N2381" s="8">
        <v>25.57</v>
      </c>
      <c r="O2381" s="17">
        <f t="shared" si="187"/>
        <v>1.4708656716417923</v>
      </c>
      <c r="P2381" s="17">
        <f t="shared" si="188"/>
        <v>2.3012999999999999</v>
      </c>
      <c r="Q2381" s="5">
        <v>2.37</v>
      </c>
      <c r="R2381" s="9">
        <v>-15.62</v>
      </c>
      <c r="S2381" s="9">
        <v>-14.7</v>
      </c>
      <c r="T2381" s="9">
        <v>6370.36816</v>
      </c>
      <c r="U2381" s="9">
        <v>5652</v>
      </c>
      <c r="V2381" s="45">
        <f t="shared" si="189"/>
        <v>0.12709981599433828</v>
      </c>
      <c r="W2381" s="12">
        <v>25.88</v>
      </c>
      <c r="X2381" s="12">
        <v>1.7</v>
      </c>
      <c r="Y2381" s="12">
        <v>20210729</v>
      </c>
    </row>
    <row r="2382" spans="1:25" x14ac:dyDescent="0.45">
      <c r="A2382" s="3" t="s">
        <v>380</v>
      </c>
      <c r="B2382" s="3" t="s">
        <v>381</v>
      </c>
      <c r="C2382" s="6" t="s">
        <v>518</v>
      </c>
      <c r="D2382" s="6" t="s">
        <v>303</v>
      </c>
      <c r="E2382" s="6" t="s">
        <v>294</v>
      </c>
      <c r="F2382" s="6">
        <v>28853.07</v>
      </c>
      <c r="G2382" s="2">
        <v>1.51</v>
      </c>
      <c r="H2382" s="2">
        <v>1.95</v>
      </c>
      <c r="I2382" s="2">
        <v>2.35</v>
      </c>
      <c r="J2382" s="47">
        <f t="shared" si="185"/>
        <v>0.29139072847682118</v>
      </c>
      <c r="K2382" s="47">
        <f t="shared" si="186"/>
        <v>0.2051282051282052</v>
      </c>
      <c r="L2382" s="8">
        <v>36.1</v>
      </c>
      <c r="M2382" s="8">
        <v>35.270000000000003</v>
      </c>
      <c r="N2382" s="8">
        <v>29.22</v>
      </c>
      <c r="O2382" s="17">
        <f t="shared" si="187"/>
        <v>1.2104022727272727</v>
      </c>
      <c r="P2382" s="17">
        <f t="shared" si="188"/>
        <v>1.4244749999999993</v>
      </c>
      <c r="Q2382" s="5">
        <v>3.54</v>
      </c>
      <c r="R2382" s="9">
        <v>13.9</v>
      </c>
      <c r="S2382" s="9">
        <v>3.52</v>
      </c>
      <c r="T2382" s="9">
        <v>10606.860350000001</v>
      </c>
      <c r="U2382" s="9">
        <v>8263</v>
      </c>
      <c r="V2382" s="45">
        <f t="shared" si="189"/>
        <v>0.28365730969381592</v>
      </c>
      <c r="W2382" s="12">
        <v>31.71</v>
      </c>
      <c r="X2382" s="12">
        <v>0.7</v>
      </c>
      <c r="Y2382" s="12">
        <v>20210804</v>
      </c>
    </row>
    <row r="2383" spans="1:25" x14ac:dyDescent="0.45">
      <c r="A2383" s="3" t="s">
        <v>3975</v>
      </c>
      <c r="B2383" s="3" t="s">
        <v>402</v>
      </c>
      <c r="C2383" s="6" t="s">
        <v>519</v>
      </c>
      <c r="D2383" s="6" t="s">
        <v>189</v>
      </c>
      <c r="E2383" s="6" t="s">
        <v>247</v>
      </c>
      <c r="F2383" s="6">
        <v>5839.82</v>
      </c>
      <c r="G2383" s="2">
        <v>3.94</v>
      </c>
      <c r="H2383" s="2">
        <v>0.17</v>
      </c>
      <c r="I2383" s="2">
        <v>2.35</v>
      </c>
      <c r="J2383" s="47">
        <f t="shared" si="185"/>
        <v>-0.95685279187817263</v>
      </c>
      <c r="K2383" s="47">
        <f t="shared" si="186"/>
        <v>12.823529411764707</v>
      </c>
      <c r="L2383" s="8">
        <v>48.38</v>
      </c>
      <c r="M2383" s="8">
        <v>417.43</v>
      </c>
      <c r="N2383" s="8">
        <v>31.15</v>
      </c>
      <c r="O2383" s="17">
        <f t="shared" si="187"/>
        <v>-4.3625310344827586</v>
      </c>
      <c r="P2383" s="17">
        <f t="shared" si="188"/>
        <v>2.4291284403669722E-2</v>
      </c>
      <c r="R2383" s="9">
        <v>2.39</v>
      </c>
      <c r="S2383" s="9">
        <v>33.159999999999997</v>
      </c>
      <c r="T2383" s="9">
        <v>2895.54711</v>
      </c>
      <c r="U2383" s="9">
        <v>2027.73</v>
      </c>
      <c r="V2383" s="45">
        <f t="shared" si="189"/>
        <v>0.42797468597890248</v>
      </c>
      <c r="W2383" s="12">
        <v>23.08</v>
      </c>
      <c r="X2383" s="12">
        <v>2.78</v>
      </c>
      <c r="Y2383" s="12">
        <v>20210811</v>
      </c>
    </row>
    <row r="2384" spans="1:25" x14ac:dyDescent="0.45">
      <c r="A2384" s="3" t="s">
        <v>4435</v>
      </c>
      <c r="B2384" s="3" t="s">
        <v>4436</v>
      </c>
      <c r="C2384" s="6" t="s">
        <v>520</v>
      </c>
      <c r="D2384" s="6" t="s">
        <v>289</v>
      </c>
      <c r="E2384" s="6" t="s">
        <v>4064</v>
      </c>
      <c r="F2384" s="6">
        <v>6994.69</v>
      </c>
      <c r="G2384" s="2">
        <v>2.12</v>
      </c>
      <c r="H2384" s="2">
        <v>2.25</v>
      </c>
      <c r="I2384" s="2">
        <v>2.35</v>
      </c>
      <c r="J2384" s="47">
        <f t="shared" si="185"/>
        <v>6.1320754716981077E-2</v>
      </c>
      <c r="K2384" s="47">
        <f t="shared" si="186"/>
        <v>4.4444444444444481E-2</v>
      </c>
      <c r="M2384" s="8">
        <v>6.33</v>
      </c>
      <c r="N2384" s="8">
        <v>6.06</v>
      </c>
      <c r="O2384" s="17">
        <f t="shared" si="187"/>
        <v>1.032276923076924</v>
      </c>
      <c r="P2384" s="17">
        <f t="shared" si="188"/>
        <v>1.3634999999999988</v>
      </c>
      <c r="T2384" s="9">
        <v>10948.429679999999</v>
      </c>
      <c r="U2384" s="9">
        <v>10930.11</v>
      </c>
      <c r="V2384" s="45">
        <f t="shared" si="189"/>
        <v>1.6760746232195923E-3</v>
      </c>
      <c r="X2384" s="12">
        <v>4.82</v>
      </c>
      <c r="Y2384" s="12">
        <v>20210615</v>
      </c>
    </row>
    <row r="2385" spans="1:25" x14ac:dyDescent="0.45">
      <c r="A2385" s="3" t="s">
        <v>560</v>
      </c>
      <c r="B2385" s="3" t="s">
        <v>5066</v>
      </c>
      <c r="C2385" s="6" t="s">
        <v>519</v>
      </c>
      <c r="D2385" s="6" t="s">
        <v>234</v>
      </c>
      <c r="E2385" s="6" t="s">
        <v>284</v>
      </c>
      <c r="F2385" s="6">
        <v>27589.06</v>
      </c>
      <c r="J2385" s="47" t="e">
        <f t="shared" si="185"/>
        <v>#DIV/0!</v>
      </c>
      <c r="K2385" s="47" t="e">
        <f t="shared" si="186"/>
        <v>#DIV/0!</v>
      </c>
      <c r="L2385" s="8">
        <v>106.1</v>
      </c>
      <c r="O2385" s="17" t="e">
        <f t="shared" si="187"/>
        <v>#DIV/0!</v>
      </c>
      <c r="P2385" s="17" t="e">
        <f t="shared" si="188"/>
        <v>#DIV/0!</v>
      </c>
      <c r="R2385" s="9">
        <v>1.41</v>
      </c>
      <c r="S2385" s="9">
        <v>44.96</v>
      </c>
      <c r="T2385" s="9">
        <v>5587</v>
      </c>
      <c r="U2385" s="9">
        <v>3339.82</v>
      </c>
      <c r="V2385" s="45">
        <f t="shared" si="189"/>
        <v>0.67284464432214897</v>
      </c>
      <c r="X2385" s="12">
        <v>0</v>
      </c>
      <c r="Y2385" s="12">
        <v>20210805</v>
      </c>
    </row>
    <row r="2386" spans="1:25" x14ac:dyDescent="0.45">
      <c r="A2386" s="3" t="s">
        <v>382</v>
      </c>
      <c r="B2386" s="3" t="s">
        <v>383</v>
      </c>
      <c r="C2386" s="6" t="s">
        <v>518</v>
      </c>
      <c r="D2386" s="6" t="s">
        <v>279</v>
      </c>
      <c r="E2386" s="6" t="s">
        <v>264</v>
      </c>
      <c r="F2386" s="6">
        <v>32986.04</v>
      </c>
      <c r="G2386" s="2">
        <v>5.63</v>
      </c>
      <c r="H2386" s="2">
        <v>7.84</v>
      </c>
      <c r="I2386" s="2">
        <v>8.75</v>
      </c>
      <c r="J2386" s="47">
        <f t="shared" si="185"/>
        <v>0.3925399644760213</v>
      </c>
      <c r="K2386" s="47">
        <f t="shared" si="186"/>
        <v>0.11607142857142859</v>
      </c>
      <c r="L2386" s="8">
        <v>27.86</v>
      </c>
      <c r="M2386" s="8">
        <v>20.18</v>
      </c>
      <c r="N2386" s="8">
        <v>18.07</v>
      </c>
      <c r="O2386" s="17">
        <f t="shared" si="187"/>
        <v>0.51408778280542988</v>
      </c>
      <c r="P2386" s="17">
        <f t="shared" si="188"/>
        <v>1.5567999999999997</v>
      </c>
      <c r="Q2386" s="5">
        <v>2.2799999999999998</v>
      </c>
      <c r="R2386" s="9">
        <v>9.85</v>
      </c>
      <c r="S2386" s="9">
        <v>-1.4</v>
      </c>
      <c r="T2386" s="9">
        <v>8100.1948199999997</v>
      </c>
      <c r="U2386" s="9">
        <v>7024.5</v>
      </c>
      <c r="V2386" s="45">
        <f t="shared" si="189"/>
        <v>0.15313471706171253</v>
      </c>
      <c r="W2386" s="12">
        <v>13.25</v>
      </c>
      <c r="X2386" s="12">
        <v>0.61</v>
      </c>
      <c r="Y2386" s="12">
        <v>20210803</v>
      </c>
    </row>
    <row r="2387" spans="1:25" x14ac:dyDescent="0.45">
      <c r="A2387" s="3" t="s">
        <v>384</v>
      </c>
      <c r="B2387" s="3" t="s">
        <v>385</v>
      </c>
      <c r="C2387" s="6" t="s">
        <v>519</v>
      </c>
      <c r="D2387" s="6" t="s">
        <v>272</v>
      </c>
      <c r="E2387" s="6" t="s">
        <v>255</v>
      </c>
      <c r="F2387" s="6">
        <v>27041.91</v>
      </c>
      <c r="G2387" s="2">
        <v>12.14</v>
      </c>
      <c r="H2387" s="2">
        <v>17.079999999999998</v>
      </c>
      <c r="I2387" s="2">
        <v>18.36</v>
      </c>
      <c r="J2387" s="47">
        <f t="shared" si="185"/>
        <v>0.4069192751235583</v>
      </c>
      <c r="K2387" s="47">
        <f t="shared" si="186"/>
        <v>7.4941451990632388E-2</v>
      </c>
      <c r="L2387" s="8">
        <v>33.85</v>
      </c>
      <c r="M2387" s="8">
        <v>29.59</v>
      </c>
      <c r="N2387" s="8">
        <v>27.53</v>
      </c>
      <c r="O2387" s="17">
        <f t="shared" si="187"/>
        <v>0.72717125506072899</v>
      </c>
      <c r="P2387" s="17">
        <f t="shared" si="188"/>
        <v>3.6735343749999969</v>
      </c>
      <c r="R2387" s="9">
        <v>35.9</v>
      </c>
      <c r="S2387" s="9">
        <v>6.42</v>
      </c>
      <c r="T2387" s="9">
        <v>5286.2900300000001</v>
      </c>
      <c r="U2387" s="9">
        <v>4448</v>
      </c>
      <c r="V2387" s="45">
        <f t="shared" si="189"/>
        <v>0.18846448516187053</v>
      </c>
      <c r="W2387" s="12">
        <v>8.6199999999999992</v>
      </c>
      <c r="X2387" s="12">
        <v>0</v>
      </c>
      <c r="Y2387" s="12">
        <v>20210727</v>
      </c>
    </row>
    <row r="2388" spans="1:25" x14ac:dyDescent="0.45">
      <c r="A2388" s="3" t="s">
        <v>386</v>
      </c>
      <c r="B2388" s="3" t="s">
        <v>387</v>
      </c>
      <c r="C2388" s="6" t="s">
        <v>518</v>
      </c>
      <c r="D2388" s="6" t="s">
        <v>189</v>
      </c>
      <c r="E2388" s="6" t="s">
        <v>248</v>
      </c>
      <c r="F2388" s="6">
        <v>16195.69</v>
      </c>
      <c r="G2388" s="2">
        <v>0.56000000000000005</v>
      </c>
      <c r="H2388" s="2">
        <v>0.68</v>
      </c>
      <c r="I2388" s="2">
        <v>1</v>
      </c>
      <c r="J2388" s="47">
        <f t="shared" si="185"/>
        <v>0.21428571428571425</v>
      </c>
      <c r="K2388" s="47">
        <f t="shared" si="186"/>
        <v>0.47058823529411753</v>
      </c>
      <c r="L2388" s="8">
        <v>231.36</v>
      </c>
      <c r="M2388" s="8">
        <v>201.1</v>
      </c>
      <c r="N2388" s="8">
        <v>136.66999999999999</v>
      </c>
      <c r="O2388" s="17">
        <f t="shared" si="187"/>
        <v>9.3846666666666678</v>
      </c>
      <c r="P2388" s="17">
        <f t="shared" si="188"/>
        <v>2.9042375000000002</v>
      </c>
      <c r="Q2388" s="5">
        <v>4.1500000000000004</v>
      </c>
      <c r="R2388" s="9">
        <v>-27.25</v>
      </c>
      <c r="S2388" s="9">
        <v>35.97</v>
      </c>
      <c r="T2388" s="9">
        <v>1310.0880099999999</v>
      </c>
      <c r="U2388" s="9">
        <v>1029.56</v>
      </c>
      <c r="V2388" s="45">
        <f t="shared" si="189"/>
        <v>0.27247368778895842</v>
      </c>
      <c r="W2388" s="12">
        <v>41.67</v>
      </c>
      <c r="X2388" s="12">
        <v>0</v>
      </c>
      <c r="Y2388" s="12">
        <v>20210729</v>
      </c>
    </row>
    <row r="2389" spans="1:25" x14ac:dyDescent="0.45">
      <c r="A2389" s="3" t="s">
        <v>560</v>
      </c>
      <c r="B2389" s="3" t="s">
        <v>561</v>
      </c>
      <c r="C2389" s="6" t="s">
        <v>519</v>
      </c>
      <c r="D2389" s="6" t="s">
        <v>189</v>
      </c>
      <c r="E2389" s="6" t="s">
        <v>247</v>
      </c>
      <c r="F2389" s="6">
        <v>28183.439999999999</v>
      </c>
      <c r="G2389" s="2">
        <v>0.26</v>
      </c>
      <c r="H2389" s="2">
        <v>1.07</v>
      </c>
      <c r="I2389" s="2">
        <v>1.6</v>
      </c>
      <c r="J2389" s="47">
        <f t="shared" si="185"/>
        <v>3.1153846153846154</v>
      </c>
      <c r="K2389" s="47">
        <f t="shared" si="186"/>
        <v>0.49532710280373832</v>
      </c>
      <c r="L2389" s="8">
        <v>108.38</v>
      </c>
      <c r="M2389" s="8">
        <v>105.93</v>
      </c>
      <c r="N2389" s="8">
        <v>71</v>
      </c>
      <c r="O2389" s="17">
        <f t="shared" si="187"/>
        <v>0.34002222222222223</v>
      </c>
      <c r="P2389" s="17">
        <f t="shared" si="188"/>
        <v>1.4333962264150943</v>
      </c>
      <c r="Q2389" s="5">
        <v>6.46</v>
      </c>
      <c r="R2389" s="9">
        <v>1.41</v>
      </c>
      <c r="S2389" s="9">
        <v>44.96</v>
      </c>
      <c r="T2389" s="9">
        <v>5487.6362300000001</v>
      </c>
      <c r="U2389" s="9">
        <v>3339.82</v>
      </c>
      <c r="V2389" s="45">
        <f t="shared" si="189"/>
        <v>0.64309340922564684</v>
      </c>
      <c r="W2389" s="12">
        <v>83.33</v>
      </c>
      <c r="X2389" s="12">
        <v>0</v>
      </c>
      <c r="Y2389" s="12">
        <v>20210805</v>
      </c>
    </row>
    <row r="2390" spans="1:25" x14ac:dyDescent="0.45">
      <c r="A2390" s="3" t="s">
        <v>4437</v>
      </c>
      <c r="B2390" s="3" t="s">
        <v>4438</v>
      </c>
      <c r="C2390" s="6" t="s">
        <v>518</v>
      </c>
      <c r="D2390" s="6" t="s">
        <v>189</v>
      </c>
      <c r="E2390" s="6" t="s">
        <v>246</v>
      </c>
      <c r="F2390" s="6">
        <v>5935.11</v>
      </c>
      <c r="H2390" s="2">
        <v>-0.1</v>
      </c>
      <c r="I2390" s="2">
        <v>-0.04</v>
      </c>
      <c r="J2390" s="47" t="e">
        <f t="shared" si="185"/>
        <v>#DIV/0!</v>
      </c>
      <c r="K2390" s="47">
        <f t="shared" si="186"/>
        <v>0.6</v>
      </c>
      <c r="O2390" s="17" t="e">
        <f t="shared" si="187"/>
        <v>#DIV/0!</v>
      </c>
      <c r="P2390" s="17">
        <f t="shared" si="188"/>
        <v>0</v>
      </c>
      <c r="T2390" s="9">
        <v>468.91</v>
      </c>
      <c r="U2390" s="9">
        <v>207.23</v>
      </c>
      <c r="V2390" s="45">
        <f t="shared" si="189"/>
        <v>1.2627515321140765</v>
      </c>
      <c r="W2390" s="12">
        <v>-875</v>
      </c>
      <c r="X2390" s="12">
        <v>0</v>
      </c>
    </row>
    <row r="2391" spans="1:25" x14ac:dyDescent="0.45">
      <c r="A2391" s="3" t="s">
        <v>880</v>
      </c>
      <c r="B2391" s="3" t="s">
        <v>881</v>
      </c>
      <c r="C2391" s="6" t="s">
        <v>519</v>
      </c>
      <c r="D2391" s="6" t="s">
        <v>189</v>
      </c>
      <c r="E2391" s="6" t="s">
        <v>200</v>
      </c>
      <c r="F2391" s="6">
        <v>17564.23</v>
      </c>
      <c r="G2391" s="2">
        <v>0.33</v>
      </c>
      <c r="H2391" s="2">
        <v>0.5</v>
      </c>
      <c r="I2391" s="2">
        <v>0.64</v>
      </c>
      <c r="J2391" s="47">
        <f t="shared" si="185"/>
        <v>0.51515151515151503</v>
      </c>
      <c r="K2391" s="47">
        <f t="shared" si="186"/>
        <v>0.28000000000000003</v>
      </c>
      <c r="L2391" s="8">
        <v>104.37</v>
      </c>
      <c r="M2391" s="8">
        <v>89.99</v>
      </c>
      <c r="N2391" s="8">
        <v>70.540000000000006</v>
      </c>
      <c r="O2391" s="17">
        <f t="shared" si="187"/>
        <v>1.7468647058823532</v>
      </c>
      <c r="P2391" s="17">
        <f t="shared" si="188"/>
        <v>2.5192857142857141</v>
      </c>
      <c r="Q2391" s="5">
        <v>2.95</v>
      </c>
      <c r="R2391" s="9">
        <v>4.6500000000000004</v>
      </c>
      <c r="T2391" s="9">
        <v>674.57597999999996</v>
      </c>
      <c r="U2391" s="9">
        <v>476.2</v>
      </c>
      <c r="V2391" s="45">
        <f t="shared" si="189"/>
        <v>0.41658122637547246</v>
      </c>
      <c r="W2391" s="12">
        <v>18.18</v>
      </c>
      <c r="X2391" s="12">
        <v>0</v>
      </c>
      <c r="Y2391" s="12">
        <v>20210809</v>
      </c>
    </row>
    <row r="2392" spans="1:25" x14ac:dyDescent="0.45">
      <c r="A2392" s="3" t="s">
        <v>4439</v>
      </c>
      <c r="B2392" s="3" t="s">
        <v>4440</v>
      </c>
      <c r="C2392" s="6" t="s">
        <v>518</v>
      </c>
      <c r="D2392" s="6" t="s">
        <v>309</v>
      </c>
      <c r="E2392" s="6" t="s">
        <v>315</v>
      </c>
      <c r="F2392" s="6">
        <v>5035.8500000000004</v>
      </c>
      <c r="G2392" s="2">
        <v>5.16</v>
      </c>
      <c r="H2392" s="2">
        <v>17.39</v>
      </c>
      <c r="I2392" s="2">
        <v>6.27</v>
      </c>
      <c r="J2392" s="47">
        <f t="shared" si="185"/>
        <v>2.3701550387596901</v>
      </c>
      <c r="K2392" s="47">
        <f t="shared" si="186"/>
        <v>-0.63944795859689485</v>
      </c>
      <c r="M2392" s="8">
        <v>2.52</v>
      </c>
      <c r="N2392" s="8">
        <v>6.98</v>
      </c>
      <c r="O2392" s="17">
        <f t="shared" si="187"/>
        <v>1.0632215862632868E-2</v>
      </c>
      <c r="P2392" s="17">
        <f t="shared" si="188"/>
        <v>-0.10915665467625899</v>
      </c>
      <c r="T2392" s="9">
        <v>6962.2001899999996</v>
      </c>
      <c r="U2392" s="9">
        <v>3991.7</v>
      </c>
      <c r="V2392" s="45">
        <f t="shared" si="189"/>
        <v>0.74416919858706809</v>
      </c>
      <c r="W2392" s="12">
        <v>25.43</v>
      </c>
      <c r="X2392" s="12">
        <v>0</v>
      </c>
      <c r="Y2392" s="12">
        <v>20210818</v>
      </c>
    </row>
    <row r="2393" spans="1:25" x14ac:dyDescent="0.45">
      <c r="A2393" s="3" t="s">
        <v>562</v>
      </c>
      <c r="B2393" s="3" t="s">
        <v>388</v>
      </c>
      <c r="C2393" s="6" t="s">
        <v>519</v>
      </c>
      <c r="D2393" s="6" t="s">
        <v>234</v>
      </c>
      <c r="E2393" s="6" t="s">
        <v>181</v>
      </c>
      <c r="F2393" s="6">
        <v>9275.24</v>
      </c>
      <c r="G2393" s="2">
        <v>2.38</v>
      </c>
      <c r="H2393" s="2">
        <v>5.45</v>
      </c>
      <c r="I2393" s="2">
        <v>4.3099999999999996</v>
      </c>
      <c r="J2393" s="47">
        <f t="shared" si="185"/>
        <v>1.2899159663865547</v>
      </c>
      <c r="K2393" s="47">
        <f t="shared" si="186"/>
        <v>-0.2091743119266056</v>
      </c>
      <c r="L2393" s="8">
        <v>11.53</v>
      </c>
      <c r="M2393" s="8">
        <v>10.4</v>
      </c>
      <c r="N2393" s="8">
        <v>13.14</v>
      </c>
      <c r="O2393" s="17">
        <f t="shared" si="187"/>
        <v>8.0625407166123778E-2</v>
      </c>
      <c r="P2393" s="17">
        <f t="shared" si="188"/>
        <v>-0.62818421052631557</v>
      </c>
      <c r="Q2393" s="5">
        <v>0.72</v>
      </c>
      <c r="R2393" s="9">
        <v>11.77</v>
      </c>
      <c r="S2393" s="9">
        <v>5.78</v>
      </c>
      <c r="T2393" s="9">
        <v>2801.60302</v>
      </c>
      <c r="U2393" s="9">
        <v>2942</v>
      </c>
      <c r="V2393" s="45">
        <f t="shared" si="189"/>
        <v>-4.772161114887831E-2</v>
      </c>
      <c r="W2393" s="12">
        <v>65.22</v>
      </c>
      <c r="X2393" s="12">
        <v>2.4</v>
      </c>
      <c r="Y2393" s="12">
        <v>20210719</v>
      </c>
    </row>
    <row r="2394" spans="1:25" x14ac:dyDescent="0.45">
      <c r="A2394" s="3" t="s">
        <v>3976</v>
      </c>
      <c r="B2394" s="3" t="s">
        <v>3977</v>
      </c>
      <c r="C2394" s="6" t="s">
        <v>519</v>
      </c>
      <c r="D2394" s="6" t="s">
        <v>279</v>
      </c>
      <c r="E2394" s="6" t="s">
        <v>256</v>
      </c>
      <c r="F2394" s="6">
        <v>16261.66</v>
      </c>
      <c r="G2394" s="2">
        <v>-3.23</v>
      </c>
      <c r="H2394" s="2">
        <v>-5.78</v>
      </c>
      <c r="I2394" s="2">
        <v>-3.31</v>
      </c>
      <c r="J2394" s="47">
        <f t="shared" si="185"/>
        <v>-0.78947368421052644</v>
      </c>
      <c r="K2394" s="47">
        <f t="shared" si="186"/>
        <v>0.4273356401384083</v>
      </c>
      <c r="O2394" s="17">
        <f t="shared" si="187"/>
        <v>0</v>
      </c>
      <c r="P2394" s="17">
        <f t="shared" si="188"/>
        <v>0</v>
      </c>
      <c r="T2394" s="9">
        <v>112.19</v>
      </c>
      <c r="U2394" s="9">
        <v>48.96</v>
      </c>
      <c r="V2394" s="45">
        <f t="shared" si="189"/>
        <v>1.2914624183006536</v>
      </c>
      <c r="W2394" s="12">
        <v>-206.98</v>
      </c>
      <c r="X2394" s="12">
        <v>0</v>
      </c>
    </row>
    <row r="2395" spans="1:25" x14ac:dyDescent="0.45">
      <c r="A2395" s="3" t="s">
        <v>563</v>
      </c>
      <c r="B2395" s="3" t="s">
        <v>564</v>
      </c>
      <c r="C2395" s="6" t="s">
        <v>520</v>
      </c>
      <c r="D2395" s="6" t="s">
        <v>303</v>
      </c>
      <c r="E2395" s="6" t="s">
        <v>245</v>
      </c>
      <c r="F2395" s="6">
        <v>29887.99</v>
      </c>
      <c r="G2395" s="2">
        <v>0.5</v>
      </c>
      <c r="H2395" s="2">
        <v>0.54</v>
      </c>
      <c r="I2395" s="2">
        <v>0.68</v>
      </c>
      <c r="J2395" s="47">
        <f t="shared" si="185"/>
        <v>8.0000000000000071E-2</v>
      </c>
      <c r="K2395" s="47">
        <f t="shared" si="186"/>
        <v>0.25925925925925924</v>
      </c>
      <c r="L2395" s="8">
        <v>73.42</v>
      </c>
      <c r="M2395" s="8">
        <v>106.06</v>
      </c>
      <c r="N2395" s="8">
        <v>84.22</v>
      </c>
      <c r="O2395" s="17">
        <f t="shared" si="187"/>
        <v>13.257499999999988</v>
      </c>
      <c r="P2395" s="17">
        <f t="shared" si="188"/>
        <v>3.2484857142857146</v>
      </c>
      <c r="R2395" s="9">
        <v>17.03</v>
      </c>
      <c r="S2395" s="9">
        <v>20.49</v>
      </c>
      <c r="T2395" s="9">
        <v>12605.66992</v>
      </c>
      <c r="U2395" s="9">
        <v>9117.06</v>
      </c>
      <c r="V2395" s="45">
        <f t="shared" si="189"/>
        <v>0.38264637065018775</v>
      </c>
      <c r="X2395" s="12">
        <v>0</v>
      </c>
      <c r="Y2395" s="12">
        <v>20210810</v>
      </c>
    </row>
    <row r="2396" spans="1:25" x14ac:dyDescent="0.45">
      <c r="A2396" s="3" t="s">
        <v>746</v>
      </c>
      <c r="B2396" s="3" t="s">
        <v>747</v>
      </c>
      <c r="C2396" s="6" t="s">
        <v>519</v>
      </c>
      <c r="D2396" s="6" t="s">
        <v>189</v>
      </c>
      <c r="E2396" s="6" t="s">
        <v>248</v>
      </c>
      <c r="F2396" s="6">
        <v>97991.82</v>
      </c>
      <c r="G2396" s="2">
        <v>2.89</v>
      </c>
      <c r="H2396" s="2">
        <v>4.66</v>
      </c>
      <c r="I2396" s="2">
        <v>4.6500000000000004</v>
      </c>
      <c r="J2396" s="47">
        <f t="shared" si="185"/>
        <v>0.61245674740484424</v>
      </c>
      <c r="K2396" s="47">
        <f t="shared" si="186"/>
        <v>-2.1459227467810699E-3</v>
      </c>
      <c r="L2396" s="8">
        <v>74.97</v>
      </c>
      <c r="M2396" s="8">
        <v>71.66</v>
      </c>
      <c r="N2396" s="8">
        <v>71.8</v>
      </c>
      <c r="O2396" s="17">
        <f t="shared" si="187"/>
        <v>1.1700418079096044</v>
      </c>
      <c r="P2396" s="17">
        <f t="shared" si="188"/>
        <v>-334.58800000000718</v>
      </c>
      <c r="Q2396" s="5">
        <v>4.58</v>
      </c>
      <c r="R2396" s="9">
        <v>36.26</v>
      </c>
      <c r="T2396" s="9">
        <v>3986.0839799999999</v>
      </c>
      <c r="U2396" s="9">
        <v>2651.37</v>
      </c>
      <c r="V2396" s="45">
        <f t="shared" si="189"/>
        <v>0.50340540173570647</v>
      </c>
      <c r="W2396" s="12">
        <v>36.08</v>
      </c>
      <c r="X2396" s="12">
        <v>0</v>
      </c>
      <c r="Y2396" s="12">
        <v>20210830</v>
      </c>
    </row>
    <row r="2397" spans="1:25" x14ac:dyDescent="0.45">
      <c r="A2397" s="3" t="s">
        <v>593</v>
      </c>
      <c r="B2397" s="3" t="s">
        <v>594</v>
      </c>
      <c r="C2397" s="6" t="s">
        <v>519</v>
      </c>
      <c r="D2397" s="6" t="s">
        <v>216</v>
      </c>
      <c r="E2397" s="6" t="s">
        <v>228</v>
      </c>
      <c r="F2397" s="6">
        <v>11225.14</v>
      </c>
      <c r="G2397" s="2">
        <v>0.38</v>
      </c>
      <c r="H2397" s="2">
        <v>0.41</v>
      </c>
      <c r="I2397" s="2">
        <v>0.46</v>
      </c>
      <c r="J2397" s="47">
        <f t="shared" si="185"/>
        <v>7.8947368421052558E-2</v>
      </c>
      <c r="K2397" s="47">
        <f t="shared" si="186"/>
        <v>0.12195121951219524</v>
      </c>
      <c r="L2397" s="8">
        <v>128.88</v>
      </c>
      <c r="M2397" s="8">
        <v>25.15</v>
      </c>
      <c r="N2397" s="8">
        <v>22.36</v>
      </c>
      <c r="O2397" s="17">
        <f t="shared" si="187"/>
        <v>3.1856666666666693</v>
      </c>
      <c r="P2397" s="17">
        <f t="shared" si="188"/>
        <v>1.833519999999998</v>
      </c>
      <c r="Q2397" s="5">
        <v>1.57</v>
      </c>
      <c r="R2397" s="9">
        <v>-1.33</v>
      </c>
      <c r="S2397" s="9">
        <v>25.35</v>
      </c>
      <c r="T2397" s="9">
        <v>2911.95703</v>
      </c>
      <c r="U2397" s="9">
        <v>1974.8</v>
      </c>
      <c r="V2397" s="45">
        <f t="shared" si="189"/>
        <v>0.47455794510836546</v>
      </c>
      <c r="W2397" s="12">
        <v>-11.11</v>
      </c>
      <c r="X2397" s="12">
        <v>0</v>
      </c>
      <c r="Y2397" s="12">
        <v>20210804</v>
      </c>
    </row>
    <row r="2398" spans="1:25" x14ac:dyDescent="0.45">
      <c r="A2398" s="3" t="s">
        <v>748</v>
      </c>
      <c r="B2398" s="3" t="s">
        <v>749</v>
      </c>
      <c r="C2398" s="6" t="s">
        <v>518</v>
      </c>
      <c r="D2398" s="6" t="s">
        <v>309</v>
      </c>
      <c r="E2398" s="6" t="s">
        <v>307</v>
      </c>
      <c r="F2398" s="6">
        <v>8356.3799999999992</v>
      </c>
      <c r="G2398" s="2">
        <v>-4.66</v>
      </c>
      <c r="H2398" s="2">
        <v>-0.41</v>
      </c>
      <c r="I2398" s="2">
        <v>1.24</v>
      </c>
      <c r="J2398" s="47">
        <f t="shared" si="185"/>
        <v>0.91201716738197425</v>
      </c>
      <c r="K2398" s="47">
        <f t="shared" si="186"/>
        <v>4.024390243902439</v>
      </c>
      <c r="N2398" s="8">
        <v>27.47</v>
      </c>
      <c r="O2398" s="17">
        <f t="shared" si="187"/>
        <v>0</v>
      </c>
      <c r="P2398" s="17">
        <f t="shared" si="188"/>
        <v>6.8258787878787877E-2</v>
      </c>
      <c r="R2398" s="9">
        <v>-11.58</v>
      </c>
      <c r="T2398" s="9">
        <v>21066.04492</v>
      </c>
      <c r="U2398" s="9">
        <v>13414.5</v>
      </c>
      <c r="V2398" s="45">
        <f t="shared" si="189"/>
        <v>0.57039359797234335</v>
      </c>
      <c r="X2398" s="12">
        <v>0</v>
      </c>
      <c r="Y2398" s="12">
        <v>20210830</v>
      </c>
    </row>
    <row r="2399" spans="1:25" x14ac:dyDescent="0.45">
      <c r="A2399" s="3" t="s">
        <v>444</v>
      </c>
      <c r="B2399" s="3" t="s">
        <v>445</v>
      </c>
      <c r="C2399" s="6" t="s">
        <v>519</v>
      </c>
      <c r="D2399" s="6" t="s">
        <v>189</v>
      </c>
      <c r="E2399" s="6" t="s">
        <v>247</v>
      </c>
      <c r="F2399" s="6">
        <v>26848.09</v>
      </c>
      <c r="G2399" s="2">
        <v>0.21</v>
      </c>
      <c r="H2399" s="2">
        <v>0.47</v>
      </c>
      <c r="I2399" s="2">
        <v>0.56000000000000005</v>
      </c>
      <c r="J2399" s="47">
        <f t="shared" si="185"/>
        <v>1.2380952380952381</v>
      </c>
      <c r="K2399" s="47">
        <f t="shared" si="186"/>
        <v>0.19148936170212785</v>
      </c>
      <c r="L2399" s="8">
        <v>445.43</v>
      </c>
      <c r="M2399" s="8">
        <v>413.48</v>
      </c>
      <c r="N2399" s="8">
        <v>349.98</v>
      </c>
      <c r="O2399" s="17">
        <f t="shared" si="187"/>
        <v>3.3396461538461542</v>
      </c>
      <c r="P2399" s="17">
        <f t="shared" si="188"/>
        <v>18.276733333333315</v>
      </c>
      <c r="Q2399" s="5">
        <v>8.17</v>
      </c>
      <c r="R2399" s="9">
        <v>-36.46</v>
      </c>
      <c r="S2399" s="9">
        <v>49.73</v>
      </c>
      <c r="T2399" s="9">
        <v>660.86198999999999</v>
      </c>
      <c r="U2399" s="9">
        <v>431.27</v>
      </c>
      <c r="V2399" s="45">
        <f t="shared" si="189"/>
        <v>0.53236253391147081</v>
      </c>
      <c r="W2399" s="12">
        <v>114.29</v>
      </c>
      <c r="X2399" s="12">
        <v>0</v>
      </c>
      <c r="Y2399" s="12">
        <v>20210908</v>
      </c>
    </row>
    <row r="2400" spans="1:25" x14ac:dyDescent="0.45">
      <c r="A2400" s="3" t="s">
        <v>4441</v>
      </c>
      <c r="B2400" s="3" t="s">
        <v>4442</v>
      </c>
      <c r="C2400" s="6" t="s">
        <v>520</v>
      </c>
      <c r="D2400" s="6" t="s">
        <v>189</v>
      </c>
      <c r="E2400" s="6" t="s">
        <v>1610</v>
      </c>
      <c r="F2400" s="6">
        <v>12940.69</v>
      </c>
      <c r="G2400" s="2">
        <v>0.22</v>
      </c>
      <c r="H2400" s="2">
        <v>0.37</v>
      </c>
      <c r="I2400" s="2">
        <v>0.46</v>
      </c>
      <c r="J2400" s="47">
        <f t="shared" si="185"/>
        <v>0.68181818181818177</v>
      </c>
      <c r="K2400" s="47">
        <f t="shared" si="186"/>
        <v>0.24324324324324331</v>
      </c>
      <c r="L2400" s="8">
        <v>25.5</v>
      </c>
      <c r="M2400" s="8">
        <v>15.16</v>
      </c>
      <c r="N2400" s="8">
        <v>12.2</v>
      </c>
      <c r="O2400" s="17">
        <f t="shared" si="187"/>
        <v>0.22234666666666669</v>
      </c>
      <c r="P2400" s="17">
        <f t="shared" si="188"/>
        <v>0.50155555555555542</v>
      </c>
      <c r="R2400" s="9">
        <v>8.18</v>
      </c>
      <c r="S2400" s="9">
        <v>-3.47</v>
      </c>
      <c r="T2400" s="9">
        <v>17354.460930000001</v>
      </c>
      <c r="U2400" s="9">
        <v>14702.84</v>
      </c>
      <c r="V2400" s="45">
        <f t="shared" si="189"/>
        <v>0.18034753353773836</v>
      </c>
      <c r="X2400" s="12">
        <v>0.8</v>
      </c>
      <c r="Y2400" s="12">
        <v>20210909</v>
      </c>
    </row>
    <row r="2401" spans="1:25" x14ac:dyDescent="0.45">
      <c r="A2401" s="3" t="s">
        <v>3978</v>
      </c>
      <c r="B2401" s="3" t="s">
        <v>3979</v>
      </c>
      <c r="C2401" s="6" t="s">
        <v>518</v>
      </c>
      <c r="D2401" s="6" t="s">
        <v>309</v>
      </c>
      <c r="E2401" s="6" t="s">
        <v>312</v>
      </c>
      <c r="F2401" s="6">
        <v>19599.63</v>
      </c>
      <c r="G2401" s="2">
        <v>0.88</v>
      </c>
      <c r="H2401" s="2">
        <v>0.88</v>
      </c>
      <c r="I2401" s="2">
        <v>1.0900000000000001</v>
      </c>
      <c r="J2401" s="47">
        <f t="shared" si="185"/>
        <v>0</v>
      </c>
      <c r="K2401" s="47">
        <f t="shared" si="186"/>
        <v>0.23863636363636373</v>
      </c>
      <c r="L2401" s="8">
        <v>36.28</v>
      </c>
      <c r="M2401" s="8">
        <v>35.86</v>
      </c>
      <c r="N2401" s="8">
        <v>28.95</v>
      </c>
      <c r="O2401" s="17" t="e">
        <f t="shared" si="187"/>
        <v>#DIV/0!</v>
      </c>
      <c r="P2401" s="17">
        <f t="shared" si="188"/>
        <v>1.2131428571428566</v>
      </c>
      <c r="Q2401" s="5">
        <v>2.83</v>
      </c>
      <c r="R2401" s="9">
        <v>10.16</v>
      </c>
      <c r="S2401" s="9">
        <v>24.34</v>
      </c>
      <c r="T2401" s="9">
        <v>4841.7470700000003</v>
      </c>
      <c r="U2401" s="9">
        <v>3864.26</v>
      </c>
      <c r="V2401" s="45">
        <f t="shared" si="189"/>
        <v>0.25295582336592259</v>
      </c>
      <c r="W2401" s="12">
        <v>-22.22</v>
      </c>
      <c r="X2401" s="12">
        <v>0</v>
      </c>
      <c r="Y2401" s="12">
        <v>20210811</v>
      </c>
    </row>
    <row r="2402" spans="1:25" x14ac:dyDescent="0.45">
      <c r="A2402" s="3" t="s">
        <v>389</v>
      </c>
      <c r="B2402" s="3" t="s">
        <v>390</v>
      </c>
      <c r="C2402" s="6" t="s">
        <v>518</v>
      </c>
      <c r="D2402" s="6" t="s">
        <v>279</v>
      </c>
      <c r="E2402" s="6" t="s">
        <v>258</v>
      </c>
      <c r="F2402" s="6">
        <v>83886.53</v>
      </c>
      <c r="G2402" s="2">
        <v>3.8</v>
      </c>
      <c r="H2402" s="2">
        <v>4.4800000000000004</v>
      </c>
      <c r="I2402" s="2">
        <v>5.0199999999999996</v>
      </c>
      <c r="J2402" s="47">
        <f t="shared" si="185"/>
        <v>0.1789473684210528</v>
      </c>
      <c r="K2402" s="47">
        <f t="shared" si="186"/>
        <v>0.12053571428571408</v>
      </c>
      <c r="L2402" s="8">
        <v>42.47</v>
      </c>
      <c r="M2402" s="8">
        <v>39.47</v>
      </c>
      <c r="N2402" s="8">
        <v>35.22</v>
      </c>
      <c r="O2402" s="17">
        <f t="shared" si="187"/>
        <v>2.2056764705882328</v>
      </c>
      <c r="P2402" s="17">
        <f t="shared" si="188"/>
        <v>2.9219555555555607</v>
      </c>
      <c r="Q2402" s="5">
        <v>3.07</v>
      </c>
      <c r="R2402" s="9">
        <v>55.11</v>
      </c>
      <c r="S2402" s="9">
        <v>8.1199999999999992</v>
      </c>
      <c r="T2402" s="9">
        <v>7506.7031200000001</v>
      </c>
      <c r="U2402" s="9">
        <v>6675</v>
      </c>
      <c r="V2402" s="45">
        <f t="shared" si="189"/>
        <v>0.12459971835205995</v>
      </c>
      <c r="W2402" s="12">
        <v>21.15</v>
      </c>
      <c r="X2402" s="12">
        <v>0.56999999999999995</v>
      </c>
      <c r="Y2402" s="12">
        <v>20210805</v>
      </c>
    </row>
    <row r="2403" spans="1:25" x14ac:dyDescent="0.45">
      <c r="A2403" s="3" t="s">
        <v>502</v>
      </c>
      <c r="B2403" s="3" t="s">
        <v>503</v>
      </c>
      <c r="C2403" s="6" t="s">
        <v>520</v>
      </c>
      <c r="D2403" s="6" t="s">
        <v>234</v>
      </c>
      <c r="E2403" s="6" t="s">
        <v>243</v>
      </c>
      <c r="F2403" s="6">
        <v>62155.1</v>
      </c>
      <c r="G2403" s="2">
        <v>2.2000000000000002</v>
      </c>
      <c r="H2403" s="2">
        <v>2.94</v>
      </c>
      <c r="I2403" s="2">
        <v>3.29</v>
      </c>
      <c r="J2403" s="47">
        <f t="shared" si="185"/>
        <v>0.33636363636363625</v>
      </c>
      <c r="K2403" s="47">
        <f t="shared" si="186"/>
        <v>0.11904761904761908</v>
      </c>
      <c r="M2403" s="8">
        <v>14.03</v>
      </c>
      <c r="N2403" s="8">
        <v>12.57</v>
      </c>
      <c r="O2403" s="17">
        <f t="shared" si="187"/>
        <v>0.41710810810810822</v>
      </c>
      <c r="P2403" s="17">
        <f t="shared" si="188"/>
        <v>1.0558799999999997</v>
      </c>
      <c r="T2403" s="9">
        <v>42729.671869999998</v>
      </c>
      <c r="U2403" s="9">
        <v>59001</v>
      </c>
      <c r="V2403" s="45">
        <f t="shared" si="189"/>
        <v>-0.27578054829579163</v>
      </c>
      <c r="X2403" s="12">
        <v>4.37</v>
      </c>
    </row>
    <row r="2404" spans="1:25" x14ac:dyDescent="0.45">
      <c r="A2404" s="3" t="s">
        <v>4443</v>
      </c>
      <c r="B2404" s="3" t="s">
        <v>4444</v>
      </c>
      <c r="C2404" s="6" t="s">
        <v>519</v>
      </c>
      <c r="D2404" s="6" t="s">
        <v>90</v>
      </c>
      <c r="E2404" s="6" t="s">
        <v>198</v>
      </c>
      <c r="F2404" s="6">
        <v>4093.25</v>
      </c>
      <c r="H2404" s="2">
        <v>-3.76</v>
      </c>
      <c r="I2404" s="2">
        <v>-2.2400000000000002</v>
      </c>
      <c r="J2404" s="47" t="e">
        <f t="shared" si="185"/>
        <v>#DIV/0!</v>
      </c>
      <c r="K2404" s="47">
        <f t="shared" si="186"/>
        <v>0.40425531914893609</v>
      </c>
      <c r="O2404" s="17" t="e">
        <f t="shared" si="187"/>
        <v>#DIV/0!</v>
      </c>
      <c r="P2404" s="17">
        <f t="shared" si="188"/>
        <v>0</v>
      </c>
      <c r="T2404" s="9">
        <v>26.844989999999999</v>
      </c>
      <c r="V2404" s="45" t="e">
        <f t="shared" si="189"/>
        <v>#DIV/0!</v>
      </c>
      <c r="W2404" s="12">
        <v>-289.82</v>
      </c>
      <c r="X2404" s="12">
        <v>0</v>
      </c>
      <c r="Y2404" s="12">
        <v>20210823</v>
      </c>
    </row>
    <row r="2405" spans="1:25" x14ac:dyDescent="0.45">
      <c r="J2405" s="47" t="e">
        <f t="shared" si="185"/>
        <v>#DIV/0!</v>
      </c>
      <c r="K2405" s="47" t="e">
        <f t="shared" si="186"/>
        <v>#DIV/0!</v>
      </c>
      <c r="O2405" s="17" t="e">
        <f t="shared" si="187"/>
        <v>#DIV/0!</v>
      </c>
      <c r="P2405" s="17" t="e">
        <f t="shared" si="188"/>
        <v>#DIV/0!</v>
      </c>
      <c r="V2405" s="45" t="e">
        <f t="shared" si="189"/>
        <v>#DIV/0!</v>
      </c>
    </row>
    <row r="2406" spans="1:25" x14ac:dyDescent="0.45">
      <c r="J2406" s="47" t="e">
        <f t="shared" si="185"/>
        <v>#DIV/0!</v>
      </c>
      <c r="K2406" s="47" t="e">
        <f t="shared" si="186"/>
        <v>#DIV/0!</v>
      </c>
      <c r="O2406" s="17" t="e">
        <f t="shared" si="187"/>
        <v>#DIV/0!</v>
      </c>
      <c r="P2406" s="17" t="e">
        <f t="shared" si="188"/>
        <v>#DIV/0!</v>
      </c>
      <c r="V2406" s="45" t="e">
        <f t="shared" si="189"/>
        <v>#DIV/0!</v>
      </c>
    </row>
    <row r="2407" spans="1:25" x14ac:dyDescent="0.45">
      <c r="J2407" s="47" t="e">
        <f t="shared" si="185"/>
        <v>#DIV/0!</v>
      </c>
      <c r="K2407" s="47" t="e">
        <f t="shared" si="186"/>
        <v>#DIV/0!</v>
      </c>
      <c r="O2407" s="17" t="e">
        <f t="shared" si="187"/>
        <v>#DIV/0!</v>
      </c>
      <c r="P2407" s="17" t="e">
        <f t="shared" si="188"/>
        <v>#DIV/0!</v>
      </c>
      <c r="V2407" s="45" t="e">
        <f t="shared" si="189"/>
        <v>#DIV/0!</v>
      </c>
    </row>
    <row r="2408" spans="1:25" x14ac:dyDescent="0.45">
      <c r="J2408" s="47" t="e">
        <f t="shared" si="185"/>
        <v>#DIV/0!</v>
      </c>
      <c r="K2408" s="47" t="e">
        <f t="shared" si="186"/>
        <v>#DIV/0!</v>
      </c>
      <c r="O2408" s="17" t="e">
        <f t="shared" si="187"/>
        <v>#DIV/0!</v>
      </c>
      <c r="P2408" s="17" t="e">
        <f t="shared" si="188"/>
        <v>#DIV/0!</v>
      </c>
      <c r="V2408" s="45" t="e">
        <f t="shared" si="189"/>
        <v>#DIV/0!</v>
      </c>
    </row>
    <row r="2409" spans="1:25" x14ac:dyDescent="0.45">
      <c r="J2409" s="47" t="e">
        <f t="shared" si="185"/>
        <v>#DIV/0!</v>
      </c>
      <c r="K2409" s="47" t="e">
        <f t="shared" si="186"/>
        <v>#DIV/0!</v>
      </c>
      <c r="O2409" s="17" t="e">
        <f t="shared" si="187"/>
        <v>#DIV/0!</v>
      </c>
      <c r="P2409" s="17" t="e">
        <f t="shared" si="188"/>
        <v>#DIV/0!</v>
      </c>
      <c r="V2409" s="45" t="e">
        <f t="shared" si="189"/>
        <v>#DIV/0!</v>
      </c>
    </row>
    <row r="2410" spans="1:25" x14ac:dyDescent="0.45">
      <c r="J2410" s="47" t="e">
        <f t="shared" si="185"/>
        <v>#DIV/0!</v>
      </c>
      <c r="K2410" s="47" t="e">
        <f t="shared" si="186"/>
        <v>#DIV/0!</v>
      </c>
      <c r="O2410" s="17" t="e">
        <f t="shared" si="187"/>
        <v>#DIV/0!</v>
      </c>
      <c r="P2410" s="17" t="e">
        <f t="shared" si="188"/>
        <v>#DIV/0!</v>
      </c>
      <c r="V2410" s="45" t="e">
        <f t="shared" si="189"/>
        <v>#DIV/0!</v>
      </c>
    </row>
    <row r="2411" spans="1:25" x14ac:dyDescent="0.45">
      <c r="J2411" s="47" t="e">
        <f t="shared" si="185"/>
        <v>#DIV/0!</v>
      </c>
      <c r="K2411" s="47" t="e">
        <f t="shared" si="186"/>
        <v>#DIV/0!</v>
      </c>
      <c r="O2411" s="17" t="e">
        <f t="shared" si="187"/>
        <v>#DIV/0!</v>
      </c>
      <c r="P2411" s="17" t="e">
        <f t="shared" si="188"/>
        <v>#DIV/0!</v>
      </c>
      <c r="V2411" s="45" t="e">
        <f t="shared" si="189"/>
        <v>#DIV/0!</v>
      </c>
    </row>
    <row r="2412" spans="1:25" x14ac:dyDescent="0.45">
      <c r="J2412" s="47" t="e">
        <f t="shared" si="185"/>
        <v>#DIV/0!</v>
      </c>
      <c r="K2412" s="47" t="e">
        <f t="shared" si="186"/>
        <v>#DIV/0!</v>
      </c>
      <c r="O2412" s="17" t="e">
        <f t="shared" si="187"/>
        <v>#DIV/0!</v>
      </c>
      <c r="P2412" s="17" t="e">
        <f t="shared" si="188"/>
        <v>#DIV/0!</v>
      </c>
      <c r="V2412" s="45" t="e">
        <f t="shared" si="189"/>
        <v>#DIV/0!</v>
      </c>
    </row>
    <row r="2413" spans="1:25" x14ac:dyDescent="0.45">
      <c r="J2413" s="47" t="e">
        <f t="shared" si="185"/>
        <v>#DIV/0!</v>
      </c>
      <c r="K2413" s="47" t="e">
        <f t="shared" si="186"/>
        <v>#DIV/0!</v>
      </c>
      <c r="O2413" s="17" t="e">
        <f t="shared" si="187"/>
        <v>#DIV/0!</v>
      </c>
      <c r="P2413" s="17" t="e">
        <f t="shared" si="188"/>
        <v>#DIV/0!</v>
      </c>
      <c r="V2413" s="45" t="e">
        <f t="shared" si="189"/>
        <v>#DIV/0!</v>
      </c>
    </row>
    <row r="2414" spans="1:25" x14ac:dyDescent="0.45">
      <c r="J2414" s="47" t="e">
        <f t="shared" si="185"/>
        <v>#DIV/0!</v>
      </c>
      <c r="K2414" s="47" t="e">
        <f t="shared" si="186"/>
        <v>#DIV/0!</v>
      </c>
      <c r="O2414" s="17" t="e">
        <f t="shared" si="187"/>
        <v>#DIV/0!</v>
      </c>
      <c r="P2414" s="17" t="e">
        <f t="shared" si="188"/>
        <v>#DIV/0!</v>
      </c>
      <c r="V2414" s="45" t="e">
        <f t="shared" si="189"/>
        <v>#DIV/0!</v>
      </c>
    </row>
    <row r="2415" spans="1:25" x14ac:dyDescent="0.45">
      <c r="J2415" s="47" t="e">
        <f t="shared" si="185"/>
        <v>#DIV/0!</v>
      </c>
      <c r="K2415" s="47" t="e">
        <f t="shared" si="186"/>
        <v>#DIV/0!</v>
      </c>
      <c r="O2415" s="17" t="e">
        <f t="shared" si="187"/>
        <v>#DIV/0!</v>
      </c>
      <c r="P2415" s="17" t="e">
        <f t="shared" si="188"/>
        <v>#DIV/0!</v>
      </c>
      <c r="V2415" s="45" t="e">
        <f t="shared" si="189"/>
        <v>#DIV/0!</v>
      </c>
    </row>
    <row r="2416" spans="1:25" x14ac:dyDescent="0.45">
      <c r="J2416" s="47" t="e">
        <f t="shared" si="185"/>
        <v>#DIV/0!</v>
      </c>
      <c r="K2416" s="47" t="e">
        <f t="shared" si="186"/>
        <v>#DIV/0!</v>
      </c>
      <c r="O2416" s="17" t="e">
        <f t="shared" si="187"/>
        <v>#DIV/0!</v>
      </c>
      <c r="P2416" s="17" t="e">
        <f t="shared" si="188"/>
        <v>#DIV/0!</v>
      </c>
      <c r="V2416" s="45" t="e">
        <f t="shared" si="189"/>
        <v>#DIV/0!</v>
      </c>
    </row>
    <row r="2417" spans="10:22" x14ac:dyDescent="0.45">
      <c r="J2417" s="47" t="e">
        <f t="shared" si="185"/>
        <v>#DIV/0!</v>
      </c>
      <c r="K2417" s="47" t="e">
        <f t="shared" si="186"/>
        <v>#DIV/0!</v>
      </c>
      <c r="O2417" s="17" t="e">
        <f t="shared" si="187"/>
        <v>#DIV/0!</v>
      </c>
      <c r="P2417" s="17" t="e">
        <f t="shared" si="188"/>
        <v>#DIV/0!</v>
      </c>
      <c r="V2417" s="45" t="e">
        <f t="shared" si="189"/>
        <v>#DIV/0!</v>
      </c>
    </row>
    <row r="2418" spans="10:22" x14ac:dyDescent="0.45">
      <c r="J2418" s="47" t="e">
        <f t="shared" si="185"/>
        <v>#DIV/0!</v>
      </c>
      <c r="K2418" s="47" t="e">
        <f t="shared" si="186"/>
        <v>#DIV/0!</v>
      </c>
      <c r="O2418" s="17" t="e">
        <f t="shared" si="187"/>
        <v>#DIV/0!</v>
      </c>
      <c r="P2418" s="17" t="e">
        <f t="shared" si="188"/>
        <v>#DIV/0!</v>
      </c>
      <c r="V2418" s="45" t="e">
        <f t="shared" si="189"/>
        <v>#DIV/0!</v>
      </c>
    </row>
    <row r="2419" spans="10:22" x14ac:dyDescent="0.45">
      <c r="J2419" s="47" t="e">
        <f t="shared" si="185"/>
        <v>#DIV/0!</v>
      </c>
      <c r="K2419" s="47" t="e">
        <f t="shared" si="186"/>
        <v>#DIV/0!</v>
      </c>
      <c r="O2419" s="17" t="e">
        <f t="shared" si="187"/>
        <v>#DIV/0!</v>
      </c>
      <c r="P2419" s="17" t="e">
        <f t="shared" si="188"/>
        <v>#DIV/0!</v>
      </c>
      <c r="V2419" s="45" t="e">
        <f t="shared" si="189"/>
        <v>#DIV/0!</v>
      </c>
    </row>
    <row r="2420" spans="10:22" x14ac:dyDescent="0.45">
      <c r="J2420" s="47" t="e">
        <f t="shared" si="185"/>
        <v>#DIV/0!</v>
      </c>
      <c r="K2420" s="47" t="e">
        <f t="shared" si="186"/>
        <v>#DIV/0!</v>
      </c>
      <c r="O2420" s="17" t="e">
        <f t="shared" si="187"/>
        <v>#DIV/0!</v>
      </c>
      <c r="P2420" s="17" t="e">
        <f t="shared" si="188"/>
        <v>#DIV/0!</v>
      </c>
      <c r="V2420" s="45" t="e">
        <f t="shared" si="189"/>
        <v>#DIV/0!</v>
      </c>
    </row>
    <row r="2421" spans="10:22" x14ac:dyDescent="0.45">
      <c r="J2421" s="47" t="e">
        <f t="shared" si="185"/>
        <v>#DIV/0!</v>
      </c>
      <c r="K2421" s="47" t="e">
        <f t="shared" si="186"/>
        <v>#DIV/0!</v>
      </c>
      <c r="O2421" s="17" t="e">
        <f t="shared" si="187"/>
        <v>#DIV/0!</v>
      </c>
      <c r="P2421" s="17" t="e">
        <f t="shared" si="188"/>
        <v>#DIV/0!</v>
      </c>
      <c r="V2421" s="45" t="e">
        <f t="shared" si="189"/>
        <v>#DIV/0!</v>
      </c>
    </row>
    <row r="2422" spans="10:22" x14ac:dyDescent="0.45">
      <c r="J2422" s="47" t="e">
        <f t="shared" si="185"/>
        <v>#DIV/0!</v>
      </c>
      <c r="K2422" s="47" t="e">
        <f t="shared" si="186"/>
        <v>#DIV/0!</v>
      </c>
      <c r="O2422" s="17" t="e">
        <f t="shared" si="187"/>
        <v>#DIV/0!</v>
      </c>
      <c r="P2422" s="17" t="e">
        <f t="shared" si="188"/>
        <v>#DIV/0!</v>
      </c>
      <c r="V2422" s="45" t="e">
        <f t="shared" si="189"/>
        <v>#DIV/0!</v>
      </c>
    </row>
    <row r="2423" spans="10:22" x14ac:dyDescent="0.45">
      <c r="J2423" s="47" t="e">
        <f t="shared" si="185"/>
        <v>#DIV/0!</v>
      </c>
      <c r="K2423" s="47" t="e">
        <f t="shared" si="186"/>
        <v>#DIV/0!</v>
      </c>
      <c r="O2423" s="17" t="e">
        <f t="shared" si="187"/>
        <v>#DIV/0!</v>
      </c>
      <c r="P2423" s="17" t="e">
        <f t="shared" si="188"/>
        <v>#DIV/0!</v>
      </c>
      <c r="V2423" s="45" t="e">
        <f t="shared" si="189"/>
        <v>#DIV/0!</v>
      </c>
    </row>
    <row r="2424" spans="10:22" x14ac:dyDescent="0.45">
      <c r="J2424" s="47" t="e">
        <f t="shared" si="185"/>
        <v>#DIV/0!</v>
      </c>
      <c r="K2424" s="47" t="e">
        <f t="shared" si="186"/>
        <v>#DIV/0!</v>
      </c>
      <c r="O2424" s="17" t="e">
        <f t="shared" si="187"/>
        <v>#DIV/0!</v>
      </c>
      <c r="P2424" s="17" t="e">
        <f t="shared" si="188"/>
        <v>#DIV/0!</v>
      </c>
      <c r="V2424" s="45" t="e">
        <f t="shared" si="189"/>
        <v>#DIV/0!</v>
      </c>
    </row>
    <row r="2425" spans="10:22" x14ac:dyDescent="0.45">
      <c r="J2425" s="47" t="e">
        <f t="shared" si="185"/>
        <v>#DIV/0!</v>
      </c>
      <c r="K2425" s="47" t="e">
        <f t="shared" si="186"/>
        <v>#DIV/0!</v>
      </c>
      <c r="O2425" s="17" t="e">
        <f t="shared" si="187"/>
        <v>#DIV/0!</v>
      </c>
      <c r="P2425" s="17" t="e">
        <f t="shared" si="188"/>
        <v>#DIV/0!</v>
      </c>
      <c r="V2425" s="45" t="e">
        <f t="shared" si="189"/>
        <v>#DIV/0!</v>
      </c>
    </row>
    <row r="2426" spans="10:22" x14ac:dyDescent="0.45">
      <c r="J2426" s="47" t="e">
        <f t="shared" si="185"/>
        <v>#DIV/0!</v>
      </c>
      <c r="K2426" s="47" t="e">
        <f t="shared" si="186"/>
        <v>#DIV/0!</v>
      </c>
      <c r="O2426" s="17" t="e">
        <f t="shared" si="187"/>
        <v>#DIV/0!</v>
      </c>
      <c r="P2426" s="17" t="e">
        <f t="shared" si="188"/>
        <v>#DIV/0!</v>
      </c>
      <c r="V2426" s="45" t="e">
        <f t="shared" si="189"/>
        <v>#DIV/0!</v>
      </c>
    </row>
    <row r="2427" spans="10:22" x14ac:dyDescent="0.45">
      <c r="J2427" s="47" t="e">
        <f t="shared" si="185"/>
        <v>#DIV/0!</v>
      </c>
      <c r="K2427" s="47" t="e">
        <f t="shared" si="186"/>
        <v>#DIV/0!</v>
      </c>
      <c r="O2427" s="17" t="e">
        <f t="shared" si="187"/>
        <v>#DIV/0!</v>
      </c>
      <c r="P2427" s="17" t="e">
        <f t="shared" si="188"/>
        <v>#DIV/0!</v>
      </c>
      <c r="V2427" s="45" t="e">
        <f t="shared" si="189"/>
        <v>#DIV/0!</v>
      </c>
    </row>
    <row r="2428" spans="10:22" x14ac:dyDescent="0.45">
      <c r="J2428" s="47" t="e">
        <f t="shared" si="185"/>
        <v>#DIV/0!</v>
      </c>
      <c r="K2428" s="47" t="e">
        <f t="shared" si="186"/>
        <v>#DIV/0!</v>
      </c>
      <c r="O2428" s="17" t="e">
        <f t="shared" si="187"/>
        <v>#DIV/0!</v>
      </c>
      <c r="P2428" s="17" t="e">
        <f t="shared" si="188"/>
        <v>#DIV/0!</v>
      </c>
      <c r="V2428" s="45" t="e">
        <f t="shared" si="189"/>
        <v>#DIV/0!</v>
      </c>
    </row>
    <row r="2429" spans="10:22" x14ac:dyDescent="0.45">
      <c r="J2429" s="47" t="e">
        <f t="shared" si="185"/>
        <v>#DIV/0!</v>
      </c>
      <c r="K2429" s="47" t="e">
        <f t="shared" si="186"/>
        <v>#DIV/0!</v>
      </c>
      <c r="O2429" s="17" t="e">
        <f t="shared" si="187"/>
        <v>#DIV/0!</v>
      </c>
      <c r="P2429" s="17" t="e">
        <f t="shared" si="188"/>
        <v>#DIV/0!</v>
      </c>
      <c r="V2429" s="45" t="e">
        <f t="shared" si="189"/>
        <v>#DIV/0!</v>
      </c>
    </row>
    <row r="2430" spans="10:22" x14ac:dyDescent="0.45">
      <c r="J2430" s="47" t="e">
        <f t="shared" si="185"/>
        <v>#DIV/0!</v>
      </c>
      <c r="K2430" s="47" t="e">
        <f t="shared" si="186"/>
        <v>#DIV/0!</v>
      </c>
      <c r="O2430" s="17" t="e">
        <f t="shared" si="187"/>
        <v>#DIV/0!</v>
      </c>
      <c r="P2430" s="17" t="e">
        <f t="shared" si="188"/>
        <v>#DIV/0!</v>
      </c>
      <c r="V2430" s="45" t="e">
        <f t="shared" si="189"/>
        <v>#DIV/0!</v>
      </c>
    </row>
    <row r="2431" spans="10:22" x14ac:dyDescent="0.45">
      <c r="J2431" s="47" t="e">
        <f t="shared" si="185"/>
        <v>#DIV/0!</v>
      </c>
      <c r="K2431" s="47" t="e">
        <f t="shared" si="186"/>
        <v>#DIV/0!</v>
      </c>
      <c r="O2431" s="17" t="e">
        <f t="shared" si="187"/>
        <v>#DIV/0!</v>
      </c>
      <c r="P2431" s="17" t="e">
        <f t="shared" si="188"/>
        <v>#DIV/0!</v>
      </c>
      <c r="V2431" s="45" t="e">
        <f t="shared" si="189"/>
        <v>#DIV/0!</v>
      </c>
    </row>
    <row r="2432" spans="10:22" x14ac:dyDescent="0.45">
      <c r="J2432" s="47" t="e">
        <f t="shared" si="185"/>
        <v>#DIV/0!</v>
      </c>
      <c r="K2432" s="47" t="e">
        <f t="shared" si="186"/>
        <v>#DIV/0!</v>
      </c>
      <c r="O2432" s="17" t="e">
        <f t="shared" si="187"/>
        <v>#DIV/0!</v>
      </c>
      <c r="P2432" s="17" t="e">
        <f t="shared" si="188"/>
        <v>#DIV/0!</v>
      </c>
      <c r="V2432" s="45" t="e">
        <f t="shared" si="189"/>
        <v>#DIV/0!</v>
      </c>
    </row>
    <row r="2433" spans="10:22" x14ac:dyDescent="0.45">
      <c r="J2433" s="47" t="e">
        <f t="shared" si="185"/>
        <v>#DIV/0!</v>
      </c>
      <c r="K2433" s="47" t="e">
        <f t="shared" si="186"/>
        <v>#DIV/0!</v>
      </c>
      <c r="O2433" s="17" t="e">
        <f t="shared" si="187"/>
        <v>#DIV/0!</v>
      </c>
      <c r="P2433" s="17" t="e">
        <f t="shared" si="188"/>
        <v>#DIV/0!</v>
      </c>
      <c r="V2433" s="45" t="e">
        <f t="shared" si="189"/>
        <v>#DIV/0!</v>
      </c>
    </row>
    <row r="2434" spans="10:22" x14ac:dyDescent="0.45">
      <c r="J2434" s="47" t="e">
        <f t="shared" si="185"/>
        <v>#DIV/0!</v>
      </c>
      <c r="K2434" s="47" t="e">
        <f t="shared" si="186"/>
        <v>#DIV/0!</v>
      </c>
      <c r="O2434" s="17" t="e">
        <f t="shared" si="187"/>
        <v>#DIV/0!</v>
      </c>
      <c r="P2434" s="17" t="e">
        <f t="shared" si="188"/>
        <v>#DIV/0!</v>
      </c>
      <c r="V2434" s="45" t="e">
        <f t="shared" si="189"/>
        <v>#DIV/0!</v>
      </c>
    </row>
    <row r="2435" spans="10:22" x14ac:dyDescent="0.45">
      <c r="J2435" s="47" t="e">
        <f t="shared" ref="J2435:J2498" si="190">(H2435-G2435)/ABS(G2435)</f>
        <v>#DIV/0!</v>
      </c>
      <c r="K2435" s="47" t="e">
        <f t="shared" ref="K2435:K2498" si="191">(I2435-H2435)/ABS(H2435)</f>
        <v>#DIV/0!</v>
      </c>
      <c r="O2435" s="17" t="e">
        <f t="shared" ref="O2435:O2498" si="192">M2435/(J2435*100)</f>
        <v>#DIV/0!</v>
      </c>
      <c r="P2435" s="17" t="e">
        <f t="shared" ref="P2435:P2498" si="193">N2435/(K2435*100)</f>
        <v>#DIV/0!</v>
      </c>
      <c r="V2435" s="45" t="e">
        <f t="shared" ref="V2435:V2498" si="194">(T2435-U2435)/U2435</f>
        <v>#DIV/0!</v>
      </c>
    </row>
    <row r="2436" spans="10:22" x14ac:dyDescent="0.45">
      <c r="J2436" s="47" t="e">
        <f t="shared" si="190"/>
        <v>#DIV/0!</v>
      </c>
      <c r="K2436" s="47" t="e">
        <f t="shared" si="191"/>
        <v>#DIV/0!</v>
      </c>
      <c r="O2436" s="17" t="e">
        <f t="shared" si="192"/>
        <v>#DIV/0!</v>
      </c>
      <c r="P2436" s="17" t="e">
        <f t="shared" si="193"/>
        <v>#DIV/0!</v>
      </c>
      <c r="V2436" s="45" t="e">
        <f t="shared" si="194"/>
        <v>#DIV/0!</v>
      </c>
    </row>
    <row r="2437" spans="10:22" x14ac:dyDescent="0.45">
      <c r="J2437" s="47" t="e">
        <f t="shared" si="190"/>
        <v>#DIV/0!</v>
      </c>
      <c r="K2437" s="47" t="e">
        <f t="shared" si="191"/>
        <v>#DIV/0!</v>
      </c>
      <c r="O2437" s="17" t="e">
        <f t="shared" si="192"/>
        <v>#DIV/0!</v>
      </c>
      <c r="P2437" s="17" t="e">
        <f t="shared" si="193"/>
        <v>#DIV/0!</v>
      </c>
      <c r="V2437" s="45" t="e">
        <f t="shared" si="194"/>
        <v>#DIV/0!</v>
      </c>
    </row>
    <row r="2438" spans="10:22" x14ac:dyDescent="0.45">
      <c r="J2438" s="47" t="e">
        <f t="shared" si="190"/>
        <v>#DIV/0!</v>
      </c>
      <c r="K2438" s="47" t="e">
        <f t="shared" si="191"/>
        <v>#DIV/0!</v>
      </c>
      <c r="O2438" s="17" t="e">
        <f t="shared" si="192"/>
        <v>#DIV/0!</v>
      </c>
      <c r="P2438" s="17" t="e">
        <f t="shared" si="193"/>
        <v>#DIV/0!</v>
      </c>
      <c r="V2438" s="45" t="e">
        <f t="shared" si="194"/>
        <v>#DIV/0!</v>
      </c>
    </row>
    <row r="2439" spans="10:22" x14ac:dyDescent="0.45">
      <c r="J2439" s="47" t="e">
        <f t="shared" si="190"/>
        <v>#DIV/0!</v>
      </c>
      <c r="K2439" s="47" t="e">
        <f t="shared" si="191"/>
        <v>#DIV/0!</v>
      </c>
      <c r="O2439" s="17" t="e">
        <f t="shared" si="192"/>
        <v>#DIV/0!</v>
      </c>
      <c r="P2439" s="17" t="e">
        <f t="shared" si="193"/>
        <v>#DIV/0!</v>
      </c>
      <c r="V2439" s="45" t="e">
        <f t="shared" si="194"/>
        <v>#DIV/0!</v>
      </c>
    </row>
    <row r="2440" spans="10:22" x14ac:dyDescent="0.45">
      <c r="J2440" s="47" t="e">
        <f t="shared" si="190"/>
        <v>#DIV/0!</v>
      </c>
      <c r="K2440" s="47" t="e">
        <f t="shared" si="191"/>
        <v>#DIV/0!</v>
      </c>
      <c r="O2440" s="17" t="e">
        <f t="shared" si="192"/>
        <v>#DIV/0!</v>
      </c>
      <c r="P2440" s="17" t="e">
        <f t="shared" si="193"/>
        <v>#DIV/0!</v>
      </c>
      <c r="V2440" s="45" t="e">
        <f t="shared" si="194"/>
        <v>#DIV/0!</v>
      </c>
    </row>
    <row r="2441" spans="10:22" x14ac:dyDescent="0.45">
      <c r="J2441" s="47" t="e">
        <f t="shared" si="190"/>
        <v>#DIV/0!</v>
      </c>
      <c r="K2441" s="47" t="e">
        <f t="shared" si="191"/>
        <v>#DIV/0!</v>
      </c>
      <c r="O2441" s="17" t="e">
        <f t="shared" si="192"/>
        <v>#DIV/0!</v>
      </c>
      <c r="P2441" s="17" t="e">
        <f t="shared" si="193"/>
        <v>#DIV/0!</v>
      </c>
      <c r="V2441" s="45" t="e">
        <f t="shared" si="194"/>
        <v>#DIV/0!</v>
      </c>
    </row>
    <row r="2442" spans="10:22" x14ac:dyDescent="0.45">
      <c r="J2442" s="47" t="e">
        <f t="shared" si="190"/>
        <v>#DIV/0!</v>
      </c>
      <c r="K2442" s="47" t="e">
        <f t="shared" si="191"/>
        <v>#DIV/0!</v>
      </c>
      <c r="O2442" s="17" t="e">
        <f t="shared" si="192"/>
        <v>#DIV/0!</v>
      </c>
      <c r="P2442" s="17" t="e">
        <f t="shared" si="193"/>
        <v>#DIV/0!</v>
      </c>
      <c r="V2442" s="45" t="e">
        <f t="shared" si="194"/>
        <v>#DIV/0!</v>
      </c>
    </row>
    <row r="2443" spans="10:22" x14ac:dyDescent="0.45">
      <c r="J2443" s="47" t="e">
        <f t="shared" si="190"/>
        <v>#DIV/0!</v>
      </c>
      <c r="K2443" s="47" t="e">
        <f t="shared" si="191"/>
        <v>#DIV/0!</v>
      </c>
      <c r="O2443" s="17" t="e">
        <f t="shared" si="192"/>
        <v>#DIV/0!</v>
      </c>
      <c r="P2443" s="17" t="e">
        <f t="shared" si="193"/>
        <v>#DIV/0!</v>
      </c>
      <c r="V2443" s="45" t="e">
        <f t="shared" si="194"/>
        <v>#DIV/0!</v>
      </c>
    </row>
    <row r="2444" spans="10:22" x14ac:dyDescent="0.45">
      <c r="J2444" s="47" t="e">
        <f t="shared" si="190"/>
        <v>#DIV/0!</v>
      </c>
      <c r="K2444" s="47" t="e">
        <f t="shared" si="191"/>
        <v>#DIV/0!</v>
      </c>
      <c r="O2444" s="17" t="e">
        <f t="shared" si="192"/>
        <v>#DIV/0!</v>
      </c>
      <c r="P2444" s="17" t="e">
        <f t="shared" si="193"/>
        <v>#DIV/0!</v>
      </c>
      <c r="V2444" s="45" t="e">
        <f t="shared" si="194"/>
        <v>#DIV/0!</v>
      </c>
    </row>
    <row r="2445" spans="10:22" x14ac:dyDescent="0.45">
      <c r="J2445" s="47" t="e">
        <f t="shared" si="190"/>
        <v>#DIV/0!</v>
      </c>
      <c r="K2445" s="47" t="e">
        <f t="shared" si="191"/>
        <v>#DIV/0!</v>
      </c>
      <c r="O2445" s="17" t="e">
        <f t="shared" si="192"/>
        <v>#DIV/0!</v>
      </c>
      <c r="P2445" s="17" t="e">
        <f t="shared" si="193"/>
        <v>#DIV/0!</v>
      </c>
      <c r="V2445" s="45" t="e">
        <f t="shared" si="194"/>
        <v>#DIV/0!</v>
      </c>
    </row>
    <row r="2446" spans="10:22" x14ac:dyDescent="0.45">
      <c r="J2446" s="47" t="e">
        <f t="shared" si="190"/>
        <v>#DIV/0!</v>
      </c>
      <c r="K2446" s="47" t="e">
        <f t="shared" si="191"/>
        <v>#DIV/0!</v>
      </c>
      <c r="O2446" s="17" t="e">
        <f t="shared" si="192"/>
        <v>#DIV/0!</v>
      </c>
      <c r="P2446" s="17" t="e">
        <f t="shared" si="193"/>
        <v>#DIV/0!</v>
      </c>
      <c r="V2446" s="45" t="e">
        <f t="shared" si="194"/>
        <v>#DIV/0!</v>
      </c>
    </row>
    <row r="2447" spans="10:22" x14ac:dyDescent="0.45">
      <c r="J2447" s="47" t="e">
        <f t="shared" si="190"/>
        <v>#DIV/0!</v>
      </c>
      <c r="K2447" s="47" t="e">
        <f t="shared" si="191"/>
        <v>#DIV/0!</v>
      </c>
      <c r="O2447" s="17" t="e">
        <f t="shared" si="192"/>
        <v>#DIV/0!</v>
      </c>
      <c r="P2447" s="17" t="e">
        <f t="shared" si="193"/>
        <v>#DIV/0!</v>
      </c>
      <c r="V2447" s="45" t="e">
        <f t="shared" si="194"/>
        <v>#DIV/0!</v>
      </c>
    </row>
    <row r="2448" spans="10:22" x14ac:dyDescent="0.45">
      <c r="J2448" s="47" t="e">
        <f t="shared" si="190"/>
        <v>#DIV/0!</v>
      </c>
      <c r="K2448" s="47" t="e">
        <f t="shared" si="191"/>
        <v>#DIV/0!</v>
      </c>
      <c r="O2448" s="17" t="e">
        <f t="shared" si="192"/>
        <v>#DIV/0!</v>
      </c>
      <c r="P2448" s="17" t="e">
        <f t="shared" si="193"/>
        <v>#DIV/0!</v>
      </c>
      <c r="V2448" s="45" t="e">
        <f t="shared" si="194"/>
        <v>#DIV/0!</v>
      </c>
    </row>
    <row r="2449" spans="10:22" x14ac:dyDescent="0.45">
      <c r="J2449" s="47" t="e">
        <f t="shared" si="190"/>
        <v>#DIV/0!</v>
      </c>
      <c r="K2449" s="47" t="e">
        <f t="shared" si="191"/>
        <v>#DIV/0!</v>
      </c>
      <c r="O2449" s="17" t="e">
        <f t="shared" si="192"/>
        <v>#DIV/0!</v>
      </c>
      <c r="P2449" s="17" t="e">
        <f t="shared" si="193"/>
        <v>#DIV/0!</v>
      </c>
      <c r="V2449" s="45" t="e">
        <f t="shared" si="194"/>
        <v>#DIV/0!</v>
      </c>
    </row>
    <row r="2450" spans="10:22" x14ac:dyDescent="0.45">
      <c r="J2450" s="47" t="e">
        <f t="shared" si="190"/>
        <v>#DIV/0!</v>
      </c>
      <c r="K2450" s="47" t="e">
        <f t="shared" si="191"/>
        <v>#DIV/0!</v>
      </c>
      <c r="O2450" s="17" t="e">
        <f t="shared" si="192"/>
        <v>#DIV/0!</v>
      </c>
      <c r="P2450" s="17" t="e">
        <f t="shared" si="193"/>
        <v>#DIV/0!</v>
      </c>
      <c r="V2450" s="45" t="e">
        <f t="shared" si="194"/>
        <v>#DIV/0!</v>
      </c>
    </row>
    <row r="2451" spans="10:22" x14ac:dyDescent="0.45">
      <c r="J2451" s="47" t="e">
        <f t="shared" si="190"/>
        <v>#DIV/0!</v>
      </c>
      <c r="K2451" s="47" t="e">
        <f t="shared" si="191"/>
        <v>#DIV/0!</v>
      </c>
      <c r="O2451" s="17" t="e">
        <f t="shared" si="192"/>
        <v>#DIV/0!</v>
      </c>
      <c r="P2451" s="17" t="e">
        <f t="shared" si="193"/>
        <v>#DIV/0!</v>
      </c>
      <c r="V2451" s="45" t="e">
        <f t="shared" si="194"/>
        <v>#DIV/0!</v>
      </c>
    </row>
    <row r="2452" spans="10:22" x14ac:dyDescent="0.45">
      <c r="J2452" s="47" t="e">
        <f t="shared" si="190"/>
        <v>#DIV/0!</v>
      </c>
      <c r="K2452" s="47" t="e">
        <f t="shared" si="191"/>
        <v>#DIV/0!</v>
      </c>
      <c r="O2452" s="17" t="e">
        <f t="shared" si="192"/>
        <v>#DIV/0!</v>
      </c>
      <c r="P2452" s="17" t="e">
        <f t="shared" si="193"/>
        <v>#DIV/0!</v>
      </c>
      <c r="V2452" s="45" t="e">
        <f t="shared" si="194"/>
        <v>#DIV/0!</v>
      </c>
    </row>
    <row r="2453" spans="10:22" x14ac:dyDescent="0.45">
      <c r="J2453" s="47" t="e">
        <f t="shared" si="190"/>
        <v>#DIV/0!</v>
      </c>
      <c r="K2453" s="47" t="e">
        <f t="shared" si="191"/>
        <v>#DIV/0!</v>
      </c>
      <c r="O2453" s="17" t="e">
        <f t="shared" si="192"/>
        <v>#DIV/0!</v>
      </c>
      <c r="P2453" s="17" t="e">
        <f t="shared" si="193"/>
        <v>#DIV/0!</v>
      </c>
      <c r="V2453" s="45" t="e">
        <f t="shared" si="194"/>
        <v>#DIV/0!</v>
      </c>
    </row>
    <row r="2454" spans="10:22" x14ac:dyDescent="0.45">
      <c r="J2454" s="47" t="e">
        <f t="shared" si="190"/>
        <v>#DIV/0!</v>
      </c>
      <c r="K2454" s="47" t="e">
        <f t="shared" si="191"/>
        <v>#DIV/0!</v>
      </c>
      <c r="O2454" s="17" t="e">
        <f t="shared" si="192"/>
        <v>#DIV/0!</v>
      </c>
      <c r="P2454" s="17" t="e">
        <f t="shared" si="193"/>
        <v>#DIV/0!</v>
      </c>
      <c r="V2454" s="45" t="e">
        <f t="shared" si="194"/>
        <v>#DIV/0!</v>
      </c>
    </row>
    <row r="2455" spans="10:22" x14ac:dyDescent="0.45">
      <c r="J2455" s="47" t="e">
        <f t="shared" si="190"/>
        <v>#DIV/0!</v>
      </c>
      <c r="K2455" s="47" t="e">
        <f t="shared" si="191"/>
        <v>#DIV/0!</v>
      </c>
      <c r="O2455" s="17" t="e">
        <f t="shared" si="192"/>
        <v>#DIV/0!</v>
      </c>
      <c r="P2455" s="17" t="e">
        <f t="shared" si="193"/>
        <v>#DIV/0!</v>
      </c>
      <c r="V2455" s="45" t="e">
        <f t="shared" si="194"/>
        <v>#DIV/0!</v>
      </c>
    </row>
    <row r="2456" spans="10:22" x14ac:dyDescent="0.45">
      <c r="J2456" s="47" t="e">
        <f t="shared" si="190"/>
        <v>#DIV/0!</v>
      </c>
      <c r="K2456" s="47" t="e">
        <f t="shared" si="191"/>
        <v>#DIV/0!</v>
      </c>
      <c r="O2456" s="17" t="e">
        <f t="shared" si="192"/>
        <v>#DIV/0!</v>
      </c>
      <c r="P2456" s="17" t="e">
        <f t="shared" si="193"/>
        <v>#DIV/0!</v>
      </c>
      <c r="V2456" s="45" t="e">
        <f t="shared" si="194"/>
        <v>#DIV/0!</v>
      </c>
    </row>
    <row r="2457" spans="10:22" x14ac:dyDescent="0.45">
      <c r="J2457" s="47" t="e">
        <f t="shared" si="190"/>
        <v>#DIV/0!</v>
      </c>
      <c r="K2457" s="47" t="e">
        <f t="shared" si="191"/>
        <v>#DIV/0!</v>
      </c>
      <c r="O2457" s="17" t="e">
        <f t="shared" si="192"/>
        <v>#DIV/0!</v>
      </c>
      <c r="P2457" s="17" t="e">
        <f t="shared" si="193"/>
        <v>#DIV/0!</v>
      </c>
      <c r="V2457" s="45" t="e">
        <f t="shared" si="194"/>
        <v>#DIV/0!</v>
      </c>
    </row>
    <row r="2458" spans="10:22" x14ac:dyDescent="0.45">
      <c r="J2458" s="47" t="e">
        <f t="shared" si="190"/>
        <v>#DIV/0!</v>
      </c>
      <c r="K2458" s="47" t="e">
        <f t="shared" si="191"/>
        <v>#DIV/0!</v>
      </c>
      <c r="O2458" s="17" t="e">
        <f t="shared" si="192"/>
        <v>#DIV/0!</v>
      </c>
      <c r="P2458" s="17" t="e">
        <f t="shared" si="193"/>
        <v>#DIV/0!</v>
      </c>
      <c r="V2458" s="45" t="e">
        <f t="shared" si="194"/>
        <v>#DIV/0!</v>
      </c>
    </row>
    <row r="2459" spans="10:22" x14ac:dyDescent="0.45">
      <c r="J2459" s="47" t="e">
        <f t="shared" si="190"/>
        <v>#DIV/0!</v>
      </c>
      <c r="K2459" s="47" t="e">
        <f t="shared" si="191"/>
        <v>#DIV/0!</v>
      </c>
      <c r="O2459" s="17" t="e">
        <f t="shared" si="192"/>
        <v>#DIV/0!</v>
      </c>
      <c r="P2459" s="17" t="e">
        <f t="shared" si="193"/>
        <v>#DIV/0!</v>
      </c>
      <c r="V2459" s="45" t="e">
        <f t="shared" si="194"/>
        <v>#DIV/0!</v>
      </c>
    </row>
    <row r="2460" spans="10:22" x14ac:dyDescent="0.45">
      <c r="J2460" s="47" t="e">
        <f t="shared" si="190"/>
        <v>#DIV/0!</v>
      </c>
      <c r="K2460" s="47" t="e">
        <f t="shared" si="191"/>
        <v>#DIV/0!</v>
      </c>
      <c r="O2460" s="17" t="e">
        <f t="shared" si="192"/>
        <v>#DIV/0!</v>
      </c>
      <c r="P2460" s="17" t="e">
        <f t="shared" si="193"/>
        <v>#DIV/0!</v>
      </c>
      <c r="V2460" s="45" t="e">
        <f t="shared" si="194"/>
        <v>#DIV/0!</v>
      </c>
    </row>
    <row r="2461" spans="10:22" x14ac:dyDescent="0.45">
      <c r="J2461" s="47" t="e">
        <f t="shared" si="190"/>
        <v>#DIV/0!</v>
      </c>
      <c r="K2461" s="47" t="e">
        <f t="shared" si="191"/>
        <v>#DIV/0!</v>
      </c>
      <c r="O2461" s="17" t="e">
        <f t="shared" si="192"/>
        <v>#DIV/0!</v>
      </c>
      <c r="P2461" s="17" t="e">
        <f t="shared" si="193"/>
        <v>#DIV/0!</v>
      </c>
      <c r="V2461" s="45" t="e">
        <f t="shared" si="194"/>
        <v>#DIV/0!</v>
      </c>
    </row>
    <row r="2462" spans="10:22" x14ac:dyDescent="0.45">
      <c r="J2462" s="47" t="e">
        <f t="shared" si="190"/>
        <v>#DIV/0!</v>
      </c>
      <c r="K2462" s="47" t="e">
        <f t="shared" si="191"/>
        <v>#DIV/0!</v>
      </c>
      <c r="O2462" s="17" t="e">
        <f t="shared" si="192"/>
        <v>#DIV/0!</v>
      </c>
      <c r="P2462" s="17" t="e">
        <f t="shared" si="193"/>
        <v>#DIV/0!</v>
      </c>
      <c r="V2462" s="45" t="e">
        <f t="shared" si="194"/>
        <v>#DIV/0!</v>
      </c>
    </row>
    <row r="2463" spans="10:22" x14ac:dyDescent="0.45">
      <c r="J2463" s="47" t="e">
        <f t="shared" si="190"/>
        <v>#DIV/0!</v>
      </c>
      <c r="K2463" s="47" t="e">
        <f t="shared" si="191"/>
        <v>#DIV/0!</v>
      </c>
      <c r="O2463" s="17" t="e">
        <f t="shared" si="192"/>
        <v>#DIV/0!</v>
      </c>
      <c r="P2463" s="17" t="e">
        <f t="shared" si="193"/>
        <v>#DIV/0!</v>
      </c>
      <c r="V2463" s="45" t="e">
        <f t="shared" si="194"/>
        <v>#DIV/0!</v>
      </c>
    </row>
    <row r="2464" spans="10:22" x14ac:dyDescent="0.45">
      <c r="J2464" s="47" t="e">
        <f t="shared" si="190"/>
        <v>#DIV/0!</v>
      </c>
      <c r="K2464" s="47" t="e">
        <f t="shared" si="191"/>
        <v>#DIV/0!</v>
      </c>
      <c r="O2464" s="17" t="e">
        <f t="shared" si="192"/>
        <v>#DIV/0!</v>
      </c>
      <c r="P2464" s="17" t="e">
        <f t="shared" si="193"/>
        <v>#DIV/0!</v>
      </c>
      <c r="V2464" s="45" t="e">
        <f t="shared" si="194"/>
        <v>#DIV/0!</v>
      </c>
    </row>
    <row r="2465" spans="10:22" x14ac:dyDescent="0.45">
      <c r="J2465" s="47" t="e">
        <f t="shared" si="190"/>
        <v>#DIV/0!</v>
      </c>
      <c r="K2465" s="47" t="e">
        <f t="shared" si="191"/>
        <v>#DIV/0!</v>
      </c>
      <c r="O2465" s="17" t="e">
        <f t="shared" si="192"/>
        <v>#DIV/0!</v>
      </c>
      <c r="P2465" s="17" t="e">
        <f t="shared" si="193"/>
        <v>#DIV/0!</v>
      </c>
      <c r="V2465" s="45" t="e">
        <f t="shared" si="194"/>
        <v>#DIV/0!</v>
      </c>
    </row>
    <row r="2466" spans="10:22" x14ac:dyDescent="0.45">
      <c r="J2466" s="47" t="e">
        <f t="shared" si="190"/>
        <v>#DIV/0!</v>
      </c>
      <c r="K2466" s="47" t="e">
        <f t="shared" si="191"/>
        <v>#DIV/0!</v>
      </c>
      <c r="O2466" s="17" t="e">
        <f t="shared" si="192"/>
        <v>#DIV/0!</v>
      </c>
      <c r="P2466" s="17" t="e">
        <f t="shared" si="193"/>
        <v>#DIV/0!</v>
      </c>
      <c r="V2466" s="45" t="e">
        <f t="shared" si="194"/>
        <v>#DIV/0!</v>
      </c>
    </row>
    <row r="2467" spans="10:22" x14ac:dyDescent="0.45">
      <c r="J2467" s="47" t="e">
        <f t="shared" si="190"/>
        <v>#DIV/0!</v>
      </c>
      <c r="K2467" s="47" t="e">
        <f t="shared" si="191"/>
        <v>#DIV/0!</v>
      </c>
      <c r="O2467" s="17" t="e">
        <f t="shared" si="192"/>
        <v>#DIV/0!</v>
      </c>
      <c r="P2467" s="17" t="e">
        <f t="shared" si="193"/>
        <v>#DIV/0!</v>
      </c>
      <c r="V2467" s="45" t="e">
        <f t="shared" si="194"/>
        <v>#DIV/0!</v>
      </c>
    </row>
    <row r="2468" spans="10:22" x14ac:dyDescent="0.45">
      <c r="J2468" s="47" t="e">
        <f t="shared" si="190"/>
        <v>#DIV/0!</v>
      </c>
      <c r="K2468" s="47" t="e">
        <f t="shared" si="191"/>
        <v>#DIV/0!</v>
      </c>
      <c r="O2468" s="17" t="e">
        <f t="shared" si="192"/>
        <v>#DIV/0!</v>
      </c>
      <c r="P2468" s="17" t="e">
        <f t="shared" si="193"/>
        <v>#DIV/0!</v>
      </c>
      <c r="V2468" s="45" t="e">
        <f t="shared" si="194"/>
        <v>#DIV/0!</v>
      </c>
    </row>
    <row r="2469" spans="10:22" x14ac:dyDescent="0.45">
      <c r="J2469" s="47" t="e">
        <f t="shared" si="190"/>
        <v>#DIV/0!</v>
      </c>
      <c r="K2469" s="47" t="e">
        <f t="shared" si="191"/>
        <v>#DIV/0!</v>
      </c>
      <c r="O2469" s="17" t="e">
        <f t="shared" si="192"/>
        <v>#DIV/0!</v>
      </c>
      <c r="P2469" s="17" t="e">
        <f t="shared" si="193"/>
        <v>#DIV/0!</v>
      </c>
      <c r="V2469" s="45" t="e">
        <f t="shared" si="194"/>
        <v>#DIV/0!</v>
      </c>
    </row>
    <row r="2470" spans="10:22" x14ac:dyDescent="0.45">
      <c r="J2470" s="47" t="e">
        <f t="shared" si="190"/>
        <v>#DIV/0!</v>
      </c>
      <c r="K2470" s="47" t="e">
        <f t="shared" si="191"/>
        <v>#DIV/0!</v>
      </c>
      <c r="O2470" s="17" t="e">
        <f t="shared" si="192"/>
        <v>#DIV/0!</v>
      </c>
      <c r="P2470" s="17" t="e">
        <f t="shared" si="193"/>
        <v>#DIV/0!</v>
      </c>
      <c r="V2470" s="45" t="e">
        <f t="shared" si="194"/>
        <v>#DIV/0!</v>
      </c>
    </row>
    <row r="2471" spans="10:22" x14ac:dyDescent="0.45">
      <c r="J2471" s="47" t="e">
        <f t="shared" si="190"/>
        <v>#DIV/0!</v>
      </c>
      <c r="K2471" s="47" t="e">
        <f t="shared" si="191"/>
        <v>#DIV/0!</v>
      </c>
      <c r="O2471" s="17" t="e">
        <f t="shared" si="192"/>
        <v>#DIV/0!</v>
      </c>
      <c r="P2471" s="17" t="e">
        <f t="shared" si="193"/>
        <v>#DIV/0!</v>
      </c>
      <c r="V2471" s="45" t="e">
        <f t="shared" si="194"/>
        <v>#DIV/0!</v>
      </c>
    </row>
    <row r="2472" spans="10:22" x14ac:dyDescent="0.45">
      <c r="J2472" s="47" t="e">
        <f t="shared" si="190"/>
        <v>#DIV/0!</v>
      </c>
      <c r="K2472" s="47" t="e">
        <f t="shared" si="191"/>
        <v>#DIV/0!</v>
      </c>
      <c r="O2472" s="17" t="e">
        <f t="shared" si="192"/>
        <v>#DIV/0!</v>
      </c>
      <c r="P2472" s="17" t="e">
        <f t="shared" si="193"/>
        <v>#DIV/0!</v>
      </c>
      <c r="V2472" s="45" t="e">
        <f t="shared" si="194"/>
        <v>#DIV/0!</v>
      </c>
    </row>
    <row r="2473" spans="10:22" x14ac:dyDescent="0.45">
      <c r="J2473" s="47" t="e">
        <f t="shared" si="190"/>
        <v>#DIV/0!</v>
      </c>
      <c r="K2473" s="47" t="e">
        <f t="shared" si="191"/>
        <v>#DIV/0!</v>
      </c>
      <c r="O2473" s="17" t="e">
        <f t="shared" si="192"/>
        <v>#DIV/0!</v>
      </c>
      <c r="P2473" s="17" t="e">
        <f t="shared" si="193"/>
        <v>#DIV/0!</v>
      </c>
      <c r="V2473" s="45" t="e">
        <f t="shared" si="194"/>
        <v>#DIV/0!</v>
      </c>
    </row>
    <row r="2474" spans="10:22" x14ac:dyDescent="0.45">
      <c r="J2474" s="47" t="e">
        <f t="shared" si="190"/>
        <v>#DIV/0!</v>
      </c>
      <c r="K2474" s="47" t="e">
        <f t="shared" si="191"/>
        <v>#DIV/0!</v>
      </c>
      <c r="O2474" s="17" t="e">
        <f t="shared" si="192"/>
        <v>#DIV/0!</v>
      </c>
      <c r="P2474" s="17" t="e">
        <f t="shared" si="193"/>
        <v>#DIV/0!</v>
      </c>
      <c r="V2474" s="45" t="e">
        <f t="shared" si="194"/>
        <v>#DIV/0!</v>
      </c>
    </row>
    <row r="2475" spans="10:22" x14ac:dyDescent="0.45">
      <c r="J2475" s="47" t="e">
        <f t="shared" si="190"/>
        <v>#DIV/0!</v>
      </c>
      <c r="K2475" s="47" t="e">
        <f t="shared" si="191"/>
        <v>#DIV/0!</v>
      </c>
      <c r="O2475" s="17" t="e">
        <f t="shared" si="192"/>
        <v>#DIV/0!</v>
      </c>
      <c r="P2475" s="17" t="e">
        <f t="shared" si="193"/>
        <v>#DIV/0!</v>
      </c>
      <c r="V2475" s="45" t="e">
        <f t="shared" si="194"/>
        <v>#DIV/0!</v>
      </c>
    </row>
    <row r="2476" spans="10:22" x14ac:dyDescent="0.45">
      <c r="J2476" s="47" t="e">
        <f t="shared" si="190"/>
        <v>#DIV/0!</v>
      </c>
      <c r="K2476" s="47" t="e">
        <f t="shared" si="191"/>
        <v>#DIV/0!</v>
      </c>
      <c r="O2476" s="17" t="e">
        <f t="shared" si="192"/>
        <v>#DIV/0!</v>
      </c>
      <c r="P2476" s="17" t="e">
        <f t="shared" si="193"/>
        <v>#DIV/0!</v>
      </c>
      <c r="V2476" s="45" t="e">
        <f t="shared" si="194"/>
        <v>#DIV/0!</v>
      </c>
    </row>
    <row r="2477" spans="10:22" x14ac:dyDescent="0.45">
      <c r="J2477" s="47" t="e">
        <f t="shared" si="190"/>
        <v>#DIV/0!</v>
      </c>
      <c r="K2477" s="47" t="e">
        <f t="shared" si="191"/>
        <v>#DIV/0!</v>
      </c>
      <c r="O2477" s="17" t="e">
        <f t="shared" si="192"/>
        <v>#DIV/0!</v>
      </c>
      <c r="P2477" s="17" t="e">
        <f t="shared" si="193"/>
        <v>#DIV/0!</v>
      </c>
      <c r="V2477" s="45" t="e">
        <f t="shared" si="194"/>
        <v>#DIV/0!</v>
      </c>
    </row>
    <row r="2478" spans="10:22" x14ac:dyDescent="0.45">
      <c r="J2478" s="47" t="e">
        <f t="shared" si="190"/>
        <v>#DIV/0!</v>
      </c>
      <c r="K2478" s="47" t="e">
        <f t="shared" si="191"/>
        <v>#DIV/0!</v>
      </c>
      <c r="O2478" s="17" t="e">
        <f t="shared" si="192"/>
        <v>#DIV/0!</v>
      </c>
      <c r="P2478" s="17" t="e">
        <f t="shared" si="193"/>
        <v>#DIV/0!</v>
      </c>
      <c r="V2478" s="45" t="e">
        <f t="shared" si="194"/>
        <v>#DIV/0!</v>
      </c>
    </row>
    <row r="2479" spans="10:22" x14ac:dyDescent="0.45">
      <c r="J2479" s="47" t="e">
        <f t="shared" si="190"/>
        <v>#DIV/0!</v>
      </c>
      <c r="K2479" s="47" t="e">
        <f t="shared" si="191"/>
        <v>#DIV/0!</v>
      </c>
      <c r="O2479" s="17" t="e">
        <f t="shared" si="192"/>
        <v>#DIV/0!</v>
      </c>
      <c r="P2479" s="17" t="e">
        <f t="shared" si="193"/>
        <v>#DIV/0!</v>
      </c>
      <c r="V2479" s="45" t="e">
        <f t="shared" si="194"/>
        <v>#DIV/0!</v>
      </c>
    </row>
    <row r="2480" spans="10:22" x14ac:dyDescent="0.45">
      <c r="J2480" s="47" t="e">
        <f t="shared" si="190"/>
        <v>#DIV/0!</v>
      </c>
      <c r="K2480" s="47" t="e">
        <f t="shared" si="191"/>
        <v>#DIV/0!</v>
      </c>
      <c r="O2480" s="17" t="e">
        <f t="shared" si="192"/>
        <v>#DIV/0!</v>
      </c>
      <c r="P2480" s="17" t="e">
        <f t="shared" si="193"/>
        <v>#DIV/0!</v>
      </c>
      <c r="V2480" s="45" t="e">
        <f t="shared" si="194"/>
        <v>#DIV/0!</v>
      </c>
    </row>
    <row r="2481" spans="10:22" x14ac:dyDescent="0.45">
      <c r="J2481" s="47" t="e">
        <f t="shared" si="190"/>
        <v>#DIV/0!</v>
      </c>
      <c r="K2481" s="47" t="e">
        <f t="shared" si="191"/>
        <v>#DIV/0!</v>
      </c>
      <c r="O2481" s="17" t="e">
        <f t="shared" si="192"/>
        <v>#DIV/0!</v>
      </c>
      <c r="P2481" s="17" t="e">
        <f t="shared" si="193"/>
        <v>#DIV/0!</v>
      </c>
      <c r="V2481" s="45" t="e">
        <f t="shared" si="194"/>
        <v>#DIV/0!</v>
      </c>
    </row>
    <row r="2482" spans="10:22" x14ac:dyDescent="0.45">
      <c r="J2482" s="47" t="e">
        <f t="shared" si="190"/>
        <v>#DIV/0!</v>
      </c>
      <c r="K2482" s="47" t="e">
        <f t="shared" si="191"/>
        <v>#DIV/0!</v>
      </c>
      <c r="O2482" s="17" t="e">
        <f t="shared" si="192"/>
        <v>#DIV/0!</v>
      </c>
      <c r="P2482" s="17" t="e">
        <f t="shared" si="193"/>
        <v>#DIV/0!</v>
      </c>
      <c r="V2482" s="45" t="e">
        <f t="shared" si="194"/>
        <v>#DIV/0!</v>
      </c>
    </row>
    <row r="2483" spans="10:22" x14ac:dyDescent="0.45">
      <c r="J2483" s="47" t="e">
        <f t="shared" si="190"/>
        <v>#DIV/0!</v>
      </c>
      <c r="K2483" s="47" t="e">
        <f t="shared" si="191"/>
        <v>#DIV/0!</v>
      </c>
      <c r="O2483" s="17" t="e">
        <f t="shared" si="192"/>
        <v>#DIV/0!</v>
      </c>
      <c r="P2483" s="17" t="e">
        <f t="shared" si="193"/>
        <v>#DIV/0!</v>
      </c>
      <c r="V2483" s="45" t="e">
        <f t="shared" si="194"/>
        <v>#DIV/0!</v>
      </c>
    </row>
    <row r="2484" spans="10:22" x14ac:dyDescent="0.45">
      <c r="J2484" s="47" t="e">
        <f t="shared" si="190"/>
        <v>#DIV/0!</v>
      </c>
      <c r="K2484" s="47" t="e">
        <f t="shared" si="191"/>
        <v>#DIV/0!</v>
      </c>
      <c r="O2484" s="17" t="e">
        <f t="shared" si="192"/>
        <v>#DIV/0!</v>
      </c>
      <c r="P2484" s="17" t="e">
        <f t="shared" si="193"/>
        <v>#DIV/0!</v>
      </c>
      <c r="V2484" s="45" t="e">
        <f t="shared" si="194"/>
        <v>#DIV/0!</v>
      </c>
    </row>
    <row r="2485" spans="10:22" x14ac:dyDescent="0.45">
      <c r="J2485" s="47" t="e">
        <f t="shared" si="190"/>
        <v>#DIV/0!</v>
      </c>
      <c r="K2485" s="47" t="e">
        <f t="shared" si="191"/>
        <v>#DIV/0!</v>
      </c>
      <c r="O2485" s="17" t="e">
        <f t="shared" si="192"/>
        <v>#DIV/0!</v>
      </c>
      <c r="P2485" s="17" t="e">
        <f t="shared" si="193"/>
        <v>#DIV/0!</v>
      </c>
      <c r="V2485" s="45" t="e">
        <f t="shared" si="194"/>
        <v>#DIV/0!</v>
      </c>
    </row>
    <row r="2486" spans="10:22" x14ac:dyDescent="0.45">
      <c r="J2486" s="47" t="e">
        <f t="shared" si="190"/>
        <v>#DIV/0!</v>
      </c>
      <c r="K2486" s="47" t="e">
        <f t="shared" si="191"/>
        <v>#DIV/0!</v>
      </c>
      <c r="O2486" s="17" t="e">
        <f t="shared" si="192"/>
        <v>#DIV/0!</v>
      </c>
      <c r="P2486" s="17" t="e">
        <f t="shared" si="193"/>
        <v>#DIV/0!</v>
      </c>
      <c r="V2486" s="45" t="e">
        <f t="shared" si="194"/>
        <v>#DIV/0!</v>
      </c>
    </row>
    <row r="2487" spans="10:22" x14ac:dyDescent="0.45">
      <c r="J2487" s="47" t="e">
        <f t="shared" si="190"/>
        <v>#DIV/0!</v>
      </c>
      <c r="K2487" s="47" t="e">
        <f t="shared" si="191"/>
        <v>#DIV/0!</v>
      </c>
      <c r="O2487" s="17" t="e">
        <f t="shared" si="192"/>
        <v>#DIV/0!</v>
      </c>
      <c r="P2487" s="17" t="e">
        <f t="shared" si="193"/>
        <v>#DIV/0!</v>
      </c>
      <c r="V2487" s="45" t="e">
        <f t="shared" si="194"/>
        <v>#DIV/0!</v>
      </c>
    </row>
    <row r="2488" spans="10:22" x14ac:dyDescent="0.45">
      <c r="J2488" s="47" t="e">
        <f t="shared" si="190"/>
        <v>#DIV/0!</v>
      </c>
      <c r="K2488" s="47" t="e">
        <f t="shared" si="191"/>
        <v>#DIV/0!</v>
      </c>
      <c r="O2488" s="17" t="e">
        <f t="shared" si="192"/>
        <v>#DIV/0!</v>
      </c>
      <c r="P2488" s="17" t="e">
        <f t="shared" si="193"/>
        <v>#DIV/0!</v>
      </c>
      <c r="V2488" s="45" t="e">
        <f t="shared" si="194"/>
        <v>#DIV/0!</v>
      </c>
    </row>
    <row r="2489" spans="10:22" x14ac:dyDescent="0.45">
      <c r="J2489" s="47" t="e">
        <f t="shared" si="190"/>
        <v>#DIV/0!</v>
      </c>
      <c r="K2489" s="47" t="e">
        <f t="shared" si="191"/>
        <v>#DIV/0!</v>
      </c>
      <c r="O2489" s="17" t="e">
        <f t="shared" si="192"/>
        <v>#DIV/0!</v>
      </c>
      <c r="P2489" s="17" t="e">
        <f t="shared" si="193"/>
        <v>#DIV/0!</v>
      </c>
      <c r="V2489" s="45" t="e">
        <f t="shared" si="194"/>
        <v>#DIV/0!</v>
      </c>
    </row>
    <row r="2490" spans="10:22" x14ac:dyDescent="0.45">
      <c r="J2490" s="47" t="e">
        <f t="shared" si="190"/>
        <v>#DIV/0!</v>
      </c>
      <c r="K2490" s="47" t="e">
        <f t="shared" si="191"/>
        <v>#DIV/0!</v>
      </c>
      <c r="O2490" s="17" t="e">
        <f t="shared" si="192"/>
        <v>#DIV/0!</v>
      </c>
      <c r="P2490" s="17" t="e">
        <f t="shared" si="193"/>
        <v>#DIV/0!</v>
      </c>
      <c r="V2490" s="45" t="e">
        <f t="shared" si="194"/>
        <v>#DIV/0!</v>
      </c>
    </row>
    <row r="2491" spans="10:22" x14ac:dyDescent="0.45">
      <c r="J2491" s="47" t="e">
        <f t="shared" si="190"/>
        <v>#DIV/0!</v>
      </c>
      <c r="K2491" s="47" t="e">
        <f t="shared" si="191"/>
        <v>#DIV/0!</v>
      </c>
      <c r="O2491" s="17" t="e">
        <f t="shared" si="192"/>
        <v>#DIV/0!</v>
      </c>
      <c r="P2491" s="17" t="e">
        <f t="shared" si="193"/>
        <v>#DIV/0!</v>
      </c>
      <c r="V2491" s="45" t="e">
        <f t="shared" si="194"/>
        <v>#DIV/0!</v>
      </c>
    </row>
    <row r="2492" spans="10:22" x14ac:dyDescent="0.45">
      <c r="J2492" s="47" t="e">
        <f t="shared" si="190"/>
        <v>#DIV/0!</v>
      </c>
      <c r="K2492" s="47" t="e">
        <f t="shared" si="191"/>
        <v>#DIV/0!</v>
      </c>
      <c r="O2492" s="17" t="e">
        <f t="shared" si="192"/>
        <v>#DIV/0!</v>
      </c>
      <c r="P2492" s="17" t="e">
        <f t="shared" si="193"/>
        <v>#DIV/0!</v>
      </c>
      <c r="V2492" s="45" t="e">
        <f t="shared" si="194"/>
        <v>#DIV/0!</v>
      </c>
    </row>
    <row r="2493" spans="10:22" x14ac:dyDescent="0.45">
      <c r="J2493" s="47" t="e">
        <f t="shared" si="190"/>
        <v>#DIV/0!</v>
      </c>
      <c r="K2493" s="47" t="e">
        <f t="shared" si="191"/>
        <v>#DIV/0!</v>
      </c>
      <c r="O2493" s="17" t="e">
        <f t="shared" si="192"/>
        <v>#DIV/0!</v>
      </c>
      <c r="P2493" s="17" t="e">
        <f t="shared" si="193"/>
        <v>#DIV/0!</v>
      </c>
      <c r="V2493" s="45" t="e">
        <f t="shared" si="194"/>
        <v>#DIV/0!</v>
      </c>
    </row>
    <row r="2494" spans="10:22" x14ac:dyDescent="0.45">
      <c r="J2494" s="47" t="e">
        <f t="shared" si="190"/>
        <v>#DIV/0!</v>
      </c>
      <c r="K2494" s="47" t="e">
        <f t="shared" si="191"/>
        <v>#DIV/0!</v>
      </c>
      <c r="O2494" s="17" t="e">
        <f t="shared" si="192"/>
        <v>#DIV/0!</v>
      </c>
      <c r="P2494" s="17" t="e">
        <f t="shared" si="193"/>
        <v>#DIV/0!</v>
      </c>
      <c r="V2494" s="45" t="e">
        <f t="shared" si="194"/>
        <v>#DIV/0!</v>
      </c>
    </row>
    <row r="2495" spans="10:22" x14ac:dyDescent="0.45">
      <c r="J2495" s="47" t="e">
        <f t="shared" si="190"/>
        <v>#DIV/0!</v>
      </c>
      <c r="K2495" s="47" t="e">
        <f t="shared" si="191"/>
        <v>#DIV/0!</v>
      </c>
      <c r="O2495" s="17" t="e">
        <f t="shared" si="192"/>
        <v>#DIV/0!</v>
      </c>
      <c r="P2495" s="17" t="e">
        <f t="shared" si="193"/>
        <v>#DIV/0!</v>
      </c>
      <c r="V2495" s="45" t="e">
        <f t="shared" si="194"/>
        <v>#DIV/0!</v>
      </c>
    </row>
    <row r="2496" spans="10:22" x14ac:dyDescent="0.45">
      <c r="J2496" s="47" t="e">
        <f t="shared" si="190"/>
        <v>#DIV/0!</v>
      </c>
      <c r="K2496" s="47" t="e">
        <f t="shared" si="191"/>
        <v>#DIV/0!</v>
      </c>
      <c r="O2496" s="17" t="e">
        <f t="shared" si="192"/>
        <v>#DIV/0!</v>
      </c>
      <c r="P2496" s="17" t="e">
        <f t="shared" si="193"/>
        <v>#DIV/0!</v>
      </c>
      <c r="V2496" s="45" t="e">
        <f t="shared" si="194"/>
        <v>#DIV/0!</v>
      </c>
    </row>
    <row r="2497" spans="10:22" x14ac:dyDescent="0.45">
      <c r="J2497" s="47" t="e">
        <f t="shared" si="190"/>
        <v>#DIV/0!</v>
      </c>
      <c r="K2497" s="47" t="e">
        <f t="shared" si="191"/>
        <v>#DIV/0!</v>
      </c>
      <c r="O2497" s="17" t="e">
        <f t="shared" si="192"/>
        <v>#DIV/0!</v>
      </c>
      <c r="P2497" s="17" t="e">
        <f t="shared" si="193"/>
        <v>#DIV/0!</v>
      </c>
      <c r="V2497" s="45" t="e">
        <f t="shared" si="194"/>
        <v>#DIV/0!</v>
      </c>
    </row>
    <row r="2498" spans="10:22" x14ac:dyDescent="0.45">
      <c r="J2498" s="47" t="e">
        <f t="shared" si="190"/>
        <v>#DIV/0!</v>
      </c>
      <c r="K2498" s="47" t="e">
        <f t="shared" si="191"/>
        <v>#DIV/0!</v>
      </c>
      <c r="O2498" s="17" t="e">
        <f t="shared" si="192"/>
        <v>#DIV/0!</v>
      </c>
      <c r="P2498" s="17" t="e">
        <f t="shared" si="193"/>
        <v>#DIV/0!</v>
      </c>
      <c r="V2498" s="45" t="e">
        <f t="shared" si="194"/>
        <v>#DIV/0!</v>
      </c>
    </row>
    <row r="2499" spans="10:22" x14ac:dyDescent="0.45">
      <c r="J2499" s="47" t="e">
        <f t="shared" ref="J2499:J2500" si="195">(H2499-G2499)/ABS(G2499)</f>
        <v>#DIV/0!</v>
      </c>
      <c r="K2499" s="47" t="e">
        <f t="shared" ref="K2499:K2500" si="196">(I2499-H2499)/ABS(H2499)</f>
        <v>#DIV/0!</v>
      </c>
      <c r="O2499" s="17" t="e">
        <f t="shared" ref="O2499:O2500" si="197">M2499/(J2499*100)</f>
        <v>#DIV/0!</v>
      </c>
      <c r="P2499" s="17" t="e">
        <f t="shared" ref="P2499:P2500" si="198">N2499/(K2499*100)</f>
        <v>#DIV/0!</v>
      </c>
      <c r="V2499" s="45" t="e">
        <f t="shared" ref="V2499:V2500" si="199">(T2499-U2499)/U2499</f>
        <v>#DIV/0!</v>
      </c>
    </row>
    <row r="2500" spans="10:22" x14ac:dyDescent="0.45">
      <c r="J2500" s="47" t="e">
        <f t="shared" si="195"/>
        <v>#DIV/0!</v>
      </c>
      <c r="K2500" s="47" t="e">
        <f t="shared" si="196"/>
        <v>#DIV/0!</v>
      </c>
      <c r="O2500" s="17" t="e">
        <f t="shared" si="197"/>
        <v>#DIV/0!</v>
      </c>
      <c r="P2500" s="17" t="e">
        <f t="shared" si="198"/>
        <v>#DIV/0!</v>
      </c>
      <c r="V2500" s="45" t="e">
        <f t="shared" si="199"/>
        <v>#DIV/0!</v>
      </c>
    </row>
  </sheetData>
  <autoFilter ref="A1:AV2500" xr:uid="{C9723E7B-8122-46AD-AE50-0C7A0DB3931D}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Note</vt:lpstr>
      <vt:lpstr>Idea generation</vt:lpstr>
      <vt:lpstr>Nasdaq.com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g.dupont</dc:creator>
  <cp:lastModifiedBy>markj</cp:lastModifiedBy>
  <dcterms:created xsi:type="dcterms:W3CDTF">2018-01-12T10:40:05Z</dcterms:created>
  <dcterms:modified xsi:type="dcterms:W3CDTF">2021-10-23T08:51:44Z</dcterms:modified>
</cp:coreProperties>
</file>